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updateLinks="never" codeName="ThisWorkbook"/>
  <mc:AlternateContent xmlns:mc="http://schemas.openxmlformats.org/markup-compatibility/2006">
    <mc:Choice Requires="x15">
      <x15ac:absPath xmlns:x15ac="http://schemas.microsoft.com/office/spreadsheetml/2010/11/ac" url="https://sunstarsuisse.sharepoint.com/sites/JP_668/Shared Documents/General/02_要件定義フェーズ/03_ToBe業務フロー/"/>
    </mc:Choice>
  </mc:AlternateContent>
  <xr:revisionPtr revIDLastSave="1334" documentId="120_{7BB88672-719A-4EDA-8F57-44442E6DCE78}" xr6:coauthVersionLast="47" xr6:coauthVersionMax="47" xr10:uidLastSave="{5BF0ADDF-0CC7-4868-8F2D-C2C50991F089}"/>
  <bookViews>
    <workbookView xWindow="-110" yWindow="-110" windowWidth="21820" windowHeight="13900" tabRatio="964" firstSheet="8" activeTab="8" xr2:uid="{00000000-000D-0000-FFFF-FFFF00000000}"/>
  </bookViews>
  <sheets>
    <sheet name="表紙" sheetId="233" r:id="rId1"/>
    <sheet name="変更履歴" sheetId="234" r:id="rId2"/>
    <sheet name="凡例" sheetId="241" r:id="rId3"/>
    <sheet name="１．仕入計上・請求処理" sheetId="273" r:id="rId4"/>
    <sheet name="２．前払" sheetId="278" r:id="rId5"/>
    <sheet name="３．経費精算" sheetId="275" r:id="rId6"/>
    <sheet name="４．支払予定修正・保留" sheetId="282" r:id="rId7"/>
    <sheet name="５．支払前" sheetId="280" r:id="rId8"/>
    <sheet name="６．支払（銀行振込・海外送金・小切手）" sheetId="274" r:id="rId9"/>
    <sheet name="７．電子記録債務計上・決済" sheetId="277" r:id="rId10"/>
    <sheet name="８．口座引落" sheetId="283" r:id="rId11"/>
    <sheet name="Ａ．銀行口座マスタ登録" sheetId="284" r:id="rId12"/>
    <sheet name="B．相殺決済契約" sheetId="286" r:id="rId13"/>
    <sheet name="C．仕入先マスタ・仕入先の銀行口座" sheetId="287"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87" l="1"/>
  <c r="V2" i="287"/>
  <c r="A6" i="274"/>
  <c r="V2" i="274"/>
  <c r="A6" i="286" l="1"/>
  <c r="AC2" i="286"/>
  <c r="A6" i="284"/>
  <c r="V2" i="284"/>
  <c r="A6" i="273"/>
  <c r="V2" i="273"/>
  <c r="A6" i="275"/>
  <c r="A6" i="282"/>
  <c r="V2" i="275"/>
  <c r="A6" i="280"/>
  <c r="A6" i="283" l="1"/>
  <c r="V2" i="283"/>
  <c r="V2" i="282"/>
  <c r="V2" i="280"/>
  <c r="A6" i="277"/>
  <c r="A6" i="278"/>
  <c r="V2" i="277" l="1"/>
  <c r="V2" i="278"/>
  <c r="V2" i="241" l="1"/>
  <c r="W2" i="234" l="1"/>
  <c r="F2" i="234" l="1"/>
  <c r="F2" i="287" s="1"/>
  <c r="F1" i="234"/>
  <c r="F1" i="287" s="1"/>
  <c r="B24" i="233" a="1"/>
  <c r="B22" i="233"/>
  <c r="F1" i="286" l="1"/>
  <c r="F1" i="274"/>
  <c r="F2" i="286"/>
  <c r="F2" i="274"/>
  <c r="F2" i="284"/>
  <c r="F1" i="284"/>
  <c r="F2" i="273"/>
  <c r="F2" i="275"/>
  <c r="F2" i="280"/>
  <c r="F2" i="283"/>
  <c r="F2" i="282"/>
  <c r="F2" i="277"/>
  <c r="F2" i="278"/>
  <c r="F1" i="273"/>
  <c r="F1" i="275"/>
  <c r="F1" i="282"/>
  <c r="F1" i="283"/>
  <c r="F1" i="280"/>
  <c r="F1" i="277"/>
  <c r="F1" i="278"/>
  <c r="F1" i="241"/>
  <c r="F2" i="241"/>
  <c r="B24" i="233"/>
  <c r="BA2" i="234" l="1"/>
  <c r="AQ2" i="287" s="1"/>
  <c r="AT2" i="234"/>
  <c r="AL2" i="287" s="1"/>
  <c r="BA3" i="234" a="1"/>
  <c r="AT3" i="234" a="1"/>
  <c r="AS2" i="286" l="1"/>
  <c r="AL2" i="274"/>
  <c r="AX2" i="286"/>
  <c r="AQ2" i="274"/>
  <c r="AQ2" i="284"/>
  <c r="AL2" i="284"/>
  <c r="AQ2" i="273"/>
  <c r="AQ2" i="275"/>
  <c r="AQ2" i="283"/>
  <c r="AQ2" i="282"/>
  <c r="AQ2" i="280"/>
  <c r="AQ2" i="277"/>
  <c r="AQ2" i="278"/>
  <c r="AL2" i="275"/>
  <c r="AL2" i="273"/>
  <c r="AL2" i="283"/>
  <c r="AL2" i="280"/>
  <c r="AL2" i="282"/>
  <c r="AL2" i="278"/>
  <c r="AL2" i="277"/>
  <c r="AL2" i="241"/>
  <c r="AQ2" i="241"/>
  <c r="AT3" i="234"/>
  <c r="BA3" i="234"/>
  <c r="AQ3" i="287" l="1"/>
  <c r="AL3" i="287"/>
  <c r="AX3" i="286"/>
  <c r="AQ3" i="274"/>
  <c r="AS3" i="286"/>
  <c r="AL3" i="274"/>
  <c r="AL3" i="284"/>
  <c r="AQ3" i="284"/>
  <c r="AQ3" i="275"/>
  <c r="AQ3" i="273"/>
  <c r="AL3" i="275"/>
  <c r="AL3" i="273"/>
  <c r="AL3" i="282"/>
  <c r="AL3" i="283"/>
  <c r="AQ3" i="282"/>
  <c r="AQ3" i="283"/>
  <c r="AL3" i="280"/>
  <c r="AQ3" i="280"/>
  <c r="AQ3" i="277"/>
  <c r="AL3" i="277"/>
  <c r="AQ3" i="278"/>
  <c r="AL3" i="278"/>
  <c r="AQ3" i="241"/>
  <c r="AL3" i="24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<sst xmlns="http://schemas.openxmlformats.org/spreadsheetml/2006/main" count="987" uniqueCount="547">
  <si>
    <t>サンスター株式会社　御中</t>
    <phoneticPr fontId="3"/>
  </si>
  <si>
    <t>会計システム刷新プロジェクト（LIBRA）</t>
    <rPh sb="0" eb="2">
      <t>カイケイ</t>
    </rPh>
    <rPh sb="6" eb="8">
      <t>サッシン</t>
    </rPh>
    <phoneticPr fontId="3"/>
  </si>
  <si>
    <t>ToBe業務フロー（4.債務）</t>
    <phoneticPr fontId="2"/>
  </si>
  <si>
    <t>日本ビジネスシステムズ株式会社</t>
    <rPh sb="0" eb="2">
      <t>ニホン</t>
    </rPh>
    <rPh sb="11" eb="15">
      <t>カブシキガイシャ</t>
    </rPh>
    <phoneticPr fontId="3"/>
  </si>
  <si>
    <t>作成者</t>
    <rPh sb="0" eb="3">
      <t>サクセイシャ</t>
    </rPh>
    <phoneticPr fontId="3"/>
  </si>
  <si>
    <t>JBS承認者</t>
    <rPh sb="3" eb="6">
      <t>ショウニンシャ</t>
    </rPh>
    <phoneticPr fontId="3"/>
  </si>
  <si>
    <t>承認者</t>
    <rPh sb="0" eb="3">
      <t>ショウニンシャシャ</t>
    </rPh>
    <phoneticPr fontId="3"/>
  </si>
  <si>
    <t>JBS秋信</t>
    <rPh sb="3" eb="5">
      <t>アキノブ</t>
    </rPh>
    <phoneticPr fontId="2"/>
  </si>
  <si>
    <t>JBS加藤</t>
    <rPh sb="3" eb="5">
      <t>カトウ</t>
    </rPh>
    <phoneticPr fontId="2"/>
  </si>
  <si>
    <t>システム名</t>
    <rPh sb="4" eb="5">
      <t>メイ</t>
    </rPh>
    <phoneticPr fontId="10"/>
  </si>
  <si>
    <t>タイトル</t>
  </si>
  <si>
    <t>日付</t>
    <rPh sb="0" eb="2">
      <t>ヒヅケ</t>
    </rPh>
    <phoneticPr fontId="23"/>
  </si>
  <si>
    <t>更新者</t>
    <rPh sb="0" eb="2">
      <t>コウシン</t>
    </rPh>
    <rPh sb="2" eb="3">
      <t>シャ</t>
    </rPh>
    <phoneticPr fontId="10"/>
  </si>
  <si>
    <t>文書名</t>
    <rPh sb="0" eb="2">
      <t>ブンショ</t>
    </rPh>
    <rPh sb="2" eb="3">
      <t>メイ</t>
    </rPh>
    <phoneticPr fontId="10"/>
  </si>
  <si>
    <t>作成</t>
    <rPh sb="0" eb="2">
      <t>サクセイ</t>
    </rPh>
    <phoneticPr fontId="10"/>
  </si>
  <si>
    <t>更新</t>
    <rPh sb="0" eb="2">
      <t>コウシン</t>
    </rPh>
    <phoneticPr fontId="10"/>
  </si>
  <si>
    <t>変更年月日</t>
    <rPh sb="0" eb="2">
      <t>ヘンコウ</t>
    </rPh>
    <rPh sb="2" eb="5">
      <t>ネンガッピ</t>
    </rPh>
    <phoneticPr fontId="24"/>
  </si>
  <si>
    <t>変更箇所</t>
    <rPh sb="0" eb="2">
      <t>ヘンコウ</t>
    </rPh>
    <rPh sb="2" eb="4">
      <t>カショ</t>
    </rPh>
    <phoneticPr fontId="24"/>
  </si>
  <si>
    <t>変更内容</t>
    <rPh sb="0" eb="2">
      <t>ヘンコウ</t>
    </rPh>
    <rPh sb="2" eb="4">
      <t>ナイヨウ</t>
    </rPh>
    <phoneticPr fontId="24"/>
  </si>
  <si>
    <t>変更者</t>
    <rPh sb="0" eb="2">
      <t>ヘンコウ</t>
    </rPh>
    <rPh sb="2" eb="3">
      <t>シャ</t>
    </rPh>
    <phoneticPr fontId="24"/>
  </si>
  <si>
    <t>版数</t>
    <rPh sb="0" eb="1">
      <t>ハン</t>
    </rPh>
    <rPh sb="1" eb="2">
      <t>スウ</t>
    </rPh>
    <phoneticPr fontId="24"/>
  </si>
  <si>
    <t>新規作成</t>
    <rPh sb="0" eb="2">
      <t>シンキ</t>
    </rPh>
    <rPh sb="2" eb="4">
      <t>サクセイ</t>
    </rPh>
    <phoneticPr fontId="3"/>
  </si>
  <si>
    <t>新規作成</t>
    <rPh sb="0" eb="4">
      <t>シンキサクセイ</t>
    </rPh>
    <phoneticPr fontId="23"/>
  </si>
  <si>
    <t>JBS秋信</t>
    <rPh sb="3" eb="5">
      <t>アキノブ</t>
    </rPh>
    <phoneticPr fontId="3"/>
  </si>
  <si>
    <t>0.1</t>
    <phoneticPr fontId="2"/>
  </si>
  <si>
    <t>初版確定</t>
    <rPh sb="0" eb="2">
      <t>ショハン</t>
    </rPh>
    <rPh sb="2" eb="4">
      <t>カクテイ</t>
    </rPh>
    <phoneticPr fontId="2"/>
  </si>
  <si>
    <t>初版確定</t>
    <rPh sb="0" eb="4">
      <t>ショハンカクテイ</t>
    </rPh>
    <phoneticPr fontId="2"/>
  </si>
  <si>
    <t>1.0</t>
    <phoneticPr fontId="2"/>
  </si>
  <si>
    <t>A．銀行口座マスタ登録
B．相殺契約登録</t>
    <phoneticPr fontId="2"/>
  </si>
  <si>
    <t>以下業務フローを新規作成
A．銀行口座マスタ登録
B．相殺契約登録</t>
    <phoneticPr fontId="2"/>
  </si>
  <si>
    <t>1.1</t>
    <phoneticPr fontId="2"/>
  </si>
  <si>
    <t>シート：２．前払</t>
    <rPh sb="6" eb="8">
      <t>マエバライ</t>
    </rPh>
    <phoneticPr fontId="2"/>
  </si>
  <si>
    <t xml:space="preserve">２．前払（費用発生時）に承認業務、自動転記バッチの業務を追加
</t>
    <rPh sb="12" eb="14">
      <t>ショウニン</t>
    </rPh>
    <rPh sb="14" eb="16">
      <t>ギョウム</t>
    </rPh>
    <phoneticPr fontId="2"/>
  </si>
  <si>
    <t>1.2</t>
    <phoneticPr fontId="2"/>
  </si>
  <si>
    <t>シート：４．支払予定修正・保留</t>
    <rPh sb="6" eb="12">
      <t>シハライヨテイシュウセイ</t>
    </rPh>
    <rPh sb="13" eb="15">
      <t>ホリュウ</t>
    </rPh>
    <phoneticPr fontId="2"/>
  </si>
  <si>
    <t>１．支払予定修正
修正前：仕入先トランザクション
修正後：仕入先トランザクション（トランザクションの決済）</t>
    <rPh sb="9" eb="12">
      <t>シュウセイマエ</t>
    </rPh>
    <rPh sb="13" eb="16">
      <t>シイレサキ</t>
    </rPh>
    <rPh sb="25" eb="28">
      <t>シュウセイゴ</t>
    </rPh>
    <rPh sb="50" eb="52">
      <t>ケッサイ</t>
    </rPh>
    <phoneticPr fontId="2"/>
  </si>
  <si>
    <t>１．支払予定修正 に支払方法・支払サイト更新バッチの再実行についての記載を追加</t>
    <rPh sb="2" eb="8">
      <t>シハライヨテイシュウセイ</t>
    </rPh>
    <rPh sb="10" eb="14">
      <t>シハライホウホウ</t>
    </rPh>
    <rPh sb="15" eb="17">
      <t>シハライ</t>
    </rPh>
    <rPh sb="20" eb="22">
      <t>コウシン</t>
    </rPh>
    <rPh sb="26" eb="29">
      <t>サイジッコウ</t>
    </rPh>
    <rPh sb="34" eb="36">
      <t>キサイ</t>
    </rPh>
    <rPh sb="37" eb="39">
      <t>ツイカ</t>
    </rPh>
    <phoneticPr fontId="2"/>
  </si>
  <si>
    <t>３．支払保留解除 を作成</t>
    <rPh sb="10" eb="12">
      <t>サクセイ</t>
    </rPh>
    <phoneticPr fontId="2"/>
  </si>
  <si>
    <t>シート：５．支払前</t>
    <rPh sb="6" eb="9">
      <t>シハライマエ</t>
    </rPh>
    <phoneticPr fontId="2"/>
  </si>
  <si>
    <t>１．相殺処理（滋賀ホスト）、２．支払前に承認業務、自動転記バッチの業務を追加</t>
    <rPh sb="20" eb="24">
      <t>ショウニンギョウム</t>
    </rPh>
    <phoneticPr fontId="2"/>
  </si>
  <si>
    <t>２．支払前　の売上計上のFO連携先を「一般仕訳帳」に変更</t>
    <rPh sb="7" eb="11">
      <t>ウリアゲケイジョウ</t>
    </rPh>
    <rPh sb="14" eb="17">
      <t>レンケイサキ</t>
    </rPh>
    <rPh sb="19" eb="24">
      <t>イッパンシワケチョウ</t>
    </rPh>
    <rPh sb="26" eb="28">
      <t>ヘンコウ</t>
    </rPh>
    <phoneticPr fontId="2"/>
  </si>
  <si>
    <t>９．支払合計表/明細表確認・出力　に、「債務残高明細」を追加</t>
    <rPh sb="20" eb="26">
      <t>サイムザンダカメイサイ</t>
    </rPh>
    <rPh sb="28" eb="30">
      <t>ツイカ</t>
    </rPh>
    <phoneticPr fontId="2"/>
  </si>
  <si>
    <t>C．仕入先マスタ・仕入先の銀行口座</t>
    <phoneticPr fontId="2"/>
  </si>
  <si>
    <t>新規作成</t>
    <rPh sb="0" eb="4">
      <t>シンキサクセイ</t>
    </rPh>
    <phoneticPr fontId="2"/>
  </si>
  <si>
    <t>１．相殺処理（滋賀ホスト）　８．相殺完了連絡受領（滋賀ホスト）を削除</t>
    <rPh sb="32" eb="34">
      <t>サクジョ</t>
    </rPh>
    <phoneticPr fontId="2"/>
  </si>
  <si>
    <t>1.3</t>
    <phoneticPr fontId="2"/>
  </si>
  <si>
    <t>７．電子記録債務計上・決済</t>
    <phoneticPr fontId="2"/>
  </si>
  <si>
    <t>２．電子記録債務決済　５．電子記録債務決済計上　
振込手数料が仕入先負担（先方負担）は発生しないため、仕訳例削除</t>
    <rPh sb="43" eb="45">
      <t>ハッセイ</t>
    </rPh>
    <rPh sb="51" eb="54">
      <t>シワケレイ</t>
    </rPh>
    <rPh sb="54" eb="56">
      <t>サクジョ</t>
    </rPh>
    <phoneticPr fontId="2"/>
  </si>
  <si>
    <t>「３．経費精算」の接続先を「９．支払方法確定処理」から、「１０．支払予定データ確認」に変更</t>
    <rPh sb="9" eb="11">
      <t>セツゾク</t>
    </rPh>
    <rPh sb="11" eb="12">
      <t>サキ</t>
    </rPh>
    <rPh sb="43" eb="45">
      <t>ヘンコウ</t>
    </rPh>
    <phoneticPr fontId="2"/>
  </si>
  <si>
    <t>1.4</t>
    <phoneticPr fontId="2"/>
  </si>
  <si>
    <t>シート：C．仕入先マスタ・仕入先の銀行口座</t>
    <phoneticPr fontId="2"/>
  </si>
  <si>
    <t>海外送金で使用する仕入先の住所項目について、確定内容を記載</t>
    <rPh sb="0" eb="4">
      <t>カイガイソウキン</t>
    </rPh>
    <rPh sb="5" eb="7">
      <t>シヨウ</t>
    </rPh>
    <rPh sb="9" eb="12">
      <t>シイレサキ</t>
    </rPh>
    <rPh sb="13" eb="17">
      <t>ジュウショコウモク</t>
    </rPh>
    <rPh sb="22" eb="26">
      <t>カクテイナイヨウ</t>
    </rPh>
    <rPh sb="27" eb="29">
      <t>キサイ</t>
    </rPh>
    <phoneticPr fontId="2"/>
  </si>
  <si>
    <t>1.5</t>
    <phoneticPr fontId="2"/>
  </si>
  <si>
    <t>預り売掛金の相殺の仕訳転記を手動に変更</t>
    <rPh sb="0" eb="1">
      <t>アズカリ</t>
    </rPh>
    <rPh sb="2" eb="5">
      <t>ウリカケキン</t>
    </rPh>
    <rPh sb="6" eb="8">
      <t>ソウサイ</t>
    </rPh>
    <rPh sb="9" eb="11">
      <t>シワケ</t>
    </rPh>
    <rPh sb="11" eb="13">
      <t>テンキ</t>
    </rPh>
    <rPh sb="14" eb="16">
      <t>シュドウ</t>
    </rPh>
    <rPh sb="17" eb="19">
      <t>ヘンコウ</t>
    </rPh>
    <phoneticPr fontId="2"/>
  </si>
  <si>
    <t>1.6</t>
    <phoneticPr fontId="2"/>
  </si>
  <si>
    <t>シート：Ａ．銀行口座マスタ登録</t>
    <rPh sb="6" eb="8">
      <t>ギンコウ</t>
    </rPh>
    <rPh sb="8" eb="10">
      <t>コウザ</t>
    </rPh>
    <rPh sb="13" eb="15">
      <t>トウロク</t>
    </rPh>
    <phoneticPr fontId="2"/>
  </si>
  <si>
    <t>FO⇒MDMに連携するように修正</t>
    <rPh sb="7" eb="9">
      <t>レンケイ</t>
    </rPh>
    <rPh sb="14" eb="16">
      <t>シュウセイ</t>
    </rPh>
    <phoneticPr fontId="2"/>
  </si>
  <si>
    <t>1.7</t>
    <phoneticPr fontId="2"/>
  </si>
  <si>
    <t>シート：B．相殺決済契約</t>
    <phoneticPr fontId="2"/>
  </si>
  <si>
    <t>ITDXの相殺決済契約の有効化を追加</t>
    <rPh sb="5" eb="11">
      <t>ソウサイケッサイケイヤク</t>
    </rPh>
    <rPh sb="12" eb="15">
      <t>ユウコウカ</t>
    </rPh>
    <rPh sb="16" eb="18">
      <t>ツイカ</t>
    </rPh>
    <phoneticPr fontId="2"/>
  </si>
  <si>
    <t>シート：６．支払（銀行振込・海外送金・小切手）</t>
    <phoneticPr fontId="2"/>
  </si>
  <si>
    <t>2．為替差損益の調整仕訳登録 追加</t>
    <rPh sb="15" eb="17">
      <t>ツイカ</t>
    </rPh>
    <phoneticPr fontId="2"/>
  </si>
  <si>
    <t>シート：１．仕入計上・請求処理</t>
    <phoneticPr fontId="2"/>
  </si>
  <si>
    <t>SEJホストの外貨取消、修正仕訳の業務を追加</t>
    <rPh sb="7" eb="9">
      <t>ガイカ</t>
    </rPh>
    <rPh sb="9" eb="11">
      <t>トリケシ</t>
    </rPh>
    <rPh sb="12" eb="16">
      <t>シュウセイシワケ</t>
    </rPh>
    <rPh sb="17" eb="19">
      <t>ギョウム</t>
    </rPh>
    <rPh sb="20" eb="22">
      <t>ツイカ</t>
    </rPh>
    <phoneticPr fontId="2"/>
  </si>
  <si>
    <t>３．仕入先マスタの住所更新⇒３．仕入先マスタの更新 に修正（住所をMDMからの連携に修正）</t>
    <rPh sb="2" eb="5">
      <t>シイレサキ</t>
    </rPh>
    <rPh sb="9" eb="13">
      <t>ジュウショコウシン</t>
    </rPh>
    <rPh sb="27" eb="29">
      <t>シュウセイ</t>
    </rPh>
    <rPh sb="30" eb="32">
      <t>ジュウショ</t>
    </rPh>
    <rPh sb="39" eb="41">
      <t>レンケイ</t>
    </rPh>
    <rPh sb="42" eb="44">
      <t>シュウセイ</t>
    </rPh>
    <phoneticPr fontId="2"/>
  </si>
  <si>
    <t xml:space="preserve">２．仕入先マスタ・仕入先の銀行口座登録
SLJの登録システムをFO→JUST DBに変更
</t>
    <rPh sb="24" eb="26">
      <t>トウロク</t>
    </rPh>
    <rPh sb="42" eb="44">
      <t>ヘンコウ</t>
    </rPh>
    <phoneticPr fontId="2"/>
  </si>
  <si>
    <t>JBS加藤</t>
    <rPh sb="3" eb="5">
      <t>カトウ</t>
    </rPh>
    <phoneticPr fontId="3"/>
  </si>
  <si>
    <t>１．主勘定　に「手動入力を許可しない」にチェックを入れる旨を追記</t>
    <rPh sb="2" eb="5">
      <t>シュカンジョウ</t>
    </rPh>
    <rPh sb="8" eb="12">
      <t>シュドウニュウリョク</t>
    </rPh>
    <rPh sb="13" eb="15">
      <t>キョカ</t>
    </rPh>
    <rPh sb="25" eb="26">
      <t>イ</t>
    </rPh>
    <rPh sb="28" eb="29">
      <t>ムネ</t>
    </rPh>
    <rPh sb="30" eb="32">
      <t>ツイキ</t>
    </rPh>
    <phoneticPr fontId="2"/>
  </si>
  <si>
    <t>1.8</t>
    <phoneticPr fontId="2"/>
  </si>
  <si>
    <t>相殺決済契約の有効化の担当をITDX⇒事務管理Gに変更</t>
    <rPh sb="0" eb="6">
      <t>ソウサイケッサイケイヤク</t>
    </rPh>
    <rPh sb="7" eb="10">
      <t>ユウコウカ</t>
    </rPh>
    <rPh sb="11" eb="13">
      <t>タントウ</t>
    </rPh>
    <rPh sb="19" eb="23">
      <t>ジムカンリ</t>
    </rPh>
    <rPh sb="25" eb="27">
      <t>ヘンコウ</t>
    </rPh>
    <phoneticPr fontId="2"/>
  </si>
  <si>
    <t>1.9</t>
    <phoneticPr fontId="2"/>
  </si>
  <si>
    <t>タイトル</t>
    <phoneticPr fontId="3"/>
  </si>
  <si>
    <t>凡例</t>
    <rPh sb="0" eb="2">
      <t>ハンレイ</t>
    </rPh>
    <phoneticPr fontId="10"/>
  </si>
  <si>
    <t>：</t>
    <phoneticPr fontId="2"/>
  </si>
  <si>
    <t>フローの開始</t>
    <rPh sb="4" eb="6">
      <t>カイシ</t>
    </rPh>
    <phoneticPr fontId="2"/>
  </si>
  <si>
    <t>フローの終了</t>
    <rPh sb="4" eb="6">
      <t>シュウリョウ</t>
    </rPh>
    <phoneticPr fontId="2"/>
  </si>
  <si>
    <t>システムを伴わない業務</t>
    <rPh sb="5" eb="6">
      <t>トモナ</t>
    </rPh>
    <rPh sb="9" eb="11">
      <t>ギョウム</t>
    </rPh>
    <phoneticPr fontId="2"/>
  </si>
  <si>
    <t>システム上での業務</t>
    <rPh sb="4" eb="5">
      <t>ジョウ</t>
    </rPh>
    <rPh sb="7" eb="9">
      <t>ギョウム</t>
    </rPh>
    <phoneticPr fontId="2"/>
  </si>
  <si>
    <t>帳票（システムで作成される帳票）</t>
    <rPh sb="0" eb="2">
      <t>チョウヒョウ</t>
    </rPh>
    <rPh sb="8" eb="10">
      <t>サクセイ</t>
    </rPh>
    <rPh sb="13" eb="15">
      <t>チョウヒョウ</t>
    </rPh>
    <phoneticPr fontId="2"/>
  </si>
  <si>
    <t>帳票（システム外で作成される帳票）</t>
    <rPh sb="0" eb="2">
      <t>チョウヒョウ</t>
    </rPh>
    <rPh sb="7" eb="8">
      <t>ガイ</t>
    </rPh>
    <rPh sb="9" eb="11">
      <t>サクセイ</t>
    </rPh>
    <rPh sb="14" eb="16">
      <t>チョウヒョウ</t>
    </rPh>
    <phoneticPr fontId="2"/>
  </si>
  <si>
    <t>業務の流れ</t>
    <rPh sb="0" eb="2">
      <t>ギョウム</t>
    </rPh>
    <rPh sb="3" eb="4">
      <t>ナガ</t>
    </rPh>
    <phoneticPr fontId="2"/>
  </si>
  <si>
    <t>システムへの連携</t>
    <rPh sb="6" eb="8">
      <t>レンケイ</t>
    </rPh>
    <phoneticPr fontId="2"/>
  </si>
  <si>
    <t>分岐</t>
    <rPh sb="0" eb="2">
      <t>ブンキ</t>
    </rPh>
    <phoneticPr fontId="2"/>
  </si>
  <si>
    <t>システム</t>
    <phoneticPr fontId="2"/>
  </si>
  <si>
    <t>フロー間の繋がりを示す</t>
    <rPh sb="3" eb="4">
      <t>カン</t>
    </rPh>
    <rPh sb="5" eb="6">
      <t>ツナ</t>
    </rPh>
    <rPh sb="9" eb="10">
      <t>シメ</t>
    </rPh>
    <phoneticPr fontId="2"/>
  </si>
  <si>
    <t>ファイル（CSVファイル等）</t>
    <rPh sb="12" eb="13">
      <t>トウ</t>
    </rPh>
    <phoneticPr fontId="2"/>
  </si>
  <si>
    <t>社内部署</t>
    <rPh sb="0" eb="2">
      <t>シャナイ</t>
    </rPh>
    <rPh sb="2" eb="4">
      <t>ブショ</t>
    </rPh>
    <phoneticPr fontId="2"/>
  </si>
  <si>
    <t>フローに登場する社内の部署を記載</t>
    <rPh sb="4" eb="6">
      <t>トウジョウ</t>
    </rPh>
    <rPh sb="8" eb="10">
      <t>シャナイ</t>
    </rPh>
    <rPh sb="11" eb="13">
      <t>ブショ</t>
    </rPh>
    <rPh sb="14" eb="16">
      <t>キサイ</t>
    </rPh>
    <phoneticPr fontId="2"/>
  </si>
  <si>
    <t>部署内の担当者が分かれる場合は以下の通りに分ける</t>
    <rPh sb="0" eb="2">
      <t>ブショ</t>
    </rPh>
    <rPh sb="2" eb="3">
      <t>ナイ</t>
    </rPh>
    <rPh sb="4" eb="7">
      <t>タントウシャ</t>
    </rPh>
    <rPh sb="8" eb="9">
      <t>ワ</t>
    </rPh>
    <rPh sb="12" eb="14">
      <t>バアイ</t>
    </rPh>
    <rPh sb="15" eb="17">
      <t>イカ</t>
    </rPh>
    <rPh sb="18" eb="19">
      <t>トオ</t>
    </rPh>
    <rPh sb="21" eb="22">
      <t>ワ</t>
    </rPh>
    <phoneticPr fontId="2"/>
  </si>
  <si>
    <t>担当者</t>
    <rPh sb="0" eb="3">
      <t>タントウシャ</t>
    </rPh>
    <phoneticPr fontId="2"/>
  </si>
  <si>
    <t>責任者</t>
    <rPh sb="0" eb="3">
      <t>セキニンシャ</t>
    </rPh>
    <phoneticPr fontId="2"/>
  </si>
  <si>
    <t>外部担当者</t>
    <rPh sb="0" eb="2">
      <t>ガイブ</t>
    </rPh>
    <rPh sb="2" eb="5">
      <t>タントウシャ</t>
    </rPh>
    <phoneticPr fontId="2"/>
  </si>
  <si>
    <t>フローに登場する社外担当者の部署を記載</t>
    <rPh sb="4" eb="6">
      <t>トウジョウ</t>
    </rPh>
    <rPh sb="8" eb="10">
      <t>シャガイ</t>
    </rPh>
    <rPh sb="10" eb="13">
      <t>タントウシャ</t>
    </rPh>
    <rPh sb="14" eb="16">
      <t>ブショ</t>
    </rPh>
    <rPh sb="17" eb="19">
      <t>キサイ</t>
    </rPh>
    <phoneticPr fontId="2"/>
  </si>
  <si>
    <t>例）得意先、仕入先</t>
    <rPh sb="0" eb="1">
      <t>レイ</t>
    </rPh>
    <rPh sb="2" eb="4">
      <t>トクイ</t>
    </rPh>
    <rPh sb="4" eb="5">
      <t>サキ</t>
    </rPh>
    <rPh sb="6" eb="9">
      <t>シイレサキ</t>
    </rPh>
    <phoneticPr fontId="2"/>
  </si>
  <si>
    <t>フロー上で実施されるシステムの機能を記載する列</t>
    <rPh sb="3" eb="4">
      <t>ジョウ</t>
    </rPh>
    <rPh sb="5" eb="7">
      <t>ジッシ</t>
    </rPh>
    <rPh sb="15" eb="17">
      <t>キノウ</t>
    </rPh>
    <rPh sb="18" eb="20">
      <t>キサイ</t>
    </rPh>
    <rPh sb="22" eb="23">
      <t>レツ</t>
    </rPh>
    <phoneticPr fontId="2"/>
  </si>
  <si>
    <t>XX</t>
    <phoneticPr fontId="2"/>
  </si>
  <si>
    <t>XXの部分にフローで登場するシステム名を記載</t>
    <rPh sb="3" eb="5">
      <t>ブブン</t>
    </rPh>
    <rPh sb="10" eb="12">
      <t>トウジョウ</t>
    </rPh>
    <rPh sb="18" eb="19">
      <t>メイ</t>
    </rPh>
    <rPh sb="20" eb="22">
      <t>キサイ</t>
    </rPh>
    <phoneticPr fontId="2"/>
  </si>
  <si>
    <t>例は以下の通り（JBSで導入するシステム外のものは「外部システム」で統一）</t>
    <rPh sb="0" eb="1">
      <t>レイ</t>
    </rPh>
    <rPh sb="2" eb="4">
      <t>イカ</t>
    </rPh>
    <rPh sb="5" eb="6">
      <t>トオ</t>
    </rPh>
    <rPh sb="12" eb="14">
      <t>ドウニュウ</t>
    </rPh>
    <rPh sb="20" eb="21">
      <t>ガイ</t>
    </rPh>
    <rPh sb="26" eb="28">
      <t>ガイブ</t>
    </rPh>
    <rPh sb="34" eb="36">
      <t>トウイツ</t>
    </rPh>
    <phoneticPr fontId="2"/>
  </si>
  <si>
    <t>FO</t>
    <phoneticPr fontId="2"/>
  </si>
  <si>
    <t>CE</t>
    <phoneticPr fontId="2"/>
  </si>
  <si>
    <t>外部システム</t>
    <rPh sb="0" eb="2">
      <t>ガイブ</t>
    </rPh>
    <phoneticPr fontId="2"/>
  </si>
  <si>
    <t>説明</t>
    <rPh sb="0" eb="2">
      <t>セツメイ</t>
    </rPh>
    <phoneticPr fontId="2"/>
  </si>
  <si>
    <t>フロー内容を説明する列</t>
    <rPh sb="3" eb="5">
      <t>ナイヨウ</t>
    </rPh>
    <rPh sb="6" eb="8">
      <t>セツメイ</t>
    </rPh>
    <rPh sb="10" eb="11">
      <t>レツ</t>
    </rPh>
    <phoneticPr fontId="2"/>
  </si>
  <si>
    <t>Gap
（Add-On）</t>
    <phoneticPr fontId="2"/>
  </si>
  <si>
    <t>フローに対してのGapを記載する列</t>
    <rPh sb="4" eb="5">
      <t>タイ</t>
    </rPh>
    <rPh sb="12" eb="14">
      <t>キサイ</t>
    </rPh>
    <rPh sb="16" eb="17">
      <t>レツ</t>
    </rPh>
    <phoneticPr fontId="2"/>
  </si>
  <si>
    <t>１．パターン１</t>
    <phoneticPr fontId="2"/>
  </si>
  <si>
    <t>フローのパターンごとに記載する</t>
    <rPh sb="11" eb="13">
      <t>キサイ</t>
    </rPh>
    <phoneticPr fontId="2"/>
  </si>
  <si>
    <t>仕入先</t>
    <rPh sb="0" eb="2">
      <t>シイレ</t>
    </rPh>
    <rPh sb="2" eb="3">
      <t>サキ</t>
    </rPh>
    <phoneticPr fontId="2"/>
  </si>
  <si>
    <t>各工場、購買</t>
    <rPh sb="0" eb="3">
      <t>カクコウジョウ</t>
    </rPh>
    <rPh sb="4" eb="6">
      <t>コウバイ</t>
    </rPh>
    <phoneticPr fontId="2"/>
  </si>
  <si>
    <t>各部門</t>
    <rPh sb="0" eb="3">
      <t>カクブモン</t>
    </rPh>
    <phoneticPr fontId="2"/>
  </si>
  <si>
    <t>事務管理</t>
    <rPh sb="0" eb="4">
      <t>ジムカンリ</t>
    </rPh>
    <phoneticPr fontId="2"/>
  </si>
  <si>
    <t>総務</t>
    <rPh sb="0" eb="2">
      <t>ソウム</t>
    </rPh>
    <phoneticPr fontId="2"/>
  </si>
  <si>
    <t>物流企画</t>
    <rPh sb="0" eb="4">
      <t>ブツリュウキカク</t>
    </rPh>
    <phoneticPr fontId="2"/>
  </si>
  <si>
    <t>サンスター
担当部署・
担当者</t>
  </si>
  <si>
    <t>サンスターコメント
(現状との違い、補足、その他気になること)</t>
    <rPh sb="11" eb="13">
      <t>ゲンジョウ</t>
    </rPh>
    <rPh sb="15" eb="16">
      <t>チガ</t>
    </rPh>
    <rPh sb="18" eb="20">
      <t>ホソク</t>
    </rPh>
    <rPh sb="23" eb="24">
      <t>タ</t>
    </rPh>
    <rPh sb="24" eb="25">
      <t>キ</t>
    </rPh>
    <phoneticPr fontId="2"/>
  </si>
  <si>
    <t>１．仕入計上・請求処理</t>
    <rPh sb="2" eb="4">
      <t>シイレ</t>
    </rPh>
    <rPh sb="4" eb="6">
      <t>ケイジョウ</t>
    </rPh>
    <rPh sb="7" eb="9">
      <t>セイキュウ</t>
    </rPh>
    <rPh sb="9" eb="11">
      <t>ショリ</t>
    </rPh>
    <phoneticPr fontId="2"/>
  </si>
  <si>
    <t>1．請求書の送付</t>
    <rPh sb="2" eb="5">
      <t>セイキュウショ</t>
    </rPh>
    <rPh sb="6" eb="8">
      <t>ソウフ</t>
    </rPh>
    <phoneticPr fontId="2"/>
  </si>
  <si>
    <t>仕入先が請求書の送付を行う。</t>
    <rPh sb="0" eb="3">
      <t>シイレサキ</t>
    </rPh>
    <rPh sb="4" eb="7">
      <t>セイキュウショ</t>
    </rPh>
    <rPh sb="8" eb="10">
      <t>ソウフ</t>
    </rPh>
    <rPh sb="11" eb="12">
      <t>オコナ</t>
    </rPh>
    <phoneticPr fontId="2"/>
  </si>
  <si>
    <t>BtoBプラットフォーム(電子請求書)有り。</t>
  </si>
  <si>
    <t>会計システムへ伝送する。</t>
  </si>
  <si>
    <t>2．請求書受領</t>
    <rPh sb="2" eb="5">
      <t>セイキュウショ</t>
    </rPh>
    <rPh sb="5" eb="7">
      <t>ジュリョウ</t>
    </rPh>
    <phoneticPr fontId="2"/>
  </si>
  <si>
    <t>仕入先から請求書を受領する。</t>
    <rPh sb="0" eb="2">
      <t>シイレ</t>
    </rPh>
    <rPh sb="2" eb="3">
      <t>サキ</t>
    </rPh>
    <rPh sb="5" eb="8">
      <t>セイキュウショ</t>
    </rPh>
    <rPh sb="9" eb="11">
      <t>ジュリョウ</t>
    </rPh>
    <phoneticPr fontId="2"/>
  </si>
  <si>
    <t>3．仕入計上</t>
    <rPh sb="2" eb="4">
      <t>シイレ</t>
    </rPh>
    <rPh sb="4" eb="6">
      <t>ケイジョウ</t>
    </rPh>
    <phoneticPr fontId="2"/>
  </si>
  <si>
    <t>仕入計上システム：
MCF、AS400、楽楽精算、BtoB、広告費システム、販売管理システム、EDIL
＜仕訳例＞
仕入／買掛金
費用／未払金
固定資産／未払金（設備）
販促費／未払金（販促費）
販促費／未払金（リベート他）
システム、伝票種別により、データ項目「伝票タイプ」「支払日」が設定されている
MCF、AS400、BtoB、広告費は翌月20日固定</t>
    <phoneticPr fontId="2"/>
  </si>
  <si>
    <t>各担当部署・担当者が該当システムに</t>
    <rPh sb="0" eb="5">
      <t>カクタントウブショ</t>
    </rPh>
    <rPh sb="6" eb="9">
      <t>タントウシャ</t>
    </rPh>
    <rPh sb="10" eb="12">
      <t>ガイトウ</t>
    </rPh>
    <phoneticPr fontId="2"/>
  </si>
  <si>
    <t xml:space="preserve">MCF
AS400
各工場、購買
楽楽精算
BtoB
各部門
広告費
事務管理
販売管理システム
総務
EDIL
物流企画
</t>
    <phoneticPr fontId="2"/>
  </si>
  <si>
    <t>仕入計上をする。</t>
  </si>
  <si>
    <t>以下の会計転記が行われる。</t>
    <phoneticPr fontId="2"/>
  </si>
  <si>
    <t>【仕訳例】</t>
    <rPh sb="1" eb="3">
      <t>シワケ</t>
    </rPh>
    <rPh sb="3" eb="4">
      <t>レイ</t>
    </rPh>
    <phoneticPr fontId="2"/>
  </si>
  <si>
    <t>仕入</t>
    <rPh sb="0" eb="2">
      <t>シイ</t>
    </rPh>
    <phoneticPr fontId="2"/>
  </si>
  <si>
    <t>買掛金</t>
    <rPh sb="0" eb="3">
      <t>カイカケキン</t>
    </rPh>
    <phoneticPr fontId="2"/>
  </si>
  <si>
    <t>費用</t>
    <rPh sb="0" eb="2">
      <t>ヒヨウ</t>
    </rPh>
    <phoneticPr fontId="2"/>
  </si>
  <si>
    <t>未払金</t>
    <rPh sb="0" eb="3">
      <t>ミバライキン</t>
    </rPh>
    <phoneticPr fontId="2"/>
  </si>
  <si>
    <t>固定資産</t>
    <rPh sb="0" eb="4">
      <t>コテイシサン</t>
    </rPh>
    <phoneticPr fontId="2"/>
  </si>
  <si>
    <t>未払金（設備）</t>
    <rPh sb="0" eb="2">
      <t>ミバライ</t>
    </rPh>
    <rPh sb="2" eb="3">
      <t>キン</t>
    </rPh>
    <rPh sb="4" eb="6">
      <t>セツビ</t>
    </rPh>
    <phoneticPr fontId="2"/>
  </si>
  <si>
    <t>販促費</t>
    <rPh sb="0" eb="3">
      <t>ハンソクヒ</t>
    </rPh>
    <phoneticPr fontId="2"/>
  </si>
  <si>
    <t>未払金（販促費）</t>
    <rPh sb="0" eb="2">
      <t>ミバライ</t>
    </rPh>
    <rPh sb="2" eb="3">
      <t>キン</t>
    </rPh>
    <rPh sb="4" eb="7">
      <t>ハンソクヒ</t>
    </rPh>
    <phoneticPr fontId="2"/>
  </si>
  <si>
    <t>未払金（リベート他）</t>
    <rPh sb="0" eb="2">
      <t>ミバライ</t>
    </rPh>
    <rPh sb="2" eb="3">
      <t>キン</t>
    </rPh>
    <rPh sb="8" eb="9">
      <t>タ</t>
    </rPh>
    <phoneticPr fontId="2"/>
  </si>
  <si>
    <t>※</t>
    <phoneticPr fontId="2"/>
  </si>
  <si>
    <t>連携される債務データは以下。</t>
    <rPh sb="0" eb="2">
      <t>レンケイ</t>
    </rPh>
    <rPh sb="5" eb="7">
      <t>サイム</t>
    </rPh>
    <rPh sb="11" eb="13">
      <t>イカ</t>
    </rPh>
    <phoneticPr fontId="2"/>
  </si>
  <si>
    <t>mcframe,SEJホスト</t>
    <phoneticPr fontId="2"/>
  </si>
  <si>
    <t>-</t>
    <phoneticPr fontId="2"/>
  </si>
  <si>
    <t>資材購買、商品購買</t>
    <rPh sb="0" eb="4">
      <t>シザイコウバイ</t>
    </rPh>
    <rPh sb="5" eb="9">
      <t>ショウヒンコウバイ</t>
    </rPh>
    <phoneticPr fontId="2"/>
  </si>
  <si>
    <t>楽楽精算</t>
    <rPh sb="0" eb="4">
      <t>ラクラクセイサン</t>
    </rPh>
    <phoneticPr fontId="2"/>
  </si>
  <si>
    <t>経費支払</t>
    <rPh sb="0" eb="4">
      <t>ケイヒシハライ</t>
    </rPh>
    <phoneticPr fontId="2"/>
  </si>
  <si>
    <t>BtoBプラットフォーム</t>
    <phoneticPr fontId="2"/>
  </si>
  <si>
    <t>広告費システム</t>
    <rPh sb="0" eb="3">
      <t>コウコクヒ</t>
    </rPh>
    <phoneticPr fontId="2"/>
  </si>
  <si>
    <t>広告費支払</t>
    <rPh sb="0" eb="5">
      <t>コウコクヒシハライ</t>
    </rPh>
    <phoneticPr fontId="2"/>
  </si>
  <si>
    <t>EDIL</t>
    <phoneticPr fontId="2"/>
  </si>
  <si>
    <t>物流費会社間請求</t>
    <rPh sb="0" eb="5">
      <t>ブツリュウヒカイシャ</t>
    </rPh>
    <rPh sb="5" eb="8">
      <t>カンセイキュウ</t>
    </rPh>
    <phoneticPr fontId="2"/>
  </si>
  <si>
    <t>SLJ販売管理</t>
    <rPh sb="3" eb="7">
      <t>ハンバイカンリ</t>
    </rPh>
    <phoneticPr fontId="2"/>
  </si>
  <si>
    <t>印刷費会社間請求</t>
    <rPh sb="0" eb="8">
      <t>インサツヒカイシャカンセイキュウ</t>
    </rPh>
    <phoneticPr fontId="2"/>
  </si>
  <si>
    <t>Company</t>
    <phoneticPr fontId="2"/>
  </si>
  <si>
    <t>給与</t>
    <rPh sb="0" eb="2">
      <t>キュウヨ</t>
    </rPh>
    <phoneticPr fontId="2"/>
  </si>
  <si>
    <t>mcframe、SEJホストは、納品書を工場で保管。</t>
    <rPh sb="16" eb="19">
      <t>ノウヒンショ</t>
    </rPh>
    <rPh sb="20" eb="22">
      <t>コウジョウ</t>
    </rPh>
    <rPh sb="23" eb="25">
      <t>ホカン</t>
    </rPh>
    <phoneticPr fontId="2"/>
  </si>
  <si>
    <t>楽楽精算、BtoBプラットフォーム上に、請求書を</t>
    <rPh sb="0" eb="4">
      <t>ラクラクセイサン</t>
    </rPh>
    <rPh sb="17" eb="18">
      <t>ジョウ</t>
    </rPh>
    <rPh sb="20" eb="23">
      <t>セイキュウショ</t>
    </rPh>
    <phoneticPr fontId="2"/>
  </si>
  <si>
    <t>保存、経理が確認を行う。</t>
    <rPh sb="0" eb="2">
      <t>ホゾン</t>
    </rPh>
    <rPh sb="3" eb="5">
      <t>ケイリ</t>
    </rPh>
    <rPh sb="6" eb="8">
      <t>カクニン</t>
    </rPh>
    <rPh sb="9" eb="10">
      <t>オコナ</t>
    </rPh>
    <phoneticPr fontId="2"/>
  </si>
  <si>
    <t>SLJ販売管理は、BtoBプラットフォームを使用し、</t>
    <rPh sb="3" eb="7">
      <t>ハンバイカンリ</t>
    </rPh>
    <rPh sb="22" eb="24">
      <t>シヨウ</t>
    </rPh>
    <phoneticPr fontId="2"/>
  </si>
  <si>
    <t>総務から経理が請求書を受領する。</t>
    <rPh sb="0" eb="2">
      <t>ソウム</t>
    </rPh>
    <rPh sb="4" eb="6">
      <t>ケイリ</t>
    </rPh>
    <rPh sb="7" eb="10">
      <t>セイキュウショ</t>
    </rPh>
    <rPh sb="11" eb="13">
      <t>ジュリョウ</t>
    </rPh>
    <phoneticPr fontId="2"/>
  </si>
  <si>
    <t>EDILは、物流計画から経理が請求書を受領する。</t>
    <rPh sb="6" eb="10">
      <t>ブツリュウケイカク</t>
    </rPh>
    <rPh sb="12" eb="14">
      <t>ケイリ</t>
    </rPh>
    <rPh sb="15" eb="18">
      <t>セイキュウショ</t>
    </rPh>
    <rPh sb="19" eb="21">
      <t>ジュリョウ</t>
    </rPh>
    <phoneticPr fontId="2"/>
  </si>
  <si>
    <t>IF機能の開発</t>
    <rPh sb="2" eb="4">
      <t>キノウ</t>
    </rPh>
    <rPh sb="5" eb="7">
      <t>カイハツ</t>
    </rPh>
    <phoneticPr fontId="2"/>
  </si>
  <si>
    <t>外部システムより、仕入実績データを取り込む</t>
    <rPh sb="0" eb="2">
      <t>ガイブ</t>
    </rPh>
    <rPh sb="9" eb="11">
      <t>シイ</t>
    </rPh>
    <rPh sb="11" eb="13">
      <t>ジッセキ</t>
    </rPh>
    <rPh sb="17" eb="18">
      <t>ト</t>
    </rPh>
    <rPh sb="19" eb="20">
      <t>コ</t>
    </rPh>
    <phoneticPr fontId="2"/>
  </si>
  <si>
    <t>システム、伝票種別により、データ項目</t>
  </si>
  <si>
    <t>「伝票タイプ」「支払日」が設定されている</t>
  </si>
  <si>
    <t>mcframe、AS400、BtoB、広告費は</t>
    <phoneticPr fontId="2"/>
  </si>
  <si>
    <t>翌月20日固定で連携</t>
    <rPh sb="8" eb="10">
      <t>レンケイ</t>
    </rPh>
    <phoneticPr fontId="2"/>
  </si>
  <si>
    <t>４．取消仕訳</t>
    <rPh sb="2" eb="6">
      <t>トリケシシワケ</t>
    </rPh>
    <phoneticPr fontId="2"/>
  </si>
  <si>
    <t>SEJホストで外貨支払を行う場合、</t>
    <rPh sb="7" eb="9">
      <t>ガイカ</t>
    </rPh>
    <rPh sb="9" eb="11">
      <t>シハライ</t>
    </rPh>
    <rPh sb="12" eb="13">
      <t>オコナ</t>
    </rPh>
    <rPh sb="14" eb="16">
      <t>バアイ</t>
    </rPh>
    <phoneticPr fontId="2"/>
  </si>
  <si>
    <t>SEJで入力された円貨で登録された</t>
    <rPh sb="4" eb="6">
      <t>ニュウリョク</t>
    </rPh>
    <rPh sb="9" eb="11">
      <t>エンカ</t>
    </rPh>
    <rPh sb="12" eb="14">
      <t>トウロク</t>
    </rPh>
    <phoneticPr fontId="2"/>
  </si>
  <si>
    <t>債務データの取消仕訳を登録する。</t>
    <rPh sb="0" eb="2">
      <t>サイム</t>
    </rPh>
    <rPh sb="6" eb="10">
      <t>トリケシシワケ</t>
    </rPh>
    <rPh sb="11" eb="13">
      <t>トウロク</t>
    </rPh>
    <phoneticPr fontId="2"/>
  </si>
  <si>
    <t>５．修正仕訳</t>
    <rPh sb="2" eb="4">
      <t>シュウセイ</t>
    </rPh>
    <rPh sb="4" eb="6">
      <t>シワケ</t>
    </rPh>
    <phoneticPr fontId="2"/>
  </si>
  <si>
    <t>外貨で債務データの修正仕訳の登録を行う。</t>
    <rPh sb="0" eb="2">
      <t>ガイカ</t>
    </rPh>
    <rPh sb="3" eb="5">
      <t>サイム</t>
    </rPh>
    <rPh sb="9" eb="13">
      <t>シュウセイシワケ</t>
    </rPh>
    <rPh sb="14" eb="16">
      <t>トウロク</t>
    </rPh>
    <rPh sb="17" eb="18">
      <t>オコナ</t>
    </rPh>
    <phoneticPr fontId="2"/>
  </si>
  <si>
    <t>事務管理G</t>
    <rPh sb="0" eb="4">
      <t>ジムカンリ</t>
    </rPh>
    <phoneticPr fontId="2"/>
  </si>
  <si>
    <t>ITDX</t>
    <phoneticPr fontId="2"/>
  </si>
  <si>
    <t>１．前払（計上）</t>
    <rPh sb="2" eb="4">
      <t>マエバラ</t>
    </rPh>
    <rPh sb="5" eb="7">
      <t>ケイジョウ</t>
    </rPh>
    <phoneticPr fontId="2"/>
  </si>
  <si>
    <t>事務管理</t>
  </si>
  <si>
    <t>１．前払登録</t>
    <rPh sb="2" eb="4">
      <t>マエバライ</t>
    </rPh>
    <rPh sb="4" eb="6">
      <t>トウロク</t>
    </rPh>
    <phoneticPr fontId="2"/>
  </si>
  <si>
    <t>事務管理Gは、楽楽精算、BtoBプラットフォームにて</t>
    <rPh sb="0" eb="4">
      <t>ジムカンリ</t>
    </rPh>
    <rPh sb="7" eb="11">
      <t>ラクラクセイサン</t>
    </rPh>
    <phoneticPr fontId="2"/>
  </si>
  <si>
    <t>前払の仕訳と計上する。</t>
    <rPh sb="0" eb="2">
      <t>マエバライ</t>
    </rPh>
    <rPh sb="3" eb="5">
      <t>シワケ</t>
    </rPh>
    <rPh sb="6" eb="8">
      <t>ケイジョウ</t>
    </rPh>
    <phoneticPr fontId="2"/>
  </si>
  <si>
    <t>前払</t>
    <rPh sb="0" eb="2">
      <t>マエバライ</t>
    </rPh>
    <phoneticPr fontId="2"/>
  </si>
  <si>
    <t>※前払は楽楽精算、BtoBで「前払／未払金」の仕訳を計上し、通常の支払処理に入れる。
費用発生月に「費用／前払」の振替処理を行う</t>
  </si>
  <si>
    <t>２．前払（費用発生時）</t>
    <phoneticPr fontId="2"/>
  </si>
  <si>
    <t>１．前払振替登録・申請</t>
    <rPh sb="2" eb="4">
      <t>マエバライ</t>
    </rPh>
    <rPh sb="4" eb="6">
      <t>フリカエ</t>
    </rPh>
    <rPh sb="6" eb="8">
      <t>トウロク</t>
    </rPh>
    <rPh sb="9" eb="11">
      <t>シンセイ</t>
    </rPh>
    <phoneticPr fontId="2"/>
  </si>
  <si>
    <t>事務管理Gは、一般仕訳帳にて</t>
    <rPh sb="0" eb="4">
      <t>ジムカンリ</t>
    </rPh>
    <rPh sb="7" eb="12">
      <t>イッパンシワケチョウ</t>
    </rPh>
    <phoneticPr fontId="2"/>
  </si>
  <si>
    <t>前払の振替仕訳を登録・申請する。</t>
    <rPh sb="0" eb="2">
      <t>マエバライ</t>
    </rPh>
    <rPh sb="3" eb="5">
      <t>フリカエ</t>
    </rPh>
    <rPh sb="5" eb="7">
      <t>シワケ</t>
    </rPh>
    <rPh sb="8" eb="10">
      <t>トウロク</t>
    </rPh>
    <rPh sb="11" eb="13">
      <t>シンセイ</t>
    </rPh>
    <phoneticPr fontId="2"/>
  </si>
  <si>
    <t>２．前払振替承認</t>
    <rPh sb="2" eb="4">
      <t>マエバライ</t>
    </rPh>
    <rPh sb="4" eb="6">
      <t>フリカエ</t>
    </rPh>
    <rPh sb="6" eb="8">
      <t>ショウニン</t>
    </rPh>
    <phoneticPr fontId="2"/>
  </si>
  <si>
    <t>承認者は、一般仕訳帳にて</t>
    <rPh sb="0" eb="3">
      <t>ショウニンシャ</t>
    </rPh>
    <rPh sb="5" eb="10">
      <t>イッパンシワケチョウ</t>
    </rPh>
    <phoneticPr fontId="2"/>
  </si>
  <si>
    <t>前払の振替仕訳の承認を行う。</t>
    <rPh sb="0" eb="2">
      <t>マエバライ</t>
    </rPh>
    <rPh sb="3" eb="5">
      <t>フリカエ</t>
    </rPh>
    <rPh sb="5" eb="7">
      <t>シワケ</t>
    </rPh>
    <rPh sb="8" eb="10">
      <t>ショウニン</t>
    </rPh>
    <rPh sb="11" eb="12">
      <t>オコナ</t>
    </rPh>
    <phoneticPr fontId="2"/>
  </si>
  <si>
    <t>前払</t>
    <rPh sb="0" eb="2">
      <t>マエバラ</t>
    </rPh>
    <phoneticPr fontId="2"/>
  </si>
  <si>
    <t>３．自動転記バッチ</t>
    <rPh sb="2" eb="6">
      <t>ジドウテンキ</t>
    </rPh>
    <phoneticPr fontId="2"/>
  </si>
  <si>
    <t>スケジュールされたバッチ処置により</t>
    <rPh sb="12" eb="14">
      <t>ショチ</t>
    </rPh>
    <phoneticPr fontId="2"/>
  </si>
  <si>
    <t>承認済仕訳帳が自動転記処理される</t>
    <rPh sb="0" eb="3">
      <t>ショウニンズ</t>
    </rPh>
    <rPh sb="3" eb="5">
      <t>シワケ</t>
    </rPh>
    <rPh sb="5" eb="6">
      <t>チョウ</t>
    </rPh>
    <rPh sb="7" eb="9">
      <t>ジドウ</t>
    </rPh>
    <rPh sb="9" eb="11">
      <t>テンキ</t>
    </rPh>
    <rPh sb="11" eb="13">
      <t>ショリ</t>
    </rPh>
    <phoneticPr fontId="2"/>
  </si>
  <si>
    <t>各部署</t>
    <rPh sb="0" eb="1">
      <t>カク</t>
    </rPh>
    <rPh sb="1" eb="3">
      <t>ブショ</t>
    </rPh>
    <phoneticPr fontId="2"/>
  </si>
  <si>
    <t>１．個別精算</t>
    <rPh sb="2" eb="4">
      <t>コベツ</t>
    </rPh>
    <rPh sb="4" eb="6">
      <t>セイサン</t>
    </rPh>
    <phoneticPr fontId="2"/>
  </si>
  <si>
    <t>１．精算内容入力</t>
    <rPh sb="2" eb="4">
      <t>セイサン</t>
    </rPh>
    <rPh sb="4" eb="6">
      <t>ナイヨウ</t>
    </rPh>
    <rPh sb="6" eb="8">
      <t>ニュウリョク</t>
    </rPh>
    <phoneticPr fontId="2"/>
  </si>
  <si>
    <t>各部署の担当者が楽楽精算に精算内容の入力を行う。</t>
    <rPh sb="0" eb="3">
      <t>カクブショ</t>
    </rPh>
    <rPh sb="4" eb="7">
      <t>タントウシャ</t>
    </rPh>
    <rPh sb="8" eb="10">
      <t>ラクラク</t>
    </rPh>
    <rPh sb="10" eb="12">
      <t>セイサン</t>
    </rPh>
    <rPh sb="21" eb="22">
      <t>オコナ</t>
    </rPh>
    <phoneticPr fontId="2"/>
  </si>
  <si>
    <t>（社員経費の場合）</t>
    <rPh sb="1" eb="5">
      <t>シャインケイヒ</t>
    </rPh>
    <rPh sb="6" eb="8">
      <t>バアイ</t>
    </rPh>
    <phoneticPr fontId="2"/>
  </si>
  <si>
    <t>未払金（社員経費）</t>
  </si>
  <si>
    <t>交際費</t>
    <rPh sb="0" eb="3">
      <t>コウサイヒ</t>
    </rPh>
    <phoneticPr fontId="2"/>
  </si>
  <si>
    <t>（仮払金申請-振込の場合）</t>
    <rPh sb="1" eb="3">
      <t>カリバラ</t>
    </rPh>
    <rPh sb="3" eb="4">
      <t>キン</t>
    </rPh>
    <rPh sb="4" eb="6">
      <t>シンセイ</t>
    </rPh>
    <rPh sb="7" eb="8">
      <t>フ</t>
    </rPh>
    <rPh sb="8" eb="9">
      <t>コ</t>
    </rPh>
    <rPh sb="10" eb="12">
      <t>バアイ</t>
    </rPh>
    <phoneticPr fontId="2"/>
  </si>
  <si>
    <t>仮払金（社員経費）</t>
  </si>
  <si>
    <t>（仮払金申請-現金の場合）</t>
    <rPh sb="1" eb="3">
      <t>カリバラ</t>
    </rPh>
    <rPh sb="3" eb="4">
      <t>キン</t>
    </rPh>
    <rPh sb="4" eb="6">
      <t>シンセイ</t>
    </rPh>
    <rPh sb="7" eb="9">
      <t>ゲンキン</t>
    </rPh>
    <rPh sb="10" eb="12">
      <t>バアイ</t>
    </rPh>
    <phoneticPr fontId="2"/>
  </si>
  <si>
    <t>現金</t>
    <rPh sb="0" eb="2">
      <t>ゲンキン</t>
    </rPh>
    <phoneticPr fontId="2"/>
  </si>
  <si>
    <t>仮払金申請後の精算仕訳</t>
    <rPh sb="0" eb="3">
      <t>カリバライキン</t>
    </rPh>
    <rPh sb="3" eb="5">
      <t>シンセイ</t>
    </rPh>
    <rPh sb="5" eb="6">
      <t>ゴ</t>
    </rPh>
    <rPh sb="7" eb="9">
      <t>セイサン</t>
    </rPh>
    <rPh sb="9" eb="11">
      <t>シワケ</t>
    </rPh>
    <phoneticPr fontId="2"/>
  </si>
  <si>
    <t>仮払金（社員経費）</t>
    <rPh sb="0" eb="3">
      <t>カリバライキン</t>
    </rPh>
    <rPh sb="4" eb="8">
      <t>シャインケイヒ</t>
    </rPh>
    <phoneticPr fontId="2"/>
  </si>
  <si>
    <t>事務管理
（深川）</t>
  </si>
  <si>
    <t xml:space="preserve">＜楽楽精算からの連携仕訳＞
費用／未払金（社員経費）
社員の口座への振込は、SAPでファイル作成し、銀行システムにアップロードしています
</t>
    <phoneticPr fontId="2"/>
  </si>
  <si>
    <t>２．従業員別債務残高確認</t>
    <phoneticPr fontId="2"/>
  </si>
  <si>
    <t>事務管理Gが財務分析コードを仕入先を指定し、</t>
    <rPh sb="0" eb="2">
      <t>ジム</t>
    </rPh>
    <rPh sb="2" eb="4">
      <t>カンリ</t>
    </rPh>
    <rPh sb="6" eb="8">
      <t>ザイム</t>
    </rPh>
    <rPh sb="14" eb="17">
      <t>シイレサキ</t>
    </rPh>
    <rPh sb="18" eb="20">
      <t>シテイ</t>
    </rPh>
    <phoneticPr fontId="2"/>
  </si>
  <si>
    <t>試算表を出力し、従業員別の債務残高を</t>
    <rPh sb="0" eb="3">
      <t>シサンヒョウ</t>
    </rPh>
    <rPh sb="4" eb="6">
      <t>シュツリョク</t>
    </rPh>
    <rPh sb="8" eb="12">
      <t>ジュウギョウインベツ</t>
    </rPh>
    <rPh sb="13" eb="17">
      <t>サイムザンダカ</t>
    </rPh>
    <phoneticPr fontId="2"/>
  </si>
  <si>
    <t>確認する。</t>
    <rPh sb="0" eb="2">
      <t>カクニン</t>
    </rPh>
    <phoneticPr fontId="2"/>
  </si>
  <si>
    <t>事務管理
（山口）</t>
  </si>
  <si>
    <t>経費精算、交際費精算とは別で仮払金申請</t>
  </si>
  <si>
    <t>があります。</t>
  </si>
  <si>
    <t>１．支払予定修正</t>
    <phoneticPr fontId="2"/>
  </si>
  <si>
    <t>１．支払基準日の変更</t>
  </si>
  <si>
    <t>事務管理Gは仕入先トランザクション</t>
    <rPh sb="0" eb="4">
      <t>ジムカンリ</t>
    </rPh>
    <rPh sb="6" eb="9">
      <t>シイレサキ</t>
    </rPh>
    <phoneticPr fontId="2"/>
  </si>
  <si>
    <t>一括更新機能</t>
    <rPh sb="0" eb="2">
      <t>イッカツ</t>
    </rPh>
    <rPh sb="2" eb="4">
      <t>コウシン</t>
    </rPh>
    <rPh sb="4" eb="6">
      <t>キノウ</t>
    </rPh>
    <phoneticPr fontId="2"/>
  </si>
  <si>
    <t>（トランザクションの決済）画面にて、</t>
    <rPh sb="10" eb="12">
      <t>ケッサイ</t>
    </rPh>
    <phoneticPr fontId="2"/>
  </si>
  <si>
    <t>⇒Add-Onなし</t>
    <phoneticPr fontId="2"/>
  </si>
  <si>
    <t>支払基準日の修正を行う。</t>
    <rPh sb="2" eb="4">
      <t>キジュン</t>
    </rPh>
    <phoneticPr fontId="2"/>
  </si>
  <si>
    <t>洗替処理で計算された支払日を変更することは</t>
    <rPh sb="0" eb="4">
      <t>アライガエショリ</t>
    </rPh>
    <rPh sb="5" eb="7">
      <t>ケイサン</t>
    </rPh>
    <rPh sb="10" eb="13">
      <t>シハライビ</t>
    </rPh>
    <rPh sb="14" eb="16">
      <t>ヘンコウ</t>
    </rPh>
    <phoneticPr fontId="2"/>
  </si>
  <si>
    <t>ない。</t>
    <phoneticPr fontId="2"/>
  </si>
  <si>
    <t>支払方法・支払サイト更新バッチの</t>
    <rPh sb="0" eb="4">
      <t>シハライホウホウ</t>
    </rPh>
    <rPh sb="5" eb="7">
      <t>シハライ</t>
    </rPh>
    <rPh sb="10" eb="12">
      <t>コウシン</t>
    </rPh>
    <phoneticPr fontId="2"/>
  </si>
  <si>
    <t>再実行時は以下項目をバッチ実施前の状態に戻すこと。</t>
    <rPh sb="0" eb="4">
      <t>サイジッコウジ</t>
    </rPh>
    <rPh sb="5" eb="9">
      <t>イカコウモク</t>
    </rPh>
    <rPh sb="13" eb="16">
      <t>ジッシマエ</t>
    </rPh>
    <rPh sb="17" eb="19">
      <t>ジョウタイ</t>
    </rPh>
    <rPh sb="20" eb="21">
      <t>モド</t>
    </rPh>
    <phoneticPr fontId="2"/>
  </si>
  <si>
    <t>・</t>
    <phoneticPr fontId="2"/>
  </si>
  <si>
    <t>期日</t>
    <rPh sb="0" eb="2">
      <t>キジツ</t>
    </rPh>
    <phoneticPr fontId="2"/>
  </si>
  <si>
    <t>支払方法・支払サイト更新フラグ</t>
    <rPh sb="0" eb="4">
      <t>シハライホウホウ</t>
    </rPh>
    <rPh sb="5" eb="7">
      <t>シハライ</t>
    </rPh>
    <rPh sb="10" eb="12">
      <t>コウシン</t>
    </rPh>
    <phoneticPr fontId="2"/>
  </si>
  <si>
    <t>支払サイト</t>
    <rPh sb="0" eb="2">
      <t>シハライ</t>
    </rPh>
    <phoneticPr fontId="2"/>
  </si>
  <si>
    <t>２．支払保留</t>
  </si>
  <si>
    <t>１．支払保留</t>
    <rPh sb="2" eb="4">
      <t>シハライ</t>
    </rPh>
    <rPh sb="4" eb="6">
      <t>ホリュウ</t>
    </rPh>
    <phoneticPr fontId="2"/>
  </si>
  <si>
    <t>事務管理Gは仕入先トランザクション画面にて、</t>
    <rPh sb="0" eb="4">
      <t>ジムカンリ</t>
    </rPh>
    <rPh sb="6" eb="9">
      <t>シイレサキ</t>
    </rPh>
    <rPh sb="17" eb="19">
      <t>ガメン</t>
    </rPh>
    <phoneticPr fontId="2"/>
  </si>
  <si>
    <t>「請求書支払リリース日」の更新し、支払保留を行う。</t>
    <rPh sb="1" eb="4">
      <t>セイキュウショ</t>
    </rPh>
    <rPh sb="4" eb="6">
      <t>シハライ</t>
    </rPh>
    <rPh sb="10" eb="11">
      <t>ビ</t>
    </rPh>
    <rPh sb="13" eb="15">
      <t>コウシン</t>
    </rPh>
    <rPh sb="19" eb="21">
      <t>ホリュウ</t>
    </rPh>
    <phoneticPr fontId="2"/>
  </si>
  <si>
    <t>基本、洗替処理前に保留を実施。</t>
    <rPh sb="0" eb="2">
      <t>キホン</t>
    </rPh>
    <rPh sb="3" eb="5">
      <t>アライガエ</t>
    </rPh>
    <rPh sb="5" eb="7">
      <t>ショリ</t>
    </rPh>
    <rPh sb="7" eb="8">
      <t>マエ</t>
    </rPh>
    <rPh sb="9" eb="11">
      <t>ホリュウ</t>
    </rPh>
    <rPh sb="12" eb="14">
      <t>ジッシ</t>
    </rPh>
    <phoneticPr fontId="2"/>
  </si>
  <si>
    <t>計上誤り等で洗替処理後に保留する場合もある。</t>
    <rPh sb="0" eb="3">
      <t>ケイジョウアヤマ</t>
    </rPh>
    <rPh sb="4" eb="5">
      <t>トウ</t>
    </rPh>
    <rPh sb="6" eb="8">
      <t>アライガエ</t>
    </rPh>
    <rPh sb="8" eb="11">
      <t>ショリゴ</t>
    </rPh>
    <rPh sb="12" eb="14">
      <t>ホリュウ</t>
    </rPh>
    <rPh sb="16" eb="18">
      <t>バアイ</t>
    </rPh>
    <phoneticPr fontId="2"/>
  </si>
  <si>
    <t>仕入先トランザクション</t>
    <phoneticPr fontId="2"/>
  </si>
  <si>
    <t>（トランザクションの決済）画面でも可</t>
  </si>
  <si>
    <t>３．支払保留解除</t>
    <rPh sb="4" eb="6">
      <t>ホリュウ</t>
    </rPh>
    <rPh sb="6" eb="8">
      <t>カイジョ</t>
    </rPh>
    <phoneticPr fontId="2"/>
  </si>
  <si>
    <t>１．支払保留解除</t>
    <rPh sb="2" eb="4">
      <t>シハライ</t>
    </rPh>
    <rPh sb="4" eb="6">
      <t>ホリュウ</t>
    </rPh>
    <rPh sb="6" eb="8">
      <t>カイジョ</t>
    </rPh>
    <phoneticPr fontId="2"/>
  </si>
  <si>
    <t>「支払基準日」の更新する。</t>
    <rPh sb="1" eb="6">
      <t>シハライキジュンビ</t>
    </rPh>
    <rPh sb="8" eb="10">
      <t>コウシン</t>
    </rPh>
    <phoneticPr fontId="2"/>
  </si>
  <si>
    <t>「請求書支払リリース日」を空欄に更新する。</t>
    <rPh sb="1" eb="6">
      <t>セイキュウショシハライ</t>
    </rPh>
    <rPh sb="10" eb="11">
      <t>ビ</t>
    </rPh>
    <rPh sb="13" eb="15">
      <t>クウラン</t>
    </rPh>
    <rPh sb="16" eb="18">
      <t>コウシン</t>
    </rPh>
    <phoneticPr fontId="2"/>
  </si>
  <si>
    <t>本作業は、支払方法・支払サイト更新バッチ</t>
    <rPh sb="0" eb="3">
      <t>ホンサギョウ</t>
    </rPh>
    <rPh sb="5" eb="9">
      <t>シハライホウホウ</t>
    </rPh>
    <rPh sb="10" eb="12">
      <t>シハライ</t>
    </rPh>
    <rPh sb="15" eb="17">
      <t>コウシン</t>
    </rPh>
    <phoneticPr fontId="2"/>
  </si>
  <si>
    <t>処理前に完了すること。</t>
    <rPh sb="0" eb="2">
      <t>ショリ</t>
    </rPh>
    <rPh sb="2" eb="3">
      <t>マエ</t>
    </rPh>
    <rPh sb="4" eb="6">
      <t>カンリョウ</t>
    </rPh>
    <phoneticPr fontId="2"/>
  </si>
  <si>
    <t>カスタマーサービスG</t>
    <phoneticPr fontId="2"/>
  </si>
  <si>
    <t>１．相殺処理（滋賀ホスト）</t>
    <rPh sb="2" eb="6">
      <t>ソウサイショリ</t>
    </rPh>
    <rPh sb="7" eb="9">
      <t>シガ</t>
    </rPh>
    <phoneticPr fontId="2"/>
  </si>
  <si>
    <t>１．預かり売掛金振替処理（滋賀ホスト）</t>
    <rPh sb="2" eb="3">
      <t>アズ</t>
    </rPh>
    <rPh sb="5" eb="8">
      <t>ウリカケキン</t>
    </rPh>
    <rPh sb="8" eb="10">
      <t>フリカエ</t>
    </rPh>
    <rPh sb="10" eb="12">
      <t>ショリ</t>
    </rPh>
    <rPh sb="13" eb="15">
      <t>シガ</t>
    </rPh>
    <phoneticPr fontId="2"/>
  </si>
  <si>
    <t>SEJ滋賀工場がSEJホストで相殺対象の</t>
  </si>
  <si>
    <t>滋賀ホスト分の売掛金を預かり売掛金に振替を行う。</t>
    <rPh sb="0" eb="2">
      <t>シガ</t>
    </rPh>
    <rPh sb="5" eb="6">
      <t>ブン</t>
    </rPh>
    <rPh sb="7" eb="10">
      <t>ウリカケキン</t>
    </rPh>
    <rPh sb="11" eb="12">
      <t>アズ</t>
    </rPh>
    <rPh sb="14" eb="17">
      <t>ウリカケキン</t>
    </rPh>
    <rPh sb="18" eb="20">
      <t>フリカエ</t>
    </rPh>
    <rPh sb="21" eb="22">
      <t>オコナ</t>
    </rPh>
    <phoneticPr fontId="2"/>
  </si>
  <si>
    <t>預かり売掛金</t>
    <rPh sb="0" eb="1">
      <t>アズ</t>
    </rPh>
    <rPh sb="3" eb="6">
      <t>ウリカケキン</t>
    </rPh>
    <phoneticPr fontId="2"/>
  </si>
  <si>
    <t>売掛金</t>
    <rPh sb="0" eb="3">
      <t>ウリカケキン</t>
    </rPh>
    <phoneticPr fontId="2"/>
  </si>
  <si>
    <t>２．相殺依頼（滋賀ホスト）</t>
    <rPh sb="2" eb="6">
      <t>ソウサイイライ</t>
    </rPh>
    <rPh sb="7" eb="9">
      <t>シガ</t>
    </rPh>
    <phoneticPr fontId="2"/>
  </si>
  <si>
    <t>SEJ滋賀工場が事務管理Gに相殺依頼の</t>
  </si>
  <si>
    <t>連絡を行う。</t>
  </si>
  <si>
    <t>３．相殺依頼内容確認（滋賀ホスト）</t>
    <rPh sb="2" eb="6">
      <t>ソウサイイライ</t>
    </rPh>
    <rPh sb="6" eb="8">
      <t>ナイヨウ</t>
    </rPh>
    <rPh sb="8" eb="10">
      <t>カクニン</t>
    </rPh>
    <rPh sb="11" eb="13">
      <t>シガ</t>
    </rPh>
    <phoneticPr fontId="2"/>
  </si>
  <si>
    <t>事務管理Gに受領した相殺依頼内容の確認を行う。</t>
    <rPh sb="0" eb="2">
      <t>ジム</t>
    </rPh>
    <rPh sb="2" eb="4">
      <t>カンリ</t>
    </rPh>
    <rPh sb="6" eb="8">
      <t>ジュリョウ</t>
    </rPh>
    <rPh sb="10" eb="12">
      <t>ソウサイ</t>
    </rPh>
    <rPh sb="12" eb="14">
      <t>イライ</t>
    </rPh>
    <rPh sb="14" eb="16">
      <t>ナイヨウ</t>
    </rPh>
    <rPh sb="17" eb="19">
      <t>カクニン</t>
    </rPh>
    <rPh sb="20" eb="21">
      <t>オコナ</t>
    </rPh>
    <phoneticPr fontId="2"/>
  </si>
  <si>
    <t>４．買掛金残高確認（滋賀ホスト）</t>
    <rPh sb="2" eb="5">
      <t>カイカケキン</t>
    </rPh>
    <rPh sb="5" eb="7">
      <t>ザンダカ</t>
    </rPh>
    <rPh sb="7" eb="9">
      <t>カクニン</t>
    </rPh>
    <rPh sb="10" eb="12">
      <t>シガ</t>
    </rPh>
    <phoneticPr fontId="2"/>
  </si>
  <si>
    <t>事務管理Gに対象の仕入先の残高の確認を行う。</t>
    <rPh sb="0" eb="2">
      <t>ジム</t>
    </rPh>
    <rPh sb="2" eb="4">
      <t>カンリ</t>
    </rPh>
    <rPh sb="6" eb="8">
      <t>タイショウ</t>
    </rPh>
    <rPh sb="9" eb="12">
      <t>シイレサキ</t>
    </rPh>
    <rPh sb="13" eb="15">
      <t>ザンダカ</t>
    </rPh>
    <rPh sb="16" eb="18">
      <t>カクニン</t>
    </rPh>
    <rPh sb="19" eb="20">
      <t>オコナ</t>
    </rPh>
    <phoneticPr fontId="2"/>
  </si>
  <si>
    <t>￥</t>
    <phoneticPr fontId="2"/>
  </si>
  <si>
    <t>５．預かり売掛金相殺登録（滋賀ホスト）</t>
    <rPh sb="2" eb="3">
      <t>アズ</t>
    </rPh>
    <rPh sb="5" eb="8">
      <t>ウリカケキン</t>
    </rPh>
    <rPh sb="8" eb="10">
      <t>ソウサイ</t>
    </rPh>
    <rPh sb="10" eb="12">
      <t>トウロク</t>
    </rPh>
    <rPh sb="13" eb="15">
      <t>シガ</t>
    </rPh>
    <phoneticPr fontId="2"/>
  </si>
  <si>
    <t>事務管理Gが仕入先支払仕訳帳にて、買掛金と</t>
    <rPh sb="0" eb="4">
      <t>ジムカンリ</t>
    </rPh>
    <rPh sb="6" eb="9">
      <t>シイレサキ</t>
    </rPh>
    <rPh sb="9" eb="11">
      <t>シハライ</t>
    </rPh>
    <rPh sb="11" eb="14">
      <t>シワケチョウ</t>
    </rPh>
    <rPh sb="17" eb="20">
      <t>カイカケキン</t>
    </rPh>
    <phoneticPr fontId="2"/>
  </si>
  <si>
    <t>預かり売掛金の相殺仕訳の登録を行う。</t>
    <rPh sb="0" eb="1">
      <t>アズ</t>
    </rPh>
    <rPh sb="3" eb="6">
      <t>ウリカケキン</t>
    </rPh>
    <rPh sb="7" eb="9">
      <t>ソウサイ</t>
    </rPh>
    <rPh sb="9" eb="11">
      <t>シワケ</t>
    </rPh>
    <rPh sb="12" eb="14">
      <t>トウロク</t>
    </rPh>
    <rPh sb="15" eb="16">
      <t>オコナ</t>
    </rPh>
    <phoneticPr fontId="2"/>
  </si>
  <si>
    <t>債務データは「トランザクションの決済」で選択し、</t>
    <rPh sb="0" eb="2">
      <t>サイム</t>
    </rPh>
    <rPh sb="16" eb="18">
      <t>ケッサイ</t>
    </rPh>
    <rPh sb="20" eb="22">
      <t>センタク</t>
    </rPh>
    <phoneticPr fontId="2"/>
  </si>
  <si>
    <t>相手勘定は預かり売掛金を設定する。</t>
    <rPh sb="12" eb="14">
      <t>セッテイ</t>
    </rPh>
    <phoneticPr fontId="2"/>
  </si>
  <si>
    <t>６．預かり売掛金相殺承認（滋賀ホスト）</t>
    <rPh sb="2" eb="3">
      <t>アズ</t>
    </rPh>
    <rPh sb="5" eb="8">
      <t>ウリカケキン</t>
    </rPh>
    <rPh sb="8" eb="10">
      <t>ソウサイ</t>
    </rPh>
    <rPh sb="10" eb="12">
      <t>ショウニン</t>
    </rPh>
    <rPh sb="13" eb="15">
      <t>シガ</t>
    </rPh>
    <phoneticPr fontId="2"/>
  </si>
  <si>
    <t>預かり売掛金の相殺仕訳の承認を行う。</t>
    <rPh sb="0" eb="1">
      <t>アズ</t>
    </rPh>
    <rPh sb="3" eb="6">
      <t>ウリカケキン</t>
    </rPh>
    <rPh sb="7" eb="9">
      <t>ソウサイ</t>
    </rPh>
    <rPh sb="9" eb="11">
      <t>シワケ</t>
    </rPh>
    <rPh sb="12" eb="14">
      <t>ショウニン</t>
    </rPh>
    <rPh sb="15" eb="16">
      <t>オコナ</t>
    </rPh>
    <phoneticPr fontId="2"/>
  </si>
  <si>
    <t>７．転記</t>
    <rPh sb="2" eb="4">
      <t>テンキ</t>
    </rPh>
    <phoneticPr fontId="2"/>
  </si>
  <si>
    <t>承認後、担当者は仕入先支払仕訳帳で、</t>
    <rPh sb="0" eb="3">
      <t>ショウニンゴ</t>
    </rPh>
    <rPh sb="4" eb="7">
      <t>タントウシャ</t>
    </rPh>
    <rPh sb="8" eb="16">
      <t>シイレサキシハライシワケチョウ</t>
    </rPh>
    <phoneticPr fontId="2"/>
  </si>
  <si>
    <t>転記を実施する。</t>
    <rPh sb="0" eb="2">
      <t>テンキ</t>
    </rPh>
    <rPh sb="3" eb="5">
      <t>ジッシ</t>
    </rPh>
    <phoneticPr fontId="2"/>
  </si>
  <si>
    <t>藤田</t>
  </si>
  <si>
    <t>８，操作完了連絡は行いませんので、削除をお願いします</t>
  </si>
  <si>
    <t>２．支払前</t>
    <phoneticPr fontId="2"/>
  </si>
  <si>
    <t>支払処理の種類　５種類行っております。
処理日、集計内容がそれぞれ異なります。
・規定払（翌月20日払)
・規定外支払（10日20日25日末日)
・リベート支払(10日20日末日)
・販促費支払（10日20日末日)
・外国送金（10日20日25日末日)
&lt;仕入先コード&gt;
21から始まる7桁　SSJ
22から始まる7桁　SEJ
23から始まる7桁　SLJ
&lt;得意先コード&gt;
11から始まる７桁～8桁</t>
    <phoneticPr fontId="2"/>
  </si>
  <si>
    <t>※支払は内容が多岐に渡</t>
  </si>
  <si>
    <t>るため、現状との違いを</t>
  </si>
  <si>
    <t>書ききれません。</t>
  </si>
  <si>
    <t>別途フローを提出いたします。</t>
  </si>
  <si>
    <t>事務管理
（安東）</t>
  </si>
  <si>
    <t>楽楽精算、BtoB上で請求書保存・経理チェックは完了している。
MCF、AS400は納品書を工場で保管。販売管理システムはBtoBで総務から経理が請求書を受領。EDILはPDFで物流企画から経理が受領。</t>
    <phoneticPr fontId="2"/>
  </si>
  <si>
    <t>１．預かり売掛金振替処理（SEJ）</t>
    <rPh sb="2" eb="3">
      <t>アズ</t>
    </rPh>
    <rPh sb="5" eb="8">
      <t>ウリカケキン</t>
    </rPh>
    <rPh sb="8" eb="12">
      <t>フリカエショリ</t>
    </rPh>
    <phoneticPr fontId="2"/>
  </si>
  <si>
    <t>カスタマーサービスGがSEJホストで相殺対象の</t>
    <rPh sb="18" eb="22">
      <t>ソウサイタイショウ</t>
    </rPh>
    <phoneticPr fontId="2"/>
  </si>
  <si>
    <t>売掛金を預かり売掛金に振替を行う。</t>
    <rPh sb="0" eb="3">
      <t>ウリカケキン</t>
    </rPh>
    <rPh sb="4" eb="5">
      <t>アズ</t>
    </rPh>
    <rPh sb="7" eb="10">
      <t>ウリカケキン</t>
    </rPh>
    <rPh sb="11" eb="13">
      <t>フリカエ</t>
    </rPh>
    <rPh sb="14" eb="15">
      <t>オコナ</t>
    </rPh>
    <phoneticPr fontId="2"/>
  </si>
  <si>
    <t>２．相殺依頼（SEJ）</t>
    <rPh sb="2" eb="6">
      <t>ソウサイイライ</t>
    </rPh>
    <phoneticPr fontId="2"/>
  </si>
  <si>
    <t>カスタマーサービスGが事務管理Gに相殺依頼の</t>
    <rPh sb="11" eb="13">
      <t>ジム</t>
    </rPh>
    <rPh sb="13" eb="15">
      <t>カンリ</t>
    </rPh>
    <rPh sb="17" eb="19">
      <t>ソウサイ</t>
    </rPh>
    <rPh sb="19" eb="21">
      <t>イライ</t>
    </rPh>
    <phoneticPr fontId="2"/>
  </si>
  <si>
    <t>３．相殺依頼内容確認（SEJ）</t>
    <rPh sb="2" eb="6">
      <t>ソウサイイライ</t>
    </rPh>
    <rPh sb="6" eb="8">
      <t>ナイヨウ</t>
    </rPh>
    <rPh sb="8" eb="10">
      <t>カクニン</t>
    </rPh>
    <phoneticPr fontId="2"/>
  </si>
  <si>
    <t>４．預かり売掛金相殺処理（SEJ）</t>
    <rPh sb="2" eb="3">
      <t>アズ</t>
    </rPh>
    <rPh sb="5" eb="8">
      <t>ウリカケキン</t>
    </rPh>
    <rPh sb="8" eb="12">
      <t>ソウサイショリ</t>
    </rPh>
    <phoneticPr fontId="2"/>
  </si>
  <si>
    <t>預かり売掛金の相殺を行う。</t>
    <rPh sb="0" eb="1">
      <t>アズ</t>
    </rPh>
    <rPh sb="3" eb="6">
      <t>ウリカケキン</t>
    </rPh>
    <rPh sb="7" eb="9">
      <t>ソウサイ</t>
    </rPh>
    <rPh sb="10" eb="11">
      <t>オコナ</t>
    </rPh>
    <phoneticPr fontId="2"/>
  </si>
  <si>
    <t>５．預かり売掛金相殺承認（SEJ）</t>
    <rPh sb="2" eb="3">
      <t>アズ</t>
    </rPh>
    <rPh sb="5" eb="8">
      <t>ウリカケキン</t>
    </rPh>
    <rPh sb="8" eb="10">
      <t>ソウサイ</t>
    </rPh>
    <rPh sb="10" eb="12">
      <t>ショウニン</t>
    </rPh>
    <phoneticPr fontId="2"/>
  </si>
  <si>
    <t>６．自動転記バッチ</t>
    <rPh sb="2" eb="6">
      <t>ジドウテンキ</t>
    </rPh>
    <phoneticPr fontId="2"/>
  </si>
  <si>
    <t>７．相殺完了連絡受領（SEJ）</t>
    <rPh sb="2" eb="4">
      <t>ソウサイ</t>
    </rPh>
    <rPh sb="4" eb="6">
      <t>カンリョウ</t>
    </rPh>
    <rPh sb="6" eb="8">
      <t>レンラク</t>
    </rPh>
    <rPh sb="8" eb="10">
      <t>ジュリョウ</t>
    </rPh>
    <phoneticPr fontId="2"/>
  </si>
  <si>
    <t>カスタマーサービスGは、事務管理Gから相殺処理の</t>
    <rPh sb="12" eb="14">
      <t>ジム</t>
    </rPh>
    <rPh sb="14" eb="16">
      <t>カンリ</t>
    </rPh>
    <rPh sb="19" eb="21">
      <t>ソウサイ</t>
    </rPh>
    <rPh sb="21" eb="23">
      <t>ショリ</t>
    </rPh>
    <phoneticPr fontId="2"/>
  </si>
  <si>
    <t>完了連絡を受領する。</t>
    <rPh sb="0" eb="4">
      <t>カンリョウレンラク</t>
    </rPh>
    <rPh sb="5" eb="7">
      <t>ジュリョウ</t>
    </rPh>
    <phoneticPr fontId="2"/>
  </si>
  <si>
    <t>８．未収入金相殺処理</t>
    <rPh sb="2" eb="6">
      <t>ミシュウニュウキン</t>
    </rPh>
    <rPh sb="6" eb="10">
      <t>ソウサイショリ</t>
    </rPh>
    <phoneticPr fontId="2"/>
  </si>
  <si>
    <t>事務管理Gは、未収入金の相殺処理を行う。</t>
    <rPh sb="0" eb="4">
      <t>ジムカンリ</t>
    </rPh>
    <rPh sb="7" eb="11">
      <t>ミシュウニュウキン</t>
    </rPh>
    <rPh sb="12" eb="16">
      <t>ソウサイショリ</t>
    </rPh>
    <rPh sb="17" eb="18">
      <t>オコナ</t>
    </rPh>
    <phoneticPr fontId="2"/>
  </si>
  <si>
    <t>未収入金</t>
    <rPh sb="0" eb="4">
      <t>ミシュウニュウキン</t>
    </rPh>
    <phoneticPr fontId="2"/>
  </si>
  <si>
    <t>９．支払方法確定処理</t>
    <rPh sb="2" eb="10">
      <t>シハライホウホウカクテイショリ</t>
    </rPh>
    <phoneticPr fontId="2"/>
  </si>
  <si>
    <t>自動化。Gap</t>
    <rPh sb="0" eb="3">
      <t>ジドウカ</t>
    </rPh>
    <phoneticPr fontId="2"/>
  </si>
  <si>
    <t>事務管理
（藤田、深川）</t>
  </si>
  <si>
    <t>現在は支払合計金額のみが確認できる。
FOでは仕入先、支払方法別残高リストが確認可能でしょうか？
イメージとしては、仕入先ごとに「今月の支払金額」「買掛金と未払金の内訳」「支払方法」が画面上で確認できるとありがたいです。</t>
  </si>
  <si>
    <t>事務管理Gが支払方法・支払サイト更新バッチを</t>
    <rPh sb="0" eb="4">
      <t>ジムカンリ</t>
    </rPh>
    <rPh sb="6" eb="10">
      <t>シハライホウホウ</t>
    </rPh>
    <rPh sb="11" eb="13">
      <t>シハライ</t>
    </rPh>
    <rPh sb="16" eb="18">
      <t>コウシン</t>
    </rPh>
    <phoneticPr fontId="2"/>
  </si>
  <si>
    <t>実行し、支払方法・支払日の確定を行う。</t>
    <rPh sb="0" eb="2">
      <t>ジッコウ</t>
    </rPh>
    <rPh sb="4" eb="8">
      <t>シハライホウホウ</t>
    </rPh>
    <rPh sb="9" eb="12">
      <t>シハライビ</t>
    </rPh>
    <rPh sb="13" eb="15">
      <t>カクテイ</t>
    </rPh>
    <rPh sb="16" eb="17">
      <t>オコナ</t>
    </rPh>
    <phoneticPr fontId="2"/>
  </si>
  <si>
    <t>支払元銀行について</t>
    <rPh sb="0" eb="3">
      <t>シハライモト</t>
    </rPh>
    <rPh sb="3" eb="5">
      <t>ギンコウ</t>
    </rPh>
    <phoneticPr fontId="2"/>
  </si>
  <si>
    <t>総合振込・当座支払</t>
    <rPh sb="0" eb="4">
      <t>ソウゴウフリコミ</t>
    </rPh>
    <rPh sb="5" eb="9">
      <t>トウザシハライ</t>
    </rPh>
    <phoneticPr fontId="2"/>
  </si>
  <si>
    <t>⇒三菱東京UFJ銀行</t>
    <rPh sb="1" eb="3">
      <t>ミツビシ</t>
    </rPh>
    <rPh sb="3" eb="5">
      <t>トウキョウ</t>
    </rPh>
    <rPh sb="8" eb="10">
      <t>ギンコウ</t>
    </rPh>
    <phoneticPr fontId="2"/>
  </si>
  <si>
    <t>販促費、リベート支払</t>
    <rPh sb="0" eb="3">
      <t>ハンソクヒ</t>
    </rPh>
    <rPh sb="8" eb="10">
      <t>シハライ</t>
    </rPh>
    <phoneticPr fontId="2"/>
  </si>
  <si>
    <t>⇒みずほ銀行</t>
    <rPh sb="4" eb="6">
      <t>ギンコウ</t>
    </rPh>
    <phoneticPr fontId="2"/>
  </si>
  <si>
    <t>期日振込</t>
    <rPh sb="0" eb="4">
      <t>キジツフリコミ</t>
    </rPh>
    <phoneticPr fontId="2"/>
  </si>
  <si>
    <t>⇒三井住友銀行</t>
    <rPh sb="1" eb="5">
      <t>ミツイスミトモ</t>
    </rPh>
    <rPh sb="5" eb="7">
      <t>ギンコウ</t>
    </rPh>
    <phoneticPr fontId="2"/>
  </si>
  <si>
    <t>STARLECSからの</t>
    <phoneticPr fontId="2"/>
  </si>
  <si>
    <t>⇒静岡銀行</t>
    <rPh sb="1" eb="3">
      <t>シズオカ</t>
    </rPh>
    <rPh sb="3" eb="5">
      <t>ギンコウ</t>
    </rPh>
    <phoneticPr fontId="2"/>
  </si>
  <si>
    <r>
      <rPr>
        <sz val="10"/>
        <color rgb="FFFF0000"/>
        <rFont val="Meiryo UI"/>
        <family val="3"/>
        <charset val="128"/>
      </rPr>
      <t>鈴与</t>
    </r>
    <r>
      <rPr>
        <sz val="10"/>
        <color rgb="FF000000"/>
        <rFont val="Meiryo UI"/>
        <family val="3"/>
        <charset val="128"/>
      </rPr>
      <t>への振込</t>
    </r>
  </si>
  <si>
    <t>支払合計金額が</t>
    <rPh sb="0" eb="6">
      <t>シハライゴウケイキンガク</t>
    </rPh>
    <phoneticPr fontId="2"/>
  </si>
  <si>
    <t>SSJ　50万未満</t>
    <rPh sb="7" eb="9">
      <t>ミマン</t>
    </rPh>
    <phoneticPr fontId="2"/>
  </si>
  <si>
    <r>
      <rPr>
        <sz val="10"/>
        <color rgb="FF000000"/>
        <rFont val="Meiryo UI"/>
        <family val="3"/>
        <charset val="128"/>
      </rPr>
      <t>SEJ</t>
    </r>
    <r>
      <rPr>
        <sz val="10"/>
        <color rgb="FFFF0000"/>
        <rFont val="Meiryo UI"/>
        <family val="3"/>
        <charset val="128"/>
      </rPr>
      <t>　10.1</t>
    </r>
    <r>
      <rPr>
        <sz val="10"/>
        <color rgb="FF000000"/>
        <rFont val="Meiryo UI"/>
        <family val="3"/>
        <charset val="128"/>
      </rPr>
      <t>万未満</t>
    </r>
  </si>
  <si>
    <t>全額振込</t>
    <rPh sb="0" eb="4">
      <t>ゼンガクフリコミ</t>
    </rPh>
    <phoneticPr fontId="2"/>
  </si>
  <si>
    <t>SSJ　50万以上</t>
    <rPh sb="7" eb="9">
      <t>イジョウ</t>
    </rPh>
    <phoneticPr fontId="2"/>
  </si>
  <si>
    <t>SEJ　10.1万以上</t>
  </si>
  <si>
    <t>１０．支払予定データ確認</t>
    <phoneticPr fontId="2"/>
  </si>
  <si>
    <t>事務管理GがFOの仕入先未処理トランザクション</t>
    <rPh sb="0" eb="2">
      <t>ジム</t>
    </rPh>
    <rPh sb="2" eb="4">
      <t>カンリ</t>
    </rPh>
    <rPh sb="9" eb="12">
      <t>シイレサキ</t>
    </rPh>
    <rPh sb="12" eb="15">
      <t>ミショリ</t>
    </rPh>
    <phoneticPr fontId="2"/>
  </si>
  <si>
    <t>レポート画面、および仕入先請求書トランザクション</t>
    <rPh sb="9" eb="15">
      <t>シイレサキセイキュウショ</t>
    </rPh>
    <phoneticPr fontId="2"/>
  </si>
  <si>
    <t>レポート画面より、支払予定データを確認する。</t>
    <rPh sb="4" eb="6">
      <t>ガメン</t>
    </rPh>
    <phoneticPr fontId="2"/>
  </si>
  <si>
    <t>仕入先未処理トランザクションレポート</t>
    <rPh sb="0" eb="6">
      <t>シイレサキミショリ</t>
    </rPh>
    <phoneticPr fontId="2"/>
  </si>
  <si>
    <r>
      <t>⇒仕入先別、</t>
    </r>
    <r>
      <rPr>
        <sz val="10"/>
        <color rgb="FFFF0000"/>
        <rFont val="Meiryo UI"/>
        <family val="3"/>
        <charset val="128"/>
      </rPr>
      <t>科目別</t>
    </r>
    <r>
      <rPr>
        <sz val="10"/>
        <rFont val="Meiryo UI"/>
        <family val="3"/>
        <charset val="128"/>
      </rPr>
      <t>で確認可能。</t>
    </r>
    <rPh sb="1" eb="4">
      <t>シイレサキ</t>
    </rPh>
    <rPh sb="4" eb="5">
      <t>ベツ</t>
    </rPh>
    <rPh sb="6" eb="9">
      <t>カモクベツ</t>
    </rPh>
    <rPh sb="10" eb="14">
      <t>カクニンカノウ</t>
    </rPh>
    <phoneticPr fontId="2"/>
  </si>
  <si>
    <t>仕入先請求書トランザクションレポート</t>
    <rPh sb="0" eb="3">
      <t>シイレサキ</t>
    </rPh>
    <rPh sb="3" eb="6">
      <t>セイキュウショ</t>
    </rPh>
    <phoneticPr fontId="2"/>
  </si>
  <si>
    <r>
      <t>⇒仕入先別、</t>
    </r>
    <r>
      <rPr>
        <sz val="10"/>
        <color rgb="FFFF0000"/>
        <rFont val="Meiryo UI"/>
        <family val="3"/>
        <charset val="128"/>
      </rPr>
      <t>支払方法別</t>
    </r>
    <r>
      <rPr>
        <sz val="10"/>
        <rFont val="Meiryo UI"/>
        <family val="3"/>
        <charset val="128"/>
      </rPr>
      <t>で確認可能。</t>
    </r>
    <rPh sb="1" eb="4">
      <t>シイレサキ</t>
    </rPh>
    <rPh sb="4" eb="5">
      <t>ベツ</t>
    </rPh>
    <rPh sb="6" eb="8">
      <t>シハライ</t>
    </rPh>
    <rPh sb="8" eb="10">
      <t>ホウホウ</t>
    </rPh>
    <rPh sb="10" eb="11">
      <t>ベツ</t>
    </rPh>
    <rPh sb="12" eb="16">
      <t>カクニンカノウ</t>
    </rPh>
    <phoneticPr fontId="2"/>
  </si>
  <si>
    <t>仕入先残高リストで、仕入先のマイナス残高を確認する。</t>
    <rPh sb="0" eb="3">
      <t>シイレサキ</t>
    </rPh>
    <rPh sb="3" eb="5">
      <t>ザンダカ</t>
    </rPh>
    <rPh sb="10" eb="13">
      <t>シイレサキ</t>
    </rPh>
    <rPh sb="18" eb="20">
      <t>ザンダカ</t>
    </rPh>
    <rPh sb="21" eb="23">
      <t>カクニン</t>
    </rPh>
    <phoneticPr fontId="2"/>
  </si>
  <si>
    <t>合計が＋（借方）になっているものを確認する。</t>
    <rPh sb="5" eb="7">
      <t>カリカタ</t>
    </rPh>
    <rPh sb="17" eb="19">
      <t>カクニン</t>
    </rPh>
    <phoneticPr fontId="2"/>
  </si>
  <si>
    <t>貸方は、ーで表示される。</t>
    <phoneticPr fontId="2"/>
  </si>
  <si>
    <t>１１．支払合計表/明細表確認・出力</t>
    <phoneticPr fontId="2"/>
  </si>
  <si>
    <t>帳票開発</t>
    <rPh sb="0" eb="2">
      <t>チョウヒョウ</t>
    </rPh>
    <rPh sb="2" eb="4">
      <t>カイハツ</t>
    </rPh>
    <phoneticPr fontId="2"/>
  </si>
  <si>
    <t>事務管理Gが支払合計表・</t>
    <rPh sb="0" eb="2">
      <t>ジム</t>
    </rPh>
    <rPh sb="2" eb="4">
      <t>カンリ</t>
    </rPh>
    <rPh sb="6" eb="8">
      <t>シハライ</t>
    </rPh>
    <rPh sb="8" eb="10">
      <t>ゴウケイ</t>
    </rPh>
    <rPh sb="10" eb="11">
      <t>ヒョウ</t>
    </rPh>
    <phoneticPr fontId="2"/>
  </si>
  <si>
    <t>仕入先トランザクション一覧・</t>
    <rPh sb="0" eb="3">
      <t>シイレサキ</t>
    </rPh>
    <rPh sb="11" eb="13">
      <t>イチラン</t>
    </rPh>
    <phoneticPr fontId="2"/>
  </si>
  <si>
    <t>債務残高明細にて、支払予定データ</t>
    <rPh sb="0" eb="2">
      <t>サイム</t>
    </rPh>
    <rPh sb="2" eb="4">
      <t>ザンダカ</t>
    </rPh>
    <rPh sb="4" eb="6">
      <t>メイサイ</t>
    </rPh>
    <rPh sb="9" eb="13">
      <t>シハライヨテイ</t>
    </rPh>
    <phoneticPr fontId="2"/>
  </si>
  <si>
    <t>を確認および出力を行う。</t>
    <rPh sb="1" eb="3">
      <t>カクニン</t>
    </rPh>
    <rPh sb="6" eb="8">
      <t>シュツリョク</t>
    </rPh>
    <rPh sb="9" eb="10">
      <t>オコナ</t>
    </rPh>
    <phoneticPr fontId="2"/>
  </si>
  <si>
    <t>５．支払前の９支払方法確定処理に、３経費精算が含まれていますが、経費精算は、全額振込、支払日は楽楽精算から連携されるため、支払方法の確定処理を行う必要はありませんが、経費精算はこの支払方法確定処理の対象に入っていましたでしょうか</t>
    <phoneticPr fontId="2"/>
  </si>
  <si>
    <t>事務管理
（藤田）</t>
  </si>
  <si>
    <t>１．支払（銀行振込、海外送金、小切手）</t>
    <phoneticPr fontId="2"/>
  </si>
  <si>
    <t>１．債務データの紐づけ</t>
    <rPh sb="2" eb="4">
      <t>サイム</t>
    </rPh>
    <rPh sb="8" eb="9">
      <t>ヒモ</t>
    </rPh>
    <phoneticPr fontId="2"/>
  </si>
  <si>
    <t>FOの仕入先支払仕訳帳画面にて仕訳帳を作成し、</t>
    <rPh sb="3" eb="6">
      <t>シイレサキ</t>
    </rPh>
    <rPh sb="6" eb="8">
      <t>シハライ</t>
    </rPh>
    <rPh sb="8" eb="11">
      <t>シワケチョウ</t>
    </rPh>
    <rPh sb="11" eb="13">
      <t>ガメン</t>
    </rPh>
    <rPh sb="15" eb="18">
      <t>シワケチョウ</t>
    </rPh>
    <rPh sb="19" eb="21">
      <t>サクセイ</t>
    </rPh>
    <phoneticPr fontId="2"/>
  </si>
  <si>
    <t>支払提案の機能から支払対象のデータを選択する</t>
    <rPh sb="0" eb="2">
      <t>シハライ</t>
    </rPh>
    <rPh sb="2" eb="4">
      <t>テイアン</t>
    </rPh>
    <rPh sb="5" eb="7">
      <t>キノウ</t>
    </rPh>
    <rPh sb="9" eb="11">
      <t>シハライ</t>
    </rPh>
    <rPh sb="11" eb="13">
      <t>タイショウ</t>
    </rPh>
    <rPh sb="18" eb="20">
      <t>センタク</t>
    </rPh>
    <phoneticPr fontId="2"/>
  </si>
  <si>
    <t>債務データの紐づけを後で実施する場合、</t>
    <rPh sb="0" eb="2">
      <t>サイム</t>
    </rPh>
    <rPh sb="6" eb="7">
      <t>ヒモ</t>
    </rPh>
    <rPh sb="10" eb="11">
      <t>アト</t>
    </rPh>
    <rPh sb="12" eb="14">
      <t>ジッシ</t>
    </rPh>
    <rPh sb="16" eb="18">
      <t>バアイ</t>
    </rPh>
    <phoneticPr fontId="2"/>
  </si>
  <si>
    <t xml:space="preserve">＜現状＞ファクタリング、電債、でんさい、期日振込
１．支払提案をして「支払日」「仕入先コード」「転記日付」「最終入力日」「支払方法」「支払元会社（108,191,817)」を設定、抽出
２．20日までのデータ（1月計上の場合、2月20日の転記日付のデータ）を抽出し、未決済のデータで支払対象の金額を確認。（20日を指定する理由：相殺のデータが20日で計上されている為）
３．50万円未満（SSJ）、10万円未満(SEJ）の仕入先を確認
４．１．ー２．＝３．の金額になっていたら差異がないので、支払処理を実行
（買掛金／銀行仮勘定の仕訳発生）
（電債とでんさいのみ、支払手形義務見返／電子記録債務　の仕訳も発生）
５．４で作成されたファイルを銀行システムにアップロード→上長承認
６．電債、ファクタリング、でんさいは期日到来日の仕訳をSAPで計上
</t>
    <phoneticPr fontId="2"/>
  </si>
  <si>
    <t>別途消込を行う。</t>
    <rPh sb="0" eb="4">
      <t>ベットケシコミ</t>
    </rPh>
    <rPh sb="5" eb="6">
      <t>オコナ</t>
    </rPh>
    <phoneticPr fontId="2"/>
  </si>
  <si>
    <t>２．支払承認申請</t>
    <rPh sb="2" eb="4">
      <t>シハライ</t>
    </rPh>
    <rPh sb="4" eb="6">
      <t>ショウニン</t>
    </rPh>
    <rPh sb="6" eb="8">
      <t>シンセイ</t>
    </rPh>
    <phoneticPr fontId="2"/>
  </si>
  <si>
    <t>事務管理G担当者が責任者に支払の承認を申請する。</t>
    <rPh sb="0" eb="2">
      <t>ジム</t>
    </rPh>
    <rPh sb="2" eb="4">
      <t>カンリ</t>
    </rPh>
    <rPh sb="5" eb="8">
      <t>タントウシャ</t>
    </rPh>
    <rPh sb="9" eb="12">
      <t>セキニンシャ</t>
    </rPh>
    <rPh sb="13" eb="15">
      <t>シハライ</t>
    </rPh>
    <rPh sb="16" eb="18">
      <t>ショウニン</t>
    </rPh>
    <rPh sb="19" eb="21">
      <t>シンセイ</t>
    </rPh>
    <phoneticPr fontId="2"/>
  </si>
  <si>
    <t>承認者にシステムとメール上で承認依頼通知がくる。</t>
    <rPh sb="0" eb="3">
      <t>ショウニンシャ</t>
    </rPh>
    <rPh sb="12" eb="13">
      <t>ジョウ</t>
    </rPh>
    <rPh sb="18" eb="20">
      <t>ツウチ</t>
    </rPh>
    <phoneticPr fontId="2"/>
  </si>
  <si>
    <t>３．支払の承認/変更依頼</t>
    <rPh sb="2" eb="4">
      <t>シハラ</t>
    </rPh>
    <rPh sb="5" eb="7">
      <t>ショウニン</t>
    </rPh>
    <rPh sb="8" eb="10">
      <t>ヘンコウ</t>
    </rPh>
    <rPh sb="10" eb="12">
      <t>イライ</t>
    </rPh>
    <phoneticPr fontId="2"/>
  </si>
  <si>
    <t>事務管理G責任者が該当する仕入先支払仕訳帳の内容を</t>
    <rPh sb="0" eb="4">
      <t>ジムカンリ</t>
    </rPh>
    <rPh sb="5" eb="8">
      <t>セキニンシャ</t>
    </rPh>
    <rPh sb="9" eb="11">
      <t>ガイトウ</t>
    </rPh>
    <rPh sb="13" eb="16">
      <t>シイレサキ</t>
    </rPh>
    <rPh sb="16" eb="18">
      <t>シハラ</t>
    </rPh>
    <rPh sb="18" eb="21">
      <t>シワケチョウ</t>
    </rPh>
    <rPh sb="22" eb="24">
      <t>ナイヨウ</t>
    </rPh>
    <phoneticPr fontId="2"/>
  </si>
  <si>
    <t>確認し、仕入先支払仕訳帳（承認）画面から、承認</t>
    <rPh sb="4" eb="6">
      <t>シイレ</t>
    </rPh>
    <rPh sb="6" eb="7">
      <t>サキ</t>
    </rPh>
    <rPh sb="7" eb="9">
      <t>シハライ</t>
    </rPh>
    <rPh sb="9" eb="12">
      <t>シワケチョウ</t>
    </rPh>
    <rPh sb="13" eb="15">
      <t>ショウニン</t>
    </rPh>
    <rPh sb="16" eb="18">
      <t>ガメン</t>
    </rPh>
    <rPh sb="21" eb="23">
      <t>ショウニン</t>
    </rPh>
    <phoneticPr fontId="2"/>
  </si>
  <si>
    <t>または変更依頼を行う。</t>
    <rPh sb="3" eb="7">
      <t>ヘンコウイライ</t>
    </rPh>
    <rPh sb="8" eb="9">
      <t>オコナ</t>
    </rPh>
    <phoneticPr fontId="2"/>
  </si>
  <si>
    <t>承認および変更依頼ともに申請者にシステムとメール上で</t>
    <rPh sb="0" eb="2">
      <t>ショウニン</t>
    </rPh>
    <rPh sb="5" eb="9">
      <t>ヘンコウイライ</t>
    </rPh>
    <rPh sb="12" eb="15">
      <t>シンセイシャ</t>
    </rPh>
    <rPh sb="24" eb="25">
      <t>ジョウ</t>
    </rPh>
    <phoneticPr fontId="2"/>
  </si>
  <si>
    <t>通知がくる。</t>
  </si>
  <si>
    <t>４．不備修正</t>
    <rPh sb="2" eb="4">
      <t>フビ</t>
    </rPh>
    <rPh sb="4" eb="6">
      <t>シュウセイ</t>
    </rPh>
    <phoneticPr fontId="2"/>
  </si>
  <si>
    <t xml:space="preserve">不備の修正は元の計上システムで取消・訂正の計上を行う。
MCF、AS400から計上する支払データは支払日が指定できない為、SAPの画面で「支払基準日」のみ変更するプロセスが発生
支払銀行について
　SSJ50万円未満、SEJ10万円未満の振込、支払方法が「全額振込」の支払は、三菱UFJ銀行当座預金から出金。
期日振込で50万円以上の振込は、三井住友銀行から出金
販促費支払（11から始まる仕入先コードの支払）の振込は、みずほ銀行から出金
海外送金は、仕入先ごとに出金する銀行が決定している
税の納付等、納付書で支払を行う場合は小切手を振り出し、銀行に持ち込み。仕訳は「未払金／当座預金」で振替伝票を起票
&lt;気になること&gt;
SAPでは支払処理前に支払金額を確認できかなかった為、下記確認を実施
・マイナス残高の確認
・振替伝票で支払の仕訳が入っていないか
支払処理後に出力される帳票必要
・ご拡売協力金
仕入先別、会社別、期間指定、貸方勘定科目（統制勘定）で抽出した一覧が画面で確認できるか？
・外部システム（BtoBや楽楽精算等）との連携頻度（現在は上記２システムは8時12時15時に連携）設定できるか
・支払方法別の仕入先残高を確認する方法はありますか？（決算明細で提出する為、Excelでの出力が望ましい）
・支払処理の過程で相殺を行う為、相殺のフローが必要です
・検収明細と実際の支払金額の差額調整を行っている為、検収明細金額の一覧が必要です
・支払後に手数料差し引き前、差し引き後の支払金額の一覧を作成しています。支払処理時に自動出力することは可能ですか？
</t>
    <phoneticPr fontId="2"/>
  </si>
  <si>
    <t>事務管理G担当者が変更依頼された仕入先支払仕訳帳の</t>
    <rPh sb="0" eb="2">
      <t>ジム</t>
    </rPh>
    <rPh sb="2" eb="4">
      <t>カンリ</t>
    </rPh>
    <rPh sb="5" eb="8">
      <t>タントウシャ</t>
    </rPh>
    <rPh sb="9" eb="13">
      <t>ヘンコウイライ</t>
    </rPh>
    <rPh sb="16" eb="19">
      <t>シイレサキ</t>
    </rPh>
    <rPh sb="19" eb="21">
      <t>シハラ</t>
    </rPh>
    <rPh sb="21" eb="24">
      <t>シワケチョウ</t>
    </rPh>
    <phoneticPr fontId="2"/>
  </si>
  <si>
    <t>内容を確認し、不備の内容を修正する。</t>
    <rPh sb="7" eb="9">
      <t>フビ</t>
    </rPh>
    <rPh sb="10" eb="12">
      <t>ナイヨウ</t>
    </rPh>
    <rPh sb="13" eb="15">
      <t>シュウセイ</t>
    </rPh>
    <phoneticPr fontId="2"/>
  </si>
  <si>
    <t>小切手は手動で行う。</t>
    <rPh sb="0" eb="3">
      <t>コギッテ</t>
    </rPh>
    <rPh sb="4" eb="6">
      <t>シュドウ</t>
    </rPh>
    <rPh sb="7" eb="8">
      <t>オコナ</t>
    </rPh>
    <phoneticPr fontId="2"/>
  </si>
  <si>
    <t>５．EBデータ出力</t>
  </si>
  <si>
    <t>承認された内容でEBデータを作成する</t>
    <rPh sb="0" eb="2">
      <t>ショウニン</t>
    </rPh>
    <rPh sb="5" eb="7">
      <t>ナイヨウ</t>
    </rPh>
    <rPh sb="14" eb="16">
      <t>サクセイ</t>
    </rPh>
    <phoneticPr fontId="2"/>
  </si>
  <si>
    <t>６．EBデータ取り込み</t>
    <rPh sb="7" eb="8">
      <t>ト</t>
    </rPh>
    <rPh sb="9" eb="10">
      <t>コ</t>
    </rPh>
    <phoneticPr fontId="2"/>
  </si>
  <si>
    <t>銀行システムにてEBデータの取り込みを実施する</t>
    <rPh sb="0" eb="2">
      <t>ギンコウ</t>
    </rPh>
    <rPh sb="14" eb="15">
      <t>ト</t>
    </rPh>
    <rPh sb="16" eb="17">
      <t>コ</t>
    </rPh>
    <rPh sb="19" eb="21">
      <t>ジッシ</t>
    </rPh>
    <phoneticPr fontId="2"/>
  </si>
  <si>
    <t>７．承認</t>
    <rPh sb="2" eb="4">
      <t>ショウニン</t>
    </rPh>
    <phoneticPr fontId="2"/>
  </si>
  <si>
    <t>事務管理G責任者は、銀行システムにて、</t>
  </si>
  <si>
    <t>確認・承認を行う。</t>
  </si>
  <si>
    <t>８．支払データ転記</t>
  </si>
  <si>
    <t>自動転記は開発が必要。</t>
    <rPh sb="0" eb="4">
      <t>ジドウテンキ</t>
    </rPh>
    <rPh sb="5" eb="7">
      <t>カイハツ</t>
    </rPh>
    <rPh sb="8" eb="10">
      <t>ヒツヨウ</t>
    </rPh>
    <phoneticPr fontId="2"/>
  </si>
  <si>
    <t>手順１で作成した仕訳帳を転記する。</t>
    <rPh sb="0" eb="2">
      <t>テジュン</t>
    </rPh>
    <rPh sb="4" eb="6">
      <t>サクセイ</t>
    </rPh>
    <rPh sb="8" eb="11">
      <t>シワケチョウ</t>
    </rPh>
    <rPh sb="12" eb="14">
      <t>テンキ</t>
    </rPh>
    <phoneticPr fontId="2"/>
  </si>
  <si>
    <t>各銀行の勘定</t>
    <rPh sb="0" eb="1">
      <t>カク</t>
    </rPh>
    <rPh sb="1" eb="3">
      <t>ギンコウ</t>
    </rPh>
    <rPh sb="4" eb="6">
      <t>カンジョウ</t>
    </rPh>
    <phoneticPr fontId="2"/>
  </si>
  <si>
    <t>未払金（設備）</t>
  </si>
  <si>
    <t>未払金（販促費）</t>
  </si>
  <si>
    <t>未払金（リベート他）</t>
  </si>
  <si>
    <t>９．帳票（支払案内書）出力</t>
    <rPh sb="5" eb="7">
      <t>シハライ</t>
    </rPh>
    <rPh sb="7" eb="10">
      <t>アンナイショ</t>
    </rPh>
    <phoneticPr fontId="2"/>
  </si>
  <si>
    <t>帳票開発。</t>
    <rPh sb="0" eb="4">
      <t>チョウヒョウカイハツ</t>
    </rPh>
    <phoneticPr fontId="2"/>
  </si>
  <si>
    <t>仕入先への振込の金額連絡のため、支払案内書を</t>
    <rPh sb="16" eb="18">
      <t>シハライ</t>
    </rPh>
    <rPh sb="18" eb="21">
      <t>アンナイショ</t>
    </rPh>
    <phoneticPr fontId="2"/>
  </si>
  <si>
    <t>発行・送付を行う。</t>
    <rPh sb="0" eb="2">
      <t>ハッコウ</t>
    </rPh>
    <rPh sb="3" eb="5">
      <t>ソウフ</t>
    </rPh>
    <rPh sb="6" eb="7">
      <t>オコナ</t>
    </rPh>
    <phoneticPr fontId="2"/>
  </si>
  <si>
    <t>【現行帳票】</t>
    <rPh sb="1" eb="5">
      <t>ゲンコウチョウヒョウ</t>
    </rPh>
    <phoneticPr fontId="2"/>
  </si>
  <si>
    <t>Rep160：支払案内書</t>
    <rPh sb="9" eb="12">
      <t>アンナイショ</t>
    </rPh>
    <phoneticPr fontId="2"/>
  </si>
  <si>
    <t>１０．決済内容の確認</t>
    <rPh sb="3" eb="7">
      <t>ケッサイナイヨウ</t>
    </rPh>
    <rPh sb="8" eb="10">
      <t>カクニン</t>
    </rPh>
    <phoneticPr fontId="2"/>
  </si>
  <si>
    <t>事務管理Gは、決済内容を確認する。</t>
    <rPh sb="0" eb="4">
      <t>ジムカンリ</t>
    </rPh>
    <rPh sb="7" eb="11">
      <t>ケッサイナイヨウ</t>
    </rPh>
    <rPh sb="12" eb="14">
      <t>カクニン</t>
    </rPh>
    <phoneticPr fontId="2"/>
  </si>
  <si>
    <t>Rep081：仕入先残高検索（決済明細）</t>
    <phoneticPr fontId="2"/>
  </si>
  <si>
    <t>2．為替差損益の調整仕訳登録</t>
    <rPh sb="2" eb="4">
      <t>カワセ</t>
    </rPh>
    <rPh sb="4" eb="6">
      <t>サソン</t>
    </rPh>
    <rPh sb="6" eb="7">
      <t>エキ</t>
    </rPh>
    <rPh sb="8" eb="10">
      <t>チョウセイ</t>
    </rPh>
    <rPh sb="10" eb="12">
      <t>シワケ</t>
    </rPh>
    <rPh sb="12" eb="14">
      <t>トウロク</t>
    </rPh>
    <phoneticPr fontId="2"/>
  </si>
  <si>
    <t>１．修正仕訳登録</t>
    <rPh sb="2" eb="6">
      <t>シュウセイシワケ</t>
    </rPh>
    <rPh sb="6" eb="8">
      <t>トウロク</t>
    </rPh>
    <phoneticPr fontId="2"/>
  </si>
  <si>
    <t>円口座から外貨で海外送金した場合の、</t>
    <rPh sb="0" eb="1">
      <t>エン</t>
    </rPh>
    <rPh sb="1" eb="3">
      <t>コウザ</t>
    </rPh>
    <rPh sb="5" eb="7">
      <t>ガイカ</t>
    </rPh>
    <rPh sb="8" eb="10">
      <t>カイガイ</t>
    </rPh>
    <rPh sb="10" eb="12">
      <t>ソウキン</t>
    </rPh>
    <rPh sb="14" eb="16">
      <t>バアイ</t>
    </rPh>
    <phoneticPr fontId="2"/>
  </si>
  <si>
    <t>調整仕訳の入力を行う。</t>
    <rPh sb="0" eb="4">
      <t>チョウセイシワケ</t>
    </rPh>
    <rPh sb="5" eb="7">
      <t>ニュウリョク</t>
    </rPh>
    <rPh sb="8" eb="9">
      <t>オコナ</t>
    </rPh>
    <phoneticPr fontId="2"/>
  </si>
  <si>
    <t>2．承認</t>
    <rPh sb="2" eb="4">
      <t>ショウニン</t>
    </rPh>
    <phoneticPr fontId="2"/>
  </si>
  <si>
    <t>責任者が該当する仕訳帳の内容を確認し、</t>
    <rPh sb="0" eb="3">
      <t>セキニンシャ</t>
    </rPh>
    <rPh sb="4" eb="6">
      <t>ガイトウ</t>
    </rPh>
    <rPh sb="8" eb="11">
      <t>シワケチョウ</t>
    </rPh>
    <rPh sb="12" eb="14">
      <t>ナイヨウ</t>
    </rPh>
    <phoneticPr fontId="2"/>
  </si>
  <si>
    <t>一般仕訳帳（承認）画面から、承認を行う。</t>
    <rPh sb="0" eb="2">
      <t>イッパン</t>
    </rPh>
    <rPh sb="2" eb="5">
      <t>シワケチョウ</t>
    </rPh>
    <rPh sb="6" eb="8">
      <t>ショウニン</t>
    </rPh>
    <rPh sb="9" eb="11">
      <t>ガメン</t>
    </rPh>
    <rPh sb="14" eb="16">
      <t>ショウニン</t>
    </rPh>
    <rPh sb="17" eb="18">
      <t>オコナ</t>
    </rPh>
    <phoneticPr fontId="2"/>
  </si>
  <si>
    <t>3．自動転記バッチ</t>
    <rPh sb="2" eb="6">
      <t>ジドウテンキ</t>
    </rPh>
    <phoneticPr fontId="2"/>
  </si>
  <si>
    <t>スケジュールされたバッチ処理により</t>
    <rPh sb="12" eb="14">
      <t>ショリ</t>
    </rPh>
    <phoneticPr fontId="2"/>
  </si>
  <si>
    <t>承認済の一般仕訳帳が自動転記処理される</t>
    <rPh sb="0" eb="3">
      <t>ショウニンスミ</t>
    </rPh>
    <rPh sb="4" eb="9">
      <t>イッパンシワケチョウ</t>
    </rPh>
    <rPh sb="10" eb="12">
      <t>ジドウ</t>
    </rPh>
    <rPh sb="12" eb="16">
      <t>テンキショリ</t>
    </rPh>
    <phoneticPr fontId="2"/>
  </si>
  <si>
    <t>3000USDを</t>
    <phoneticPr fontId="2"/>
  </si>
  <si>
    <t>レート：155.16 JPYで支払った場合</t>
    <phoneticPr fontId="2"/>
  </si>
  <si>
    <t>①実勢レート：155.00の場合</t>
    <rPh sb="1" eb="3">
      <t>ジッセイ</t>
    </rPh>
    <rPh sb="14" eb="16">
      <t>バアイ</t>
    </rPh>
    <phoneticPr fontId="2"/>
  </si>
  <si>
    <t>【仕訳例】（差益の場合）</t>
    <rPh sb="1" eb="3">
      <t>シワケ</t>
    </rPh>
    <rPh sb="3" eb="4">
      <t>レイ</t>
    </rPh>
    <rPh sb="6" eb="8">
      <t>サエキ</t>
    </rPh>
    <rPh sb="9" eb="11">
      <t>バアイ</t>
    </rPh>
    <phoneticPr fontId="2"/>
  </si>
  <si>
    <t>預金勘定（外貨）</t>
    <rPh sb="0" eb="4">
      <t>ヨキンカンジョウ</t>
    </rPh>
    <rPh sb="5" eb="7">
      <t>ガイカ</t>
    </rPh>
    <phoneticPr fontId="2"/>
  </si>
  <si>
    <t>預金勘定（JPY）</t>
    <rPh sb="0" eb="4">
      <t>ヨキンカンジョウ</t>
    </rPh>
    <phoneticPr fontId="2"/>
  </si>
  <si>
    <t>3000USD</t>
    <phoneticPr fontId="2"/>
  </si>
  <si>
    <t>465000JPY</t>
    <phoneticPr fontId="2"/>
  </si>
  <si>
    <t>為替差益</t>
    <rPh sb="0" eb="4">
      <t>カワセサエキ</t>
    </rPh>
    <phoneticPr fontId="2"/>
  </si>
  <si>
    <t>480JPY</t>
    <phoneticPr fontId="2"/>
  </si>
  <si>
    <t>②実勢レート：156.00の場合</t>
    <rPh sb="1" eb="3">
      <t>ジッセイ</t>
    </rPh>
    <rPh sb="14" eb="16">
      <t>バアイ</t>
    </rPh>
    <phoneticPr fontId="2"/>
  </si>
  <si>
    <t>【仕訳例】（差損の場合）</t>
    <rPh sb="1" eb="3">
      <t>シワケ</t>
    </rPh>
    <rPh sb="3" eb="4">
      <t>レイ</t>
    </rPh>
    <rPh sb="6" eb="8">
      <t>サソン</t>
    </rPh>
    <rPh sb="9" eb="11">
      <t>バアイ</t>
    </rPh>
    <phoneticPr fontId="2"/>
  </si>
  <si>
    <t>468000JPY</t>
    <phoneticPr fontId="2"/>
  </si>
  <si>
    <t>為替差損</t>
    <rPh sb="0" eb="2">
      <t>カワセ</t>
    </rPh>
    <rPh sb="2" eb="4">
      <t>サソン</t>
    </rPh>
    <phoneticPr fontId="2"/>
  </si>
  <si>
    <t>2520JPY</t>
    <phoneticPr fontId="2"/>
  </si>
  <si>
    <t>為替差損益の原価センタは以下を指定。</t>
    <rPh sb="0" eb="2">
      <t>カワセ</t>
    </rPh>
    <rPh sb="2" eb="5">
      <t>サソンエキ</t>
    </rPh>
    <rPh sb="6" eb="8">
      <t>ゲンカ</t>
    </rPh>
    <rPh sb="12" eb="14">
      <t>イカ</t>
    </rPh>
    <rPh sb="15" eb="17">
      <t>シテイ</t>
    </rPh>
    <phoneticPr fontId="2"/>
  </si>
  <si>
    <t>SSJ</t>
    <phoneticPr fontId="2"/>
  </si>
  <si>
    <t>C1081252</t>
  </si>
  <si>
    <t>SEJ</t>
    <phoneticPr fontId="2"/>
  </si>
  <si>
    <t>C1911082</t>
  </si>
  <si>
    <t>SLJ</t>
    <phoneticPr fontId="2"/>
  </si>
  <si>
    <t>C8171996</t>
  </si>
  <si>
    <t>１．電子記録債務計上</t>
    <phoneticPr fontId="2"/>
  </si>
  <si>
    <t>FOの支払手形仕訳帳の振出画面にて仕訳帳を作成し、</t>
    <rPh sb="3" eb="10">
      <t>シハライテガタシワケチョウ</t>
    </rPh>
    <rPh sb="11" eb="13">
      <t>フリダシ</t>
    </rPh>
    <rPh sb="13" eb="15">
      <t>ガメン</t>
    </rPh>
    <rPh sb="17" eb="20">
      <t>シワケチョウ</t>
    </rPh>
    <rPh sb="21" eb="23">
      <t>サクセイ</t>
    </rPh>
    <phoneticPr fontId="2"/>
  </si>
  <si>
    <t>支払提案の機能から対象のデータを選択する</t>
    <rPh sb="0" eb="2">
      <t>シハライ</t>
    </rPh>
    <rPh sb="2" eb="4">
      <t>テイアン</t>
    </rPh>
    <rPh sb="5" eb="7">
      <t>キノウ</t>
    </rPh>
    <rPh sb="9" eb="11">
      <t>タイショウ</t>
    </rPh>
    <rPh sb="16" eb="18">
      <t>センタク</t>
    </rPh>
    <phoneticPr fontId="2"/>
  </si>
  <si>
    <r>
      <rPr>
        <sz val="10"/>
        <color rgb="FF000000"/>
        <rFont val="Meiryo UI"/>
        <family val="3"/>
        <charset val="128"/>
      </rPr>
      <t xml:space="preserve">＜現状＞ファクタリング、電債、でんさい、期日振込
１．支払提案をして「支払日」「仕入先コード」「転記日付」「最終入力日」「支払方法」「支払元会社（108,191,817)」を設定、抽出
２．20日までのデータ（1月計上の場合、2月20日の転記日付のデータ）を抽出し、未決済のデータで支払対象の金額を確認。（20日を指定する理由：相殺のデータが20日で計上されている為）
３．50万円未満（SSJ）、10万円未満(SEJ）の仕入先を確認
４．１．ー２．＝３．の金額になっていたら差異がないので、支払処理を実行
（買掛金／銀行仮勘定の仕訳発生）
</t>
    </r>
    <r>
      <rPr>
        <sz val="10"/>
        <color rgb="FFFF0000"/>
        <rFont val="Meiryo UI"/>
        <family val="3"/>
        <charset val="128"/>
      </rPr>
      <t xml:space="preserve">（電債とでんさいのみ、支払手形義務見返／電子記録債務　の仕訳も発生）
</t>
    </r>
    <r>
      <rPr>
        <sz val="10"/>
        <color rgb="FF000000"/>
        <rFont val="Meiryo UI"/>
        <family val="3"/>
        <charset val="128"/>
      </rPr>
      <t xml:space="preserve">５．４で作成されたファイルを銀行システムにアップロード→上長承認
６．電債、ファクタリング、でんさいは期日到来日の仕訳をSAPで計上
</t>
    </r>
  </si>
  <si>
    <t>この時、期日を決済日に更新を行う。</t>
    <rPh sb="2" eb="3">
      <t>トキ</t>
    </rPh>
    <rPh sb="4" eb="6">
      <t>キジツ</t>
    </rPh>
    <rPh sb="7" eb="10">
      <t>ケッサイビ</t>
    </rPh>
    <rPh sb="11" eb="13">
      <t>コウシン</t>
    </rPh>
    <rPh sb="14" eb="15">
      <t>オコナ</t>
    </rPh>
    <phoneticPr fontId="2"/>
  </si>
  <si>
    <t>←自動化。</t>
    <rPh sb="1" eb="3">
      <t>ジドウ</t>
    </rPh>
    <rPh sb="3" eb="4">
      <t>カ</t>
    </rPh>
    <phoneticPr fontId="2"/>
  </si>
  <si>
    <t>２．電子記録債務計上承認申請</t>
    <rPh sb="2" eb="8">
      <t>デンシキロクサイム</t>
    </rPh>
    <rPh sb="8" eb="10">
      <t>ケイジョウ</t>
    </rPh>
    <rPh sb="10" eb="12">
      <t>ショウニン</t>
    </rPh>
    <rPh sb="12" eb="14">
      <t>シンセイ</t>
    </rPh>
    <phoneticPr fontId="2"/>
  </si>
  <si>
    <t>事務管理G担当者が責任者に申請する。</t>
    <rPh sb="0" eb="2">
      <t>ジム</t>
    </rPh>
    <rPh sb="2" eb="4">
      <t>カンリ</t>
    </rPh>
    <rPh sb="5" eb="8">
      <t>タントウシャ</t>
    </rPh>
    <rPh sb="9" eb="12">
      <t>セキニンシャ</t>
    </rPh>
    <rPh sb="13" eb="15">
      <t>シンセイ</t>
    </rPh>
    <phoneticPr fontId="2"/>
  </si>
  <si>
    <t>３．電子記録債務計上承認/変更依頼</t>
    <rPh sb="2" eb="8">
      <t>デンシキロクサイム</t>
    </rPh>
    <rPh sb="8" eb="10">
      <t>ケイジョウ</t>
    </rPh>
    <rPh sb="10" eb="12">
      <t>ショウニン</t>
    </rPh>
    <rPh sb="13" eb="15">
      <t>ヘンコウ</t>
    </rPh>
    <rPh sb="15" eb="17">
      <t>イライ</t>
    </rPh>
    <phoneticPr fontId="2"/>
  </si>
  <si>
    <t>事務管理G責任者が該当する支払手形仕訳帳の振出の内容を</t>
    <rPh sb="0" eb="4">
      <t>ジムカンリ</t>
    </rPh>
    <rPh sb="5" eb="8">
      <t>セキニンシャ</t>
    </rPh>
    <rPh sb="9" eb="11">
      <t>ガイトウ</t>
    </rPh>
    <rPh sb="13" eb="20">
      <t>シハライテガタシワケチョウ</t>
    </rPh>
    <rPh sb="21" eb="23">
      <t>フリダシ</t>
    </rPh>
    <rPh sb="24" eb="26">
      <t>ナイヨウ</t>
    </rPh>
    <phoneticPr fontId="2"/>
  </si>
  <si>
    <t>確認し、支払手形仕訳帳の振出（承認）画面から、承認</t>
    <rPh sb="4" eb="11">
      <t>シハライテガタシワケチョウ</t>
    </rPh>
    <rPh sb="12" eb="14">
      <t>フリダシ</t>
    </rPh>
    <rPh sb="15" eb="17">
      <t>ショウニン</t>
    </rPh>
    <rPh sb="18" eb="20">
      <t>ガメン</t>
    </rPh>
    <rPh sb="23" eb="25">
      <t>ショウニン</t>
    </rPh>
    <phoneticPr fontId="2"/>
  </si>
  <si>
    <t>事務管理G担当者が変更依頼された支払手形仕訳帳の振出の</t>
    <rPh sb="0" eb="2">
      <t>ジム</t>
    </rPh>
    <rPh sb="2" eb="4">
      <t>カンリ</t>
    </rPh>
    <rPh sb="5" eb="8">
      <t>タントウシャ</t>
    </rPh>
    <rPh sb="9" eb="13">
      <t>ヘンコウイライ</t>
    </rPh>
    <rPh sb="16" eb="23">
      <t>シハライテガタシワケチョウ</t>
    </rPh>
    <rPh sb="24" eb="26">
      <t>フリダシ</t>
    </rPh>
    <phoneticPr fontId="2"/>
  </si>
  <si>
    <t>承認された内容でデータを出力する。</t>
    <rPh sb="0" eb="2">
      <t>ショウニン</t>
    </rPh>
    <rPh sb="5" eb="7">
      <t>ナイヨウ</t>
    </rPh>
    <rPh sb="12" eb="14">
      <t>シュツリョク</t>
    </rPh>
    <phoneticPr fontId="2"/>
  </si>
  <si>
    <t>データ出力機能の開発（×2）</t>
    <rPh sb="3" eb="7">
      <t>シュツリョクキノウ</t>
    </rPh>
    <rPh sb="8" eb="10">
      <t>カイハツ</t>
    </rPh>
    <phoneticPr fontId="2"/>
  </si>
  <si>
    <t>銀行システムにてデータの取り込みを実施する。</t>
    <rPh sb="0" eb="2">
      <t>ギンコウ</t>
    </rPh>
    <rPh sb="12" eb="13">
      <t>ト</t>
    </rPh>
    <rPh sb="14" eb="15">
      <t>コ</t>
    </rPh>
    <rPh sb="17" eb="19">
      <t>ジッシ</t>
    </rPh>
    <phoneticPr fontId="2"/>
  </si>
  <si>
    <t>SEJは電債。三菱UFJ銀行へ。</t>
    <rPh sb="7" eb="9">
      <t>ミツビシ</t>
    </rPh>
    <rPh sb="12" eb="14">
      <t>ギンコウ</t>
    </rPh>
    <phoneticPr fontId="2"/>
  </si>
  <si>
    <t>SSJはでんさい、三井住友銀行へ。</t>
    <rPh sb="9" eb="13">
      <t>ミツイスミトモ</t>
    </rPh>
    <rPh sb="13" eb="15">
      <t>ギンコウ</t>
    </rPh>
    <phoneticPr fontId="2"/>
  </si>
  <si>
    <t>事務管理G責任者は、銀行システムにて、</t>
    <rPh sb="0" eb="4">
      <t>ジムカンリ</t>
    </rPh>
    <rPh sb="5" eb="8">
      <t>セキニンシャ</t>
    </rPh>
    <rPh sb="10" eb="12">
      <t>ギンコウ</t>
    </rPh>
    <phoneticPr fontId="2"/>
  </si>
  <si>
    <t>確認・承認を行う。</t>
    <rPh sb="0" eb="2">
      <t>カクニン</t>
    </rPh>
    <rPh sb="3" eb="5">
      <t>ショウニン</t>
    </rPh>
    <rPh sb="6" eb="7">
      <t>オコナ</t>
    </rPh>
    <phoneticPr fontId="2"/>
  </si>
  <si>
    <t>８．電子記録債務計上</t>
    <rPh sb="2" eb="10">
      <t>デンシキロクサイムケイジョウ</t>
    </rPh>
    <phoneticPr fontId="2"/>
  </si>
  <si>
    <t>電子記録債務</t>
    <rPh sb="0" eb="6">
      <t>デンシキロクサイム</t>
    </rPh>
    <phoneticPr fontId="2"/>
  </si>
  <si>
    <t>９．電子記録債務の確認</t>
    <rPh sb="2" eb="8">
      <t>デンシキロクサイム</t>
    </rPh>
    <rPh sb="9" eb="11">
      <t>カクニン</t>
    </rPh>
    <phoneticPr fontId="2"/>
  </si>
  <si>
    <t>電子記録債務管理一覧および支払手形仕訳帳にて、</t>
    <rPh sb="0" eb="10">
      <t>デンシキロクサイムカンリイチラン</t>
    </rPh>
    <rPh sb="13" eb="17">
      <t>シハライテガタ</t>
    </rPh>
    <rPh sb="17" eb="20">
      <t>シワケチョウ</t>
    </rPh>
    <phoneticPr fontId="2"/>
  </si>
  <si>
    <t>発行した電子記録債務のデータを確認する。</t>
    <rPh sb="15" eb="17">
      <t>カクニン</t>
    </rPh>
    <phoneticPr fontId="2"/>
  </si>
  <si>
    <t>発行した電子記録債務のステータスは、「振出済」。</t>
    <rPh sb="0" eb="2">
      <t>ハッコウ</t>
    </rPh>
    <rPh sb="4" eb="10">
      <t>デンシキロクサイム</t>
    </rPh>
    <rPh sb="19" eb="21">
      <t>フリダシ</t>
    </rPh>
    <rPh sb="21" eb="22">
      <t>スミ</t>
    </rPh>
    <phoneticPr fontId="2"/>
  </si>
  <si>
    <t>Rep083：電子記録債務管理帳票</t>
    <rPh sb="7" eb="9">
      <t>デンシ</t>
    </rPh>
    <rPh sb="9" eb="11">
      <t>キロク</t>
    </rPh>
    <rPh sb="11" eb="13">
      <t>サイム</t>
    </rPh>
    <rPh sb="13" eb="15">
      <t>カンリ</t>
    </rPh>
    <rPh sb="15" eb="17">
      <t>チョウヒョウ</t>
    </rPh>
    <phoneticPr fontId="2"/>
  </si>
  <si>
    <t>Rep075：拡張手形一覧</t>
    <phoneticPr fontId="2"/>
  </si>
  <si>
    <t>２．電子記録債務決済</t>
    <phoneticPr fontId="2"/>
  </si>
  <si>
    <t>１．電子記録債務決済データ抽出</t>
    <rPh sb="2" eb="4">
      <t>デンシ</t>
    </rPh>
    <rPh sb="4" eb="6">
      <t>キロク</t>
    </rPh>
    <rPh sb="6" eb="8">
      <t>サイム</t>
    </rPh>
    <rPh sb="8" eb="10">
      <t>ケッサイ</t>
    </rPh>
    <rPh sb="13" eb="15">
      <t>チュウシュツ</t>
    </rPh>
    <phoneticPr fontId="2"/>
  </si>
  <si>
    <t>FOの支払手形仕訳帳の決済画面にて仕訳帳を作成し、</t>
    <rPh sb="3" eb="5">
      <t>シハライ</t>
    </rPh>
    <rPh sb="5" eb="7">
      <t>テガタ</t>
    </rPh>
    <rPh sb="7" eb="10">
      <t>シワケチョウ</t>
    </rPh>
    <rPh sb="11" eb="13">
      <t>ケッサイ</t>
    </rPh>
    <rPh sb="13" eb="15">
      <t>ガメン</t>
    </rPh>
    <rPh sb="17" eb="20">
      <t>シワケチョウ</t>
    </rPh>
    <rPh sb="21" eb="23">
      <t>サクセイ</t>
    </rPh>
    <phoneticPr fontId="2"/>
  </si>
  <si>
    <t>支払提案の機能から対象のデータを選択する。</t>
    <rPh sb="0" eb="2">
      <t>シハライ</t>
    </rPh>
    <rPh sb="2" eb="4">
      <t>テイアン</t>
    </rPh>
    <rPh sb="5" eb="7">
      <t>キノウ</t>
    </rPh>
    <rPh sb="9" eb="11">
      <t>タイショウ</t>
    </rPh>
    <rPh sb="16" eb="18">
      <t>センタク</t>
    </rPh>
    <phoneticPr fontId="2"/>
  </si>
  <si>
    <t>２．電子記録債務決済承認申請</t>
    <rPh sb="2" eb="4">
      <t>デンシ</t>
    </rPh>
    <rPh sb="4" eb="6">
      <t>キロク</t>
    </rPh>
    <rPh sb="6" eb="8">
      <t>サイム</t>
    </rPh>
    <rPh sb="8" eb="10">
      <t>ケッサイ</t>
    </rPh>
    <rPh sb="10" eb="12">
      <t>ショウニン</t>
    </rPh>
    <rPh sb="12" eb="14">
      <t>シンセイ</t>
    </rPh>
    <phoneticPr fontId="2"/>
  </si>
  <si>
    <t>３．電子記録債務決済承認/変更依頼</t>
    <rPh sb="2" eb="8">
      <t>デンシキロクサイム</t>
    </rPh>
    <rPh sb="8" eb="10">
      <t>ケッサイ</t>
    </rPh>
    <rPh sb="10" eb="12">
      <t>ショウニン</t>
    </rPh>
    <phoneticPr fontId="2"/>
  </si>
  <si>
    <t>事務管理G責任者が該当する支払手形仕訳帳の決済の内容を</t>
    <rPh sb="0" eb="2">
      <t>ジム</t>
    </rPh>
    <rPh sb="2" eb="4">
      <t>カンリ</t>
    </rPh>
    <rPh sb="5" eb="8">
      <t>セキニンシャ</t>
    </rPh>
    <rPh sb="9" eb="11">
      <t>ガイトウ</t>
    </rPh>
    <rPh sb="13" eb="17">
      <t>シハライテガタ</t>
    </rPh>
    <rPh sb="17" eb="20">
      <t>シワケチョウ</t>
    </rPh>
    <rPh sb="21" eb="23">
      <t>ケッサイ</t>
    </rPh>
    <rPh sb="24" eb="26">
      <t>ナイヨウ</t>
    </rPh>
    <phoneticPr fontId="2"/>
  </si>
  <si>
    <t>確認し、支払手形仕訳帳の決済（承認）画面から、承認</t>
    <rPh sb="4" eb="11">
      <t>シハライテガタシワケチョウ</t>
    </rPh>
    <rPh sb="12" eb="14">
      <t>ケッサイ</t>
    </rPh>
    <rPh sb="15" eb="17">
      <t>ショウニン</t>
    </rPh>
    <rPh sb="18" eb="20">
      <t>ガメン</t>
    </rPh>
    <rPh sb="23" eb="25">
      <t>ショウニン</t>
    </rPh>
    <phoneticPr fontId="2"/>
  </si>
  <si>
    <t>事務管理G担当者が変更依頼された支払手形仕訳帳の決済の</t>
    <rPh sb="0" eb="4">
      <t>ジムカンリ</t>
    </rPh>
    <rPh sb="5" eb="8">
      <t>タントウシャ</t>
    </rPh>
    <rPh sb="9" eb="13">
      <t>ヘンコウイライ</t>
    </rPh>
    <rPh sb="16" eb="23">
      <t>シハライテガタシワケチョウ</t>
    </rPh>
    <rPh sb="24" eb="26">
      <t>ケッサイ</t>
    </rPh>
    <phoneticPr fontId="2"/>
  </si>
  <si>
    <t>５．電子記録債務決済計上</t>
    <rPh sb="2" eb="4">
      <t>デンシ</t>
    </rPh>
    <rPh sb="4" eb="6">
      <t>キロク</t>
    </rPh>
    <rPh sb="6" eb="8">
      <t>サイム</t>
    </rPh>
    <rPh sb="8" eb="10">
      <t>ケッサイ</t>
    </rPh>
    <rPh sb="10" eb="12">
      <t>ケイジョウ</t>
    </rPh>
    <phoneticPr fontId="2"/>
  </si>
  <si>
    <t>預金勘定</t>
    <rPh sb="0" eb="2">
      <t>ヨキン</t>
    </rPh>
    <rPh sb="2" eb="4">
      <t>カンジョウ</t>
    </rPh>
    <phoneticPr fontId="2"/>
  </si>
  <si>
    <t>振込手数料が仕入先負担（先方負担）の場合</t>
    <rPh sb="0" eb="5">
      <t>フリコミテスウリョウ</t>
    </rPh>
    <rPh sb="6" eb="9">
      <t>シイレサキ</t>
    </rPh>
    <rPh sb="9" eb="11">
      <t>フタン</t>
    </rPh>
    <rPh sb="12" eb="16">
      <t>センポウフタン</t>
    </rPh>
    <rPh sb="18" eb="20">
      <t>バアイ</t>
    </rPh>
    <phoneticPr fontId="2"/>
  </si>
  <si>
    <t>2025/4/7 電債・でんさいは</t>
  </si>
  <si>
    <t>預金勘定</t>
    <rPh sb="0" eb="4">
      <t>ヨキンカンジョウ</t>
    </rPh>
    <phoneticPr fontId="2"/>
  </si>
  <si>
    <t>振込手数料すべて当社負担です。</t>
  </si>
  <si>
    <t>支払手数料</t>
    <rPh sb="0" eb="5">
      <t>シハライテスウリョウ</t>
    </rPh>
    <phoneticPr fontId="2"/>
  </si>
  <si>
    <t>仮払消費税</t>
    <rPh sb="0" eb="5">
      <t>カリバライショウヒゼイ</t>
    </rPh>
    <phoneticPr fontId="2"/>
  </si>
  <si>
    <t>電子記録債務の振込手数料は、</t>
    <rPh sb="0" eb="6">
      <t>デンシキロクサイム</t>
    </rPh>
    <rPh sb="7" eb="12">
      <t>フリコミテスウリョウ</t>
    </rPh>
    <phoneticPr fontId="2"/>
  </si>
  <si>
    <t>当社負担。</t>
    <rPh sb="0" eb="4">
      <t>トウシャフタン</t>
    </rPh>
    <phoneticPr fontId="2"/>
  </si>
  <si>
    <t>６．電子記録債務の決済確認</t>
    <rPh sb="2" eb="8">
      <t>デンシキロクサイム</t>
    </rPh>
    <rPh sb="9" eb="11">
      <t>ケッサイ</t>
    </rPh>
    <rPh sb="11" eb="13">
      <t>カクニン</t>
    </rPh>
    <phoneticPr fontId="2"/>
  </si>
  <si>
    <t>電子記録債務管理一覧おとび支払手形仕訳帳にて、</t>
    <rPh sb="0" eb="2">
      <t>デンシ</t>
    </rPh>
    <rPh sb="2" eb="4">
      <t>キロク</t>
    </rPh>
    <rPh sb="4" eb="6">
      <t>サイム</t>
    </rPh>
    <rPh sb="6" eb="8">
      <t>カンリ</t>
    </rPh>
    <rPh sb="8" eb="10">
      <t>イチラン</t>
    </rPh>
    <rPh sb="13" eb="15">
      <t>シハライ</t>
    </rPh>
    <rPh sb="15" eb="17">
      <t>テガタ</t>
    </rPh>
    <rPh sb="17" eb="20">
      <t>シワケチョウ</t>
    </rPh>
    <phoneticPr fontId="2"/>
  </si>
  <si>
    <t>決済した電子記録債務のデータを確認する。</t>
    <rPh sb="15" eb="17">
      <t>カクニン</t>
    </rPh>
    <phoneticPr fontId="2"/>
  </si>
  <si>
    <t>決済した電子記録債務のステータスは、「手形受取済」。</t>
    <rPh sb="0" eb="2">
      <t>ケッサイ</t>
    </rPh>
    <rPh sb="4" eb="10">
      <t>デンシキロクサイム</t>
    </rPh>
    <phoneticPr fontId="2"/>
  </si>
  <si>
    <t>７．決済内容の確認</t>
    <rPh sb="2" eb="6">
      <t>ケッサイナイヨウ</t>
    </rPh>
    <rPh sb="7" eb="9">
      <t>カクニン</t>
    </rPh>
    <phoneticPr fontId="2"/>
  </si>
  <si>
    <t>１．契約内容登録</t>
  </si>
  <si>
    <t>１．契約内容登録</t>
    <rPh sb="2" eb="8">
      <t>ケイヤクナイヨウトウロク</t>
    </rPh>
    <phoneticPr fontId="2"/>
  </si>
  <si>
    <t>アドオン</t>
    <phoneticPr fontId="2"/>
  </si>
  <si>
    <t>事務管理Gは、口座引落契約台帳に契約内容</t>
    <rPh sb="0" eb="4">
      <t>ジムカンリ</t>
    </rPh>
    <rPh sb="7" eb="15">
      <t>コウザヒキオトシケイヤクダイチョウ</t>
    </rPh>
    <rPh sb="16" eb="18">
      <t>ケイヤク</t>
    </rPh>
    <rPh sb="18" eb="20">
      <t>ナイヨウ</t>
    </rPh>
    <phoneticPr fontId="2"/>
  </si>
  <si>
    <t>（Excel台帳）をもとに、登録を行う。</t>
    <rPh sb="14" eb="16">
      <t>トウロク</t>
    </rPh>
    <rPh sb="17" eb="18">
      <t>オコナ</t>
    </rPh>
    <phoneticPr fontId="2"/>
  </si>
  <si>
    <t>Excel Addinでも登録可。</t>
    <rPh sb="13" eb="15">
      <t>トウロク</t>
    </rPh>
    <rPh sb="15" eb="16">
      <t>カ</t>
    </rPh>
    <phoneticPr fontId="2"/>
  </si>
  <si>
    <t>入力内容</t>
    <rPh sb="0" eb="4">
      <t>ニュウリョクナイヨウ</t>
    </rPh>
    <phoneticPr fontId="2"/>
  </si>
  <si>
    <t>引落会社、需要家番号、計上費用科目、計上部課</t>
    <phoneticPr fontId="2"/>
  </si>
  <si>
    <t>２．口座引落</t>
  </si>
  <si>
    <t>IF機能</t>
    <rPh sb="2" eb="4">
      <t>キノウ</t>
    </rPh>
    <phoneticPr fontId="2"/>
  </si>
  <si>
    <t>１．引落結果確認</t>
    <rPh sb="2" eb="4">
      <t>ヒキオトシ</t>
    </rPh>
    <rPh sb="4" eb="6">
      <t>ケッカ</t>
    </rPh>
    <rPh sb="6" eb="8">
      <t>カクニン</t>
    </rPh>
    <phoneticPr fontId="2"/>
  </si>
  <si>
    <t>事務管理Gは、口座引落結果を確認する。</t>
    <rPh sb="0" eb="4">
      <t>ジムカンリ</t>
    </rPh>
    <rPh sb="7" eb="11">
      <t>コウザヒキオトシ</t>
    </rPh>
    <rPh sb="11" eb="13">
      <t>ケッカ</t>
    </rPh>
    <rPh sb="14" eb="16">
      <t>カクニン</t>
    </rPh>
    <phoneticPr fontId="2"/>
  </si>
  <si>
    <t>預金</t>
    <rPh sb="0" eb="2">
      <t>ヨキン</t>
    </rPh>
    <phoneticPr fontId="2"/>
  </si>
  <si>
    <t>２．口座引落契約台帳修正</t>
    <rPh sb="2" eb="10">
      <t>コウザヒキオトシケイヤクダイチョウ</t>
    </rPh>
    <rPh sb="10" eb="12">
      <t>シュウセイ</t>
    </rPh>
    <phoneticPr fontId="2"/>
  </si>
  <si>
    <t>事務管理Gは、引落マッチング不備となったもので、</t>
    <rPh sb="0" eb="4">
      <t>ジムカンリ</t>
    </rPh>
    <rPh sb="7" eb="9">
      <t>ヒキオトシ</t>
    </rPh>
    <rPh sb="14" eb="16">
      <t>フビ</t>
    </rPh>
    <phoneticPr fontId="2"/>
  </si>
  <si>
    <t>口座引落契約台帳の修正対象の契約の</t>
    <rPh sb="0" eb="8">
      <t>コウザヒキオトシケイヤクダイチョウ</t>
    </rPh>
    <rPh sb="9" eb="13">
      <t>シュウセイタイショウ</t>
    </rPh>
    <rPh sb="14" eb="16">
      <t>ケイヤク</t>
    </rPh>
    <phoneticPr fontId="2"/>
  </si>
  <si>
    <t>修正を行う。</t>
    <rPh sb="0" eb="2">
      <t>シュウセイ</t>
    </rPh>
    <rPh sb="3" eb="4">
      <t>オコナ</t>
    </rPh>
    <phoneticPr fontId="2"/>
  </si>
  <si>
    <t>３．引落データ対象外のステータス更新</t>
    <rPh sb="2" eb="4">
      <t>ヒキオトシ</t>
    </rPh>
    <rPh sb="7" eb="10">
      <t>タイショウガイ</t>
    </rPh>
    <rPh sb="16" eb="18">
      <t>コウシン</t>
    </rPh>
    <phoneticPr fontId="2"/>
  </si>
  <si>
    <t>引落データ対象外のデータについて、ステータス</t>
    <rPh sb="0" eb="2">
      <t>ヒキオトシ</t>
    </rPh>
    <rPh sb="5" eb="8">
      <t>タイショウガイ</t>
    </rPh>
    <phoneticPr fontId="2"/>
  </si>
  <si>
    <t>「転記対象外」に変更する。</t>
  </si>
  <si>
    <t>４．マッチング再実行</t>
    <rPh sb="7" eb="10">
      <t>サイジッコウ</t>
    </rPh>
    <phoneticPr fontId="2"/>
  </si>
  <si>
    <t>事務管理Gは、引落結果出力画面より、</t>
    <rPh sb="0" eb="4">
      <t>ジムカンリ</t>
    </rPh>
    <rPh sb="7" eb="9">
      <t>ヒキオトシ</t>
    </rPh>
    <rPh sb="9" eb="13">
      <t>ケッカシュツリョク</t>
    </rPh>
    <rPh sb="13" eb="15">
      <t>ガメン</t>
    </rPh>
    <phoneticPr fontId="2"/>
  </si>
  <si>
    <t>「再実行」ボタンを押下し、マッチング処理を行う。</t>
    <rPh sb="1" eb="4">
      <t>サイジッコウ</t>
    </rPh>
    <rPh sb="9" eb="11">
      <t>オウカ</t>
    </rPh>
    <rPh sb="18" eb="20">
      <t>ショリ</t>
    </rPh>
    <rPh sb="21" eb="22">
      <t>オコナ</t>
    </rPh>
    <phoneticPr fontId="2"/>
  </si>
  <si>
    <t>参考．口座引落（As-Is）</t>
    <rPh sb="0" eb="2">
      <t>サンコウ</t>
    </rPh>
    <rPh sb="3" eb="7">
      <t>コウザヒキオトシ</t>
    </rPh>
    <phoneticPr fontId="2"/>
  </si>
  <si>
    <t>Excel台帳に勘定科目、計上部課ごとにデータを作成</t>
    <rPh sb="5" eb="7">
      <t>ダイチョウ</t>
    </rPh>
    <rPh sb="8" eb="12">
      <t>カンジョウカモク</t>
    </rPh>
    <rPh sb="13" eb="15">
      <t>ケイジョウ</t>
    </rPh>
    <rPh sb="15" eb="17">
      <t>ブカ</t>
    </rPh>
    <rPh sb="24" eb="26">
      <t>サクセイ</t>
    </rPh>
    <phoneticPr fontId="2"/>
  </si>
  <si>
    <t>入出金データの出金データで、依頼人コード、需要家番号、金額が一致するものを確認。</t>
    <rPh sb="0" eb="3">
      <t>ニュウシュッキン</t>
    </rPh>
    <rPh sb="7" eb="9">
      <t>シュッキン</t>
    </rPh>
    <rPh sb="14" eb="17">
      <t>イライニン</t>
    </rPh>
    <rPh sb="21" eb="24">
      <t>ジュヨウカ</t>
    </rPh>
    <rPh sb="24" eb="26">
      <t>バンゴウ</t>
    </rPh>
    <rPh sb="27" eb="29">
      <t>キンガク</t>
    </rPh>
    <rPh sb="30" eb="32">
      <t>イッチ</t>
    </rPh>
    <rPh sb="37" eb="39">
      <t>カクニン</t>
    </rPh>
    <phoneticPr fontId="2"/>
  </si>
  <si>
    <t>１．銀行口座登録</t>
    <rPh sb="2" eb="6">
      <t>ギンコウコウザ</t>
    </rPh>
    <rPh sb="6" eb="8">
      <t>トウロク</t>
    </rPh>
    <phoneticPr fontId="2"/>
  </si>
  <si>
    <t>１．主勘定登録</t>
    <rPh sb="2" eb="5">
      <t>シュカンジョウ</t>
    </rPh>
    <rPh sb="5" eb="7">
      <t>トウロク</t>
    </rPh>
    <phoneticPr fontId="2"/>
  </si>
  <si>
    <t>主勘定を登録する。</t>
    <rPh sb="0" eb="3">
      <t>シュカンジョウ</t>
    </rPh>
    <rPh sb="4" eb="6">
      <t>トウロク</t>
    </rPh>
    <phoneticPr fontId="2"/>
  </si>
  <si>
    <t>「手動入力を許可しない」にチェックを入れること。</t>
    <rPh sb="18" eb="19">
      <t>イ</t>
    </rPh>
    <phoneticPr fontId="2"/>
  </si>
  <si>
    <t>２．銀行グループ登録</t>
    <rPh sb="2" eb="4">
      <t>ギンコウ</t>
    </rPh>
    <rPh sb="8" eb="10">
      <t>トウロク</t>
    </rPh>
    <phoneticPr fontId="2"/>
  </si>
  <si>
    <t>銀行口座に紐づく銀行グループを登録する。</t>
    <rPh sb="0" eb="4">
      <t>ギンコウコウザ</t>
    </rPh>
    <rPh sb="5" eb="6">
      <t>ヒモ</t>
    </rPh>
    <rPh sb="8" eb="10">
      <t>ギンコウ</t>
    </rPh>
    <rPh sb="15" eb="17">
      <t>トウロク</t>
    </rPh>
    <phoneticPr fontId="2"/>
  </si>
  <si>
    <t>銀行グループコード：銀行コード_+支店コード</t>
    <rPh sb="0" eb="2">
      <t>ギンコウ</t>
    </rPh>
    <rPh sb="10" eb="12">
      <t>ギンコウ</t>
    </rPh>
    <rPh sb="17" eb="19">
      <t>シテン</t>
    </rPh>
    <phoneticPr fontId="2"/>
  </si>
  <si>
    <t>３．銀行口座登録</t>
    <rPh sb="2" eb="4">
      <t>ギンコウ</t>
    </rPh>
    <rPh sb="4" eb="6">
      <t>コウザ</t>
    </rPh>
    <rPh sb="6" eb="8">
      <t>トウロク</t>
    </rPh>
    <phoneticPr fontId="2"/>
  </si>
  <si>
    <t>銀行口座を登録する。</t>
    <rPh sb="0" eb="4">
      <t>ギンコウコウザ</t>
    </rPh>
    <rPh sb="5" eb="7">
      <t>トウロク</t>
    </rPh>
    <phoneticPr fontId="2"/>
  </si>
  <si>
    <t>銀行口座コード：主勘定コード</t>
    <rPh sb="0" eb="2">
      <t>ギンコウ</t>
    </rPh>
    <rPh sb="2" eb="4">
      <t>コウザ</t>
    </rPh>
    <rPh sb="8" eb="11">
      <t>シュカンジョウ</t>
    </rPh>
    <phoneticPr fontId="2"/>
  </si>
  <si>
    <t>銀行口座と主勘定は1:1で登録する形となる。</t>
    <rPh sb="0" eb="4">
      <t>ギンコウコウザ</t>
    </rPh>
    <rPh sb="5" eb="8">
      <t>シュカンジョウ</t>
    </rPh>
    <rPh sb="13" eb="15">
      <t>トウロク</t>
    </rPh>
    <rPh sb="17" eb="18">
      <t>カタチ</t>
    </rPh>
    <phoneticPr fontId="2"/>
  </si>
  <si>
    <t>システム名</t>
    <phoneticPr fontId="10"/>
  </si>
  <si>
    <t>１．契約内容登録</t>
    <phoneticPr fontId="2"/>
  </si>
  <si>
    <t>１．相殺決済契約登録</t>
    <rPh sb="2" eb="4">
      <t>ソウサイ</t>
    </rPh>
    <rPh sb="4" eb="6">
      <t>ケッサイ</t>
    </rPh>
    <rPh sb="6" eb="8">
      <t>ケイヤク</t>
    </rPh>
    <rPh sb="8" eb="10">
      <t>トウロク</t>
    </rPh>
    <phoneticPr fontId="2"/>
  </si>
  <si>
    <t>顧客と仕入先の紐づきを登録する。</t>
    <rPh sb="11" eb="13">
      <t>トウロク</t>
    </rPh>
    <phoneticPr fontId="2"/>
  </si>
  <si>
    <t>仕訳名：相殺用の仕訳帳名を指定</t>
    <rPh sb="0" eb="3">
      <t>シワケメイ</t>
    </rPh>
    <phoneticPr fontId="2"/>
  </si>
  <si>
    <t>勘定：相殺時に使用される経過勘定を指定</t>
    <rPh sb="0" eb="2">
      <t>カンジョウ</t>
    </rPh>
    <phoneticPr fontId="2"/>
  </si>
  <si>
    <t>2．有効化</t>
    <rPh sb="2" eb="5">
      <t>ユウコウカ</t>
    </rPh>
    <phoneticPr fontId="2"/>
  </si>
  <si>
    <t>相殺決済契約の有効化する。</t>
    <rPh sb="0" eb="4">
      <t>ソウサイケッサイ</t>
    </rPh>
    <rPh sb="4" eb="6">
      <t>ケイヤク</t>
    </rPh>
    <rPh sb="7" eb="10">
      <t>ユウコウカ</t>
    </rPh>
    <phoneticPr fontId="2"/>
  </si>
  <si>
    <t>１．仕入先マスタ・仕入先の銀行口座登録</t>
    <rPh sb="2" eb="5">
      <t>シイレサキ</t>
    </rPh>
    <rPh sb="9" eb="12">
      <t>シイレサキ</t>
    </rPh>
    <rPh sb="13" eb="17">
      <t>ギンコウコウザ</t>
    </rPh>
    <rPh sb="17" eb="19">
      <t>トウロク</t>
    </rPh>
    <phoneticPr fontId="2"/>
  </si>
  <si>
    <t>１．銀行グループの登録</t>
    <rPh sb="2" eb="4">
      <t>ギンコウ</t>
    </rPh>
    <rPh sb="9" eb="11">
      <t>トウロク</t>
    </rPh>
    <phoneticPr fontId="2"/>
  </si>
  <si>
    <t>国内仕入先の場合、</t>
    <rPh sb="0" eb="2">
      <t>コクナイ</t>
    </rPh>
    <rPh sb="2" eb="5">
      <t>シイレサキ</t>
    </rPh>
    <rPh sb="6" eb="8">
      <t>バアイ</t>
    </rPh>
    <phoneticPr fontId="2"/>
  </si>
  <si>
    <t>銀行グループ（銀行コード＋支店コード）</t>
    <rPh sb="0" eb="2">
      <t>ギンコウ</t>
    </rPh>
    <rPh sb="7" eb="9">
      <t>ギンコウ</t>
    </rPh>
    <rPh sb="13" eb="15">
      <t>シテン</t>
    </rPh>
    <phoneticPr fontId="2"/>
  </si>
  <si>
    <t>海外仕入先の場合、</t>
    <rPh sb="0" eb="2">
      <t>カイガイ</t>
    </rPh>
    <rPh sb="2" eb="5">
      <t>シイレサキ</t>
    </rPh>
    <rPh sb="6" eb="8">
      <t>バアイ</t>
    </rPh>
    <phoneticPr fontId="2"/>
  </si>
  <si>
    <t>銀行グループ（SWIFTコードの先頭8ケタ）</t>
    <rPh sb="0" eb="2">
      <t>ギンコウ</t>
    </rPh>
    <rPh sb="16" eb="18">
      <t>セントウ</t>
    </rPh>
    <phoneticPr fontId="2"/>
  </si>
  <si>
    <t>が登録されているか確認する。</t>
    <rPh sb="1" eb="3">
      <t>トウロク</t>
    </rPh>
    <rPh sb="9" eb="11">
      <t>カクニン</t>
    </rPh>
    <phoneticPr fontId="2"/>
  </si>
  <si>
    <t>登録されていない場合、銀行グループの</t>
    <rPh sb="0" eb="2">
      <t>トウロク</t>
    </rPh>
    <rPh sb="8" eb="10">
      <t>バアイ</t>
    </rPh>
    <rPh sb="11" eb="13">
      <t>ギンコウ</t>
    </rPh>
    <phoneticPr fontId="2"/>
  </si>
  <si>
    <t>登録を行う。</t>
    <rPh sb="0" eb="2">
      <t>トウロク</t>
    </rPh>
    <rPh sb="3" eb="4">
      <t>オコナ</t>
    </rPh>
    <phoneticPr fontId="2"/>
  </si>
  <si>
    <t>海外仕入先の場合は、</t>
    <rPh sb="0" eb="2">
      <t>カイガイ</t>
    </rPh>
    <rPh sb="2" eb="5">
      <t>シイレサキ</t>
    </rPh>
    <rPh sb="6" eb="8">
      <t>バアイ</t>
    </rPh>
    <phoneticPr fontId="2"/>
  </si>
  <si>
    <t>項目：銀行名 (カナ)　の登録必須</t>
  </si>
  <si>
    <t>２．仕入先マスタ・仕入先の銀行口座登録</t>
    <rPh sb="2" eb="5">
      <t>シイレサキ</t>
    </rPh>
    <rPh sb="9" eb="12">
      <t>シイレサキ</t>
    </rPh>
    <rPh sb="13" eb="17">
      <t>ギンコウコウザ</t>
    </rPh>
    <rPh sb="17" eb="19">
      <t>トウロク</t>
    </rPh>
    <phoneticPr fontId="2"/>
  </si>
  <si>
    <t>担当者は、仕入先マスタ・</t>
    <rPh sb="0" eb="3">
      <t>タントウシャ</t>
    </rPh>
    <rPh sb="5" eb="8">
      <t>シイレサキ</t>
    </rPh>
    <phoneticPr fontId="2"/>
  </si>
  <si>
    <t>仕入先の銀行口座情報の登録を行う。</t>
    <rPh sb="0" eb="3">
      <t>シイレサキ</t>
    </rPh>
    <rPh sb="4" eb="6">
      <t>ギンコウ</t>
    </rPh>
    <rPh sb="6" eb="8">
      <t>コウザ</t>
    </rPh>
    <rPh sb="8" eb="10">
      <t>ジョウホウ</t>
    </rPh>
    <rPh sb="11" eb="13">
      <t>トウロク</t>
    </rPh>
    <rPh sb="14" eb="15">
      <t>オコナ</t>
    </rPh>
    <phoneticPr fontId="2"/>
  </si>
  <si>
    <t>:</t>
    <phoneticPr fontId="2"/>
  </si>
  <si>
    <t>JUST D.B.</t>
    <phoneticPr fontId="2"/>
  </si>
  <si>
    <t>SEJホスト</t>
    <phoneticPr fontId="2"/>
  </si>
  <si>
    <t>海外送金で、以下仕入先の住所情報を</t>
    <rPh sb="0" eb="4">
      <t>カイガイソウキン</t>
    </rPh>
    <rPh sb="6" eb="8">
      <t>イカ</t>
    </rPh>
    <rPh sb="8" eb="11">
      <t>シイレサキ</t>
    </rPh>
    <rPh sb="12" eb="16">
      <t>ジュウショジョウホウ</t>
    </rPh>
    <phoneticPr fontId="2"/>
  </si>
  <si>
    <t>出力する。</t>
    <rPh sb="0" eb="2">
      <t>シュツリョク</t>
    </rPh>
    <phoneticPr fontId="2"/>
  </si>
  <si>
    <t>StrtNm（町域/番地）：FO項目名「住所」</t>
  </si>
  <si>
    <t>TwnNm（市区町村）：FO項目名「市町村」</t>
  </si>
  <si>
    <t>Ctry（国名/国コード）：FO項目名「国/地域」</t>
  </si>
  <si>
    <t>３．仕入先マスタの更新</t>
    <rPh sb="2" eb="5">
      <t>シイレサキ</t>
    </rPh>
    <rPh sb="9" eb="11">
      <t>コウシン</t>
    </rPh>
    <phoneticPr fontId="2"/>
  </si>
  <si>
    <t>事務管理Gは、海外送金ISO20022対象の</t>
    <rPh sb="0" eb="4">
      <t>ジムカンリ</t>
    </rPh>
    <rPh sb="7" eb="9">
      <t>カイガイ</t>
    </rPh>
    <rPh sb="9" eb="11">
      <t>ソウキン</t>
    </rPh>
    <rPh sb="19" eb="21">
      <t>タイショウ</t>
    </rPh>
    <phoneticPr fontId="2"/>
  </si>
  <si>
    <t>仕入先の更新を行う。</t>
    <rPh sb="0" eb="3">
      <t>シイレサキ</t>
    </rPh>
    <rPh sb="4" eb="6">
      <t>コウシン</t>
    </rPh>
    <rPh sb="7" eb="8">
      <t>オコナ</t>
    </rPh>
    <phoneticPr fontId="2"/>
  </si>
  <si>
    <t>支払 ID：「DEBT」or「SHAR」を設定。</t>
    <rPh sb="0" eb="2">
      <t>シハライ</t>
    </rPh>
    <rPh sb="21" eb="23">
      <t>セッテイ</t>
    </rPh>
    <phoneticPr fontId="2"/>
  </si>
  <si>
    <t>（支払銀行手数料負担区分）</t>
    <phoneticPr fontId="2"/>
  </si>
  <si>
    <t>４．仕入先マスタの住所更新</t>
    <rPh sb="2" eb="5">
      <t>シイレサキ</t>
    </rPh>
    <rPh sb="9" eb="11">
      <t>ジュウショ</t>
    </rPh>
    <rPh sb="11" eb="13">
      <t>コウシン</t>
    </rPh>
    <phoneticPr fontId="2"/>
  </si>
  <si>
    <t>仕入先の住所更新を行う。</t>
    <rPh sb="0" eb="3">
      <t>シイレサキ</t>
    </rPh>
    <rPh sb="4" eb="6">
      <t>ジュウショ</t>
    </rPh>
    <rPh sb="6" eb="8">
      <t>コウシン</t>
    </rPh>
    <rPh sb="9" eb="10">
      <t>オコナ</t>
    </rPh>
    <phoneticPr fontId="2"/>
  </si>
  <si>
    <t>上流システムで更新があった際、</t>
    <rPh sb="7" eb="9">
      <t>コウシン</t>
    </rPh>
    <rPh sb="13" eb="14">
      <t>サイ</t>
    </rPh>
    <phoneticPr fontId="2"/>
  </si>
  <si>
    <t>随時対応を行う。</t>
  </si>
  <si>
    <t>５．仕入先の銀行口座更新</t>
    <rPh sb="2" eb="5">
      <t>シイレサキ</t>
    </rPh>
    <rPh sb="6" eb="10">
      <t>ギンコウコウザ</t>
    </rPh>
    <rPh sb="10" eb="12">
      <t>コウシン</t>
    </rPh>
    <phoneticPr fontId="2"/>
  </si>
  <si>
    <t>仕入先の銀行口座の更新を行う。</t>
    <rPh sb="0" eb="3">
      <t>シイレサキ</t>
    </rPh>
    <rPh sb="4" eb="6">
      <t>ギンコウ</t>
    </rPh>
    <rPh sb="6" eb="8">
      <t>コウザ</t>
    </rPh>
    <rPh sb="9" eb="11">
      <t>コウシン</t>
    </rPh>
    <rPh sb="12" eb="13">
      <t>オコナ</t>
    </rPh>
    <phoneticPr fontId="2"/>
  </si>
  <si>
    <t>為替参照：「SPOT」を設定。（相場区分）</t>
    <rPh sb="0" eb="4">
      <t>カワセサンショウ</t>
    </rPh>
    <rPh sb="12" eb="14">
      <t>セッテイ</t>
    </rPh>
    <rPh sb="16" eb="20">
      <t>ソウバクブン</t>
    </rPh>
    <phoneticPr fontId="2"/>
  </si>
  <si>
    <t>SWIFTコード</t>
    <phoneticPr fontId="2"/>
  </si>
  <si>
    <t>IBAN</t>
    <phoneticPr fontId="2"/>
  </si>
  <si>
    <t>銀行へのメッセージ：送金目的を設定。</t>
    <rPh sb="0" eb="2">
      <t>ギンコウ</t>
    </rPh>
    <rPh sb="10" eb="14">
      <t>ソウキンモクテキ</t>
    </rPh>
    <rPh sb="15" eb="17">
      <t>セッテイ</t>
    </rPh>
    <phoneticPr fontId="2"/>
  </si>
  <si>
    <t>６．銀行グループの変更</t>
    <rPh sb="2" eb="4">
      <t>ギンコウ</t>
    </rPh>
    <rPh sb="9" eb="11">
      <t>ヘンコウ</t>
    </rPh>
    <phoneticPr fontId="2"/>
  </si>
  <si>
    <t>仕入先の銀行口座の銀行グループ</t>
    <rPh sb="0" eb="3">
      <t>シイレサキ</t>
    </rPh>
    <rPh sb="4" eb="6">
      <t>ギンコウ</t>
    </rPh>
    <rPh sb="6" eb="8">
      <t>コウザ</t>
    </rPh>
    <rPh sb="9" eb="11">
      <t>ギンコウ</t>
    </rPh>
    <phoneticPr fontId="2"/>
  </si>
  <si>
    <t>（SWIFTコードの先頭8ケタ）の変更を行う。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</si>
</sst>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45">
    <font>
      <sz val="10"/>
      <color theme="1"/>
      <name val="Meiryo UI"/>
      <family val="2"/>
      <charset val="128"/>
    </font>
    <font>
      <sz val="11"/>
      <color theme="1"/>
      <name val="Meiryo UI"/>
      <family val="2"/>
      <charset val="128"/>
      <scheme val="minor"/>
    </font>
    <font>
      <sz val="6"/>
      <name val="Meiryo UI"/>
      <family val="2"/>
      <charset val="128"/>
    </font>
    <font>
      <sz val="6"/>
      <name val="Meiryo UI"/>
      <family val="3"/>
      <charset val="128"/>
      <scheme val="minor"/>
    </font>
    <font>
      <sz val="10"/>
      <color theme="1"/>
      <name val="Meiryo UI"/>
      <family val="3"/>
      <charset val="128"/>
    </font>
    <font>
      <b/>
      <sz val="10"/>
      <color theme="0"/>
      <name val="Meiryo UI"/>
      <family val="3"/>
      <charset val="128"/>
    </font>
    <font>
      <sz val="10"/>
      <name val="Meiryo UI"/>
      <family val="3"/>
      <charset val="128"/>
    </font>
    <font>
      <sz val="18"/>
      <color theme="3"/>
      <name val="Meiryo UI"/>
      <family val="2"/>
      <charset val="128"/>
      <scheme val="major"/>
    </font>
    <font>
      <b/>
      <sz val="10"/>
      <color theme="0"/>
      <name val="Meiryo UI"/>
      <family val="2"/>
      <charset val="128"/>
    </font>
    <font>
      <b/>
      <u/>
      <sz val="10"/>
      <color theme="1"/>
      <name val="Meiryo UI"/>
      <family val="3"/>
      <charset val="128"/>
    </font>
    <font>
      <sz val="6"/>
      <name val="ＭＳ Ｐゴシック"/>
      <family val="3"/>
      <charset val="128"/>
    </font>
    <font>
      <sz val="10"/>
      <color theme="1"/>
      <name val="Meiryo UI"/>
      <family val="2"/>
      <charset val="128"/>
    </font>
    <font>
      <b/>
      <sz val="10"/>
      <name val="Meiryo UI"/>
      <family val="3"/>
      <charset val="128"/>
    </font>
    <font>
      <sz val="10"/>
      <name val="Arial"/>
      <family val="2"/>
      <charset val="238"/>
    </font>
    <font>
      <sz val="11"/>
      <color theme="1"/>
      <name val="Meiryo UI"/>
      <family val="2"/>
      <scheme val="minor"/>
    </font>
    <font>
      <sz val="11"/>
      <color theme="1"/>
      <name val="Meiryo UI"/>
      <family val="3"/>
      <charset val="128"/>
    </font>
    <font>
      <u/>
      <sz val="11"/>
      <color theme="1"/>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sz val="10"/>
      <color indexed="8"/>
      <name val="Meiryo UI"/>
      <family val="3"/>
      <charset val="128"/>
    </font>
    <font>
      <sz val="6"/>
      <name val="メイリオ"/>
      <family val="2"/>
      <charset val="128"/>
    </font>
    <font>
      <sz val="6"/>
      <name val="ＭＳ ゴシック"/>
      <family val="3"/>
      <charset val="128"/>
    </font>
    <font>
      <b/>
      <sz val="10"/>
      <color theme="1"/>
      <name val="Meiryo UI"/>
      <family val="3"/>
      <charset val="128"/>
    </font>
    <font>
      <b/>
      <u/>
      <sz val="10"/>
      <name val="Meiryo UI"/>
      <family val="3"/>
      <charset val="128"/>
    </font>
    <font>
      <sz val="11"/>
      <name val="ＭＳ Ｐゴシック"/>
      <family val="3"/>
      <charset val="128"/>
    </font>
    <font>
      <sz val="11"/>
      <color theme="1"/>
      <name val="Arial"/>
      <family val="2"/>
      <charset val="128"/>
    </font>
    <font>
      <b/>
      <sz val="8"/>
      <name val="Meiryo UI"/>
      <family val="3"/>
      <charset val="128"/>
    </font>
    <font>
      <sz val="10"/>
      <color theme="1"/>
      <name val="Meiryo UI"/>
      <family val="3"/>
    </font>
    <font>
      <sz val="8"/>
      <name val="Meiryo UI"/>
      <family val="3"/>
    </font>
    <font>
      <sz val="10"/>
      <name val="Meiryo UI"/>
      <family val="3"/>
    </font>
    <font>
      <sz val="10"/>
      <color rgb="FF000000"/>
      <name val="Meiryo UI"/>
      <family val="3"/>
    </font>
    <font>
      <sz val="10"/>
      <color rgb="FFFF0000"/>
      <name val="Meiryo UI"/>
      <family val="3"/>
      <charset val="128"/>
    </font>
    <font>
      <sz val="11"/>
      <color rgb="FFFF0000"/>
      <name val="Meiryo UI"/>
      <family val="3"/>
      <charset val="128"/>
    </font>
    <font>
      <sz val="10"/>
      <color rgb="FF000000"/>
      <name val="Meiryo UI"/>
      <family val="3"/>
      <charset val="128"/>
    </font>
    <font>
      <sz val="11"/>
      <color rgb="FF000000"/>
      <name val="Meiryo UI"/>
      <family val="3"/>
      <charset val="128"/>
    </font>
    <font>
      <sz val="11"/>
      <name val="Meiryo UI"/>
      <family val="3"/>
      <charset val="128"/>
    </font>
    <font>
      <u/>
      <sz val="10"/>
      <color theme="1"/>
      <name val="Meiryo UI"/>
      <family val="3"/>
      <charset val="128"/>
    </font>
    <font>
      <strike/>
      <sz val="10"/>
      <color theme="1"/>
      <name val="Meiryo UI"/>
      <family val="3"/>
      <charset val="128"/>
    </font>
    <font>
      <b/>
      <sz val="10"/>
      <color rgb="FFFF0000"/>
      <name val="Meiryo UI"/>
      <family val="3"/>
      <charset val="128"/>
    </font>
    <font>
      <b/>
      <sz val="10"/>
      <name val="Meiryo UI"/>
      <family val="3"/>
    </font>
    <font>
      <b/>
      <u/>
      <sz val="10"/>
      <color rgb="FFFF0000"/>
      <name val="Meiryo UI"/>
      <family val="3"/>
      <charset val="128"/>
    </font>
    <font>
      <sz val="10"/>
      <color indexed="8"/>
      <name val="Meiryo UI"/>
      <family val="3"/>
    </font>
  </fonts>
  <fills count="19">
    <fill>
      <patternFill patternType="none"/>
    </fill>
    <fill>
      <patternFill patternType="gray125"/>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9"/>
      </patternFill>
    </fill>
    <fill>
      <patternFill patternType="solid">
        <fgColor theme="8" tint="-0.499984740745262"/>
        <bgColor indexed="64"/>
      </patternFill>
    </fill>
    <fill>
      <patternFill patternType="solid">
        <fgColor theme="4" tint="-0.499984740745262"/>
        <bgColor indexed="64"/>
      </patternFill>
    </fill>
    <fill>
      <patternFill patternType="solid">
        <fgColor rgb="FF2F75B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EDB3"/>
        <bgColor indexed="64"/>
      </patternFill>
    </fill>
    <fill>
      <patternFill patternType="solid">
        <fgColor theme="2"/>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FFF00"/>
        <bgColor indexed="64"/>
      </patternFill>
    </fill>
  </fills>
  <borders count="7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theme="0" tint="-0.499984740745262"/>
      </bottom>
      <diagonal/>
    </border>
    <border>
      <left style="medium">
        <color auto="1"/>
      </left>
      <right style="medium">
        <color auto="1"/>
      </right>
      <top style="thin">
        <color theme="0" tint="-0.499984740745262"/>
      </top>
      <bottom style="thin">
        <color theme="0" tint="-0.499984740745262"/>
      </bottom>
      <diagonal/>
    </border>
    <border>
      <left style="medium">
        <color auto="1"/>
      </left>
      <right style="medium">
        <color auto="1"/>
      </right>
      <top style="thin">
        <color theme="0" tint="-0.499984740745262"/>
      </top>
      <bottom style="medium">
        <color indexed="64"/>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medium">
        <color auto="1"/>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right style="thin">
        <color indexed="64"/>
      </right>
      <top style="thin">
        <color rgb="FF000000"/>
      </top>
      <bottom/>
      <diagonal/>
    </border>
    <border>
      <left style="thin">
        <color indexed="64"/>
      </left>
      <right/>
      <top style="thin">
        <color rgb="FF000000"/>
      </top>
      <bottom/>
      <diagonal/>
    </border>
    <border>
      <left style="thin">
        <color rgb="FF000000"/>
      </left>
      <right/>
      <top/>
      <bottom style="thin">
        <color indexed="64"/>
      </bottom>
      <diagonal/>
    </border>
  </borders>
  <cellStyleXfs count="18">
    <xf numFmtId="0" fontId="0" fillId="0" borderId="0">
      <alignment vertical="center"/>
    </xf>
    <xf numFmtId="0" fontId="7" fillId="0" borderId="0" applyNumberFormat="0" applyFill="0" applyBorder="0" applyAlignment="0" applyProtection="0">
      <alignment vertical="center"/>
    </xf>
    <xf numFmtId="0" fontId="8" fillId="3" borderId="0" applyNumberFormat="0" applyBorder="0" applyProtection="0">
      <alignment horizontal="center" vertical="center"/>
    </xf>
    <xf numFmtId="0" fontId="8" fillId="4" borderId="0" applyNumberFormat="0" applyBorder="0" applyProtection="0">
      <alignment horizontal="center" vertical="center"/>
    </xf>
    <xf numFmtId="0" fontId="8" fillId="5" borderId="0" applyNumberFormat="0" applyBorder="0" applyProtection="0">
      <alignment horizontal="center" vertical="center"/>
    </xf>
    <xf numFmtId="0" fontId="8" fillId="6" borderId="0" applyNumberFormat="0" applyBorder="0" applyProtection="0">
      <alignment horizontal="center" vertical="center"/>
    </xf>
    <xf numFmtId="0" fontId="8" fillId="8" borderId="0" applyNumberFormat="0" applyBorder="0" applyProtection="0">
      <alignment horizontal="center" vertical="center"/>
    </xf>
    <xf numFmtId="0" fontId="8" fillId="7" borderId="0" applyNumberFormat="0" applyBorder="0" applyProtection="0">
      <alignment horizontal="center" vertical="center"/>
    </xf>
    <xf numFmtId="0" fontId="11" fillId="0" borderId="0">
      <alignment vertical="center"/>
    </xf>
    <xf numFmtId="0" fontId="13" fillId="0" borderId="0"/>
    <xf numFmtId="0" fontId="14" fillId="0" borderId="0"/>
    <xf numFmtId="0" fontId="11" fillId="0" borderId="0">
      <alignment vertical="center"/>
    </xf>
    <xf numFmtId="0" fontId="14" fillId="0" borderId="0"/>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27" fillId="0" borderId="0">
      <alignment vertical="center"/>
    </xf>
    <xf numFmtId="0" fontId="28" fillId="0" borderId="0">
      <alignment vertical="center"/>
    </xf>
  </cellStyleXfs>
  <cellXfs count="393">
    <xf numFmtId="0" fontId="0" fillId="0" borderId="0" xfId="0">
      <alignment vertical="center"/>
    </xf>
    <xf numFmtId="0" fontId="15" fillId="0" borderId="0" xfId="10" applyFont="1"/>
    <xf numFmtId="0" fontId="16" fillId="0" borderId="0" xfId="10" applyFont="1"/>
    <xf numFmtId="0" fontId="17" fillId="0" borderId="0" xfId="10" applyFont="1"/>
    <xf numFmtId="0" fontId="17" fillId="0" borderId="4" xfId="10" applyFont="1" applyBorder="1"/>
    <xf numFmtId="0" fontId="4" fillId="0" borderId="0" xfId="11" applyFont="1" applyAlignment="1"/>
    <xf numFmtId="0" fontId="6" fillId="0" borderId="0" xfId="11" applyFont="1" applyAlignment="1"/>
    <xf numFmtId="0" fontId="4" fillId="0" borderId="6" xfId="11" applyFont="1" applyBorder="1" applyAlignment="1"/>
    <xf numFmtId="0" fontId="4" fillId="0" borderId="0" xfId="10" applyFont="1"/>
    <xf numFmtId="0" fontId="4" fillId="0" borderId="6" xfId="10" applyFont="1" applyBorder="1"/>
    <xf numFmtId="0" fontId="4" fillId="0" borderId="2" xfId="10" applyFont="1" applyBorder="1"/>
    <xf numFmtId="0" fontId="6" fillId="0" borderId="0" xfId="10" applyFont="1"/>
    <xf numFmtId="0" fontId="6" fillId="0" borderId="0" xfId="10" applyFont="1" applyAlignment="1">
      <alignment vertical="center"/>
    </xf>
    <xf numFmtId="0" fontId="6" fillId="0" borderId="1" xfId="10" applyFont="1" applyBorder="1"/>
    <xf numFmtId="0" fontId="4" fillId="0" borderId="1" xfId="10" applyFont="1" applyBorder="1"/>
    <xf numFmtId="0" fontId="4" fillId="0" borderId="3" xfId="10" applyFont="1" applyBorder="1"/>
    <xf numFmtId="0" fontId="9" fillId="0" borderId="0" xfId="10" applyFont="1"/>
    <xf numFmtId="0" fontId="4" fillId="0" borderId="0" xfId="0" applyFont="1">
      <alignment vertical="center"/>
    </xf>
    <xf numFmtId="0" fontId="0" fillId="0" borderId="0" xfId="0" applyAlignment="1">
      <alignment vertical="top"/>
    </xf>
    <xf numFmtId="0" fontId="4" fillId="0" borderId="0" xfId="0" applyFont="1" applyAlignment="1">
      <alignment vertical="top"/>
    </xf>
    <xf numFmtId="0" fontId="9" fillId="0" borderId="0" xfId="0" applyFont="1">
      <alignment vertical="center"/>
    </xf>
    <xf numFmtId="0" fontId="25" fillId="0" borderId="0" xfId="0" applyFont="1">
      <alignment vertical="center"/>
    </xf>
    <xf numFmtId="0" fontId="0" fillId="0" borderId="1" xfId="0" applyBorder="1">
      <alignment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26" fillId="0" borderId="0" xfId="10" applyFont="1"/>
    <xf numFmtId="0" fontId="5" fillId="9" borderId="0" xfId="0" applyFont="1" applyFill="1" applyAlignment="1">
      <alignment horizontal="center" vertical="center"/>
    </xf>
    <xf numFmtId="0" fontId="4" fillId="0" borderId="43" xfId="10" applyFont="1" applyBorder="1"/>
    <xf numFmtId="0" fontId="12" fillId="0" borderId="43" xfId="10" applyFont="1" applyBorder="1" applyAlignment="1">
      <alignment vertical="center"/>
    </xf>
    <xf numFmtId="0" fontId="5" fillId="9" borderId="43" xfId="0" applyFont="1" applyFill="1" applyBorder="1" applyAlignment="1">
      <alignment horizontal="left" vertical="center"/>
    </xf>
    <xf numFmtId="0" fontId="5" fillId="0" borderId="43" xfId="0" applyFont="1" applyBorder="1" applyAlignment="1">
      <alignment horizontal="left" vertical="center"/>
    </xf>
    <xf numFmtId="0" fontId="5" fillId="0" borderId="43" xfId="0" applyFont="1" applyBorder="1" applyAlignment="1">
      <alignment horizontal="center" vertical="center"/>
    </xf>
    <xf numFmtId="0" fontId="6" fillId="0" borderId="43" xfId="10" applyFont="1" applyBorder="1" applyAlignment="1">
      <alignment vertical="center"/>
    </xf>
    <xf numFmtId="0" fontId="0" fillId="0" borderId="43" xfId="0" applyBorder="1">
      <alignment vertical="center"/>
    </xf>
    <xf numFmtId="0" fontId="6" fillId="0" borderId="43" xfId="10" applyFont="1" applyBorder="1"/>
    <xf numFmtId="0" fontId="5" fillId="9" borderId="43" xfId="0" applyFont="1" applyFill="1" applyBorder="1" applyAlignment="1">
      <alignment horizontal="center" vertical="center"/>
    </xf>
    <xf numFmtId="0" fontId="5" fillId="9" borderId="0" xfId="0" applyFont="1" applyFill="1" applyAlignment="1">
      <alignment horizontal="left" vertical="center"/>
    </xf>
    <xf numFmtId="0" fontId="4" fillId="0" borderId="43" xfId="0" applyFont="1" applyBorder="1">
      <alignment vertical="center"/>
    </xf>
    <xf numFmtId="0" fontId="15" fillId="0" borderId="43" xfId="10" applyFont="1" applyBorder="1"/>
    <xf numFmtId="0" fontId="15" fillId="0" borderId="43" xfId="10" applyFont="1" applyBorder="1" applyAlignment="1">
      <alignment vertical="center"/>
    </xf>
    <xf numFmtId="0" fontId="21" fillId="10" borderId="45" xfId="12" applyFont="1" applyFill="1" applyBorder="1" applyAlignment="1">
      <alignment vertical="center"/>
    </xf>
    <xf numFmtId="0" fontId="21" fillId="10" borderId="48" xfId="12" applyFont="1" applyFill="1" applyBorder="1" applyAlignment="1">
      <alignment vertical="center"/>
    </xf>
    <xf numFmtId="0" fontId="5" fillId="9" borderId="45" xfId="0" applyFont="1" applyFill="1" applyBorder="1" applyAlignment="1">
      <alignment horizontal="left" vertical="center"/>
    </xf>
    <xf numFmtId="0" fontId="5" fillId="9" borderId="48" xfId="0" applyFont="1" applyFill="1" applyBorder="1" applyAlignment="1">
      <alignment horizontal="center" vertical="center"/>
    </xf>
    <xf numFmtId="0" fontId="5" fillId="0" borderId="49" xfId="0" applyFont="1" applyBorder="1" applyAlignment="1">
      <alignment horizontal="left" vertical="center"/>
    </xf>
    <xf numFmtId="0" fontId="5" fillId="0" borderId="46" xfId="0" applyFont="1" applyBorder="1" applyAlignment="1">
      <alignment horizontal="center" vertical="center"/>
    </xf>
    <xf numFmtId="0" fontId="5" fillId="0" borderId="47" xfId="0" applyFont="1" applyBorder="1" applyAlignment="1">
      <alignment horizontal="center" vertical="center"/>
    </xf>
    <xf numFmtId="0" fontId="5" fillId="0" borderId="49" xfId="0" applyFont="1" applyBorder="1" applyAlignment="1">
      <alignment horizontal="center" vertical="center"/>
    </xf>
    <xf numFmtId="0" fontId="4" fillId="15" borderId="49" xfId="10" applyFont="1" applyFill="1" applyBorder="1"/>
    <xf numFmtId="0" fontId="4" fillId="15" borderId="46" xfId="10" applyFont="1" applyFill="1" applyBorder="1"/>
    <xf numFmtId="0" fontId="4" fillId="15" borderId="47" xfId="10" applyFont="1" applyFill="1" applyBorder="1"/>
    <xf numFmtId="0" fontId="4" fillId="0" borderId="49" xfId="10" applyFont="1" applyBorder="1"/>
    <xf numFmtId="0" fontId="4" fillId="0" borderId="46" xfId="10" applyFont="1" applyBorder="1"/>
    <xf numFmtId="0" fontId="4" fillId="0" borderId="47" xfId="10" applyFont="1" applyBorder="1"/>
    <xf numFmtId="0" fontId="5" fillId="9" borderId="45" xfId="0" applyFont="1" applyFill="1" applyBorder="1" applyAlignment="1">
      <alignment horizontal="center" vertical="center"/>
    </xf>
    <xf numFmtId="0" fontId="4" fillId="0" borderId="51" xfId="10" applyFont="1" applyBorder="1"/>
    <xf numFmtId="0" fontId="21" fillId="10" borderId="50" xfId="12" applyFont="1" applyFill="1" applyBorder="1" applyAlignment="1">
      <alignment vertical="center"/>
    </xf>
    <xf numFmtId="0" fontId="5" fillId="9" borderId="50" xfId="0" applyFont="1" applyFill="1" applyBorder="1" applyAlignment="1">
      <alignment horizontal="center" vertical="center"/>
    </xf>
    <xf numFmtId="0" fontId="4" fillId="0" borderId="50" xfId="10" applyFont="1" applyBorder="1"/>
    <xf numFmtId="0" fontId="6" fillId="0" borderId="54" xfId="10" applyFont="1" applyBorder="1"/>
    <xf numFmtId="0" fontId="6" fillId="0" borderId="55" xfId="10" applyFont="1" applyBorder="1"/>
    <xf numFmtId="0" fontId="6" fillId="0" borderId="56" xfId="10" applyFont="1" applyBorder="1"/>
    <xf numFmtId="0" fontId="6" fillId="0" borderId="57" xfId="10" applyFont="1" applyBorder="1"/>
    <xf numFmtId="0" fontId="6" fillId="0" borderId="58" xfId="10" applyFont="1" applyBorder="1"/>
    <xf numFmtId="0" fontId="4" fillId="0" borderId="57" xfId="10" applyFont="1" applyBorder="1"/>
    <xf numFmtId="0" fontId="4" fillId="0" borderId="58" xfId="10" applyFont="1" applyBorder="1"/>
    <xf numFmtId="0" fontId="4" fillId="0" borderId="59" xfId="10" applyFont="1" applyBorder="1"/>
    <xf numFmtId="0" fontId="4" fillId="0" borderId="60" xfId="10" applyFont="1" applyBorder="1"/>
    <xf numFmtId="0" fontId="4" fillId="0" borderId="61" xfId="10" applyFont="1" applyBorder="1"/>
    <xf numFmtId="0" fontId="34" fillId="0" borderId="0" xfId="10" applyFont="1"/>
    <xf numFmtId="0" fontId="35" fillId="0" borderId="0" xfId="0" applyFont="1">
      <alignment vertical="center"/>
    </xf>
    <xf numFmtId="0" fontId="0" fillId="0" borderId="57" xfId="0" applyBorder="1">
      <alignment vertical="center"/>
    </xf>
    <xf numFmtId="0" fontId="4" fillId="15" borderId="45" xfId="10" applyFont="1" applyFill="1" applyBorder="1"/>
    <xf numFmtId="0" fontId="4" fillId="15" borderId="50" xfId="10" applyFont="1" applyFill="1" applyBorder="1"/>
    <xf numFmtId="0" fontId="4" fillId="0" borderId="48" xfId="10" applyFont="1" applyBorder="1"/>
    <xf numFmtId="0" fontId="4" fillId="15" borderId="48" xfId="10" applyFont="1" applyFill="1" applyBorder="1"/>
    <xf numFmtId="0" fontId="37" fillId="0" borderId="0" xfId="0" applyFont="1">
      <alignment vertical="center"/>
    </xf>
    <xf numFmtId="0" fontId="5" fillId="9" borderId="46" xfId="0" applyFont="1" applyFill="1" applyBorder="1" applyAlignment="1">
      <alignment horizontal="center" vertical="center"/>
    </xf>
    <xf numFmtId="0" fontId="5" fillId="9" borderId="47" xfId="0" applyFont="1" applyFill="1" applyBorder="1" applyAlignment="1">
      <alignment horizontal="center" vertical="center"/>
    </xf>
    <xf numFmtId="0" fontId="4" fillId="0" borderId="45" xfId="10" applyFont="1" applyBorder="1"/>
    <xf numFmtId="0" fontId="6" fillId="0" borderId="45" xfId="10" applyFont="1" applyBorder="1"/>
    <xf numFmtId="0" fontId="6" fillId="0" borderId="51" xfId="10" applyFont="1" applyBorder="1"/>
    <xf numFmtId="0" fontId="6" fillId="0" borderId="46" xfId="10" applyFont="1" applyBorder="1"/>
    <xf numFmtId="0" fontId="6" fillId="0" borderId="50" xfId="10" applyFont="1" applyBorder="1"/>
    <xf numFmtId="0" fontId="34" fillId="0" borderId="46" xfId="10" applyFont="1" applyBorder="1"/>
    <xf numFmtId="0" fontId="38" fillId="0" borderId="0" xfId="0" applyFont="1">
      <alignment vertical="center"/>
    </xf>
    <xf numFmtId="0" fontId="39" fillId="0" borderId="0" xfId="10" applyFont="1"/>
    <xf numFmtId="0" fontId="34" fillId="0" borderId="45" xfId="10" applyFont="1" applyBorder="1"/>
    <xf numFmtId="0" fontId="5" fillId="9" borderId="49" xfId="0" applyFont="1" applyFill="1" applyBorder="1" applyAlignment="1">
      <alignment horizontal="left" vertical="center"/>
    </xf>
    <xf numFmtId="0" fontId="34" fillId="0" borderId="43" xfId="10" applyFont="1" applyBorder="1"/>
    <xf numFmtId="0" fontId="6" fillId="0" borderId="0" xfId="0" applyFont="1">
      <alignment vertical="center"/>
    </xf>
    <xf numFmtId="0" fontId="6" fillId="0" borderId="0" xfId="0" applyFont="1" applyAlignment="1">
      <alignment horizontal="left" vertical="center"/>
    </xf>
    <xf numFmtId="0" fontId="5" fillId="9" borderId="1" xfId="0" applyFont="1" applyFill="1" applyBorder="1" applyAlignment="1">
      <alignment horizontal="center" vertical="center"/>
    </xf>
    <xf numFmtId="0" fontId="4" fillId="0" borderId="65" xfId="10" applyFont="1" applyBorder="1"/>
    <xf numFmtId="0" fontId="4" fillId="0" borderId="66" xfId="10" applyFont="1" applyBorder="1"/>
    <xf numFmtId="0" fontId="4" fillId="0" borderId="67" xfId="10" applyFont="1" applyBorder="1"/>
    <xf numFmtId="0" fontId="34" fillId="0" borderId="66" xfId="10" applyFont="1" applyBorder="1"/>
    <xf numFmtId="0" fontId="31" fillId="0" borderId="54" xfId="10" applyFont="1" applyBorder="1" applyAlignment="1">
      <alignment horizontal="left" vertical="top" wrapText="1"/>
    </xf>
    <xf numFmtId="0" fontId="31" fillId="0" borderId="55" xfId="10" applyFont="1" applyBorder="1" applyAlignment="1">
      <alignment horizontal="left" vertical="top" wrapText="1"/>
    </xf>
    <xf numFmtId="0" fontId="31" fillId="0" borderId="56" xfId="10" applyFont="1" applyBorder="1" applyAlignment="1">
      <alignment horizontal="left" vertical="top" wrapText="1"/>
    </xf>
    <xf numFmtId="0" fontId="31" fillId="0" borderId="57" xfId="10" applyFont="1" applyBorder="1" applyAlignment="1">
      <alignment horizontal="left" vertical="top" wrapText="1"/>
    </xf>
    <xf numFmtId="0" fontId="31" fillId="0" borderId="0" xfId="10" applyFont="1" applyAlignment="1">
      <alignment horizontal="left" vertical="top" wrapText="1"/>
    </xf>
    <xf numFmtId="0" fontId="31" fillId="0" borderId="58" xfId="10" applyFont="1" applyBorder="1" applyAlignment="1">
      <alignment horizontal="left" vertical="top" wrapText="1"/>
    </xf>
    <xf numFmtId="0" fontId="12" fillId="0" borderId="57" xfId="10" applyFont="1" applyBorder="1" applyAlignment="1">
      <alignment horizontal="center"/>
    </xf>
    <xf numFmtId="0" fontId="12" fillId="0" borderId="0" xfId="10" applyFont="1" applyAlignment="1">
      <alignment horizontal="center"/>
    </xf>
    <xf numFmtId="0" fontId="12" fillId="0" borderId="58" xfId="10" applyFont="1" applyBorder="1" applyAlignment="1">
      <alignment horizontal="center"/>
    </xf>
    <xf numFmtId="0" fontId="12" fillId="0" borderId="59" xfId="10" applyFont="1" applyBorder="1" applyAlignment="1">
      <alignment horizontal="center"/>
    </xf>
    <xf numFmtId="0" fontId="12" fillId="0" borderId="60" xfId="10" applyFont="1" applyBorder="1" applyAlignment="1">
      <alignment horizontal="center"/>
    </xf>
    <xf numFmtId="0" fontId="12" fillId="0" borderId="61" xfId="10" applyFont="1" applyBorder="1" applyAlignment="1">
      <alignment horizontal="center"/>
    </xf>
    <xf numFmtId="0" fontId="34" fillId="0" borderId="43" xfId="0" applyFont="1" applyBorder="1">
      <alignment vertical="center"/>
    </xf>
    <xf numFmtId="0" fontId="4" fillId="0" borderId="0" xfId="10" applyFont="1" applyAlignment="1">
      <alignment horizontal="center" vertical="top" wrapText="1"/>
    </xf>
    <xf numFmtId="0" fontId="4" fillId="0" borderId="43" xfId="10" applyFont="1" applyBorder="1" applyAlignment="1">
      <alignment horizontal="center" vertical="top" wrapText="1"/>
    </xf>
    <xf numFmtId="0" fontId="4" fillId="0" borderId="1" xfId="10" applyFont="1" applyBorder="1" applyAlignment="1">
      <alignment horizontal="center" vertical="top" wrapText="1"/>
    </xf>
    <xf numFmtId="0" fontId="6" fillId="0" borderId="47" xfId="10" applyFont="1" applyBorder="1"/>
    <xf numFmtId="0" fontId="6" fillId="0" borderId="43" xfId="0" applyFont="1" applyBorder="1" applyAlignment="1">
      <alignment horizontal="left" vertical="center"/>
    </xf>
    <xf numFmtId="0" fontId="34" fillId="0" borderId="0" xfId="0" applyFont="1">
      <alignment vertical="center"/>
    </xf>
    <xf numFmtId="0" fontId="40" fillId="0" borderId="0" xfId="10" applyFont="1"/>
    <xf numFmtId="0" fontId="41" fillId="0" borderId="0" xfId="10" applyFont="1"/>
    <xf numFmtId="0" fontId="6" fillId="18" borderId="57" xfId="10" applyFont="1" applyFill="1" applyBorder="1"/>
    <xf numFmtId="0" fontId="6" fillId="18" borderId="0" xfId="10" applyFont="1" applyFill="1"/>
    <xf numFmtId="0" fontId="42" fillId="18" borderId="57" xfId="10" applyFont="1" applyFill="1" applyBorder="1" applyAlignment="1">
      <alignment horizontal="left"/>
    </xf>
    <xf numFmtId="0" fontId="12" fillId="18" borderId="0" xfId="10" applyFont="1" applyFill="1" applyAlignment="1">
      <alignment horizontal="center"/>
    </xf>
    <xf numFmtId="0" fontId="12" fillId="18" borderId="58" xfId="10" applyFont="1" applyFill="1" applyBorder="1" applyAlignment="1">
      <alignment horizontal="center"/>
    </xf>
    <xf numFmtId="0" fontId="6" fillId="18" borderId="57" xfId="10" applyFont="1" applyFill="1" applyBorder="1" applyAlignment="1">
      <alignment horizontal="center" vertical="top" wrapText="1"/>
    </xf>
    <xf numFmtId="0" fontId="6" fillId="18" borderId="0" xfId="10" applyFont="1" applyFill="1" applyAlignment="1">
      <alignment horizontal="center" vertical="top" wrapText="1"/>
    </xf>
    <xf numFmtId="0" fontId="6" fillId="18" borderId="58" xfId="10" applyFont="1" applyFill="1" applyBorder="1" applyAlignment="1">
      <alignment horizontal="left" vertical="top" wrapText="1"/>
    </xf>
    <xf numFmtId="0" fontId="4" fillId="18" borderId="59" xfId="10" applyFont="1" applyFill="1" applyBorder="1"/>
    <xf numFmtId="0" fontId="4" fillId="18" borderId="60" xfId="10" applyFont="1" applyFill="1" applyBorder="1"/>
    <xf numFmtId="0" fontId="31" fillId="0" borderId="1" xfId="10" applyFont="1" applyBorder="1" applyAlignment="1">
      <alignment horizontal="left" vertical="top" wrapText="1"/>
    </xf>
    <xf numFmtId="0" fontId="31" fillId="0" borderId="43" xfId="10" applyFont="1" applyBorder="1" applyAlignment="1">
      <alignment horizontal="left" vertical="top" wrapText="1"/>
    </xf>
    <xf numFmtId="0" fontId="4" fillId="0" borderId="0" xfId="10" quotePrefix="1" applyFont="1"/>
    <xf numFmtId="0" fontId="5" fillId="0" borderId="2" xfId="0" applyFont="1" applyBorder="1" applyAlignment="1">
      <alignment horizontal="center" vertical="center"/>
    </xf>
    <xf numFmtId="0" fontId="6" fillId="0" borderId="2" xfId="0" quotePrefix="1" applyFont="1" applyBorder="1" applyAlignment="1">
      <alignment horizontal="left" vertical="center"/>
    </xf>
    <xf numFmtId="0" fontId="5" fillId="0" borderId="3" xfId="0" applyFont="1" applyBorder="1" applyAlignment="1">
      <alignment horizontal="center" vertical="center"/>
    </xf>
    <xf numFmtId="0" fontId="5" fillId="0" borderId="51" xfId="0" applyFont="1" applyBorder="1" applyAlignment="1">
      <alignment horizontal="center" vertical="center"/>
    </xf>
    <xf numFmtId="0" fontId="4" fillId="0" borderId="73" xfId="10" applyFont="1" applyBorder="1"/>
    <xf numFmtId="0" fontId="43" fillId="0" borderId="0" xfId="10" applyFont="1"/>
    <xf numFmtId="0" fontId="0" fillId="0" borderId="0" xfId="11" applyFont="1" applyAlignment="1"/>
    <xf numFmtId="0" fontId="6" fillId="2" borderId="25" xfId="12" applyFont="1" applyFill="1" applyBorder="1" applyAlignment="1">
      <alignment horizontal="center" vertical="center"/>
    </xf>
    <xf numFmtId="0" fontId="6" fillId="2" borderId="26" xfId="12" applyFont="1" applyFill="1" applyBorder="1" applyAlignment="1">
      <alignment horizontal="center" vertical="center"/>
    </xf>
    <xf numFmtId="0" fontId="6" fillId="2" borderId="27" xfId="12" applyFont="1" applyFill="1" applyBorder="1" applyAlignment="1">
      <alignment horizontal="center" vertical="center"/>
    </xf>
    <xf numFmtId="0" fontId="22" fillId="2" borderId="31" xfId="12" applyFont="1" applyFill="1" applyBorder="1" applyAlignment="1">
      <alignment horizontal="center" vertical="center"/>
    </xf>
    <xf numFmtId="0" fontId="22" fillId="2" borderId="32" xfId="12" applyFont="1" applyFill="1" applyBorder="1" applyAlignment="1">
      <alignment horizontal="center" vertical="center"/>
    </xf>
    <xf numFmtId="176" fontId="6" fillId="2" borderId="33" xfId="12" applyNumberFormat="1" applyFont="1" applyFill="1" applyBorder="1" applyAlignment="1">
      <alignment horizontal="center" vertical="center"/>
    </xf>
    <xf numFmtId="176" fontId="6" fillId="2" borderId="34" xfId="12" applyNumberFormat="1" applyFont="1" applyFill="1" applyBorder="1" applyAlignment="1">
      <alignment horizontal="center" vertical="center"/>
    </xf>
    <xf numFmtId="176" fontId="6" fillId="2" borderId="35" xfId="12" applyNumberFormat="1" applyFont="1" applyFill="1" applyBorder="1" applyAlignment="1">
      <alignment horizontal="center" vertical="center"/>
    </xf>
    <xf numFmtId="0" fontId="6" fillId="2" borderId="36" xfId="12" applyFont="1" applyFill="1" applyBorder="1" applyAlignment="1">
      <alignment horizontal="center" vertical="center"/>
    </xf>
    <xf numFmtId="0" fontId="6" fillId="2" borderId="37" xfId="12" applyFont="1" applyFill="1" applyBorder="1" applyAlignment="1">
      <alignment horizontal="center" vertical="center"/>
    </xf>
    <xf numFmtId="0" fontId="6" fillId="2" borderId="38" xfId="12" applyFont="1" applyFill="1" applyBorder="1" applyAlignment="1">
      <alignment horizontal="center" vertical="center"/>
    </xf>
    <xf numFmtId="0" fontId="21" fillId="10" borderId="5" xfId="12" applyFont="1" applyFill="1" applyBorder="1" applyAlignment="1">
      <alignment horizontal="center" vertical="center"/>
    </xf>
    <xf numFmtId="0" fontId="21" fillId="10" borderId="6" xfId="12" applyFont="1" applyFill="1" applyBorder="1" applyAlignment="1">
      <alignment horizontal="center" vertical="center"/>
    </xf>
    <xf numFmtId="0" fontId="21" fillId="10" borderId="8" xfId="12" applyFont="1" applyFill="1" applyBorder="1" applyAlignment="1">
      <alignment horizontal="center" vertical="center"/>
    </xf>
    <xf numFmtId="0" fontId="21" fillId="10" borderId="9" xfId="12" applyFont="1" applyFill="1" applyBorder="1" applyAlignment="1">
      <alignment horizontal="center" vertical="center"/>
    </xf>
    <xf numFmtId="0" fontId="21" fillId="10" borderId="7" xfId="12" applyFont="1" applyFill="1" applyBorder="1" applyAlignment="1">
      <alignment horizontal="center" vertical="center"/>
    </xf>
    <xf numFmtId="0" fontId="21" fillId="10" borderId="13" xfId="12" applyFont="1" applyFill="1" applyBorder="1" applyAlignment="1">
      <alignment horizontal="center" vertical="center"/>
    </xf>
    <xf numFmtId="0" fontId="22" fillId="0" borderId="5" xfId="12" applyFont="1" applyBorder="1" applyAlignment="1">
      <alignment horizontal="left" vertical="center"/>
    </xf>
    <xf numFmtId="0" fontId="22" fillId="0" borderId="6" xfId="12" applyFont="1" applyBorder="1" applyAlignment="1">
      <alignment horizontal="left" vertical="center"/>
    </xf>
    <xf numFmtId="0" fontId="22" fillId="0" borderId="8" xfId="12" applyFont="1" applyBorder="1" applyAlignment="1">
      <alignment horizontal="left" vertical="center"/>
    </xf>
    <xf numFmtId="0" fontId="22" fillId="0" borderId="9" xfId="12" applyFont="1" applyBorder="1" applyAlignment="1">
      <alignment horizontal="left" vertical="center"/>
    </xf>
    <xf numFmtId="0" fontId="22" fillId="0" borderId="7" xfId="12" applyFont="1" applyBorder="1" applyAlignment="1">
      <alignment horizontal="left" vertical="center"/>
    </xf>
    <xf numFmtId="0" fontId="22" fillId="0" borderId="13" xfId="12" applyFont="1" applyBorder="1" applyAlignment="1">
      <alignment horizontal="left" vertical="center"/>
    </xf>
    <xf numFmtId="0" fontId="22" fillId="2" borderId="20" xfId="12" applyFont="1" applyFill="1" applyBorder="1" applyAlignment="1">
      <alignment horizontal="center" vertical="center"/>
    </xf>
    <xf numFmtId="0" fontId="22" fillId="2" borderId="21" xfId="12" applyFont="1" applyFill="1" applyBorder="1" applyAlignment="1">
      <alignment horizontal="center" vertical="center"/>
    </xf>
    <xf numFmtId="176" fontId="6" fillId="2" borderId="22" xfId="12" applyNumberFormat="1" applyFont="1" applyFill="1" applyBorder="1" applyAlignment="1">
      <alignment horizontal="center" vertical="center"/>
    </xf>
    <xf numFmtId="176" fontId="6" fillId="2" borderId="23" xfId="12" applyNumberFormat="1" applyFont="1" applyFill="1" applyBorder="1" applyAlignment="1">
      <alignment horizontal="center" vertical="center"/>
    </xf>
    <xf numFmtId="176" fontId="6" fillId="2" borderId="24" xfId="12" applyNumberFormat="1" applyFont="1" applyFill="1" applyBorder="1" applyAlignment="1">
      <alignment horizontal="center" vertical="center"/>
    </xf>
    <xf numFmtId="0" fontId="21" fillId="10" borderId="10" xfId="12" applyFont="1" applyFill="1" applyBorder="1" applyAlignment="1">
      <alignment horizontal="center" vertical="center"/>
    </xf>
    <xf numFmtId="0" fontId="21" fillId="10" borderId="11" xfId="12" applyFont="1" applyFill="1" applyBorder="1" applyAlignment="1">
      <alignment horizontal="center" vertical="center"/>
    </xf>
    <xf numFmtId="0" fontId="21" fillId="10" borderId="12" xfId="12" applyFont="1" applyFill="1" applyBorder="1" applyAlignment="1">
      <alignment horizontal="center" vertical="center"/>
    </xf>
    <xf numFmtId="0" fontId="22" fillId="0" borderId="10" xfId="12" applyFont="1" applyBorder="1" applyAlignment="1">
      <alignment horizontal="left" vertical="center"/>
    </xf>
    <xf numFmtId="0" fontId="22" fillId="0" borderId="11" xfId="12" applyFont="1" applyBorder="1" applyAlignment="1">
      <alignment horizontal="left" vertical="center"/>
    </xf>
    <xf numFmtId="0" fontId="22" fillId="0" borderId="12" xfId="12" applyFont="1" applyBorder="1" applyAlignment="1">
      <alignment horizontal="left" vertical="center"/>
    </xf>
    <xf numFmtId="0" fontId="30" fillId="0" borderId="57" xfId="10" applyFont="1" applyBorder="1" applyAlignment="1">
      <alignment horizontal="left" vertical="top" wrapText="1"/>
    </xf>
    <xf numFmtId="0" fontId="30" fillId="0" borderId="0" xfId="10" applyFont="1" applyAlignment="1">
      <alignment horizontal="left" vertical="top" wrapText="1"/>
    </xf>
    <xf numFmtId="0" fontId="30" fillId="0" borderId="58" xfId="10" applyFont="1" applyBorder="1" applyAlignment="1">
      <alignment horizontal="left" vertical="top" wrapText="1"/>
    </xf>
    <xf numFmtId="0" fontId="6" fillId="0" borderId="57" xfId="10" applyFont="1" applyBorder="1" applyAlignment="1">
      <alignment horizontal="center" vertical="top" wrapText="1"/>
    </xf>
    <xf numFmtId="0" fontId="6" fillId="0" borderId="0" xfId="10" applyFont="1" applyAlignment="1">
      <alignment horizontal="center" vertical="top" wrapText="1"/>
    </xf>
    <xf numFmtId="0" fontId="6" fillId="0" borderId="58" xfId="10" applyFont="1" applyBorder="1" applyAlignment="1">
      <alignment horizontal="center" vertical="top" wrapText="1"/>
    </xf>
    <xf numFmtId="0" fontId="6" fillId="0" borderId="57" xfId="10" applyFont="1" applyBorder="1" applyAlignment="1">
      <alignment horizontal="left" vertical="top" wrapText="1"/>
    </xf>
    <xf numFmtId="0" fontId="6" fillId="0" borderId="0" xfId="10" applyFont="1" applyAlignment="1">
      <alignment horizontal="left" vertical="top" wrapText="1"/>
    </xf>
    <xf numFmtId="0" fontId="6" fillId="0" borderId="58" xfId="10" applyFont="1" applyBorder="1" applyAlignment="1">
      <alignment horizontal="left" vertical="top" wrapText="1"/>
    </xf>
    <xf numFmtId="0" fontId="4" fillId="0" borderId="57" xfId="10" applyFont="1" applyBorder="1" applyAlignment="1">
      <alignment horizontal="left" vertical="top" wrapText="1"/>
    </xf>
    <xf numFmtId="0" fontId="4" fillId="0" borderId="0" xfId="10" applyFont="1" applyAlignment="1">
      <alignment horizontal="left" vertical="top"/>
    </xf>
    <xf numFmtId="0" fontId="4" fillId="0" borderId="58" xfId="10" applyFont="1" applyBorder="1" applyAlignment="1">
      <alignment horizontal="left" vertical="top"/>
    </xf>
    <xf numFmtId="0" fontId="4" fillId="0" borderId="57" xfId="10" applyFont="1" applyBorder="1" applyAlignment="1">
      <alignment horizontal="left" vertical="top"/>
    </xf>
    <xf numFmtId="0" fontId="29" fillId="16" borderId="52" xfId="10" applyFont="1" applyFill="1" applyBorder="1" applyAlignment="1">
      <alignment horizontal="center" wrapText="1"/>
    </xf>
    <xf numFmtId="0" fontId="29" fillId="16" borderId="52" xfId="10" applyFont="1" applyFill="1" applyBorder="1" applyAlignment="1">
      <alignment horizontal="center"/>
    </xf>
    <xf numFmtId="0" fontId="29" fillId="16" borderId="53" xfId="10" applyFont="1" applyFill="1" applyBorder="1" applyAlignment="1">
      <alignment horizontal="center"/>
    </xf>
    <xf numFmtId="0" fontId="12" fillId="16" borderId="62" xfId="10" applyFont="1" applyFill="1" applyBorder="1" applyAlignment="1">
      <alignment horizontal="center" wrapText="1"/>
    </xf>
    <xf numFmtId="0" fontId="12" fillId="16" borderId="63" xfId="10" applyFont="1" applyFill="1" applyBorder="1" applyAlignment="1">
      <alignment horizontal="center"/>
    </xf>
    <xf numFmtId="0" fontId="12" fillId="16" borderId="64" xfId="10" applyFont="1" applyFill="1" applyBorder="1" applyAlignment="1">
      <alignment horizontal="center"/>
    </xf>
    <xf numFmtId="0" fontId="12" fillId="16" borderId="54" xfId="10" applyFont="1" applyFill="1" applyBorder="1" applyAlignment="1">
      <alignment horizontal="center"/>
    </xf>
    <xf numFmtId="0" fontId="12" fillId="16" borderId="55" xfId="10" applyFont="1" applyFill="1" applyBorder="1" applyAlignment="1">
      <alignment horizontal="center"/>
    </xf>
    <xf numFmtId="0" fontId="12" fillId="16" borderId="56" xfId="10" applyFont="1" applyFill="1" applyBorder="1" applyAlignment="1">
      <alignment horizontal="center"/>
    </xf>
    <xf numFmtId="0" fontId="31" fillId="0" borderId="43" xfId="10" applyFont="1" applyBorder="1" applyAlignment="1">
      <alignment horizontal="left" vertical="top" wrapText="1"/>
    </xf>
    <xf numFmtId="0" fontId="31" fillId="0" borderId="0" xfId="10" applyFont="1" applyAlignment="1">
      <alignment horizontal="left" vertical="top" wrapText="1"/>
    </xf>
    <xf numFmtId="0" fontId="31" fillId="0" borderId="1" xfId="10" applyFont="1" applyBorder="1" applyAlignment="1">
      <alignment horizontal="left" vertical="top" wrapText="1"/>
    </xf>
    <xf numFmtId="0" fontId="12" fillId="11" borderId="45" xfId="0" applyFont="1" applyFill="1" applyBorder="1" applyAlignment="1">
      <alignment horizontal="center" vertical="center"/>
    </xf>
    <xf numFmtId="0" fontId="12" fillId="11" borderId="50" xfId="0" applyFont="1" applyFill="1" applyBorder="1" applyAlignment="1">
      <alignment horizontal="center" vertical="center"/>
    </xf>
    <xf numFmtId="0" fontId="12" fillId="11" borderId="48" xfId="0" applyFont="1" applyFill="1" applyBorder="1" applyAlignment="1">
      <alignment horizontal="center" vertical="center"/>
    </xf>
    <xf numFmtId="0" fontId="12" fillId="12" borderId="44" xfId="0" applyFont="1" applyFill="1" applyBorder="1" applyAlignment="1">
      <alignment horizontal="center" vertical="center" wrapText="1"/>
    </xf>
    <xf numFmtId="0" fontId="12" fillId="12" borderId="44" xfId="0" applyFont="1" applyFill="1" applyBorder="1" applyAlignment="1">
      <alignment horizontal="center" vertical="center"/>
    </xf>
    <xf numFmtId="0" fontId="12" fillId="14" borderId="45" xfId="0" applyFont="1" applyFill="1" applyBorder="1" applyAlignment="1">
      <alignment horizontal="center" vertical="center"/>
    </xf>
    <xf numFmtId="0" fontId="12" fillId="14" borderId="50" xfId="0" applyFont="1" applyFill="1" applyBorder="1" applyAlignment="1">
      <alignment horizontal="center" vertical="center"/>
    </xf>
    <xf numFmtId="0" fontId="12" fillId="14" borderId="48" xfId="0" applyFont="1" applyFill="1" applyBorder="1" applyAlignment="1">
      <alignment horizontal="center" vertical="center"/>
    </xf>
    <xf numFmtId="0" fontId="31" fillId="0" borderId="72" xfId="10" applyFont="1" applyBorder="1" applyAlignment="1">
      <alignment horizontal="left" vertical="top" wrapText="1"/>
    </xf>
    <xf numFmtId="0" fontId="31" fillId="0" borderId="55" xfId="10" applyFont="1" applyBorder="1" applyAlignment="1">
      <alignment horizontal="left" vertical="top" wrapText="1"/>
    </xf>
    <xf numFmtId="0" fontId="31" fillId="0" borderId="71" xfId="10" applyFont="1" applyBorder="1" applyAlignment="1">
      <alignment horizontal="left" vertical="top" wrapText="1"/>
    </xf>
    <xf numFmtId="0" fontId="12" fillId="11" borderId="49" xfId="0" applyFont="1" applyFill="1" applyBorder="1" applyAlignment="1">
      <alignment horizontal="center" vertical="center"/>
    </xf>
    <xf numFmtId="0" fontId="12" fillId="11" borderId="46" xfId="0" applyFont="1" applyFill="1" applyBorder="1" applyAlignment="1">
      <alignment horizontal="center" vertical="center"/>
    </xf>
    <xf numFmtId="0" fontId="12" fillId="11" borderId="47" xfId="0" applyFont="1" applyFill="1" applyBorder="1" applyAlignment="1">
      <alignment horizontal="center" vertical="center"/>
    </xf>
    <xf numFmtId="0" fontId="12" fillId="11" borderId="51" xfId="0" applyFont="1" applyFill="1" applyBorder="1" applyAlignment="1">
      <alignment horizontal="center" vertical="center"/>
    </xf>
    <xf numFmtId="0" fontId="12" fillId="11" borderId="2" xfId="0" applyFont="1" applyFill="1" applyBorder="1" applyAlignment="1">
      <alignment horizontal="center" vertical="center"/>
    </xf>
    <xf numFmtId="0" fontId="12" fillId="11" borderId="3" xfId="0" applyFont="1" applyFill="1" applyBorder="1" applyAlignment="1">
      <alignment horizontal="center" vertical="center"/>
    </xf>
    <xf numFmtId="0" fontId="33" fillId="0" borderId="57" xfId="10" applyFont="1" applyBorder="1" applyAlignment="1">
      <alignment horizontal="left" vertical="top" wrapText="1"/>
    </xf>
    <xf numFmtId="0" fontId="33" fillId="0" borderId="0" xfId="10" applyFont="1" applyAlignment="1">
      <alignment horizontal="left" vertical="top" wrapText="1"/>
    </xf>
    <xf numFmtId="0" fontId="33" fillId="0" borderId="58" xfId="10" applyFont="1" applyBorder="1" applyAlignment="1">
      <alignment horizontal="left" vertical="top" wrapText="1"/>
    </xf>
    <xf numFmtId="0" fontId="31" fillId="0" borderId="54" xfId="10" applyFont="1" applyBorder="1" applyAlignment="1">
      <alignment horizontal="left" vertical="top" wrapText="1"/>
    </xf>
    <xf numFmtId="0" fontId="31" fillId="0" borderId="56" xfId="10" applyFont="1" applyBorder="1" applyAlignment="1">
      <alignment horizontal="left" vertical="top" wrapText="1"/>
    </xf>
    <xf numFmtId="0" fontId="31" fillId="0" borderId="57" xfId="10" applyFont="1" applyBorder="1" applyAlignment="1">
      <alignment horizontal="left" vertical="top" wrapText="1"/>
    </xf>
    <xf numFmtId="0" fontId="31" fillId="0" borderId="58" xfId="10" applyFont="1" applyBorder="1" applyAlignment="1">
      <alignment horizontal="left" vertical="top" wrapText="1"/>
    </xf>
    <xf numFmtId="0" fontId="15" fillId="0" borderId="49" xfId="10" applyFont="1" applyBorder="1" applyAlignment="1">
      <alignment horizontal="center" vertical="center" wrapText="1"/>
    </xf>
    <xf numFmtId="0" fontId="15" fillId="0" borderId="46" xfId="10" applyFont="1" applyBorder="1" applyAlignment="1">
      <alignment horizontal="center" vertical="center"/>
    </xf>
    <xf numFmtId="0" fontId="15" fillId="0" borderId="43" xfId="10" applyFont="1" applyBorder="1" applyAlignment="1">
      <alignment horizontal="center" vertical="center"/>
    </xf>
    <xf numFmtId="0" fontId="15" fillId="0" borderId="0" xfId="10" applyFont="1" applyAlignment="1">
      <alignment horizontal="center" vertical="center"/>
    </xf>
    <xf numFmtId="0" fontId="15" fillId="0" borderId="51" xfId="10" applyFont="1" applyBorder="1" applyAlignment="1">
      <alignment horizontal="center" vertical="center"/>
    </xf>
    <xf numFmtId="0" fontId="15" fillId="0" borderId="2" xfId="10" applyFont="1" applyBorder="1" applyAlignment="1">
      <alignment horizontal="center" vertical="center"/>
    </xf>
    <xf numFmtId="0" fontId="15" fillId="0" borderId="49" xfId="11" applyFont="1" applyBorder="1" applyAlignment="1">
      <alignment horizontal="center" vertical="center" wrapText="1"/>
    </xf>
    <xf numFmtId="0" fontId="15" fillId="0" borderId="46" xfId="11" applyFont="1" applyBorder="1" applyAlignment="1">
      <alignment horizontal="center" vertical="center"/>
    </xf>
    <xf numFmtId="0" fontId="15" fillId="0" borderId="47" xfId="11" applyFont="1" applyBorder="1" applyAlignment="1">
      <alignment horizontal="center" vertical="center"/>
    </xf>
    <xf numFmtId="0" fontId="15" fillId="0" borderId="43" xfId="11" applyFont="1" applyBorder="1" applyAlignment="1">
      <alignment horizontal="center" vertical="center"/>
    </xf>
    <xf numFmtId="0" fontId="15" fillId="0" borderId="0" xfId="11" applyFont="1" applyAlignment="1">
      <alignment horizontal="center" vertical="center"/>
    </xf>
    <xf numFmtId="0" fontId="15" fillId="0" borderId="1" xfId="11" applyFont="1" applyBorder="1" applyAlignment="1">
      <alignment horizontal="center" vertical="center"/>
    </xf>
    <xf numFmtId="0" fontId="15" fillId="0" borderId="51" xfId="11" applyFont="1" applyBorder="1" applyAlignment="1">
      <alignment horizontal="center" vertical="center"/>
    </xf>
    <xf numFmtId="0" fontId="15" fillId="0" borderId="2" xfId="11" applyFont="1" applyBorder="1" applyAlignment="1">
      <alignment horizontal="center" vertical="center"/>
    </xf>
    <xf numFmtId="0" fontId="15" fillId="0" borderId="3" xfId="11" applyFont="1" applyBorder="1" applyAlignment="1">
      <alignment horizontal="center" vertical="center"/>
    </xf>
    <xf numFmtId="0" fontId="15" fillId="0" borderId="2" xfId="10" applyFont="1" applyBorder="1" applyAlignment="1">
      <alignment horizontal="center"/>
    </xf>
    <xf numFmtId="0" fontId="15" fillId="0" borderId="2" xfId="10" applyFont="1" applyBorder="1" applyAlignment="1">
      <alignment horizontal="center" wrapText="1"/>
    </xf>
    <xf numFmtId="0" fontId="15" fillId="2" borderId="2" xfId="10" applyFont="1" applyFill="1" applyBorder="1" applyAlignment="1">
      <alignment horizontal="center" wrapText="1"/>
    </xf>
    <xf numFmtId="0" fontId="15" fillId="2" borderId="2" xfId="10" applyFont="1" applyFill="1" applyBorder="1" applyAlignment="1">
      <alignment horizontal="center"/>
    </xf>
    <xf numFmtId="14" fontId="15" fillId="0" borderId="45" xfId="10" applyNumberFormat="1" applyFont="1" applyBorder="1" applyAlignment="1">
      <alignment horizontal="center"/>
    </xf>
    <xf numFmtId="14" fontId="15" fillId="0" borderId="50" xfId="10" applyNumberFormat="1" applyFont="1" applyBorder="1" applyAlignment="1">
      <alignment horizontal="center"/>
    </xf>
    <xf numFmtId="14" fontId="15" fillId="0" borderId="48" xfId="10" applyNumberFormat="1" applyFont="1" applyBorder="1" applyAlignment="1">
      <alignment horizontal="center"/>
    </xf>
    <xf numFmtId="0" fontId="20" fillId="0" borderId="0" xfId="10" applyFont="1" applyAlignment="1">
      <alignment horizontal="center" vertical="center"/>
    </xf>
    <xf numFmtId="0" fontId="18" fillId="0" borderId="0" xfId="10" applyFont="1" applyAlignment="1">
      <alignment horizontal="center"/>
    </xf>
    <xf numFmtId="0" fontId="18" fillId="0" borderId="4" xfId="10" applyFont="1" applyBorder="1" applyAlignment="1">
      <alignment horizontal="center"/>
    </xf>
    <xf numFmtId="0" fontId="19" fillId="0" borderId="49" xfId="10" applyFont="1" applyBorder="1" applyAlignment="1">
      <alignment horizontal="center" vertical="center"/>
    </xf>
    <xf numFmtId="0" fontId="19" fillId="0" borderId="46" xfId="10" applyFont="1" applyBorder="1" applyAlignment="1">
      <alignment horizontal="center" vertical="center"/>
    </xf>
    <xf numFmtId="0" fontId="19" fillId="0" borderId="47" xfId="10" applyFont="1" applyBorder="1" applyAlignment="1">
      <alignment horizontal="center" vertical="center"/>
    </xf>
    <xf numFmtId="0" fontId="19" fillId="0" borderId="43" xfId="10" applyFont="1" applyBorder="1" applyAlignment="1">
      <alignment horizontal="center" vertical="center"/>
    </xf>
    <xf numFmtId="0" fontId="19" fillId="0" borderId="0" xfId="10" applyFont="1" applyAlignment="1">
      <alignment horizontal="center" vertical="center"/>
    </xf>
    <xf numFmtId="0" fontId="19" fillId="0" borderId="1" xfId="10" applyFont="1" applyBorder="1" applyAlignment="1">
      <alignment horizontal="center" vertical="center"/>
    </xf>
    <xf numFmtId="0" fontId="18" fillId="0" borderId="43" xfId="10" applyFont="1" applyBorder="1" applyAlignment="1">
      <alignment horizontal="center" vertical="center"/>
    </xf>
    <xf numFmtId="0" fontId="18" fillId="0" borderId="0" xfId="10" applyFont="1" applyAlignment="1">
      <alignment horizontal="center" vertical="center"/>
    </xf>
    <xf numFmtId="0" fontId="18" fillId="0" borderId="1" xfId="10" applyFont="1" applyBorder="1" applyAlignment="1">
      <alignment horizontal="center" vertical="center"/>
    </xf>
    <xf numFmtId="0" fontId="18" fillId="0" borderId="51" xfId="10" applyFont="1" applyBorder="1" applyAlignment="1">
      <alignment horizontal="center" vertical="center"/>
    </xf>
    <xf numFmtId="0" fontId="18" fillId="0" borderId="2" xfId="10" applyFont="1" applyBorder="1" applyAlignment="1">
      <alignment horizontal="center" vertical="center"/>
    </xf>
    <xf numFmtId="0" fontId="18" fillId="0" borderId="3" xfId="10" applyFont="1" applyBorder="1" applyAlignment="1">
      <alignment horizontal="center" vertical="center"/>
    </xf>
    <xf numFmtId="14" fontId="20" fillId="0" borderId="0" xfId="10" applyNumberFormat="1" applyFont="1" applyAlignment="1">
      <alignment horizontal="center" vertical="center"/>
    </xf>
    <xf numFmtId="14" fontId="44" fillId="2" borderId="41" xfId="12" applyNumberFormat="1" applyFont="1" applyFill="1" applyBorder="1" applyAlignment="1">
      <alignment horizontal="left" vertical="top"/>
    </xf>
    <xf numFmtId="0" fontId="22" fillId="2" borderId="68" xfId="12" applyFont="1" applyFill="1" applyBorder="1" applyAlignment="1">
      <alignment horizontal="left" vertical="top"/>
    </xf>
    <xf numFmtId="0" fontId="22" fillId="2" borderId="69" xfId="12" applyFont="1" applyFill="1" applyBorder="1" applyAlignment="1">
      <alignment horizontal="left" vertical="top"/>
    </xf>
    <xf numFmtId="0" fontId="22" fillId="2" borderId="70" xfId="12" applyFont="1" applyFill="1" applyBorder="1" applyAlignment="1">
      <alignment horizontal="left" vertical="top"/>
    </xf>
    <xf numFmtId="0" fontId="44" fillId="2" borderId="41" xfId="12" applyFont="1" applyFill="1" applyBorder="1" applyAlignment="1">
      <alignment vertical="top" wrapText="1"/>
    </xf>
    <xf numFmtId="0" fontId="44" fillId="2" borderId="41" xfId="12" applyFont="1" applyFill="1" applyBorder="1" applyAlignment="1">
      <alignment vertical="top"/>
    </xf>
    <xf numFmtId="0" fontId="44" fillId="2" borderId="68" xfId="12" applyFont="1" applyFill="1" applyBorder="1" applyAlignment="1">
      <alignment horizontal="center" vertical="top" wrapText="1"/>
    </xf>
    <xf numFmtId="0" fontId="44" fillId="2" borderId="69" xfId="12" applyFont="1" applyFill="1" applyBorder="1" applyAlignment="1">
      <alignment horizontal="center" vertical="top" wrapText="1"/>
    </xf>
    <xf numFmtId="0" fontId="44" fillId="2" borderId="70" xfId="12" applyFont="1" applyFill="1" applyBorder="1" applyAlignment="1">
      <alignment horizontal="center" vertical="top" wrapText="1"/>
    </xf>
    <xf numFmtId="49" fontId="44" fillId="2" borderId="41" xfId="12" applyNumberFormat="1" applyFont="1" applyFill="1" applyBorder="1" applyAlignment="1">
      <alignment horizontal="center" vertical="top"/>
    </xf>
    <xf numFmtId="14" fontId="22" fillId="2" borderId="68" xfId="12" applyNumberFormat="1" applyFont="1" applyFill="1" applyBorder="1" applyAlignment="1">
      <alignment horizontal="left" vertical="top"/>
    </xf>
    <xf numFmtId="14" fontId="22" fillId="2" borderId="69" xfId="12" applyNumberFormat="1" applyFont="1" applyFill="1" applyBorder="1" applyAlignment="1">
      <alignment horizontal="left" vertical="top"/>
    </xf>
    <xf numFmtId="14" fontId="22" fillId="2" borderId="70" xfId="12" applyNumberFormat="1" applyFont="1" applyFill="1" applyBorder="1" applyAlignment="1">
      <alignment horizontal="left" vertical="top"/>
    </xf>
    <xf numFmtId="0" fontId="22" fillId="2" borderId="41" xfId="12" applyFont="1" applyFill="1" applyBorder="1" applyAlignment="1">
      <alignment vertical="top"/>
    </xf>
    <xf numFmtId="0" fontId="22" fillId="2" borderId="68" xfId="12" applyFont="1" applyFill="1" applyBorder="1" applyAlignment="1">
      <alignment horizontal="center" vertical="top" wrapText="1"/>
    </xf>
    <xf numFmtId="0" fontId="22" fillId="2" borderId="69" xfId="12" applyFont="1" applyFill="1" applyBorder="1" applyAlignment="1">
      <alignment horizontal="center" vertical="top" wrapText="1"/>
    </xf>
    <xf numFmtId="0" fontId="22" fillId="2" borderId="70" xfId="12" applyFont="1" applyFill="1" applyBorder="1" applyAlignment="1">
      <alignment horizontal="center" vertical="top" wrapText="1"/>
    </xf>
    <xf numFmtId="49" fontId="22" fillId="2" borderId="41" xfId="12" applyNumberFormat="1" applyFont="1" applyFill="1" applyBorder="1" applyAlignment="1">
      <alignment horizontal="center" vertical="top"/>
    </xf>
    <xf numFmtId="14" fontId="22" fillId="2" borderId="41" xfId="12" applyNumberFormat="1" applyFont="1" applyFill="1" applyBorder="1" applyAlignment="1">
      <alignment horizontal="left" vertical="top"/>
    </xf>
    <xf numFmtId="0" fontId="22" fillId="2" borderId="41" xfId="12" applyFont="1" applyFill="1" applyBorder="1" applyAlignment="1">
      <alignment horizontal="left" vertical="top"/>
    </xf>
    <xf numFmtId="0" fontId="44" fillId="2" borderId="68" xfId="12" applyFont="1" applyFill="1" applyBorder="1" applyAlignment="1">
      <alignment horizontal="left" vertical="top"/>
    </xf>
    <xf numFmtId="0" fontId="44" fillId="2" borderId="69" xfId="12" applyFont="1" applyFill="1" applyBorder="1" applyAlignment="1">
      <alignment horizontal="left" vertical="top"/>
    </xf>
    <xf numFmtId="0" fontId="44" fillId="2" borderId="70" xfId="12" applyFont="1" applyFill="1" applyBorder="1" applyAlignment="1">
      <alignment horizontal="left" vertical="top"/>
    </xf>
    <xf numFmtId="14" fontId="22" fillId="2" borderId="42" xfId="12" applyNumberFormat="1" applyFont="1" applyFill="1" applyBorder="1" applyAlignment="1">
      <alignment horizontal="left" vertical="top"/>
    </xf>
    <xf numFmtId="0" fontId="22" fillId="2" borderId="42" xfId="12" applyFont="1" applyFill="1" applyBorder="1" applyAlignment="1">
      <alignment horizontal="left" vertical="top"/>
    </xf>
    <xf numFmtId="0" fontId="22" fillId="2" borderId="42" xfId="12" applyFont="1" applyFill="1" applyBorder="1" applyAlignment="1">
      <alignment vertical="top"/>
    </xf>
    <xf numFmtId="0" fontId="22" fillId="2" borderId="42" xfId="12" applyFont="1" applyFill="1" applyBorder="1" applyAlignment="1">
      <alignment horizontal="center" vertical="top" wrapText="1"/>
    </xf>
    <xf numFmtId="49" fontId="22" fillId="2" borderId="42" xfId="12" applyNumberFormat="1" applyFont="1" applyFill="1" applyBorder="1" applyAlignment="1">
      <alignment horizontal="center" vertical="top"/>
    </xf>
    <xf numFmtId="0" fontId="22" fillId="2" borderId="41" xfId="12" applyFont="1" applyFill="1" applyBorder="1" applyAlignment="1">
      <alignment vertical="top" wrapText="1"/>
    </xf>
    <xf numFmtId="0" fontId="22" fillId="2" borderId="68" xfId="12" applyFont="1" applyFill="1" applyBorder="1" applyAlignment="1">
      <alignment vertical="top"/>
    </xf>
    <xf numFmtId="0" fontId="22" fillId="2" borderId="69" xfId="12" applyFont="1" applyFill="1" applyBorder="1" applyAlignment="1">
      <alignment vertical="top"/>
    </xf>
    <xf numFmtId="0" fontId="22" fillId="2" borderId="70" xfId="12" applyFont="1" applyFill="1" applyBorder="1" applyAlignment="1">
      <alignment vertical="top"/>
    </xf>
    <xf numFmtId="0" fontId="22" fillId="2" borderId="41" xfId="12" applyFont="1" applyFill="1" applyBorder="1" applyAlignment="1">
      <alignment horizontal="center" vertical="top" wrapText="1"/>
    </xf>
    <xf numFmtId="0" fontId="22" fillId="2" borderId="41" xfId="12" applyFont="1" applyFill="1" applyBorder="1" applyAlignment="1">
      <alignment horizontal="left" vertical="top" wrapText="1"/>
    </xf>
    <xf numFmtId="0" fontId="21" fillId="10" borderId="14" xfId="12" applyFont="1" applyFill="1" applyBorder="1" applyAlignment="1">
      <alignment horizontal="center" vertical="center"/>
    </xf>
    <xf numFmtId="0" fontId="21" fillId="10" borderId="15" xfId="12" applyFont="1" applyFill="1" applyBorder="1" applyAlignment="1">
      <alignment horizontal="center" vertical="center"/>
    </xf>
    <xf numFmtId="0" fontId="21" fillId="10" borderId="16" xfId="12" applyFont="1" applyFill="1" applyBorder="1" applyAlignment="1">
      <alignment horizontal="center" vertical="center"/>
    </xf>
    <xf numFmtId="14" fontId="22" fillId="2" borderId="40" xfId="12" applyNumberFormat="1" applyFont="1" applyFill="1" applyBorder="1" applyAlignment="1">
      <alignment horizontal="left" vertical="top"/>
    </xf>
    <xf numFmtId="0" fontId="22" fillId="2" borderId="40" xfId="12" applyFont="1" applyFill="1" applyBorder="1" applyAlignment="1">
      <alignment horizontal="left" vertical="top"/>
    </xf>
    <xf numFmtId="0" fontId="22" fillId="2" borderId="40" xfId="12" applyFont="1" applyFill="1" applyBorder="1" applyAlignment="1">
      <alignment vertical="top"/>
    </xf>
    <xf numFmtId="0" fontId="22" fillId="2" borderId="40" xfId="12" applyFont="1" applyFill="1" applyBorder="1" applyAlignment="1">
      <alignment horizontal="center" vertical="top" wrapText="1"/>
    </xf>
    <xf numFmtId="49" fontId="22" fillId="2" borderId="40" xfId="12" applyNumberFormat="1" applyFont="1" applyFill="1" applyBorder="1" applyAlignment="1">
      <alignment horizontal="center" vertical="top"/>
    </xf>
    <xf numFmtId="49" fontId="22" fillId="2" borderId="40" xfId="12" quotePrefix="1" applyNumberFormat="1" applyFont="1" applyFill="1" applyBorder="1" applyAlignment="1">
      <alignment horizontal="center" vertical="top"/>
    </xf>
    <xf numFmtId="0" fontId="21" fillId="10" borderId="39" xfId="12" applyFont="1" applyFill="1" applyBorder="1" applyAlignment="1">
      <alignment horizontal="center" vertical="center"/>
    </xf>
    <xf numFmtId="0" fontId="21" fillId="10" borderId="17" xfId="12" applyFont="1" applyFill="1" applyBorder="1" applyAlignment="1">
      <alignment horizontal="center" vertical="center"/>
    </xf>
    <xf numFmtId="0" fontId="21" fillId="10" borderId="18" xfId="12" applyFont="1" applyFill="1" applyBorder="1" applyAlignment="1">
      <alignment horizontal="center" vertical="center"/>
    </xf>
    <xf numFmtId="0" fontId="21" fillId="10" borderId="19" xfId="12" applyFont="1" applyFill="1" applyBorder="1" applyAlignment="1">
      <alignment horizontal="center" vertical="center"/>
    </xf>
    <xf numFmtId="0" fontId="21" fillId="10" borderId="28" xfId="12" applyFont="1" applyFill="1" applyBorder="1" applyAlignment="1">
      <alignment horizontal="center" vertical="center"/>
    </xf>
    <xf numFmtId="0" fontId="21" fillId="10" borderId="29" xfId="12" applyFont="1" applyFill="1" applyBorder="1" applyAlignment="1">
      <alignment horizontal="center" vertical="center"/>
    </xf>
    <xf numFmtId="0" fontId="21" fillId="10" borderId="30" xfId="12" applyFont="1" applyFill="1" applyBorder="1" applyAlignment="1">
      <alignment horizontal="center" vertical="center"/>
    </xf>
    <xf numFmtId="0" fontId="22" fillId="2" borderId="5" xfId="12" applyFont="1" applyFill="1" applyBorder="1" applyAlignment="1">
      <alignment horizontal="center" vertical="center"/>
    </xf>
    <xf numFmtId="0" fontId="22" fillId="2" borderId="6" xfId="12" applyFont="1" applyFill="1" applyBorder="1" applyAlignment="1">
      <alignment horizontal="center" vertical="center"/>
    </xf>
    <xf numFmtId="0" fontId="22" fillId="2" borderId="8" xfId="12" applyFont="1" applyFill="1" applyBorder="1" applyAlignment="1">
      <alignment horizontal="center" vertical="center"/>
    </xf>
    <xf numFmtId="0" fontId="22" fillId="2" borderId="9" xfId="12" applyFont="1" applyFill="1" applyBorder="1" applyAlignment="1">
      <alignment horizontal="center" vertical="center"/>
    </xf>
    <xf numFmtId="0" fontId="22" fillId="2" borderId="7" xfId="12" applyFont="1" applyFill="1" applyBorder="1" applyAlignment="1">
      <alignment horizontal="center" vertical="center"/>
    </xf>
    <xf numFmtId="0" fontId="22" fillId="2" borderId="13" xfId="12" applyFont="1" applyFill="1" applyBorder="1" applyAlignment="1">
      <alignment horizontal="center" vertical="center"/>
    </xf>
    <xf numFmtId="0" fontId="12" fillId="13" borderId="49" xfId="0" applyFont="1" applyFill="1" applyBorder="1" applyAlignment="1">
      <alignment horizontal="center" vertical="center"/>
    </xf>
    <xf numFmtId="0" fontId="12" fillId="13" borderId="46" xfId="0" applyFont="1" applyFill="1" applyBorder="1" applyAlignment="1">
      <alignment horizontal="center" vertical="center"/>
    </xf>
    <xf numFmtId="0" fontId="12" fillId="13" borderId="47" xfId="0" applyFont="1" applyFill="1" applyBorder="1" applyAlignment="1">
      <alignment horizontal="center" vertical="center"/>
    </xf>
    <xf numFmtId="0" fontId="12" fillId="13" borderId="51" xfId="0" applyFont="1" applyFill="1" applyBorder="1" applyAlignment="1">
      <alignment horizontal="center" vertical="center"/>
    </xf>
    <xf numFmtId="0" fontId="12" fillId="13" borderId="2" xfId="0" applyFont="1" applyFill="1" applyBorder="1" applyAlignment="1">
      <alignment horizontal="center" vertical="center"/>
    </xf>
    <xf numFmtId="0" fontId="12" fillId="13" borderId="3" xfId="0" applyFont="1" applyFill="1" applyBorder="1" applyAlignment="1">
      <alignment horizontal="center" vertical="center"/>
    </xf>
    <xf numFmtId="0" fontId="12" fillId="11" borderId="44" xfId="0" applyFont="1" applyFill="1" applyBorder="1" applyAlignment="1">
      <alignment horizontal="center" vertical="center" wrapText="1"/>
    </xf>
    <xf numFmtId="0" fontId="12" fillId="11" borderId="44" xfId="0" applyFont="1" applyFill="1" applyBorder="1" applyAlignment="1">
      <alignment horizontal="center" vertical="center"/>
    </xf>
    <xf numFmtId="0" fontId="4" fillId="0" borderId="0" xfId="10" applyFont="1" applyAlignment="1">
      <alignment horizontal="center" wrapText="1"/>
    </xf>
    <xf numFmtId="0" fontId="4" fillId="0" borderId="57" xfId="10" applyFont="1" applyBorder="1" applyAlignment="1">
      <alignment horizontal="center" vertical="top" wrapText="1"/>
    </xf>
    <xf numFmtId="0" fontId="4" fillId="0" borderId="0" xfId="10" applyFont="1" applyAlignment="1">
      <alignment horizontal="center" vertical="top" wrapText="1"/>
    </xf>
    <xf numFmtId="0" fontId="4" fillId="0" borderId="58" xfId="10" applyFont="1" applyBorder="1" applyAlignment="1">
      <alignment horizontal="center" vertical="top" wrapText="1"/>
    </xf>
    <xf numFmtId="0" fontId="4" fillId="0" borderId="59" xfId="10" applyFont="1" applyBorder="1" applyAlignment="1">
      <alignment horizontal="center" vertical="top" wrapText="1"/>
    </xf>
    <xf numFmtId="0" fontId="4" fillId="0" borderId="60" xfId="10" applyFont="1" applyBorder="1" applyAlignment="1">
      <alignment horizontal="center" vertical="top" wrapText="1"/>
    </xf>
    <xf numFmtId="0" fontId="4" fillId="0" borderId="61" xfId="10" applyFont="1" applyBorder="1" applyAlignment="1">
      <alignment horizontal="center" vertical="top" wrapText="1"/>
    </xf>
    <xf numFmtId="0" fontId="12" fillId="13" borderId="44" xfId="0" applyFont="1" applyFill="1" applyBorder="1" applyAlignment="1">
      <alignment horizontal="center" vertical="center"/>
    </xf>
    <xf numFmtId="0" fontId="12" fillId="11" borderId="49" xfId="0" applyFont="1" applyFill="1" applyBorder="1" applyAlignment="1">
      <alignment horizontal="center" vertical="center" wrapText="1"/>
    </xf>
    <xf numFmtId="0" fontId="12" fillId="11" borderId="46" xfId="0" applyFont="1" applyFill="1" applyBorder="1" applyAlignment="1">
      <alignment horizontal="center" vertical="center" wrapText="1"/>
    </xf>
    <xf numFmtId="0" fontId="12" fillId="11" borderId="47" xfId="0" applyFont="1" applyFill="1" applyBorder="1" applyAlignment="1">
      <alignment horizontal="center" vertical="center" wrapText="1"/>
    </xf>
    <xf numFmtId="0" fontId="12" fillId="11" borderId="51" xfId="0" applyFont="1" applyFill="1" applyBorder="1" applyAlignment="1">
      <alignment horizontal="center" vertical="center" wrapText="1"/>
    </xf>
    <xf numFmtId="0" fontId="12" fillId="11" borderId="2" xfId="0" applyFont="1" applyFill="1" applyBorder="1" applyAlignment="1">
      <alignment horizontal="center" vertical="center" wrapText="1"/>
    </xf>
    <xf numFmtId="0" fontId="12" fillId="11" borderId="3" xfId="0" applyFont="1" applyFill="1" applyBorder="1" applyAlignment="1">
      <alignment horizontal="center" vertical="center" wrapText="1"/>
    </xf>
    <xf numFmtId="0" fontId="6" fillId="0" borderId="57" xfId="10" applyFont="1" applyBorder="1" applyAlignment="1">
      <alignment horizontal="left" vertical="top"/>
    </xf>
    <xf numFmtId="0" fontId="6" fillId="0" borderId="0" xfId="10" applyFont="1" applyAlignment="1">
      <alignment horizontal="left" vertical="top"/>
    </xf>
    <xf numFmtId="0" fontId="6" fillId="0" borderId="58" xfId="10" applyFont="1" applyBorder="1" applyAlignment="1">
      <alignment horizontal="left" vertical="top"/>
    </xf>
    <xf numFmtId="0" fontId="32" fillId="0" borderId="57" xfId="10" applyFont="1" applyBorder="1" applyAlignment="1">
      <alignment horizontal="left" vertical="top" wrapText="1"/>
    </xf>
    <xf numFmtId="0" fontId="32" fillId="0" borderId="0" xfId="10" applyFont="1" applyAlignment="1">
      <alignment horizontal="left" vertical="top" wrapText="1"/>
    </xf>
    <xf numFmtId="0" fontId="32" fillId="0" borderId="58" xfId="10" applyFont="1" applyBorder="1" applyAlignment="1">
      <alignment horizontal="left" vertical="top" wrapText="1"/>
    </xf>
    <xf numFmtId="0" fontId="12" fillId="12" borderId="49" xfId="0" applyFont="1" applyFill="1" applyBorder="1" applyAlignment="1">
      <alignment horizontal="center" vertical="center"/>
    </xf>
    <xf numFmtId="0" fontId="12" fillId="12" borderId="46" xfId="0" applyFont="1" applyFill="1" applyBorder="1" applyAlignment="1">
      <alignment horizontal="center" vertical="center"/>
    </xf>
    <xf numFmtId="0" fontId="12" fillId="12" borderId="47" xfId="0" applyFont="1" applyFill="1" applyBorder="1" applyAlignment="1">
      <alignment horizontal="center" vertical="center"/>
    </xf>
    <xf numFmtId="0" fontId="12" fillId="12" borderId="51" xfId="0" applyFont="1" applyFill="1" applyBorder="1" applyAlignment="1">
      <alignment horizontal="center" vertical="center"/>
    </xf>
    <xf numFmtId="0" fontId="12" fillId="12" borderId="2" xfId="0" applyFont="1" applyFill="1" applyBorder="1" applyAlignment="1">
      <alignment horizontal="center" vertical="center"/>
    </xf>
    <xf numFmtId="0" fontId="12" fillId="12" borderId="3" xfId="0" applyFont="1" applyFill="1" applyBorder="1" applyAlignment="1">
      <alignment horizontal="center" vertical="center"/>
    </xf>
    <xf numFmtId="0" fontId="12" fillId="16" borderId="54" xfId="10" applyFont="1" applyFill="1" applyBorder="1" applyAlignment="1">
      <alignment horizontal="center" wrapText="1"/>
    </xf>
    <xf numFmtId="0" fontId="12" fillId="16" borderId="55" xfId="10" applyFont="1" applyFill="1" applyBorder="1" applyAlignment="1">
      <alignment horizontal="center" wrapText="1"/>
    </xf>
    <xf numFmtId="0" fontId="12" fillId="16" borderId="56" xfId="10" applyFont="1" applyFill="1" applyBorder="1" applyAlignment="1">
      <alignment horizontal="center" wrapText="1"/>
    </xf>
    <xf numFmtId="0" fontId="12" fillId="16" borderId="57" xfId="10" applyFont="1" applyFill="1" applyBorder="1" applyAlignment="1">
      <alignment horizontal="center" wrapText="1"/>
    </xf>
    <xf numFmtId="0" fontId="12" fillId="16" borderId="0" xfId="10" applyFont="1" applyFill="1" applyAlignment="1">
      <alignment horizontal="center" wrapText="1"/>
    </xf>
    <xf numFmtId="0" fontId="12" fillId="16" borderId="58" xfId="10" applyFont="1" applyFill="1" applyBorder="1" applyAlignment="1">
      <alignment horizontal="center" wrapText="1"/>
    </xf>
    <xf numFmtId="0" fontId="29" fillId="16" borderId="54" xfId="10" applyFont="1" applyFill="1" applyBorder="1" applyAlignment="1">
      <alignment horizontal="center" wrapText="1"/>
    </xf>
    <xf numFmtId="0" fontId="29" fillId="16" borderId="55" xfId="10" applyFont="1" applyFill="1" applyBorder="1" applyAlignment="1">
      <alignment horizontal="center" wrapText="1"/>
    </xf>
    <xf numFmtId="0" fontId="29" fillId="16" borderId="56" xfId="10" applyFont="1" applyFill="1" applyBorder="1" applyAlignment="1">
      <alignment horizontal="center" wrapText="1"/>
    </xf>
    <xf numFmtId="0" fontId="29" fillId="16" borderId="57" xfId="10" applyFont="1" applyFill="1" applyBorder="1" applyAlignment="1">
      <alignment horizontal="center" wrapText="1"/>
    </xf>
    <xf numFmtId="0" fontId="29" fillId="16" borderId="0" xfId="10" applyFont="1" applyFill="1" applyAlignment="1">
      <alignment horizontal="center" wrapText="1"/>
    </xf>
    <xf numFmtId="0" fontId="29" fillId="16" borderId="58" xfId="10" applyFont="1" applyFill="1" applyBorder="1" applyAlignment="1">
      <alignment horizontal="center" wrapText="1"/>
    </xf>
    <xf numFmtId="0" fontId="12" fillId="12" borderId="49" xfId="0" applyFont="1" applyFill="1" applyBorder="1" applyAlignment="1">
      <alignment horizontal="center" vertical="center" wrapText="1"/>
    </xf>
    <xf numFmtId="0" fontId="12" fillId="12" borderId="46" xfId="0" applyFont="1" applyFill="1" applyBorder="1" applyAlignment="1">
      <alignment horizontal="center" vertical="center" wrapText="1"/>
    </xf>
    <xf numFmtId="0" fontId="12" fillId="12" borderId="47" xfId="0" applyFont="1" applyFill="1" applyBorder="1" applyAlignment="1">
      <alignment horizontal="center" vertical="center" wrapText="1"/>
    </xf>
    <xf numFmtId="0" fontId="12" fillId="12" borderId="51" xfId="0" applyFont="1" applyFill="1" applyBorder="1" applyAlignment="1">
      <alignment horizontal="center" vertical="center" wrapText="1"/>
    </xf>
    <xf numFmtId="0" fontId="12" fillId="12" borderId="2"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4" fillId="0" borderId="43" xfId="10" applyFont="1" applyBorder="1" applyAlignment="1">
      <alignment horizontal="center" vertical="top" wrapText="1"/>
    </xf>
    <xf numFmtId="0" fontId="4" fillId="0" borderId="51" xfId="10" applyFont="1" applyBorder="1" applyAlignment="1">
      <alignment horizontal="center" vertical="top" wrapText="1"/>
    </xf>
    <xf numFmtId="0" fontId="4" fillId="0" borderId="2" xfId="10" applyFont="1" applyBorder="1" applyAlignment="1">
      <alignment horizontal="center" vertical="top" wrapText="1"/>
    </xf>
    <xf numFmtId="0" fontId="36" fillId="17" borderId="57" xfId="0" applyFont="1" applyFill="1" applyBorder="1" applyAlignment="1">
      <alignment horizontal="center" vertical="center"/>
    </xf>
    <xf numFmtId="0" fontId="36" fillId="17" borderId="0" xfId="0" applyFont="1" applyFill="1" applyAlignment="1">
      <alignment horizontal="center" vertical="center"/>
    </xf>
    <xf numFmtId="0" fontId="36" fillId="17" borderId="1" xfId="0" applyFont="1" applyFill="1" applyBorder="1" applyAlignment="1">
      <alignment horizontal="center" vertical="center"/>
    </xf>
    <xf numFmtId="0" fontId="4" fillId="0" borderId="1" xfId="10" applyFont="1" applyBorder="1" applyAlignment="1">
      <alignment horizontal="center" vertical="top" wrapText="1"/>
    </xf>
    <xf numFmtId="0" fontId="6" fillId="0" borderId="0" xfId="10" applyFont="1" applyAlignment="1">
      <alignment horizontal="center" vertical="top"/>
    </xf>
    <xf numFmtId="0" fontId="6" fillId="0" borderId="58" xfId="10" applyFont="1" applyBorder="1" applyAlignment="1">
      <alignment horizontal="center" vertical="top"/>
    </xf>
    <xf numFmtId="0" fontId="6" fillId="0" borderId="57" xfId="10" applyFont="1" applyBorder="1" applyAlignment="1">
      <alignment horizontal="center" vertical="top"/>
    </xf>
    <xf numFmtId="0" fontId="32" fillId="18" borderId="57" xfId="10" applyFont="1" applyFill="1" applyBorder="1" applyAlignment="1">
      <alignment horizontal="center" vertical="top" wrapText="1"/>
    </xf>
    <xf numFmtId="0" fontId="32" fillId="18" borderId="0" xfId="10" applyFont="1" applyFill="1" applyAlignment="1">
      <alignment horizontal="center" vertical="top" wrapText="1"/>
    </xf>
    <xf numFmtId="0" fontId="32" fillId="18" borderId="58" xfId="10" applyFont="1" applyFill="1" applyBorder="1" applyAlignment="1">
      <alignment horizontal="center" vertical="top" wrapText="1"/>
    </xf>
    <xf numFmtId="0" fontId="32" fillId="18" borderId="59" xfId="10" applyFont="1" applyFill="1" applyBorder="1" applyAlignment="1">
      <alignment horizontal="center" vertical="top" wrapText="1"/>
    </xf>
    <xf numFmtId="0" fontId="32" fillId="18" borderId="60" xfId="10" applyFont="1" applyFill="1" applyBorder="1" applyAlignment="1">
      <alignment horizontal="center" vertical="top" wrapText="1"/>
    </xf>
    <xf numFmtId="0" fontId="32" fillId="18" borderId="61" xfId="10" applyFont="1" applyFill="1" applyBorder="1" applyAlignment="1">
      <alignment horizontal="center" vertical="top" wrapText="1"/>
    </xf>
    <xf numFmtId="14" fontId="32" fillId="18" borderId="57" xfId="10" applyNumberFormat="1" applyFont="1" applyFill="1" applyBorder="1" applyAlignment="1">
      <alignment horizontal="center" vertical="top" wrapText="1"/>
    </xf>
    <xf numFmtId="14" fontId="32" fillId="18" borderId="0" xfId="10" applyNumberFormat="1" applyFont="1" applyFill="1" applyAlignment="1">
      <alignment horizontal="center" vertical="top" wrapText="1"/>
    </xf>
    <xf numFmtId="0" fontId="4" fillId="0" borderId="0" xfId="10" applyFont="1" applyAlignment="1">
      <alignment horizontal="left" vertical="top" wrapText="1"/>
    </xf>
    <xf numFmtId="0" fontId="4" fillId="0" borderId="58" xfId="10" applyFont="1" applyBorder="1" applyAlignment="1">
      <alignment horizontal="left" vertical="top" wrapText="1"/>
    </xf>
    <xf numFmtId="0" fontId="29" fillId="16" borderId="59" xfId="10" applyFont="1" applyFill="1" applyBorder="1" applyAlignment="1">
      <alignment horizontal="center" wrapText="1"/>
    </xf>
    <xf numFmtId="0" fontId="29" fillId="16" borderId="60" xfId="10" applyFont="1" applyFill="1" applyBorder="1" applyAlignment="1">
      <alignment horizontal="center" wrapText="1"/>
    </xf>
    <xf numFmtId="0" fontId="29" fillId="16" borderId="61" xfId="10" applyFont="1" applyFill="1" applyBorder="1" applyAlignment="1">
      <alignment horizontal="center" wrapText="1"/>
    </xf>
    <xf numFmtId="0" fontId="12" fillId="16" borderId="59" xfId="10" applyFont="1" applyFill="1" applyBorder="1" applyAlignment="1">
      <alignment horizontal="center" wrapText="1"/>
    </xf>
    <xf numFmtId="0" fontId="12" fillId="16" borderId="60" xfId="10" applyFont="1" applyFill="1" applyBorder="1" applyAlignment="1">
      <alignment horizontal="center" wrapText="1"/>
    </xf>
    <xf numFmtId="0" fontId="12" fillId="16" borderId="61" xfId="10" applyFont="1" applyFill="1" applyBorder="1" applyAlignment="1">
      <alignment horizontal="center" wrapText="1"/>
    </xf>
  </cellXfs>
  <cellStyles count="18">
    <cellStyle name="アクセント 1" xfId="2" builtinId="29" customBuiltin="1"/>
    <cellStyle name="アクセント 2" xfId="3" builtinId="33" customBuiltin="1"/>
    <cellStyle name="アクセント 3" xfId="4" builtinId="37" customBuiltin="1"/>
    <cellStyle name="アクセント 4" xfId="5" builtinId="41" customBuiltin="1"/>
    <cellStyle name="アクセント 5" xfId="6" builtinId="45" customBuiltin="1"/>
    <cellStyle name="アクセント 6" xfId="7" builtinId="49" customBuiltin="1"/>
    <cellStyle name="タイトル" xfId="1" builtinId="15" hidden="1"/>
    <cellStyle name="桁区切り 2" xfId="14" xr:uid="{00000000-0005-0000-0000-000007000000}"/>
    <cellStyle name="標準" xfId="0" builtinId="0"/>
    <cellStyle name="標準 2" xfId="8" xr:uid="{00000000-0005-0000-0000-000009000000}"/>
    <cellStyle name="標準 2 2" xfId="10" xr:uid="{00000000-0005-0000-0000-00000A000000}"/>
    <cellStyle name="標準 2 2 2" xfId="12" xr:uid="{00000000-0005-0000-0000-00000B000000}"/>
    <cellStyle name="標準 3" xfId="9" xr:uid="{00000000-0005-0000-0000-00000C000000}"/>
    <cellStyle name="標準 4" xfId="13" xr:uid="{00000000-0005-0000-0000-00000D000000}"/>
    <cellStyle name="標準 4 2" xfId="17" xr:uid="{00000000-0005-0000-0000-00000E000000}"/>
    <cellStyle name="標準 5" xfId="16" xr:uid="{00000000-0005-0000-0000-00000F000000}"/>
    <cellStyle name="標準 6" xfId="11" xr:uid="{00000000-0005-0000-0000-000010000000}"/>
    <cellStyle name="標準 7 3" xfId="15" xr:uid="{00000000-0005-0000-0000-000011000000}"/>
  </cellStyles>
  <dxfs count="0"/>
  <tableStyles count="0" defaultTableStyle="TableStyleMedium2" defaultPivotStyle="PivotStyleLight16"/>
  <colors>
    <mruColors>
      <color rgb="FF8FD377"/>
      <color rgb="FFFF9933"/>
      <color rgb="FFFFE389"/>
      <color rgb="FFFFEDB3"/>
      <color rgb="FFFFFFB3"/>
      <color rgb="FFFFCC66"/>
      <color rgb="FFC47500"/>
      <color rgb="FF4CB4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34925</xdr:colOff>
      <xdr:row>24</xdr:row>
      <xdr:rowOff>89834</xdr:rowOff>
    </xdr:from>
    <xdr:to>
      <xdr:col>5</xdr:col>
      <xdr:colOff>164375</xdr:colOff>
      <xdr:row>24</xdr:row>
      <xdr:rowOff>89834</xdr:rowOff>
    </xdr:to>
    <xdr:cxnSp macro="">
      <xdr:nvCxnSpPr>
        <xdr:cNvPr id="2" name="直線矢印コネクタ 1">
          <a:extLst>
            <a:ext uri="{FF2B5EF4-FFF2-40B4-BE49-F238E27FC236}">
              <a16:creationId xmlns:a16="http://schemas.microsoft.com/office/drawing/2014/main" id="{00000000-0008-0000-0200-000002000000}"/>
            </a:ext>
          </a:extLst>
        </xdr:cNvPr>
        <xdr:cNvCxnSpPr/>
      </xdr:nvCxnSpPr>
      <xdr:spPr>
        <a:xfrm>
          <a:off x="434975" y="4404659"/>
          <a:ext cx="7295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190501</xdr:colOff>
      <xdr:row>18</xdr:row>
      <xdr:rowOff>63500</xdr:rowOff>
    </xdr:from>
    <xdr:to>
      <xdr:col>5</xdr:col>
      <xdr:colOff>88901</xdr:colOff>
      <xdr:row>20</xdr:row>
      <xdr:rowOff>87217</xdr:rowOff>
    </xdr:to>
    <xdr:grpSp>
      <xdr:nvGrpSpPr>
        <xdr:cNvPr id="3" name="グループ化 2">
          <a:extLst>
            <a:ext uri="{FF2B5EF4-FFF2-40B4-BE49-F238E27FC236}">
              <a16:creationId xmlns:a16="http://schemas.microsoft.com/office/drawing/2014/main" id="{00000000-0008-0000-0200-000003000000}"/>
            </a:ext>
          </a:extLst>
        </xdr:cNvPr>
        <xdr:cNvGrpSpPr>
          <a:grpSpLocks noChangeAspect="1"/>
        </xdr:cNvGrpSpPr>
      </xdr:nvGrpSpPr>
      <xdr:grpSpPr>
        <a:xfrm>
          <a:off x="361951" y="3149600"/>
          <a:ext cx="631825" cy="366617"/>
          <a:chOff x="2791278" y="18514786"/>
          <a:chExt cx="773793" cy="417285"/>
        </a:xfrm>
      </xdr:grpSpPr>
      <xdr:sp macro="" textlink="">
        <xdr:nvSpPr>
          <xdr:cNvPr id="4" name="フローチャート: 書類 3">
            <a:extLst>
              <a:ext uri="{FF2B5EF4-FFF2-40B4-BE49-F238E27FC236}">
                <a16:creationId xmlns:a16="http://schemas.microsoft.com/office/drawing/2014/main" id="{00000000-0008-0000-0200-000004000000}"/>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帳票名</a:t>
            </a:r>
          </a:p>
        </xdr:txBody>
      </xdr:sp>
    </xdr:grpSp>
    <xdr:clientData/>
  </xdr:twoCellAnchor>
  <xdr:twoCellAnchor>
    <xdr:from>
      <xdr:col>22</xdr:col>
      <xdr:colOff>133351</xdr:colOff>
      <xdr:row>18</xdr:row>
      <xdr:rowOff>53975</xdr:rowOff>
    </xdr:from>
    <xdr:to>
      <xdr:col>26</xdr:col>
      <xdr:colOff>18633</xdr:colOff>
      <xdr:row>20</xdr:row>
      <xdr:rowOff>76200</xdr:rowOff>
    </xdr:to>
    <xdr:grpSp>
      <xdr:nvGrpSpPr>
        <xdr:cNvPr id="6" name="グループ化 5">
          <a:extLst>
            <a:ext uri="{FF2B5EF4-FFF2-40B4-BE49-F238E27FC236}">
              <a16:creationId xmlns:a16="http://schemas.microsoft.com/office/drawing/2014/main" id="{00000000-0008-0000-0200-000006000000}"/>
            </a:ext>
          </a:extLst>
        </xdr:cNvPr>
        <xdr:cNvGrpSpPr>
          <a:grpSpLocks noChangeAspect="1"/>
        </xdr:cNvGrpSpPr>
      </xdr:nvGrpSpPr>
      <xdr:grpSpPr>
        <a:xfrm>
          <a:off x="4114801" y="3140075"/>
          <a:ext cx="609182" cy="365125"/>
          <a:chOff x="2791278" y="18514786"/>
          <a:chExt cx="773793" cy="417285"/>
        </a:xfrm>
      </xdr:grpSpPr>
      <xdr:sp macro="" textlink="">
        <xdr:nvSpPr>
          <xdr:cNvPr id="7" name="フローチャート: 書類 6">
            <a:extLst>
              <a:ext uri="{FF2B5EF4-FFF2-40B4-BE49-F238E27FC236}">
                <a16:creationId xmlns:a16="http://schemas.microsoft.com/office/drawing/2014/main" id="{00000000-0008-0000-0200-000007000000}"/>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帳票名</a:t>
            </a:r>
          </a:p>
        </xdr:txBody>
      </xdr:sp>
    </xdr:grpSp>
    <xdr:clientData/>
  </xdr:twoCellAnchor>
  <xdr:twoCellAnchor>
    <xdr:from>
      <xdr:col>23</xdr:col>
      <xdr:colOff>3175</xdr:colOff>
      <xdr:row>27</xdr:row>
      <xdr:rowOff>149225</xdr:rowOff>
    </xdr:from>
    <xdr:to>
      <xdr:col>26</xdr:col>
      <xdr:colOff>101600</xdr:colOff>
      <xdr:row>31</xdr:row>
      <xdr:rowOff>61107</xdr:rowOff>
    </xdr:to>
    <xdr:grpSp>
      <xdr:nvGrpSpPr>
        <xdr:cNvPr id="9" name="グループ化 8">
          <a:extLst>
            <a:ext uri="{FF2B5EF4-FFF2-40B4-BE49-F238E27FC236}">
              <a16:creationId xmlns:a16="http://schemas.microsoft.com/office/drawing/2014/main" id="{00000000-0008-0000-0200-000009000000}"/>
            </a:ext>
          </a:extLst>
        </xdr:cNvPr>
        <xdr:cNvGrpSpPr/>
      </xdr:nvGrpSpPr>
      <xdr:grpSpPr>
        <a:xfrm>
          <a:off x="4165600" y="4778375"/>
          <a:ext cx="641350" cy="597682"/>
          <a:chOff x="7204075" y="2892425"/>
          <a:chExt cx="688975" cy="597682"/>
        </a:xfrm>
      </xdr:grpSpPr>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システム</a:t>
            </a:r>
            <a:endParaRPr kumimoji="1" lang="en-US" altLang="ja-JP" sz="900"/>
          </a:p>
          <a:p>
            <a:pPr algn="ctr"/>
            <a:r>
              <a:rPr kumimoji="1" lang="ja-JP" altLang="en-US" sz="900"/>
              <a:t>機能名</a:t>
            </a:r>
          </a:p>
        </xdr:txBody>
      </xdr:sp>
    </xdr:grpSp>
    <xdr:clientData/>
  </xdr:twoCellAnchor>
  <xdr:twoCellAnchor>
    <xdr:from>
      <xdr:col>2</xdr:col>
      <xdr:colOff>12700</xdr:colOff>
      <xdr:row>8</xdr:row>
      <xdr:rowOff>139700</xdr:rowOff>
    </xdr:from>
    <xdr:to>
      <xdr:col>5</xdr:col>
      <xdr:colOff>113350</xdr:colOff>
      <xdr:row>10</xdr:row>
      <xdr:rowOff>57150</xdr:rowOff>
    </xdr:to>
    <xdr:sp macro="" textlink="">
      <xdr:nvSpPr>
        <xdr:cNvPr id="12" name="フローチャート: 端子 11">
          <a:extLst>
            <a:ext uri="{FF2B5EF4-FFF2-40B4-BE49-F238E27FC236}">
              <a16:creationId xmlns:a16="http://schemas.microsoft.com/office/drawing/2014/main" id="{00000000-0008-0000-0200-00000C000000}"/>
            </a:ext>
          </a:extLst>
        </xdr:cNvPr>
        <xdr:cNvSpPr/>
      </xdr:nvSpPr>
      <xdr:spPr>
        <a:xfrm>
          <a:off x="412750" y="1558925"/>
          <a:ext cx="700725"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22</xdr:col>
      <xdr:colOff>120650</xdr:colOff>
      <xdr:row>8</xdr:row>
      <xdr:rowOff>133350</xdr:rowOff>
    </xdr:from>
    <xdr:to>
      <xdr:col>26</xdr:col>
      <xdr:colOff>25400</xdr:colOff>
      <xdr:row>10</xdr:row>
      <xdr:rowOff>50800</xdr:rowOff>
    </xdr:to>
    <xdr:sp macro="" textlink="">
      <xdr:nvSpPr>
        <xdr:cNvPr id="13" name="フローチャート: 端子 12">
          <a:extLst>
            <a:ext uri="{FF2B5EF4-FFF2-40B4-BE49-F238E27FC236}">
              <a16:creationId xmlns:a16="http://schemas.microsoft.com/office/drawing/2014/main" id="{00000000-0008-0000-0200-00000D000000}"/>
            </a:ext>
          </a:extLst>
        </xdr:cNvPr>
        <xdr:cNvSpPr/>
      </xdr:nvSpPr>
      <xdr:spPr>
        <a:xfrm>
          <a:off x="4521200" y="1552575"/>
          <a:ext cx="70485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22</xdr:col>
      <xdr:colOff>174625</xdr:colOff>
      <xdr:row>24</xdr:row>
      <xdr:rowOff>89834</xdr:rowOff>
    </xdr:from>
    <xdr:to>
      <xdr:col>26</xdr:col>
      <xdr:colOff>107225</xdr:colOff>
      <xdr:row>24</xdr:row>
      <xdr:rowOff>89834</xdr:rowOff>
    </xdr:to>
    <xdr:cxnSp macro="">
      <xdr:nvCxnSpPr>
        <xdr:cNvPr id="14" name="直線矢印コネクタ 13">
          <a:extLst>
            <a:ext uri="{FF2B5EF4-FFF2-40B4-BE49-F238E27FC236}">
              <a16:creationId xmlns:a16="http://schemas.microsoft.com/office/drawing/2014/main" id="{00000000-0008-0000-0200-00000E000000}"/>
            </a:ext>
          </a:extLst>
        </xdr:cNvPr>
        <xdr:cNvCxnSpPr/>
      </xdr:nvCxnSpPr>
      <xdr:spPr>
        <a:xfrm>
          <a:off x="4575175" y="4404659"/>
          <a:ext cx="732700"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63500</xdr:colOff>
      <xdr:row>28</xdr:row>
      <xdr:rowOff>25400</xdr:rowOff>
    </xdr:from>
    <xdr:to>
      <xdr:col>6</xdr:col>
      <xdr:colOff>82550</xdr:colOff>
      <xdr:row>31</xdr:row>
      <xdr:rowOff>0</xdr:rowOff>
    </xdr:to>
    <xdr:grpSp>
      <xdr:nvGrpSpPr>
        <xdr:cNvPr id="15" name="グループ化 14">
          <a:extLst>
            <a:ext uri="{FF2B5EF4-FFF2-40B4-BE49-F238E27FC236}">
              <a16:creationId xmlns:a16="http://schemas.microsoft.com/office/drawing/2014/main" id="{00000000-0008-0000-0200-00000F000000}"/>
            </a:ext>
          </a:extLst>
        </xdr:cNvPr>
        <xdr:cNvGrpSpPr/>
      </xdr:nvGrpSpPr>
      <xdr:grpSpPr>
        <a:xfrm>
          <a:off x="244475" y="4826000"/>
          <a:ext cx="923925" cy="488950"/>
          <a:chOff x="285750" y="4845050"/>
          <a:chExt cx="1003300" cy="488950"/>
        </a:xfrm>
      </xdr:grpSpPr>
      <xdr:sp macro="" textlink="">
        <xdr:nvSpPr>
          <xdr:cNvPr id="16" name="フローチャート: 判断 15">
            <a:extLst>
              <a:ext uri="{FF2B5EF4-FFF2-40B4-BE49-F238E27FC236}">
                <a16:creationId xmlns:a16="http://schemas.microsoft.com/office/drawing/2014/main" id="{00000000-0008-0000-0200-000010000000}"/>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7" name="正方形/長方形 48">
            <a:extLst>
              <a:ext uri="{FF2B5EF4-FFF2-40B4-BE49-F238E27FC236}">
                <a16:creationId xmlns:a16="http://schemas.microsoft.com/office/drawing/2014/main" id="{00000000-0008-0000-0200-000011000000}"/>
              </a:ext>
            </a:extLst>
          </xdr:cNvPr>
          <xdr:cNvSpPr/>
        </xdr:nvSpPr>
        <xdr:spPr>
          <a:xfrm>
            <a:off x="285750" y="4927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条件</a:t>
            </a:r>
          </a:p>
        </xdr:txBody>
      </xdr:sp>
    </xdr:grpSp>
    <xdr:clientData/>
  </xdr:twoCellAnchor>
  <xdr:twoCellAnchor>
    <xdr:from>
      <xdr:col>1</xdr:col>
      <xdr:colOff>12700</xdr:colOff>
      <xdr:row>13</xdr:row>
      <xdr:rowOff>25400</xdr:rowOff>
    </xdr:from>
    <xdr:to>
      <xdr:col>6</xdr:col>
      <xdr:colOff>114300</xdr:colOff>
      <xdr:row>15</xdr:row>
      <xdr:rowOff>158750</xdr:rowOff>
    </xdr:to>
    <xdr:grpSp>
      <xdr:nvGrpSpPr>
        <xdr:cNvPr id="18" name="グループ化 17">
          <a:extLst>
            <a:ext uri="{FF2B5EF4-FFF2-40B4-BE49-F238E27FC236}">
              <a16:creationId xmlns:a16="http://schemas.microsoft.com/office/drawing/2014/main" id="{00000000-0008-0000-0200-000012000000}"/>
            </a:ext>
          </a:extLst>
        </xdr:cNvPr>
        <xdr:cNvGrpSpPr/>
      </xdr:nvGrpSpPr>
      <xdr:grpSpPr>
        <a:xfrm>
          <a:off x="193675" y="2254250"/>
          <a:ext cx="1006475" cy="476250"/>
          <a:chOff x="1612900" y="2457450"/>
          <a:chExt cx="933032" cy="374650"/>
        </a:xfrm>
      </xdr:grpSpPr>
      <xdr:sp macro="" textlink="">
        <xdr:nvSpPr>
          <xdr:cNvPr id="19" name="フローチャート: 処理 18">
            <a:extLst>
              <a:ext uri="{FF2B5EF4-FFF2-40B4-BE49-F238E27FC236}">
                <a16:creationId xmlns:a16="http://schemas.microsoft.com/office/drawing/2014/main" id="{00000000-0008-0000-0200-000013000000}"/>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 name="正方形/長方形 48">
            <a:extLst>
              <a:ext uri="{FF2B5EF4-FFF2-40B4-BE49-F238E27FC236}">
                <a16:creationId xmlns:a16="http://schemas.microsoft.com/office/drawing/2014/main" id="{00000000-0008-0000-0200-00001400000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業務</a:t>
            </a:r>
            <a:endParaRPr kumimoji="1" lang="en-US" altLang="ja-JP" sz="900"/>
          </a:p>
        </xdr:txBody>
      </xdr:sp>
    </xdr:grpSp>
    <xdr:clientData/>
  </xdr:twoCellAnchor>
  <xdr:twoCellAnchor>
    <xdr:from>
      <xdr:col>21</xdr:col>
      <xdr:colOff>133350</xdr:colOff>
      <xdr:row>13</xdr:row>
      <xdr:rowOff>63500</xdr:rowOff>
    </xdr:from>
    <xdr:to>
      <xdr:col>27</xdr:col>
      <xdr:colOff>38100</xdr:colOff>
      <xdr:row>16</xdr:row>
      <xdr:rowOff>25400</xdr:rowOff>
    </xdr:to>
    <xdr:grpSp>
      <xdr:nvGrpSpPr>
        <xdr:cNvPr id="21" name="グループ化 20">
          <a:extLst>
            <a:ext uri="{FF2B5EF4-FFF2-40B4-BE49-F238E27FC236}">
              <a16:creationId xmlns:a16="http://schemas.microsoft.com/office/drawing/2014/main" id="{00000000-0008-0000-0200-000015000000}"/>
            </a:ext>
          </a:extLst>
        </xdr:cNvPr>
        <xdr:cNvGrpSpPr/>
      </xdr:nvGrpSpPr>
      <xdr:grpSpPr>
        <a:xfrm>
          <a:off x="3933825" y="2292350"/>
          <a:ext cx="990600" cy="476250"/>
          <a:chOff x="1612900" y="2457450"/>
          <a:chExt cx="933032" cy="374650"/>
        </a:xfrm>
      </xdr:grpSpPr>
      <xdr:sp macro="" textlink="">
        <xdr:nvSpPr>
          <xdr:cNvPr id="22" name="フローチャート: 定義済み処理 21">
            <a:extLst>
              <a:ext uri="{FF2B5EF4-FFF2-40B4-BE49-F238E27FC236}">
                <a16:creationId xmlns:a16="http://schemas.microsoft.com/office/drawing/2014/main" id="{00000000-0008-0000-0200-00001600000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 name="正方形/長方形 48">
            <a:extLst>
              <a:ext uri="{FF2B5EF4-FFF2-40B4-BE49-F238E27FC236}">
                <a16:creationId xmlns:a16="http://schemas.microsoft.com/office/drawing/2014/main" id="{00000000-0008-0000-0200-00001700000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業務</a:t>
            </a:r>
            <a:endParaRPr kumimoji="1" lang="en-US" altLang="ja-JP" sz="900"/>
          </a:p>
        </xdr:txBody>
      </xdr:sp>
    </xdr:grpSp>
    <xdr:clientData/>
  </xdr:twoCellAnchor>
  <xdr:twoCellAnchor>
    <xdr:from>
      <xdr:col>21</xdr:col>
      <xdr:colOff>171450</xdr:colOff>
      <xdr:row>33</xdr:row>
      <xdr:rowOff>53975</xdr:rowOff>
    </xdr:from>
    <xdr:to>
      <xdr:col>26</xdr:col>
      <xdr:colOff>190500</xdr:colOff>
      <xdr:row>35</xdr:row>
      <xdr:rowOff>136525</xdr:rowOff>
    </xdr:to>
    <xdr:grpSp>
      <xdr:nvGrpSpPr>
        <xdr:cNvPr id="24" name="グループ化 23">
          <a:extLst>
            <a:ext uri="{FF2B5EF4-FFF2-40B4-BE49-F238E27FC236}">
              <a16:creationId xmlns:a16="http://schemas.microsoft.com/office/drawing/2014/main" id="{00000000-0008-0000-0200-000018000000}"/>
            </a:ext>
          </a:extLst>
        </xdr:cNvPr>
        <xdr:cNvGrpSpPr/>
      </xdr:nvGrpSpPr>
      <xdr:grpSpPr>
        <a:xfrm>
          <a:off x="3971925" y="5711825"/>
          <a:ext cx="914400" cy="425450"/>
          <a:chOff x="4305300" y="5730875"/>
          <a:chExt cx="1003300" cy="425450"/>
        </a:xfrm>
      </xdr:grpSpPr>
      <xdr:sp macro="" textlink="">
        <xdr:nvSpPr>
          <xdr:cNvPr id="25" name="AutoShape 49">
            <a:extLst>
              <a:ext uri="{FF2B5EF4-FFF2-40B4-BE49-F238E27FC236}">
                <a16:creationId xmlns:a16="http://schemas.microsoft.com/office/drawing/2014/main" id="{00000000-0008-0000-0200-00001900000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6" name="正方形/長方形 48">
            <a:extLst>
              <a:ext uri="{FF2B5EF4-FFF2-40B4-BE49-F238E27FC236}">
                <a16:creationId xmlns:a16="http://schemas.microsoft.com/office/drawing/2014/main" id="{00000000-0008-0000-0200-00001A000000}"/>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ファイル名</a:t>
            </a:r>
          </a:p>
        </xdr:txBody>
      </xdr:sp>
    </xdr:grpSp>
    <xdr:clientData/>
  </xdr:twoCellAnchor>
  <xdr:twoCellAnchor>
    <xdr:from>
      <xdr:col>1</xdr:col>
      <xdr:colOff>88900</xdr:colOff>
      <xdr:row>33</xdr:row>
      <xdr:rowOff>104775</xdr:rowOff>
    </xdr:from>
    <xdr:to>
      <xdr:col>6</xdr:col>
      <xdr:colOff>107950</xdr:colOff>
      <xdr:row>36</xdr:row>
      <xdr:rowOff>34925</xdr:rowOff>
    </xdr:to>
    <xdr:grpSp>
      <xdr:nvGrpSpPr>
        <xdr:cNvPr id="27" name="グループ化 26">
          <a:extLst>
            <a:ext uri="{FF2B5EF4-FFF2-40B4-BE49-F238E27FC236}">
              <a16:creationId xmlns:a16="http://schemas.microsoft.com/office/drawing/2014/main" id="{00000000-0008-0000-0200-00001B000000}"/>
            </a:ext>
          </a:extLst>
        </xdr:cNvPr>
        <xdr:cNvGrpSpPr/>
      </xdr:nvGrpSpPr>
      <xdr:grpSpPr>
        <a:xfrm>
          <a:off x="269875" y="5762625"/>
          <a:ext cx="923925" cy="444500"/>
          <a:chOff x="285750" y="5781675"/>
          <a:chExt cx="1003300" cy="444500"/>
        </a:xfrm>
      </xdr:grpSpPr>
      <xdr:sp macro="" textlink="">
        <xdr:nvSpPr>
          <xdr:cNvPr id="28" name="フローチャート: 他ページ結合子 27">
            <a:extLst>
              <a:ext uri="{FF2B5EF4-FFF2-40B4-BE49-F238E27FC236}">
                <a16:creationId xmlns:a16="http://schemas.microsoft.com/office/drawing/2014/main" id="{00000000-0008-0000-0200-00001C000000}"/>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 name="正方形/長方形 48">
            <a:extLst>
              <a:ext uri="{FF2B5EF4-FFF2-40B4-BE49-F238E27FC236}">
                <a16:creationId xmlns:a16="http://schemas.microsoft.com/office/drawing/2014/main" id="{00000000-0008-0000-0200-00001D000000}"/>
              </a:ext>
            </a:extLst>
          </xdr:cNvPr>
          <xdr:cNvSpPr/>
        </xdr:nvSpPr>
        <xdr:spPr>
          <a:xfrm>
            <a:off x="285750" y="5816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フロー名</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194353</xdr:colOff>
      <xdr:row>30</xdr:row>
      <xdr:rowOff>151145</xdr:rowOff>
    </xdr:from>
    <xdr:to>
      <xdr:col>13</xdr:col>
      <xdr:colOff>151057</xdr:colOff>
      <xdr:row>34</xdr:row>
      <xdr:rowOff>646</xdr:rowOff>
    </xdr:to>
    <xdr:grpSp>
      <xdr:nvGrpSpPr>
        <xdr:cNvPr id="2" name="グループ化 8">
          <a:extLst>
            <a:ext uri="{FF2B5EF4-FFF2-40B4-BE49-F238E27FC236}">
              <a16:creationId xmlns:a16="http://schemas.microsoft.com/office/drawing/2014/main" id="{8428BA44-D595-4017-84E3-D4EE532A9194}"/>
            </a:ext>
          </a:extLst>
        </xdr:cNvPr>
        <xdr:cNvGrpSpPr/>
      </xdr:nvGrpSpPr>
      <xdr:grpSpPr>
        <a:xfrm>
          <a:off x="1632628" y="5323220"/>
          <a:ext cx="871104" cy="535301"/>
          <a:chOff x="1626076" y="2432372"/>
          <a:chExt cx="908902" cy="420662"/>
        </a:xfrm>
      </xdr:grpSpPr>
      <xdr:sp macro="" textlink="">
        <xdr:nvSpPr>
          <xdr:cNvPr id="3" name="フローチャート: 定義済み処理 9">
            <a:extLst>
              <a:ext uri="{FF2B5EF4-FFF2-40B4-BE49-F238E27FC236}">
                <a16:creationId xmlns:a16="http://schemas.microsoft.com/office/drawing/2014/main" id="{7E7C05AA-E359-C7CC-7791-1434C96CAD58}"/>
              </a:ext>
            </a:extLst>
          </xdr:cNvPr>
          <xdr:cNvSpPr/>
        </xdr:nvSpPr>
        <xdr:spPr>
          <a:xfrm>
            <a:off x="1679822" y="2454963"/>
            <a:ext cx="819150" cy="37653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 name="正方形/長方形 48">
            <a:extLst>
              <a:ext uri="{FF2B5EF4-FFF2-40B4-BE49-F238E27FC236}">
                <a16:creationId xmlns:a16="http://schemas.microsoft.com/office/drawing/2014/main" id="{4E9AE7D7-0741-022C-D926-A4B4AA3A6A87}"/>
              </a:ext>
            </a:extLst>
          </xdr:cNvPr>
          <xdr:cNvSpPr/>
        </xdr:nvSpPr>
        <xdr:spPr>
          <a:xfrm>
            <a:off x="1626076" y="243237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．仕入計上</a:t>
            </a:r>
          </a:p>
        </xdr:txBody>
      </xdr:sp>
    </xdr:grpSp>
    <xdr:clientData/>
  </xdr:twoCellAnchor>
  <xdr:twoCellAnchor>
    <xdr:from>
      <xdr:col>11</xdr:col>
      <xdr:colOff>74687</xdr:colOff>
      <xdr:row>27</xdr:row>
      <xdr:rowOff>52916</xdr:rowOff>
    </xdr:from>
    <xdr:to>
      <xdr:col>11</xdr:col>
      <xdr:colOff>81553</xdr:colOff>
      <xdr:row>31</xdr:row>
      <xdr:rowOff>10105</xdr:rowOff>
    </xdr:to>
    <xdr:cxnSp macro="">
      <xdr:nvCxnSpPr>
        <xdr:cNvPr id="8" name="直線矢印コネクタ 7">
          <a:extLst>
            <a:ext uri="{FF2B5EF4-FFF2-40B4-BE49-F238E27FC236}">
              <a16:creationId xmlns:a16="http://schemas.microsoft.com/office/drawing/2014/main" id="{CDE7EB70-26A3-4FF9-8BF2-6E2CE5BFB8DE}"/>
            </a:ext>
          </a:extLst>
        </xdr:cNvPr>
        <xdr:cNvCxnSpPr>
          <a:stCxn id="15" idx="2"/>
          <a:endCxn id="3" idx="0"/>
        </xdr:cNvCxnSpPr>
      </xdr:nvCxnSpPr>
      <xdr:spPr>
        <a:xfrm>
          <a:off x="2286604" y="4677833"/>
          <a:ext cx="6866" cy="63452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114850</xdr:colOff>
      <xdr:row>14</xdr:row>
      <xdr:rowOff>6804</xdr:rowOff>
    </xdr:from>
    <xdr:to>
      <xdr:col>4</xdr:col>
      <xdr:colOff>117756</xdr:colOff>
      <xdr:row>18</xdr:row>
      <xdr:rowOff>40822</xdr:rowOff>
    </xdr:to>
    <xdr:cxnSp macro="">
      <xdr:nvCxnSpPr>
        <xdr:cNvPr id="13" name="直線矢印コネクタ 12">
          <a:extLst>
            <a:ext uri="{FF2B5EF4-FFF2-40B4-BE49-F238E27FC236}">
              <a16:creationId xmlns:a16="http://schemas.microsoft.com/office/drawing/2014/main" id="{1ACE8CDF-A9B7-4005-BC58-1938DBD8CFC4}"/>
            </a:ext>
          </a:extLst>
        </xdr:cNvPr>
        <xdr:cNvCxnSpPr>
          <a:stCxn id="37" idx="2"/>
          <a:endCxn id="19" idx="0"/>
        </xdr:cNvCxnSpPr>
      </xdr:nvCxnSpPr>
      <xdr:spPr>
        <a:xfrm flipH="1">
          <a:off x="921674" y="2416069"/>
          <a:ext cx="2906" cy="70637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20932</xdr:colOff>
      <xdr:row>24</xdr:row>
      <xdr:rowOff>95250</xdr:rowOff>
    </xdr:from>
    <xdr:to>
      <xdr:col>13</xdr:col>
      <xdr:colOff>115366</xdr:colOff>
      <xdr:row>27</xdr:row>
      <xdr:rowOff>85630</xdr:rowOff>
    </xdr:to>
    <xdr:grpSp>
      <xdr:nvGrpSpPr>
        <xdr:cNvPr id="14" name="グループ化 13">
          <a:extLst>
            <a:ext uri="{FF2B5EF4-FFF2-40B4-BE49-F238E27FC236}">
              <a16:creationId xmlns:a16="http://schemas.microsoft.com/office/drawing/2014/main" id="{DFD1432E-0DED-4078-BBFF-6DAD14D39C63}"/>
            </a:ext>
          </a:extLst>
        </xdr:cNvPr>
        <xdr:cNvGrpSpPr/>
      </xdr:nvGrpSpPr>
      <xdr:grpSpPr>
        <a:xfrm>
          <a:off x="1649707" y="4238625"/>
          <a:ext cx="818334" cy="504730"/>
          <a:chOff x="1632852" y="2452651"/>
          <a:chExt cx="905767" cy="408691"/>
        </a:xfrm>
      </xdr:grpSpPr>
      <xdr:sp macro="" textlink="">
        <xdr:nvSpPr>
          <xdr:cNvPr id="15" name="フローチャート: 処理 14">
            <a:extLst>
              <a:ext uri="{FF2B5EF4-FFF2-40B4-BE49-F238E27FC236}">
                <a16:creationId xmlns:a16="http://schemas.microsoft.com/office/drawing/2014/main" id="{D27E92A0-400C-F207-7130-806ADB3CCED8}"/>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 name="正方形/長方形 48">
            <a:extLst>
              <a:ext uri="{FF2B5EF4-FFF2-40B4-BE49-F238E27FC236}">
                <a16:creationId xmlns:a16="http://schemas.microsoft.com/office/drawing/2014/main" id="{0EC8448E-7871-DA89-634E-E8CBCC9E9ED0}"/>
              </a:ext>
            </a:extLst>
          </xdr:cNvPr>
          <xdr:cNvSpPr/>
        </xdr:nvSpPr>
        <xdr:spPr>
          <a:xfrm>
            <a:off x="1632852" y="2452651"/>
            <a:ext cx="905767" cy="4086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．請求書を受領</a:t>
            </a:r>
          </a:p>
        </xdr:txBody>
      </xdr:sp>
    </xdr:grpSp>
    <xdr:clientData/>
  </xdr:twoCellAnchor>
  <xdr:twoCellAnchor>
    <xdr:from>
      <xdr:col>4</xdr:col>
      <xdr:colOff>114935</xdr:colOff>
      <xdr:row>21</xdr:row>
      <xdr:rowOff>757</xdr:rowOff>
    </xdr:from>
    <xdr:to>
      <xdr:col>11</xdr:col>
      <xdr:colOff>74687</xdr:colOff>
      <xdr:row>24</xdr:row>
      <xdr:rowOff>104312</xdr:rowOff>
    </xdr:to>
    <xdr:cxnSp macro="">
      <xdr:nvCxnSpPr>
        <xdr:cNvPr id="17" name="コネクタ: カギ線 16">
          <a:extLst>
            <a:ext uri="{FF2B5EF4-FFF2-40B4-BE49-F238E27FC236}">
              <a16:creationId xmlns:a16="http://schemas.microsoft.com/office/drawing/2014/main" id="{D104DC8A-7DEE-41BF-A613-6B65A05F723B}"/>
            </a:ext>
          </a:extLst>
        </xdr:cNvPr>
        <xdr:cNvCxnSpPr>
          <a:stCxn id="19" idx="2"/>
          <a:endCxn id="15" idx="0"/>
        </xdr:cNvCxnSpPr>
      </xdr:nvCxnSpPr>
      <xdr:spPr>
        <a:xfrm rot="16200000" flipH="1">
          <a:off x="1297158" y="3231784"/>
          <a:ext cx="611555" cy="136733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190498</xdr:colOff>
      <xdr:row>18</xdr:row>
      <xdr:rowOff>40822</xdr:rowOff>
    </xdr:from>
    <xdr:to>
      <xdr:col>7</xdr:col>
      <xdr:colOff>85723</xdr:colOff>
      <xdr:row>20</xdr:row>
      <xdr:rowOff>170091</xdr:rowOff>
    </xdr:to>
    <xdr:grpSp>
      <xdr:nvGrpSpPr>
        <xdr:cNvPr id="18" name="グループ化 17">
          <a:extLst>
            <a:ext uri="{FF2B5EF4-FFF2-40B4-BE49-F238E27FC236}">
              <a16:creationId xmlns:a16="http://schemas.microsoft.com/office/drawing/2014/main" id="{23D3BD59-1BDC-4DD6-AD0E-D5F159D87D13}"/>
            </a:ext>
          </a:extLst>
        </xdr:cNvPr>
        <xdr:cNvGrpSpPr/>
      </xdr:nvGrpSpPr>
      <xdr:grpSpPr>
        <a:xfrm>
          <a:off x="361948" y="3155497"/>
          <a:ext cx="990600" cy="472169"/>
          <a:chOff x="1646721" y="2457450"/>
          <a:chExt cx="933032" cy="374650"/>
        </a:xfrm>
      </xdr:grpSpPr>
      <xdr:sp macro="" textlink="">
        <xdr:nvSpPr>
          <xdr:cNvPr id="19" name="フローチャート: 処理 18">
            <a:extLst>
              <a:ext uri="{FF2B5EF4-FFF2-40B4-BE49-F238E27FC236}">
                <a16:creationId xmlns:a16="http://schemas.microsoft.com/office/drawing/2014/main" id="{3037B98E-7A1D-F295-5EBE-1DB73988AEDB}"/>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 name="正方形/長方形 48">
            <a:extLst>
              <a:ext uri="{FF2B5EF4-FFF2-40B4-BE49-F238E27FC236}">
                <a16:creationId xmlns:a16="http://schemas.microsoft.com/office/drawing/2014/main" id="{BA3DCF24-A00B-00C8-5A42-F8AE522E718F}"/>
              </a:ext>
            </a:extLst>
          </xdr:cNvPr>
          <xdr:cNvSpPr/>
        </xdr:nvSpPr>
        <xdr:spPr>
          <a:xfrm>
            <a:off x="1646721" y="2489202"/>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．請求書の送付．</a:t>
            </a:r>
            <a:endParaRPr kumimoji="1" lang="en-US" altLang="ja-JP" sz="900"/>
          </a:p>
        </xdr:txBody>
      </xdr:sp>
    </xdr:grpSp>
    <xdr:clientData/>
  </xdr:twoCellAnchor>
  <xdr:twoCellAnchor>
    <xdr:from>
      <xdr:col>3</xdr:col>
      <xdr:colOff>187782</xdr:colOff>
      <xdr:row>19</xdr:row>
      <xdr:rowOff>168739</xdr:rowOff>
    </xdr:from>
    <xdr:to>
      <xdr:col>9</xdr:col>
      <xdr:colOff>27331</xdr:colOff>
      <xdr:row>22</xdr:row>
      <xdr:rowOff>7715</xdr:rowOff>
    </xdr:to>
    <xdr:grpSp>
      <xdr:nvGrpSpPr>
        <xdr:cNvPr id="21" name="グループ化 20">
          <a:extLst>
            <a:ext uri="{FF2B5EF4-FFF2-40B4-BE49-F238E27FC236}">
              <a16:creationId xmlns:a16="http://schemas.microsoft.com/office/drawing/2014/main" id="{0845E851-8C05-445F-8081-00A9FCD63EF6}"/>
            </a:ext>
          </a:extLst>
        </xdr:cNvPr>
        <xdr:cNvGrpSpPr>
          <a:grpSpLocks noChangeAspect="1"/>
        </xdr:cNvGrpSpPr>
      </xdr:nvGrpSpPr>
      <xdr:grpSpPr>
        <a:xfrm>
          <a:off x="721182" y="3454864"/>
          <a:ext cx="934924" cy="353326"/>
          <a:chOff x="2610858" y="18514792"/>
          <a:chExt cx="1182905" cy="417279"/>
        </a:xfrm>
      </xdr:grpSpPr>
      <xdr:sp macro="" textlink="">
        <xdr:nvSpPr>
          <xdr:cNvPr id="22" name="フローチャート: 書類 21">
            <a:extLst>
              <a:ext uri="{FF2B5EF4-FFF2-40B4-BE49-F238E27FC236}">
                <a16:creationId xmlns:a16="http://schemas.microsoft.com/office/drawing/2014/main" id="{0B105A22-5DF9-FBFC-7FA2-807F27127276}"/>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3" name="正方形/長方形 22">
            <a:extLst>
              <a:ext uri="{FF2B5EF4-FFF2-40B4-BE49-F238E27FC236}">
                <a16:creationId xmlns:a16="http://schemas.microsoft.com/office/drawing/2014/main" id="{BC968F7A-B003-A1BA-6D27-AB6FF2F474E2}"/>
              </a:ext>
            </a:extLst>
          </xdr:cNvPr>
          <xdr:cNvSpPr/>
        </xdr:nvSpPr>
        <xdr:spPr>
          <a:xfrm>
            <a:off x="2610858" y="18514792"/>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請求書</a:t>
            </a:r>
            <a:endParaRPr kumimoji="1" lang="en-US" altLang="ja-JP" sz="900"/>
          </a:p>
        </xdr:txBody>
      </xdr:sp>
    </xdr:grpSp>
    <xdr:clientData/>
  </xdr:twoCellAnchor>
  <xdr:twoCellAnchor>
    <xdr:from>
      <xdr:col>9</xdr:col>
      <xdr:colOff>27080</xdr:colOff>
      <xdr:row>91</xdr:row>
      <xdr:rowOff>38964</xdr:rowOff>
    </xdr:from>
    <xdr:to>
      <xdr:col>13</xdr:col>
      <xdr:colOff>135465</xdr:colOff>
      <xdr:row>94</xdr:row>
      <xdr:rowOff>133990</xdr:rowOff>
    </xdr:to>
    <xdr:grpSp>
      <xdr:nvGrpSpPr>
        <xdr:cNvPr id="24" name="グループ化 88">
          <a:extLst>
            <a:ext uri="{FF2B5EF4-FFF2-40B4-BE49-F238E27FC236}">
              <a16:creationId xmlns:a16="http://schemas.microsoft.com/office/drawing/2014/main" id="{AAFB0BD4-04C5-4A83-9F04-3605D2B2403E}"/>
            </a:ext>
          </a:extLst>
        </xdr:cNvPr>
        <xdr:cNvGrpSpPr/>
      </xdr:nvGrpSpPr>
      <xdr:grpSpPr>
        <a:xfrm>
          <a:off x="1655855" y="15669489"/>
          <a:ext cx="832285" cy="609376"/>
          <a:chOff x="242859" y="5658173"/>
          <a:chExt cx="1059546" cy="652474"/>
        </a:xfrm>
      </xdr:grpSpPr>
      <xdr:sp macro="" textlink="">
        <xdr:nvSpPr>
          <xdr:cNvPr id="25" name="フローチャート: 他ページ結合子 89">
            <a:extLst>
              <a:ext uri="{FF2B5EF4-FFF2-40B4-BE49-F238E27FC236}">
                <a16:creationId xmlns:a16="http://schemas.microsoft.com/office/drawing/2014/main" id="{B81B4BC1-44D6-9DEB-B85F-54B40FCF331A}"/>
              </a:ext>
            </a:extLst>
          </xdr:cNvPr>
          <xdr:cNvSpPr/>
        </xdr:nvSpPr>
        <xdr:spPr>
          <a:xfrm>
            <a:off x="464083"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6" name="正方形/長方形 48">
            <a:extLst>
              <a:ext uri="{FF2B5EF4-FFF2-40B4-BE49-F238E27FC236}">
                <a16:creationId xmlns:a16="http://schemas.microsoft.com/office/drawing/2014/main" id="{FDE54140-3F39-F41F-B356-BF9AB10176B7}"/>
              </a:ext>
            </a:extLst>
          </xdr:cNvPr>
          <xdr:cNvSpPr/>
        </xdr:nvSpPr>
        <xdr:spPr>
          <a:xfrm>
            <a:off x="242859" y="5658173"/>
            <a:ext cx="1059546" cy="65247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５．支払前</a:t>
            </a:r>
          </a:p>
        </xdr:txBody>
      </xdr:sp>
    </xdr:grpSp>
    <xdr:clientData/>
  </xdr:twoCellAnchor>
  <xdr:twoCellAnchor>
    <xdr:from>
      <xdr:col>13</xdr:col>
      <xdr:colOff>112943</xdr:colOff>
      <xdr:row>32</xdr:row>
      <xdr:rowOff>76558</xdr:rowOff>
    </xdr:from>
    <xdr:to>
      <xdr:col>51</xdr:col>
      <xdr:colOff>93709</xdr:colOff>
      <xdr:row>32</xdr:row>
      <xdr:rowOff>79109</xdr:rowOff>
    </xdr:to>
    <xdr:cxnSp macro="">
      <xdr:nvCxnSpPr>
        <xdr:cNvPr id="27" name="直線矢印コネクタ 26">
          <a:extLst>
            <a:ext uri="{FF2B5EF4-FFF2-40B4-BE49-F238E27FC236}">
              <a16:creationId xmlns:a16="http://schemas.microsoft.com/office/drawing/2014/main" id="{B98F3542-3DD2-4F4E-AFC4-1B50D7B38F43}"/>
            </a:ext>
          </a:extLst>
        </xdr:cNvPr>
        <xdr:cNvCxnSpPr>
          <a:stCxn id="3" idx="3"/>
          <a:endCxn id="49" idx="2"/>
        </xdr:cNvCxnSpPr>
      </xdr:nvCxnSpPr>
      <xdr:spPr>
        <a:xfrm>
          <a:off x="2727026" y="5548141"/>
          <a:ext cx="7621933" cy="255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88521</xdr:colOff>
      <xdr:row>26</xdr:row>
      <xdr:rowOff>67933</xdr:rowOff>
    </xdr:from>
    <xdr:to>
      <xdr:col>14</xdr:col>
      <xdr:colOff>115365</xdr:colOff>
      <xdr:row>28</xdr:row>
      <xdr:rowOff>85502</xdr:rowOff>
    </xdr:to>
    <xdr:grpSp>
      <xdr:nvGrpSpPr>
        <xdr:cNvPr id="28" name="グループ化 27">
          <a:extLst>
            <a:ext uri="{FF2B5EF4-FFF2-40B4-BE49-F238E27FC236}">
              <a16:creationId xmlns:a16="http://schemas.microsoft.com/office/drawing/2014/main" id="{A73D6530-6FA9-48EC-A892-5E9E3B418A1E}"/>
            </a:ext>
          </a:extLst>
        </xdr:cNvPr>
        <xdr:cNvGrpSpPr>
          <a:grpSpLocks noChangeAspect="1"/>
        </xdr:cNvGrpSpPr>
      </xdr:nvGrpSpPr>
      <xdr:grpSpPr>
        <a:xfrm>
          <a:off x="2079246" y="4554208"/>
          <a:ext cx="569769" cy="360469"/>
          <a:chOff x="2610858" y="18514792"/>
          <a:chExt cx="1182905" cy="417279"/>
        </a:xfrm>
      </xdr:grpSpPr>
      <xdr:sp macro="" textlink="">
        <xdr:nvSpPr>
          <xdr:cNvPr id="29" name="フローチャート: 書類 28">
            <a:extLst>
              <a:ext uri="{FF2B5EF4-FFF2-40B4-BE49-F238E27FC236}">
                <a16:creationId xmlns:a16="http://schemas.microsoft.com/office/drawing/2014/main" id="{9024A1A2-FEB1-04C5-07D4-186A04C6B5FC}"/>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30" name="正方形/長方形 29">
            <a:extLst>
              <a:ext uri="{FF2B5EF4-FFF2-40B4-BE49-F238E27FC236}">
                <a16:creationId xmlns:a16="http://schemas.microsoft.com/office/drawing/2014/main" id="{E255CFB5-66C5-F73A-9EC8-330D7E14C59F}"/>
              </a:ext>
            </a:extLst>
          </xdr:cNvPr>
          <xdr:cNvSpPr/>
        </xdr:nvSpPr>
        <xdr:spPr>
          <a:xfrm>
            <a:off x="2610858" y="18514792"/>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請求書</a:t>
            </a:r>
            <a:endParaRPr kumimoji="1" lang="en-US" altLang="ja-JP" sz="900"/>
          </a:p>
        </xdr:txBody>
      </xdr:sp>
    </xdr:grpSp>
    <xdr:clientData/>
  </xdr:twoCellAnchor>
  <xdr:twoCellAnchor>
    <xdr:from>
      <xdr:col>43</xdr:col>
      <xdr:colOff>101859</xdr:colOff>
      <xdr:row>64</xdr:row>
      <xdr:rowOff>47732</xdr:rowOff>
    </xdr:from>
    <xdr:to>
      <xdr:col>49</xdr:col>
      <xdr:colOff>83502</xdr:colOff>
      <xdr:row>68</xdr:row>
      <xdr:rowOff>4287</xdr:rowOff>
    </xdr:to>
    <xdr:grpSp>
      <xdr:nvGrpSpPr>
        <xdr:cNvPr id="38" name="グループ化 11">
          <a:extLst>
            <a:ext uri="{FF2B5EF4-FFF2-40B4-BE49-F238E27FC236}">
              <a16:creationId xmlns:a16="http://schemas.microsoft.com/office/drawing/2014/main" id="{6CACCC9C-0FFF-471A-B402-E0C18101F5D3}"/>
            </a:ext>
          </a:extLst>
        </xdr:cNvPr>
        <xdr:cNvGrpSpPr/>
      </xdr:nvGrpSpPr>
      <xdr:grpSpPr>
        <a:xfrm>
          <a:off x="7883784" y="11049107"/>
          <a:ext cx="1067493" cy="642355"/>
          <a:chOff x="6963496" y="2892425"/>
          <a:chExt cx="1158702" cy="601224"/>
        </a:xfrm>
      </xdr:grpSpPr>
      <xdr:sp macro="" textlink="">
        <xdr:nvSpPr>
          <xdr:cNvPr id="39" name="フローチャート: 磁気ディスク 12">
            <a:extLst>
              <a:ext uri="{FF2B5EF4-FFF2-40B4-BE49-F238E27FC236}">
                <a16:creationId xmlns:a16="http://schemas.microsoft.com/office/drawing/2014/main" id="{76C03FE8-76CB-774C-4A50-C357F9C196D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0" name="正方形/長方形 13">
            <a:extLst>
              <a:ext uri="{FF2B5EF4-FFF2-40B4-BE49-F238E27FC236}">
                <a16:creationId xmlns:a16="http://schemas.microsoft.com/office/drawing/2014/main" id="{51E5BD08-872B-5F92-CFDD-2525188211D1}"/>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請求仕訳帳</a:t>
            </a:r>
            <a:endParaRPr kumimoji="1" lang="en-US" altLang="ja-JP" sz="900"/>
          </a:p>
          <a:p>
            <a:pPr algn="ctr"/>
            <a:r>
              <a:rPr kumimoji="1" lang="ja-JP" altLang="en-US" sz="900"/>
              <a:t>（仕入先）</a:t>
            </a:r>
            <a:endParaRPr kumimoji="1" lang="en-US" altLang="ja-JP" sz="900"/>
          </a:p>
        </xdr:txBody>
      </xdr:sp>
    </xdr:grpSp>
    <xdr:clientData/>
  </xdr:twoCellAnchor>
  <xdr:twoCellAnchor>
    <xdr:from>
      <xdr:col>50</xdr:col>
      <xdr:colOff>191562</xdr:colOff>
      <xdr:row>30</xdr:row>
      <xdr:rowOff>126441</xdr:rowOff>
    </xdr:from>
    <xdr:to>
      <xdr:col>55</xdr:col>
      <xdr:colOff>168224</xdr:colOff>
      <xdr:row>34</xdr:row>
      <xdr:rowOff>84587</xdr:rowOff>
    </xdr:to>
    <xdr:grpSp>
      <xdr:nvGrpSpPr>
        <xdr:cNvPr id="48" name="グループ化 47">
          <a:extLst>
            <a:ext uri="{FF2B5EF4-FFF2-40B4-BE49-F238E27FC236}">
              <a16:creationId xmlns:a16="http://schemas.microsoft.com/office/drawing/2014/main" id="{1208037C-5038-4B7E-A62E-F8854AD1F38B}"/>
            </a:ext>
          </a:extLst>
        </xdr:cNvPr>
        <xdr:cNvGrpSpPr>
          <a:grpSpLocks noChangeAspect="1"/>
        </xdr:cNvGrpSpPr>
      </xdr:nvGrpSpPr>
      <xdr:grpSpPr>
        <a:xfrm>
          <a:off x="9230787" y="5298516"/>
          <a:ext cx="891062" cy="643946"/>
          <a:chOff x="7112000" y="2892425"/>
          <a:chExt cx="873125" cy="584685"/>
        </a:xfrm>
      </xdr:grpSpPr>
      <xdr:sp macro="" textlink="">
        <xdr:nvSpPr>
          <xdr:cNvPr id="49" name="フローチャート: 磁気ディスク 48">
            <a:extLst>
              <a:ext uri="{FF2B5EF4-FFF2-40B4-BE49-F238E27FC236}">
                <a16:creationId xmlns:a16="http://schemas.microsoft.com/office/drawing/2014/main" id="{FB9B57A2-A9B9-76ED-0916-2DE56AA70B3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0" name="正方形/長方形 49">
            <a:extLst>
              <a:ext uri="{FF2B5EF4-FFF2-40B4-BE49-F238E27FC236}">
                <a16:creationId xmlns:a16="http://schemas.microsoft.com/office/drawing/2014/main" id="{6312EF94-0AE7-8908-AB55-D485228AD494}"/>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mcframe</a:t>
            </a:r>
            <a:endParaRPr kumimoji="1" lang="ja-JP" altLang="en-US" sz="900"/>
          </a:p>
        </xdr:txBody>
      </xdr:sp>
    </xdr:grpSp>
    <xdr:clientData/>
  </xdr:twoCellAnchor>
  <xdr:twoCellAnchor>
    <xdr:from>
      <xdr:col>50</xdr:col>
      <xdr:colOff>197908</xdr:colOff>
      <xdr:row>34</xdr:row>
      <xdr:rowOff>64063</xdr:rowOff>
    </xdr:from>
    <xdr:to>
      <xdr:col>55</xdr:col>
      <xdr:colOff>191007</xdr:colOff>
      <xdr:row>38</xdr:row>
      <xdr:rowOff>31736</xdr:rowOff>
    </xdr:to>
    <xdr:grpSp>
      <xdr:nvGrpSpPr>
        <xdr:cNvPr id="52" name="グループ化 51">
          <a:extLst>
            <a:ext uri="{FF2B5EF4-FFF2-40B4-BE49-F238E27FC236}">
              <a16:creationId xmlns:a16="http://schemas.microsoft.com/office/drawing/2014/main" id="{C43C690E-DF39-3521-F698-59954AF7DFF0}"/>
            </a:ext>
          </a:extLst>
        </xdr:cNvPr>
        <xdr:cNvGrpSpPr>
          <a:grpSpLocks noChangeAspect="1"/>
        </xdr:cNvGrpSpPr>
      </xdr:nvGrpSpPr>
      <xdr:grpSpPr>
        <a:xfrm>
          <a:off x="9227608" y="5921938"/>
          <a:ext cx="907499" cy="653473"/>
          <a:chOff x="7112000" y="2895019"/>
          <a:chExt cx="873125" cy="582091"/>
        </a:xfrm>
      </xdr:grpSpPr>
      <xdr:sp macro="" textlink="">
        <xdr:nvSpPr>
          <xdr:cNvPr id="53" name="フローチャート: 磁気ディスク 52">
            <a:extLst>
              <a:ext uri="{FF2B5EF4-FFF2-40B4-BE49-F238E27FC236}">
                <a16:creationId xmlns:a16="http://schemas.microsoft.com/office/drawing/2014/main" id="{3AB42109-1BA6-5864-D9B7-C290BAEF2030}"/>
              </a:ext>
            </a:extLst>
          </xdr:cNvPr>
          <xdr:cNvSpPr/>
        </xdr:nvSpPr>
        <xdr:spPr>
          <a:xfrm>
            <a:off x="7206508" y="2895019"/>
            <a:ext cx="673744" cy="531564"/>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4" name="正方形/長方形 53">
            <a:extLst>
              <a:ext uri="{FF2B5EF4-FFF2-40B4-BE49-F238E27FC236}">
                <a16:creationId xmlns:a16="http://schemas.microsoft.com/office/drawing/2014/main" id="{D345DA83-8D5B-B379-EC37-D5AD2296670C}"/>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ホスト</a:t>
            </a:r>
            <a:endParaRPr kumimoji="1" lang="en-US" altLang="ja-JP" sz="900"/>
          </a:p>
        </xdr:txBody>
      </xdr:sp>
    </xdr:grpSp>
    <xdr:clientData/>
  </xdr:twoCellAnchor>
  <xdr:twoCellAnchor>
    <xdr:from>
      <xdr:col>51</xdr:col>
      <xdr:colOff>0</xdr:colOff>
      <xdr:row>38</xdr:row>
      <xdr:rowOff>27268</xdr:rowOff>
    </xdr:from>
    <xdr:to>
      <xdr:col>55</xdr:col>
      <xdr:colOff>190445</xdr:colOff>
      <xdr:row>41</xdr:row>
      <xdr:rowOff>159852</xdr:rowOff>
    </xdr:to>
    <xdr:grpSp>
      <xdr:nvGrpSpPr>
        <xdr:cNvPr id="67" name="グループ化 66">
          <a:extLst>
            <a:ext uri="{FF2B5EF4-FFF2-40B4-BE49-F238E27FC236}">
              <a16:creationId xmlns:a16="http://schemas.microsoft.com/office/drawing/2014/main" id="{E45907F9-3E04-AB73-2DA5-1260E793EE8C}"/>
            </a:ext>
          </a:extLst>
        </xdr:cNvPr>
        <xdr:cNvGrpSpPr>
          <a:grpSpLocks noChangeAspect="1"/>
        </xdr:cNvGrpSpPr>
      </xdr:nvGrpSpPr>
      <xdr:grpSpPr>
        <a:xfrm>
          <a:off x="9229725" y="6570943"/>
          <a:ext cx="904820" cy="646934"/>
          <a:chOff x="7112000" y="2892425"/>
          <a:chExt cx="873125" cy="584685"/>
        </a:xfrm>
      </xdr:grpSpPr>
      <xdr:sp macro="" textlink="">
        <xdr:nvSpPr>
          <xdr:cNvPr id="68" name="フローチャート: 磁気ディスク 67">
            <a:extLst>
              <a:ext uri="{FF2B5EF4-FFF2-40B4-BE49-F238E27FC236}">
                <a16:creationId xmlns:a16="http://schemas.microsoft.com/office/drawing/2014/main" id="{7674DE0E-24A3-F17F-2B2B-DDFD11FE4E3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9" name="正方形/長方形 68">
            <a:extLst>
              <a:ext uri="{FF2B5EF4-FFF2-40B4-BE49-F238E27FC236}">
                <a16:creationId xmlns:a16="http://schemas.microsoft.com/office/drawing/2014/main" id="{3F555C82-5DF2-760D-897B-CA84C92D5DF5}"/>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51</xdr:col>
      <xdr:colOff>0</xdr:colOff>
      <xdr:row>42</xdr:row>
      <xdr:rowOff>4856</xdr:rowOff>
    </xdr:from>
    <xdr:to>
      <xdr:col>55</xdr:col>
      <xdr:colOff>190445</xdr:colOff>
      <xdr:row>45</xdr:row>
      <xdr:rowOff>137440</xdr:rowOff>
    </xdr:to>
    <xdr:grpSp>
      <xdr:nvGrpSpPr>
        <xdr:cNvPr id="70" name="グループ化 69">
          <a:extLst>
            <a:ext uri="{FF2B5EF4-FFF2-40B4-BE49-F238E27FC236}">
              <a16:creationId xmlns:a16="http://schemas.microsoft.com/office/drawing/2014/main" id="{BFDED4CC-B1E3-1456-19BC-1F35ADEDDB7A}"/>
            </a:ext>
          </a:extLst>
        </xdr:cNvPr>
        <xdr:cNvGrpSpPr>
          <a:grpSpLocks noChangeAspect="1"/>
        </xdr:cNvGrpSpPr>
      </xdr:nvGrpSpPr>
      <xdr:grpSpPr>
        <a:xfrm>
          <a:off x="9229725" y="7234331"/>
          <a:ext cx="904820" cy="646934"/>
          <a:chOff x="7112000" y="2892425"/>
          <a:chExt cx="873125" cy="584685"/>
        </a:xfrm>
      </xdr:grpSpPr>
      <xdr:sp macro="" textlink="">
        <xdr:nvSpPr>
          <xdr:cNvPr id="71" name="フローチャート: 磁気ディスク 70">
            <a:extLst>
              <a:ext uri="{FF2B5EF4-FFF2-40B4-BE49-F238E27FC236}">
                <a16:creationId xmlns:a16="http://schemas.microsoft.com/office/drawing/2014/main" id="{9375323F-F537-3D9B-8D8C-B18E78421FD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2" name="正方形/長方形 71">
            <a:extLst>
              <a:ext uri="{FF2B5EF4-FFF2-40B4-BE49-F238E27FC236}">
                <a16:creationId xmlns:a16="http://schemas.microsoft.com/office/drawing/2014/main" id="{F2ED16EB-26A0-E05D-A3F2-C58CAD363813}"/>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BtoB</a:t>
            </a:r>
          </a:p>
          <a:p>
            <a:pPr algn="ctr"/>
            <a:r>
              <a:rPr kumimoji="1" lang="ja-JP" altLang="en-US" sz="900"/>
              <a:t>プラットフォーム</a:t>
            </a:r>
          </a:p>
        </xdr:txBody>
      </xdr:sp>
    </xdr:grpSp>
    <xdr:clientData/>
  </xdr:twoCellAnchor>
  <xdr:twoCellAnchor>
    <xdr:from>
      <xdr:col>51</xdr:col>
      <xdr:colOff>0</xdr:colOff>
      <xdr:row>45</xdr:row>
      <xdr:rowOff>145676</xdr:rowOff>
    </xdr:from>
    <xdr:to>
      <xdr:col>55</xdr:col>
      <xdr:colOff>190445</xdr:colOff>
      <xdr:row>49</xdr:row>
      <xdr:rowOff>103822</xdr:rowOff>
    </xdr:to>
    <xdr:grpSp>
      <xdr:nvGrpSpPr>
        <xdr:cNvPr id="88" name="グループ化 87">
          <a:extLst>
            <a:ext uri="{FF2B5EF4-FFF2-40B4-BE49-F238E27FC236}">
              <a16:creationId xmlns:a16="http://schemas.microsoft.com/office/drawing/2014/main" id="{52414C1E-FFAF-84C9-B257-CEAA1D884F12}"/>
            </a:ext>
          </a:extLst>
        </xdr:cNvPr>
        <xdr:cNvGrpSpPr>
          <a:grpSpLocks noChangeAspect="1"/>
        </xdr:cNvGrpSpPr>
      </xdr:nvGrpSpPr>
      <xdr:grpSpPr>
        <a:xfrm>
          <a:off x="9229725" y="7889501"/>
          <a:ext cx="904820" cy="643946"/>
          <a:chOff x="7112000" y="2892425"/>
          <a:chExt cx="873125" cy="584685"/>
        </a:xfrm>
      </xdr:grpSpPr>
      <xdr:sp macro="" textlink="">
        <xdr:nvSpPr>
          <xdr:cNvPr id="89" name="フローチャート: 磁気ディスク 88">
            <a:extLst>
              <a:ext uri="{FF2B5EF4-FFF2-40B4-BE49-F238E27FC236}">
                <a16:creationId xmlns:a16="http://schemas.microsoft.com/office/drawing/2014/main" id="{4CF38127-5E75-48CC-C77F-93EC9A5C9B3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 name="正方形/長方形 89">
            <a:extLst>
              <a:ext uri="{FF2B5EF4-FFF2-40B4-BE49-F238E27FC236}">
                <a16:creationId xmlns:a16="http://schemas.microsoft.com/office/drawing/2014/main" id="{1869283A-12F1-6355-C21D-18AC7450589A}"/>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広告費システム</a:t>
            </a:r>
          </a:p>
        </xdr:txBody>
      </xdr:sp>
    </xdr:grpSp>
    <xdr:clientData/>
  </xdr:twoCellAnchor>
  <xdr:twoCellAnchor>
    <xdr:from>
      <xdr:col>51</xdr:col>
      <xdr:colOff>0</xdr:colOff>
      <xdr:row>49</xdr:row>
      <xdr:rowOff>120089</xdr:rowOff>
    </xdr:from>
    <xdr:to>
      <xdr:col>55</xdr:col>
      <xdr:colOff>190445</xdr:colOff>
      <xdr:row>53</xdr:row>
      <xdr:rowOff>84585</xdr:rowOff>
    </xdr:to>
    <xdr:grpSp>
      <xdr:nvGrpSpPr>
        <xdr:cNvPr id="91" name="グループ化 90">
          <a:extLst>
            <a:ext uri="{FF2B5EF4-FFF2-40B4-BE49-F238E27FC236}">
              <a16:creationId xmlns:a16="http://schemas.microsoft.com/office/drawing/2014/main" id="{10A901E0-9E51-BD82-4B18-DB9ACCBDF44B}"/>
            </a:ext>
          </a:extLst>
        </xdr:cNvPr>
        <xdr:cNvGrpSpPr>
          <a:grpSpLocks noChangeAspect="1"/>
        </xdr:cNvGrpSpPr>
      </xdr:nvGrpSpPr>
      <xdr:grpSpPr>
        <a:xfrm>
          <a:off x="9229725" y="8549714"/>
          <a:ext cx="904820" cy="650296"/>
          <a:chOff x="7112000" y="2892425"/>
          <a:chExt cx="873125" cy="584685"/>
        </a:xfrm>
      </xdr:grpSpPr>
      <xdr:sp macro="" textlink="">
        <xdr:nvSpPr>
          <xdr:cNvPr id="92" name="フローチャート: 磁気ディスク 91">
            <a:extLst>
              <a:ext uri="{FF2B5EF4-FFF2-40B4-BE49-F238E27FC236}">
                <a16:creationId xmlns:a16="http://schemas.microsoft.com/office/drawing/2014/main" id="{C78126A2-8D03-6AAB-4D55-620394E1D3A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3" name="正方形/長方形 92">
            <a:extLst>
              <a:ext uri="{FF2B5EF4-FFF2-40B4-BE49-F238E27FC236}">
                <a16:creationId xmlns:a16="http://schemas.microsoft.com/office/drawing/2014/main" id="{9D5BE146-5CCE-611C-1EFB-C8E7C814143C}"/>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SLJ</a:t>
            </a:r>
            <a:r>
              <a:rPr kumimoji="1" lang="ja-JP" altLang="en-US" sz="900"/>
              <a:t>販売管理</a:t>
            </a:r>
          </a:p>
        </xdr:txBody>
      </xdr:sp>
    </xdr:grpSp>
    <xdr:clientData/>
  </xdr:twoCellAnchor>
  <xdr:twoCellAnchor>
    <xdr:from>
      <xdr:col>15</xdr:col>
      <xdr:colOff>169099</xdr:colOff>
      <xdr:row>24</xdr:row>
      <xdr:rowOff>95250</xdr:rowOff>
    </xdr:from>
    <xdr:to>
      <xdr:col>20</xdr:col>
      <xdr:colOff>62449</xdr:colOff>
      <xdr:row>27</xdr:row>
      <xdr:rowOff>88805</xdr:rowOff>
    </xdr:to>
    <xdr:grpSp>
      <xdr:nvGrpSpPr>
        <xdr:cNvPr id="97" name="グループ化 96">
          <a:extLst>
            <a:ext uri="{FF2B5EF4-FFF2-40B4-BE49-F238E27FC236}">
              <a16:creationId xmlns:a16="http://schemas.microsoft.com/office/drawing/2014/main" id="{52C687D1-BBC1-56D2-CF90-FAA022A7AF64}"/>
            </a:ext>
          </a:extLst>
        </xdr:cNvPr>
        <xdr:cNvGrpSpPr/>
      </xdr:nvGrpSpPr>
      <xdr:grpSpPr>
        <a:xfrm>
          <a:off x="2883724" y="4238625"/>
          <a:ext cx="798225" cy="507905"/>
          <a:chOff x="1632852" y="2452651"/>
          <a:chExt cx="905767" cy="408691"/>
        </a:xfrm>
      </xdr:grpSpPr>
      <xdr:sp macro="" textlink="">
        <xdr:nvSpPr>
          <xdr:cNvPr id="98" name="フローチャート: 処理 97">
            <a:extLst>
              <a:ext uri="{FF2B5EF4-FFF2-40B4-BE49-F238E27FC236}">
                <a16:creationId xmlns:a16="http://schemas.microsoft.com/office/drawing/2014/main" id="{2C65E7FA-6F5C-25BB-B1DE-81C0B05D47D3}"/>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9" name="正方形/長方形 48">
            <a:extLst>
              <a:ext uri="{FF2B5EF4-FFF2-40B4-BE49-F238E27FC236}">
                <a16:creationId xmlns:a16="http://schemas.microsoft.com/office/drawing/2014/main" id="{20B2CB70-FE56-2A30-979F-F30D725A1AEF}"/>
              </a:ext>
            </a:extLst>
          </xdr:cNvPr>
          <xdr:cNvSpPr/>
        </xdr:nvSpPr>
        <xdr:spPr>
          <a:xfrm>
            <a:off x="1632852" y="2452651"/>
            <a:ext cx="905767" cy="4086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．請求書を受領</a:t>
            </a:r>
          </a:p>
        </xdr:txBody>
      </xdr:sp>
    </xdr:grpSp>
    <xdr:clientData/>
  </xdr:twoCellAnchor>
  <xdr:twoCellAnchor>
    <xdr:from>
      <xdr:col>18</xdr:col>
      <xdr:colOff>32430</xdr:colOff>
      <xdr:row>26</xdr:row>
      <xdr:rowOff>64758</xdr:rowOff>
    </xdr:from>
    <xdr:to>
      <xdr:col>21</xdr:col>
      <xdr:colOff>62449</xdr:colOff>
      <xdr:row>28</xdr:row>
      <xdr:rowOff>88677</xdr:rowOff>
    </xdr:to>
    <xdr:grpSp>
      <xdr:nvGrpSpPr>
        <xdr:cNvPr id="100" name="グループ化 99">
          <a:extLst>
            <a:ext uri="{FF2B5EF4-FFF2-40B4-BE49-F238E27FC236}">
              <a16:creationId xmlns:a16="http://schemas.microsoft.com/office/drawing/2014/main" id="{5CF138FF-86AB-5545-2571-8159F2BFE469}"/>
            </a:ext>
          </a:extLst>
        </xdr:cNvPr>
        <xdr:cNvGrpSpPr>
          <a:grpSpLocks noChangeAspect="1"/>
        </xdr:cNvGrpSpPr>
      </xdr:nvGrpSpPr>
      <xdr:grpSpPr>
        <a:xfrm>
          <a:off x="3289980" y="4551033"/>
          <a:ext cx="572944" cy="366819"/>
          <a:chOff x="2610858" y="18514792"/>
          <a:chExt cx="1182905" cy="417279"/>
        </a:xfrm>
      </xdr:grpSpPr>
      <xdr:sp macro="" textlink="">
        <xdr:nvSpPr>
          <xdr:cNvPr id="101" name="フローチャート: 書類 100">
            <a:extLst>
              <a:ext uri="{FF2B5EF4-FFF2-40B4-BE49-F238E27FC236}">
                <a16:creationId xmlns:a16="http://schemas.microsoft.com/office/drawing/2014/main" id="{CD506A99-C3DC-4E33-861E-D2A32A346FF2}"/>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02" name="正方形/長方形 101">
            <a:extLst>
              <a:ext uri="{FF2B5EF4-FFF2-40B4-BE49-F238E27FC236}">
                <a16:creationId xmlns:a16="http://schemas.microsoft.com/office/drawing/2014/main" id="{EF07F2E1-6636-1402-7DEC-C97939FC5DE1}"/>
              </a:ext>
            </a:extLst>
          </xdr:cNvPr>
          <xdr:cNvSpPr/>
        </xdr:nvSpPr>
        <xdr:spPr>
          <a:xfrm>
            <a:off x="2610858" y="18514792"/>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請求書</a:t>
            </a:r>
            <a:endParaRPr kumimoji="1" lang="en-US" altLang="ja-JP" sz="900"/>
          </a:p>
        </xdr:txBody>
      </xdr:sp>
    </xdr:grpSp>
    <xdr:clientData/>
  </xdr:twoCellAnchor>
  <xdr:twoCellAnchor>
    <xdr:from>
      <xdr:col>23</xdr:col>
      <xdr:colOff>7173</xdr:colOff>
      <xdr:row>24</xdr:row>
      <xdr:rowOff>95250</xdr:rowOff>
    </xdr:from>
    <xdr:to>
      <xdr:col>27</xdr:col>
      <xdr:colOff>104782</xdr:colOff>
      <xdr:row>27</xdr:row>
      <xdr:rowOff>88805</xdr:rowOff>
    </xdr:to>
    <xdr:grpSp>
      <xdr:nvGrpSpPr>
        <xdr:cNvPr id="103" name="グループ化 102">
          <a:extLst>
            <a:ext uri="{FF2B5EF4-FFF2-40B4-BE49-F238E27FC236}">
              <a16:creationId xmlns:a16="http://schemas.microsoft.com/office/drawing/2014/main" id="{982270B1-CB8C-6AE4-AC71-233451A65CFB}"/>
            </a:ext>
          </a:extLst>
        </xdr:cNvPr>
        <xdr:cNvGrpSpPr/>
      </xdr:nvGrpSpPr>
      <xdr:grpSpPr>
        <a:xfrm>
          <a:off x="4169598" y="4238625"/>
          <a:ext cx="821509" cy="507905"/>
          <a:chOff x="1632852" y="2452651"/>
          <a:chExt cx="905767" cy="408691"/>
        </a:xfrm>
      </xdr:grpSpPr>
      <xdr:sp macro="" textlink="">
        <xdr:nvSpPr>
          <xdr:cNvPr id="104" name="フローチャート: 処理 103">
            <a:extLst>
              <a:ext uri="{FF2B5EF4-FFF2-40B4-BE49-F238E27FC236}">
                <a16:creationId xmlns:a16="http://schemas.microsoft.com/office/drawing/2014/main" id="{1E0FBBE1-078D-CBC8-30EE-41A06FC8CEAC}"/>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5" name="正方形/長方形 48">
            <a:extLst>
              <a:ext uri="{FF2B5EF4-FFF2-40B4-BE49-F238E27FC236}">
                <a16:creationId xmlns:a16="http://schemas.microsoft.com/office/drawing/2014/main" id="{639217AE-B043-58FD-C51B-F30B40B3E5C8}"/>
              </a:ext>
            </a:extLst>
          </xdr:cNvPr>
          <xdr:cNvSpPr/>
        </xdr:nvSpPr>
        <xdr:spPr>
          <a:xfrm>
            <a:off x="1632852" y="2452651"/>
            <a:ext cx="905767" cy="4086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．請求書を受領</a:t>
            </a:r>
          </a:p>
        </xdr:txBody>
      </xdr:sp>
    </xdr:grpSp>
    <xdr:clientData/>
  </xdr:twoCellAnchor>
  <xdr:twoCellAnchor>
    <xdr:from>
      <xdr:col>25</xdr:col>
      <xdr:colOff>68413</xdr:colOff>
      <xdr:row>26</xdr:row>
      <xdr:rowOff>64758</xdr:rowOff>
    </xdr:from>
    <xdr:to>
      <xdr:col>28</xdr:col>
      <xdr:colOff>104782</xdr:colOff>
      <xdr:row>28</xdr:row>
      <xdr:rowOff>88677</xdr:rowOff>
    </xdr:to>
    <xdr:grpSp>
      <xdr:nvGrpSpPr>
        <xdr:cNvPr id="106" name="グループ化 105">
          <a:extLst>
            <a:ext uri="{FF2B5EF4-FFF2-40B4-BE49-F238E27FC236}">
              <a16:creationId xmlns:a16="http://schemas.microsoft.com/office/drawing/2014/main" id="{FCAF21C8-0190-78E4-1F38-D85D79B049F2}"/>
            </a:ext>
          </a:extLst>
        </xdr:cNvPr>
        <xdr:cNvGrpSpPr>
          <a:grpSpLocks noChangeAspect="1"/>
        </xdr:cNvGrpSpPr>
      </xdr:nvGrpSpPr>
      <xdr:grpSpPr>
        <a:xfrm>
          <a:off x="4592788" y="4551033"/>
          <a:ext cx="579294" cy="366819"/>
          <a:chOff x="2610858" y="18514792"/>
          <a:chExt cx="1182905" cy="417279"/>
        </a:xfrm>
      </xdr:grpSpPr>
      <xdr:sp macro="" textlink="">
        <xdr:nvSpPr>
          <xdr:cNvPr id="107" name="フローチャート: 書類 106">
            <a:extLst>
              <a:ext uri="{FF2B5EF4-FFF2-40B4-BE49-F238E27FC236}">
                <a16:creationId xmlns:a16="http://schemas.microsoft.com/office/drawing/2014/main" id="{CA6446A0-06A0-47C9-D41A-AC37B7891201}"/>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08" name="正方形/長方形 107">
            <a:extLst>
              <a:ext uri="{FF2B5EF4-FFF2-40B4-BE49-F238E27FC236}">
                <a16:creationId xmlns:a16="http://schemas.microsoft.com/office/drawing/2014/main" id="{CDF4A2C9-C18A-DBAD-2435-4C6E1C9082D7}"/>
              </a:ext>
            </a:extLst>
          </xdr:cNvPr>
          <xdr:cNvSpPr/>
        </xdr:nvSpPr>
        <xdr:spPr>
          <a:xfrm>
            <a:off x="2610858" y="18514792"/>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請求書</a:t>
            </a:r>
            <a:endParaRPr kumimoji="1" lang="en-US" altLang="ja-JP" sz="900"/>
          </a:p>
        </xdr:txBody>
      </xdr:sp>
    </xdr:grpSp>
    <xdr:clientData/>
  </xdr:twoCellAnchor>
  <xdr:twoCellAnchor>
    <xdr:from>
      <xdr:col>29</xdr:col>
      <xdr:colOff>147931</xdr:colOff>
      <xdr:row>24</xdr:row>
      <xdr:rowOff>95250</xdr:rowOff>
    </xdr:from>
    <xdr:to>
      <xdr:col>34</xdr:col>
      <xdr:colOff>38107</xdr:colOff>
      <xdr:row>27</xdr:row>
      <xdr:rowOff>85630</xdr:rowOff>
    </xdr:to>
    <xdr:grpSp>
      <xdr:nvGrpSpPr>
        <xdr:cNvPr id="109" name="グループ化 108">
          <a:extLst>
            <a:ext uri="{FF2B5EF4-FFF2-40B4-BE49-F238E27FC236}">
              <a16:creationId xmlns:a16="http://schemas.microsoft.com/office/drawing/2014/main" id="{7E9AB2C1-3986-7D5E-F16D-D8BD2DEA86D2}"/>
            </a:ext>
          </a:extLst>
        </xdr:cNvPr>
        <xdr:cNvGrpSpPr/>
      </xdr:nvGrpSpPr>
      <xdr:grpSpPr>
        <a:xfrm>
          <a:off x="5396206" y="4238625"/>
          <a:ext cx="795051" cy="504730"/>
          <a:chOff x="1632852" y="2452651"/>
          <a:chExt cx="905767" cy="408691"/>
        </a:xfrm>
      </xdr:grpSpPr>
      <xdr:sp macro="" textlink="">
        <xdr:nvSpPr>
          <xdr:cNvPr id="110" name="フローチャート: 処理 109">
            <a:extLst>
              <a:ext uri="{FF2B5EF4-FFF2-40B4-BE49-F238E27FC236}">
                <a16:creationId xmlns:a16="http://schemas.microsoft.com/office/drawing/2014/main" id="{861FB62E-FBB7-CEA4-559A-36D4194F3C62}"/>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1" name="正方形/長方形 48">
            <a:extLst>
              <a:ext uri="{FF2B5EF4-FFF2-40B4-BE49-F238E27FC236}">
                <a16:creationId xmlns:a16="http://schemas.microsoft.com/office/drawing/2014/main" id="{A0D9228A-8477-9ADB-1EA6-FB20E76DE55F}"/>
              </a:ext>
            </a:extLst>
          </xdr:cNvPr>
          <xdr:cNvSpPr/>
        </xdr:nvSpPr>
        <xdr:spPr>
          <a:xfrm>
            <a:off x="1632852" y="2452651"/>
            <a:ext cx="905767" cy="4086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．請求書を受領</a:t>
            </a:r>
          </a:p>
        </xdr:txBody>
      </xdr:sp>
    </xdr:grpSp>
    <xdr:clientData/>
  </xdr:twoCellAnchor>
  <xdr:twoCellAnchor>
    <xdr:from>
      <xdr:col>32</xdr:col>
      <xdr:colOff>1737</xdr:colOff>
      <xdr:row>26</xdr:row>
      <xdr:rowOff>67933</xdr:rowOff>
    </xdr:from>
    <xdr:to>
      <xdr:col>35</xdr:col>
      <xdr:colOff>38106</xdr:colOff>
      <xdr:row>28</xdr:row>
      <xdr:rowOff>85502</xdr:rowOff>
    </xdr:to>
    <xdr:grpSp>
      <xdr:nvGrpSpPr>
        <xdr:cNvPr id="112" name="グループ化 111">
          <a:extLst>
            <a:ext uri="{FF2B5EF4-FFF2-40B4-BE49-F238E27FC236}">
              <a16:creationId xmlns:a16="http://schemas.microsoft.com/office/drawing/2014/main" id="{A84A5497-0F8C-B06C-6D33-6E9AFBA47A45}"/>
            </a:ext>
          </a:extLst>
        </xdr:cNvPr>
        <xdr:cNvGrpSpPr>
          <a:grpSpLocks noChangeAspect="1"/>
        </xdr:cNvGrpSpPr>
      </xdr:nvGrpSpPr>
      <xdr:grpSpPr>
        <a:xfrm>
          <a:off x="5792937" y="4554208"/>
          <a:ext cx="579294" cy="360469"/>
          <a:chOff x="2610858" y="18514792"/>
          <a:chExt cx="1182905" cy="417279"/>
        </a:xfrm>
      </xdr:grpSpPr>
      <xdr:sp macro="" textlink="">
        <xdr:nvSpPr>
          <xdr:cNvPr id="113" name="フローチャート: 書類 112">
            <a:extLst>
              <a:ext uri="{FF2B5EF4-FFF2-40B4-BE49-F238E27FC236}">
                <a16:creationId xmlns:a16="http://schemas.microsoft.com/office/drawing/2014/main" id="{A91B0C7B-3E0E-7BF7-572B-629955F0A809}"/>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14" name="正方形/長方形 113">
            <a:extLst>
              <a:ext uri="{FF2B5EF4-FFF2-40B4-BE49-F238E27FC236}">
                <a16:creationId xmlns:a16="http://schemas.microsoft.com/office/drawing/2014/main" id="{CDA71E72-8F30-9914-1A02-F6CD3972B032}"/>
              </a:ext>
            </a:extLst>
          </xdr:cNvPr>
          <xdr:cNvSpPr/>
        </xdr:nvSpPr>
        <xdr:spPr>
          <a:xfrm>
            <a:off x="2610858" y="18514792"/>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請求書</a:t>
            </a:r>
            <a:endParaRPr kumimoji="1" lang="en-US" altLang="ja-JP" sz="900"/>
          </a:p>
        </xdr:txBody>
      </xdr:sp>
    </xdr:grpSp>
    <xdr:clientData/>
  </xdr:twoCellAnchor>
  <xdr:twoCellAnchor>
    <xdr:from>
      <xdr:col>36</xdr:col>
      <xdr:colOff>176506</xdr:colOff>
      <xdr:row>24</xdr:row>
      <xdr:rowOff>95250</xdr:rowOff>
    </xdr:from>
    <xdr:to>
      <xdr:col>41</xdr:col>
      <xdr:colOff>69856</xdr:colOff>
      <xdr:row>27</xdr:row>
      <xdr:rowOff>88805</xdr:rowOff>
    </xdr:to>
    <xdr:grpSp>
      <xdr:nvGrpSpPr>
        <xdr:cNvPr id="115" name="グループ化 114">
          <a:extLst>
            <a:ext uri="{FF2B5EF4-FFF2-40B4-BE49-F238E27FC236}">
              <a16:creationId xmlns:a16="http://schemas.microsoft.com/office/drawing/2014/main" id="{7039A609-B101-9F93-C8C7-8989A5BBF12F}"/>
            </a:ext>
          </a:extLst>
        </xdr:cNvPr>
        <xdr:cNvGrpSpPr/>
      </xdr:nvGrpSpPr>
      <xdr:grpSpPr>
        <a:xfrm>
          <a:off x="6691606" y="4238625"/>
          <a:ext cx="798225" cy="507905"/>
          <a:chOff x="1632852" y="2452651"/>
          <a:chExt cx="905767" cy="408691"/>
        </a:xfrm>
      </xdr:grpSpPr>
      <xdr:sp macro="" textlink="">
        <xdr:nvSpPr>
          <xdr:cNvPr id="116" name="フローチャート: 処理 115">
            <a:extLst>
              <a:ext uri="{FF2B5EF4-FFF2-40B4-BE49-F238E27FC236}">
                <a16:creationId xmlns:a16="http://schemas.microsoft.com/office/drawing/2014/main" id="{0BC79C57-0F62-90D9-3CAB-538D965ACC7F}"/>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7" name="正方形/長方形 48">
            <a:extLst>
              <a:ext uri="{FF2B5EF4-FFF2-40B4-BE49-F238E27FC236}">
                <a16:creationId xmlns:a16="http://schemas.microsoft.com/office/drawing/2014/main" id="{2AC91ABF-C481-7779-96DF-A4E23A10F1A2}"/>
              </a:ext>
            </a:extLst>
          </xdr:cNvPr>
          <xdr:cNvSpPr/>
        </xdr:nvSpPr>
        <xdr:spPr>
          <a:xfrm>
            <a:off x="1632852" y="2452651"/>
            <a:ext cx="905767" cy="4086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．請求書を受領</a:t>
            </a:r>
          </a:p>
        </xdr:txBody>
      </xdr:sp>
    </xdr:grpSp>
    <xdr:clientData/>
  </xdr:twoCellAnchor>
  <xdr:twoCellAnchor>
    <xdr:from>
      <xdr:col>39</xdr:col>
      <xdr:colOff>33487</xdr:colOff>
      <xdr:row>26</xdr:row>
      <xdr:rowOff>64758</xdr:rowOff>
    </xdr:from>
    <xdr:to>
      <xdr:col>42</xdr:col>
      <xdr:colOff>69856</xdr:colOff>
      <xdr:row>28</xdr:row>
      <xdr:rowOff>88677</xdr:rowOff>
    </xdr:to>
    <xdr:grpSp>
      <xdr:nvGrpSpPr>
        <xdr:cNvPr id="118" name="グループ化 117">
          <a:extLst>
            <a:ext uri="{FF2B5EF4-FFF2-40B4-BE49-F238E27FC236}">
              <a16:creationId xmlns:a16="http://schemas.microsoft.com/office/drawing/2014/main" id="{717D3829-0BFA-9844-7BF5-4E60E2C090CA}"/>
            </a:ext>
          </a:extLst>
        </xdr:cNvPr>
        <xdr:cNvGrpSpPr>
          <a:grpSpLocks noChangeAspect="1"/>
        </xdr:cNvGrpSpPr>
      </xdr:nvGrpSpPr>
      <xdr:grpSpPr>
        <a:xfrm>
          <a:off x="7091512" y="4551033"/>
          <a:ext cx="579294" cy="366819"/>
          <a:chOff x="2610858" y="18514792"/>
          <a:chExt cx="1182905" cy="417279"/>
        </a:xfrm>
      </xdr:grpSpPr>
      <xdr:sp macro="" textlink="">
        <xdr:nvSpPr>
          <xdr:cNvPr id="119" name="フローチャート: 書類 118">
            <a:extLst>
              <a:ext uri="{FF2B5EF4-FFF2-40B4-BE49-F238E27FC236}">
                <a16:creationId xmlns:a16="http://schemas.microsoft.com/office/drawing/2014/main" id="{97379264-E54A-3560-FF51-957CC5A1075A}"/>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20" name="正方形/長方形 119">
            <a:extLst>
              <a:ext uri="{FF2B5EF4-FFF2-40B4-BE49-F238E27FC236}">
                <a16:creationId xmlns:a16="http://schemas.microsoft.com/office/drawing/2014/main" id="{C6B55DBB-0604-FADA-4658-ED6ADBAE0C30}"/>
              </a:ext>
            </a:extLst>
          </xdr:cNvPr>
          <xdr:cNvSpPr/>
        </xdr:nvSpPr>
        <xdr:spPr>
          <a:xfrm>
            <a:off x="2610858" y="18514792"/>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請求書</a:t>
            </a:r>
            <a:endParaRPr kumimoji="1" lang="en-US" altLang="ja-JP" sz="900"/>
          </a:p>
        </xdr:txBody>
      </xdr:sp>
    </xdr:grpSp>
    <xdr:clientData/>
  </xdr:twoCellAnchor>
  <xdr:twoCellAnchor>
    <xdr:from>
      <xdr:col>15</xdr:col>
      <xdr:colOff>146549</xdr:colOff>
      <xdr:row>38</xdr:row>
      <xdr:rowOff>76198</xdr:rowOff>
    </xdr:from>
    <xdr:to>
      <xdr:col>20</xdr:col>
      <xdr:colOff>131619</xdr:colOff>
      <xdr:row>41</xdr:row>
      <xdr:rowOff>66997</xdr:rowOff>
    </xdr:to>
    <xdr:grpSp>
      <xdr:nvGrpSpPr>
        <xdr:cNvPr id="121" name="グループ化 8">
          <a:extLst>
            <a:ext uri="{FF2B5EF4-FFF2-40B4-BE49-F238E27FC236}">
              <a16:creationId xmlns:a16="http://schemas.microsoft.com/office/drawing/2014/main" id="{94DABE89-A5F2-4147-9E6C-B9EC0765F7DF}"/>
            </a:ext>
          </a:extLst>
        </xdr:cNvPr>
        <xdr:cNvGrpSpPr/>
      </xdr:nvGrpSpPr>
      <xdr:grpSpPr>
        <a:xfrm>
          <a:off x="2861174" y="6619873"/>
          <a:ext cx="889945" cy="505149"/>
          <a:chOff x="1634100" y="2442513"/>
          <a:chExt cx="908902" cy="420662"/>
        </a:xfrm>
      </xdr:grpSpPr>
      <xdr:sp macro="" textlink="">
        <xdr:nvSpPr>
          <xdr:cNvPr id="122" name="フローチャート: 定義済み処理 9">
            <a:extLst>
              <a:ext uri="{FF2B5EF4-FFF2-40B4-BE49-F238E27FC236}">
                <a16:creationId xmlns:a16="http://schemas.microsoft.com/office/drawing/2014/main" id="{47A71020-D9D3-5C2A-05A4-FF945523D224}"/>
              </a:ext>
            </a:extLst>
          </xdr:cNvPr>
          <xdr:cNvSpPr/>
        </xdr:nvSpPr>
        <xdr:spPr>
          <a:xfrm>
            <a:off x="1681248" y="2457449"/>
            <a:ext cx="817814"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3" name="正方形/長方形 48">
            <a:extLst>
              <a:ext uri="{FF2B5EF4-FFF2-40B4-BE49-F238E27FC236}">
                <a16:creationId xmlns:a16="http://schemas.microsoft.com/office/drawing/2014/main" id="{3B977FE1-B898-BDA0-C8F9-6DEA4F5F31F8}"/>
              </a:ext>
            </a:extLst>
          </xdr:cNvPr>
          <xdr:cNvSpPr/>
        </xdr:nvSpPr>
        <xdr:spPr>
          <a:xfrm>
            <a:off x="1634100" y="244251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．仕入計上</a:t>
            </a:r>
          </a:p>
        </xdr:txBody>
      </xdr:sp>
    </xdr:grpSp>
    <xdr:clientData/>
  </xdr:twoCellAnchor>
  <xdr:twoCellAnchor>
    <xdr:from>
      <xdr:col>13</xdr:col>
      <xdr:colOff>112943</xdr:colOff>
      <xdr:row>32</xdr:row>
      <xdr:rowOff>76558</xdr:rowOff>
    </xdr:from>
    <xdr:to>
      <xdr:col>51</xdr:col>
      <xdr:colOff>107737</xdr:colOff>
      <xdr:row>36</xdr:row>
      <xdr:rowOff>20181</xdr:rowOff>
    </xdr:to>
    <xdr:cxnSp macro="">
      <xdr:nvCxnSpPr>
        <xdr:cNvPr id="124" name="コネクタ: カギ線 123">
          <a:extLst>
            <a:ext uri="{FF2B5EF4-FFF2-40B4-BE49-F238E27FC236}">
              <a16:creationId xmlns:a16="http://schemas.microsoft.com/office/drawing/2014/main" id="{6FD57349-A1E1-48C5-B220-D0F405AA4F3A}"/>
            </a:ext>
          </a:extLst>
        </xdr:cNvPr>
        <xdr:cNvCxnSpPr>
          <a:stCxn id="3" idx="3"/>
          <a:endCxn id="53" idx="2"/>
        </xdr:cNvCxnSpPr>
      </xdr:nvCxnSpPr>
      <xdr:spPr>
        <a:xfrm>
          <a:off x="2727026" y="5548141"/>
          <a:ext cx="7635961" cy="620957"/>
        </a:xfrm>
        <a:prstGeom prst="bentConnector3">
          <a:avLst>
            <a:gd name="adj1" fmla="val 86987"/>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83735</xdr:colOff>
      <xdr:row>39</xdr:row>
      <xdr:rowOff>146694</xdr:rowOff>
    </xdr:from>
    <xdr:to>
      <xdr:col>51</xdr:col>
      <xdr:colOff>104904</xdr:colOff>
      <xdr:row>39</xdr:row>
      <xdr:rowOff>155046</xdr:rowOff>
    </xdr:to>
    <xdr:cxnSp macro="">
      <xdr:nvCxnSpPr>
        <xdr:cNvPr id="133" name="直線矢印コネクタ 132">
          <a:extLst>
            <a:ext uri="{FF2B5EF4-FFF2-40B4-BE49-F238E27FC236}">
              <a16:creationId xmlns:a16="http://schemas.microsoft.com/office/drawing/2014/main" id="{04A5BEC5-1525-4E1E-A869-6F88E68EF1F7}"/>
            </a:ext>
          </a:extLst>
        </xdr:cNvPr>
        <xdr:cNvCxnSpPr>
          <a:stCxn id="122" idx="3"/>
          <a:endCxn id="68" idx="2"/>
        </xdr:cNvCxnSpPr>
      </xdr:nvCxnSpPr>
      <xdr:spPr>
        <a:xfrm>
          <a:off x="4105402" y="6803611"/>
          <a:ext cx="6254752" cy="83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23382</xdr:colOff>
      <xdr:row>27</xdr:row>
      <xdr:rowOff>49969</xdr:rowOff>
    </xdr:from>
    <xdr:to>
      <xdr:col>18</xdr:col>
      <xdr:colOff>40291</xdr:colOff>
      <xdr:row>38</xdr:row>
      <xdr:rowOff>93908</xdr:rowOff>
    </xdr:to>
    <xdr:cxnSp macro="">
      <xdr:nvCxnSpPr>
        <xdr:cNvPr id="136" name="直線矢印コネクタ 135">
          <a:extLst>
            <a:ext uri="{FF2B5EF4-FFF2-40B4-BE49-F238E27FC236}">
              <a16:creationId xmlns:a16="http://schemas.microsoft.com/office/drawing/2014/main" id="{5F0E7ED7-E9F9-433E-B0A3-1B87B346D5A1}"/>
            </a:ext>
          </a:extLst>
        </xdr:cNvPr>
        <xdr:cNvCxnSpPr>
          <a:stCxn id="98" idx="2"/>
          <a:endCxn id="122" idx="0"/>
        </xdr:cNvCxnSpPr>
      </xdr:nvCxnSpPr>
      <xdr:spPr>
        <a:xfrm>
          <a:off x="3642882" y="4674886"/>
          <a:ext cx="16909" cy="190660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179918</xdr:colOff>
      <xdr:row>46</xdr:row>
      <xdr:rowOff>45509</xdr:rowOff>
    </xdr:from>
    <xdr:to>
      <xdr:col>27</xdr:col>
      <xdr:colOff>169718</xdr:colOff>
      <xdr:row>49</xdr:row>
      <xdr:rowOff>36308</xdr:rowOff>
    </xdr:to>
    <xdr:grpSp>
      <xdr:nvGrpSpPr>
        <xdr:cNvPr id="139" name="グループ化 8">
          <a:extLst>
            <a:ext uri="{FF2B5EF4-FFF2-40B4-BE49-F238E27FC236}">
              <a16:creationId xmlns:a16="http://schemas.microsoft.com/office/drawing/2014/main" id="{2A03FB30-F545-4029-9175-55CDCB2C67C5}"/>
            </a:ext>
          </a:extLst>
        </xdr:cNvPr>
        <xdr:cNvGrpSpPr/>
      </xdr:nvGrpSpPr>
      <xdr:grpSpPr>
        <a:xfrm>
          <a:off x="4161368" y="7960784"/>
          <a:ext cx="894675" cy="505149"/>
          <a:chOff x="1634100" y="2442513"/>
          <a:chExt cx="908902" cy="420662"/>
        </a:xfrm>
      </xdr:grpSpPr>
      <xdr:sp macro="" textlink="">
        <xdr:nvSpPr>
          <xdr:cNvPr id="140" name="フローチャート: 定義済み処理 9">
            <a:extLst>
              <a:ext uri="{FF2B5EF4-FFF2-40B4-BE49-F238E27FC236}">
                <a16:creationId xmlns:a16="http://schemas.microsoft.com/office/drawing/2014/main" id="{AD1D7573-87EF-FDA7-1DCD-1A671B93E44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1" name="正方形/長方形 48">
            <a:extLst>
              <a:ext uri="{FF2B5EF4-FFF2-40B4-BE49-F238E27FC236}">
                <a16:creationId xmlns:a16="http://schemas.microsoft.com/office/drawing/2014/main" id="{0035E265-6314-A023-8E73-9E930AB8E066}"/>
              </a:ext>
            </a:extLst>
          </xdr:cNvPr>
          <xdr:cNvSpPr/>
        </xdr:nvSpPr>
        <xdr:spPr>
          <a:xfrm>
            <a:off x="1634100" y="244251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．仕入計上</a:t>
            </a:r>
          </a:p>
        </xdr:txBody>
      </xdr:sp>
    </xdr:grpSp>
    <xdr:clientData/>
  </xdr:twoCellAnchor>
  <xdr:twoCellAnchor>
    <xdr:from>
      <xdr:col>20</xdr:col>
      <xdr:colOff>83735</xdr:colOff>
      <xdr:row>39</xdr:row>
      <xdr:rowOff>146694</xdr:rowOff>
    </xdr:from>
    <xdr:to>
      <xdr:col>51</xdr:col>
      <xdr:colOff>104904</xdr:colOff>
      <xdr:row>43</xdr:row>
      <xdr:rowOff>132635</xdr:rowOff>
    </xdr:to>
    <xdr:cxnSp macro="">
      <xdr:nvCxnSpPr>
        <xdr:cNvPr id="142" name="コネクタ: カギ線 141">
          <a:extLst>
            <a:ext uri="{FF2B5EF4-FFF2-40B4-BE49-F238E27FC236}">
              <a16:creationId xmlns:a16="http://schemas.microsoft.com/office/drawing/2014/main" id="{DFA382FD-8AE5-416A-AB07-8E61218B1AD5}"/>
            </a:ext>
          </a:extLst>
        </xdr:cNvPr>
        <xdr:cNvCxnSpPr>
          <a:stCxn id="122" idx="3"/>
          <a:endCxn id="71" idx="2"/>
        </xdr:cNvCxnSpPr>
      </xdr:nvCxnSpPr>
      <xdr:spPr>
        <a:xfrm>
          <a:off x="4105402" y="6803611"/>
          <a:ext cx="6254752" cy="663274"/>
        </a:xfrm>
        <a:prstGeom prst="bentConnector3">
          <a:avLst>
            <a:gd name="adj1" fmla="val 83367"/>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121538</xdr:colOff>
      <xdr:row>47</xdr:row>
      <xdr:rowOff>101780</xdr:rowOff>
    </xdr:from>
    <xdr:to>
      <xdr:col>51</xdr:col>
      <xdr:colOff>101729</xdr:colOff>
      <xdr:row>47</xdr:row>
      <xdr:rowOff>116008</xdr:rowOff>
    </xdr:to>
    <xdr:cxnSp macro="">
      <xdr:nvCxnSpPr>
        <xdr:cNvPr id="154" name="直線矢印コネクタ 153">
          <a:extLst>
            <a:ext uri="{FF2B5EF4-FFF2-40B4-BE49-F238E27FC236}">
              <a16:creationId xmlns:a16="http://schemas.microsoft.com/office/drawing/2014/main" id="{F34B3E19-1B52-4B42-98BF-C2D04CFC0A03}"/>
            </a:ext>
          </a:extLst>
        </xdr:cNvPr>
        <xdr:cNvCxnSpPr>
          <a:stCxn id="140" idx="3"/>
          <a:endCxn id="89" idx="2"/>
        </xdr:cNvCxnSpPr>
      </xdr:nvCxnSpPr>
      <xdr:spPr>
        <a:xfrm flipV="1">
          <a:off x="5553963" y="8110188"/>
          <a:ext cx="4806191" cy="1740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62494</xdr:colOff>
      <xdr:row>27</xdr:row>
      <xdr:rowOff>49969</xdr:rowOff>
    </xdr:from>
    <xdr:to>
      <xdr:col>25</xdr:col>
      <xdr:colOff>78409</xdr:colOff>
      <xdr:row>46</xdr:row>
      <xdr:rowOff>63221</xdr:rowOff>
    </xdr:to>
    <xdr:cxnSp macro="">
      <xdr:nvCxnSpPr>
        <xdr:cNvPr id="157" name="直線矢印コネクタ 156">
          <a:extLst>
            <a:ext uri="{FF2B5EF4-FFF2-40B4-BE49-F238E27FC236}">
              <a16:creationId xmlns:a16="http://schemas.microsoft.com/office/drawing/2014/main" id="{7FC48947-8052-4A8B-BA33-FDBAD4CEF2B2}"/>
            </a:ext>
          </a:extLst>
        </xdr:cNvPr>
        <xdr:cNvCxnSpPr>
          <a:stCxn id="104" idx="2"/>
          <a:endCxn id="140" idx="0"/>
        </xdr:cNvCxnSpPr>
      </xdr:nvCxnSpPr>
      <xdr:spPr>
        <a:xfrm>
          <a:off x="5089577" y="4674886"/>
          <a:ext cx="15915" cy="323058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93136</xdr:colOff>
      <xdr:row>50</xdr:row>
      <xdr:rowOff>30687</xdr:rowOff>
    </xdr:from>
    <xdr:to>
      <xdr:col>34</xdr:col>
      <xdr:colOff>101987</xdr:colOff>
      <xdr:row>53</xdr:row>
      <xdr:rowOff>11961</xdr:rowOff>
    </xdr:to>
    <xdr:grpSp>
      <xdr:nvGrpSpPr>
        <xdr:cNvPr id="160" name="グループ化 8">
          <a:extLst>
            <a:ext uri="{FF2B5EF4-FFF2-40B4-BE49-F238E27FC236}">
              <a16:creationId xmlns:a16="http://schemas.microsoft.com/office/drawing/2014/main" id="{C436834A-B73B-48B5-96E0-046744BA8E2D}"/>
            </a:ext>
          </a:extLst>
        </xdr:cNvPr>
        <xdr:cNvGrpSpPr/>
      </xdr:nvGrpSpPr>
      <xdr:grpSpPr>
        <a:xfrm>
          <a:off x="5341411" y="8631762"/>
          <a:ext cx="913726" cy="495624"/>
          <a:chOff x="1634100" y="2442513"/>
          <a:chExt cx="908902" cy="420662"/>
        </a:xfrm>
      </xdr:grpSpPr>
      <xdr:sp macro="" textlink="">
        <xdr:nvSpPr>
          <xdr:cNvPr id="161" name="フローチャート: 定義済み処理 9">
            <a:extLst>
              <a:ext uri="{FF2B5EF4-FFF2-40B4-BE49-F238E27FC236}">
                <a16:creationId xmlns:a16="http://schemas.microsoft.com/office/drawing/2014/main" id="{1AEC5F38-FB6B-C5AB-9CF1-AFD86F822A1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2" name="正方形/長方形 48">
            <a:extLst>
              <a:ext uri="{FF2B5EF4-FFF2-40B4-BE49-F238E27FC236}">
                <a16:creationId xmlns:a16="http://schemas.microsoft.com/office/drawing/2014/main" id="{586F26BF-207C-0BC7-4912-1164E6CED3AC}"/>
              </a:ext>
            </a:extLst>
          </xdr:cNvPr>
          <xdr:cNvSpPr/>
        </xdr:nvSpPr>
        <xdr:spPr>
          <a:xfrm>
            <a:off x="1634100" y="244251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．仕入計上</a:t>
            </a:r>
          </a:p>
        </xdr:txBody>
      </xdr:sp>
    </xdr:grpSp>
    <xdr:clientData/>
  </xdr:twoCellAnchor>
  <xdr:twoCellAnchor>
    <xdr:from>
      <xdr:col>34</xdr:col>
      <xdr:colOff>56120</xdr:colOff>
      <xdr:row>51</xdr:row>
      <xdr:rowOff>79106</xdr:rowOff>
    </xdr:from>
    <xdr:to>
      <xdr:col>51</xdr:col>
      <xdr:colOff>104904</xdr:colOff>
      <xdr:row>51</xdr:row>
      <xdr:rowOff>96605</xdr:rowOff>
    </xdr:to>
    <xdr:cxnSp macro="">
      <xdr:nvCxnSpPr>
        <xdr:cNvPr id="163" name="直線矢印コネクタ 162">
          <a:extLst>
            <a:ext uri="{FF2B5EF4-FFF2-40B4-BE49-F238E27FC236}">
              <a16:creationId xmlns:a16="http://schemas.microsoft.com/office/drawing/2014/main" id="{26B7C493-5F71-47AA-8903-33E79AD55930}"/>
            </a:ext>
          </a:extLst>
        </xdr:cNvPr>
        <xdr:cNvCxnSpPr>
          <a:stCxn id="161" idx="3"/>
          <a:endCxn id="92" idx="2"/>
        </xdr:cNvCxnSpPr>
      </xdr:nvCxnSpPr>
      <xdr:spPr>
        <a:xfrm flipV="1">
          <a:off x="6892953" y="8768023"/>
          <a:ext cx="3467201" cy="1749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0</xdr:colOff>
      <xdr:row>53</xdr:row>
      <xdr:rowOff>63997</xdr:rowOff>
    </xdr:from>
    <xdr:to>
      <xdr:col>55</xdr:col>
      <xdr:colOff>190445</xdr:colOff>
      <xdr:row>57</xdr:row>
      <xdr:rowOff>28492</xdr:rowOff>
    </xdr:to>
    <xdr:grpSp>
      <xdr:nvGrpSpPr>
        <xdr:cNvPr id="166" name="グループ化 165">
          <a:extLst>
            <a:ext uri="{FF2B5EF4-FFF2-40B4-BE49-F238E27FC236}">
              <a16:creationId xmlns:a16="http://schemas.microsoft.com/office/drawing/2014/main" id="{3D2C8BAF-FFAC-DB5E-F11B-E3B54A900E9C}"/>
            </a:ext>
          </a:extLst>
        </xdr:cNvPr>
        <xdr:cNvGrpSpPr>
          <a:grpSpLocks noChangeAspect="1"/>
        </xdr:cNvGrpSpPr>
      </xdr:nvGrpSpPr>
      <xdr:grpSpPr>
        <a:xfrm>
          <a:off x="9229725" y="9179422"/>
          <a:ext cx="904820" cy="650295"/>
          <a:chOff x="7112000" y="2892425"/>
          <a:chExt cx="873125" cy="584685"/>
        </a:xfrm>
      </xdr:grpSpPr>
      <xdr:sp macro="" textlink="">
        <xdr:nvSpPr>
          <xdr:cNvPr id="167" name="フローチャート: 磁気ディスク 166">
            <a:extLst>
              <a:ext uri="{FF2B5EF4-FFF2-40B4-BE49-F238E27FC236}">
                <a16:creationId xmlns:a16="http://schemas.microsoft.com/office/drawing/2014/main" id="{1FBD535B-2BBD-BFA9-8D2E-E49C88C2728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8" name="正方形/長方形 167">
            <a:extLst>
              <a:ext uri="{FF2B5EF4-FFF2-40B4-BE49-F238E27FC236}">
                <a16:creationId xmlns:a16="http://schemas.microsoft.com/office/drawing/2014/main" id="{80A09409-931E-8A22-4EF7-B7F7AF8501DB}"/>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EDIL</a:t>
            </a:r>
            <a:endParaRPr kumimoji="1" lang="ja-JP" altLang="en-US" sz="900"/>
          </a:p>
        </xdr:txBody>
      </xdr:sp>
    </xdr:grpSp>
    <xdr:clientData/>
  </xdr:twoCellAnchor>
  <xdr:twoCellAnchor>
    <xdr:from>
      <xdr:col>36</xdr:col>
      <xdr:colOff>155576</xdr:colOff>
      <xdr:row>53</xdr:row>
      <xdr:rowOff>144986</xdr:rowOff>
    </xdr:from>
    <xdr:to>
      <xdr:col>41</xdr:col>
      <xdr:colOff>126326</xdr:colOff>
      <xdr:row>56</xdr:row>
      <xdr:rowOff>126260</xdr:rowOff>
    </xdr:to>
    <xdr:grpSp>
      <xdr:nvGrpSpPr>
        <xdr:cNvPr id="169" name="グループ化 8">
          <a:extLst>
            <a:ext uri="{FF2B5EF4-FFF2-40B4-BE49-F238E27FC236}">
              <a16:creationId xmlns:a16="http://schemas.microsoft.com/office/drawing/2014/main" id="{F838C973-5012-40AC-85DF-29CE376F30E2}"/>
            </a:ext>
          </a:extLst>
        </xdr:cNvPr>
        <xdr:cNvGrpSpPr/>
      </xdr:nvGrpSpPr>
      <xdr:grpSpPr>
        <a:xfrm>
          <a:off x="6670676" y="9260411"/>
          <a:ext cx="875625" cy="495624"/>
          <a:chOff x="1634100" y="2442513"/>
          <a:chExt cx="908902" cy="420662"/>
        </a:xfrm>
      </xdr:grpSpPr>
      <xdr:sp macro="" textlink="">
        <xdr:nvSpPr>
          <xdr:cNvPr id="170" name="フローチャート: 定義済み処理 9">
            <a:extLst>
              <a:ext uri="{FF2B5EF4-FFF2-40B4-BE49-F238E27FC236}">
                <a16:creationId xmlns:a16="http://schemas.microsoft.com/office/drawing/2014/main" id="{E4E0BDC7-64B3-C309-6847-F5111A6BF03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1" name="正方形/長方形 48">
            <a:extLst>
              <a:ext uri="{FF2B5EF4-FFF2-40B4-BE49-F238E27FC236}">
                <a16:creationId xmlns:a16="http://schemas.microsoft.com/office/drawing/2014/main" id="{84AC8FBF-384C-5B9C-C35D-A35081E64BBD}"/>
              </a:ext>
            </a:extLst>
          </xdr:cNvPr>
          <xdr:cNvSpPr/>
        </xdr:nvSpPr>
        <xdr:spPr>
          <a:xfrm>
            <a:off x="1634100" y="244251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．仕入計上</a:t>
            </a:r>
          </a:p>
        </xdr:txBody>
      </xdr:sp>
    </xdr:grpSp>
    <xdr:clientData/>
  </xdr:twoCellAnchor>
  <xdr:twoCellAnchor>
    <xdr:from>
      <xdr:col>41</xdr:col>
      <xdr:colOff>88532</xdr:colOff>
      <xdr:row>55</xdr:row>
      <xdr:rowOff>29364</xdr:rowOff>
    </xdr:from>
    <xdr:to>
      <xdr:col>51</xdr:col>
      <xdr:colOff>104904</xdr:colOff>
      <xdr:row>55</xdr:row>
      <xdr:rowOff>47921</xdr:rowOff>
    </xdr:to>
    <xdr:cxnSp macro="">
      <xdr:nvCxnSpPr>
        <xdr:cNvPr id="172" name="直線矢印コネクタ 171">
          <a:extLst>
            <a:ext uri="{FF2B5EF4-FFF2-40B4-BE49-F238E27FC236}">
              <a16:creationId xmlns:a16="http://schemas.microsoft.com/office/drawing/2014/main" id="{04A09200-0C95-4B14-837C-2B4A526C6681}"/>
            </a:ext>
          </a:extLst>
        </xdr:cNvPr>
        <xdr:cNvCxnSpPr>
          <a:stCxn id="170" idx="3"/>
          <a:endCxn id="167" idx="2"/>
        </xdr:cNvCxnSpPr>
      </xdr:nvCxnSpPr>
      <xdr:spPr>
        <a:xfrm flipV="1">
          <a:off x="8326599" y="9389264"/>
          <a:ext cx="2033555" cy="1855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198512</xdr:colOff>
      <xdr:row>27</xdr:row>
      <xdr:rowOff>52916</xdr:rowOff>
    </xdr:from>
    <xdr:to>
      <xdr:col>32</xdr:col>
      <xdr:colOff>1231</xdr:colOff>
      <xdr:row>50</xdr:row>
      <xdr:rowOff>48060</xdr:rowOff>
    </xdr:to>
    <xdr:cxnSp macro="">
      <xdr:nvCxnSpPr>
        <xdr:cNvPr id="175" name="直線矢印コネクタ 174">
          <a:extLst>
            <a:ext uri="{FF2B5EF4-FFF2-40B4-BE49-F238E27FC236}">
              <a16:creationId xmlns:a16="http://schemas.microsoft.com/office/drawing/2014/main" id="{F25BF276-0A6C-4645-AB5D-C0D642CC68F1}"/>
            </a:ext>
          </a:extLst>
        </xdr:cNvPr>
        <xdr:cNvCxnSpPr>
          <a:stCxn id="110" idx="2"/>
          <a:endCxn id="161" idx="0"/>
        </xdr:cNvCxnSpPr>
      </xdr:nvCxnSpPr>
      <xdr:spPr>
        <a:xfrm>
          <a:off x="6432095" y="4677833"/>
          <a:ext cx="3803" cy="388981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29133</xdr:colOff>
      <xdr:row>27</xdr:row>
      <xdr:rowOff>49969</xdr:rowOff>
    </xdr:from>
    <xdr:to>
      <xdr:col>39</xdr:col>
      <xdr:colOff>44463</xdr:colOff>
      <xdr:row>53</xdr:row>
      <xdr:rowOff>162359</xdr:rowOff>
    </xdr:to>
    <xdr:cxnSp macro="">
      <xdr:nvCxnSpPr>
        <xdr:cNvPr id="178" name="直線矢印コネクタ 177">
          <a:extLst>
            <a:ext uri="{FF2B5EF4-FFF2-40B4-BE49-F238E27FC236}">
              <a16:creationId xmlns:a16="http://schemas.microsoft.com/office/drawing/2014/main" id="{B67E7BB5-6B54-474D-BD6A-430389313136}"/>
            </a:ext>
          </a:extLst>
        </xdr:cNvPr>
        <xdr:cNvCxnSpPr>
          <a:stCxn id="116" idx="2"/>
          <a:endCxn id="170" idx="0"/>
        </xdr:cNvCxnSpPr>
      </xdr:nvCxnSpPr>
      <xdr:spPr>
        <a:xfrm>
          <a:off x="7871383" y="4674886"/>
          <a:ext cx="15330" cy="451505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114936</xdr:colOff>
      <xdr:row>21</xdr:row>
      <xdr:rowOff>756</xdr:rowOff>
    </xdr:from>
    <xdr:to>
      <xdr:col>18</xdr:col>
      <xdr:colOff>23383</xdr:colOff>
      <xdr:row>24</xdr:row>
      <xdr:rowOff>101099</xdr:rowOff>
    </xdr:to>
    <xdr:cxnSp macro="">
      <xdr:nvCxnSpPr>
        <xdr:cNvPr id="182" name="コネクタ: カギ線 181">
          <a:extLst>
            <a:ext uri="{FF2B5EF4-FFF2-40B4-BE49-F238E27FC236}">
              <a16:creationId xmlns:a16="http://schemas.microsoft.com/office/drawing/2014/main" id="{C9544CFF-EA3D-47BD-9DF9-C9F7A0417B55}"/>
            </a:ext>
          </a:extLst>
        </xdr:cNvPr>
        <xdr:cNvCxnSpPr>
          <a:stCxn id="19" idx="2"/>
          <a:endCxn id="98" idx="0"/>
        </xdr:cNvCxnSpPr>
      </xdr:nvCxnSpPr>
      <xdr:spPr>
        <a:xfrm rot="16200000" flipH="1">
          <a:off x="1976904" y="2552038"/>
          <a:ext cx="608343" cy="272361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92020</xdr:colOff>
      <xdr:row>32</xdr:row>
      <xdr:rowOff>77864</xdr:rowOff>
    </xdr:from>
    <xdr:to>
      <xdr:col>55</xdr:col>
      <xdr:colOff>45766</xdr:colOff>
      <xdr:row>64</xdr:row>
      <xdr:rowOff>47732</xdr:rowOff>
    </xdr:to>
    <xdr:cxnSp macro="">
      <xdr:nvCxnSpPr>
        <xdr:cNvPr id="186" name="コネクタ: カギ線 185">
          <a:extLst>
            <a:ext uri="{FF2B5EF4-FFF2-40B4-BE49-F238E27FC236}">
              <a16:creationId xmlns:a16="http://schemas.microsoft.com/office/drawing/2014/main" id="{1D59FB17-F7A1-47D1-AC05-E3964CF140F7}"/>
            </a:ext>
          </a:extLst>
        </xdr:cNvPr>
        <xdr:cNvCxnSpPr>
          <a:stCxn id="49" idx="4"/>
          <a:endCxn id="39" idx="1"/>
        </xdr:cNvCxnSpPr>
      </xdr:nvCxnSpPr>
      <xdr:spPr>
        <a:xfrm flipH="1">
          <a:off x="9480949" y="5765650"/>
          <a:ext cx="1790710" cy="5630439"/>
        </a:xfrm>
        <a:prstGeom prst="bentConnector4">
          <a:avLst>
            <a:gd name="adj1" fmla="val -12766"/>
            <a:gd name="adj2" fmla="val 92395"/>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73410</xdr:colOff>
      <xdr:row>36</xdr:row>
      <xdr:rowOff>20322</xdr:rowOff>
    </xdr:from>
    <xdr:to>
      <xdr:col>56</xdr:col>
      <xdr:colOff>87923</xdr:colOff>
      <xdr:row>36</xdr:row>
      <xdr:rowOff>21980</xdr:rowOff>
    </xdr:to>
    <xdr:cxnSp macro="">
      <xdr:nvCxnSpPr>
        <xdr:cNvPr id="46" name="直線コネクタ 45">
          <a:extLst>
            <a:ext uri="{FF2B5EF4-FFF2-40B4-BE49-F238E27FC236}">
              <a16:creationId xmlns:a16="http://schemas.microsoft.com/office/drawing/2014/main" id="{CF56D6D0-6AC1-424E-9847-F615EA7ED869}"/>
            </a:ext>
          </a:extLst>
        </xdr:cNvPr>
        <xdr:cNvCxnSpPr>
          <a:stCxn id="53" idx="4"/>
        </xdr:cNvCxnSpPr>
      </xdr:nvCxnSpPr>
      <xdr:spPr>
        <a:xfrm>
          <a:off x="10953891" y="6145630"/>
          <a:ext cx="212340" cy="1658"/>
        </a:xfrm>
        <a:prstGeom prst="line">
          <a:avLst/>
        </a:prstGeom>
        <a:ln w="12700">
          <a:prstDash val="dash"/>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73410</xdr:colOff>
      <xdr:row>39</xdr:row>
      <xdr:rowOff>159534</xdr:rowOff>
    </xdr:from>
    <xdr:to>
      <xdr:col>56</xdr:col>
      <xdr:colOff>84748</xdr:colOff>
      <xdr:row>39</xdr:row>
      <xdr:rowOff>161192</xdr:rowOff>
    </xdr:to>
    <xdr:cxnSp macro="">
      <xdr:nvCxnSpPr>
        <xdr:cNvPr id="56" name="直線コネクタ 55">
          <a:extLst>
            <a:ext uri="{FF2B5EF4-FFF2-40B4-BE49-F238E27FC236}">
              <a16:creationId xmlns:a16="http://schemas.microsoft.com/office/drawing/2014/main" id="{93509C7B-90C5-D827-B01F-F04538740272}"/>
            </a:ext>
          </a:extLst>
        </xdr:cNvPr>
        <xdr:cNvCxnSpPr/>
      </xdr:nvCxnSpPr>
      <xdr:spPr>
        <a:xfrm>
          <a:off x="10953891" y="6790399"/>
          <a:ext cx="209165" cy="1658"/>
        </a:xfrm>
        <a:prstGeom prst="line">
          <a:avLst/>
        </a:prstGeom>
        <a:ln w="12700">
          <a:prstDash val="dash"/>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73410</xdr:colOff>
      <xdr:row>43</xdr:row>
      <xdr:rowOff>148055</xdr:rowOff>
    </xdr:from>
    <xdr:to>
      <xdr:col>56</xdr:col>
      <xdr:colOff>87923</xdr:colOff>
      <xdr:row>43</xdr:row>
      <xdr:rowOff>149713</xdr:rowOff>
    </xdr:to>
    <xdr:cxnSp macro="">
      <xdr:nvCxnSpPr>
        <xdr:cNvPr id="57" name="直線コネクタ 56">
          <a:extLst>
            <a:ext uri="{FF2B5EF4-FFF2-40B4-BE49-F238E27FC236}">
              <a16:creationId xmlns:a16="http://schemas.microsoft.com/office/drawing/2014/main" id="{DDE890E4-D580-017D-1637-9C5469B32AA1}"/>
            </a:ext>
          </a:extLst>
        </xdr:cNvPr>
        <xdr:cNvCxnSpPr/>
      </xdr:nvCxnSpPr>
      <xdr:spPr>
        <a:xfrm>
          <a:off x="10953891" y="7452997"/>
          <a:ext cx="212340" cy="1658"/>
        </a:xfrm>
        <a:prstGeom prst="line">
          <a:avLst/>
        </a:prstGeom>
        <a:ln w="12700">
          <a:prstDash val="dash"/>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73410</xdr:colOff>
      <xdr:row>47</xdr:row>
      <xdr:rowOff>100918</xdr:rowOff>
    </xdr:from>
    <xdr:to>
      <xdr:col>56</xdr:col>
      <xdr:colOff>84748</xdr:colOff>
      <xdr:row>47</xdr:row>
      <xdr:rowOff>105751</xdr:rowOff>
    </xdr:to>
    <xdr:cxnSp macro="">
      <xdr:nvCxnSpPr>
        <xdr:cNvPr id="58" name="直線コネクタ 57">
          <a:extLst>
            <a:ext uri="{FF2B5EF4-FFF2-40B4-BE49-F238E27FC236}">
              <a16:creationId xmlns:a16="http://schemas.microsoft.com/office/drawing/2014/main" id="{6593EBA3-86AB-0684-F571-0AF7ABAF5B2C}"/>
            </a:ext>
          </a:extLst>
        </xdr:cNvPr>
        <xdr:cNvCxnSpPr/>
      </xdr:nvCxnSpPr>
      <xdr:spPr>
        <a:xfrm>
          <a:off x="10953891" y="8079937"/>
          <a:ext cx="209165" cy="4833"/>
        </a:xfrm>
        <a:prstGeom prst="line">
          <a:avLst/>
        </a:prstGeom>
        <a:ln w="12700">
          <a:prstDash val="dash"/>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73410</xdr:colOff>
      <xdr:row>51</xdr:row>
      <xdr:rowOff>111420</xdr:rowOff>
    </xdr:from>
    <xdr:to>
      <xdr:col>56</xdr:col>
      <xdr:colOff>87923</xdr:colOff>
      <xdr:row>51</xdr:row>
      <xdr:rowOff>111420</xdr:rowOff>
    </xdr:to>
    <xdr:cxnSp macro="">
      <xdr:nvCxnSpPr>
        <xdr:cNvPr id="59" name="直線コネクタ 58">
          <a:extLst>
            <a:ext uri="{FF2B5EF4-FFF2-40B4-BE49-F238E27FC236}">
              <a16:creationId xmlns:a16="http://schemas.microsoft.com/office/drawing/2014/main" id="{2DEC6DD6-A50D-9175-B715-6F14EC205974}"/>
            </a:ext>
          </a:extLst>
        </xdr:cNvPr>
        <xdr:cNvCxnSpPr/>
      </xdr:nvCxnSpPr>
      <xdr:spPr>
        <a:xfrm>
          <a:off x="10953891" y="8764516"/>
          <a:ext cx="212340" cy="0"/>
        </a:xfrm>
        <a:prstGeom prst="line">
          <a:avLst/>
        </a:prstGeom>
        <a:ln w="12700">
          <a:prstDash val="dash"/>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73410</xdr:colOff>
      <xdr:row>55</xdr:row>
      <xdr:rowOff>30824</xdr:rowOff>
    </xdr:from>
    <xdr:to>
      <xdr:col>56</xdr:col>
      <xdr:colOff>84748</xdr:colOff>
      <xdr:row>55</xdr:row>
      <xdr:rowOff>30824</xdr:rowOff>
    </xdr:to>
    <xdr:cxnSp macro="">
      <xdr:nvCxnSpPr>
        <xdr:cNvPr id="60" name="直線コネクタ 59">
          <a:extLst>
            <a:ext uri="{FF2B5EF4-FFF2-40B4-BE49-F238E27FC236}">
              <a16:creationId xmlns:a16="http://schemas.microsoft.com/office/drawing/2014/main" id="{EFB3763D-6EE4-4A0F-AE71-8BBDAC71F8C1}"/>
            </a:ext>
          </a:extLst>
        </xdr:cNvPr>
        <xdr:cNvCxnSpPr/>
      </xdr:nvCxnSpPr>
      <xdr:spPr>
        <a:xfrm>
          <a:off x="10953891" y="9357997"/>
          <a:ext cx="209165" cy="0"/>
        </a:xfrm>
        <a:prstGeom prst="line">
          <a:avLst/>
        </a:prstGeom>
        <a:ln w="12700">
          <a:prstDash val="dash"/>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113621</xdr:colOff>
      <xdr:row>20</xdr:row>
      <xdr:rowOff>170090</xdr:rowOff>
    </xdr:from>
    <xdr:to>
      <xdr:col>25</xdr:col>
      <xdr:colOff>62496</xdr:colOff>
      <xdr:row>24</xdr:row>
      <xdr:rowOff>101242</xdr:rowOff>
    </xdr:to>
    <xdr:cxnSp macro="">
      <xdr:nvCxnSpPr>
        <xdr:cNvPr id="5" name="コネクタ: カギ線 4">
          <a:extLst>
            <a:ext uri="{FF2B5EF4-FFF2-40B4-BE49-F238E27FC236}">
              <a16:creationId xmlns:a16="http://schemas.microsoft.com/office/drawing/2014/main" id="{26CA6EB7-91D7-4217-9044-1960595B0189}"/>
            </a:ext>
          </a:extLst>
        </xdr:cNvPr>
        <xdr:cNvCxnSpPr>
          <a:stCxn id="19" idx="2"/>
          <a:endCxn id="104" idx="0"/>
        </xdr:cNvCxnSpPr>
      </xdr:nvCxnSpPr>
      <xdr:spPr>
        <a:xfrm rot="16200000" flipH="1">
          <a:off x="2671554" y="1902943"/>
          <a:ext cx="620581" cy="41398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113620</xdr:colOff>
      <xdr:row>20</xdr:row>
      <xdr:rowOff>170091</xdr:rowOff>
    </xdr:from>
    <xdr:to>
      <xdr:col>31</xdr:col>
      <xdr:colOff>199265</xdr:colOff>
      <xdr:row>24</xdr:row>
      <xdr:rowOff>101206</xdr:rowOff>
    </xdr:to>
    <xdr:cxnSp macro="">
      <xdr:nvCxnSpPr>
        <xdr:cNvPr id="7" name="コネクタ: カギ線 6">
          <a:extLst>
            <a:ext uri="{FF2B5EF4-FFF2-40B4-BE49-F238E27FC236}">
              <a16:creationId xmlns:a16="http://schemas.microsoft.com/office/drawing/2014/main" id="{8FD1E657-E998-4493-AF67-4EEAF4461DC2}"/>
            </a:ext>
          </a:extLst>
        </xdr:cNvPr>
        <xdr:cNvCxnSpPr>
          <a:stCxn id="19" idx="2"/>
          <a:endCxn id="110" idx="0"/>
        </xdr:cNvCxnSpPr>
      </xdr:nvCxnSpPr>
      <xdr:spPr>
        <a:xfrm rot="16200000" flipH="1">
          <a:off x="3338671" y="1235826"/>
          <a:ext cx="620544" cy="547407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113622</xdr:colOff>
      <xdr:row>20</xdr:row>
      <xdr:rowOff>170090</xdr:rowOff>
    </xdr:from>
    <xdr:to>
      <xdr:col>39</xdr:col>
      <xdr:colOff>29880</xdr:colOff>
      <xdr:row>24</xdr:row>
      <xdr:rowOff>101242</xdr:rowOff>
    </xdr:to>
    <xdr:cxnSp macro="">
      <xdr:nvCxnSpPr>
        <xdr:cNvPr id="31" name="コネクタ: カギ線 30">
          <a:extLst>
            <a:ext uri="{FF2B5EF4-FFF2-40B4-BE49-F238E27FC236}">
              <a16:creationId xmlns:a16="http://schemas.microsoft.com/office/drawing/2014/main" id="{86D565A6-3A11-4855-BF85-1629C15FA72B}"/>
            </a:ext>
          </a:extLst>
        </xdr:cNvPr>
        <xdr:cNvCxnSpPr>
          <a:stCxn id="19" idx="2"/>
          <a:endCxn id="116" idx="0"/>
        </xdr:cNvCxnSpPr>
      </xdr:nvCxnSpPr>
      <xdr:spPr>
        <a:xfrm rot="16200000" flipH="1">
          <a:off x="4052246" y="522252"/>
          <a:ext cx="620581" cy="690125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175211</xdr:colOff>
      <xdr:row>12</xdr:row>
      <xdr:rowOff>125639</xdr:rowOff>
    </xdr:from>
    <xdr:to>
      <xdr:col>6</xdr:col>
      <xdr:colOff>57126</xdr:colOff>
      <xdr:row>14</xdr:row>
      <xdr:rowOff>9979</xdr:rowOff>
    </xdr:to>
    <xdr:sp macro="" textlink="">
      <xdr:nvSpPr>
        <xdr:cNvPr id="37" name="フローチャート: 端子 36">
          <a:extLst>
            <a:ext uri="{FF2B5EF4-FFF2-40B4-BE49-F238E27FC236}">
              <a16:creationId xmlns:a16="http://schemas.microsoft.com/office/drawing/2014/main" id="{393016A1-A837-41C7-91CC-25D2D6A1B161}"/>
            </a:ext>
          </a:extLst>
        </xdr:cNvPr>
        <xdr:cNvSpPr/>
      </xdr:nvSpPr>
      <xdr:spPr>
        <a:xfrm>
          <a:off x="578623" y="2198727"/>
          <a:ext cx="688738" cy="22051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51</xdr:col>
      <xdr:colOff>0</xdr:colOff>
      <xdr:row>57</xdr:row>
      <xdr:rowOff>107994</xdr:rowOff>
    </xdr:from>
    <xdr:to>
      <xdr:col>55</xdr:col>
      <xdr:colOff>190445</xdr:colOff>
      <xdr:row>61</xdr:row>
      <xdr:rowOff>72488</xdr:rowOff>
    </xdr:to>
    <xdr:grpSp>
      <xdr:nvGrpSpPr>
        <xdr:cNvPr id="34" name="グループ化 33">
          <a:extLst>
            <a:ext uri="{FF2B5EF4-FFF2-40B4-BE49-F238E27FC236}">
              <a16:creationId xmlns:a16="http://schemas.microsoft.com/office/drawing/2014/main" id="{7D767AE7-E490-4979-BC25-4D64F5876DF1}"/>
            </a:ext>
          </a:extLst>
        </xdr:cNvPr>
        <xdr:cNvGrpSpPr>
          <a:grpSpLocks noChangeAspect="1"/>
        </xdr:cNvGrpSpPr>
      </xdr:nvGrpSpPr>
      <xdr:grpSpPr>
        <a:xfrm>
          <a:off x="9229725" y="9909219"/>
          <a:ext cx="904820" cy="650294"/>
          <a:chOff x="7112000" y="2892425"/>
          <a:chExt cx="873125" cy="584685"/>
        </a:xfrm>
      </xdr:grpSpPr>
      <xdr:sp macro="" textlink="">
        <xdr:nvSpPr>
          <xdr:cNvPr id="35" name="フローチャート: 磁気ディスク 34">
            <a:extLst>
              <a:ext uri="{FF2B5EF4-FFF2-40B4-BE49-F238E27FC236}">
                <a16:creationId xmlns:a16="http://schemas.microsoft.com/office/drawing/2014/main" id="{254CE0F2-E72D-0532-B78F-1C4AF943D39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6" name="正方形/長方形 35">
            <a:extLst>
              <a:ext uri="{FF2B5EF4-FFF2-40B4-BE49-F238E27FC236}">
                <a16:creationId xmlns:a16="http://schemas.microsoft.com/office/drawing/2014/main" id="{43968578-B5EC-A527-7744-639FA522D3EF}"/>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Company</a:t>
            </a:r>
          </a:p>
        </xdr:txBody>
      </xdr:sp>
    </xdr:grpSp>
    <xdr:clientData/>
  </xdr:twoCellAnchor>
  <xdr:twoCellAnchor>
    <xdr:from>
      <xdr:col>55</xdr:col>
      <xdr:colOff>73410</xdr:colOff>
      <xdr:row>59</xdr:row>
      <xdr:rowOff>68470</xdr:rowOff>
    </xdr:from>
    <xdr:to>
      <xdr:col>56</xdr:col>
      <xdr:colOff>87923</xdr:colOff>
      <xdr:row>59</xdr:row>
      <xdr:rowOff>68470</xdr:rowOff>
    </xdr:to>
    <xdr:cxnSp macro="">
      <xdr:nvCxnSpPr>
        <xdr:cNvPr id="42" name="直線コネクタ 41">
          <a:extLst>
            <a:ext uri="{FF2B5EF4-FFF2-40B4-BE49-F238E27FC236}">
              <a16:creationId xmlns:a16="http://schemas.microsoft.com/office/drawing/2014/main" id="{C967F3A0-DA3E-1A92-9AEC-3C3359BCB12C}"/>
            </a:ext>
          </a:extLst>
        </xdr:cNvPr>
        <xdr:cNvCxnSpPr/>
      </xdr:nvCxnSpPr>
      <xdr:spPr>
        <a:xfrm>
          <a:off x="11299303" y="10532363"/>
          <a:ext cx="218620" cy="0"/>
        </a:xfrm>
        <a:prstGeom prst="line">
          <a:avLst/>
        </a:prstGeom>
        <a:ln w="12700">
          <a:prstDash val="dash"/>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83918</xdr:colOff>
      <xdr:row>33</xdr:row>
      <xdr:rowOff>140904</xdr:rowOff>
    </xdr:from>
    <xdr:to>
      <xdr:col>11</xdr:col>
      <xdr:colOff>87799</xdr:colOff>
      <xdr:row>69</xdr:row>
      <xdr:rowOff>114362</xdr:rowOff>
    </xdr:to>
    <xdr:cxnSp macro="">
      <xdr:nvCxnSpPr>
        <xdr:cNvPr id="6" name="直線矢印コネクタ 5">
          <a:extLst>
            <a:ext uri="{FF2B5EF4-FFF2-40B4-BE49-F238E27FC236}">
              <a16:creationId xmlns:a16="http://schemas.microsoft.com/office/drawing/2014/main" id="{C4391E0A-1329-459E-BAE6-DFCD7AC64247}"/>
            </a:ext>
          </a:extLst>
        </xdr:cNvPr>
        <xdr:cNvCxnSpPr>
          <a:stCxn id="3" idx="2"/>
          <a:endCxn id="11" idx="0"/>
        </xdr:cNvCxnSpPr>
      </xdr:nvCxnSpPr>
      <xdr:spPr>
        <a:xfrm>
          <a:off x="2048449" y="5701123"/>
          <a:ext cx="3881" cy="597420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146049</xdr:colOff>
      <xdr:row>69</xdr:row>
      <xdr:rowOff>35718</xdr:rowOff>
    </xdr:from>
    <xdr:to>
      <xdr:col>14</xdr:col>
      <xdr:colOff>57466</xdr:colOff>
      <xdr:row>73</xdr:row>
      <xdr:rowOff>6930</xdr:rowOff>
    </xdr:to>
    <xdr:grpSp>
      <xdr:nvGrpSpPr>
        <xdr:cNvPr id="10" name="グループ化 9">
          <a:extLst>
            <a:ext uri="{FF2B5EF4-FFF2-40B4-BE49-F238E27FC236}">
              <a16:creationId xmlns:a16="http://schemas.microsoft.com/office/drawing/2014/main" id="{15F1BD31-4827-4C8E-95D9-101A245323FE}"/>
            </a:ext>
          </a:extLst>
        </xdr:cNvPr>
        <xdr:cNvGrpSpPr/>
      </xdr:nvGrpSpPr>
      <xdr:grpSpPr>
        <a:xfrm>
          <a:off x="1593849" y="11894343"/>
          <a:ext cx="997267" cy="657012"/>
          <a:chOff x="303173" y="4767162"/>
          <a:chExt cx="1003300" cy="631826"/>
        </a:xfrm>
      </xdr:grpSpPr>
      <xdr:sp macro="" textlink="">
        <xdr:nvSpPr>
          <xdr:cNvPr id="11" name="フローチャート: 判断 10">
            <a:extLst>
              <a:ext uri="{FF2B5EF4-FFF2-40B4-BE49-F238E27FC236}">
                <a16:creationId xmlns:a16="http://schemas.microsoft.com/office/drawing/2014/main" id="{A65131C9-45CB-059E-4DD1-607225261CBB}"/>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2" name="正方形/長方形 48">
            <a:extLst>
              <a:ext uri="{FF2B5EF4-FFF2-40B4-BE49-F238E27FC236}">
                <a16:creationId xmlns:a16="http://schemas.microsoft.com/office/drawing/2014/main" id="{18EFCF43-1CED-5C54-DE36-0C207CC1305B}"/>
              </a:ext>
            </a:extLst>
          </xdr:cNvPr>
          <xdr:cNvSpPr/>
        </xdr:nvSpPr>
        <xdr:spPr>
          <a:xfrm>
            <a:off x="303173" y="4767162"/>
            <a:ext cx="1003300" cy="6318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p>
          <a:p>
            <a:pPr algn="ctr"/>
            <a:r>
              <a:rPr kumimoji="1" lang="ja-JP" altLang="en-US" sz="900"/>
              <a:t>外貨支払か？</a:t>
            </a:r>
          </a:p>
        </xdr:txBody>
      </xdr:sp>
    </xdr:grpSp>
    <xdr:clientData/>
  </xdr:twoCellAnchor>
  <xdr:twoCellAnchor>
    <xdr:from>
      <xdr:col>8</xdr:col>
      <xdr:colOff>174621</xdr:colOff>
      <xdr:row>77</xdr:row>
      <xdr:rowOff>0</xdr:rowOff>
    </xdr:from>
    <xdr:to>
      <xdr:col>13</xdr:col>
      <xdr:colOff>166041</xdr:colOff>
      <xdr:row>79</xdr:row>
      <xdr:rowOff>154312</xdr:rowOff>
    </xdr:to>
    <xdr:grpSp>
      <xdr:nvGrpSpPr>
        <xdr:cNvPr id="41" name="グループ化 8">
          <a:extLst>
            <a:ext uri="{FF2B5EF4-FFF2-40B4-BE49-F238E27FC236}">
              <a16:creationId xmlns:a16="http://schemas.microsoft.com/office/drawing/2014/main" id="{41AF1F50-2060-40FD-B3AB-D7CF1188C239}"/>
            </a:ext>
          </a:extLst>
        </xdr:cNvPr>
        <xdr:cNvGrpSpPr/>
      </xdr:nvGrpSpPr>
      <xdr:grpSpPr>
        <a:xfrm>
          <a:off x="1622421" y="13230225"/>
          <a:ext cx="896295" cy="497212"/>
          <a:chOff x="1634100" y="2442513"/>
          <a:chExt cx="908902" cy="420662"/>
        </a:xfrm>
      </xdr:grpSpPr>
      <xdr:sp macro="" textlink="">
        <xdr:nvSpPr>
          <xdr:cNvPr id="43" name="フローチャート: 定義済み処理 9">
            <a:extLst>
              <a:ext uri="{FF2B5EF4-FFF2-40B4-BE49-F238E27FC236}">
                <a16:creationId xmlns:a16="http://schemas.microsoft.com/office/drawing/2014/main" id="{80946905-9F53-BA92-82A2-EE159E62C713}"/>
              </a:ext>
            </a:extLst>
          </xdr:cNvPr>
          <xdr:cNvSpPr/>
        </xdr:nvSpPr>
        <xdr:spPr>
          <a:xfrm>
            <a:off x="1681248" y="2457449"/>
            <a:ext cx="817814"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4" name="正方形/長方形 48">
            <a:extLst>
              <a:ext uri="{FF2B5EF4-FFF2-40B4-BE49-F238E27FC236}">
                <a16:creationId xmlns:a16="http://schemas.microsoft.com/office/drawing/2014/main" id="{7F620171-5B0B-9DE6-F214-CB71A8E01F3C}"/>
              </a:ext>
            </a:extLst>
          </xdr:cNvPr>
          <xdr:cNvSpPr/>
        </xdr:nvSpPr>
        <xdr:spPr>
          <a:xfrm>
            <a:off x="1634100" y="244251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４．取消仕訳</a:t>
            </a:r>
          </a:p>
        </xdr:txBody>
      </xdr:sp>
    </xdr:grpSp>
    <xdr:clientData/>
  </xdr:twoCellAnchor>
  <xdr:twoCellAnchor>
    <xdr:from>
      <xdr:col>11</xdr:col>
      <xdr:colOff>82595</xdr:colOff>
      <xdr:row>72</xdr:row>
      <xdr:rowOff>110847</xdr:rowOff>
    </xdr:from>
    <xdr:to>
      <xdr:col>11</xdr:col>
      <xdr:colOff>86166</xdr:colOff>
      <xdr:row>77</xdr:row>
      <xdr:rowOff>17316</xdr:rowOff>
    </xdr:to>
    <xdr:cxnSp macro="">
      <xdr:nvCxnSpPr>
        <xdr:cNvPr id="45" name="直線矢印コネクタ 44">
          <a:extLst>
            <a:ext uri="{FF2B5EF4-FFF2-40B4-BE49-F238E27FC236}">
              <a16:creationId xmlns:a16="http://schemas.microsoft.com/office/drawing/2014/main" id="{39DD2C40-406B-45D6-A38A-0C628BE16D14}"/>
            </a:ext>
          </a:extLst>
        </xdr:cNvPr>
        <xdr:cNvCxnSpPr>
          <a:stCxn id="11" idx="2"/>
          <a:endCxn id="43" idx="0"/>
        </xdr:cNvCxnSpPr>
      </xdr:nvCxnSpPr>
      <xdr:spPr>
        <a:xfrm flipH="1">
          <a:off x="2047126" y="12171878"/>
          <a:ext cx="3571" cy="73990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35719</xdr:colOff>
      <xdr:row>76</xdr:row>
      <xdr:rowOff>107156</xdr:rowOff>
    </xdr:from>
    <xdr:to>
      <xdr:col>56</xdr:col>
      <xdr:colOff>38342</xdr:colOff>
      <xdr:row>80</xdr:row>
      <xdr:rowOff>68479</xdr:rowOff>
    </xdr:to>
    <xdr:grpSp>
      <xdr:nvGrpSpPr>
        <xdr:cNvPr id="55" name="グループ化 54">
          <a:extLst>
            <a:ext uri="{FF2B5EF4-FFF2-40B4-BE49-F238E27FC236}">
              <a16:creationId xmlns:a16="http://schemas.microsoft.com/office/drawing/2014/main" id="{DA9515F8-E3A9-4895-993D-A460992E1402}"/>
            </a:ext>
          </a:extLst>
        </xdr:cNvPr>
        <xdr:cNvGrpSpPr>
          <a:grpSpLocks noChangeAspect="1"/>
        </xdr:cNvGrpSpPr>
      </xdr:nvGrpSpPr>
      <xdr:grpSpPr>
        <a:xfrm>
          <a:off x="9265444" y="13165931"/>
          <a:ext cx="907498" cy="647123"/>
          <a:chOff x="7112000" y="2895019"/>
          <a:chExt cx="873125" cy="582091"/>
        </a:xfrm>
      </xdr:grpSpPr>
      <xdr:sp macro="" textlink="">
        <xdr:nvSpPr>
          <xdr:cNvPr id="61" name="フローチャート: 磁気ディスク 60">
            <a:extLst>
              <a:ext uri="{FF2B5EF4-FFF2-40B4-BE49-F238E27FC236}">
                <a16:creationId xmlns:a16="http://schemas.microsoft.com/office/drawing/2014/main" id="{CDED7A66-3C60-E89D-67A2-1CA37DC31915}"/>
              </a:ext>
            </a:extLst>
          </xdr:cNvPr>
          <xdr:cNvSpPr/>
        </xdr:nvSpPr>
        <xdr:spPr>
          <a:xfrm>
            <a:off x="7206508" y="2895019"/>
            <a:ext cx="673744" cy="531564"/>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2" name="正方形/長方形 61">
            <a:extLst>
              <a:ext uri="{FF2B5EF4-FFF2-40B4-BE49-F238E27FC236}">
                <a16:creationId xmlns:a16="http://schemas.microsoft.com/office/drawing/2014/main" id="{123A6562-04BE-724B-3DC6-A074C8E2499E}"/>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endParaRPr kumimoji="1" lang="en-US" altLang="ja-JP" sz="900"/>
          </a:p>
        </xdr:txBody>
      </xdr:sp>
    </xdr:grpSp>
    <xdr:clientData/>
  </xdr:twoCellAnchor>
  <xdr:twoCellAnchor>
    <xdr:from>
      <xdr:col>13</xdr:col>
      <xdr:colOff>120265</xdr:colOff>
      <xdr:row>78</xdr:row>
      <xdr:rowOff>60559</xdr:rowOff>
    </xdr:from>
    <xdr:to>
      <xdr:col>51</xdr:col>
      <xdr:colOff>132659</xdr:colOff>
      <xdr:row>78</xdr:row>
      <xdr:rowOff>67801</xdr:rowOff>
    </xdr:to>
    <xdr:cxnSp macro="">
      <xdr:nvCxnSpPr>
        <xdr:cNvPr id="64" name="直線矢印コネクタ 63">
          <a:extLst>
            <a:ext uri="{FF2B5EF4-FFF2-40B4-BE49-F238E27FC236}">
              <a16:creationId xmlns:a16="http://schemas.microsoft.com/office/drawing/2014/main" id="{CEC4FD98-3D1A-4573-A0D0-39F8E88B195A}"/>
            </a:ext>
          </a:extLst>
        </xdr:cNvPr>
        <xdr:cNvCxnSpPr>
          <a:stCxn id="43" idx="3"/>
          <a:endCxn id="61" idx="2"/>
        </xdr:cNvCxnSpPr>
      </xdr:nvCxnSpPr>
      <xdr:spPr>
        <a:xfrm flipV="1">
          <a:off x="2441984" y="13121715"/>
          <a:ext cx="6798956" cy="724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35719</xdr:colOff>
      <xdr:row>81</xdr:row>
      <xdr:rowOff>20636</xdr:rowOff>
    </xdr:from>
    <xdr:to>
      <xdr:col>56</xdr:col>
      <xdr:colOff>38342</xdr:colOff>
      <xdr:row>84</xdr:row>
      <xdr:rowOff>154997</xdr:rowOff>
    </xdr:to>
    <xdr:grpSp>
      <xdr:nvGrpSpPr>
        <xdr:cNvPr id="73" name="グループ化 72">
          <a:extLst>
            <a:ext uri="{FF2B5EF4-FFF2-40B4-BE49-F238E27FC236}">
              <a16:creationId xmlns:a16="http://schemas.microsoft.com/office/drawing/2014/main" id="{033EFEB2-31F1-210D-32E5-4D9B944F02E3}"/>
            </a:ext>
          </a:extLst>
        </xdr:cNvPr>
        <xdr:cNvGrpSpPr>
          <a:grpSpLocks noChangeAspect="1"/>
        </xdr:cNvGrpSpPr>
      </xdr:nvGrpSpPr>
      <xdr:grpSpPr>
        <a:xfrm>
          <a:off x="9265444" y="13936661"/>
          <a:ext cx="907498" cy="648711"/>
          <a:chOff x="7112000" y="2895019"/>
          <a:chExt cx="873125" cy="582091"/>
        </a:xfrm>
      </xdr:grpSpPr>
      <xdr:sp macro="" textlink="">
        <xdr:nvSpPr>
          <xdr:cNvPr id="74" name="フローチャート: 磁気ディスク 73">
            <a:extLst>
              <a:ext uri="{FF2B5EF4-FFF2-40B4-BE49-F238E27FC236}">
                <a16:creationId xmlns:a16="http://schemas.microsoft.com/office/drawing/2014/main" id="{D52E3F72-2A27-5C3A-8BC8-1DA90D1D5A0F}"/>
              </a:ext>
            </a:extLst>
          </xdr:cNvPr>
          <xdr:cNvSpPr/>
        </xdr:nvSpPr>
        <xdr:spPr>
          <a:xfrm>
            <a:off x="7206508" y="2895019"/>
            <a:ext cx="673744" cy="531564"/>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 name="正方形/長方形 74">
            <a:extLst>
              <a:ext uri="{FF2B5EF4-FFF2-40B4-BE49-F238E27FC236}">
                <a16:creationId xmlns:a16="http://schemas.microsoft.com/office/drawing/2014/main" id="{F23DB331-0FC1-03EA-3465-0844D54465D3}"/>
              </a:ext>
            </a:extLst>
          </xdr:cNvPr>
          <xdr:cNvSpPr/>
        </xdr:nvSpPr>
        <xdr:spPr>
          <a:xfrm>
            <a:off x="7112000" y="2974119"/>
            <a:ext cx="873125" cy="5029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endParaRPr kumimoji="1" lang="en-US" altLang="ja-JP" sz="900"/>
          </a:p>
        </xdr:txBody>
      </xdr:sp>
    </xdr:grpSp>
    <xdr:clientData/>
  </xdr:twoCellAnchor>
  <xdr:twoCellAnchor>
    <xdr:from>
      <xdr:col>8</xdr:col>
      <xdr:colOff>174621</xdr:colOff>
      <xdr:row>81</xdr:row>
      <xdr:rowOff>68262</xdr:rowOff>
    </xdr:from>
    <xdr:to>
      <xdr:col>13</xdr:col>
      <xdr:colOff>162866</xdr:colOff>
      <xdr:row>84</xdr:row>
      <xdr:rowOff>62237</xdr:rowOff>
    </xdr:to>
    <xdr:grpSp>
      <xdr:nvGrpSpPr>
        <xdr:cNvPr id="76" name="グループ化 8">
          <a:extLst>
            <a:ext uri="{FF2B5EF4-FFF2-40B4-BE49-F238E27FC236}">
              <a16:creationId xmlns:a16="http://schemas.microsoft.com/office/drawing/2014/main" id="{41CFAFB5-8701-5016-070D-52C37824044B}"/>
            </a:ext>
          </a:extLst>
        </xdr:cNvPr>
        <xdr:cNvGrpSpPr/>
      </xdr:nvGrpSpPr>
      <xdr:grpSpPr>
        <a:xfrm>
          <a:off x="1622421" y="13984287"/>
          <a:ext cx="893120" cy="508325"/>
          <a:chOff x="1634100" y="2442513"/>
          <a:chExt cx="908902" cy="420662"/>
        </a:xfrm>
      </xdr:grpSpPr>
      <xdr:sp macro="" textlink="">
        <xdr:nvSpPr>
          <xdr:cNvPr id="77" name="フローチャート: 定義済み処理 9">
            <a:extLst>
              <a:ext uri="{FF2B5EF4-FFF2-40B4-BE49-F238E27FC236}">
                <a16:creationId xmlns:a16="http://schemas.microsoft.com/office/drawing/2014/main" id="{C70B991F-8802-A093-21C0-3C79821ADC8F}"/>
              </a:ext>
            </a:extLst>
          </xdr:cNvPr>
          <xdr:cNvSpPr/>
        </xdr:nvSpPr>
        <xdr:spPr>
          <a:xfrm>
            <a:off x="1681248" y="2457449"/>
            <a:ext cx="817814"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8" name="正方形/長方形 48">
            <a:extLst>
              <a:ext uri="{FF2B5EF4-FFF2-40B4-BE49-F238E27FC236}">
                <a16:creationId xmlns:a16="http://schemas.microsoft.com/office/drawing/2014/main" id="{B806A348-3203-E98F-060E-1E0F8E7988A3}"/>
              </a:ext>
            </a:extLst>
          </xdr:cNvPr>
          <xdr:cNvSpPr/>
        </xdr:nvSpPr>
        <xdr:spPr>
          <a:xfrm>
            <a:off x="1634100" y="244251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５．修正仕訳</a:t>
            </a:r>
          </a:p>
        </xdr:txBody>
      </xdr:sp>
    </xdr:grpSp>
    <xdr:clientData/>
  </xdr:twoCellAnchor>
  <xdr:twoCellAnchor>
    <xdr:from>
      <xdr:col>13</xdr:col>
      <xdr:colOff>162866</xdr:colOff>
      <xdr:row>82</xdr:row>
      <xdr:rowOff>143626</xdr:rowOff>
    </xdr:from>
    <xdr:to>
      <xdr:col>51</xdr:col>
      <xdr:colOff>132659</xdr:colOff>
      <xdr:row>82</xdr:row>
      <xdr:rowOff>148594</xdr:rowOff>
    </xdr:to>
    <xdr:cxnSp macro="">
      <xdr:nvCxnSpPr>
        <xdr:cNvPr id="79" name="直線矢印コネクタ 78">
          <a:extLst>
            <a:ext uri="{FF2B5EF4-FFF2-40B4-BE49-F238E27FC236}">
              <a16:creationId xmlns:a16="http://schemas.microsoft.com/office/drawing/2014/main" id="{40522AAA-798E-4B5A-BF98-9090C1446E27}"/>
            </a:ext>
          </a:extLst>
        </xdr:cNvPr>
        <xdr:cNvCxnSpPr>
          <a:stCxn id="78" idx="3"/>
          <a:endCxn id="74" idx="2"/>
        </xdr:cNvCxnSpPr>
      </xdr:nvCxnSpPr>
      <xdr:spPr>
        <a:xfrm flipV="1">
          <a:off x="2484585" y="13871532"/>
          <a:ext cx="6756355" cy="496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81003</xdr:colOff>
      <xdr:row>79</xdr:row>
      <xdr:rowOff>118285</xdr:rowOff>
    </xdr:from>
    <xdr:to>
      <xdr:col>11</xdr:col>
      <xdr:colOff>81003</xdr:colOff>
      <xdr:row>81</xdr:row>
      <xdr:rowOff>85803</xdr:rowOff>
    </xdr:to>
    <xdr:cxnSp macro="">
      <xdr:nvCxnSpPr>
        <xdr:cNvPr id="82" name="直線矢印コネクタ 81">
          <a:extLst>
            <a:ext uri="{FF2B5EF4-FFF2-40B4-BE49-F238E27FC236}">
              <a16:creationId xmlns:a16="http://schemas.microsoft.com/office/drawing/2014/main" id="{2D78A9E2-344B-41DC-AC69-9EA3770B0890}"/>
            </a:ext>
          </a:extLst>
        </xdr:cNvPr>
        <xdr:cNvCxnSpPr>
          <a:stCxn id="43" idx="2"/>
          <a:endCxn id="77" idx="0"/>
        </xdr:cNvCxnSpPr>
      </xdr:nvCxnSpPr>
      <xdr:spPr>
        <a:xfrm>
          <a:off x="2045534" y="13346129"/>
          <a:ext cx="0" cy="30089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74615</xdr:colOff>
      <xdr:row>88</xdr:row>
      <xdr:rowOff>0</xdr:rowOff>
    </xdr:from>
    <xdr:to>
      <xdr:col>49</xdr:col>
      <xdr:colOff>62608</xdr:colOff>
      <xdr:row>91</xdr:row>
      <xdr:rowOff>126417</xdr:rowOff>
    </xdr:to>
    <xdr:grpSp>
      <xdr:nvGrpSpPr>
        <xdr:cNvPr id="85" name="グループ化 11">
          <a:extLst>
            <a:ext uri="{FF2B5EF4-FFF2-40B4-BE49-F238E27FC236}">
              <a16:creationId xmlns:a16="http://schemas.microsoft.com/office/drawing/2014/main" id="{4181A61E-AB1B-4C58-86FE-B44BFC0AE40B}"/>
            </a:ext>
          </a:extLst>
        </xdr:cNvPr>
        <xdr:cNvGrpSpPr/>
      </xdr:nvGrpSpPr>
      <xdr:grpSpPr>
        <a:xfrm>
          <a:off x="7856540" y="15116175"/>
          <a:ext cx="1073843" cy="640767"/>
          <a:chOff x="6963496" y="2892425"/>
          <a:chExt cx="1158702" cy="601224"/>
        </a:xfrm>
      </xdr:grpSpPr>
      <xdr:sp macro="" textlink="">
        <xdr:nvSpPr>
          <xdr:cNvPr id="86" name="フローチャート: 磁気ディスク 12">
            <a:extLst>
              <a:ext uri="{FF2B5EF4-FFF2-40B4-BE49-F238E27FC236}">
                <a16:creationId xmlns:a16="http://schemas.microsoft.com/office/drawing/2014/main" id="{B688EB6C-6F56-71FE-67AF-146EF97772F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 name="正方形/長方形 13">
            <a:extLst>
              <a:ext uri="{FF2B5EF4-FFF2-40B4-BE49-F238E27FC236}">
                <a16:creationId xmlns:a16="http://schemas.microsoft.com/office/drawing/2014/main" id="{82F2FF15-10D7-2230-0465-6DAD145C5C7F}"/>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請求仕訳帳</a:t>
            </a:r>
            <a:endParaRPr kumimoji="1" lang="en-US" altLang="ja-JP" sz="900"/>
          </a:p>
          <a:p>
            <a:pPr algn="ctr"/>
            <a:r>
              <a:rPr kumimoji="1" lang="ja-JP" altLang="en-US" sz="900"/>
              <a:t>（仕入先）</a:t>
            </a:r>
            <a:endParaRPr kumimoji="1" lang="en-US" altLang="ja-JP" sz="900"/>
          </a:p>
        </xdr:txBody>
      </xdr:sp>
    </xdr:grpSp>
    <xdr:clientData/>
  </xdr:twoCellAnchor>
  <xdr:twoCellAnchor>
    <xdr:from>
      <xdr:col>46</xdr:col>
      <xdr:colOff>68032</xdr:colOff>
      <xdr:row>82</xdr:row>
      <xdr:rowOff>143626</xdr:rowOff>
    </xdr:from>
    <xdr:to>
      <xdr:col>55</xdr:col>
      <xdr:colOff>109365</xdr:colOff>
      <xdr:row>88</xdr:row>
      <xdr:rowOff>0</xdr:rowOff>
    </xdr:to>
    <xdr:cxnSp macro="">
      <xdr:nvCxnSpPr>
        <xdr:cNvPr id="94" name="コネクタ: カギ線 93">
          <a:extLst>
            <a:ext uri="{FF2B5EF4-FFF2-40B4-BE49-F238E27FC236}">
              <a16:creationId xmlns:a16="http://schemas.microsoft.com/office/drawing/2014/main" id="{1FA0122D-B57F-453F-98E1-6E01260D218A}"/>
            </a:ext>
          </a:extLst>
        </xdr:cNvPr>
        <xdr:cNvCxnSpPr>
          <a:stCxn id="74" idx="4"/>
          <a:endCxn id="86" idx="1"/>
        </xdr:cNvCxnSpPr>
      </xdr:nvCxnSpPr>
      <xdr:spPr>
        <a:xfrm flipH="1">
          <a:off x="8283345" y="13871532"/>
          <a:ext cx="1648676" cy="856499"/>
        </a:xfrm>
        <a:prstGeom prst="bentConnector4">
          <a:avLst>
            <a:gd name="adj1" fmla="val -9533"/>
            <a:gd name="adj2" fmla="val 6691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69617</xdr:colOff>
      <xdr:row>78</xdr:row>
      <xdr:rowOff>57384</xdr:rowOff>
    </xdr:from>
    <xdr:to>
      <xdr:col>55</xdr:col>
      <xdr:colOff>109365</xdr:colOff>
      <xdr:row>88</xdr:row>
      <xdr:rowOff>0</xdr:rowOff>
    </xdr:to>
    <xdr:cxnSp macro="">
      <xdr:nvCxnSpPr>
        <xdr:cNvPr id="128" name="コネクタ: カギ線 127">
          <a:extLst>
            <a:ext uri="{FF2B5EF4-FFF2-40B4-BE49-F238E27FC236}">
              <a16:creationId xmlns:a16="http://schemas.microsoft.com/office/drawing/2014/main" id="{6FC0D52F-F988-481D-A388-D4EB2F0031AA}"/>
            </a:ext>
          </a:extLst>
        </xdr:cNvPr>
        <xdr:cNvCxnSpPr>
          <a:stCxn id="61" idx="4"/>
          <a:endCxn id="86" idx="1"/>
        </xdr:cNvCxnSpPr>
      </xdr:nvCxnSpPr>
      <xdr:spPr>
        <a:xfrm flipH="1">
          <a:off x="8284930" y="13118540"/>
          <a:ext cx="1647091" cy="1609491"/>
        </a:xfrm>
        <a:prstGeom prst="bentConnector4">
          <a:avLst>
            <a:gd name="adj1" fmla="val -8096"/>
            <a:gd name="adj2" fmla="val 8184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76277</xdr:colOff>
      <xdr:row>84</xdr:row>
      <xdr:rowOff>28447</xdr:rowOff>
    </xdr:from>
    <xdr:to>
      <xdr:col>11</xdr:col>
      <xdr:colOff>79409</xdr:colOff>
      <xdr:row>91</xdr:row>
      <xdr:rowOff>151604</xdr:rowOff>
    </xdr:to>
    <xdr:cxnSp macro="">
      <xdr:nvCxnSpPr>
        <xdr:cNvPr id="138" name="直線矢印コネクタ 137">
          <a:extLst>
            <a:ext uri="{FF2B5EF4-FFF2-40B4-BE49-F238E27FC236}">
              <a16:creationId xmlns:a16="http://schemas.microsoft.com/office/drawing/2014/main" id="{5808B8C6-11B0-42BF-8522-5E107A2ED861}"/>
            </a:ext>
          </a:extLst>
        </xdr:cNvPr>
        <xdr:cNvCxnSpPr>
          <a:stCxn id="77" idx="2"/>
          <a:endCxn id="25" idx="0"/>
        </xdr:cNvCxnSpPr>
      </xdr:nvCxnSpPr>
      <xdr:spPr>
        <a:xfrm flipH="1">
          <a:off x="2040808" y="14089728"/>
          <a:ext cx="3132" cy="12899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28294</xdr:colOff>
      <xdr:row>71</xdr:row>
      <xdr:rowOff>29456</xdr:rowOff>
    </xdr:from>
    <xdr:to>
      <xdr:col>11</xdr:col>
      <xdr:colOff>76277</xdr:colOff>
      <xdr:row>91</xdr:row>
      <xdr:rowOff>151603</xdr:rowOff>
    </xdr:to>
    <xdr:cxnSp macro="">
      <xdr:nvCxnSpPr>
        <xdr:cNvPr id="146" name="コネクタ: カギ線 145">
          <a:extLst>
            <a:ext uri="{FF2B5EF4-FFF2-40B4-BE49-F238E27FC236}">
              <a16:creationId xmlns:a16="http://schemas.microsoft.com/office/drawing/2014/main" id="{E00A2992-2FB0-46EF-9600-48C34D3D0423}"/>
            </a:ext>
          </a:extLst>
        </xdr:cNvPr>
        <xdr:cNvCxnSpPr>
          <a:stCxn id="11" idx="1"/>
          <a:endCxn id="25" idx="0"/>
        </xdr:cNvCxnSpPr>
      </xdr:nvCxnSpPr>
      <xdr:spPr>
        <a:xfrm rot="10800000" flipH="1" flipV="1">
          <a:off x="1635638" y="11923800"/>
          <a:ext cx="405170" cy="3455897"/>
        </a:xfrm>
        <a:prstGeom prst="bentConnector4">
          <a:avLst>
            <a:gd name="adj1" fmla="val -210434"/>
            <a:gd name="adj2" fmla="val 7665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142876</xdr:colOff>
      <xdr:row>69</xdr:row>
      <xdr:rowOff>130969</xdr:rowOff>
    </xdr:from>
    <xdr:to>
      <xdr:col>6</xdr:col>
      <xdr:colOff>170393</xdr:colOff>
      <xdr:row>71</xdr:row>
      <xdr:rowOff>40347</xdr:rowOff>
    </xdr:to>
    <xdr:sp macro="" textlink="">
      <xdr:nvSpPr>
        <xdr:cNvPr id="151" name="テキスト ボックス 150">
          <a:extLst>
            <a:ext uri="{FF2B5EF4-FFF2-40B4-BE49-F238E27FC236}">
              <a16:creationId xmlns:a16="http://schemas.microsoft.com/office/drawing/2014/main" id="{24DB2284-637F-42B0-8DE1-2943E7021A55}"/>
            </a:ext>
          </a:extLst>
        </xdr:cNvPr>
        <xdr:cNvSpPr txBox="1"/>
      </xdr:nvSpPr>
      <xdr:spPr>
        <a:xfrm>
          <a:off x="678657" y="11691938"/>
          <a:ext cx="563299" cy="242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10</xdr:col>
      <xdr:colOff>163512</xdr:colOff>
      <xdr:row>73</xdr:row>
      <xdr:rowOff>0</xdr:rowOff>
    </xdr:from>
    <xdr:to>
      <xdr:col>14</xdr:col>
      <xdr:colOff>15611</xdr:colOff>
      <xdr:row>74</xdr:row>
      <xdr:rowOff>76066</xdr:rowOff>
    </xdr:to>
    <xdr:sp macro="" textlink="">
      <xdr:nvSpPr>
        <xdr:cNvPr id="152" name="テキスト ボックス 151">
          <a:extLst>
            <a:ext uri="{FF2B5EF4-FFF2-40B4-BE49-F238E27FC236}">
              <a16:creationId xmlns:a16="http://schemas.microsoft.com/office/drawing/2014/main" id="{B1189D6F-480D-81EE-4B98-EA948A68F591}"/>
            </a:ext>
          </a:extLst>
        </xdr:cNvPr>
        <xdr:cNvSpPr txBox="1"/>
      </xdr:nvSpPr>
      <xdr:spPr>
        <a:xfrm>
          <a:off x="1949450" y="12227719"/>
          <a:ext cx="566474" cy="242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63171</xdr:colOff>
      <xdr:row>13</xdr:row>
      <xdr:rowOff>20638</xdr:rowOff>
    </xdr:from>
    <xdr:to>
      <xdr:col>4</xdr:col>
      <xdr:colOff>77435</xdr:colOff>
      <xdr:row>21</xdr:row>
      <xdr:rowOff>94127</xdr:rowOff>
    </xdr:to>
    <xdr:cxnSp macro="">
      <xdr:nvCxnSpPr>
        <xdr:cNvPr id="92" name="直線矢印コネクタ 27">
          <a:extLst>
            <a:ext uri="{FF2B5EF4-FFF2-40B4-BE49-F238E27FC236}">
              <a16:creationId xmlns:a16="http://schemas.microsoft.com/office/drawing/2014/main" id="{540129A6-5EA2-4BC8-9EBB-3669145EC4F5}"/>
            </a:ext>
          </a:extLst>
        </xdr:cNvPr>
        <xdr:cNvCxnSpPr>
          <a:cxnSpLocks/>
          <a:stCxn id="280" idx="2"/>
          <a:endCxn id="282" idx="0"/>
        </xdr:cNvCxnSpPr>
      </xdr:nvCxnSpPr>
      <xdr:spPr>
        <a:xfrm flipH="1">
          <a:off x="867504" y="2274888"/>
          <a:ext cx="14264" cy="142815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115613</xdr:colOff>
      <xdr:row>11</xdr:row>
      <xdr:rowOff>122238</xdr:rowOff>
    </xdr:from>
    <xdr:to>
      <xdr:col>6</xdr:col>
      <xdr:colOff>39256</xdr:colOff>
      <xdr:row>13</xdr:row>
      <xdr:rowOff>20638</xdr:rowOff>
    </xdr:to>
    <xdr:sp macro="" textlink="">
      <xdr:nvSpPr>
        <xdr:cNvPr id="280" name="フローチャート: 端子 279">
          <a:extLst>
            <a:ext uri="{FF2B5EF4-FFF2-40B4-BE49-F238E27FC236}">
              <a16:creationId xmlns:a16="http://schemas.microsoft.com/office/drawing/2014/main" id="{8381ECD8-CE66-4F52-AA70-62125062D062}"/>
            </a:ext>
          </a:extLst>
        </xdr:cNvPr>
        <xdr:cNvSpPr/>
      </xdr:nvSpPr>
      <xdr:spPr>
        <a:xfrm>
          <a:off x="517780" y="2037821"/>
          <a:ext cx="727976" cy="23706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xdr:col>
      <xdr:colOff>97677</xdr:colOff>
      <xdr:row>21</xdr:row>
      <xdr:rowOff>71435</xdr:rowOff>
    </xdr:from>
    <xdr:to>
      <xdr:col>6</xdr:col>
      <xdr:colOff>200501</xdr:colOff>
      <xdr:row>24</xdr:row>
      <xdr:rowOff>65970</xdr:rowOff>
    </xdr:to>
    <xdr:grpSp>
      <xdr:nvGrpSpPr>
        <xdr:cNvPr id="281" name="グループ化 280">
          <a:extLst>
            <a:ext uri="{FF2B5EF4-FFF2-40B4-BE49-F238E27FC236}">
              <a16:creationId xmlns:a16="http://schemas.microsoft.com/office/drawing/2014/main" id="{C0AA561C-4925-4A47-A1D9-B96A8661984E}"/>
            </a:ext>
          </a:extLst>
        </xdr:cNvPr>
        <xdr:cNvGrpSpPr/>
      </xdr:nvGrpSpPr>
      <xdr:grpSpPr>
        <a:xfrm>
          <a:off x="278652" y="3700460"/>
          <a:ext cx="988649" cy="508885"/>
          <a:chOff x="1612122" y="2437107"/>
          <a:chExt cx="933032" cy="400203"/>
        </a:xfrm>
      </xdr:grpSpPr>
      <xdr:sp macro="" textlink="">
        <xdr:nvSpPr>
          <xdr:cNvPr id="282" name="フローチャート: 定義済み処理 281">
            <a:extLst>
              <a:ext uri="{FF2B5EF4-FFF2-40B4-BE49-F238E27FC236}">
                <a16:creationId xmlns:a16="http://schemas.microsoft.com/office/drawing/2014/main" id="{7CD63353-F121-455E-FCB4-BB508027585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83" name="正方形/長方形 282">
            <a:extLst>
              <a:ext uri="{FF2B5EF4-FFF2-40B4-BE49-F238E27FC236}">
                <a16:creationId xmlns:a16="http://schemas.microsoft.com/office/drawing/2014/main" id="{29C84252-4169-45B7-10FF-62ED0E360C5D}"/>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１．前払</a:t>
            </a:r>
            <a:endParaRPr kumimoji="1" lang="en-US" altLang="ja-JP" sz="900"/>
          </a:p>
          <a:p>
            <a:pPr algn="ctr"/>
            <a:r>
              <a:rPr kumimoji="1" lang="ja-JP" altLang="en-US" sz="900"/>
              <a:t>登録</a:t>
            </a:r>
            <a:endParaRPr kumimoji="1" lang="en-US" altLang="ja-JP" sz="900"/>
          </a:p>
        </xdr:txBody>
      </xdr:sp>
    </xdr:grpSp>
    <xdr:clientData/>
  </xdr:twoCellAnchor>
  <xdr:twoCellAnchor>
    <xdr:from>
      <xdr:col>29</xdr:col>
      <xdr:colOff>180179</xdr:colOff>
      <xdr:row>21</xdr:row>
      <xdr:rowOff>26988</xdr:rowOff>
    </xdr:from>
    <xdr:to>
      <xdr:col>34</xdr:col>
      <xdr:colOff>179804</xdr:colOff>
      <xdr:row>25</xdr:row>
      <xdr:rowOff>14188</xdr:rowOff>
    </xdr:to>
    <xdr:grpSp>
      <xdr:nvGrpSpPr>
        <xdr:cNvPr id="286" name="グループ化 285">
          <a:extLst>
            <a:ext uri="{FF2B5EF4-FFF2-40B4-BE49-F238E27FC236}">
              <a16:creationId xmlns:a16="http://schemas.microsoft.com/office/drawing/2014/main" id="{0FC12C8F-9DD2-432D-BCB7-08DAA76A4E60}"/>
            </a:ext>
          </a:extLst>
        </xdr:cNvPr>
        <xdr:cNvGrpSpPr/>
      </xdr:nvGrpSpPr>
      <xdr:grpSpPr>
        <a:xfrm>
          <a:off x="5428454" y="3656013"/>
          <a:ext cx="904500" cy="673000"/>
          <a:chOff x="7111999" y="2892425"/>
          <a:chExt cx="873125" cy="584982"/>
        </a:xfrm>
      </xdr:grpSpPr>
      <xdr:sp macro="" textlink="">
        <xdr:nvSpPr>
          <xdr:cNvPr id="287" name="フローチャート: 磁気ディスク 286">
            <a:extLst>
              <a:ext uri="{FF2B5EF4-FFF2-40B4-BE49-F238E27FC236}">
                <a16:creationId xmlns:a16="http://schemas.microsoft.com/office/drawing/2014/main" id="{E2DFA7EC-061A-E2AF-2248-A8662CF5BA2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88" name="正方形/長方形 287">
            <a:extLst>
              <a:ext uri="{FF2B5EF4-FFF2-40B4-BE49-F238E27FC236}">
                <a16:creationId xmlns:a16="http://schemas.microsoft.com/office/drawing/2014/main" id="{72C30B67-048B-7818-26E7-D7C3E576B3A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29</xdr:col>
      <xdr:colOff>180179</xdr:colOff>
      <xdr:row>24</xdr:row>
      <xdr:rowOff>160339</xdr:rowOff>
    </xdr:from>
    <xdr:to>
      <xdr:col>34</xdr:col>
      <xdr:colOff>179804</xdr:colOff>
      <xdr:row>28</xdr:row>
      <xdr:rowOff>144986</xdr:rowOff>
    </xdr:to>
    <xdr:grpSp>
      <xdr:nvGrpSpPr>
        <xdr:cNvPr id="289" name="グループ化 288">
          <a:extLst>
            <a:ext uri="{FF2B5EF4-FFF2-40B4-BE49-F238E27FC236}">
              <a16:creationId xmlns:a16="http://schemas.microsoft.com/office/drawing/2014/main" id="{A2965B14-01BA-F84D-9F6C-C85621F5BB1F}"/>
            </a:ext>
          </a:extLst>
        </xdr:cNvPr>
        <xdr:cNvGrpSpPr/>
      </xdr:nvGrpSpPr>
      <xdr:grpSpPr>
        <a:xfrm>
          <a:off x="5428454" y="4303714"/>
          <a:ext cx="904500" cy="670447"/>
          <a:chOff x="7111999" y="2889195"/>
          <a:chExt cx="873125" cy="588212"/>
        </a:xfrm>
      </xdr:grpSpPr>
      <xdr:sp macro="" textlink="">
        <xdr:nvSpPr>
          <xdr:cNvPr id="290" name="フローチャート: 磁気ディスク 289">
            <a:extLst>
              <a:ext uri="{FF2B5EF4-FFF2-40B4-BE49-F238E27FC236}">
                <a16:creationId xmlns:a16="http://schemas.microsoft.com/office/drawing/2014/main" id="{30A8BC16-0CFE-B019-5A35-F504C55630EF}"/>
              </a:ext>
            </a:extLst>
          </xdr:cNvPr>
          <xdr:cNvSpPr/>
        </xdr:nvSpPr>
        <xdr:spPr>
          <a:xfrm>
            <a:off x="7206815" y="2889195"/>
            <a:ext cx="676275" cy="539023"/>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1" name="正方形/長方形 290">
            <a:extLst>
              <a:ext uri="{FF2B5EF4-FFF2-40B4-BE49-F238E27FC236}">
                <a16:creationId xmlns:a16="http://schemas.microsoft.com/office/drawing/2014/main" id="{D5D37EB5-21AA-09EC-DC67-11B8CD0C336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BtoB</a:t>
            </a:r>
          </a:p>
          <a:p>
            <a:pPr algn="ctr"/>
            <a:r>
              <a:rPr kumimoji="1" lang="ja-JP" altLang="en-US" sz="900"/>
              <a:t>プラットフォーム</a:t>
            </a:r>
          </a:p>
        </xdr:txBody>
      </xdr:sp>
    </xdr:grpSp>
    <xdr:clientData/>
  </xdr:twoCellAnchor>
  <xdr:twoCellAnchor>
    <xdr:from>
      <xdr:col>6</xdr:col>
      <xdr:colOff>144598</xdr:colOff>
      <xdr:row>22</xdr:row>
      <xdr:rowOff>164572</xdr:rowOff>
    </xdr:from>
    <xdr:to>
      <xdr:col>30</xdr:col>
      <xdr:colOff>84458</xdr:colOff>
      <xdr:row>26</xdr:row>
      <xdr:rowOff>122250</xdr:rowOff>
    </xdr:to>
    <xdr:cxnSp macro="">
      <xdr:nvCxnSpPr>
        <xdr:cNvPr id="294" name="コネクタ: カギ線 293">
          <a:extLst>
            <a:ext uri="{FF2B5EF4-FFF2-40B4-BE49-F238E27FC236}">
              <a16:creationId xmlns:a16="http://schemas.microsoft.com/office/drawing/2014/main" id="{9D351DD0-692E-4A9F-A06D-FAF8859388DA}"/>
            </a:ext>
          </a:extLst>
        </xdr:cNvPr>
        <xdr:cNvCxnSpPr>
          <a:stCxn id="282" idx="3"/>
          <a:endCxn id="290" idx="2"/>
        </xdr:cNvCxnSpPr>
      </xdr:nvCxnSpPr>
      <xdr:spPr>
        <a:xfrm>
          <a:off x="7029586" y="3899960"/>
          <a:ext cx="3380766" cy="630778"/>
        </a:xfrm>
        <a:prstGeom prst="bentConnector3">
          <a:avLst>
            <a:gd name="adj1" fmla="val 71835"/>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95250</xdr:colOff>
      <xdr:row>31</xdr:row>
      <xdr:rowOff>47625</xdr:rowOff>
    </xdr:from>
    <xdr:to>
      <xdr:col>28</xdr:col>
      <xdr:colOff>90274</xdr:colOff>
      <xdr:row>31</xdr:row>
      <xdr:rowOff>667302</xdr:rowOff>
    </xdr:to>
    <xdr:grpSp>
      <xdr:nvGrpSpPr>
        <xdr:cNvPr id="307" name="グループ化 11">
          <a:extLst>
            <a:ext uri="{FF2B5EF4-FFF2-40B4-BE49-F238E27FC236}">
              <a16:creationId xmlns:a16="http://schemas.microsoft.com/office/drawing/2014/main" id="{4F20DE15-ABFA-4B25-B765-D43F3F88EEBD}"/>
            </a:ext>
          </a:extLst>
        </xdr:cNvPr>
        <xdr:cNvGrpSpPr/>
      </xdr:nvGrpSpPr>
      <xdr:grpSpPr>
        <a:xfrm>
          <a:off x="4076700" y="5848350"/>
          <a:ext cx="1080874" cy="619677"/>
          <a:chOff x="6963496" y="2892425"/>
          <a:chExt cx="1158702" cy="601224"/>
        </a:xfrm>
      </xdr:grpSpPr>
      <xdr:sp macro="" textlink="">
        <xdr:nvSpPr>
          <xdr:cNvPr id="308" name="フローチャート: 磁気ディスク 12">
            <a:extLst>
              <a:ext uri="{FF2B5EF4-FFF2-40B4-BE49-F238E27FC236}">
                <a16:creationId xmlns:a16="http://schemas.microsoft.com/office/drawing/2014/main" id="{8943BF76-6218-62DC-6EE7-76E8B35D862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09" name="正方形/長方形 13">
            <a:extLst>
              <a:ext uri="{FF2B5EF4-FFF2-40B4-BE49-F238E27FC236}">
                <a16:creationId xmlns:a16="http://schemas.microsoft.com/office/drawing/2014/main" id="{A7C8D091-9215-81AD-90C2-C0B5AACFBAD6}"/>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請求仕訳帳</a:t>
            </a:r>
            <a:endParaRPr kumimoji="1" lang="en-US" altLang="ja-JP" sz="900"/>
          </a:p>
          <a:p>
            <a:pPr algn="ctr"/>
            <a:r>
              <a:rPr kumimoji="1" lang="ja-JP" altLang="en-US" sz="900"/>
              <a:t>（仕入先）</a:t>
            </a:r>
            <a:endParaRPr kumimoji="1" lang="en-US" altLang="ja-JP" sz="900"/>
          </a:p>
        </xdr:txBody>
      </xdr:sp>
    </xdr:grpSp>
    <xdr:clientData/>
  </xdr:twoCellAnchor>
  <xdr:twoCellAnchor>
    <xdr:from>
      <xdr:col>25</xdr:col>
      <xdr:colOff>87446</xdr:colOff>
      <xdr:row>31</xdr:row>
      <xdr:rowOff>600327</xdr:rowOff>
    </xdr:from>
    <xdr:to>
      <xdr:col>25</xdr:col>
      <xdr:colOff>90514</xdr:colOff>
      <xdr:row>32</xdr:row>
      <xdr:rowOff>135108</xdr:rowOff>
    </xdr:to>
    <xdr:cxnSp macro="">
      <xdr:nvCxnSpPr>
        <xdr:cNvPr id="310" name="直線矢印コネクタ 309">
          <a:extLst>
            <a:ext uri="{FF2B5EF4-FFF2-40B4-BE49-F238E27FC236}">
              <a16:creationId xmlns:a16="http://schemas.microsoft.com/office/drawing/2014/main" id="{328D2079-2DA2-4A84-99E6-24237C34A353}"/>
            </a:ext>
          </a:extLst>
        </xdr:cNvPr>
        <xdr:cNvCxnSpPr>
          <a:stCxn id="308" idx="3"/>
          <a:endCxn id="320" idx="0"/>
        </xdr:cNvCxnSpPr>
      </xdr:nvCxnSpPr>
      <xdr:spPr>
        <a:xfrm flipH="1">
          <a:off x="9398134" y="6303421"/>
          <a:ext cx="3068" cy="4753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90514</xdr:colOff>
      <xdr:row>22</xdr:row>
      <xdr:rowOff>160481</xdr:rowOff>
    </xdr:from>
    <xdr:to>
      <xdr:col>34</xdr:col>
      <xdr:colOff>61582</xdr:colOff>
      <xdr:row>31</xdr:row>
      <xdr:rowOff>44450</xdr:rowOff>
    </xdr:to>
    <xdr:cxnSp macro="">
      <xdr:nvCxnSpPr>
        <xdr:cNvPr id="311" name="コネクタ: カギ線 310">
          <a:extLst>
            <a:ext uri="{FF2B5EF4-FFF2-40B4-BE49-F238E27FC236}">
              <a16:creationId xmlns:a16="http://schemas.microsoft.com/office/drawing/2014/main" id="{426D8EEE-4D5C-4D2C-88F7-8643B87924A5}"/>
            </a:ext>
          </a:extLst>
        </xdr:cNvPr>
        <xdr:cNvCxnSpPr>
          <a:stCxn id="287" idx="4"/>
          <a:endCxn id="308" idx="1"/>
        </xdr:cNvCxnSpPr>
      </xdr:nvCxnSpPr>
      <xdr:spPr>
        <a:xfrm flipH="1">
          <a:off x="9401202" y="3899044"/>
          <a:ext cx="1792724" cy="1848500"/>
        </a:xfrm>
        <a:prstGeom prst="bentConnector4">
          <a:avLst>
            <a:gd name="adj1" fmla="val -12752"/>
            <a:gd name="adj2" fmla="val 87019"/>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87339</xdr:colOff>
      <xdr:row>26</xdr:row>
      <xdr:rowOff>122250</xdr:rowOff>
    </xdr:from>
    <xdr:to>
      <xdr:col>34</xdr:col>
      <xdr:colOff>64757</xdr:colOff>
      <xdr:row>31</xdr:row>
      <xdr:rowOff>47625</xdr:rowOff>
    </xdr:to>
    <xdr:cxnSp macro="">
      <xdr:nvCxnSpPr>
        <xdr:cNvPr id="314" name="コネクタ: カギ線 313">
          <a:extLst>
            <a:ext uri="{FF2B5EF4-FFF2-40B4-BE49-F238E27FC236}">
              <a16:creationId xmlns:a16="http://schemas.microsoft.com/office/drawing/2014/main" id="{1FCBAED1-124F-4AB8-9B52-8EA2E80A3F21}"/>
            </a:ext>
          </a:extLst>
        </xdr:cNvPr>
        <xdr:cNvCxnSpPr>
          <a:stCxn id="290" idx="4"/>
          <a:endCxn id="308" idx="1"/>
        </xdr:cNvCxnSpPr>
      </xdr:nvCxnSpPr>
      <xdr:spPr>
        <a:xfrm flipH="1">
          <a:off x="9401202" y="4530738"/>
          <a:ext cx="1792724" cy="1216806"/>
        </a:xfrm>
        <a:prstGeom prst="bentConnector4">
          <a:avLst>
            <a:gd name="adj1" fmla="val -12752"/>
            <a:gd name="adj2" fmla="val 80759"/>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35719</xdr:colOff>
      <xdr:row>32</xdr:row>
      <xdr:rowOff>8732</xdr:rowOff>
    </xdr:from>
    <xdr:to>
      <xdr:col>27</xdr:col>
      <xdr:colOff>154083</xdr:colOff>
      <xdr:row>36</xdr:row>
      <xdr:rowOff>9642</xdr:rowOff>
    </xdr:to>
    <xdr:grpSp>
      <xdr:nvGrpSpPr>
        <xdr:cNvPr id="319" name="グループ化 88">
          <a:extLst>
            <a:ext uri="{FF2B5EF4-FFF2-40B4-BE49-F238E27FC236}">
              <a16:creationId xmlns:a16="http://schemas.microsoft.com/office/drawing/2014/main" id="{AA679807-BADD-41BA-8104-6E03A52DC103}"/>
            </a:ext>
          </a:extLst>
        </xdr:cNvPr>
        <xdr:cNvGrpSpPr/>
      </xdr:nvGrpSpPr>
      <xdr:grpSpPr>
        <a:xfrm>
          <a:off x="4198144" y="6742907"/>
          <a:ext cx="842264" cy="686710"/>
          <a:chOff x="242859" y="5658173"/>
          <a:chExt cx="1059546" cy="652474"/>
        </a:xfrm>
      </xdr:grpSpPr>
      <xdr:sp macro="" textlink="">
        <xdr:nvSpPr>
          <xdr:cNvPr id="320" name="フローチャート: 他ページ結合子 89">
            <a:extLst>
              <a:ext uri="{FF2B5EF4-FFF2-40B4-BE49-F238E27FC236}">
                <a16:creationId xmlns:a16="http://schemas.microsoft.com/office/drawing/2014/main" id="{121A69D1-D1A6-62C4-5EE5-38F40500D330}"/>
              </a:ext>
            </a:extLst>
          </xdr:cNvPr>
          <xdr:cNvSpPr/>
        </xdr:nvSpPr>
        <xdr:spPr>
          <a:xfrm>
            <a:off x="464083"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21" name="正方形/長方形 48">
            <a:extLst>
              <a:ext uri="{FF2B5EF4-FFF2-40B4-BE49-F238E27FC236}">
                <a16:creationId xmlns:a16="http://schemas.microsoft.com/office/drawing/2014/main" id="{D6A179DE-3A1A-152C-9C72-7C9A47B33230}"/>
              </a:ext>
            </a:extLst>
          </xdr:cNvPr>
          <xdr:cNvSpPr/>
        </xdr:nvSpPr>
        <xdr:spPr>
          <a:xfrm>
            <a:off x="242859" y="5658173"/>
            <a:ext cx="1059546" cy="65247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５．支払前</a:t>
            </a:r>
          </a:p>
        </xdr:txBody>
      </xdr:sp>
    </xdr:grpSp>
    <xdr:clientData/>
  </xdr:twoCellAnchor>
  <xdr:twoCellAnchor>
    <xdr:from>
      <xdr:col>2</xdr:col>
      <xdr:colOff>111654</xdr:colOff>
      <xdr:row>40</xdr:row>
      <xdr:rowOff>139700</xdr:rowOff>
    </xdr:from>
    <xdr:to>
      <xdr:col>6</xdr:col>
      <xdr:colOff>16247</xdr:colOff>
      <xdr:row>42</xdr:row>
      <xdr:rowOff>44450</xdr:rowOff>
    </xdr:to>
    <xdr:sp macro="" textlink="">
      <xdr:nvSpPr>
        <xdr:cNvPr id="324" name="フローチャート: 端子 323">
          <a:extLst>
            <a:ext uri="{FF2B5EF4-FFF2-40B4-BE49-F238E27FC236}">
              <a16:creationId xmlns:a16="http://schemas.microsoft.com/office/drawing/2014/main" id="{AA5F22E6-10A0-4B95-8733-567D360E7EC0}"/>
            </a:ext>
          </a:extLst>
        </xdr:cNvPr>
        <xdr:cNvSpPr/>
      </xdr:nvSpPr>
      <xdr:spPr>
        <a:xfrm>
          <a:off x="6144154" y="8204200"/>
          <a:ext cx="708926" cy="24341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xdr:col>
      <xdr:colOff>95250</xdr:colOff>
      <xdr:row>47</xdr:row>
      <xdr:rowOff>35719</xdr:rowOff>
    </xdr:from>
    <xdr:to>
      <xdr:col>6</xdr:col>
      <xdr:colOff>198074</xdr:colOff>
      <xdr:row>50</xdr:row>
      <xdr:rowOff>36604</xdr:rowOff>
    </xdr:to>
    <xdr:grpSp>
      <xdr:nvGrpSpPr>
        <xdr:cNvPr id="325" name="グループ化 324">
          <a:extLst>
            <a:ext uri="{FF2B5EF4-FFF2-40B4-BE49-F238E27FC236}">
              <a16:creationId xmlns:a16="http://schemas.microsoft.com/office/drawing/2014/main" id="{994194D0-6779-432C-86A1-6A300A7303C6}"/>
            </a:ext>
          </a:extLst>
        </xdr:cNvPr>
        <xdr:cNvGrpSpPr/>
      </xdr:nvGrpSpPr>
      <xdr:grpSpPr>
        <a:xfrm>
          <a:off x="276225" y="9341644"/>
          <a:ext cx="988649" cy="515235"/>
          <a:chOff x="1612122" y="2437107"/>
          <a:chExt cx="933032" cy="400203"/>
        </a:xfrm>
      </xdr:grpSpPr>
      <xdr:sp macro="" textlink="">
        <xdr:nvSpPr>
          <xdr:cNvPr id="326" name="フローチャート: 定義済み処理 325">
            <a:extLst>
              <a:ext uri="{FF2B5EF4-FFF2-40B4-BE49-F238E27FC236}">
                <a16:creationId xmlns:a16="http://schemas.microsoft.com/office/drawing/2014/main" id="{18283E64-DE2C-E73B-A70E-4EED954C701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27" name="正方形/長方形 326">
            <a:extLst>
              <a:ext uri="{FF2B5EF4-FFF2-40B4-BE49-F238E27FC236}">
                <a16:creationId xmlns:a16="http://schemas.microsoft.com/office/drawing/2014/main" id="{F3447FF5-3639-E858-3309-776FE5CB7FEB}"/>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１．前払</a:t>
            </a:r>
            <a:endParaRPr kumimoji="1" lang="en-US" altLang="ja-JP" sz="900"/>
          </a:p>
          <a:p>
            <a:pPr algn="ctr"/>
            <a:r>
              <a:rPr kumimoji="1" lang="ja-JP" altLang="en-US" sz="900"/>
              <a:t>振替登録・申請</a:t>
            </a:r>
            <a:endParaRPr kumimoji="1" lang="en-US" altLang="ja-JP" sz="900"/>
          </a:p>
        </xdr:txBody>
      </xdr:sp>
    </xdr:grpSp>
    <xdr:clientData/>
  </xdr:twoCellAnchor>
  <xdr:twoCellAnchor>
    <xdr:from>
      <xdr:col>4</xdr:col>
      <xdr:colOff>63950</xdr:colOff>
      <xdr:row>42</xdr:row>
      <xdr:rowOff>47625</xdr:rowOff>
    </xdr:from>
    <xdr:to>
      <xdr:col>4</xdr:col>
      <xdr:colOff>64011</xdr:colOff>
      <xdr:row>47</xdr:row>
      <xdr:rowOff>61586</xdr:rowOff>
    </xdr:to>
    <xdr:cxnSp macro="">
      <xdr:nvCxnSpPr>
        <xdr:cNvPr id="328" name="直線矢印コネクタ 27">
          <a:extLst>
            <a:ext uri="{FF2B5EF4-FFF2-40B4-BE49-F238E27FC236}">
              <a16:creationId xmlns:a16="http://schemas.microsoft.com/office/drawing/2014/main" id="{E9C31E19-7514-47EC-98E9-662B82D79300}"/>
            </a:ext>
          </a:extLst>
        </xdr:cNvPr>
        <xdr:cNvCxnSpPr>
          <a:cxnSpLocks/>
          <a:stCxn id="324" idx="2"/>
          <a:endCxn id="326" idx="0"/>
        </xdr:cNvCxnSpPr>
      </xdr:nvCxnSpPr>
      <xdr:spPr>
        <a:xfrm>
          <a:off x="6498617" y="8450792"/>
          <a:ext cx="61" cy="86062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134664</xdr:colOff>
      <xdr:row>48</xdr:row>
      <xdr:rowOff>133395</xdr:rowOff>
    </xdr:from>
    <xdr:to>
      <xdr:col>23</xdr:col>
      <xdr:colOff>133698</xdr:colOff>
      <xdr:row>48</xdr:row>
      <xdr:rowOff>134534</xdr:rowOff>
    </xdr:to>
    <xdr:cxnSp macro="">
      <xdr:nvCxnSpPr>
        <xdr:cNvPr id="340" name="直線矢印コネクタ 339">
          <a:extLst>
            <a:ext uri="{FF2B5EF4-FFF2-40B4-BE49-F238E27FC236}">
              <a16:creationId xmlns:a16="http://schemas.microsoft.com/office/drawing/2014/main" id="{589ED10E-567F-4D08-9AF4-D9ABFBFBBC70}"/>
            </a:ext>
          </a:extLst>
        </xdr:cNvPr>
        <xdr:cNvCxnSpPr>
          <a:stCxn id="326" idx="3"/>
          <a:endCxn id="3" idx="2"/>
        </xdr:cNvCxnSpPr>
      </xdr:nvCxnSpPr>
      <xdr:spPr>
        <a:xfrm>
          <a:off x="1182414" y="9753645"/>
          <a:ext cx="2967659" cy="113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146096</xdr:colOff>
      <xdr:row>22</xdr:row>
      <xdr:rowOff>162690</xdr:rowOff>
    </xdr:from>
    <xdr:to>
      <xdr:col>30</xdr:col>
      <xdr:colOff>88258</xdr:colOff>
      <xdr:row>22</xdr:row>
      <xdr:rowOff>162991</xdr:rowOff>
    </xdr:to>
    <xdr:cxnSp macro="">
      <xdr:nvCxnSpPr>
        <xdr:cNvPr id="347" name="直線矢印コネクタ 346">
          <a:extLst>
            <a:ext uri="{FF2B5EF4-FFF2-40B4-BE49-F238E27FC236}">
              <a16:creationId xmlns:a16="http://schemas.microsoft.com/office/drawing/2014/main" id="{B9FB354B-4D63-439D-A620-E08B56F6919B}"/>
            </a:ext>
          </a:extLst>
        </xdr:cNvPr>
        <xdr:cNvCxnSpPr>
          <a:stCxn id="282" idx="3"/>
          <a:endCxn id="287" idx="2"/>
        </xdr:cNvCxnSpPr>
      </xdr:nvCxnSpPr>
      <xdr:spPr>
        <a:xfrm flipV="1">
          <a:off x="6982929" y="3951523"/>
          <a:ext cx="3360579" cy="30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118594</xdr:colOff>
      <xdr:row>69</xdr:row>
      <xdr:rowOff>65961</xdr:rowOff>
    </xdr:from>
    <xdr:to>
      <xdr:col>20</xdr:col>
      <xdr:colOff>41336</xdr:colOff>
      <xdr:row>70</xdr:row>
      <xdr:rowOff>155391</xdr:rowOff>
    </xdr:to>
    <xdr:sp macro="" textlink="">
      <xdr:nvSpPr>
        <xdr:cNvPr id="353" name="フローチャート: 端子 352">
          <a:extLst>
            <a:ext uri="{FF2B5EF4-FFF2-40B4-BE49-F238E27FC236}">
              <a16:creationId xmlns:a16="http://schemas.microsoft.com/office/drawing/2014/main" id="{79DD31E1-CC85-4DC1-9BF2-5DEB70685168}"/>
            </a:ext>
          </a:extLst>
        </xdr:cNvPr>
        <xdr:cNvSpPr/>
      </xdr:nvSpPr>
      <xdr:spPr>
        <a:xfrm>
          <a:off x="2912594" y="13353336"/>
          <a:ext cx="621242" cy="26405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22</xdr:col>
      <xdr:colOff>93132</xdr:colOff>
      <xdr:row>47</xdr:row>
      <xdr:rowOff>31220</xdr:rowOff>
    </xdr:from>
    <xdr:to>
      <xdr:col>28</xdr:col>
      <xdr:colOff>81806</xdr:colOff>
      <xdr:row>50</xdr:row>
      <xdr:rowOff>130197</xdr:rowOff>
    </xdr:to>
    <xdr:grpSp>
      <xdr:nvGrpSpPr>
        <xdr:cNvPr id="2" name="グループ化 11">
          <a:extLst>
            <a:ext uri="{FF2B5EF4-FFF2-40B4-BE49-F238E27FC236}">
              <a16:creationId xmlns:a16="http://schemas.microsoft.com/office/drawing/2014/main" id="{C6DF8BD8-ED86-477A-A3E4-1FE97A24447D}"/>
            </a:ext>
          </a:extLst>
        </xdr:cNvPr>
        <xdr:cNvGrpSpPr/>
      </xdr:nvGrpSpPr>
      <xdr:grpSpPr>
        <a:xfrm>
          <a:off x="4074582" y="9337145"/>
          <a:ext cx="1074524" cy="613327"/>
          <a:chOff x="6963496" y="2892425"/>
          <a:chExt cx="1158702" cy="601224"/>
        </a:xfrm>
      </xdr:grpSpPr>
      <xdr:sp macro="" textlink="">
        <xdr:nvSpPr>
          <xdr:cNvPr id="3" name="フローチャート: 磁気ディスク 12">
            <a:extLst>
              <a:ext uri="{FF2B5EF4-FFF2-40B4-BE49-F238E27FC236}">
                <a16:creationId xmlns:a16="http://schemas.microsoft.com/office/drawing/2014/main" id="{BF12FAF6-0ACC-0709-C5A4-E552FD554F5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 name="正方形/長方形 13">
            <a:extLst>
              <a:ext uri="{FF2B5EF4-FFF2-40B4-BE49-F238E27FC236}">
                <a16:creationId xmlns:a16="http://schemas.microsoft.com/office/drawing/2014/main" id="{66357358-E89A-2FB1-764F-10D08B5421DA}"/>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8</xdr:col>
      <xdr:colOff>107157</xdr:colOff>
      <xdr:row>55</xdr:row>
      <xdr:rowOff>107156</xdr:rowOff>
    </xdr:from>
    <xdr:to>
      <xdr:col>14</xdr:col>
      <xdr:colOff>15512</xdr:colOff>
      <xdr:row>58</xdr:row>
      <xdr:rowOff>108041</xdr:rowOff>
    </xdr:to>
    <xdr:grpSp>
      <xdr:nvGrpSpPr>
        <xdr:cNvPr id="5" name="グループ化 4">
          <a:extLst>
            <a:ext uri="{FF2B5EF4-FFF2-40B4-BE49-F238E27FC236}">
              <a16:creationId xmlns:a16="http://schemas.microsoft.com/office/drawing/2014/main" id="{469304D6-814E-9F81-DCF0-9A1BDE3C1252}"/>
            </a:ext>
          </a:extLst>
        </xdr:cNvPr>
        <xdr:cNvGrpSpPr/>
      </xdr:nvGrpSpPr>
      <xdr:grpSpPr>
        <a:xfrm>
          <a:off x="1554957" y="10784681"/>
          <a:ext cx="994205" cy="515235"/>
          <a:chOff x="1612122" y="2437107"/>
          <a:chExt cx="933032" cy="400203"/>
        </a:xfrm>
      </xdr:grpSpPr>
      <xdr:sp macro="" textlink="">
        <xdr:nvSpPr>
          <xdr:cNvPr id="6" name="フローチャート: 定義済み処理 5">
            <a:extLst>
              <a:ext uri="{FF2B5EF4-FFF2-40B4-BE49-F238E27FC236}">
                <a16:creationId xmlns:a16="http://schemas.microsoft.com/office/drawing/2014/main" id="{F8AE9C44-BA78-2EAC-809C-B97FAC3E38F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 name="正方形/長方形 6">
            <a:extLst>
              <a:ext uri="{FF2B5EF4-FFF2-40B4-BE49-F238E27FC236}">
                <a16:creationId xmlns:a16="http://schemas.microsoft.com/office/drawing/2014/main" id="{07184CC0-604B-1F61-4F34-D153C9EB5ADC}"/>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２．前払</a:t>
            </a:r>
            <a:endParaRPr kumimoji="1" lang="en-US" altLang="ja-JP" sz="900"/>
          </a:p>
          <a:p>
            <a:pPr algn="ctr"/>
            <a:r>
              <a:rPr kumimoji="1" lang="ja-JP" altLang="en-US" sz="900"/>
              <a:t>振替承認</a:t>
            </a:r>
            <a:endParaRPr kumimoji="1" lang="en-US" altLang="ja-JP" sz="900"/>
          </a:p>
        </xdr:txBody>
      </xdr:sp>
    </xdr:grpSp>
    <xdr:clientData/>
  </xdr:twoCellAnchor>
  <xdr:twoCellAnchor>
    <xdr:from>
      <xdr:col>22</xdr:col>
      <xdr:colOff>93132</xdr:colOff>
      <xdr:row>55</xdr:row>
      <xdr:rowOff>90750</xdr:rowOff>
    </xdr:from>
    <xdr:to>
      <xdr:col>28</xdr:col>
      <xdr:colOff>81806</xdr:colOff>
      <xdr:row>59</xdr:row>
      <xdr:rowOff>32564</xdr:rowOff>
    </xdr:to>
    <xdr:grpSp>
      <xdr:nvGrpSpPr>
        <xdr:cNvPr id="8" name="グループ化 11">
          <a:extLst>
            <a:ext uri="{FF2B5EF4-FFF2-40B4-BE49-F238E27FC236}">
              <a16:creationId xmlns:a16="http://schemas.microsoft.com/office/drawing/2014/main" id="{E49CB4C5-0499-F4F7-900D-0DD532C57888}"/>
            </a:ext>
          </a:extLst>
        </xdr:cNvPr>
        <xdr:cNvGrpSpPr/>
      </xdr:nvGrpSpPr>
      <xdr:grpSpPr>
        <a:xfrm>
          <a:off x="4074582" y="10768275"/>
          <a:ext cx="1074524" cy="627614"/>
          <a:chOff x="6963496" y="2892425"/>
          <a:chExt cx="1158702" cy="601224"/>
        </a:xfrm>
      </xdr:grpSpPr>
      <xdr:sp macro="" textlink="">
        <xdr:nvSpPr>
          <xdr:cNvPr id="9" name="フローチャート: 磁気ディスク 12">
            <a:extLst>
              <a:ext uri="{FF2B5EF4-FFF2-40B4-BE49-F238E27FC236}">
                <a16:creationId xmlns:a16="http://schemas.microsoft.com/office/drawing/2014/main" id="{99933BB8-71A9-9CB9-66D3-CBB44EE80FF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 name="正方形/長方形 13">
            <a:extLst>
              <a:ext uri="{FF2B5EF4-FFF2-40B4-BE49-F238E27FC236}">
                <a16:creationId xmlns:a16="http://schemas.microsoft.com/office/drawing/2014/main" id="{AE61CB34-BE50-CC31-9A32-8BA0D47CA3AF}"/>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13</xdr:col>
      <xdr:colOff>145814</xdr:colOff>
      <xdr:row>57</xdr:row>
      <xdr:rowOff>27231</xdr:rowOff>
    </xdr:from>
    <xdr:to>
      <xdr:col>23</xdr:col>
      <xdr:colOff>133698</xdr:colOff>
      <xdr:row>57</xdr:row>
      <xdr:rowOff>30207</xdr:rowOff>
    </xdr:to>
    <xdr:cxnSp macro="">
      <xdr:nvCxnSpPr>
        <xdr:cNvPr id="11" name="直線矢印コネクタ 10">
          <a:extLst>
            <a:ext uri="{FF2B5EF4-FFF2-40B4-BE49-F238E27FC236}">
              <a16:creationId xmlns:a16="http://schemas.microsoft.com/office/drawing/2014/main" id="{B4BE46D9-462D-48F8-895D-FB90E4BD5586}"/>
            </a:ext>
          </a:extLst>
        </xdr:cNvPr>
        <xdr:cNvCxnSpPr>
          <a:stCxn id="6" idx="3"/>
          <a:endCxn id="9" idx="2"/>
        </xdr:cNvCxnSpPr>
      </xdr:nvCxnSpPr>
      <xdr:spPr>
        <a:xfrm flipV="1">
          <a:off x="2415939" y="11219106"/>
          <a:ext cx="1734134" cy="297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63804</xdr:colOff>
      <xdr:row>50</xdr:row>
      <xdr:rowOff>30081</xdr:rowOff>
    </xdr:from>
    <xdr:to>
      <xdr:col>11</xdr:col>
      <xdr:colOff>72536</xdr:colOff>
      <xdr:row>55</xdr:row>
      <xdr:rowOff>129444</xdr:rowOff>
    </xdr:to>
    <xdr:cxnSp macro="">
      <xdr:nvCxnSpPr>
        <xdr:cNvPr id="14" name="コネクタ: カギ線 13">
          <a:extLst>
            <a:ext uri="{FF2B5EF4-FFF2-40B4-BE49-F238E27FC236}">
              <a16:creationId xmlns:a16="http://schemas.microsoft.com/office/drawing/2014/main" id="{D090A3BF-63FF-4ABB-8E87-063DF59F44C5}"/>
            </a:ext>
          </a:extLst>
        </xdr:cNvPr>
        <xdr:cNvCxnSpPr>
          <a:stCxn id="326" idx="2"/>
          <a:endCxn id="6" idx="0"/>
        </xdr:cNvCxnSpPr>
      </xdr:nvCxnSpPr>
      <xdr:spPr>
        <a:xfrm rot="16200000" flipH="1">
          <a:off x="941222" y="9499194"/>
          <a:ext cx="932801" cy="125888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79965</xdr:colOff>
      <xdr:row>65</xdr:row>
      <xdr:rowOff>69459</xdr:rowOff>
    </xdr:from>
    <xdr:to>
      <xdr:col>18</xdr:col>
      <xdr:colOff>83298</xdr:colOff>
      <xdr:row>69</xdr:row>
      <xdr:rowOff>65961</xdr:rowOff>
    </xdr:to>
    <xdr:cxnSp macro="">
      <xdr:nvCxnSpPr>
        <xdr:cNvPr id="17" name="直線矢印コネクタ 27">
          <a:extLst>
            <a:ext uri="{FF2B5EF4-FFF2-40B4-BE49-F238E27FC236}">
              <a16:creationId xmlns:a16="http://schemas.microsoft.com/office/drawing/2014/main" id="{F6F3628A-7B94-4818-A3F9-B1488A7B06D2}"/>
            </a:ext>
          </a:extLst>
        </xdr:cNvPr>
        <xdr:cNvCxnSpPr>
          <a:cxnSpLocks/>
          <a:stCxn id="31" idx="2"/>
          <a:endCxn id="353" idx="0"/>
        </xdr:cNvCxnSpPr>
      </xdr:nvCxnSpPr>
      <xdr:spPr>
        <a:xfrm flipH="1">
          <a:off x="3223215" y="12658334"/>
          <a:ext cx="3333" cy="69500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115094</xdr:colOff>
      <xdr:row>62</xdr:row>
      <xdr:rowOff>75406</xdr:rowOff>
    </xdr:from>
    <xdr:to>
      <xdr:col>21</xdr:col>
      <xdr:colOff>23449</xdr:colOff>
      <xdr:row>65</xdr:row>
      <xdr:rowOff>76291</xdr:rowOff>
    </xdr:to>
    <xdr:grpSp>
      <xdr:nvGrpSpPr>
        <xdr:cNvPr id="30" name="グループ化 29">
          <a:extLst>
            <a:ext uri="{FF2B5EF4-FFF2-40B4-BE49-F238E27FC236}">
              <a16:creationId xmlns:a16="http://schemas.microsoft.com/office/drawing/2014/main" id="{E21C3915-4726-B30B-6934-43ABB4AB1B95}"/>
            </a:ext>
          </a:extLst>
        </xdr:cNvPr>
        <xdr:cNvGrpSpPr/>
      </xdr:nvGrpSpPr>
      <xdr:grpSpPr>
        <a:xfrm>
          <a:off x="2829719" y="11953081"/>
          <a:ext cx="994205" cy="515235"/>
          <a:chOff x="1612122" y="2437107"/>
          <a:chExt cx="933032" cy="400203"/>
        </a:xfrm>
      </xdr:grpSpPr>
      <xdr:sp macro="" textlink="">
        <xdr:nvSpPr>
          <xdr:cNvPr id="31" name="フローチャート: 定義済み処理 30">
            <a:extLst>
              <a:ext uri="{FF2B5EF4-FFF2-40B4-BE49-F238E27FC236}">
                <a16:creationId xmlns:a16="http://schemas.microsoft.com/office/drawing/2014/main" id="{820513B0-34DB-F5A9-F1F2-C33110EB1B3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2" name="正方形/長方形 31">
            <a:extLst>
              <a:ext uri="{FF2B5EF4-FFF2-40B4-BE49-F238E27FC236}">
                <a16:creationId xmlns:a16="http://schemas.microsoft.com/office/drawing/2014/main" id="{68F718D0-9DB7-5A99-A0AD-17E3367AC5B7}"/>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３．自動</a:t>
            </a:r>
            <a:endParaRPr kumimoji="1" lang="en-US" altLang="ja-JP" sz="900"/>
          </a:p>
          <a:p>
            <a:pPr algn="ctr"/>
            <a:r>
              <a:rPr kumimoji="1" lang="ja-JP" altLang="en-US" sz="900"/>
              <a:t>転記バッチ</a:t>
            </a:r>
            <a:endParaRPr kumimoji="1" lang="en-US" altLang="ja-JP" sz="900"/>
          </a:p>
        </xdr:txBody>
      </xdr:sp>
    </xdr:grpSp>
    <xdr:clientData/>
  </xdr:twoCellAnchor>
  <xdr:twoCellAnchor>
    <xdr:from>
      <xdr:col>11</xdr:col>
      <xdr:colOff>75362</xdr:colOff>
      <xdr:row>58</xdr:row>
      <xdr:rowOff>101208</xdr:rowOff>
    </xdr:from>
    <xdr:to>
      <xdr:col>18</xdr:col>
      <xdr:colOff>83299</xdr:colOff>
      <xdr:row>62</xdr:row>
      <xdr:rowOff>102079</xdr:rowOff>
    </xdr:to>
    <xdr:cxnSp macro="">
      <xdr:nvCxnSpPr>
        <xdr:cNvPr id="33" name="コネクタ: カギ線 32">
          <a:extLst>
            <a:ext uri="{FF2B5EF4-FFF2-40B4-BE49-F238E27FC236}">
              <a16:creationId xmlns:a16="http://schemas.microsoft.com/office/drawing/2014/main" id="{F576E1DB-63C0-40F3-816D-5C45CBFA9F7B}"/>
            </a:ext>
          </a:extLst>
        </xdr:cNvPr>
        <xdr:cNvCxnSpPr>
          <a:stCxn id="6" idx="2"/>
          <a:endCxn id="31" idx="0"/>
        </xdr:cNvCxnSpPr>
      </xdr:nvCxnSpPr>
      <xdr:spPr>
        <a:xfrm rot="16200000" flipH="1">
          <a:off x="2261707" y="11202238"/>
          <a:ext cx="699371" cy="123031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93132</xdr:colOff>
      <xdr:row>62</xdr:row>
      <xdr:rowOff>66941</xdr:rowOff>
    </xdr:from>
    <xdr:to>
      <xdr:col>28</xdr:col>
      <xdr:colOff>81806</xdr:colOff>
      <xdr:row>66</xdr:row>
      <xdr:rowOff>8755</xdr:rowOff>
    </xdr:to>
    <xdr:grpSp>
      <xdr:nvGrpSpPr>
        <xdr:cNvPr id="36" name="グループ化 11">
          <a:extLst>
            <a:ext uri="{FF2B5EF4-FFF2-40B4-BE49-F238E27FC236}">
              <a16:creationId xmlns:a16="http://schemas.microsoft.com/office/drawing/2014/main" id="{29870EE6-CF98-7B73-CCE1-D58C1C706297}"/>
            </a:ext>
          </a:extLst>
        </xdr:cNvPr>
        <xdr:cNvGrpSpPr/>
      </xdr:nvGrpSpPr>
      <xdr:grpSpPr>
        <a:xfrm>
          <a:off x="4074582" y="11944616"/>
          <a:ext cx="1074524" cy="627614"/>
          <a:chOff x="6963496" y="2892425"/>
          <a:chExt cx="1158702" cy="601224"/>
        </a:xfrm>
      </xdr:grpSpPr>
      <xdr:sp macro="" textlink="">
        <xdr:nvSpPr>
          <xdr:cNvPr id="37" name="フローチャート: 磁気ディスク 12">
            <a:extLst>
              <a:ext uri="{FF2B5EF4-FFF2-40B4-BE49-F238E27FC236}">
                <a16:creationId xmlns:a16="http://schemas.microsoft.com/office/drawing/2014/main" id="{2BE6C203-59BD-C1EF-98D4-F2E333D68A6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8" name="正方形/長方形 13">
            <a:extLst>
              <a:ext uri="{FF2B5EF4-FFF2-40B4-BE49-F238E27FC236}">
                <a16:creationId xmlns:a16="http://schemas.microsoft.com/office/drawing/2014/main" id="{FDE13D30-B2B6-BFD0-86D3-2F4B2E01C2D9}"/>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a:t>
            </a:r>
            <a:endParaRPr kumimoji="1" lang="en-US" altLang="ja-JP" sz="900"/>
          </a:p>
          <a:p>
            <a:pPr algn="ctr"/>
            <a:r>
              <a:rPr kumimoji="1" lang="ja-JP" altLang="en-US" sz="900"/>
              <a:t>バッチ</a:t>
            </a:r>
            <a:endParaRPr kumimoji="1" lang="en-US" altLang="ja-JP" sz="900"/>
          </a:p>
        </xdr:txBody>
      </xdr:sp>
    </xdr:grpSp>
    <xdr:clientData/>
  </xdr:twoCellAnchor>
  <xdr:twoCellAnchor>
    <xdr:from>
      <xdr:col>20</xdr:col>
      <xdr:colOff>153751</xdr:colOff>
      <xdr:row>63</xdr:row>
      <xdr:rowOff>173082</xdr:rowOff>
    </xdr:from>
    <xdr:to>
      <xdr:col>23</xdr:col>
      <xdr:colOff>133698</xdr:colOff>
      <xdr:row>64</xdr:row>
      <xdr:rowOff>3422</xdr:rowOff>
    </xdr:to>
    <xdr:cxnSp macro="">
      <xdr:nvCxnSpPr>
        <xdr:cNvPr id="39" name="直線矢印コネクタ 38">
          <a:extLst>
            <a:ext uri="{FF2B5EF4-FFF2-40B4-BE49-F238E27FC236}">
              <a16:creationId xmlns:a16="http://schemas.microsoft.com/office/drawing/2014/main" id="{361D3425-0834-4765-B739-75675416D46F}"/>
            </a:ext>
          </a:extLst>
        </xdr:cNvPr>
        <xdr:cNvCxnSpPr>
          <a:stCxn id="31" idx="3"/>
          <a:endCxn id="37" idx="2"/>
        </xdr:cNvCxnSpPr>
      </xdr:nvCxnSpPr>
      <xdr:spPr>
        <a:xfrm>
          <a:off x="3646251" y="12412707"/>
          <a:ext cx="503822" cy="496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161925</xdr:colOff>
      <xdr:row>10</xdr:row>
      <xdr:rowOff>123825</xdr:rowOff>
    </xdr:from>
    <xdr:to>
      <xdr:col>6</xdr:col>
      <xdr:colOff>65725</xdr:colOff>
      <xdr:row>12</xdr:row>
      <xdr:rowOff>38100</xdr:rowOff>
    </xdr:to>
    <xdr:sp macro="" textlink="">
      <xdr:nvSpPr>
        <xdr:cNvPr id="2" name="フローチャート: 端子 26">
          <a:extLst>
            <a:ext uri="{FF2B5EF4-FFF2-40B4-BE49-F238E27FC236}">
              <a16:creationId xmlns:a16="http://schemas.microsoft.com/office/drawing/2014/main" id="{E38D60FA-CC68-4987-BB89-6265BFE463BF}"/>
            </a:ext>
          </a:extLst>
        </xdr:cNvPr>
        <xdr:cNvSpPr/>
      </xdr:nvSpPr>
      <xdr:spPr>
        <a:xfrm>
          <a:off x="561975" y="1905000"/>
          <a:ext cx="703900" cy="25717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112897</xdr:colOff>
      <xdr:row>12</xdr:row>
      <xdr:rowOff>38100</xdr:rowOff>
    </xdr:from>
    <xdr:to>
      <xdr:col>4</xdr:col>
      <xdr:colOff>113825</xdr:colOff>
      <xdr:row>14</xdr:row>
      <xdr:rowOff>66891</xdr:rowOff>
    </xdr:to>
    <xdr:cxnSp macro="">
      <xdr:nvCxnSpPr>
        <xdr:cNvPr id="3" name="直線矢印コネクタ 27">
          <a:extLst>
            <a:ext uri="{FF2B5EF4-FFF2-40B4-BE49-F238E27FC236}">
              <a16:creationId xmlns:a16="http://schemas.microsoft.com/office/drawing/2014/main" id="{88D6B57E-B948-4FB8-928F-CF1FF66A6D51}"/>
            </a:ext>
          </a:extLst>
        </xdr:cNvPr>
        <xdr:cNvCxnSpPr>
          <a:cxnSpLocks/>
          <a:stCxn id="2" idx="2"/>
          <a:endCxn id="5" idx="0"/>
        </xdr:cNvCxnSpPr>
      </xdr:nvCxnSpPr>
      <xdr:spPr>
        <a:xfrm flipH="1">
          <a:off x="912997" y="2162175"/>
          <a:ext cx="928" cy="37169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154258</xdr:colOff>
      <xdr:row>14</xdr:row>
      <xdr:rowOff>50774</xdr:rowOff>
    </xdr:from>
    <xdr:to>
      <xdr:col>7</xdr:col>
      <xdr:colOff>57151</xdr:colOff>
      <xdr:row>17</xdr:row>
      <xdr:rowOff>45153</xdr:rowOff>
    </xdr:to>
    <xdr:grpSp>
      <xdr:nvGrpSpPr>
        <xdr:cNvPr id="4" name="グループ化 3">
          <a:extLst>
            <a:ext uri="{FF2B5EF4-FFF2-40B4-BE49-F238E27FC236}">
              <a16:creationId xmlns:a16="http://schemas.microsoft.com/office/drawing/2014/main" id="{2AE844E0-0906-4A44-ADC3-3069396814FC}"/>
            </a:ext>
          </a:extLst>
        </xdr:cNvPr>
        <xdr:cNvGrpSpPr/>
      </xdr:nvGrpSpPr>
      <xdr:grpSpPr>
        <a:xfrm>
          <a:off x="335233" y="2489174"/>
          <a:ext cx="988743" cy="508729"/>
          <a:chOff x="1619725" y="2442461"/>
          <a:chExt cx="933032" cy="400203"/>
        </a:xfrm>
      </xdr:grpSpPr>
      <xdr:sp macro="" textlink="">
        <xdr:nvSpPr>
          <xdr:cNvPr id="5" name="フローチャート: 定義済み処理 4">
            <a:extLst>
              <a:ext uri="{FF2B5EF4-FFF2-40B4-BE49-F238E27FC236}">
                <a16:creationId xmlns:a16="http://schemas.microsoft.com/office/drawing/2014/main" id="{DFA40A15-E8DE-8D6F-2B0D-E79059EC474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 name="正方形/長方形 5">
            <a:extLst>
              <a:ext uri="{FF2B5EF4-FFF2-40B4-BE49-F238E27FC236}">
                <a16:creationId xmlns:a16="http://schemas.microsoft.com/office/drawing/2014/main" id="{05AC1F18-1C3F-791C-D28B-856232E2E6C2}"/>
              </a:ext>
            </a:extLst>
          </xdr:cNvPr>
          <xdr:cNvSpPr/>
        </xdr:nvSpPr>
        <xdr:spPr>
          <a:xfrm>
            <a:off x="1619725" y="2442461"/>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１．精算内容</a:t>
            </a:r>
            <a:endParaRPr kumimoji="1" lang="en-US" altLang="ja-JP" sz="900"/>
          </a:p>
          <a:p>
            <a:pPr algn="ctr"/>
            <a:r>
              <a:rPr kumimoji="1" lang="ja-JP" altLang="en-US" sz="900"/>
              <a:t>入力</a:t>
            </a:r>
            <a:endParaRPr kumimoji="1" lang="en-US" altLang="ja-JP" sz="900"/>
          </a:p>
        </xdr:txBody>
      </xdr:sp>
    </xdr:grpSp>
    <xdr:clientData/>
  </xdr:twoCellAnchor>
  <xdr:twoCellAnchor>
    <xdr:from>
      <xdr:col>30</xdr:col>
      <xdr:colOff>60324</xdr:colOff>
      <xdr:row>14</xdr:row>
      <xdr:rowOff>86584</xdr:rowOff>
    </xdr:from>
    <xdr:to>
      <xdr:col>34</xdr:col>
      <xdr:colOff>146049</xdr:colOff>
      <xdr:row>17</xdr:row>
      <xdr:rowOff>83329</xdr:rowOff>
    </xdr:to>
    <xdr:sp macro="" textlink="">
      <xdr:nvSpPr>
        <xdr:cNvPr id="24" name="正方形/長方形 23">
          <a:extLst>
            <a:ext uri="{FF2B5EF4-FFF2-40B4-BE49-F238E27FC236}">
              <a16:creationId xmlns:a16="http://schemas.microsoft.com/office/drawing/2014/main" id="{3D5C86F4-7781-980A-789C-B7C721CA4D51}"/>
            </a:ext>
          </a:extLst>
        </xdr:cNvPr>
        <xdr:cNvSpPr/>
      </xdr:nvSpPr>
      <xdr:spPr>
        <a:xfrm>
          <a:off x="6061074" y="2553559"/>
          <a:ext cx="885825" cy="51109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kumimoji="1" lang="ja-JP" altLang="en-US" sz="900"/>
        </a:p>
      </xdr:txBody>
    </xdr:sp>
    <xdr:clientData/>
  </xdr:twoCellAnchor>
  <xdr:twoCellAnchor>
    <xdr:from>
      <xdr:col>6</xdr:col>
      <xdr:colOff>195508</xdr:colOff>
      <xdr:row>15</xdr:row>
      <xdr:rowOff>119929</xdr:rowOff>
    </xdr:from>
    <xdr:to>
      <xdr:col>31</xdr:col>
      <xdr:colOff>10530</xdr:colOff>
      <xdr:row>15</xdr:row>
      <xdr:rowOff>133325</xdr:rowOff>
    </xdr:to>
    <xdr:cxnSp macro="">
      <xdr:nvCxnSpPr>
        <xdr:cNvPr id="25" name="直線矢印コネクタ 24">
          <a:extLst>
            <a:ext uri="{FF2B5EF4-FFF2-40B4-BE49-F238E27FC236}">
              <a16:creationId xmlns:a16="http://schemas.microsoft.com/office/drawing/2014/main" id="{0A4EC7C7-D5C5-48DA-B6E6-B64BD2FA6D09}"/>
            </a:ext>
          </a:extLst>
        </xdr:cNvPr>
        <xdr:cNvCxnSpPr>
          <a:cxnSpLocks/>
          <a:stCxn id="5" idx="3"/>
          <a:endCxn id="83" idx="2"/>
        </xdr:cNvCxnSpPr>
      </xdr:nvCxnSpPr>
      <xdr:spPr>
        <a:xfrm flipV="1">
          <a:off x="1395658" y="2758354"/>
          <a:ext cx="4815647" cy="1339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130175</xdr:colOff>
      <xdr:row>16</xdr:row>
      <xdr:rowOff>85725</xdr:rowOff>
    </xdr:from>
    <xdr:to>
      <xdr:col>8</xdr:col>
      <xdr:colOff>18632</xdr:colOff>
      <xdr:row>18</xdr:row>
      <xdr:rowOff>114300</xdr:rowOff>
    </xdr:to>
    <xdr:grpSp>
      <xdr:nvGrpSpPr>
        <xdr:cNvPr id="76" name="グループ化 75">
          <a:extLst>
            <a:ext uri="{FF2B5EF4-FFF2-40B4-BE49-F238E27FC236}">
              <a16:creationId xmlns:a16="http://schemas.microsoft.com/office/drawing/2014/main" id="{2500F151-FF33-4355-B916-15F41DBD4731}"/>
            </a:ext>
          </a:extLst>
        </xdr:cNvPr>
        <xdr:cNvGrpSpPr>
          <a:grpSpLocks noChangeAspect="1"/>
        </xdr:cNvGrpSpPr>
      </xdr:nvGrpSpPr>
      <xdr:grpSpPr>
        <a:xfrm>
          <a:off x="854075" y="2867025"/>
          <a:ext cx="612357" cy="371475"/>
          <a:chOff x="2791278" y="18514786"/>
          <a:chExt cx="773793" cy="417285"/>
        </a:xfrm>
      </xdr:grpSpPr>
      <xdr:sp macro="" textlink="">
        <xdr:nvSpPr>
          <xdr:cNvPr id="77" name="フローチャート: 書類 76">
            <a:extLst>
              <a:ext uri="{FF2B5EF4-FFF2-40B4-BE49-F238E27FC236}">
                <a16:creationId xmlns:a16="http://schemas.microsoft.com/office/drawing/2014/main" id="{92626E90-F562-C5B3-C695-126EA1CA8D53}"/>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78" name="正方形/長方形 77">
            <a:extLst>
              <a:ext uri="{FF2B5EF4-FFF2-40B4-BE49-F238E27FC236}">
                <a16:creationId xmlns:a16="http://schemas.microsoft.com/office/drawing/2014/main" id="{29381A5D-B559-2C9A-F48D-6F8FDDD08B11}"/>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領収書</a:t>
            </a:r>
          </a:p>
        </xdr:txBody>
      </xdr:sp>
    </xdr:grpSp>
    <xdr:clientData/>
  </xdr:twoCellAnchor>
  <xdr:twoCellAnchor>
    <xdr:from>
      <xdr:col>59</xdr:col>
      <xdr:colOff>19050</xdr:colOff>
      <xdr:row>9</xdr:row>
      <xdr:rowOff>19050</xdr:rowOff>
    </xdr:from>
    <xdr:to>
      <xdr:col>74</xdr:col>
      <xdr:colOff>180975</xdr:colOff>
      <xdr:row>29</xdr:row>
      <xdr:rowOff>38100</xdr:rowOff>
    </xdr:to>
    <xdr:sp macro="" textlink="">
      <xdr:nvSpPr>
        <xdr:cNvPr id="80" name="正方形/長方形 79">
          <a:extLst>
            <a:ext uri="{FF2B5EF4-FFF2-40B4-BE49-F238E27FC236}">
              <a16:creationId xmlns:a16="http://schemas.microsoft.com/office/drawing/2014/main" id="{24F7B899-BC57-4B37-A7FE-FFB879014FDA}"/>
            </a:ext>
          </a:extLst>
        </xdr:cNvPr>
        <xdr:cNvSpPr/>
      </xdr:nvSpPr>
      <xdr:spPr>
        <a:xfrm>
          <a:off x="11820525" y="1628775"/>
          <a:ext cx="3162300" cy="3448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全社員が楽楽精算にて実施</a:t>
          </a:r>
        </a:p>
      </xdr:txBody>
    </xdr:sp>
    <xdr:clientData/>
  </xdr:twoCellAnchor>
  <xdr:twoCellAnchor>
    <xdr:from>
      <xdr:col>59</xdr:col>
      <xdr:colOff>127000</xdr:colOff>
      <xdr:row>11</xdr:row>
      <xdr:rowOff>158750</xdr:rowOff>
    </xdr:from>
    <xdr:to>
      <xdr:col>73</xdr:col>
      <xdr:colOff>190500</xdr:colOff>
      <xdr:row>28</xdr:row>
      <xdr:rowOff>120650</xdr:rowOff>
    </xdr:to>
    <xdr:sp macro="" textlink="">
      <xdr:nvSpPr>
        <xdr:cNvPr id="81" name="テキスト ボックス 80">
          <a:extLst>
            <a:ext uri="{FF2B5EF4-FFF2-40B4-BE49-F238E27FC236}">
              <a16:creationId xmlns:a16="http://schemas.microsoft.com/office/drawing/2014/main" id="{46AE35FB-F14A-4AE4-A2DA-98F25978C3F8}"/>
            </a:ext>
          </a:extLst>
        </xdr:cNvPr>
        <xdr:cNvSpPr txBox="1"/>
      </xdr:nvSpPr>
      <xdr:spPr>
        <a:xfrm>
          <a:off x="10525125" y="2114550"/>
          <a:ext cx="2867025" cy="28765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latin typeface="+mn-ea"/>
              <a:ea typeface="+mn-ea"/>
            </a:rPr>
            <a:t>振替処理を楽楽精算から</a:t>
          </a:r>
          <a:r>
            <a:rPr kumimoji="1" lang="en-US" altLang="ja-JP" sz="1100">
              <a:solidFill>
                <a:srgbClr val="FF0000"/>
              </a:solidFill>
              <a:latin typeface="+mn-ea"/>
              <a:ea typeface="+mn-ea"/>
            </a:rPr>
            <a:t>Dynamics365</a:t>
          </a:r>
          <a:r>
            <a:rPr kumimoji="1" lang="ja-JP" altLang="en-US" sz="1100">
              <a:solidFill>
                <a:srgbClr val="FF0000"/>
              </a:solidFill>
              <a:latin typeface="+mn-ea"/>
              <a:ea typeface="+mn-ea"/>
            </a:rPr>
            <a:t>へ</a:t>
          </a:r>
          <a:endParaRPr kumimoji="1" lang="en-US" altLang="ja-JP" sz="1100">
            <a:solidFill>
              <a:srgbClr val="FF0000"/>
            </a:solidFill>
            <a:latin typeface="+mn-ea"/>
            <a:ea typeface="+mn-ea"/>
          </a:endParaRPr>
        </a:p>
        <a:p>
          <a:r>
            <a:rPr kumimoji="1" lang="ja-JP" altLang="en-US" sz="1100">
              <a:solidFill>
                <a:srgbClr val="FF0000"/>
              </a:solidFill>
              <a:latin typeface="+mn-ea"/>
              <a:ea typeface="+mn-ea"/>
            </a:rPr>
            <a:t>移管する（将来を見据えて</a:t>
          </a:r>
          <a:r>
            <a:rPr kumimoji="1" lang="en-US" altLang="ja-JP" sz="1100">
              <a:solidFill>
                <a:srgbClr val="FF0000"/>
              </a:solidFill>
              <a:latin typeface="+mn-ea"/>
              <a:ea typeface="+mn-ea"/>
            </a:rPr>
            <a:t>Dynamics365</a:t>
          </a:r>
          <a:r>
            <a:rPr kumimoji="1" lang="ja-JP" altLang="en-US" sz="1100">
              <a:solidFill>
                <a:srgbClr val="FF0000"/>
              </a:solidFill>
              <a:latin typeface="+mn-ea"/>
              <a:ea typeface="+mn-ea"/>
            </a:rPr>
            <a:t>でも入力可能にする）には？</a:t>
          </a:r>
          <a:endParaRPr kumimoji="1" lang="en-US" altLang="ja-JP" sz="1100">
            <a:solidFill>
              <a:srgbClr val="FF0000"/>
            </a:solidFill>
            <a:latin typeface="+mn-ea"/>
            <a:ea typeface="+mn-ea"/>
          </a:endParaRPr>
        </a:p>
        <a:p>
          <a:r>
            <a:rPr kumimoji="1" lang="en-US" altLang="ja-JP" sz="1100">
              <a:solidFill>
                <a:srgbClr val="FF0000"/>
              </a:solidFill>
              <a:latin typeface="+mn-ea"/>
              <a:ea typeface="+mn-ea"/>
            </a:rPr>
            <a:t>(</a:t>
          </a:r>
          <a:r>
            <a:rPr kumimoji="1" lang="ja-JP" altLang="en-US" sz="1100">
              <a:solidFill>
                <a:srgbClr val="FF0000"/>
              </a:solidFill>
              <a:latin typeface="+mn-ea"/>
              <a:ea typeface="+mn-ea"/>
            </a:rPr>
            <a:t>背景</a:t>
          </a:r>
          <a:r>
            <a:rPr kumimoji="1" lang="en-US" altLang="ja-JP" sz="1100">
              <a:solidFill>
                <a:srgbClr val="FF0000"/>
              </a:solidFill>
              <a:latin typeface="+mn-ea"/>
              <a:ea typeface="+mn-ea"/>
            </a:rPr>
            <a:t>)</a:t>
          </a:r>
        </a:p>
        <a:p>
          <a:r>
            <a:rPr kumimoji="1" lang="ja-JP" altLang="en-US" sz="1100">
              <a:solidFill>
                <a:srgbClr val="FF0000"/>
              </a:solidFill>
              <a:latin typeface="+mn-ea"/>
              <a:ea typeface="+mn-ea"/>
            </a:rPr>
            <a:t>監査法人から容易に振替伝票が入力可能な環境になっている為、会社業績に影響与える伝票入力を無くすことで楽楽精算システムをシステム監査対象外にしたい。</a:t>
          </a:r>
          <a:endParaRPr kumimoji="1" lang="en-US" altLang="ja-JP" sz="1100">
            <a:solidFill>
              <a:srgbClr val="FF0000"/>
            </a:solidFill>
            <a:latin typeface="+mn-ea"/>
            <a:ea typeface="+mn-ea"/>
          </a:endParaRPr>
        </a:p>
        <a:p>
          <a:r>
            <a:rPr kumimoji="1" lang="en-US" altLang="ja-JP" sz="1100">
              <a:solidFill>
                <a:srgbClr val="FF0000"/>
              </a:solidFill>
              <a:latin typeface="+mn-ea"/>
              <a:ea typeface="+mn-ea"/>
            </a:rPr>
            <a:t>(</a:t>
          </a:r>
          <a:r>
            <a:rPr kumimoji="1" lang="ja-JP" altLang="en-US" sz="1100">
              <a:solidFill>
                <a:srgbClr val="FF0000"/>
              </a:solidFill>
              <a:latin typeface="+mn-ea"/>
              <a:ea typeface="+mn-ea"/>
            </a:rPr>
            <a:t>課題</a:t>
          </a:r>
          <a:r>
            <a:rPr kumimoji="1" lang="en-US" altLang="ja-JP" sz="1100">
              <a:solidFill>
                <a:srgbClr val="FF0000"/>
              </a:solidFill>
              <a:latin typeface="+mn-ea"/>
              <a:ea typeface="+mn-ea"/>
            </a:rPr>
            <a:t>)</a:t>
          </a:r>
        </a:p>
        <a:p>
          <a:r>
            <a:rPr kumimoji="1" lang="en-US" altLang="ja-JP" sz="1100">
              <a:solidFill>
                <a:srgbClr val="FF0000"/>
              </a:solidFill>
              <a:latin typeface="+mn-ea"/>
              <a:ea typeface="+mn-ea"/>
            </a:rPr>
            <a:t>Dynamics365</a:t>
          </a:r>
          <a:r>
            <a:rPr kumimoji="1" lang="ja-JP" altLang="en-US" sz="1100">
              <a:solidFill>
                <a:srgbClr val="FF0000"/>
              </a:solidFill>
              <a:latin typeface="+mn-ea"/>
              <a:ea typeface="+mn-ea"/>
            </a:rPr>
            <a:t>でどの程度ライセンス増加が必要か？</a:t>
          </a:r>
          <a:endParaRPr kumimoji="1" lang="en-US" altLang="ja-JP" sz="1100">
            <a:solidFill>
              <a:srgbClr val="FF0000"/>
            </a:solidFill>
            <a:latin typeface="+mn-ea"/>
            <a:ea typeface="+mn-ea"/>
          </a:endParaRPr>
        </a:p>
      </xdr:txBody>
    </xdr:sp>
    <xdr:clientData/>
  </xdr:twoCellAnchor>
  <xdr:twoCellAnchor>
    <xdr:from>
      <xdr:col>30</xdr:col>
      <xdr:colOff>117474</xdr:colOff>
      <xdr:row>14</xdr:row>
      <xdr:rowOff>25401</xdr:rowOff>
    </xdr:from>
    <xdr:to>
      <xdr:col>34</xdr:col>
      <xdr:colOff>200024</xdr:colOff>
      <xdr:row>17</xdr:row>
      <xdr:rowOff>83333</xdr:rowOff>
    </xdr:to>
    <xdr:grpSp>
      <xdr:nvGrpSpPr>
        <xdr:cNvPr id="82" name="グループ化 81">
          <a:extLst>
            <a:ext uri="{FF2B5EF4-FFF2-40B4-BE49-F238E27FC236}">
              <a16:creationId xmlns:a16="http://schemas.microsoft.com/office/drawing/2014/main" id="{61EB43D3-4150-41BB-9C80-F36204C25604}"/>
            </a:ext>
          </a:extLst>
        </xdr:cNvPr>
        <xdr:cNvGrpSpPr/>
      </xdr:nvGrpSpPr>
      <xdr:grpSpPr>
        <a:xfrm>
          <a:off x="5546724" y="2463801"/>
          <a:ext cx="787400" cy="572282"/>
          <a:chOff x="7111998" y="2892425"/>
          <a:chExt cx="873125" cy="577251"/>
        </a:xfrm>
      </xdr:grpSpPr>
      <xdr:sp macro="" textlink="">
        <xdr:nvSpPr>
          <xdr:cNvPr id="83" name="フローチャート: 磁気ディスク 82">
            <a:extLst>
              <a:ext uri="{FF2B5EF4-FFF2-40B4-BE49-F238E27FC236}">
                <a16:creationId xmlns:a16="http://schemas.microsoft.com/office/drawing/2014/main" id="{BBF0E9FA-9883-6711-966E-64BDC8F6DF5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 name="正方形/長方形 83">
            <a:extLst>
              <a:ext uri="{FF2B5EF4-FFF2-40B4-BE49-F238E27FC236}">
                <a16:creationId xmlns:a16="http://schemas.microsoft.com/office/drawing/2014/main" id="{543B2BD7-2FE7-C920-4FEB-8D5AE9E07942}"/>
              </a:ext>
            </a:extLst>
          </xdr:cNvPr>
          <xdr:cNvSpPr/>
        </xdr:nvSpPr>
        <xdr:spPr>
          <a:xfrm>
            <a:off x="7111998" y="2964069"/>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p>
        </xdr:txBody>
      </xdr:sp>
    </xdr:grpSp>
    <xdr:clientData/>
  </xdr:twoCellAnchor>
  <xdr:twoCellAnchor>
    <xdr:from>
      <xdr:col>22</xdr:col>
      <xdr:colOff>76200</xdr:colOff>
      <xdr:row>28</xdr:row>
      <xdr:rowOff>12027</xdr:rowOff>
    </xdr:from>
    <xdr:to>
      <xdr:col>28</xdr:col>
      <xdr:colOff>77574</xdr:colOff>
      <xdr:row>31</xdr:row>
      <xdr:rowOff>126879</xdr:rowOff>
    </xdr:to>
    <xdr:grpSp>
      <xdr:nvGrpSpPr>
        <xdr:cNvPr id="7" name="グループ化 11">
          <a:extLst>
            <a:ext uri="{FF2B5EF4-FFF2-40B4-BE49-F238E27FC236}">
              <a16:creationId xmlns:a16="http://schemas.microsoft.com/office/drawing/2014/main" id="{7D7975E0-DAB5-42A7-9864-5A4E9B906449}"/>
            </a:ext>
          </a:extLst>
        </xdr:cNvPr>
        <xdr:cNvGrpSpPr/>
      </xdr:nvGrpSpPr>
      <xdr:grpSpPr>
        <a:xfrm>
          <a:off x="4057650" y="4850727"/>
          <a:ext cx="1087224" cy="629202"/>
          <a:chOff x="6963496" y="2892425"/>
          <a:chExt cx="1158702" cy="601224"/>
        </a:xfrm>
      </xdr:grpSpPr>
      <xdr:sp macro="" textlink="">
        <xdr:nvSpPr>
          <xdr:cNvPr id="8" name="フローチャート: 磁気ディスク 12">
            <a:extLst>
              <a:ext uri="{FF2B5EF4-FFF2-40B4-BE49-F238E27FC236}">
                <a16:creationId xmlns:a16="http://schemas.microsoft.com/office/drawing/2014/main" id="{4F930948-9F06-9974-A3FE-3F5C058B959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 name="正方形/長方形 13">
            <a:extLst>
              <a:ext uri="{FF2B5EF4-FFF2-40B4-BE49-F238E27FC236}">
                <a16:creationId xmlns:a16="http://schemas.microsoft.com/office/drawing/2014/main" id="{22F798E1-5BA5-2E24-9F60-A93FD2562C74}"/>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請求仕訳帳</a:t>
            </a:r>
            <a:endParaRPr kumimoji="1" lang="en-US" altLang="ja-JP" sz="900"/>
          </a:p>
          <a:p>
            <a:pPr algn="ctr"/>
            <a:r>
              <a:rPr kumimoji="1" lang="ja-JP" altLang="en-US" sz="900"/>
              <a:t>（仕入先）</a:t>
            </a:r>
            <a:endParaRPr kumimoji="1" lang="en-US" altLang="ja-JP" sz="900"/>
          </a:p>
        </xdr:txBody>
      </xdr:sp>
    </xdr:grpSp>
    <xdr:clientData/>
  </xdr:twoCellAnchor>
  <xdr:twoCellAnchor>
    <xdr:from>
      <xdr:col>27</xdr:col>
      <xdr:colOff>26813</xdr:colOff>
      <xdr:row>15</xdr:row>
      <xdr:rowOff>123104</xdr:rowOff>
    </xdr:from>
    <xdr:to>
      <xdr:col>34</xdr:col>
      <xdr:colOff>96902</xdr:colOff>
      <xdr:row>29</xdr:row>
      <xdr:rowOff>118175</xdr:rowOff>
    </xdr:to>
    <xdr:cxnSp macro="">
      <xdr:nvCxnSpPr>
        <xdr:cNvPr id="11" name="コネクタ: カギ線 10">
          <a:extLst>
            <a:ext uri="{FF2B5EF4-FFF2-40B4-BE49-F238E27FC236}">
              <a16:creationId xmlns:a16="http://schemas.microsoft.com/office/drawing/2014/main" id="{E52B5E63-3C93-4746-813B-13E2BF203D3B}"/>
            </a:ext>
          </a:extLst>
        </xdr:cNvPr>
        <xdr:cNvCxnSpPr>
          <a:stCxn id="83" idx="4"/>
          <a:endCxn id="8" idx="4"/>
        </xdr:cNvCxnSpPr>
      </xdr:nvCxnSpPr>
      <xdr:spPr>
        <a:xfrm flipH="1">
          <a:off x="5427488" y="2761529"/>
          <a:ext cx="1470264" cy="2395371"/>
        </a:xfrm>
        <a:prstGeom prst="bentConnector3">
          <a:avLst>
            <a:gd name="adj1" fmla="val -13476"/>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71664</xdr:colOff>
      <xdr:row>32</xdr:row>
      <xdr:rowOff>27902</xdr:rowOff>
    </xdr:from>
    <xdr:to>
      <xdr:col>28</xdr:col>
      <xdr:colOff>73038</xdr:colOff>
      <xdr:row>34</xdr:row>
      <xdr:rowOff>314204</xdr:rowOff>
    </xdr:to>
    <xdr:grpSp>
      <xdr:nvGrpSpPr>
        <xdr:cNvPr id="14" name="グループ化 11">
          <a:extLst>
            <a:ext uri="{FF2B5EF4-FFF2-40B4-BE49-F238E27FC236}">
              <a16:creationId xmlns:a16="http://schemas.microsoft.com/office/drawing/2014/main" id="{E6D749F6-A183-6E0E-9848-D82DF0D4C0D3}"/>
            </a:ext>
          </a:extLst>
        </xdr:cNvPr>
        <xdr:cNvGrpSpPr/>
      </xdr:nvGrpSpPr>
      <xdr:grpSpPr>
        <a:xfrm>
          <a:off x="4053114" y="5552402"/>
          <a:ext cx="1087224" cy="629202"/>
          <a:chOff x="6963496" y="2892425"/>
          <a:chExt cx="1158702" cy="601224"/>
        </a:xfrm>
      </xdr:grpSpPr>
      <xdr:sp macro="" textlink="">
        <xdr:nvSpPr>
          <xdr:cNvPr id="15" name="フローチャート: 磁気ディスク 12">
            <a:extLst>
              <a:ext uri="{FF2B5EF4-FFF2-40B4-BE49-F238E27FC236}">
                <a16:creationId xmlns:a16="http://schemas.microsoft.com/office/drawing/2014/main" id="{8C831594-32CD-905D-1993-C1DDB3BD86F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 name="正方形/長方形 13">
            <a:extLst>
              <a:ext uri="{FF2B5EF4-FFF2-40B4-BE49-F238E27FC236}">
                <a16:creationId xmlns:a16="http://schemas.microsoft.com/office/drawing/2014/main" id="{4E7D0FDE-C938-0C6C-4B83-BBF3490BA312}"/>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27</xdr:col>
      <xdr:colOff>23536</xdr:colOff>
      <xdr:row>15</xdr:row>
      <xdr:rowOff>120287</xdr:rowOff>
    </xdr:from>
    <xdr:to>
      <xdr:col>34</xdr:col>
      <xdr:colOff>96503</xdr:colOff>
      <xdr:row>33</xdr:row>
      <xdr:rowOff>137127</xdr:rowOff>
    </xdr:to>
    <xdr:cxnSp macro="">
      <xdr:nvCxnSpPr>
        <xdr:cNvPr id="17" name="コネクタ: カギ線 16">
          <a:extLst>
            <a:ext uri="{FF2B5EF4-FFF2-40B4-BE49-F238E27FC236}">
              <a16:creationId xmlns:a16="http://schemas.microsoft.com/office/drawing/2014/main" id="{15675507-3216-43E6-866A-4345263E3F27}"/>
            </a:ext>
          </a:extLst>
        </xdr:cNvPr>
        <xdr:cNvCxnSpPr>
          <a:stCxn id="83" idx="4"/>
          <a:endCxn id="15" idx="4"/>
        </xdr:cNvCxnSpPr>
      </xdr:nvCxnSpPr>
      <xdr:spPr>
        <a:xfrm flipH="1">
          <a:off x="3924250" y="2751001"/>
          <a:ext cx="1438217" cy="3119269"/>
        </a:xfrm>
        <a:prstGeom prst="bentConnector3">
          <a:avLst>
            <a:gd name="adj1" fmla="val -1317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58059</xdr:colOff>
      <xdr:row>41</xdr:row>
      <xdr:rowOff>54882</xdr:rowOff>
    </xdr:from>
    <xdr:to>
      <xdr:col>20</xdr:col>
      <xdr:colOff>182923</xdr:colOff>
      <xdr:row>45</xdr:row>
      <xdr:rowOff>5</xdr:rowOff>
    </xdr:to>
    <xdr:grpSp>
      <xdr:nvGrpSpPr>
        <xdr:cNvPr id="27" name="グループ化 88">
          <a:extLst>
            <a:ext uri="{FF2B5EF4-FFF2-40B4-BE49-F238E27FC236}">
              <a16:creationId xmlns:a16="http://schemas.microsoft.com/office/drawing/2014/main" id="{6A823A19-616A-4E7D-A6A6-B344CD46048B}"/>
            </a:ext>
          </a:extLst>
        </xdr:cNvPr>
        <xdr:cNvGrpSpPr/>
      </xdr:nvGrpSpPr>
      <xdr:grpSpPr>
        <a:xfrm>
          <a:off x="2953659" y="8151132"/>
          <a:ext cx="848764" cy="630923"/>
          <a:chOff x="242859" y="5658173"/>
          <a:chExt cx="1059546" cy="652474"/>
        </a:xfrm>
      </xdr:grpSpPr>
      <xdr:sp macro="" textlink="">
        <xdr:nvSpPr>
          <xdr:cNvPr id="28" name="フローチャート: 他ページ結合子 89">
            <a:extLst>
              <a:ext uri="{FF2B5EF4-FFF2-40B4-BE49-F238E27FC236}">
                <a16:creationId xmlns:a16="http://schemas.microsoft.com/office/drawing/2014/main" id="{3D6A652D-C7DD-677D-9A12-60238441190E}"/>
              </a:ext>
            </a:extLst>
          </xdr:cNvPr>
          <xdr:cNvSpPr/>
        </xdr:nvSpPr>
        <xdr:spPr>
          <a:xfrm>
            <a:off x="464083"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 name="正方形/長方形 48">
            <a:extLst>
              <a:ext uri="{FF2B5EF4-FFF2-40B4-BE49-F238E27FC236}">
                <a16:creationId xmlns:a16="http://schemas.microsoft.com/office/drawing/2014/main" id="{05BD0B02-DE5C-2141-0D1E-A28D4B703D24}"/>
              </a:ext>
            </a:extLst>
          </xdr:cNvPr>
          <xdr:cNvSpPr/>
        </xdr:nvSpPr>
        <xdr:spPr>
          <a:xfrm>
            <a:off x="242859" y="5658173"/>
            <a:ext cx="1059546" cy="65247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５．支払前</a:t>
            </a:r>
          </a:p>
        </xdr:txBody>
      </xdr:sp>
    </xdr:grpSp>
    <xdr:clientData/>
  </xdr:twoCellAnchor>
  <xdr:twoCellAnchor>
    <xdr:from>
      <xdr:col>22</xdr:col>
      <xdr:colOff>190501</xdr:colOff>
      <xdr:row>35</xdr:row>
      <xdr:rowOff>63501</xdr:rowOff>
    </xdr:from>
    <xdr:to>
      <xdr:col>27</xdr:col>
      <xdr:colOff>181464</xdr:colOff>
      <xdr:row>38</xdr:row>
      <xdr:rowOff>161918</xdr:rowOff>
    </xdr:to>
    <xdr:grpSp>
      <xdr:nvGrpSpPr>
        <xdr:cNvPr id="12" name="グループ化 11">
          <a:extLst>
            <a:ext uri="{FF2B5EF4-FFF2-40B4-BE49-F238E27FC236}">
              <a16:creationId xmlns:a16="http://schemas.microsoft.com/office/drawing/2014/main" id="{CA44334E-1E58-4155-A433-7F415C4806F2}"/>
            </a:ext>
          </a:extLst>
        </xdr:cNvPr>
        <xdr:cNvGrpSpPr>
          <a:grpSpLocks noChangeAspect="1"/>
        </xdr:cNvGrpSpPr>
      </xdr:nvGrpSpPr>
      <xdr:grpSpPr>
        <a:xfrm>
          <a:off x="4162426" y="7131051"/>
          <a:ext cx="905363" cy="612767"/>
          <a:chOff x="7103828" y="2892425"/>
          <a:chExt cx="873125" cy="537012"/>
        </a:xfrm>
      </xdr:grpSpPr>
      <xdr:sp macro="" textlink="">
        <xdr:nvSpPr>
          <xdr:cNvPr id="13" name="フローチャート: 磁気ディスク 12">
            <a:extLst>
              <a:ext uri="{FF2B5EF4-FFF2-40B4-BE49-F238E27FC236}">
                <a16:creationId xmlns:a16="http://schemas.microsoft.com/office/drawing/2014/main" id="{3AD04453-81D7-D561-2DDC-AF3D1B6D69D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 name="正方形/長方形 17">
            <a:extLst>
              <a:ext uri="{FF2B5EF4-FFF2-40B4-BE49-F238E27FC236}">
                <a16:creationId xmlns:a16="http://schemas.microsoft.com/office/drawing/2014/main" id="{6F525BED-CC7E-9EEF-D328-6B834EAE83EE}"/>
              </a:ext>
            </a:extLst>
          </xdr:cNvPr>
          <xdr:cNvSpPr/>
        </xdr:nvSpPr>
        <xdr:spPr>
          <a:xfrm>
            <a:off x="7103828" y="2962746"/>
            <a:ext cx="873125" cy="4666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試算表</a:t>
            </a:r>
            <a:endParaRPr kumimoji="1" lang="en-US" altLang="ja-JP" sz="900"/>
          </a:p>
        </xdr:txBody>
      </xdr:sp>
    </xdr:grpSp>
    <xdr:clientData/>
  </xdr:twoCellAnchor>
  <xdr:twoCellAnchor>
    <xdr:from>
      <xdr:col>15</xdr:col>
      <xdr:colOff>45358</xdr:colOff>
      <xdr:row>34</xdr:row>
      <xdr:rowOff>1106714</xdr:rowOff>
    </xdr:from>
    <xdr:to>
      <xdr:col>21</xdr:col>
      <xdr:colOff>167946</xdr:colOff>
      <xdr:row>39</xdr:row>
      <xdr:rowOff>137988</xdr:rowOff>
    </xdr:to>
    <xdr:grpSp>
      <xdr:nvGrpSpPr>
        <xdr:cNvPr id="19" name="グループ化 18">
          <a:extLst>
            <a:ext uri="{FF2B5EF4-FFF2-40B4-BE49-F238E27FC236}">
              <a16:creationId xmlns:a16="http://schemas.microsoft.com/office/drawing/2014/main" id="{BCB1487A-A546-450A-B02E-74373A191C8F}"/>
            </a:ext>
          </a:extLst>
        </xdr:cNvPr>
        <xdr:cNvGrpSpPr/>
      </xdr:nvGrpSpPr>
      <xdr:grpSpPr>
        <a:xfrm>
          <a:off x="2759983" y="6974114"/>
          <a:ext cx="1208438" cy="917224"/>
          <a:chOff x="1518288" y="2285273"/>
          <a:chExt cx="1137246" cy="720682"/>
        </a:xfrm>
      </xdr:grpSpPr>
      <xdr:sp macro="" textlink="">
        <xdr:nvSpPr>
          <xdr:cNvPr id="20" name="フローチャート: 定義済み処理 19">
            <a:extLst>
              <a:ext uri="{FF2B5EF4-FFF2-40B4-BE49-F238E27FC236}">
                <a16:creationId xmlns:a16="http://schemas.microsoft.com/office/drawing/2014/main" id="{0C06C189-0EE0-8FAE-74D3-11678C45971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1" name="正方形/長方形 20">
            <a:extLst>
              <a:ext uri="{FF2B5EF4-FFF2-40B4-BE49-F238E27FC236}">
                <a16:creationId xmlns:a16="http://schemas.microsoft.com/office/drawing/2014/main" id="{45001D01-B96D-CC20-9BE1-77D065CACBEA}"/>
              </a:ext>
            </a:extLst>
          </xdr:cNvPr>
          <xdr:cNvSpPr/>
        </xdr:nvSpPr>
        <xdr:spPr>
          <a:xfrm>
            <a:off x="1518288" y="2285273"/>
            <a:ext cx="1137246" cy="7206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２．従業員別</a:t>
            </a:r>
            <a:endParaRPr kumimoji="1" lang="en-US" altLang="ja-JP" sz="900"/>
          </a:p>
          <a:p>
            <a:pPr algn="ctr"/>
            <a:r>
              <a:rPr kumimoji="1" lang="ja-JP" altLang="en-US" sz="900"/>
              <a:t>債務残高確認</a:t>
            </a:r>
            <a:endParaRPr kumimoji="1" lang="en-US" altLang="ja-JP" sz="900"/>
          </a:p>
        </xdr:txBody>
      </xdr:sp>
    </xdr:grpSp>
    <xdr:clientData/>
  </xdr:twoCellAnchor>
  <xdr:twoCellAnchor>
    <xdr:from>
      <xdr:col>20</xdr:col>
      <xdr:colOff>189192</xdr:colOff>
      <xdr:row>37</xdr:row>
      <xdr:rowOff>22568</xdr:rowOff>
    </xdr:from>
    <xdr:to>
      <xdr:col>23</xdr:col>
      <xdr:colOff>104460</xdr:colOff>
      <xdr:row>37</xdr:row>
      <xdr:rowOff>26281</xdr:rowOff>
    </xdr:to>
    <xdr:cxnSp macro="">
      <xdr:nvCxnSpPr>
        <xdr:cNvPr id="22" name="直線矢印コネクタ 21">
          <a:extLst>
            <a:ext uri="{FF2B5EF4-FFF2-40B4-BE49-F238E27FC236}">
              <a16:creationId xmlns:a16="http://schemas.microsoft.com/office/drawing/2014/main" id="{9BA919E9-5F84-4CFF-B84D-59631C8D5271}"/>
            </a:ext>
          </a:extLst>
        </xdr:cNvPr>
        <xdr:cNvCxnSpPr>
          <a:stCxn id="13" idx="2"/>
          <a:endCxn id="20" idx="3"/>
        </xdr:cNvCxnSpPr>
      </xdr:nvCxnSpPr>
      <xdr:spPr>
        <a:xfrm flipH="1" flipV="1">
          <a:off x="4180621" y="7479282"/>
          <a:ext cx="513982" cy="371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112879</xdr:colOff>
      <xdr:row>17</xdr:row>
      <xdr:rowOff>31652</xdr:rowOff>
    </xdr:from>
    <xdr:to>
      <xdr:col>18</xdr:col>
      <xdr:colOff>112936</xdr:colOff>
      <xdr:row>35</xdr:row>
      <xdr:rowOff>128633</xdr:rowOff>
    </xdr:to>
    <xdr:cxnSp macro="">
      <xdr:nvCxnSpPr>
        <xdr:cNvPr id="32" name="コネクタ: カギ線 31">
          <a:extLst>
            <a:ext uri="{FF2B5EF4-FFF2-40B4-BE49-F238E27FC236}">
              <a16:creationId xmlns:a16="http://schemas.microsoft.com/office/drawing/2014/main" id="{711A8856-0750-4C01-94A7-D4049A51D756}"/>
            </a:ext>
          </a:extLst>
        </xdr:cNvPr>
        <xdr:cNvCxnSpPr>
          <a:stCxn id="5" idx="2"/>
          <a:endCxn id="20" idx="0"/>
        </xdr:cNvCxnSpPr>
      </xdr:nvCxnSpPr>
      <xdr:spPr>
        <a:xfrm rot="16200000" flipH="1">
          <a:off x="195953" y="3731364"/>
          <a:ext cx="4224481" cy="279405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112936</xdr:colOff>
      <xdr:row>38</xdr:row>
      <xdr:rowOff>88858</xdr:rowOff>
    </xdr:from>
    <xdr:to>
      <xdr:col>18</xdr:col>
      <xdr:colOff>113076</xdr:colOff>
      <xdr:row>42</xdr:row>
      <xdr:rowOff>2634</xdr:rowOff>
    </xdr:to>
    <xdr:cxnSp macro="">
      <xdr:nvCxnSpPr>
        <xdr:cNvPr id="36" name="直線矢印コネクタ 27">
          <a:extLst>
            <a:ext uri="{FF2B5EF4-FFF2-40B4-BE49-F238E27FC236}">
              <a16:creationId xmlns:a16="http://schemas.microsoft.com/office/drawing/2014/main" id="{49C739D4-12EE-47A4-8F21-6A29EC66EC8A}"/>
            </a:ext>
          </a:extLst>
        </xdr:cNvPr>
        <xdr:cNvCxnSpPr>
          <a:cxnSpLocks/>
          <a:stCxn id="20" idx="2"/>
          <a:endCxn id="28" idx="0"/>
        </xdr:cNvCxnSpPr>
      </xdr:nvCxnSpPr>
      <xdr:spPr>
        <a:xfrm>
          <a:off x="3705222" y="7717929"/>
          <a:ext cx="140" cy="60320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179660</xdr:colOff>
      <xdr:row>13</xdr:row>
      <xdr:rowOff>25588</xdr:rowOff>
    </xdr:from>
    <xdr:to>
      <xdr:col>6</xdr:col>
      <xdr:colOff>64830</xdr:colOff>
      <xdr:row>14</xdr:row>
      <xdr:rowOff>76575</xdr:rowOff>
    </xdr:to>
    <xdr:sp macro="" textlink="">
      <xdr:nvSpPr>
        <xdr:cNvPr id="95" name="フローチャート: 端子 94">
          <a:extLst>
            <a:ext uri="{FF2B5EF4-FFF2-40B4-BE49-F238E27FC236}">
              <a16:creationId xmlns:a16="http://schemas.microsoft.com/office/drawing/2014/main" id="{5C279455-2D25-4DF4-93C1-FFF7014D0DEB}"/>
            </a:ext>
          </a:extLst>
        </xdr:cNvPr>
        <xdr:cNvSpPr/>
      </xdr:nvSpPr>
      <xdr:spPr>
        <a:xfrm>
          <a:off x="568131" y="2296647"/>
          <a:ext cx="662111" cy="22281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122246</xdr:colOff>
      <xdr:row>14</xdr:row>
      <xdr:rowOff>76575</xdr:rowOff>
    </xdr:from>
    <xdr:to>
      <xdr:col>4</xdr:col>
      <xdr:colOff>125345</xdr:colOff>
      <xdr:row>18</xdr:row>
      <xdr:rowOff>98157</xdr:rowOff>
    </xdr:to>
    <xdr:cxnSp macro="">
      <xdr:nvCxnSpPr>
        <xdr:cNvPr id="96" name="直線矢印コネクタ 27">
          <a:extLst>
            <a:ext uri="{FF2B5EF4-FFF2-40B4-BE49-F238E27FC236}">
              <a16:creationId xmlns:a16="http://schemas.microsoft.com/office/drawing/2014/main" id="{359DD1C1-0CB6-49E9-9F75-CEEBBF13EB94}"/>
            </a:ext>
          </a:extLst>
        </xdr:cNvPr>
        <xdr:cNvCxnSpPr>
          <a:cxnSpLocks/>
          <a:stCxn id="95" idx="2"/>
          <a:endCxn id="98" idx="0"/>
        </xdr:cNvCxnSpPr>
      </xdr:nvCxnSpPr>
      <xdr:spPr>
        <a:xfrm>
          <a:off x="899187" y="2519457"/>
          <a:ext cx="3099" cy="7088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160612</xdr:colOff>
      <xdr:row>18</xdr:row>
      <xdr:rowOff>56029</xdr:rowOff>
    </xdr:from>
    <xdr:to>
      <xdr:col>7</xdr:col>
      <xdr:colOff>60597</xdr:colOff>
      <xdr:row>21</xdr:row>
      <xdr:rowOff>68729</xdr:rowOff>
    </xdr:to>
    <xdr:grpSp>
      <xdr:nvGrpSpPr>
        <xdr:cNvPr id="97" name="グループ化 96">
          <a:extLst>
            <a:ext uri="{FF2B5EF4-FFF2-40B4-BE49-F238E27FC236}">
              <a16:creationId xmlns:a16="http://schemas.microsoft.com/office/drawing/2014/main" id="{81BF4319-3B69-40FD-B2A4-C2F865F4FC35}"/>
            </a:ext>
          </a:extLst>
        </xdr:cNvPr>
        <xdr:cNvGrpSpPr/>
      </xdr:nvGrpSpPr>
      <xdr:grpSpPr>
        <a:xfrm>
          <a:off x="341587" y="3170704"/>
          <a:ext cx="985835" cy="527050"/>
          <a:chOff x="1612900" y="2427475"/>
          <a:chExt cx="933032" cy="407123"/>
        </a:xfrm>
      </xdr:grpSpPr>
      <xdr:sp macro="" textlink="">
        <xdr:nvSpPr>
          <xdr:cNvPr id="98" name="フローチャート: 定義済み処理 97">
            <a:extLst>
              <a:ext uri="{FF2B5EF4-FFF2-40B4-BE49-F238E27FC236}">
                <a16:creationId xmlns:a16="http://schemas.microsoft.com/office/drawing/2014/main" id="{D67A4B7E-4086-0C06-392D-E84A718ED5D0}"/>
              </a:ext>
            </a:extLst>
          </xdr:cNvPr>
          <xdr:cNvSpPr/>
        </xdr:nvSpPr>
        <xdr:spPr>
          <a:xfrm>
            <a:off x="1682750" y="2459948"/>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9" name="正方形/長方形 98">
            <a:extLst>
              <a:ext uri="{FF2B5EF4-FFF2-40B4-BE49-F238E27FC236}">
                <a16:creationId xmlns:a16="http://schemas.microsoft.com/office/drawing/2014/main" id="{EC475E2D-389D-4D24-6465-A5F7A4E851FD}"/>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１．支払基準日の変更</a:t>
            </a:r>
            <a:endParaRPr kumimoji="1" lang="en-US" altLang="ja-JP" sz="900"/>
          </a:p>
        </xdr:txBody>
      </xdr:sp>
    </xdr:grpSp>
    <xdr:clientData/>
  </xdr:twoCellAnchor>
  <xdr:twoCellAnchor>
    <xdr:from>
      <xdr:col>7</xdr:col>
      <xdr:colOff>10318</xdr:colOff>
      <xdr:row>19</xdr:row>
      <xdr:rowOff>169355</xdr:rowOff>
    </xdr:from>
    <xdr:to>
      <xdr:col>16</xdr:col>
      <xdr:colOff>68278</xdr:colOff>
      <xdr:row>20</xdr:row>
      <xdr:rowOff>10564</xdr:rowOff>
    </xdr:to>
    <xdr:cxnSp macro="">
      <xdr:nvCxnSpPr>
        <xdr:cNvPr id="103" name="直線矢印コネクタ 102">
          <a:extLst>
            <a:ext uri="{FF2B5EF4-FFF2-40B4-BE49-F238E27FC236}">
              <a16:creationId xmlns:a16="http://schemas.microsoft.com/office/drawing/2014/main" id="{F3398DE6-95F6-445D-BE73-0B0F0D199AC2}"/>
            </a:ext>
          </a:extLst>
        </xdr:cNvPr>
        <xdr:cNvCxnSpPr>
          <a:stCxn id="98" idx="3"/>
          <a:endCxn id="108" idx="2"/>
        </xdr:cNvCxnSpPr>
      </xdr:nvCxnSpPr>
      <xdr:spPr>
        <a:xfrm>
          <a:off x="1369965" y="3471355"/>
          <a:ext cx="3165725" cy="13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125345</xdr:colOff>
      <xdr:row>21</xdr:row>
      <xdr:rowOff>68729</xdr:rowOff>
    </xdr:from>
    <xdr:to>
      <xdr:col>4</xdr:col>
      <xdr:colOff>128598</xdr:colOff>
      <xdr:row>25</xdr:row>
      <xdr:rowOff>40365</xdr:rowOff>
    </xdr:to>
    <xdr:cxnSp macro="">
      <xdr:nvCxnSpPr>
        <xdr:cNvPr id="104" name="直線矢印コネクタ 27">
          <a:extLst>
            <a:ext uri="{FF2B5EF4-FFF2-40B4-BE49-F238E27FC236}">
              <a16:creationId xmlns:a16="http://schemas.microsoft.com/office/drawing/2014/main" id="{27CD6D48-912F-4FAB-AF68-67C179BE9518}"/>
            </a:ext>
          </a:extLst>
        </xdr:cNvPr>
        <xdr:cNvCxnSpPr>
          <a:cxnSpLocks/>
          <a:stCxn id="98" idx="2"/>
          <a:endCxn id="3" idx="0"/>
        </xdr:cNvCxnSpPr>
      </xdr:nvCxnSpPr>
      <xdr:spPr>
        <a:xfrm>
          <a:off x="902286" y="3198905"/>
          <a:ext cx="3253" cy="65893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79887</xdr:colOff>
      <xdr:row>18</xdr:row>
      <xdr:rowOff>44828</xdr:rowOff>
    </xdr:from>
    <xdr:to>
      <xdr:col>22</xdr:col>
      <xdr:colOff>98423</xdr:colOff>
      <xdr:row>23</xdr:row>
      <xdr:rowOff>107158</xdr:rowOff>
    </xdr:to>
    <xdr:grpSp>
      <xdr:nvGrpSpPr>
        <xdr:cNvPr id="107" name="グループ化 106">
          <a:extLst>
            <a:ext uri="{FF2B5EF4-FFF2-40B4-BE49-F238E27FC236}">
              <a16:creationId xmlns:a16="http://schemas.microsoft.com/office/drawing/2014/main" id="{BB4795F6-99AD-4766-B818-B8B81D08D946}"/>
            </a:ext>
          </a:extLst>
        </xdr:cNvPr>
        <xdr:cNvGrpSpPr>
          <a:grpSpLocks noChangeAspect="1"/>
        </xdr:cNvGrpSpPr>
      </xdr:nvGrpSpPr>
      <xdr:grpSpPr>
        <a:xfrm>
          <a:off x="2613537" y="3159503"/>
          <a:ext cx="1466336" cy="919580"/>
          <a:chOff x="6860888" y="2892425"/>
          <a:chExt cx="1387473" cy="806234"/>
        </a:xfrm>
      </xdr:grpSpPr>
      <xdr:sp macro="" textlink="">
        <xdr:nvSpPr>
          <xdr:cNvPr id="108" name="フローチャート: 磁気ディスク 107">
            <a:extLst>
              <a:ext uri="{FF2B5EF4-FFF2-40B4-BE49-F238E27FC236}">
                <a16:creationId xmlns:a16="http://schemas.microsoft.com/office/drawing/2014/main" id="{0391C1A1-03B4-177B-A2A4-232CCE14618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9" name="正方形/長方形 108">
            <a:extLst>
              <a:ext uri="{FF2B5EF4-FFF2-40B4-BE49-F238E27FC236}">
                <a16:creationId xmlns:a16="http://schemas.microsoft.com/office/drawing/2014/main" id="{026A4CFD-3ACD-7244-47BF-92FE9889E99B}"/>
              </a:ext>
            </a:extLst>
          </xdr:cNvPr>
          <xdr:cNvSpPr/>
        </xdr:nvSpPr>
        <xdr:spPr>
          <a:xfrm>
            <a:off x="6860888" y="2950366"/>
            <a:ext cx="1387473" cy="74829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トランザクション</a:t>
            </a:r>
            <a:endParaRPr kumimoji="1" lang="en-US" altLang="ja-JP" sz="900"/>
          </a:p>
          <a:p>
            <a:pPr algn="ctr"/>
            <a:r>
              <a:rPr kumimoji="1" lang="ja-JP" altLang="en-US" sz="900"/>
              <a:t>（トランザクションの決済）</a:t>
            </a:r>
            <a:endParaRPr kumimoji="1" lang="en-US" altLang="ja-JP" sz="900"/>
          </a:p>
        </xdr:txBody>
      </xdr:sp>
    </xdr:grpSp>
    <xdr:clientData/>
  </xdr:twoCellAnchor>
  <xdr:twoCellAnchor>
    <xdr:from>
      <xdr:col>2</xdr:col>
      <xdr:colOff>179660</xdr:colOff>
      <xdr:row>38</xdr:row>
      <xdr:rowOff>25588</xdr:rowOff>
    </xdr:from>
    <xdr:to>
      <xdr:col>6</xdr:col>
      <xdr:colOff>64830</xdr:colOff>
      <xdr:row>39</xdr:row>
      <xdr:rowOff>76575</xdr:rowOff>
    </xdr:to>
    <xdr:sp macro="" textlink="">
      <xdr:nvSpPr>
        <xdr:cNvPr id="116" name="フローチャート: 端子 115">
          <a:extLst>
            <a:ext uri="{FF2B5EF4-FFF2-40B4-BE49-F238E27FC236}">
              <a16:creationId xmlns:a16="http://schemas.microsoft.com/office/drawing/2014/main" id="{6753C120-06A0-490D-96BC-81CE2CAE415F}"/>
            </a:ext>
          </a:extLst>
        </xdr:cNvPr>
        <xdr:cNvSpPr/>
      </xdr:nvSpPr>
      <xdr:spPr>
        <a:xfrm>
          <a:off x="568131" y="1781176"/>
          <a:ext cx="662111" cy="22281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122246</xdr:colOff>
      <xdr:row>39</xdr:row>
      <xdr:rowOff>76575</xdr:rowOff>
    </xdr:from>
    <xdr:to>
      <xdr:col>4</xdr:col>
      <xdr:colOff>125345</xdr:colOff>
      <xdr:row>43</xdr:row>
      <xdr:rowOff>98157</xdr:rowOff>
    </xdr:to>
    <xdr:cxnSp macro="">
      <xdr:nvCxnSpPr>
        <xdr:cNvPr id="117" name="直線矢印コネクタ 27">
          <a:extLst>
            <a:ext uri="{FF2B5EF4-FFF2-40B4-BE49-F238E27FC236}">
              <a16:creationId xmlns:a16="http://schemas.microsoft.com/office/drawing/2014/main" id="{8E61A741-356B-49AE-B51B-48D8595C52EE}"/>
            </a:ext>
          </a:extLst>
        </xdr:cNvPr>
        <xdr:cNvCxnSpPr>
          <a:cxnSpLocks/>
          <a:stCxn id="116" idx="2"/>
          <a:endCxn id="119" idx="0"/>
        </xdr:cNvCxnSpPr>
      </xdr:nvCxnSpPr>
      <xdr:spPr>
        <a:xfrm>
          <a:off x="899187" y="2003987"/>
          <a:ext cx="3099" cy="7088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160612</xdr:colOff>
      <xdr:row>43</xdr:row>
      <xdr:rowOff>56029</xdr:rowOff>
    </xdr:from>
    <xdr:to>
      <xdr:col>7</xdr:col>
      <xdr:colOff>60597</xdr:colOff>
      <xdr:row>46</xdr:row>
      <xdr:rowOff>68729</xdr:rowOff>
    </xdr:to>
    <xdr:grpSp>
      <xdr:nvGrpSpPr>
        <xdr:cNvPr id="118" name="グループ化 117">
          <a:extLst>
            <a:ext uri="{FF2B5EF4-FFF2-40B4-BE49-F238E27FC236}">
              <a16:creationId xmlns:a16="http://schemas.microsoft.com/office/drawing/2014/main" id="{6AAA44BB-1388-43B4-90F8-05DE9E60BA85}"/>
            </a:ext>
          </a:extLst>
        </xdr:cNvPr>
        <xdr:cNvGrpSpPr/>
      </xdr:nvGrpSpPr>
      <xdr:grpSpPr>
        <a:xfrm>
          <a:off x="341587" y="7456954"/>
          <a:ext cx="985835" cy="527050"/>
          <a:chOff x="1612900" y="2427475"/>
          <a:chExt cx="933032" cy="407123"/>
        </a:xfrm>
      </xdr:grpSpPr>
      <xdr:sp macro="" textlink="">
        <xdr:nvSpPr>
          <xdr:cNvPr id="119" name="フローチャート: 定義済み処理 118">
            <a:extLst>
              <a:ext uri="{FF2B5EF4-FFF2-40B4-BE49-F238E27FC236}">
                <a16:creationId xmlns:a16="http://schemas.microsoft.com/office/drawing/2014/main" id="{E3200747-F067-CF74-DD94-781247B07FF0}"/>
              </a:ext>
            </a:extLst>
          </xdr:cNvPr>
          <xdr:cNvSpPr/>
        </xdr:nvSpPr>
        <xdr:spPr>
          <a:xfrm>
            <a:off x="1682750" y="2459948"/>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0" name="正方形/長方形 119">
            <a:extLst>
              <a:ext uri="{FF2B5EF4-FFF2-40B4-BE49-F238E27FC236}">
                <a16:creationId xmlns:a16="http://schemas.microsoft.com/office/drawing/2014/main" id="{B3FC34FE-0B75-E170-56F2-A0E83CD656D3}"/>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１．支払保留</a:t>
            </a:r>
            <a:endParaRPr kumimoji="1" lang="en-US" altLang="ja-JP" sz="900"/>
          </a:p>
        </xdr:txBody>
      </xdr:sp>
    </xdr:grpSp>
    <xdr:clientData/>
  </xdr:twoCellAnchor>
  <xdr:twoCellAnchor>
    <xdr:from>
      <xdr:col>7</xdr:col>
      <xdr:colOff>10318</xdr:colOff>
      <xdr:row>44</xdr:row>
      <xdr:rowOff>169355</xdr:rowOff>
    </xdr:from>
    <xdr:to>
      <xdr:col>16</xdr:col>
      <xdr:colOff>68278</xdr:colOff>
      <xdr:row>45</xdr:row>
      <xdr:rowOff>10564</xdr:rowOff>
    </xdr:to>
    <xdr:cxnSp macro="">
      <xdr:nvCxnSpPr>
        <xdr:cNvPr id="121" name="直線矢印コネクタ 120">
          <a:extLst>
            <a:ext uri="{FF2B5EF4-FFF2-40B4-BE49-F238E27FC236}">
              <a16:creationId xmlns:a16="http://schemas.microsoft.com/office/drawing/2014/main" id="{89004235-F6A0-4E0A-B070-63828E20BCC7}"/>
            </a:ext>
          </a:extLst>
        </xdr:cNvPr>
        <xdr:cNvCxnSpPr>
          <a:stCxn id="119" idx="3"/>
          <a:endCxn id="124" idx="2"/>
        </xdr:cNvCxnSpPr>
      </xdr:nvCxnSpPr>
      <xdr:spPr>
        <a:xfrm>
          <a:off x="1369965" y="2955884"/>
          <a:ext cx="1806078" cy="13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121957</xdr:colOff>
      <xdr:row>46</xdr:row>
      <xdr:rowOff>68729</xdr:rowOff>
    </xdr:from>
    <xdr:to>
      <xdr:col>4</xdr:col>
      <xdr:colOff>125345</xdr:colOff>
      <xdr:row>50</xdr:row>
      <xdr:rowOff>112058</xdr:rowOff>
    </xdr:to>
    <xdr:cxnSp macro="">
      <xdr:nvCxnSpPr>
        <xdr:cNvPr id="122" name="直線矢印コネクタ 27">
          <a:extLst>
            <a:ext uri="{FF2B5EF4-FFF2-40B4-BE49-F238E27FC236}">
              <a16:creationId xmlns:a16="http://schemas.microsoft.com/office/drawing/2014/main" id="{C37E6DB3-B2EB-45C9-B355-52D9EDC2CC20}"/>
            </a:ext>
          </a:extLst>
        </xdr:cNvPr>
        <xdr:cNvCxnSpPr>
          <a:cxnSpLocks/>
          <a:stCxn id="119" idx="2"/>
          <a:endCxn id="11" idx="0"/>
        </xdr:cNvCxnSpPr>
      </xdr:nvCxnSpPr>
      <xdr:spPr>
        <a:xfrm flipH="1">
          <a:off x="898898" y="6807200"/>
          <a:ext cx="3388" cy="73062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156883</xdr:colOff>
      <xdr:row>43</xdr:row>
      <xdr:rowOff>44825</xdr:rowOff>
    </xdr:from>
    <xdr:to>
      <xdr:col>20</xdr:col>
      <xdr:colOff>187379</xdr:colOff>
      <xdr:row>47</xdr:row>
      <xdr:rowOff>32126</xdr:rowOff>
    </xdr:to>
    <xdr:grpSp>
      <xdr:nvGrpSpPr>
        <xdr:cNvPr id="123" name="グループ化 122">
          <a:extLst>
            <a:ext uri="{FF2B5EF4-FFF2-40B4-BE49-F238E27FC236}">
              <a16:creationId xmlns:a16="http://schemas.microsoft.com/office/drawing/2014/main" id="{B4758AC6-8AF5-4DB3-A542-AD8B8E882507}"/>
            </a:ext>
          </a:extLst>
        </xdr:cNvPr>
        <xdr:cNvGrpSpPr>
          <a:grpSpLocks noChangeAspect="1"/>
        </xdr:cNvGrpSpPr>
      </xdr:nvGrpSpPr>
      <xdr:grpSpPr>
        <a:xfrm>
          <a:off x="2871508" y="7445750"/>
          <a:ext cx="925846" cy="673101"/>
          <a:chOff x="7112000" y="2892425"/>
          <a:chExt cx="873125" cy="584982"/>
        </a:xfrm>
      </xdr:grpSpPr>
      <xdr:sp macro="" textlink="">
        <xdr:nvSpPr>
          <xdr:cNvPr id="124" name="フローチャート: 磁気ディスク 123">
            <a:extLst>
              <a:ext uri="{FF2B5EF4-FFF2-40B4-BE49-F238E27FC236}">
                <a16:creationId xmlns:a16="http://schemas.microsoft.com/office/drawing/2014/main" id="{C4D65B01-4BA1-8C4E-5FE4-36FC11BD2EE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5" name="正方形/長方形 124">
            <a:extLst>
              <a:ext uri="{FF2B5EF4-FFF2-40B4-BE49-F238E27FC236}">
                <a16:creationId xmlns:a16="http://schemas.microsoft.com/office/drawing/2014/main" id="{1CA4D7A1-A796-4746-5136-C521D0DFA45C}"/>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トランザクション</a:t>
            </a:r>
            <a:endParaRPr kumimoji="1" lang="en-US" altLang="ja-JP" sz="900"/>
          </a:p>
        </xdr:txBody>
      </xdr:sp>
    </xdr:grpSp>
    <xdr:clientData/>
  </xdr:twoCellAnchor>
  <xdr:twoCellAnchor>
    <xdr:from>
      <xdr:col>1</xdr:col>
      <xdr:colOff>149411</xdr:colOff>
      <xdr:row>24</xdr:row>
      <xdr:rowOff>134471</xdr:rowOff>
    </xdr:from>
    <xdr:to>
      <xdr:col>7</xdr:col>
      <xdr:colOff>111124</xdr:colOff>
      <xdr:row>27</xdr:row>
      <xdr:rowOff>147075</xdr:rowOff>
    </xdr:to>
    <xdr:grpSp>
      <xdr:nvGrpSpPr>
        <xdr:cNvPr id="2" name="グループ化 1">
          <a:extLst>
            <a:ext uri="{FF2B5EF4-FFF2-40B4-BE49-F238E27FC236}">
              <a16:creationId xmlns:a16="http://schemas.microsoft.com/office/drawing/2014/main" id="{C31CA924-395C-41C5-BE9B-4D7B4B735CDB}"/>
            </a:ext>
          </a:extLst>
        </xdr:cNvPr>
        <xdr:cNvGrpSpPr/>
      </xdr:nvGrpSpPr>
      <xdr:grpSpPr>
        <a:xfrm>
          <a:off x="330386" y="4277846"/>
          <a:ext cx="1047563" cy="526954"/>
          <a:chOff x="217092" y="5701906"/>
          <a:chExt cx="1153558" cy="542012"/>
        </a:xfrm>
      </xdr:grpSpPr>
      <xdr:sp macro="" textlink="">
        <xdr:nvSpPr>
          <xdr:cNvPr id="3" name="フローチャート: 他ページ結合子 2">
            <a:extLst>
              <a:ext uri="{FF2B5EF4-FFF2-40B4-BE49-F238E27FC236}">
                <a16:creationId xmlns:a16="http://schemas.microsoft.com/office/drawing/2014/main" id="{56EFC17D-2692-337B-D9C9-B04F8783F96B}"/>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 name="正方形/長方形 48">
            <a:extLst>
              <a:ext uri="{FF2B5EF4-FFF2-40B4-BE49-F238E27FC236}">
                <a16:creationId xmlns:a16="http://schemas.microsoft.com/office/drawing/2014/main" id="{85489B36-8A75-D29D-D483-DFE76B63D750}"/>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５．支払前</a:t>
            </a:r>
          </a:p>
        </xdr:txBody>
      </xdr:sp>
    </xdr:grpSp>
    <xdr:clientData/>
  </xdr:twoCellAnchor>
  <xdr:twoCellAnchor>
    <xdr:from>
      <xdr:col>2</xdr:col>
      <xdr:colOff>164352</xdr:colOff>
      <xdr:row>50</xdr:row>
      <xdr:rowOff>112058</xdr:rowOff>
    </xdr:from>
    <xdr:to>
      <xdr:col>6</xdr:col>
      <xdr:colOff>79561</xdr:colOff>
      <xdr:row>52</xdr:row>
      <xdr:rowOff>28761</xdr:rowOff>
    </xdr:to>
    <xdr:sp macro="" textlink="">
      <xdr:nvSpPr>
        <xdr:cNvPr id="11" name="フローチャート: 端子 10">
          <a:extLst>
            <a:ext uri="{FF2B5EF4-FFF2-40B4-BE49-F238E27FC236}">
              <a16:creationId xmlns:a16="http://schemas.microsoft.com/office/drawing/2014/main" id="{3C8EF7D3-AB96-471B-ACAE-293294764B4F}"/>
            </a:ext>
          </a:extLst>
        </xdr:cNvPr>
        <xdr:cNvSpPr/>
      </xdr:nvSpPr>
      <xdr:spPr>
        <a:xfrm>
          <a:off x="552823" y="7537823"/>
          <a:ext cx="692150" cy="26035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xdr:col>
      <xdr:colOff>179660</xdr:colOff>
      <xdr:row>59</xdr:row>
      <xdr:rowOff>25588</xdr:rowOff>
    </xdr:from>
    <xdr:to>
      <xdr:col>6</xdr:col>
      <xdr:colOff>64830</xdr:colOff>
      <xdr:row>60</xdr:row>
      <xdr:rowOff>76575</xdr:rowOff>
    </xdr:to>
    <xdr:sp macro="" textlink="">
      <xdr:nvSpPr>
        <xdr:cNvPr id="5" name="フローチャート: 端子 4">
          <a:extLst>
            <a:ext uri="{FF2B5EF4-FFF2-40B4-BE49-F238E27FC236}">
              <a16:creationId xmlns:a16="http://schemas.microsoft.com/office/drawing/2014/main" id="{92C196CE-B9E4-49CA-B326-9A98F7373618}"/>
            </a:ext>
          </a:extLst>
        </xdr:cNvPr>
        <xdr:cNvSpPr/>
      </xdr:nvSpPr>
      <xdr:spPr>
        <a:xfrm>
          <a:off x="587648" y="5755669"/>
          <a:ext cx="694795" cy="2145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122246</xdr:colOff>
      <xdr:row>60</xdr:row>
      <xdr:rowOff>76575</xdr:rowOff>
    </xdr:from>
    <xdr:to>
      <xdr:col>4</xdr:col>
      <xdr:colOff>125345</xdr:colOff>
      <xdr:row>64</xdr:row>
      <xdr:rowOff>98157</xdr:rowOff>
    </xdr:to>
    <xdr:cxnSp macro="">
      <xdr:nvCxnSpPr>
        <xdr:cNvPr id="6" name="直線矢印コネクタ 27">
          <a:extLst>
            <a:ext uri="{FF2B5EF4-FFF2-40B4-BE49-F238E27FC236}">
              <a16:creationId xmlns:a16="http://schemas.microsoft.com/office/drawing/2014/main" id="{F0EC7BFA-F144-441A-A2EF-9BCAD063485E}"/>
            </a:ext>
          </a:extLst>
        </xdr:cNvPr>
        <xdr:cNvCxnSpPr>
          <a:cxnSpLocks/>
          <a:stCxn id="5" idx="2"/>
          <a:endCxn id="8" idx="0"/>
        </xdr:cNvCxnSpPr>
      </xdr:nvCxnSpPr>
      <xdr:spPr>
        <a:xfrm>
          <a:off x="935046" y="5970169"/>
          <a:ext cx="0" cy="68833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163787</xdr:colOff>
      <xdr:row>64</xdr:row>
      <xdr:rowOff>56029</xdr:rowOff>
    </xdr:from>
    <xdr:to>
      <xdr:col>7</xdr:col>
      <xdr:colOff>63772</xdr:colOff>
      <xdr:row>67</xdr:row>
      <xdr:rowOff>65554</xdr:rowOff>
    </xdr:to>
    <xdr:grpSp>
      <xdr:nvGrpSpPr>
        <xdr:cNvPr id="7" name="グループ化 6">
          <a:extLst>
            <a:ext uri="{FF2B5EF4-FFF2-40B4-BE49-F238E27FC236}">
              <a16:creationId xmlns:a16="http://schemas.microsoft.com/office/drawing/2014/main" id="{3A8B89F5-1F46-4CF6-8E22-48533188415D}"/>
            </a:ext>
          </a:extLst>
        </xdr:cNvPr>
        <xdr:cNvGrpSpPr/>
      </xdr:nvGrpSpPr>
      <xdr:grpSpPr>
        <a:xfrm>
          <a:off x="344762" y="11057404"/>
          <a:ext cx="985835" cy="523875"/>
          <a:chOff x="1612900" y="2427475"/>
          <a:chExt cx="933032" cy="407123"/>
        </a:xfrm>
      </xdr:grpSpPr>
      <xdr:sp macro="" textlink="">
        <xdr:nvSpPr>
          <xdr:cNvPr id="8" name="フローチャート: 定義済み処理 7">
            <a:extLst>
              <a:ext uri="{FF2B5EF4-FFF2-40B4-BE49-F238E27FC236}">
                <a16:creationId xmlns:a16="http://schemas.microsoft.com/office/drawing/2014/main" id="{CA6C52D7-B4B5-06FB-F30B-83249E6471CE}"/>
              </a:ext>
            </a:extLst>
          </xdr:cNvPr>
          <xdr:cNvSpPr/>
        </xdr:nvSpPr>
        <xdr:spPr>
          <a:xfrm>
            <a:off x="1682750" y="2459948"/>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 name="正方形/長方形 8">
            <a:extLst>
              <a:ext uri="{FF2B5EF4-FFF2-40B4-BE49-F238E27FC236}">
                <a16:creationId xmlns:a16="http://schemas.microsoft.com/office/drawing/2014/main" id="{D6E4E146-B54B-5E76-D76C-83DF6D1F992B}"/>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１．支払保留</a:t>
            </a:r>
            <a:endParaRPr kumimoji="1" lang="en-US" altLang="ja-JP" sz="900"/>
          </a:p>
          <a:p>
            <a:pPr algn="ctr"/>
            <a:r>
              <a:rPr kumimoji="1" lang="ja-JP" altLang="en-US" sz="900"/>
              <a:t>解除</a:t>
            </a:r>
            <a:endParaRPr kumimoji="1" lang="en-US" altLang="ja-JP" sz="900"/>
          </a:p>
        </xdr:txBody>
      </xdr:sp>
    </xdr:grpSp>
    <xdr:clientData/>
  </xdr:twoCellAnchor>
  <xdr:twoCellAnchor>
    <xdr:from>
      <xdr:col>7</xdr:col>
      <xdr:colOff>10318</xdr:colOff>
      <xdr:row>65</xdr:row>
      <xdr:rowOff>169355</xdr:rowOff>
    </xdr:from>
    <xdr:to>
      <xdr:col>16</xdr:col>
      <xdr:colOff>68278</xdr:colOff>
      <xdr:row>66</xdr:row>
      <xdr:rowOff>10564</xdr:rowOff>
    </xdr:to>
    <xdr:cxnSp macro="">
      <xdr:nvCxnSpPr>
        <xdr:cNvPr id="10" name="直線矢印コネクタ 9">
          <a:extLst>
            <a:ext uri="{FF2B5EF4-FFF2-40B4-BE49-F238E27FC236}">
              <a16:creationId xmlns:a16="http://schemas.microsoft.com/office/drawing/2014/main" id="{32709E7E-13DA-49DC-99CB-5DEE5016DC48}"/>
            </a:ext>
          </a:extLst>
        </xdr:cNvPr>
        <xdr:cNvCxnSpPr>
          <a:stCxn id="8" idx="3"/>
          <a:endCxn id="14" idx="2"/>
        </xdr:cNvCxnSpPr>
      </xdr:nvCxnSpPr>
      <xdr:spPr>
        <a:xfrm>
          <a:off x="1423987" y="6896386"/>
          <a:ext cx="1879616" cy="472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121957</xdr:colOff>
      <xdr:row>67</xdr:row>
      <xdr:rowOff>68729</xdr:rowOff>
    </xdr:from>
    <xdr:to>
      <xdr:col>4</xdr:col>
      <xdr:colOff>125345</xdr:colOff>
      <xdr:row>71</xdr:row>
      <xdr:rowOff>112058</xdr:rowOff>
    </xdr:to>
    <xdr:cxnSp macro="">
      <xdr:nvCxnSpPr>
        <xdr:cNvPr id="12" name="直線矢印コネクタ 27">
          <a:extLst>
            <a:ext uri="{FF2B5EF4-FFF2-40B4-BE49-F238E27FC236}">
              <a16:creationId xmlns:a16="http://schemas.microsoft.com/office/drawing/2014/main" id="{E2213FFF-FA93-4F44-B49E-77DCCEFD2526}"/>
            </a:ext>
          </a:extLst>
        </xdr:cNvPr>
        <xdr:cNvCxnSpPr>
          <a:cxnSpLocks/>
          <a:stCxn id="8" idx="2"/>
          <a:endCxn id="16" idx="0"/>
        </xdr:cNvCxnSpPr>
      </xdr:nvCxnSpPr>
      <xdr:spPr>
        <a:xfrm flipH="1">
          <a:off x="934757" y="7125960"/>
          <a:ext cx="0" cy="71325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160058</xdr:colOff>
      <xdr:row>64</xdr:row>
      <xdr:rowOff>48000</xdr:rowOff>
    </xdr:from>
    <xdr:to>
      <xdr:col>20</xdr:col>
      <xdr:colOff>187379</xdr:colOff>
      <xdr:row>68</xdr:row>
      <xdr:rowOff>28951</xdr:rowOff>
    </xdr:to>
    <xdr:grpSp>
      <xdr:nvGrpSpPr>
        <xdr:cNvPr id="13" name="グループ化 12">
          <a:extLst>
            <a:ext uri="{FF2B5EF4-FFF2-40B4-BE49-F238E27FC236}">
              <a16:creationId xmlns:a16="http://schemas.microsoft.com/office/drawing/2014/main" id="{9C9BE05C-38F3-4346-ADE6-9165CC51F91D}"/>
            </a:ext>
          </a:extLst>
        </xdr:cNvPr>
        <xdr:cNvGrpSpPr>
          <a:grpSpLocks noChangeAspect="1"/>
        </xdr:cNvGrpSpPr>
      </xdr:nvGrpSpPr>
      <xdr:grpSpPr>
        <a:xfrm>
          <a:off x="2874683" y="11049375"/>
          <a:ext cx="922671" cy="666751"/>
          <a:chOff x="7112000" y="2892425"/>
          <a:chExt cx="873125" cy="584982"/>
        </a:xfrm>
      </xdr:grpSpPr>
      <xdr:sp macro="" textlink="">
        <xdr:nvSpPr>
          <xdr:cNvPr id="14" name="フローチャート: 磁気ディスク 13">
            <a:extLst>
              <a:ext uri="{FF2B5EF4-FFF2-40B4-BE49-F238E27FC236}">
                <a16:creationId xmlns:a16="http://schemas.microsoft.com/office/drawing/2014/main" id="{E698354C-3AB7-05DE-4F5E-57B39B3DB58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 name="正方形/長方形 14">
            <a:extLst>
              <a:ext uri="{FF2B5EF4-FFF2-40B4-BE49-F238E27FC236}">
                <a16:creationId xmlns:a16="http://schemas.microsoft.com/office/drawing/2014/main" id="{A0E729ED-C2E2-D288-DBC2-FE5C656C5732}"/>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トランザクション</a:t>
            </a:r>
            <a:endParaRPr kumimoji="1" lang="en-US" altLang="ja-JP" sz="900"/>
          </a:p>
        </xdr:txBody>
      </xdr:sp>
    </xdr:grpSp>
    <xdr:clientData/>
  </xdr:twoCellAnchor>
  <xdr:twoCellAnchor>
    <xdr:from>
      <xdr:col>2</xdr:col>
      <xdr:colOff>164352</xdr:colOff>
      <xdr:row>71</xdr:row>
      <xdr:rowOff>112058</xdr:rowOff>
    </xdr:from>
    <xdr:to>
      <xdr:col>6</xdr:col>
      <xdr:colOff>79561</xdr:colOff>
      <xdr:row>73</xdr:row>
      <xdr:rowOff>28761</xdr:rowOff>
    </xdr:to>
    <xdr:sp macro="" textlink="">
      <xdr:nvSpPr>
        <xdr:cNvPr id="16" name="フローチャート: 端子 15">
          <a:extLst>
            <a:ext uri="{FF2B5EF4-FFF2-40B4-BE49-F238E27FC236}">
              <a16:creationId xmlns:a16="http://schemas.microsoft.com/office/drawing/2014/main" id="{97C36D8F-7A3D-4A74-BE94-099689AB312A}"/>
            </a:ext>
          </a:extLst>
        </xdr:cNvPr>
        <xdr:cNvSpPr/>
      </xdr:nvSpPr>
      <xdr:spPr>
        <a:xfrm>
          <a:off x="565990" y="7839214"/>
          <a:ext cx="731184" cy="24690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169977</xdr:colOff>
      <xdr:row>164</xdr:row>
      <xdr:rowOff>124776</xdr:rowOff>
    </xdr:from>
    <xdr:to>
      <xdr:col>7</xdr:col>
      <xdr:colOff>63613</xdr:colOff>
      <xdr:row>167</xdr:row>
      <xdr:rowOff>119142</xdr:rowOff>
    </xdr:to>
    <xdr:grpSp>
      <xdr:nvGrpSpPr>
        <xdr:cNvPr id="2" name="グループ化 1">
          <a:extLst>
            <a:ext uri="{FF2B5EF4-FFF2-40B4-BE49-F238E27FC236}">
              <a16:creationId xmlns:a16="http://schemas.microsoft.com/office/drawing/2014/main" id="{D564D084-8E2E-4891-8D76-70E9E9A94AB9}"/>
            </a:ext>
          </a:extLst>
        </xdr:cNvPr>
        <xdr:cNvGrpSpPr/>
      </xdr:nvGrpSpPr>
      <xdr:grpSpPr>
        <a:xfrm>
          <a:off x="350952" y="28271151"/>
          <a:ext cx="979486" cy="508716"/>
          <a:chOff x="1612900" y="2445067"/>
          <a:chExt cx="933032" cy="400203"/>
        </a:xfrm>
      </xdr:grpSpPr>
      <xdr:sp macro="" textlink="">
        <xdr:nvSpPr>
          <xdr:cNvPr id="3" name="フローチャート: 定義済み処理 2">
            <a:extLst>
              <a:ext uri="{FF2B5EF4-FFF2-40B4-BE49-F238E27FC236}">
                <a16:creationId xmlns:a16="http://schemas.microsoft.com/office/drawing/2014/main" id="{F18686D2-EFD0-5719-7831-C14518126ACB}"/>
              </a:ext>
            </a:extLst>
          </xdr:cNvPr>
          <xdr:cNvSpPr/>
        </xdr:nvSpPr>
        <xdr:spPr>
          <a:xfrm>
            <a:off x="1682750" y="2457451"/>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 name="正方形/長方形 3">
            <a:extLst>
              <a:ext uri="{FF2B5EF4-FFF2-40B4-BE49-F238E27FC236}">
                <a16:creationId xmlns:a16="http://schemas.microsoft.com/office/drawing/2014/main" id="{4848C3F9-DA85-EE42-33BA-EF9B9B60B589}"/>
              </a:ext>
            </a:extLst>
          </xdr:cNvPr>
          <xdr:cNvSpPr/>
        </xdr:nvSpPr>
        <xdr:spPr>
          <a:xfrm>
            <a:off x="1612900" y="244506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９．支払方法</a:t>
            </a:r>
            <a:endParaRPr kumimoji="1" lang="en-US" altLang="ja-JP" sz="900"/>
          </a:p>
          <a:p>
            <a:pPr algn="ctr"/>
            <a:r>
              <a:rPr kumimoji="1" lang="ja-JP" altLang="en-US" sz="900"/>
              <a:t>確定処理</a:t>
            </a:r>
            <a:endParaRPr kumimoji="1" lang="en-US" altLang="ja-JP" sz="900"/>
          </a:p>
        </xdr:txBody>
      </xdr:sp>
    </xdr:grpSp>
    <xdr:clientData/>
  </xdr:twoCellAnchor>
  <xdr:twoCellAnchor>
    <xdr:from>
      <xdr:col>1</xdr:col>
      <xdr:colOff>39631</xdr:colOff>
      <xdr:row>183</xdr:row>
      <xdr:rowOff>0</xdr:rowOff>
    </xdr:from>
    <xdr:to>
      <xdr:col>8</xdr:col>
      <xdr:colOff>1</xdr:colOff>
      <xdr:row>188</xdr:row>
      <xdr:rowOff>52293</xdr:rowOff>
    </xdr:to>
    <xdr:grpSp>
      <xdr:nvGrpSpPr>
        <xdr:cNvPr id="143" name="グループ化 142">
          <a:extLst>
            <a:ext uri="{FF2B5EF4-FFF2-40B4-BE49-F238E27FC236}">
              <a16:creationId xmlns:a16="http://schemas.microsoft.com/office/drawing/2014/main" id="{11E235B4-7D72-4515-80B6-A25BE2AB3A38}"/>
            </a:ext>
          </a:extLst>
        </xdr:cNvPr>
        <xdr:cNvGrpSpPr/>
      </xdr:nvGrpSpPr>
      <xdr:grpSpPr>
        <a:xfrm>
          <a:off x="220606" y="31403925"/>
          <a:ext cx="1227195" cy="909543"/>
          <a:chOff x="1518288" y="2285273"/>
          <a:chExt cx="1137246" cy="720682"/>
        </a:xfrm>
      </xdr:grpSpPr>
      <xdr:sp macro="" textlink="">
        <xdr:nvSpPr>
          <xdr:cNvPr id="144" name="フローチャート: 定義済み処理 143">
            <a:extLst>
              <a:ext uri="{FF2B5EF4-FFF2-40B4-BE49-F238E27FC236}">
                <a16:creationId xmlns:a16="http://schemas.microsoft.com/office/drawing/2014/main" id="{9CFAB94B-FF81-C4C5-EA6E-FDB18A992FF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5" name="正方形/長方形 144">
            <a:extLst>
              <a:ext uri="{FF2B5EF4-FFF2-40B4-BE49-F238E27FC236}">
                <a16:creationId xmlns:a16="http://schemas.microsoft.com/office/drawing/2014/main" id="{00AD59E9-D004-C7F0-94A6-3769B24F2E83}"/>
              </a:ext>
            </a:extLst>
          </xdr:cNvPr>
          <xdr:cNvSpPr/>
        </xdr:nvSpPr>
        <xdr:spPr>
          <a:xfrm>
            <a:off x="1518288" y="2285273"/>
            <a:ext cx="1137246" cy="7206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１０．支払予定</a:t>
            </a:r>
            <a:endParaRPr kumimoji="1" lang="en-US" altLang="ja-JP" sz="900"/>
          </a:p>
          <a:p>
            <a:pPr algn="ctr"/>
            <a:r>
              <a:rPr kumimoji="1" lang="ja-JP" altLang="en-US" sz="900"/>
              <a:t>データ確認</a:t>
            </a:r>
            <a:endParaRPr kumimoji="1" lang="en-US" altLang="ja-JP" sz="900"/>
          </a:p>
        </xdr:txBody>
      </xdr:sp>
    </xdr:grpSp>
    <xdr:clientData/>
  </xdr:twoCellAnchor>
  <xdr:twoCellAnchor>
    <xdr:from>
      <xdr:col>7</xdr:col>
      <xdr:colOff>16318</xdr:colOff>
      <xdr:row>185</xdr:row>
      <xdr:rowOff>104480</xdr:rowOff>
    </xdr:from>
    <xdr:to>
      <xdr:col>30</xdr:col>
      <xdr:colOff>95493</xdr:colOff>
      <xdr:row>185</xdr:row>
      <xdr:rowOff>115101</xdr:rowOff>
    </xdr:to>
    <xdr:cxnSp macro="">
      <xdr:nvCxnSpPr>
        <xdr:cNvPr id="146" name="直線矢印コネクタ 145">
          <a:extLst>
            <a:ext uri="{FF2B5EF4-FFF2-40B4-BE49-F238E27FC236}">
              <a16:creationId xmlns:a16="http://schemas.microsoft.com/office/drawing/2014/main" id="{2D0734D4-B9E1-4756-B947-8D9C7D0FE81F}"/>
            </a:ext>
          </a:extLst>
        </xdr:cNvPr>
        <xdr:cNvCxnSpPr>
          <a:stCxn id="136" idx="2"/>
          <a:endCxn id="144" idx="3"/>
        </xdr:cNvCxnSpPr>
      </xdr:nvCxnSpPr>
      <xdr:spPr>
        <a:xfrm flipH="1" flipV="1">
          <a:off x="1428259" y="25709921"/>
          <a:ext cx="3306469" cy="1062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124330</xdr:colOff>
      <xdr:row>187</xdr:row>
      <xdr:rowOff>1125</xdr:rowOff>
    </xdr:from>
    <xdr:to>
      <xdr:col>4</xdr:col>
      <xdr:colOff>124330</xdr:colOff>
      <xdr:row>202</xdr:row>
      <xdr:rowOff>124982</xdr:rowOff>
    </xdr:to>
    <xdr:cxnSp macro="">
      <xdr:nvCxnSpPr>
        <xdr:cNvPr id="147" name="直線矢印コネクタ 27">
          <a:extLst>
            <a:ext uri="{FF2B5EF4-FFF2-40B4-BE49-F238E27FC236}">
              <a16:creationId xmlns:a16="http://schemas.microsoft.com/office/drawing/2014/main" id="{86B5DEE0-83EF-43E9-A456-F5806F55C5F7}"/>
            </a:ext>
          </a:extLst>
        </xdr:cNvPr>
        <xdr:cNvCxnSpPr>
          <a:cxnSpLocks/>
          <a:stCxn id="144" idx="2"/>
          <a:endCxn id="160" idx="0"/>
        </xdr:cNvCxnSpPr>
      </xdr:nvCxnSpPr>
      <xdr:spPr>
        <a:xfrm flipH="1">
          <a:off x="927979" y="25942743"/>
          <a:ext cx="6047" cy="264200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123218</xdr:colOff>
      <xdr:row>167</xdr:row>
      <xdr:rowOff>102366</xdr:rowOff>
    </xdr:from>
    <xdr:to>
      <xdr:col>4</xdr:col>
      <xdr:colOff>131448</xdr:colOff>
      <xdr:row>184</xdr:row>
      <xdr:rowOff>40808</xdr:rowOff>
    </xdr:to>
    <xdr:cxnSp macro="">
      <xdr:nvCxnSpPr>
        <xdr:cNvPr id="155" name="直線矢印コネクタ 27">
          <a:extLst>
            <a:ext uri="{FF2B5EF4-FFF2-40B4-BE49-F238E27FC236}">
              <a16:creationId xmlns:a16="http://schemas.microsoft.com/office/drawing/2014/main" id="{7F8C6834-A7FC-4316-AC50-03AD90B616A8}"/>
            </a:ext>
          </a:extLst>
        </xdr:cNvPr>
        <xdr:cNvCxnSpPr>
          <a:cxnSpLocks/>
          <a:stCxn id="3" idx="2"/>
          <a:endCxn id="144" idx="0"/>
        </xdr:cNvCxnSpPr>
      </xdr:nvCxnSpPr>
      <xdr:spPr>
        <a:xfrm flipH="1">
          <a:off x="900159" y="14229248"/>
          <a:ext cx="8230" cy="165667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181163</xdr:colOff>
      <xdr:row>211</xdr:row>
      <xdr:rowOff>123825</xdr:rowOff>
    </xdr:from>
    <xdr:to>
      <xdr:col>7</xdr:col>
      <xdr:colOff>79881</xdr:colOff>
      <xdr:row>215</xdr:row>
      <xdr:rowOff>95037</xdr:rowOff>
    </xdr:to>
    <xdr:grpSp>
      <xdr:nvGrpSpPr>
        <xdr:cNvPr id="183" name="グループ化 182">
          <a:extLst>
            <a:ext uri="{FF2B5EF4-FFF2-40B4-BE49-F238E27FC236}">
              <a16:creationId xmlns:a16="http://schemas.microsoft.com/office/drawing/2014/main" id="{796E2AA6-9242-4C16-B9AC-E4A7BB05C0B0}"/>
            </a:ext>
          </a:extLst>
        </xdr:cNvPr>
        <xdr:cNvGrpSpPr/>
      </xdr:nvGrpSpPr>
      <xdr:grpSpPr>
        <a:xfrm>
          <a:off x="362138" y="36328350"/>
          <a:ext cx="984568" cy="657012"/>
          <a:chOff x="303173" y="4767162"/>
          <a:chExt cx="1003300" cy="631826"/>
        </a:xfrm>
      </xdr:grpSpPr>
      <xdr:sp macro="" textlink="">
        <xdr:nvSpPr>
          <xdr:cNvPr id="184" name="フローチャート: 判断 183">
            <a:extLst>
              <a:ext uri="{FF2B5EF4-FFF2-40B4-BE49-F238E27FC236}">
                <a16:creationId xmlns:a16="http://schemas.microsoft.com/office/drawing/2014/main" id="{C0AD1344-F660-0F4C-B42C-0F69B4AD4FA1}"/>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85" name="正方形/長方形 48">
            <a:extLst>
              <a:ext uri="{FF2B5EF4-FFF2-40B4-BE49-F238E27FC236}">
                <a16:creationId xmlns:a16="http://schemas.microsoft.com/office/drawing/2014/main" id="{EC00CAB2-06F2-147D-441C-BA9681159126}"/>
              </a:ext>
            </a:extLst>
          </xdr:cNvPr>
          <xdr:cNvSpPr/>
        </xdr:nvSpPr>
        <xdr:spPr>
          <a:xfrm>
            <a:off x="303173" y="4767162"/>
            <a:ext cx="1003300" cy="6318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銀行振込に</a:t>
            </a:r>
            <a:endParaRPr kumimoji="1" lang="en-US" altLang="ja-JP" sz="900"/>
          </a:p>
          <a:p>
            <a:pPr algn="ctr"/>
            <a:r>
              <a:rPr kumimoji="1" lang="ja-JP" altLang="en-US" sz="900"/>
              <a:t>よる支払か</a:t>
            </a:r>
          </a:p>
        </xdr:txBody>
      </xdr:sp>
    </xdr:grpSp>
    <xdr:clientData/>
  </xdr:twoCellAnchor>
  <xdr:twoCellAnchor>
    <xdr:from>
      <xdr:col>4</xdr:col>
      <xdr:colOff>115411</xdr:colOff>
      <xdr:row>215</xdr:row>
      <xdr:rowOff>27305</xdr:rowOff>
    </xdr:from>
    <xdr:to>
      <xdr:col>4</xdr:col>
      <xdr:colOff>118017</xdr:colOff>
      <xdr:row>218</xdr:row>
      <xdr:rowOff>67352</xdr:rowOff>
    </xdr:to>
    <xdr:cxnSp macro="">
      <xdr:nvCxnSpPr>
        <xdr:cNvPr id="186" name="直線矢印コネクタ 27">
          <a:extLst>
            <a:ext uri="{FF2B5EF4-FFF2-40B4-BE49-F238E27FC236}">
              <a16:creationId xmlns:a16="http://schemas.microsoft.com/office/drawing/2014/main" id="{CC49AC6F-9ADC-46EE-8070-356B7C42A272}"/>
            </a:ext>
          </a:extLst>
        </xdr:cNvPr>
        <xdr:cNvCxnSpPr>
          <a:cxnSpLocks/>
          <a:stCxn id="184" idx="2"/>
          <a:endCxn id="194" idx="0"/>
        </xdr:cNvCxnSpPr>
      </xdr:nvCxnSpPr>
      <xdr:spPr>
        <a:xfrm>
          <a:off x="892352" y="19652540"/>
          <a:ext cx="2606" cy="55551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76199</xdr:colOff>
      <xdr:row>215</xdr:row>
      <xdr:rowOff>103717</xdr:rowOff>
    </xdr:from>
    <xdr:to>
      <xdr:col>6</xdr:col>
      <xdr:colOff>134918</xdr:colOff>
      <xdr:row>216</xdr:row>
      <xdr:rowOff>163378</xdr:rowOff>
    </xdr:to>
    <xdr:sp macro="" textlink="">
      <xdr:nvSpPr>
        <xdr:cNvPr id="187" name="テキスト ボックス 186">
          <a:extLst>
            <a:ext uri="{FF2B5EF4-FFF2-40B4-BE49-F238E27FC236}">
              <a16:creationId xmlns:a16="http://schemas.microsoft.com/office/drawing/2014/main" id="{A49097CD-1039-47AD-A152-37B960E75AB8}"/>
            </a:ext>
          </a:extLst>
        </xdr:cNvPr>
        <xdr:cNvSpPr txBox="1"/>
      </xdr:nvSpPr>
      <xdr:spPr>
        <a:xfrm>
          <a:off x="876299" y="14724592"/>
          <a:ext cx="458769" cy="231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8</xdr:col>
      <xdr:colOff>132292</xdr:colOff>
      <xdr:row>218</xdr:row>
      <xdr:rowOff>9525</xdr:rowOff>
    </xdr:from>
    <xdr:to>
      <xdr:col>14</xdr:col>
      <xdr:colOff>94005</xdr:colOff>
      <xdr:row>221</xdr:row>
      <xdr:rowOff>22130</xdr:rowOff>
    </xdr:to>
    <xdr:grpSp>
      <xdr:nvGrpSpPr>
        <xdr:cNvPr id="188" name="グループ化 187">
          <a:extLst>
            <a:ext uri="{FF2B5EF4-FFF2-40B4-BE49-F238E27FC236}">
              <a16:creationId xmlns:a16="http://schemas.microsoft.com/office/drawing/2014/main" id="{39C964E2-0B26-4092-831A-42F1EDB5A1B0}"/>
            </a:ext>
          </a:extLst>
        </xdr:cNvPr>
        <xdr:cNvGrpSpPr/>
      </xdr:nvGrpSpPr>
      <xdr:grpSpPr>
        <a:xfrm>
          <a:off x="1580092" y="37414200"/>
          <a:ext cx="1047563" cy="526955"/>
          <a:chOff x="217092" y="5701906"/>
          <a:chExt cx="1153558" cy="542012"/>
        </a:xfrm>
      </xdr:grpSpPr>
      <xdr:sp macro="" textlink="">
        <xdr:nvSpPr>
          <xdr:cNvPr id="189" name="フローチャート: 他ページ結合子 188">
            <a:extLst>
              <a:ext uri="{FF2B5EF4-FFF2-40B4-BE49-F238E27FC236}">
                <a16:creationId xmlns:a16="http://schemas.microsoft.com/office/drawing/2014/main" id="{A7839F44-F6A1-2EED-472A-F1D26AF48758}"/>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0" name="正方形/長方形 48">
            <a:extLst>
              <a:ext uri="{FF2B5EF4-FFF2-40B4-BE49-F238E27FC236}">
                <a16:creationId xmlns:a16="http://schemas.microsoft.com/office/drawing/2014/main" id="{18429680-5D7A-DC67-4FC5-077E78FD54ED}"/>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７．電子記録債務</a:t>
            </a:r>
          </a:p>
        </xdr:txBody>
      </xdr:sp>
    </xdr:grpSp>
    <xdr:clientData/>
  </xdr:twoCellAnchor>
  <xdr:twoCellAnchor>
    <xdr:from>
      <xdr:col>8</xdr:col>
      <xdr:colOff>3174</xdr:colOff>
      <xdr:row>211</xdr:row>
      <xdr:rowOff>168276</xdr:rowOff>
    </xdr:from>
    <xdr:to>
      <xdr:col>11</xdr:col>
      <xdr:colOff>30692</xdr:colOff>
      <xdr:row>213</xdr:row>
      <xdr:rowOff>77654</xdr:rowOff>
    </xdr:to>
    <xdr:sp macro="" textlink="">
      <xdr:nvSpPr>
        <xdr:cNvPr id="191" name="テキスト ボックス 190">
          <a:extLst>
            <a:ext uri="{FF2B5EF4-FFF2-40B4-BE49-F238E27FC236}">
              <a16:creationId xmlns:a16="http://schemas.microsoft.com/office/drawing/2014/main" id="{DDEE2240-B306-42E8-94BC-EA5B83A5F49C}"/>
            </a:ext>
          </a:extLst>
        </xdr:cNvPr>
        <xdr:cNvSpPr txBox="1"/>
      </xdr:nvSpPr>
      <xdr:spPr>
        <a:xfrm>
          <a:off x="1603374" y="14103351"/>
          <a:ext cx="627593" cy="252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xdr:col>
      <xdr:colOff>138830</xdr:colOff>
      <xdr:row>217</xdr:row>
      <xdr:rowOff>161924</xdr:rowOff>
    </xdr:from>
    <xdr:to>
      <xdr:col>7</xdr:col>
      <xdr:colOff>100543</xdr:colOff>
      <xdr:row>222</xdr:row>
      <xdr:rowOff>89646</xdr:rowOff>
    </xdr:to>
    <xdr:grpSp>
      <xdr:nvGrpSpPr>
        <xdr:cNvPr id="193" name="グループ化 192">
          <a:extLst>
            <a:ext uri="{FF2B5EF4-FFF2-40B4-BE49-F238E27FC236}">
              <a16:creationId xmlns:a16="http://schemas.microsoft.com/office/drawing/2014/main" id="{48615F09-0076-419E-A55A-7DDF54C11A21}"/>
            </a:ext>
          </a:extLst>
        </xdr:cNvPr>
        <xdr:cNvGrpSpPr/>
      </xdr:nvGrpSpPr>
      <xdr:grpSpPr>
        <a:xfrm>
          <a:off x="319805" y="37395149"/>
          <a:ext cx="1047563" cy="784972"/>
          <a:chOff x="217092" y="5701906"/>
          <a:chExt cx="1153558" cy="812490"/>
        </a:xfrm>
      </xdr:grpSpPr>
      <xdr:sp macro="" textlink="">
        <xdr:nvSpPr>
          <xdr:cNvPr id="194" name="フローチャート: 他ページ結合子 193">
            <a:extLst>
              <a:ext uri="{FF2B5EF4-FFF2-40B4-BE49-F238E27FC236}">
                <a16:creationId xmlns:a16="http://schemas.microsoft.com/office/drawing/2014/main" id="{2ABFED49-F71C-1799-58FD-4F167261C814}"/>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5" name="正方形/長方形 48">
            <a:extLst>
              <a:ext uri="{FF2B5EF4-FFF2-40B4-BE49-F238E27FC236}">
                <a16:creationId xmlns:a16="http://schemas.microsoft.com/office/drawing/2014/main" id="{785E134A-5359-B6AF-55E2-A090DC23782A}"/>
              </a:ext>
            </a:extLst>
          </xdr:cNvPr>
          <xdr:cNvSpPr/>
        </xdr:nvSpPr>
        <xdr:spPr>
          <a:xfrm>
            <a:off x="217092" y="5701906"/>
            <a:ext cx="1153558" cy="81249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６．支払</a:t>
            </a:r>
            <a:endParaRPr kumimoji="1" lang="en-US" altLang="ja-JP" sz="900">
              <a:solidFill>
                <a:sysClr val="windowText" lastClr="000000"/>
              </a:solidFill>
            </a:endParaRPr>
          </a:p>
          <a:p>
            <a:pPr algn="ctr"/>
            <a:r>
              <a:rPr kumimoji="1" lang="ja-JP" altLang="en-US" sz="900">
                <a:solidFill>
                  <a:sysClr val="windowText" lastClr="000000"/>
                </a:solidFill>
              </a:rPr>
              <a:t>（銀行振込</a:t>
            </a:r>
            <a:endParaRPr kumimoji="1" lang="en-US" altLang="ja-JP" sz="900">
              <a:solidFill>
                <a:sysClr val="windowText" lastClr="000000"/>
              </a:solidFill>
            </a:endParaRPr>
          </a:p>
          <a:p>
            <a:pPr algn="ctr"/>
            <a:r>
              <a:rPr kumimoji="1" lang="ja-JP" altLang="en-US" sz="900">
                <a:solidFill>
                  <a:sysClr val="windowText" lastClr="000000"/>
                </a:solidFill>
              </a:rPr>
              <a:t>海外送金・小切手）</a:t>
            </a:r>
            <a:endParaRPr kumimoji="1" lang="en-US" altLang="ja-JP" sz="900">
              <a:solidFill>
                <a:sysClr val="windowText" lastClr="000000"/>
              </a:solidFill>
            </a:endParaRPr>
          </a:p>
        </xdr:txBody>
      </xdr:sp>
    </xdr:grpSp>
    <xdr:clientData/>
  </xdr:twoCellAnchor>
  <xdr:twoCellAnchor>
    <xdr:from>
      <xdr:col>6</xdr:col>
      <xdr:colOff>174817</xdr:colOff>
      <xdr:row>213</xdr:row>
      <xdr:rowOff>116154</xdr:rowOff>
    </xdr:from>
    <xdr:to>
      <xdr:col>11</xdr:col>
      <xdr:colOff>111479</xdr:colOff>
      <xdr:row>218</xdr:row>
      <xdr:rowOff>87243</xdr:rowOff>
    </xdr:to>
    <xdr:cxnSp macro="">
      <xdr:nvCxnSpPr>
        <xdr:cNvPr id="197" name="コネクタ: カギ線 196">
          <a:extLst>
            <a:ext uri="{FF2B5EF4-FFF2-40B4-BE49-F238E27FC236}">
              <a16:creationId xmlns:a16="http://schemas.microsoft.com/office/drawing/2014/main" id="{DE6FD09B-C70A-41E9-9503-D1CE2AAE1806}"/>
            </a:ext>
          </a:extLst>
        </xdr:cNvPr>
        <xdr:cNvCxnSpPr>
          <a:stCxn id="184" idx="3"/>
          <a:endCxn id="189" idx="0"/>
        </xdr:cNvCxnSpPr>
      </xdr:nvCxnSpPr>
      <xdr:spPr>
        <a:xfrm>
          <a:off x="1340229" y="19397742"/>
          <a:ext cx="907838" cy="830207"/>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95249</xdr:colOff>
      <xdr:row>84</xdr:row>
      <xdr:rowOff>21169</xdr:rowOff>
    </xdr:from>
    <xdr:to>
      <xdr:col>42</xdr:col>
      <xdr:colOff>112893</xdr:colOff>
      <xdr:row>88</xdr:row>
      <xdr:rowOff>2119</xdr:rowOff>
    </xdr:to>
    <xdr:grpSp>
      <xdr:nvGrpSpPr>
        <xdr:cNvPr id="14" name="グループ化 13">
          <a:extLst>
            <a:ext uri="{FF2B5EF4-FFF2-40B4-BE49-F238E27FC236}">
              <a16:creationId xmlns:a16="http://schemas.microsoft.com/office/drawing/2014/main" id="{C578C3A4-0AD9-468D-B143-D78B92CD69DE}"/>
            </a:ext>
          </a:extLst>
        </xdr:cNvPr>
        <xdr:cNvGrpSpPr>
          <a:grpSpLocks noChangeAspect="1"/>
        </xdr:cNvGrpSpPr>
      </xdr:nvGrpSpPr>
      <xdr:grpSpPr>
        <a:xfrm>
          <a:off x="6791324" y="14451544"/>
          <a:ext cx="922519" cy="666750"/>
          <a:chOff x="7112000" y="2892425"/>
          <a:chExt cx="873125" cy="584982"/>
        </a:xfrm>
      </xdr:grpSpPr>
      <xdr:sp macro="" textlink="">
        <xdr:nvSpPr>
          <xdr:cNvPr id="15" name="フローチャート: 磁気ディスク 14">
            <a:extLst>
              <a:ext uri="{FF2B5EF4-FFF2-40B4-BE49-F238E27FC236}">
                <a16:creationId xmlns:a16="http://schemas.microsoft.com/office/drawing/2014/main" id="{4134988D-0370-5E7E-EA4A-A5D8DAE710A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 name="正方形/長方形 15">
            <a:extLst>
              <a:ext uri="{FF2B5EF4-FFF2-40B4-BE49-F238E27FC236}">
                <a16:creationId xmlns:a16="http://schemas.microsoft.com/office/drawing/2014/main" id="{14EE9622-7FC5-E253-F2CA-6EB818718D41}"/>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ホスト</a:t>
            </a:r>
            <a:endParaRPr kumimoji="1" lang="en-US" altLang="ja-JP" sz="900"/>
          </a:p>
          <a:p>
            <a:pPr algn="ctr"/>
            <a:r>
              <a:rPr kumimoji="1" lang="ja-JP" altLang="en-US" sz="900"/>
              <a:t>（</a:t>
            </a:r>
            <a:r>
              <a:rPr kumimoji="1" lang="en-US" altLang="ja-JP" sz="900"/>
              <a:t>SEJ,</a:t>
            </a:r>
            <a:r>
              <a:rPr kumimoji="1" lang="ja-JP" altLang="en-US" sz="900"/>
              <a:t>売上）</a:t>
            </a:r>
            <a:endParaRPr kumimoji="1" lang="en-US" altLang="ja-JP" sz="900"/>
          </a:p>
        </xdr:txBody>
      </xdr:sp>
    </xdr:grpSp>
    <xdr:clientData/>
  </xdr:twoCellAnchor>
  <xdr:twoCellAnchor>
    <xdr:from>
      <xdr:col>35</xdr:col>
      <xdr:colOff>96474</xdr:colOff>
      <xdr:row>88</xdr:row>
      <xdr:rowOff>109007</xdr:rowOff>
    </xdr:from>
    <xdr:to>
      <xdr:col>44</xdr:col>
      <xdr:colOff>125937</xdr:colOff>
      <xdr:row>92</xdr:row>
      <xdr:rowOff>97365</xdr:rowOff>
    </xdr:to>
    <xdr:grpSp>
      <xdr:nvGrpSpPr>
        <xdr:cNvPr id="17" name="グループ化 16">
          <a:extLst>
            <a:ext uri="{FF2B5EF4-FFF2-40B4-BE49-F238E27FC236}">
              <a16:creationId xmlns:a16="http://schemas.microsoft.com/office/drawing/2014/main" id="{89962230-D6CC-41DA-81D0-CEA75356F183}"/>
            </a:ext>
          </a:extLst>
        </xdr:cNvPr>
        <xdr:cNvGrpSpPr>
          <a:grpSpLocks noChangeAspect="1"/>
        </xdr:cNvGrpSpPr>
      </xdr:nvGrpSpPr>
      <xdr:grpSpPr>
        <a:xfrm>
          <a:off x="6430599" y="15225182"/>
          <a:ext cx="1658238" cy="674158"/>
          <a:chOff x="6771721" y="2892425"/>
          <a:chExt cx="1565142" cy="594260"/>
        </a:xfrm>
      </xdr:grpSpPr>
      <xdr:sp macro="" textlink="">
        <xdr:nvSpPr>
          <xdr:cNvPr id="18" name="フローチャート: 磁気ディスク 17">
            <a:extLst>
              <a:ext uri="{FF2B5EF4-FFF2-40B4-BE49-F238E27FC236}">
                <a16:creationId xmlns:a16="http://schemas.microsoft.com/office/drawing/2014/main" id="{861C591F-8F1F-755C-8E6E-03AA93B5727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 name="正方形/長方形 18">
            <a:extLst>
              <a:ext uri="{FF2B5EF4-FFF2-40B4-BE49-F238E27FC236}">
                <a16:creationId xmlns:a16="http://schemas.microsoft.com/office/drawing/2014/main" id="{4F8A6ECB-2AD4-8B85-201F-ED211FC1AE44}"/>
              </a:ext>
            </a:extLst>
          </xdr:cNvPr>
          <xdr:cNvSpPr/>
        </xdr:nvSpPr>
        <xdr:spPr>
          <a:xfrm>
            <a:off x="6771721" y="2981078"/>
            <a:ext cx="156514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endParaRPr kumimoji="1" lang="en-US" altLang="ja-JP" sz="900"/>
          </a:p>
          <a:p>
            <a:pPr algn="ctr"/>
            <a:r>
              <a:rPr kumimoji="1" lang="ja-JP" altLang="en-US" sz="900"/>
              <a:t>（各社</a:t>
            </a:r>
            <a:r>
              <a:rPr kumimoji="1" lang="en-US" altLang="ja-JP" sz="900"/>
              <a:t>,</a:t>
            </a:r>
            <a:r>
              <a:rPr kumimoji="1" lang="ja-JP" altLang="en-US" sz="900"/>
              <a:t>未収入金）</a:t>
            </a:r>
            <a:endParaRPr kumimoji="1" lang="en-US" altLang="ja-JP" sz="900"/>
          </a:p>
        </xdr:txBody>
      </xdr:sp>
    </xdr:grpSp>
    <xdr:clientData/>
  </xdr:twoCellAnchor>
  <xdr:twoCellAnchor>
    <xdr:from>
      <xdr:col>33</xdr:col>
      <xdr:colOff>8912</xdr:colOff>
      <xdr:row>85</xdr:row>
      <xdr:rowOff>158683</xdr:rowOff>
    </xdr:from>
    <xdr:to>
      <xdr:col>38</xdr:col>
      <xdr:colOff>2552</xdr:colOff>
      <xdr:row>92</xdr:row>
      <xdr:rowOff>78919</xdr:rowOff>
    </xdr:to>
    <xdr:cxnSp macro="">
      <xdr:nvCxnSpPr>
        <xdr:cNvPr id="20" name="コネクタ: カギ線 19">
          <a:extLst>
            <a:ext uri="{FF2B5EF4-FFF2-40B4-BE49-F238E27FC236}">
              <a16:creationId xmlns:a16="http://schemas.microsoft.com/office/drawing/2014/main" id="{B640F17F-5624-4BC1-BCF0-451200DDED07}"/>
            </a:ext>
          </a:extLst>
        </xdr:cNvPr>
        <xdr:cNvCxnSpPr>
          <a:stCxn id="15" idx="2"/>
          <a:endCxn id="24" idx="1"/>
        </xdr:cNvCxnSpPr>
      </xdr:nvCxnSpPr>
      <xdr:spPr>
        <a:xfrm rot="10800000" flipV="1">
          <a:off x="5209562" y="2778058"/>
          <a:ext cx="993765" cy="1120386"/>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10477</xdr:colOff>
      <xdr:row>90</xdr:row>
      <xdr:rowOff>71899</xdr:rowOff>
    </xdr:from>
    <xdr:to>
      <xdr:col>38</xdr:col>
      <xdr:colOff>1831</xdr:colOff>
      <xdr:row>92</xdr:row>
      <xdr:rowOff>82094</xdr:rowOff>
    </xdr:to>
    <xdr:cxnSp macro="">
      <xdr:nvCxnSpPr>
        <xdr:cNvPr id="21" name="コネクタ: カギ線 20">
          <a:extLst>
            <a:ext uri="{FF2B5EF4-FFF2-40B4-BE49-F238E27FC236}">
              <a16:creationId xmlns:a16="http://schemas.microsoft.com/office/drawing/2014/main" id="{6DF00DC6-1234-4208-8C5F-1844DFF4E4B1}"/>
            </a:ext>
          </a:extLst>
        </xdr:cNvPr>
        <xdr:cNvCxnSpPr>
          <a:stCxn id="18" idx="2"/>
          <a:endCxn id="24" idx="1"/>
        </xdr:cNvCxnSpPr>
      </xdr:nvCxnSpPr>
      <xdr:spPr>
        <a:xfrm rot="10800000" flipV="1">
          <a:off x="5211127" y="3548524"/>
          <a:ext cx="991479" cy="353095"/>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40821</xdr:colOff>
      <xdr:row>83</xdr:row>
      <xdr:rowOff>41274</xdr:rowOff>
    </xdr:from>
    <xdr:to>
      <xdr:col>57</xdr:col>
      <xdr:colOff>152400</xdr:colOff>
      <xdr:row>96</xdr:row>
      <xdr:rowOff>131535</xdr:rowOff>
    </xdr:to>
    <xdr:sp macro="" textlink="">
      <xdr:nvSpPr>
        <xdr:cNvPr id="22" name="正方形/長方形 21">
          <a:extLst>
            <a:ext uri="{FF2B5EF4-FFF2-40B4-BE49-F238E27FC236}">
              <a16:creationId xmlns:a16="http://schemas.microsoft.com/office/drawing/2014/main" id="{27333305-DC4D-4071-B339-8FEEBE2C1C18}"/>
            </a:ext>
          </a:extLst>
        </xdr:cNvPr>
        <xdr:cNvSpPr/>
      </xdr:nvSpPr>
      <xdr:spPr>
        <a:xfrm>
          <a:off x="4331607" y="2313667"/>
          <a:ext cx="5572579" cy="2330904"/>
        </a:xfrm>
        <a:prstGeom prst="rect">
          <a:avLst/>
        </a:prstGeom>
        <a:noFill/>
        <a:ln w="38100">
          <a:solidFill>
            <a:srgbClr val="FFC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105911</xdr:colOff>
      <xdr:row>92</xdr:row>
      <xdr:rowOff>78919</xdr:rowOff>
    </xdr:from>
    <xdr:to>
      <xdr:col>35</xdr:col>
      <xdr:colOff>136407</xdr:colOff>
      <xdr:row>96</xdr:row>
      <xdr:rowOff>69396</xdr:rowOff>
    </xdr:to>
    <xdr:grpSp>
      <xdr:nvGrpSpPr>
        <xdr:cNvPr id="23" name="グループ化 22">
          <a:extLst>
            <a:ext uri="{FF2B5EF4-FFF2-40B4-BE49-F238E27FC236}">
              <a16:creationId xmlns:a16="http://schemas.microsoft.com/office/drawing/2014/main" id="{9804A07F-8177-4675-B66D-665E9C74340A}"/>
            </a:ext>
          </a:extLst>
        </xdr:cNvPr>
        <xdr:cNvGrpSpPr>
          <a:grpSpLocks noChangeAspect="1"/>
        </xdr:cNvGrpSpPr>
      </xdr:nvGrpSpPr>
      <xdr:grpSpPr>
        <a:xfrm>
          <a:off x="5535161" y="15880894"/>
          <a:ext cx="935371" cy="676277"/>
          <a:chOff x="7112000" y="2892425"/>
          <a:chExt cx="873125" cy="584982"/>
        </a:xfrm>
      </xdr:grpSpPr>
      <xdr:sp macro="" textlink="">
        <xdr:nvSpPr>
          <xdr:cNvPr id="24" name="フローチャート: 磁気ディスク 23">
            <a:extLst>
              <a:ext uri="{FF2B5EF4-FFF2-40B4-BE49-F238E27FC236}">
                <a16:creationId xmlns:a16="http://schemas.microsoft.com/office/drawing/2014/main" id="{A604B45B-1496-52E0-20AB-C13B35A3D05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5" name="正方形/長方形 24">
            <a:extLst>
              <a:ext uri="{FF2B5EF4-FFF2-40B4-BE49-F238E27FC236}">
                <a16:creationId xmlns:a16="http://schemas.microsoft.com/office/drawing/2014/main" id="{D7DA6278-BFB9-0C21-B173-946CBD25EE10}"/>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52</xdr:col>
      <xdr:colOff>145676</xdr:colOff>
      <xdr:row>83</xdr:row>
      <xdr:rowOff>28575</xdr:rowOff>
    </xdr:from>
    <xdr:to>
      <xdr:col>57</xdr:col>
      <xdr:colOff>161925</xdr:colOff>
      <xdr:row>85</xdr:row>
      <xdr:rowOff>33617</xdr:rowOff>
    </xdr:to>
    <xdr:sp macro="" textlink="">
      <xdr:nvSpPr>
        <xdr:cNvPr id="26" name="正方形/長方形 25">
          <a:extLst>
            <a:ext uri="{FF2B5EF4-FFF2-40B4-BE49-F238E27FC236}">
              <a16:creationId xmlns:a16="http://schemas.microsoft.com/office/drawing/2014/main" id="{078919A0-8290-4670-86A6-518F49901E4D}"/>
            </a:ext>
          </a:extLst>
        </xdr:cNvPr>
        <xdr:cNvSpPr/>
      </xdr:nvSpPr>
      <xdr:spPr>
        <a:xfrm>
          <a:off x="9222441" y="12018869"/>
          <a:ext cx="1024778" cy="341219"/>
        </a:xfrm>
        <a:prstGeom prst="rect">
          <a:avLst/>
        </a:prstGeom>
        <a:solidFill>
          <a:srgbClr val="FFC000"/>
        </a:solidFill>
        <a:ln w="38100">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solidFill>
                <a:sysClr val="windowText" lastClr="000000"/>
              </a:solidFill>
            </a:rPr>
            <a:t>売上計上</a:t>
          </a:r>
        </a:p>
      </xdr:txBody>
    </xdr:sp>
    <xdr:clientData/>
  </xdr:twoCellAnchor>
  <xdr:twoCellAnchor>
    <xdr:from>
      <xdr:col>1</xdr:col>
      <xdr:colOff>161925</xdr:colOff>
      <xdr:row>117</xdr:row>
      <xdr:rowOff>15875</xdr:rowOff>
    </xdr:from>
    <xdr:to>
      <xdr:col>7</xdr:col>
      <xdr:colOff>55561</xdr:colOff>
      <xdr:row>120</xdr:row>
      <xdr:rowOff>15875</xdr:rowOff>
    </xdr:to>
    <xdr:grpSp>
      <xdr:nvGrpSpPr>
        <xdr:cNvPr id="32" name="グループ化 31">
          <a:extLst>
            <a:ext uri="{FF2B5EF4-FFF2-40B4-BE49-F238E27FC236}">
              <a16:creationId xmlns:a16="http://schemas.microsoft.com/office/drawing/2014/main" id="{9D52991A-D474-484A-BF5B-26E0941A53FF}"/>
            </a:ext>
          </a:extLst>
        </xdr:cNvPr>
        <xdr:cNvGrpSpPr/>
      </xdr:nvGrpSpPr>
      <xdr:grpSpPr>
        <a:xfrm>
          <a:off x="342900" y="20104100"/>
          <a:ext cx="979486" cy="514350"/>
          <a:chOff x="1612900" y="2427475"/>
          <a:chExt cx="933032" cy="404625"/>
        </a:xfrm>
      </xdr:grpSpPr>
      <xdr:sp macro="" textlink="">
        <xdr:nvSpPr>
          <xdr:cNvPr id="33" name="フローチャート: 定義済み処理 29">
            <a:extLst>
              <a:ext uri="{FF2B5EF4-FFF2-40B4-BE49-F238E27FC236}">
                <a16:creationId xmlns:a16="http://schemas.microsoft.com/office/drawing/2014/main" id="{7F56BA6A-2E09-A2DE-9B46-250B6F8B13D5}"/>
              </a:ext>
            </a:extLst>
          </xdr:cNvPr>
          <xdr:cNvSpPr/>
        </xdr:nvSpPr>
        <xdr:spPr>
          <a:xfrm>
            <a:off x="1682750" y="2457450"/>
            <a:ext cx="819150" cy="374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4" name="正方形/長方形 33">
            <a:extLst>
              <a:ext uri="{FF2B5EF4-FFF2-40B4-BE49-F238E27FC236}">
                <a16:creationId xmlns:a16="http://schemas.microsoft.com/office/drawing/2014/main" id="{28D9F860-8776-AB7A-1943-172362052254}"/>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３．相殺依頼</a:t>
            </a:r>
            <a:br>
              <a:rPr kumimoji="1" lang="en-US" altLang="ja-JP" sz="900"/>
            </a:br>
            <a:r>
              <a:rPr kumimoji="1" lang="ja-JP" altLang="en-US" sz="900"/>
              <a:t>内容確認（</a:t>
            </a:r>
            <a:r>
              <a:rPr kumimoji="1" lang="en-US" altLang="ja-JP" sz="900"/>
              <a:t>SEJ</a:t>
            </a:r>
            <a:r>
              <a:rPr kumimoji="1" lang="ja-JP" altLang="en-US" sz="900"/>
              <a:t>）</a:t>
            </a:r>
            <a:endParaRPr kumimoji="1" lang="en-US" altLang="ja-JP" sz="900"/>
          </a:p>
        </xdr:txBody>
      </xdr:sp>
    </xdr:grpSp>
    <xdr:clientData/>
  </xdr:twoCellAnchor>
  <xdr:twoCellAnchor>
    <xdr:from>
      <xdr:col>4</xdr:col>
      <xdr:colOff>121914</xdr:colOff>
      <xdr:row>115</xdr:row>
      <xdr:rowOff>32548</xdr:rowOff>
    </xdr:from>
    <xdr:to>
      <xdr:col>18</xdr:col>
      <xdr:colOff>69056</xdr:colOff>
      <xdr:row>117</xdr:row>
      <xdr:rowOff>53508</xdr:rowOff>
    </xdr:to>
    <xdr:cxnSp macro="">
      <xdr:nvCxnSpPr>
        <xdr:cNvPr id="38" name="コネクタ: カギ線 37">
          <a:extLst>
            <a:ext uri="{FF2B5EF4-FFF2-40B4-BE49-F238E27FC236}">
              <a16:creationId xmlns:a16="http://schemas.microsoft.com/office/drawing/2014/main" id="{FEAFD779-AF31-43AC-A6F3-46506481C806}"/>
            </a:ext>
          </a:extLst>
        </xdr:cNvPr>
        <xdr:cNvCxnSpPr>
          <a:stCxn id="8" idx="2"/>
          <a:endCxn id="33" idx="0"/>
        </xdr:cNvCxnSpPr>
      </xdr:nvCxnSpPr>
      <xdr:spPr>
        <a:xfrm rot="5400000">
          <a:off x="1855950" y="18519735"/>
          <a:ext cx="359626" cy="241658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102543</xdr:colOff>
      <xdr:row>123</xdr:row>
      <xdr:rowOff>112335</xdr:rowOff>
    </xdr:from>
    <xdr:to>
      <xdr:col>8</xdr:col>
      <xdr:colOff>122235</xdr:colOff>
      <xdr:row>126</xdr:row>
      <xdr:rowOff>117355</xdr:rowOff>
    </xdr:to>
    <xdr:grpSp>
      <xdr:nvGrpSpPr>
        <xdr:cNvPr id="53" name="グループ化 52">
          <a:extLst>
            <a:ext uri="{FF2B5EF4-FFF2-40B4-BE49-F238E27FC236}">
              <a16:creationId xmlns:a16="http://schemas.microsoft.com/office/drawing/2014/main" id="{27193C32-DAE7-6ABF-5503-106415273C99}"/>
            </a:ext>
          </a:extLst>
        </xdr:cNvPr>
        <xdr:cNvGrpSpPr/>
      </xdr:nvGrpSpPr>
      <xdr:grpSpPr>
        <a:xfrm>
          <a:off x="283518" y="21229260"/>
          <a:ext cx="1286517" cy="519370"/>
          <a:chOff x="2944266" y="2688638"/>
          <a:chExt cx="1215371" cy="400203"/>
        </a:xfrm>
      </xdr:grpSpPr>
      <xdr:sp macro="" textlink="">
        <xdr:nvSpPr>
          <xdr:cNvPr id="54" name="フローチャート: 定義済み処理 53">
            <a:extLst>
              <a:ext uri="{FF2B5EF4-FFF2-40B4-BE49-F238E27FC236}">
                <a16:creationId xmlns:a16="http://schemas.microsoft.com/office/drawing/2014/main" id="{6A243DF5-BD1E-E4C1-D27A-48D9029860A5}"/>
              </a:ext>
            </a:extLst>
          </xdr:cNvPr>
          <xdr:cNvSpPr/>
        </xdr:nvSpPr>
        <xdr:spPr>
          <a:xfrm>
            <a:off x="3066218" y="2693373"/>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5" name="正方形/長方形 54">
            <a:extLst>
              <a:ext uri="{FF2B5EF4-FFF2-40B4-BE49-F238E27FC236}">
                <a16:creationId xmlns:a16="http://schemas.microsoft.com/office/drawing/2014/main" id="{A4285ADF-D0D4-26FD-8FF9-F6B7CDD35C8B}"/>
              </a:ext>
            </a:extLst>
          </xdr:cNvPr>
          <xdr:cNvSpPr/>
        </xdr:nvSpPr>
        <xdr:spPr>
          <a:xfrm>
            <a:off x="2944266" y="2688638"/>
            <a:ext cx="1215371"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４．預かり売掛金</a:t>
            </a:r>
            <a:endParaRPr kumimoji="1" lang="en-US" altLang="ja-JP" sz="900"/>
          </a:p>
          <a:p>
            <a:pPr algn="ctr"/>
            <a:r>
              <a:rPr kumimoji="1" lang="ja-JP" altLang="en-US" sz="900"/>
              <a:t>相殺登録（</a:t>
            </a:r>
            <a:r>
              <a:rPr kumimoji="1" lang="en-US" altLang="ja-JP" sz="900"/>
              <a:t>SEJ</a:t>
            </a:r>
            <a:r>
              <a:rPr kumimoji="1" lang="ja-JP" altLang="en-US" sz="900"/>
              <a:t>）</a:t>
            </a:r>
            <a:endParaRPr kumimoji="1" lang="en-US" altLang="ja-JP" sz="900"/>
          </a:p>
        </xdr:txBody>
      </xdr:sp>
    </xdr:grpSp>
    <xdr:clientData/>
  </xdr:twoCellAnchor>
  <xdr:twoCellAnchor>
    <xdr:from>
      <xdr:col>4</xdr:col>
      <xdr:colOff>120282</xdr:colOff>
      <xdr:row>120</xdr:row>
      <xdr:rowOff>15875</xdr:rowOff>
    </xdr:from>
    <xdr:to>
      <xdr:col>4</xdr:col>
      <xdr:colOff>122333</xdr:colOff>
      <xdr:row>123</xdr:row>
      <xdr:rowOff>118480</xdr:rowOff>
    </xdr:to>
    <xdr:cxnSp macro="">
      <xdr:nvCxnSpPr>
        <xdr:cNvPr id="59" name="直線矢印コネクタ 27">
          <a:extLst>
            <a:ext uri="{FF2B5EF4-FFF2-40B4-BE49-F238E27FC236}">
              <a16:creationId xmlns:a16="http://schemas.microsoft.com/office/drawing/2014/main" id="{9BA1C11C-9211-4172-9FBC-485316EA0BCE}"/>
            </a:ext>
          </a:extLst>
        </xdr:cNvPr>
        <xdr:cNvCxnSpPr>
          <a:cxnSpLocks/>
          <a:stCxn id="33" idx="2"/>
          <a:endCxn id="54" idx="0"/>
        </xdr:cNvCxnSpPr>
      </xdr:nvCxnSpPr>
      <xdr:spPr>
        <a:xfrm flipH="1">
          <a:off x="920382" y="6578600"/>
          <a:ext cx="2051" cy="61695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142875</xdr:colOff>
      <xdr:row>123</xdr:row>
      <xdr:rowOff>63500</xdr:rowOff>
    </xdr:from>
    <xdr:to>
      <xdr:col>34</xdr:col>
      <xdr:colOff>180628</xdr:colOff>
      <xdr:row>127</xdr:row>
      <xdr:rowOff>34925</xdr:rowOff>
    </xdr:to>
    <xdr:grpSp>
      <xdr:nvGrpSpPr>
        <xdr:cNvPr id="63" name="グループ化 62">
          <a:extLst>
            <a:ext uri="{FF2B5EF4-FFF2-40B4-BE49-F238E27FC236}">
              <a16:creationId xmlns:a16="http://schemas.microsoft.com/office/drawing/2014/main" id="{10E604C4-AC12-4E5B-93D4-8F0A4CFEFB8D}"/>
            </a:ext>
          </a:extLst>
        </xdr:cNvPr>
        <xdr:cNvGrpSpPr>
          <a:grpSpLocks noChangeAspect="1"/>
        </xdr:cNvGrpSpPr>
      </xdr:nvGrpSpPr>
      <xdr:grpSpPr>
        <a:xfrm>
          <a:off x="5391150" y="21180425"/>
          <a:ext cx="942628" cy="657225"/>
          <a:chOff x="7112000" y="2892425"/>
          <a:chExt cx="873125" cy="584982"/>
        </a:xfrm>
      </xdr:grpSpPr>
      <xdr:sp macro="" textlink="">
        <xdr:nvSpPr>
          <xdr:cNvPr id="64" name="フローチャート: 磁気ディスク 63">
            <a:extLst>
              <a:ext uri="{FF2B5EF4-FFF2-40B4-BE49-F238E27FC236}">
                <a16:creationId xmlns:a16="http://schemas.microsoft.com/office/drawing/2014/main" id="{8D06F332-6F53-AEC8-9029-8CD5DA54D99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5" name="正方形/長方形 64">
            <a:extLst>
              <a:ext uri="{FF2B5EF4-FFF2-40B4-BE49-F238E27FC236}">
                <a16:creationId xmlns:a16="http://schemas.microsoft.com/office/drawing/2014/main" id="{96462F25-9E32-8BF5-432D-9E1D816DD96A}"/>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支払仕訳帳</a:t>
            </a:r>
            <a:endParaRPr kumimoji="1" lang="en-US" altLang="ja-JP" sz="900"/>
          </a:p>
        </xdr:txBody>
      </xdr:sp>
    </xdr:grpSp>
    <xdr:clientData/>
  </xdr:twoCellAnchor>
  <xdr:twoCellAnchor>
    <xdr:from>
      <xdr:col>7</xdr:col>
      <xdr:colOff>1943</xdr:colOff>
      <xdr:row>125</xdr:row>
      <xdr:rowOff>18684</xdr:rowOff>
    </xdr:from>
    <xdr:to>
      <xdr:col>30</xdr:col>
      <xdr:colOff>52299</xdr:colOff>
      <xdr:row>125</xdr:row>
      <xdr:rowOff>22020</xdr:rowOff>
    </xdr:to>
    <xdr:cxnSp macro="">
      <xdr:nvCxnSpPr>
        <xdr:cNvPr id="66" name="直線矢印コネクタ 65">
          <a:extLst>
            <a:ext uri="{FF2B5EF4-FFF2-40B4-BE49-F238E27FC236}">
              <a16:creationId xmlns:a16="http://schemas.microsoft.com/office/drawing/2014/main" id="{32FBFA83-D323-435C-A1AB-69E539A35785}"/>
            </a:ext>
          </a:extLst>
        </xdr:cNvPr>
        <xdr:cNvCxnSpPr>
          <a:stCxn id="54" idx="3"/>
          <a:endCxn id="64" idx="2"/>
        </xdr:cNvCxnSpPr>
      </xdr:nvCxnSpPr>
      <xdr:spPr>
        <a:xfrm>
          <a:off x="1402118" y="7438659"/>
          <a:ext cx="3250756" cy="333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90002</xdr:colOff>
      <xdr:row>146</xdr:row>
      <xdr:rowOff>137408</xdr:rowOff>
    </xdr:from>
    <xdr:to>
      <xdr:col>22</xdr:col>
      <xdr:colOff>134056</xdr:colOff>
      <xdr:row>149</xdr:row>
      <xdr:rowOff>116068</xdr:rowOff>
    </xdr:to>
    <xdr:grpSp>
      <xdr:nvGrpSpPr>
        <xdr:cNvPr id="72" name="グループ化 71">
          <a:extLst>
            <a:ext uri="{FF2B5EF4-FFF2-40B4-BE49-F238E27FC236}">
              <a16:creationId xmlns:a16="http://schemas.microsoft.com/office/drawing/2014/main" id="{70766CA9-8429-C48C-29EE-E47846ED179F}"/>
            </a:ext>
          </a:extLst>
        </xdr:cNvPr>
        <xdr:cNvGrpSpPr/>
      </xdr:nvGrpSpPr>
      <xdr:grpSpPr>
        <a:xfrm>
          <a:off x="2623652" y="25197683"/>
          <a:ext cx="1491854" cy="493010"/>
          <a:chOff x="1414201" y="2440879"/>
          <a:chExt cx="1401658" cy="400203"/>
        </a:xfrm>
      </xdr:grpSpPr>
      <xdr:sp macro="" textlink="">
        <xdr:nvSpPr>
          <xdr:cNvPr id="73" name="フローチャート: 定義済み処理 29">
            <a:extLst>
              <a:ext uri="{FF2B5EF4-FFF2-40B4-BE49-F238E27FC236}">
                <a16:creationId xmlns:a16="http://schemas.microsoft.com/office/drawing/2014/main" id="{3CB1A7A8-EF6F-B42F-77D1-892BF0D01B4F}"/>
              </a:ext>
            </a:extLst>
          </xdr:cNvPr>
          <xdr:cNvSpPr/>
        </xdr:nvSpPr>
        <xdr:spPr>
          <a:xfrm>
            <a:off x="1682750" y="2457450"/>
            <a:ext cx="819150" cy="374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4" name="正方形/長方形 73">
            <a:extLst>
              <a:ext uri="{FF2B5EF4-FFF2-40B4-BE49-F238E27FC236}">
                <a16:creationId xmlns:a16="http://schemas.microsoft.com/office/drawing/2014/main" id="{EEC4E9B6-3C4F-1FB7-2F34-15EDAF8DA31A}"/>
              </a:ext>
            </a:extLst>
          </xdr:cNvPr>
          <xdr:cNvSpPr/>
        </xdr:nvSpPr>
        <xdr:spPr>
          <a:xfrm>
            <a:off x="1414201" y="2440879"/>
            <a:ext cx="1401658"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７．相殺完了</a:t>
            </a:r>
            <a:endParaRPr kumimoji="1" lang="en-US" altLang="ja-JP" sz="900"/>
          </a:p>
          <a:p>
            <a:pPr algn="ctr"/>
            <a:r>
              <a:rPr kumimoji="1" lang="ja-JP" altLang="en-US" sz="900"/>
              <a:t>連絡受領（</a:t>
            </a:r>
            <a:r>
              <a:rPr kumimoji="1" lang="en-US" altLang="ja-JP" sz="900"/>
              <a:t>SEJ</a:t>
            </a:r>
            <a:r>
              <a:rPr kumimoji="1" lang="ja-JP" altLang="en-US" sz="900"/>
              <a:t>）</a:t>
            </a:r>
            <a:endParaRPr kumimoji="1" lang="en-US" altLang="ja-JP" sz="900"/>
          </a:p>
        </xdr:txBody>
      </xdr:sp>
    </xdr:grpSp>
    <xdr:clientData/>
  </xdr:twoCellAnchor>
  <xdr:twoCellAnchor>
    <xdr:from>
      <xdr:col>4</xdr:col>
      <xdr:colOff>121979</xdr:colOff>
      <xdr:row>126</xdr:row>
      <xdr:rowOff>90669</xdr:rowOff>
    </xdr:from>
    <xdr:to>
      <xdr:col>11</xdr:col>
      <xdr:colOff>101873</xdr:colOff>
      <xdr:row>132</xdr:row>
      <xdr:rowOff>85985</xdr:rowOff>
    </xdr:to>
    <xdr:cxnSp macro="">
      <xdr:nvCxnSpPr>
        <xdr:cNvPr id="75" name="コネクタ: カギ線 74">
          <a:extLst>
            <a:ext uri="{FF2B5EF4-FFF2-40B4-BE49-F238E27FC236}">
              <a16:creationId xmlns:a16="http://schemas.microsoft.com/office/drawing/2014/main" id="{A61B3A78-B718-498D-9B9B-4F69FF57D3EC}"/>
            </a:ext>
          </a:extLst>
        </xdr:cNvPr>
        <xdr:cNvCxnSpPr>
          <a:stCxn id="54" idx="2"/>
          <a:endCxn id="169" idx="0"/>
        </xdr:cNvCxnSpPr>
      </xdr:nvCxnSpPr>
      <xdr:spPr>
        <a:xfrm rot="16200000" flipH="1">
          <a:off x="929185" y="21367352"/>
          <a:ext cx="1011316" cy="121461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169977</xdr:colOff>
      <xdr:row>152</xdr:row>
      <xdr:rowOff>162691</xdr:rowOff>
    </xdr:from>
    <xdr:to>
      <xdr:col>7</xdr:col>
      <xdr:colOff>63613</xdr:colOff>
      <xdr:row>155</xdr:row>
      <xdr:rowOff>159516</xdr:rowOff>
    </xdr:to>
    <xdr:grpSp>
      <xdr:nvGrpSpPr>
        <xdr:cNvPr id="78" name="グループ化 77">
          <a:extLst>
            <a:ext uri="{FF2B5EF4-FFF2-40B4-BE49-F238E27FC236}">
              <a16:creationId xmlns:a16="http://schemas.microsoft.com/office/drawing/2014/main" id="{F6E67E4E-0D61-92B7-19DF-243551D959FA}"/>
            </a:ext>
          </a:extLst>
        </xdr:cNvPr>
        <xdr:cNvGrpSpPr/>
      </xdr:nvGrpSpPr>
      <xdr:grpSpPr>
        <a:xfrm>
          <a:off x="350952" y="26251666"/>
          <a:ext cx="979486" cy="511175"/>
          <a:chOff x="1612900" y="2427475"/>
          <a:chExt cx="933032" cy="407123"/>
        </a:xfrm>
      </xdr:grpSpPr>
      <xdr:sp macro="" textlink="">
        <xdr:nvSpPr>
          <xdr:cNvPr id="79" name="フローチャート: 定義済み処理 78">
            <a:extLst>
              <a:ext uri="{FF2B5EF4-FFF2-40B4-BE49-F238E27FC236}">
                <a16:creationId xmlns:a16="http://schemas.microsoft.com/office/drawing/2014/main" id="{1B466426-DE0A-E2B9-CE48-EBAFA2ABA91E}"/>
              </a:ext>
            </a:extLst>
          </xdr:cNvPr>
          <xdr:cNvSpPr/>
        </xdr:nvSpPr>
        <xdr:spPr>
          <a:xfrm>
            <a:off x="1682750" y="2459948"/>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9" name="正方形/長方形 108">
            <a:extLst>
              <a:ext uri="{FF2B5EF4-FFF2-40B4-BE49-F238E27FC236}">
                <a16:creationId xmlns:a16="http://schemas.microsoft.com/office/drawing/2014/main" id="{9372357C-F121-839E-1CAA-7FDF901A56A1}"/>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８．未収入金</a:t>
            </a:r>
            <a:endParaRPr kumimoji="1" lang="en-US" altLang="ja-JP" sz="900"/>
          </a:p>
          <a:p>
            <a:pPr algn="ctr"/>
            <a:r>
              <a:rPr kumimoji="1" lang="ja-JP" altLang="en-US" sz="900"/>
              <a:t>相殺処理</a:t>
            </a:r>
            <a:endParaRPr kumimoji="1" lang="en-US" altLang="ja-JP" sz="900"/>
          </a:p>
        </xdr:txBody>
      </xdr:sp>
    </xdr:grpSp>
    <xdr:clientData/>
  </xdr:twoCellAnchor>
  <xdr:twoCellAnchor>
    <xdr:from>
      <xdr:col>28</xdr:col>
      <xdr:colOff>135729</xdr:colOff>
      <xdr:row>152</xdr:row>
      <xdr:rowOff>133351</xdr:rowOff>
    </xdr:from>
    <xdr:to>
      <xdr:col>36</xdr:col>
      <xdr:colOff>151603</xdr:colOff>
      <xdr:row>156</xdr:row>
      <xdr:rowOff>128589</xdr:rowOff>
    </xdr:to>
    <xdr:grpSp>
      <xdr:nvGrpSpPr>
        <xdr:cNvPr id="110" name="グループ化 109">
          <a:extLst>
            <a:ext uri="{FF2B5EF4-FFF2-40B4-BE49-F238E27FC236}">
              <a16:creationId xmlns:a16="http://schemas.microsoft.com/office/drawing/2014/main" id="{CC54B00A-61EB-0138-0813-9AC5321F7065}"/>
            </a:ext>
          </a:extLst>
        </xdr:cNvPr>
        <xdr:cNvGrpSpPr>
          <a:grpSpLocks noChangeAspect="1"/>
        </xdr:cNvGrpSpPr>
      </xdr:nvGrpSpPr>
      <xdr:grpSpPr>
        <a:xfrm>
          <a:off x="5203029" y="26222326"/>
          <a:ext cx="1463674" cy="681038"/>
          <a:chOff x="6906476" y="2892425"/>
          <a:chExt cx="1385379" cy="606810"/>
        </a:xfrm>
      </xdr:grpSpPr>
      <xdr:sp macro="" textlink="">
        <xdr:nvSpPr>
          <xdr:cNvPr id="111" name="フローチャート: 磁気ディスク 110">
            <a:extLst>
              <a:ext uri="{FF2B5EF4-FFF2-40B4-BE49-F238E27FC236}">
                <a16:creationId xmlns:a16="http://schemas.microsoft.com/office/drawing/2014/main" id="{A98D83E8-5FDD-C44F-EA8C-E584352CD6F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2" name="正方形/長方形 111">
            <a:extLst>
              <a:ext uri="{FF2B5EF4-FFF2-40B4-BE49-F238E27FC236}">
                <a16:creationId xmlns:a16="http://schemas.microsoft.com/office/drawing/2014/main" id="{9C102AA6-258E-E710-E457-91649BC3CB30}"/>
              </a:ext>
            </a:extLst>
          </xdr:cNvPr>
          <xdr:cNvSpPr/>
        </xdr:nvSpPr>
        <xdr:spPr>
          <a:xfrm>
            <a:off x="6906476" y="2993628"/>
            <a:ext cx="1385379"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顧客と仕入先の</a:t>
            </a:r>
            <a:endParaRPr kumimoji="1" lang="en-US" altLang="ja-JP" sz="900"/>
          </a:p>
          <a:p>
            <a:pPr algn="ctr"/>
            <a:r>
              <a:rPr kumimoji="1" lang="ja-JP" altLang="en-US" sz="900"/>
              <a:t>残高の相殺決済</a:t>
            </a:r>
            <a:endParaRPr kumimoji="1" lang="en-US" altLang="ja-JP" sz="900"/>
          </a:p>
        </xdr:txBody>
      </xdr:sp>
    </xdr:grpSp>
    <xdr:clientData/>
  </xdr:twoCellAnchor>
  <xdr:twoCellAnchor>
    <xdr:from>
      <xdr:col>7</xdr:col>
      <xdr:colOff>11995</xdr:colOff>
      <xdr:row>154</xdr:row>
      <xdr:rowOff>90414</xdr:rowOff>
    </xdr:from>
    <xdr:to>
      <xdr:col>30</xdr:col>
      <xdr:colOff>81209</xdr:colOff>
      <xdr:row>154</xdr:row>
      <xdr:rowOff>95765</xdr:rowOff>
    </xdr:to>
    <xdr:cxnSp macro="">
      <xdr:nvCxnSpPr>
        <xdr:cNvPr id="113" name="直線矢印コネクタ 112">
          <a:extLst>
            <a:ext uri="{FF2B5EF4-FFF2-40B4-BE49-F238E27FC236}">
              <a16:creationId xmlns:a16="http://schemas.microsoft.com/office/drawing/2014/main" id="{121C4809-C6AB-4E3D-B19B-34EC6E0C521E}"/>
            </a:ext>
          </a:extLst>
        </xdr:cNvPr>
        <xdr:cNvCxnSpPr>
          <a:stCxn id="79" idx="3"/>
          <a:endCxn id="111" idx="2"/>
        </xdr:cNvCxnSpPr>
      </xdr:nvCxnSpPr>
      <xdr:spPr>
        <a:xfrm flipV="1">
          <a:off x="1412170" y="9739239"/>
          <a:ext cx="3269614" cy="535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15875</xdr:colOff>
      <xdr:row>158</xdr:row>
      <xdr:rowOff>44450</xdr:rowOff>
    </xdr:from>
    <xdr:to>
      <xdr:col>12</xdr:col>
      <xdr:colOff>180788</xdr:colOff>
      <xdr:row>161</xdr:row>
      <xdr:rowOff>60230</xdr:rowOff>
    </xdr:to>
    <xdr:grpSp>
      <xdr:nvGrpSpPr>
        <xdr:cNvPr id="121" name="グループ化 120">
          <a:extLst>
            <a:ext uri="{FF2B5EF4-FFF2-40B4-BE49-F238E27FC236}">
              <a16:creationId xmlns:a16="http://schemas.microsoft.com/office/drawing/2014/main" id="{5869D92B-C146-4599-8E17-0D0293AEC355}"/>
            </a:ext>
          </a:extLst>
        </xdr:cNvPr>
        <xdr:cNvGrpSpPr/>
      </xdr:nvGrpSpPr>
      <xdr:grpSpPr>
        <a:xfrm>
          <a:off x="1282700" y="27162125"/>
          <a:ext cx="1069788" cy="530130"/>
          <a:chOff x="217092" y="5701906"/>
          <a:chExt cx="1153558" cy="542012"/>
        </a:xfrm>
      </xdr:grpSpPr>
      <xdr:sp macro="" textlink="">
        <xdr:nvSpPr>
          <xdr:cNvPr id="122" name="フローチャート: 他ページ結合子 121">
            <a:extLst>
              <a:ext uri="{FF2B5EF4-FFF2-40B4-BE49-F238E27FC236}">
                <a16:creationId xmlns:a16="http://schemas.microsoft.com/office/drawing/2014/main" id="{6224032A-C89A-6400-C8CE-2487A0969B33}"/>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3" name="正方形/長方形 48">
            <a:extLst>
              <a:ext uri="{FF2B5EF4-FFF2-40B4-BE49-F238E27FC236}">
                <a16:creationId xmlns:a16="http://schemas.microsoft.com/office/drawing/2014/main" id="{0CDC50E5-AB70-D5F2-BA79-4E77061F62F9}"/>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１．仕入計上・</a:t>
            </a:r>
            <a:endParaRPr kumimoji="1" lang="en-US" altLang="ja-JP" sz="900">
              <a:solidFill>
                <a:sysClr val="windowText" lastClr="000000"/>
              </a:solidFill>
            </a:endParaRPr>
          </a:p>
          <a:p>
            <a:pPr algn="ctr"/>
            <a:r>
              <a:rPr kumimoji="1" lang="ja-JP" altLang="en-US" sz="900">
                <a:solidFill>
                  <a:sysClr val="windowText" lastClr="000000"/>
                </a:solidFill>
              </a:rPr>
              <a:t>請求処理</a:t>
            </a:r>
          </a:p>
        </xdr:txBody>
      </xdr:sp>
    </xdr:grpSp>
    <xdr:clientData/>
  </xdr:twoCellAnchor>
  <xdr:twoCellAnchor>
    <xdr:from>
      <xdr:col>11</xdr:col>
      <xdr:colOff>78316</xdr:colOff>
      <xdr:row>158</xdr:row>
      <xdr:rowOff>38100</xdr:rowOff>
    </xdr:from>
    <xdr:to>
      <xdr:col>17</xdr:col>
      <xdr:colOff>141111</xdr:colOff>
      <xdr:row>161</xdr:row>
      <xdr:rowOff>41180</xdr:rowOff>
    </xdr:to>
    <xdr:grpSp>
      <xdr:nvGrpSpPr>
        <xdr:cNvPr id="124" name="グループ化 123">
          <a:extLst>
            <a:ext uri="{FF2B5EF4-FFF2-40B4-BE49-F238E27FC236}">
              <a16:creationId xmlns:a16="http://schemas.microsoft.com/office/drawing/2014/main" id="{F0359725-6F4A-499A-B81F-046DFF557E9D}"/>
            </a:ext>
          </a:extLst>
        </xdr:cNvPr>
        <xdr:cNvGrpSpPr/>
      </xdr:nvGrpSpPr>
      <xdr:grpSpPr>
        <a:xfrm>
          <a:off x="2069041" y="27155775"/>
          <a:ext cx="1148645" cy="517430"/>
          <a:chOff x="217092" y="5701906"/>
          <a:chExt cx="1153558" cy="542012"/>
        </a:xfrm>
      </xdr:grpSpPr>
      <xdr:sp macro="" textlink="">
        <xdr:nvSpPr>
          <xdr:cNvPr id="125" name="フローチャート: 他ページ結合子 124">
            <a:extLst>
              <a:ext uri="{FF2B5EF4-FFF2-40B4-BE49-F238E27FC236}">
                <a16:creationId xmlns:a16="http://schemas.microsoft.com/office/drawing/2014/main" id="{D675A6A8-B3F8-C7E6-C092-FBE995D75D6D}"/>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6" name="正方形/長方形 48">
            <a:extLst>
              <a:ext uri="{FF2B5EF4-FFF2-40B4-BE49-F238E27FC236}">
                <a16:creationId xmlns:a16="http://schemas.microsoft.com/office/drawing/2014/main" id="{959EFF3C-877F-9AD1-62CE-621DC27CAE1B}"/>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２．前払</a:t>
            </a:r>
          </a:p>
        </xdr:txBody>
      </xdr:sp>
    </xdr:grpSp>
    <xdr:clientData/>
  </xdr:twoCellAnchor>
  <xdr:twoCellAnchor>
    <xdr:from>
      <xdr:col>4</xdr:col>
      <xdr:colOff>129967</xdr:colOff>
      <xdr:row>161</xdr:row>
      <xdr:rowOff>24450</xdr:rowOff>
    </xdr:from>
    <xdr:to>
      <xdr:col>14</xdr:col>
      <xdr:colOff>108054</xdr:colOff>
      <xdr:row>164</xdr:row>
      <xdr:rowOff>140321</xdr:rowOff>
    </xdr:to>
    <xdr:cxnSp macro="">
      <xdr:nvCxnSpPr>
        <xdr:cNvPr id="130" name="コネクタ: カギ線 129">
          <a:extLst>
            <a:ext uri="{FF2B5EF4-FFF2-40B4-BE49-F238E27FC236}">
              <a16:creationId xmlns:a16="http://schemas.microsoft.com/office/drawing/2014/main" id="{B1E3197B-D3BE-4F3E-A478-5ADF969F55B6}"/>
            </a:ext>
          </a:extLst>
        </xdr:cNvPr>
        <xdr:cNvCxnSpPr>
          <a:stCxn id="125" idx="2"/>
          <a:endCxn id="3" idx="0"/>
        </xdr:cNvCxnSpPr>
      </xdr:nvCxnSpPr>
      <xdr:spPr>
        <a:xfrm rot="5400000">
          <a:off x="1394575" y="26770398"/>
          <a:ext cx="623871" cy="174197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131929</xdr:colOff>
      <xdr:row>155</xdr:row>
      <xdr:rowOff>162691</xdr:rowOff>
    </xdr:from>
    <xdr:to>
      <xdr:col>4</xdr:col>
      <xdr:colOff>133560</xdr:colOff>
      <xdr:row>164</xdr:row>
      <xdr:rowOff>140472</xdr:rowOff>
    </xdr:to>
    <xdr:cxnSp macro="">
      <xdr:nvCxnSpPr>
        <xdr:cNvPr id="132" name="直線矢印コネクタ 27">
          <a:extLst>
            <a:ext uri="{FF2B5EF4-FFF2-40B4-BE49-F238E27FC236}">
              <a16:creationId xmlns:a16="http://schemas.microsoft.com/office/drawing/2014/main" id="{05E01869-3356-4000-8C2E-A0AE731798CA}"/>
            </a:ext>
          </a:extLst>
        </xdr:cNvPr>
        <xdr:cNvCxnSpPr>
          <a:cxnSpLocks/>
          <a:stCxn id="79" idx="2"/>
          <a:endCxn id="3" idx="0"/>
        </xdr:cNvCxnSpPr>
      </xdr:nvCxnSpPr>
      <xdr:spPr>
        <a:xfrm flipH="1">
          <a:off x="932029" y="9982966"/>
          <a:ext cx="1631" cy="134938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133561</xdr:colOff>
      <xdr:row>161</xdr:row>
      <xdr:rowOff>42876</xdr:rowOff>
    </xdr:from>
    <xdr:to>
      <xdr:col>10</xdr:col>
      <xdr:colOff>2384</xdr:colOff>
      <xdr:row>164</xdr:row>
      <xdr:rowOff>143647</xdr:rowOff>
    </xdr:to>
    <xdr:cxnSp macro="">
      <xdr:nvCxnSpPr>
        <xdr:cNvPr id="152" name="コネクタ: カギ線 151">
          <a:extLst>
            <a:ext uri="{FF2B5EF4-FFF2-40B4-BE49-F238E27FC236}">
              <a16:creationId xmlns:a16="http://schemas.microsoft.com/office/drawing/2014/main" id="{C81BE615-F237-5556-A4CD-3E872C9FDA75}"/>
            </a:ext>
          </a:extLst>
        </xdr:cNvPr>
        <xdr:cNvCxnSpPr>
          <a:stCxn id="122" idx="2"/>
          <a:endCxn id="3" idx="0"/>
        </xdr:cNvCxnSpPr>
      </xdr:nvCxnSpPr>
      <xdr:spPr>
        <a:xfrm rot="5400000">
          <a:off x="1157692" y="10496370"/>
          <a:ext cx="615121" cy="106318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82550</xdr:colOff>
      <xdr:row>102</xdr:row>
      <xdr:rowOff>104028</xdr:rowOff>
    </xdr:from>
    <xdr:to>
      <xdr:col>58</xdr:col>
      <xdr:colOff>180975</xdr:colOff>
      <xdr:row>150</xdr:row>
      <xdr:rowOff>44824</xdr:rowOff>
    </xdr:to>
    <xdr:sp macro="" textlink="">
      <xdr:nvSpPr>
        <xdr:cNvPr id="164" name="正方形/長方形 163">
          <a:extLst>
            <a:ext uri="{FF2B5EF4-FFF2-40B4-BE49-F238E27FC236}">
              <a16:creationId xmlns:a16="http://schemas.microsoft.com/office/drawing/2014/main" id="{CEA064E2-9D8F-4E03-B4C6-E7463E83B9FF}"/>
            </a:ext>
          </a:extLst>
        </xdr:cNvPr>
        <xdr:cNvSpPr/>
      </xdr:nvSpPr>
      <xdr:spPr>
        <a:xfrm>
          <a:off x="284256" y="6547410"/>
          <a:ext cx="10183719" cy="5487708"/>
        </a:xfrm>
        <a:prstGeom prst="rect">
          <a:avLst/>
        </a:prstGeom>
        <a:noFill/>
        <a:ln w="38100">
          <a:solidFill>
            <a:schemeClr val="accent3"/>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78441</xdr:colOff>
      <xdr:row>102</xdr:row>
      <xdr:rowOff>94690</xdr:rowOff>
    </xdr:from>
    <xdr:to>
      <xdr:col>59</xdr:col>
      <xdr:colOff>28574</xdr:colOff>
      <xdr:row>105</xdr:row>
      <xdr:rowOff>149412</xdr:rowOff>
    </xdr:to>
    <xdr:sp macro="" textlink="">
      <xdr:nvSpPr>
        <xdr:cNvPr id="165" name="正方形/長方形 164">
          <a:extLst>
            <a:ext uri="{FF2B5EF4-FFF2-40B4-BE49-F238E27FC236}">
              <a16:creationId xmlns:a16="http://schemas.microsoft.com/office/drawing/2014/main" id="{8B85116D-DEE1-4A0B-BEDC-E72727B1C5FA}"/>
            </a:ext>
          </a:extLst>
        </xdr:cNvPr>
        <xdr:cNvSpPr/>
      </xdr:nvSpPr>
      <xdr:spPr>
        <a:xfrm>
          <a:off x="8236323" y="5630396"/>
          <a:ext cx="1892486" cy="570192"/>
        </a:xfrm>
        <a:prstGeom prst="rect">
          <a:avLst/>
        </a:prstGeom>
        <a:solidFill>
          <a:schemeClr val="accent3"/>
        </a:solidFill>
        <a:ln w="38100">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solidFill>
                <a:sysClr val="windowText" lastClr="000000"/>
              </a:solidFill>
            </a:rPr>
            <a:t>売掛金相殺処理（</a:t>
          </a:r>
          <a:r>
            <a:rPr kumimoji="1" lang="en-US" altLang="ja-JP" sz="1050">
              <a:solidFill>
                <a:sysClr val="windowText" lastClr="000000"/>
              </a:solidFill>
            </a:rPr>
            <a:t>SEJ</a:t>
          </a:r>
          <a:r>
            <a:rPr kumimoji="1" lang="ja-JP" altLang="en-US" sz="1050">
              <a:solidFill>
                <a:sysClr val="windowText" lastClr="000000"/>
              </a:solidFill>
            </a:rPr>
            <a:t>）</a:t>
          </a:r>
          <a:endParaRPr kumimoji="1" lang="en-US" altLang="ja-JP" sz="1050">
            <a:solidFill>
              <a:sysClr val="windowText" lastClr="000000"/>
            </a:solidFill>
          </a:endParaRPr>
        </a:p>
        <a:p>
          <a:pPr algn="l"/>
          <a:r>
            <a:rPr kumimoji="1" lang="ja-JP" altLang="en-US" sz="1050">
              <a:solidFill>
                <a:sysClr val="windowText" lastClr="000000"/>
              </a:solidFill>
            </a:rPr>
            <a:t>（売掛金＜買掛金）</a:t>
          </a:r>
          <a:endParaRPr kumimoji="1" lang="en-US" altLang="ja-JP" sz="1050">
            <a:solidFill>
              <a:sysClr val="windowText" lastClr="000000"/>
            </a:solidFill>
          </a:endParaRPr>
        </a:p>
      </xdr:txBody>
    </xdr:sp>
    <xdr:clientData/>
  </xdr:twoCellAnchor>
  <xdr:twoCellAnchor>
    <xdr:from>
      <xdr:col>36</xdr:col>
      <xdr:colOff>200956</xdr:colOff>
      <xdr:row>105</xdr:row>
      <xdr:rowOff>29200</xdr:rowOff>
    </xdr:from>
    <xdr:to>
      <xdr:col>42</xdr:col>
      <xdr:colOff>26420</xdr:colOff>
      <xdr:row>109</xdr:row>
      <xdr:rowOff>10150</xdr:rowOff>
    </xdr:to>
    <xdr:grpSp>
      <xdr:nvGrpSpPr>
        <xdr:cNvPr id="40" name="グループ化 39">
          <a:extLst>
            <a:ext uri="{FF2B5EF4-FFF2-40B4-BE49-F238E27FC236}">
              <a16:creationId xmlns:a16="http://schemas.microsoft.com/office/drawing/2014/main" id="{1407F055-E70D-8542-B4BC-F4852E2BE4E7}"/>
            </a:ext>
          </a:extLst>
        </xdr:cNvPr>
        <xdr:cNvGrpSpPr>
          <a:grpSpLocks noChangeAspect="1"/>
        </xdr:cNvGrpSpPr>
      </xdr:nvGrpSpPr>
      <xdr:grpSpPr>
        <a:xfrm>
          <a:off x="6697006" y="18060025"/>
          <a:ext cx="930364" cy="666750"/>
          <a:chOff x="7112000" y="2892425"/>
          <a:chExt cx="873125" cy="584982"/>
        </a:xfrm>
      </xdr:grpSpPr>
      <xdr:sp macro="" textlink="">
        <xdr:nvSpPr>
          <xdr:cNvPr id="41" name="フローチャート: 磁気ディスク 40">
            <a:extLst>
              <a:ext uri="{FF2B5EF4-FFF2-40B4-BE49-F238E27FC236}">
                <a16:creationId xmlns:a16="http://schemas.microsoft.com/office/drawing/2014/main" id="{5C7B3B7A-A9D2-3065-8971-448B4294EB3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2" name="正方形/長方形 41">
            <a:extLst>
              <a:ext uri="{FF2B5EF4-FFF2-40B4-BE49-F238E27FC236}">
                <a16:creationId xmlns:a16="http://schemas.microsoft.com/office/drawing/2014/main" id="{8436ED5F-3909-C5E0-F965-BC398F627736}"/>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ホスト</a:t>
            </a:r>
            <a:endParaRPr kumimoji="1" lang="en-US" altLang="ja-JP" sz="900"/>
          </a:p>
        </xdr:txBody>
      </xdr:sp>
    </xdr:grpSp>
    <xdr:clientData/>
  </xdr:twoCellAnchor>
  <xdr:twoCellAnchor>
    <xdr:from>
      <xdr:col>20</xdr:col>
      <xdr:colOff>154414</xdr:colOff>
      <xdr:row>106</xdr:row>
      <xdr:rowOff>161772</xdr:rowOff>
    </xdr:from>
    <xdr:to>
      <xdr:col>37</xdr:col>
      <xdr:colOff>95046</xdr:colOff>
      <xdr:row>106</xdr:row>
      <xdr:rowOff>167811</xdr:rowOff>
    </xdr:to>
    <xdr:cxnSp macro="">
      <xdr:nvCxnSpPr>
        <xdr:cNvPr id="43" name="直線矢印コネクタ 42">
          <a:extLst>
            <a:ext uri="{FF2B5EF4-FFF2-40B4-BE49-F238E27FC236}">
              <a16:creationId xmlns:a16="http://schemas.microsoft.com/office/drawing/2014/main" id="{447BF7F5-894D-4344-B465-36497EDAA8F8}"/>
            </a:ext>
          </a:extLst>
        </xdr:cNvPr>
        <xdr:cNvCxnSpPr>
          <a:stCxn id="116" idx="3"/>
          <a:endCxn id="41" idx="2"/>
        </xdr:cNvCxnSpPr>
      </xdr:nvCxnSpPr>
      <xdr:spPr>
        <a:xfrm flipV="1">
          <a:off x="3682192" y="18153439"/>
          <a:ext cx="2939243" cy="603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74519</xdr:colOff>
      <xdr:row>150</xdr:row>
      <xdr:rowOff>56030</xdr:rowOff>
    </xdr:from>
    <xdr:to>
      <xdr:col>58</xdr:col>
      <xdr:colOff>163419</xdr:colOff>
      <xdr:row>158</xdr:row>
      <xdr:rowOff>0</xdr:rowOff>
    </xdr:to>
    <xdr:sp macro="" textlink="">
      <xdr:nvSpPr>
        <xdr:cNvPr id="49" name="正方形/長方形 48">
          <a:extLst>
            <a:ext uri="{FF2B5EF4-FFF2-40B4-BE49-F238E27FC236}">
              <a16:creationId xmlns:a16="http://schemas.microsoft.com/office/drawing/2014/main" id="{0AC096D8-23D1-43EC-859F-08B1D222C37E}"/>
            </a:ext>
          </a:extLst>
        </xdr:cNvPr>
        <xdr:cNvSpPr/>
      </xdr:nvSpPr>
      <xdr:spPr>
        <a:xfrm>
          <a:off x="280894" y="21733343"/>
          <a:ext cx="10407650" cy="1340970"/>
        </a:xfrm>
        <a:prstGeom prst="rect">
          <a:avLst/>
        </a:prstGeom>
        <a:noFill/>
        <a:ln w="38100">
          <a:solidFill>
            <a:schemeClr val="accent3"/>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xdr:colOff>
      <xdr:row>150</xdr:row>
      <xdr:rowOff>30442</xdr:rowOff>
    </xdr:from>
    <xdr:to>
      <xdr:col>59</xdr:col>
      <xdr:colOff>1308</xdr:colOff>
      <xdr:row>152</xdr:row>
      <xdr:rowOff>107015</xdr:rowOff>
    </xdr:to>
    <xdr:sp macro="" textlink="">
      <xdr:nvSpPr>
        <xdr:cNvPr id="51" name="正方形/長方形 50">
          <a:extLst>
            <a:ext uri="{FF2B5EF4-FFF2-40B4-BE49-F238E27FC236}">
              <a16:creationId xmlns:a16="http://schemas.microsoft.com/office/drawing/2014/main" id="{8F7AF20E-9803-4200-B77E-F6A4364CAD43}"/>
            </a:ext>
          </a:extLst>
        </xdr:cNvPr>
        <xdr:cNvSpPr/>
      </xdr:nvSpPr>
      <xdr:spPr>
        <a:xfrm>
          <a:off x="8068236" y="12020736"/>
          <a:ext cx="2421778" cy="412750"/>
        </a:xfrm>
        <a:prstGeom prst="rect">
          <a:avLst/>
        </a:prstGeom>
        <a:solidFill>
          <a:schemeClr val="accent3"/>
        </a:solidFill>
        <a:ln w="38100">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solidFill>
                <a:sysClr val="windowText" lastClr="000000"/>
              </a:solidFill>
            </a:rPr>
            <a:t>未収入金相殺処理（</a:t>
          </a:r>
          <a:r>
            <a:rPr kumimoji="1" lang="en-US" altLang="ja-JP" sz="1050">
              <a:solidFill>
                <a:sysClr val="windowText" lastClr="000000"/>
              </a:solidFill>
            </a:rPr>
            <a:t>SSJ,SEJ</a:t>
          </a:r>
          <a:r>
            <a:rPr kumimoji="1" lang="ja-JP" altLang="en-US" sz="1050">
              <a:solidFill>
                <a:sysClr val="windowText" lastClr="000000"/>
              </a:solidFill>
            </a:rPr>
            <a:t>）</a:t>
          </a:r>
        </a:p>
      </xdr:txBody>
    </xdr:sp>
    <xdr:clientData/>
  </xdr:twoCellAnchor>
  <xdr:twoCellAnchor>
    <xdr:from>
      <xdr:col>29</xdr:col>
      <xdr:colOff>156883</xdr:colOff>
      <xdr:row>112</xdr:row>
      <xdr:rowOff>67236</xdr:rowOff>
    </xdr:from>
    <xdr:to>
      <xdr:col>34</xdr:col>
      <xdr:colOff>187379</xdr:colOff>
      <xdr:row>116</xdr:row>
      <xdr:rowOff>54538</xdr:rowOff>
    </xdr:to>
    <xdr:grpSp>
      <xdr:nvGrpSpPr>
        <xdr:cNvPr id="52" name="グループ化 51">
          <a:extLst>
            <a:ext uri="{FF2B5EF4-FFF2-40B4-BE49-F238E27FC236}">
              <a16:creationId xmlns:a16="http://schemas.microsoft.com/office/drawing/2014/main" id="{3D52223E-AC5D-49AE-890B-74B1971BD2F3}"/>
            </a:ext>
          </a:extLst>
        </xdr:cNvPr>
        <xdr:cNvGrpSpPr>
          <a:grpSpLocks noChangeAspect="1"/>
        </xdr:cNvGrpSpPr>
      </xdr:nvGrpSpPr>
      <xdr:grpSpPr>
        <a:xfrm>
          <a:off x="5405158" y="19298211"/>
          <a:ext cx="925846" cy="673102"/>
          <a:chOff x="7112000" y="2892425"/>
          <a:chExt cx="873125" cy="584982"/>
        </a:xfrm>
      </xdr:grpSpPr>
      <xdr:sp macro="" textlink="">
        <xdr:nvSpPr>
          <xdr:cNvPr id="56" name="フローチャート: 磁気ディスク 55">
            <a:extLst>
              <a:ext uri="{FF2B5EF4-FFF2-40B4-BE49-F238E27FC236}">
                <a16:creationId xmlns:a16="http://schemas.microsoft.com/office/drawing/2014/main" id="{15A28D9B-8002-6012-B2B0-04660F508A3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7" name="正方形/長方形 56">
            <a:extLst>
              <a:ext uri="{FF2B5EF4-FFF2-40B4-BE49-F238E27FC236}">
                <a16:creationId xmlns:a16="http://schemas.microsoft.com/office/drawing/2014/main" id="{6F50CED6-DECC-C367-B614-D0610CEEC4DE}"/>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32</xdr:col>
      <xdr:colOff>65332</xdr:colOff>
      <xdr:row>106</xdr:row>
      <xdr:rowOff>157558</xdr:rowOff>
    </xdr:from>
    <xdr:to>
      <xdr:col>41</xdr:col>
      <xdr:colOff>106255</xdr:colOff>
      <xdr:row>112</xdr:row>
      <xdr:rowOff>64061</xdr:rowOff>
    </xdr:to>
    <xdr:cxnSp macro="">
      <xdr:nvCxnSpPr>
        <xdr:cNvPr id="58" name="コネクタ: カギ線 57">
          <a:extLst>
            <a:ext uri="{FF2B5EF4-FFF2-40B4-BE49-F238E27FC236}">
              <a16:creationId xmlns:a16="http://schemas.microsoft.com/office/drawing/2014/main" id="{2EB01D82-D0EC-4CB9-993C-5F953FA15E01}"/>
            </a:ext>
          </a:extLst>
        </xdr:cNvPr>
        <xdr:cNvCxnSpPr>
          <a:stCxn id="41" idx="4"/>
          <a:endCxn id="56" idx="1"/>
        </xdr:cNvCxnSpPr>
      </xdr:nvCxnSpPr>
      <xdr:spPr>
        <a:xfrm flipH="1">
          <a:off x="5107979" y="6264764"/>
          <a:ext cx="1856276" cy="915032"/>
        </a:xfrm>
        <a:prstGeom prst="bentConnector4">
          <a:avLst>
            <a:gd name="adj1" fmla="val -12315"/>
            <a:gd name="adj2" fmla="val 6637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20752</xdr:colOff>
      <xdr:row>158</xdr:row>
      <xdr:rowOff>44823</xdr:rowOff>
    </xdr:from>
    <xdr:to>
      <xdr:col>26</xdr:col>
      <xdr:colOff>158854</xdr:colOff>
      <xdr:row>161</xdr:row>
      <xdr:rowOff>57428</xdr:rowOff>
    </xdr:to>
    <xdr:grpSp>
      <xdr:nvGrpSpPr>
        <xdr:cNvPr id="13" name="グループ化 12">
          <a:extLst>
            <a:ext uri="{FF2B5EF4-FFF2-40B4-BE49-F238E27FC236}">
              <a16:creationId xmlns:a16="http://schemas.microsoft.com/office/drawing/2014/main" id="{DDA74C37-B527-4F61-9709-523A0562F02B}"/>
            </a:ext>
          </a:extLst>
        </xdr:cNvPr>
        <xdr:cNvGrpSpPr/>
      </xdr:nvGrpSpPr>
      <xdr:grpSpPr>
        <a:xfrm>
          <a:off x="3821227" y="27162498"/>
          <a:ext cx="1042977" cy="526955"/>
          <a:chOff x="217092" y="5701906"/>
          <a:chExt cx="1153558" cy="542012"/>
        </a:xfrm>
      </xdr:grpSpPr>
      <xdr:sp macro="" textlink="">
        <xdr:nvSpPr>
          <xdr:cNvPr id="27" name="フローチャート: 他ページ結合子 26">
            <a:extLst>
              <a:ext uri="{FF2B5EF4-FFF2-40B4-BE49-F238E27FC236}">
                <a16:creationId xmlns:a16="http://schemas.microsoft.com/office/drawing/2014/main" id="{1B508809-1920-A3E0-EDFF-ED2283B0E8A9}"/>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8" name="正方形/長方形 48">
            <a:extLst>
              <a:ext uri="{FF2B5EF4-FFF2-40B4-BE49-F238E27FC236}">
                <a16:creationId xmlns:a16="http://schemas.microsoft.com/office/drawing/2014/main" id="{76F37943-3FFF-0A29-2FD0-DEC6208369F8}"/>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４．支払予定修正</a:t>
            </a:r>
            <a:endParaRPr kumimoji="1" lang="en-US" altLang="ja-JP" sz="900">
              <a:solidFill>
                <a:sysClr val="windowText" lastClr="000000"/>
              </a:solidFill>
            </a:endParaRPr>
          </a:p>
          <a:p>
            <a:pPr algn="ctr"/>
            <a:r>
              <a:rPr kumimoji="1" lang="ja-JP" altLang="en-US" sz="900">
                <a:solidFill>
                  <a:sysClr val="windowText" lastClr="000000"/>
                </a:solidFill>
              </a:rPr>
              <a:t>・保留</a:t>
            </a:r>
          </a:p>
        </xdr:txBody>
      </xdr:sp>
    </xdr:grpSp>
    <xdr:clientData/>
  </xdr:twoCellAnchor>
  <xdr:twoCellAnchor>
    <xdr:from>
      <xdr:col>4</xdr:col>
      <xdr:colOff>129967</xdr:colOff>
      <xdr:row>149</xdr:row>
      <xdr:rowOff>105145</xdr:rowOff>
    </xdr:from>
    <xdr:to>
      <xdr:col>18</xdr:col>
      <xdr:colOff>88459</xdr:colOff>
      <xdr:row>153</xdr:row>
      <xdr:rowOff>33623</xdr:rowOff>
    </xdr:to>
    <xdr:cxnSp macro="">
      <xdr:nvCxnSpPr>
        <xdr:cNvPr id="48" name="コネクタ: カギ線 47">
          <a:extLst>
            <a:ext uri="{FF2B5EF4-FFF2-40B4-BE49-F238E27FC236}">
              <a16:creationId xmlns:a16="http://schemas.microsoft.com/office/drawing/2014/main" id="{E944DA7F-D7EE-48F3-962B-E14E50B77A7D}"/>
            </a:ext>
          </a:extLst>
        </xdr:cNvPr>
        <xdr:cNvCxnSpPr>
          <a:stCxn id="73" idx="2"/>
          <a:endCxn id="79" idx="0"/>
        </xdr:cNvCxnSpPr>
      </xdr:nvCxnSpPr>
      <xdr:spPr>
        <a:xfrm rot="5400000">
          <a:off x="1746585" y="23451083"/>
          <a:ext cx="605811" cy="242793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129966</xdr:colOff>
      <xdr:row>161</xdr:row>
      <xdr:rowOff>40386</xdr:rowOff>
    </xdr:from>
    <xdr:to>
      <xdr:col>24</xdr:col>
      <xdr:colOff>98</xdr:colOff>
      <xdr:row>164</xdr:row>
      <xdr:rowOff>140322</xdr:rowOff>
    </xdr:to>
    <xdr:cxnSp macro="">
      <xdr:nvCxnSpPr>
        <xdr:cNvPr id="50" name="コネクタ: カギ線 49">
          <a:extLst>
            <a:ext uri="{FF2B5EF4-FFF2-40B4-BE49-F238E27FC236}">
              <a16:creationId xmlns:a16="http://schemas.microsoft.com/office/drawing/2014/main" id="{1B85EB63-D9E7-421D-8989-703816F95960}"/>
            </a:ext>
          </a:extLst>
        </xdr:cNvPr>
        <xdr:cNvCxnSpPr>
          <a:stCxn id="27" idx="2"/>
          <a:endCxn id="3" idx="0"/>
        </xdr:cNvCxnSpPr>
      </xdr:nvCxnSpPr>
      <xdr:spPr>
        <a:xfrm rot="5400000">
          <a:off x="2230509" y="25950399"/>
          <a:ext cx="607936" cy="339790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186762</xdr:colOff>
      <xdr:row>164</xdr:row>
      <xdr:rowOff>82173</xdr:rowOff>
    </xdr:from>
    <xdr:to>
      <xdr:col>35</xdr:col>
      <xdr:colOff>39652</xdr:colOff>
      <xdr:row>168</xdr:row>
      <xdr:rowOff>63122</xdr:rowOff>
    </xdr:to>
    <xdr:grpSp>
      <xdr:nvGrpSpPr>
        <xdr:cNvPr id="120" name="グループ化 119">
          <a:extLst>
            <a:ext uri="{FF2B5EF4-FFF2-40B4-BE49-F238E27FC236}">
              <a16:creationId xmlns:a16="http://schemas.microsoft.com/office/drawing/2014/main" id="{9550AE6E-F560-43C1-B355-E7F2532AC02F}"/>
            </a:ext>
          </a:extLst>
        </xdr:cNvPr>
        <xdr:cNvGrpSpPr>
          <a:grpSpLocks noChangeAspect="1"/>
        </xdr:cNvGrpSpPr>
      </xdr:nvGrpSpPr>
      <xdr:grpSpPr>
        <a:xfrm>
          <a:off x="5425512" y="28228548"/>
          <a:ext cx="948265" cy="666749"/>
          <a:chOff x="7112000" y="2892425"/>
          <a:chExt cx="873125" cy="584982"/>
        </a:xfrm>
      </xdr:grpSpPr>
      <xdr:sp macro="" textlink="">
        <xdr:nvSpPr>
          <xdr:cNvPr id="133" name="フローチャート: 磁気ディスク 132">
            <a:extLst>
              <a:ext uri="{FF2B5EF4-FFF2-40B4-BE49-F238E27FC236}">
                <a16:creationId xmlns:a16="http://schemas.microsoft.com/office/drawing/2014/main" id="{7E8C0F71-F7CA-E467-EDA9-1C0EDF1522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4" name="正方形/長方形 133">
            <a:extLst>
              <a:ext uri="{FF2B5EF4-FFF2-40B4-BE49-F238E27FC236}">
                <a16:creationId xmlns:a16="http://schemas.microsoft.com/office/drawing/2014/main" id="{25D9C444-808D-1DEF-4C16-E351C56B7280}"/>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支払方法・支払サイト更新バッチ</a:t>
            </a:r>
            <a:endParaRPr kumimoji="1" lang="en-US" altLang="ja-JP" sz="900">
              <a:solidFill>
                <a:srgbClr val="FF0000"/>
              </a:solidFill>
            </a:endParaRPr>
          </a:p>
        </xdr:txBody>
      </xdr:sp>
    </xdr:grpSp>
    <xdr:clientData/>
  </xdr:twoCellAnchor>
  <xdr:twoCellAnchor>
    <xdr:from>
      <xdr:col>30</xdr:col>
      <xdr:colOff>8686</xdr:colOff>
      <xdr:row>183</xdr:row>
      <xdr:rowOff>152504</xdr:rowOff>
    </xdr:from>
    <xdr:to>
      <xdr:col>35</xdr:col>
      <xdr:colOff>26331</xdr:colOff>
      <xdr:row>189</xdr:row>
      <xdr:rowOff>20553</xdr:rowOff>
    </xdr:to>
    <xdr:grpSp>
      <xdr:nvGrpSpPr>
        <xdr:cNvPr id="135" name="グループ化 134">
          <a:extLst>
            <a:ext uri="{FF2B5EF4-FFF2-40B4-BE49-F238E27FC236}">
              <a16:creationId xmlns:a16="http://schemas.microsoft.com/office/drawing/2014/main" id="{C4F5FB5F-58CE-D9EE-2CBB-0F3242EA4549}"/>
            </a:ext>
          </a:extLst>
        </xdr:cNvPr>
        <xdr:cNvGrpSpPr>
          <a:grpSpLocks noChangeAspect="1"/>
        </xdr:cNvGrpSpPr>
      </xdr:nvGrpSpPr>
      <xdr:grpSpPr>
        <a:xfrm>
          <a:off x="5437936" y="31556429"/>
          <a:ext cx="922520" cy="896749"/>
          <a:chOff x="7130216" y="2892425"/>
          <a:chExt cx="873125" cy="787137"/>
        </a:xfrm>
      </xdr:grpSpPr>
      <xdr:sp macro="" textlink="">
        <xdr:nvSpPr>
          <xdr:cNvPr id="136" name="フローチャート: 磁気ディスク 135">
            <a:extLst>
              <a:ext uri="{FF2B5EF4-FFF2-40B4-BE49-F238E27FC236}">
                <a16:creationId xmlns:a16="http://schemas.microsoft.com/office/drawing/2014/main" id="{1B75331B-B758-A4C4-1C19-5A065A1E7153}"/>
              </a:ext>
            </a:extLst>
          </xdr:cNvPr>
          <xdr:cNvSpPr/>
        </xdr:nvSpPr>
        <xdr:spPr>
          <a:xfrm>
            <a:off x="7204076"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8" name="正方形/長方形 137">
            <a:extLst>
              <a:ext uri="{FF2B5EF4-FFF2-40B4-BE49-F238E27FC236}">
                <a16:creationId xmlns:a16="http://schemas.microsoft.com/office/drawing/2014/main" id="{2DB38ACC-4331-6F9F-BDF8-73160078F885}"/>
              </a:ext>
            </a:extLst>
          </xdr:cNvPr>
          <xdr:cNvSpPr/>
        </xdr:nvSpPr>
        <xdr:spPr>
          <a:xfrm>
            <a:off x="7130216" y="2949713"/>
            <a:ext cx="873125" cy="7298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未処理トランザクションレポート</a:t>
            </a:r>
            <a:endParaRPr kumimoji="1" lang="en-US" altLang="ja-JP" sz="900"/>
          </a:p>
        </xdr:txBody>
      </xdr:sp>
    </xdr:grpSp>
    <xdr:clientData/>
  </xdr:twoCellAnchor>
  <xdr:twoCellAnchor>
    <xdr:from>
      <xdr:col>30</xdr:col>
      <xdr:colOff>8129</xdr:colOff>
      <xdr:row>189</xdr:row>
      <xdr:rowOff>40803</xdr:rowOff>
    </xdr:from>
    <xdr:to>
      <xdr:col>35</xdr:col>
      <xdr:colOff>16249</xdr:colOff>
      <xdr:row>194</xdr:row>
      <xdr:rowOff>47997</xdr:rowOff>
    </xdr:to>
    <xdr:grpSp>
      <xdr:nvGrpSpPr>
        <xdr:cNvPr id="139" name="グループ化 138">
          <a:extLst>
            <a:ext uri="{FF2B5EF4-FFF2-40B4-BE49-F238E27FC236}">
              <a16:creationId xmlns:a16="http://schemas.microsoft.com/office/drawing/2014/main" id="{8221A1D1-0435-40E8-C66D-2F8E0350B94B}"/>
            </a:ext>
          </a:extLst>
        </xdr:cNvPr>
        <xdr:cNvGrpSpPr>
          <a:grpSpLocks noChangeAspect="1"/>
        </xdr:cNvGrpSpPr>
      </xdr:nvGrpSpPr>
      <xdr:grpSpPr>
        <a:xfrm>
          <a:off x="5437379" y="32473428"/>
          <a:ext cx="912995" cy="864444"/>
          <a:chOff x="7127189" y="2892425"/>
          <a:chExt cx="873125" cy="828888"/>
        </a:xfrm>
      </xdr:grpSpPr>
      <xdr:sp macro="" textlink="">
        <xdr:nvSpPr>
          <xdr:cNvPr id="140" name="フローチャート: 磁気ディスク 139">
            <a:extLst>
              <a:ext uri="{FF2B5EF4-FFF2-40B4-BE49-F238E27FC236}">
                <a16:creationId xmlns:a16="http://schemas.microsoft.com/office/drawing/2014/main" id="{3E8B81C1-79F2-EFB2-9E25-0C5CF9B276F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1" name="正方形/長方形 140">
            <a:extLst>
              <a:ext uri="{FF2B5EF4-FFF2-40B4-BE49-F238E27FC236}">
                <a16:creationId xmlns:a16="http://schemas.microsoft.com/office/drawing/2014/main" id="{1031D68C-862F-07ED-7CC9-FF5F1BB5E26B}"/>
              </a:ext>
            </a:extLst>
          </xdr:cNvPr>
          <xdr:cNvSpPr/>
        </xdr:nvSpPr>
        <xdr:spPr>
          <a:xfrm>
            <a:off x="7127189" y="2991465"/>
            <a:ext cx="873125" cy="72984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請求書トランザクションレポート</a:t>
            </a:r>
            <a:endParaRPr kumimoji="1" lang="en-US" altLang="ja-JP" sz="900"/>
          </a:p>
        </xdr:txBody>
      </xdr:sp>
    </xdr:grpSp>
    <xdr:clientData/>
  </xdr:twoCellAnchor>
  <xdr:twoCellAnchor>
    <xdr:from>
      <xdr:col>1</xdr:col>
      <xdr:colOff>81026</xdr:colOff>
      <xdr:row>201</xdr:row>
      <xdr:rowOff>52559</xdr:rowOff>
    </xdr:from>
    <xdr:to>
      <xdr:col>8</xdr:col>
      <xdr:colOff>46537</xdr:colOff>
      <xdr:row>206</xdr:row>
      <xdr:rowOff>129815</xdr:rowOff>
    </xdr:to>
    <xdr:grpSp>
      <xdr:nvGrpSpPr>
        <xdr:cNvPr id="159" name="グループ化 158">
          <a:extLst>
            <a:ext uri="{FF2B5EF4-FFF2-40B4-BE49-F238E27FC236}">
              <a16:creationId xmlns:a16="http://schemas.microsoft.com/office/drawing/2014/main" id="{467D1DC0-5CD8-41D3-8B8A-A9151714C71C}"/>
            </a:ext>
          </a:extLst>
        </xdr:cNvPr>
        <xdr:cNvGrpSpPr/>
      </xdr:nvGrpSpPr>
      <xdr:grpSpPr>
        <a:xfrm>
          <a:off x="262001" y="34542584"/>
          <a:ext cx="1232336" cy="934506"/>
          <a:chOff x="1561866" y="2276141"/>
          <a:chExt cx="1137246" cy="720682"/>
        </a:xfrm>
      </xdr:grpSpPr>
      <xdr:sp macro="" textlink="">
        <xdr:nvSpPr>
          <xdr:cNvPr id="160" name="フローチャート: 定義済み処理 159">
            <a:extLst>
              <a:ext uri="{FF2B5EF4-FFF2-40B4-BE49-F238E27FC236}">
                <a16:creationId xmlns:a16="http://schemas.microsoft.com/office/drawing/2014/main" id="{7604BFE4-872C-2A36-2CE0-705167EC672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1" name="正方形/長方形 160">
            <a:extLst>
              <a:ext uri="{FF2B5EF4-FFF2-40B4-BE49-F238E27FC236}">
                <a16:creationId xmlns:a16="http://schemas.microsoft.com/office/drawing/2014/main" id="{1C80DEE6-227C-FDD5-5B21-E77C8077895E}"/>
              </a:ext>
            </a:extLst>
          </xdr:cNvPr>
          <xdr:cNvSpPr/>
        </xdr:nvSpPr>
        <xdr:spPr>
          <a:xfrm>
            <a:off x="1561866" y="2276141"/>
            <a:ext cx="1137246" cy="7206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１１．支払合計表</a:t>
            </a:r>
            <a:endParaRPr kumimoji="1" lang="en-US" altLang="ja-JP" sz="900"/>
          </a:p>
          <a:p>
            <a:pPr algn="ctr"/>
            <a:r>
              <a:rPr kumimoji="1" lang="en-US" altLang="ja-JP" sz="900"/>
              <a:t>/</a:t>
            </a:r>
            <a:r>
              <a:rPr kumimoji="1" lang="ja-JP" altLang="en-US" sz="900"/>
              <a:t>明細表確認・出力</a:t>
            </a:r>
            <a:endParaRPr kumimoji="1" lang="en-US" altLang="ja-JP" sz="900"/>
          </a:p>
        </xdr:txBody>
      </xdr:sp>
    </xdr:grpSp>
    <xdr:clientData/>
  </xdr:twoCellAnchor>
  <xdr:twoCellAnchor>
    <xdr:from>
      <xdr:col>29</xdr:col>
      <xdr:colOff>181990</xdr:colOff>
      <xdr:row>202</xdr:row>
      <xdr:rowOff>36814</xdr:rowOff>
    </xdr:from>
    <xdr:to>
      <xdr:col>35</xdr:col>
      <xdr:colOff>8787</xdr:colOff>
      <xdr:row>207</xdr:row>
      <xdr:rowOff>6370</xdr:rowOff>
    </xdr:to>
    <xdr:grpSp>
      <xdr:nvGrpSpPr>
        <xdr:cNvPr id="166" name="グループ化 165">
          <a:extLst>
            <a:ext uri="{FF2B5EF4-FFF2-40B4-BE49-F238E27FC236}">
              <a16:creationId xmlns:a16="http://schemas.microsoft.com/office/drawing/2014/main" id="{D774769B-8F92-AA81-673A-306D03AE9BDC}"/>
            </a:ext>
          </a:extLst>
        </xdr:cNvPr>
        <xdr:cNvGrpSpPr>
          <a:grpSpLocks noChangeAspect="1"/>
        </xdr:cNvGrpSpPr>
      </xdr:nvGrpSpPr>
      <xdr:grpSpPr>
        <a:xfrm>
          <a:off x="5430265" y="34698289"/>
          <a:ext cx="912647" cy="826806"/>
          <a:chOff x="7110425" y="2858460"/>
          <a:chExt cx="873125" cy="729849"/>
        </a:xfrm>
      </xdr:grpSpPr>
      <xdr:sp macro="" textlink="">
        <xdr:nvSpPr>
          <xdr:cNvPr id="167" name="フローチャート: 磁気ディスク 166">
            <a:extLst>
              <a:ext uri="{FF2B5EF4-FFF2-40B4-BE49-F238E27FC236}">
                <a16:creationId xmlns:a16="http://schemas.microsoft.com/office/drawing/2014/main" id="{28310273-7A48-7C4A-2075-538D23E4144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8" name="正方形/長方形 167">
            <a:extLst>
              <a:ext uri="{FF2B5EF4-FFF2-40B4-BE49-F238E27FC236}">
                <a16:creationId xmlns:a16="http://schemas.microsoft.com/office/drawing/2014/main" id="{110ACE35-F3A0-DBDC-26C3-82770049BF14}"/>
              </a:ext>
            </a:extLst>
          </xdr:cNvPr>
          <xdr:cNvSpPr/>
        </xdr:nvSpPr>
        <xdr:spPr>
          <a:xfrm>
            <a:off x="7110425" y="2858460"/>
            <a:ext cx="873125" cy="7298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支払合計表</a:t>
            </a:r>
            <a:endParaRPr kumimoji="1" lang="en-US" altLang="ja-JP" sz="900"/>
          </a:p>
        </xdr:txBody>
      </xdr:sp>
    </xdr:grpSp>
    <xdr:clientData/>
  </xdr:twoCellAnchor>
  <xdr:twoCellAnchor>
    <xdr:from>
      <xdr:col>6</xdr:col>
      <xdr:colOff>213179</xdr:colOff>
      <xdr:row>204</xdr:row>
      <xdr:rowOff>18754</xdr:rowOff>
    </xdr:from>
    <xdr:to>
      <xdr:col>30</xdr:col>
      <xdr:colOff>83800</xdr:colOff>
      <xdr:row>208</xdr:row>
      <xdr:rowOff>49295</xdr:rowOff>
    </xdr:to>
    <xdr:cxnSp macro="">
      <xdr:nvCxnSpPr>
        <xdr:cNvPr id="172" name="コネクタ: カギ線 171">
          <a:extLst>
            <a:ext uri="{FF2B5EF4-FFF2-40B4-BE49-F238E27FC236}">
              <a16:creationId xmlns:a16="http://schemas.microsoft.com/office/drawing/2014/main" id="{216A095B-0661-4822-A9FB-3EA30731929D}"/>
            </a:ext>
          </a:extLst>
        </xdr:cNvPr>
        <xdr:cNvCxnSpPr>
          <a:cxnSpLocks/>
          <a:stCxn id="39" idx="2"/>
          <a:endCxn id="160" idx="3"/>
        </xdr:cNvCxnSpPr>
      </xdr:nvCxnSpPr>
      <xdr:spPr>
        <a:xfrm rot="10800000">
          <a:off x="1546679" y="30297670"/>
          <a:ext cx="3648871" cy="707875"/>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213178</xdr:colOff>
      <xdr:row>204</xdr:row>
      <xdr:rowOff>18753</xdr:rowOff>
    </xdr:from>
    <xdr:to>
      <xdr:col>30</xdr:col>
      <xdr:colOff>84192</xdr:colOff>
      <xdr:row>204</xdr:row>
      <xdr:rowOff>36171</xdr:rowOff>
    </xdr:to>
    <xdr:cxnSp macro="">
      <xdr:nvCxnSpPr>
        <xdr:cNvPr id="180" name="直線矢印コネクタ 179">
          <a:extLst>
            <a:ext uri="{FF2B5EF4-FFF2-40B4-BE49-F238E27FC236}">
              <a16:creationId xmlns:a16="http://schemas.microsoft.com/office/drawing/2014/main" id="{A973A70B-64F2-4034-B6D9-F0EBCB416B91}"/>
            </a:ext>
          </a:extLst>
        </xdr:cNvPr>
        <xdr:cNvCxnSpPr>
          <a:stCxn id="167" idx="2"/>
          <a:endCxn id="160" idx="3"/>
        </xdr:cNvCxnSpPr>
      </xdr:nvCxnSpPr>
      <xdr:spPr>
        <a:xfrm flipH="1" flipV="1">
          <a:off x="1546678" y="30297669"/>
          <a:ext cx="3649264" cy="1741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115411</xdr:colOff>
      <xdr:row>205</xdr:row>
      <xdr:rowOff>92319</xdr:rowOff>
    </xdr:from>
    <xdr:to>
      <xdr:col>4</xdr:col>
      <xdr:colOff>124118</xdr:colOff>
      <xdr:row>212</xdr:row>
      <xdr:rowOff>30004</xdr:rowOff>
    </xdr:to>
    <xdr:cxnSp macro="">
      <xdr:nvCxnSpPr>
        <xdr:cNvPr id="213" name="直線矢印コネクタ 27">
          <a:extLst>
            <a:ext uri="{FF2B5EF4-FFF2-40B4-BE49-F238E27FC236}">
              <a16:creationId xmlns:a16="http://schemas.microsoft.com/office/drawing/2014/main" id="{35338853-6BCF-4490-BA81-8905775AC757}"/>
            </a:ext>
          </a:extLst>
        </xdr:cNvPr>
        <xdr:cNvCxnSpPr>
          <a:cxnSpLocks/>
          <a:stCxn id="160" idx="2"/>
          <a:endCxn id="184" idx="0"/>
        </xdr:cNvCxnSpPr>
      </xdr:nvCxnSpPr>
      <xdr:spPr>
        <a:xfrm flipH="1">
          <a:off x="892352" y="29683319"/>
          <a:ext cx="5532" cy="234638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16319</xdr:colOff>
      <xdr:row>185</xdr:row>
      <xdr:rowOff>104480</xdr:rowOff>
    </xdr:from>
    <xdr:to>
      <xdr:col>30</xdr:col>
      <xdr:colOff>97656</xdr:colOff>
      <xdr:row>190</xdr:row>
      <xdr:rowOff>147071</xdr:rowOff>
    </xdr:to>
    <xdr:cxnSp macro="">
      <xdr:nvCxnSpPr>
        <xdr:cNvPr id="218" name="コネクタ: カギ線 217">
          <a:extLst>
            <a:ext uri="{FF2B5EF4-FFF2-40B4-BE49-F238E27FC236}">
              <a16:creationId xmlns:a16="http://schemas.microsoft.com/office/drawing/2014/main" id="{7050F99A-5C18-4A1B-A6E7-475EE75D3955}"/>
            </a:ext>
          </a:extLst>
        </xdr:cNvPr>
        <xdr:cNvCxnSpPr>
          <a:cxnSpLocks/>
          <a:stCxn id="140" idx="2"/>
          <a:endCxn id="144" idx="3"/>
        </xdr:cNvCxnSpPr>
      </xdr:nvCxnSpPr>
      <xdr:spPr>
        <a:xfrm rot="10800000">
          <a:off x="1428260" y="25709921"/>
          <a:ext cx="3308631" cy="883032"/>
        </a:xfrm>
        <a:prstGeom prst="bentConnector3">
          <a:avLst>
            <a:gd name="adj1" fmla="val 2426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61073</xdr:colOff>
      <xdr:row>32</xdr:row>
      <xdr:rowOff>129614</xdr:rowOff>
    </xdr:from>
    <xdr:to>
      <xdr:col>7</xdr:col>
      <xdr:colOff>187326</xdr:colOff>
      <xdr:row>35</xdr:row>
      <xdr:rowOff>124103</xdr:rowOff>
    </xdr:to>
    <xdr:grpSp>
      <xdr:nvGrpSpPr>
        <xdr:cNvPr id="83" name="グループ化 82">
          <a:extLst>
            <a:ext uri="{FF2B5EF4-FFF2-40B4-BE49-F238E27FC236}">
              <a16:creationId xmlns:a16="http://schemas.microsoft.com/office/drawing/2014/main" id="{4FB07E3F-4F70-4680-940F-815982C4F821}"/>
            </a:ext>
          </a:extLst>
        </xdr:cNvPr>
        <xdr:cNvGrpSpPr/>
      </xdr:nvGrpSpPr>
      <xdr:grpSpPr>
        <a:xfrm>
          <a:off x="242048" y="5644589"/>
          <a:ext cx="1202578" cy="508839"/>
          <a:chOff x="1527496" y="2454450"/>
          <a:chExt cx="1131760" cy="400203"/>
        </a:xfrm>
      </xdr:grpSpPr>
      <xdr:sp macro="" textlink="">
        <xdr:nvSpPr>
          <xdr:cNvPr id="84" name="フローチャート: 定義済み処理 29">
            <a:extLst>
              <a:ext uri="{FF2B5EF4-FFF2-40B4-BE49-F238E27FC236}">
                <a16:creationId xmlns:a16="http://schemas.microsoft.com/office/drawing/2014/main" id="{003F0B5A-1900-F0BE-654D-E64382CE334F}"/>
              </a:ext>
            </a:extLst>
          </xdr:cNvPr>
          <xdr:cNvSpPr/>
        </xdr:nvSpPr>
        <xdr:spPr>
          <a:xfrm>
            <a:off x="1682750" y="2457450"/>
            <a:ext cx="819150" cy="374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5" name="正方形/長方形 84">
            <a:extLst>
              <a:ext uri="{FF2B5EF4-FFF2-40B4-BE49-F238E27FC236}">
                <a16:creationId xmlns:a16="http://schemas.microsoft.com/office/drawing/2014/main" id="{E7C8C7E1-F716-37D7-66EE-5BC8E7CCD6E3}"/>
              </a:ext>
            </a:extLst>
          </xdr:cNvPr>
          <xdr:cNvSpPr/>
        </xdr:nvSpPr>
        <xdr:spPr>
          <a:xfrm>
            <a:off x="1527496" y="2454450"/>
            <a:ext cx="1131760"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３．相殺依頼</a:t>
            </a:r>
            <a:br>
              <a:rPr kumimoji="1" lang="en-US" altLang="ja-JP" sz="900"/>
            </a:br>
            <a:r>
              <a:rPr kumimoji="1" lang="ja-JP" altLang="en-US" sz="900"/>
              <a:t>内容確認（滋賀ホスト</a:t>
            </a:r>
            <a:endParaRPr kumimoji="1" lang="en-US" altLang="ja-JP" sz="900"/>
          </a:p>
        </xdr:txBody>
      </xdr:sp>
    </xdr:grpSp>
    <xdr:clientData/>
  </xdr:twoCellAnchor>
  <xdr:twoCellAnchor>
    <xdr:from>
      <xdr:col>4</xdr:col>
      <xdr:colOff>116761</xdr:colOff>
      <xdr:row>29</xdr:row>
      <xdr:rowOff>73021</xdr:rowOff>
    </xdr:from>
    <xdr:to>
      <xdr:col>18</xdr:col>
      <xdr:colOff>83815</xdr:colOff>
      <xdr:row>32</xdr:row>
      <xdr:rowOff>133381</xdr:rowOff>
    </xdr:to>
    <xdr:cxnSp macro="">
      <xdr:nvCxnSpPr>
        <xdr:cNvPr id="86" name="コネクタ: カギ線 85">
          <a:extLst>
            <a:ext uri="{FF2B5EF4-FFF2-40B4-BE49-F238E27FC236}">
              <a16:creationId xmlns:a16="http://schemas.microsoft.com/office/drawing/2014/main" id="{D7FEAF7F-D1E2-4AF0-8D2F-0EF6F601A4A6}"/>
            </a:ext>
          </a:extLst>
        </xdr:cNvPr>
        <xdr:cNvCxnSpPr>
          <a:stCxn id="171" idx="2"/>
          <a:endCxn id="84" idx="0"/>
        </xdr:cNvCxnSpPr>
      </xdr:nvCxnSpPr>
      <xdr:spPr>
        <a:xfrm rot="5400000">
          <a:off x="1756386" y="4091952"/>
          <a:ext cx="568360" cy="243649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144565</xdr:colOff>
      <xdr:row>46</xdr:row>
      <xdr:rowOff>107479</xdr:rowOff>
    </xdr:from>
    <xdr:to>
      <xdr:col>9</xdr:col>
      <xdr:colOff>3174</xdr:colOff>
      <xdr:row>49</xdr:row>
      <xdr:rowOff>106149</xdr:rowOff>
    </xdr:to>
    <xdr:grpSp>
      <xdr:nvGrpSpPr>
        <xdr:cNvPr id="87" name="グループ化 86">
          <a:extLst>
            <a:ext uri="{FF2B5EF4-FFF2-40B4-BE49-F238E27FC236}">
              <a16:creationId xmlns:a16="http://schemas.microsoft.com/office/drawing/2014/main" id="{A8DA3EED-FA7C-4114-8305-C4BDC4BCF4CF}"/>
            </a:ext>
          </a:extLst>
        </xdr:cNvPr>
        <xdr:cNvGrpSpPr/>
      </xdr:nvGrpSpPr>
      <xdr:grpSpPr>
        <a:xfrm>
          <a:off x="144565" y="8022754"/>
          <a:ext cx="1487384" cy="513020"/>
          <a:chOff x="2826233" y="2679832"/>
          <a:chExt cx="1385592" cy="400203"/>
        </a:xfrm>
      </xdr:grpSpPr>
      <xdr:sp macro="" textlink="">
        <xdr:nvSpPr>
          <xdr:cNvPr id="88" name="フローチャート: 定義済み処理 87">
            <a:extLst>
              <a:ext uri="{FF2B5EF4-FFF2-40B4-BE49-F238E27FC236}">
                <a16:creationId xmlns:a16="http://schemas.microsoft.com/office/drawing/2014/main" id="{3F3826D6-ED83-C810-42DA-2C918DC63895}"/>
              </a:ext>
            </a:extLst>
          </xdr:cNvPr>
          <xdr:cNvSpPr/>
        </xdr:nvSpPr>
        <xdr:spPr>
          <a:xfrm>
            <a:off x="3066218" y="2693373"/>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9" name="正方形/長方形 88">
            <a:extLst>
              <a:ext uri="{FF2B5EF4-FFF2-40B4-BE49-F238E27FC236}">
                <a16:creationId xmlns:a16="http://schemas.microsoft.com/office/drawing/2014/main" id="{45C98B3A-F9B7-1690-17D1-92D60F323AA3}"/>
              </a:ext>
            </a:extLst>
          </xdr:cNvPr>
          <xdr:cNvSpPr/>
        </xdr:nvSpPr>
        <xdr:spPr>
          <a:xfrm>
            <a:off x="2826233" y="2679832"/>
            <a:ext cx="138559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５．預かり売掛金</a:t>
            </a:r>
            <a:endParaRPr kumimoji="1" lang="en-US" altLang="ja-JP" sz="900"/>
          </a:p>
          <a:p>
            <a:pPr algn="ctr"/>
            <a:r>
              <a:rPr kumimoji="1" lang="ja-JP" altLang="en-US" sz="900"/>
              <a:t>相殺登録（滋賀ホスト）</a:t>
            </a:r>
            <a:endParaRPr kumimoji="1" lang="en-US" altLang="ja-JP" sz="900"/>
          </a:p>
        </xdr:txBody>
      </xdr:sp>
    </xdr:grpSp>
    <xdr:clientData/>
  </xdr:twoCellAnchor>
  <xdr:twoCellAnchor>
    <xdr:from>
      <xdr:col>4</xdr:col>
      <xdr:colOff>121659</xdr:colOff>
      <xdr:row>35</xdr:row>
      <xdr:rowOff>95997</xdr:rowOff>
    </xdr:from>
    <xdr:to>
      <xdr:col>4</xdr:col>
      <xdr:colOff>122472</xdr:colOff>
      <xdr:row>39</xdr:row>
      <xdr:rowOff>6339</xdr:rowOff>
    </xdr:to>
    <xdr:cxnSp macro="">
      <xdr:nvCxnSpPr>
        <xdr:cNvPr id="90" name="直線矢印コネクタ 27">
          <a:extLst>
            <a:ext uri="{FF2B5EF4-FFF2-40B4-BE49-F238E27FC236}">
              <a16:creationId xmlns:a16="http://schemas.microsoft.com/office/drawing/2014/main" id="{048A927F-D6ED-493A-85CB-63414A4392F5}"/>
            </a:ext>
          </a:extLst>
        </xdr:cNvPr>
        <xdr:cNvCxnSpPr>
          <a:cxnSpLocks/>
          <a:stCxn id="84" idx="2"/>
          <a:endCxn id="153" idx="0"/>
        </xdr:cNvCxnSpPr>
      </xdr:nvCxnSpPr>
      <xdr:spPr>
        <a:xfrm flipH="1">
          <a:off x="928483" y="6035115"/>
          <a:ext cx="813" cy="58269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139700</xdr:colOff>
      <xdr:row>46</xdr:row>
      <xdr:rowOff>66675</xdr:rowOff>
    </xdr:from>
    <xdr:to>
      <xdr:col>34</xdr:col>
      <xdr:colOff>183803</xdr:colOff>
      <xdr:row>50</xdr:row>
      <xdr:rowOff>34925</xdr:rowOff>
    </xdr:to>
    <xdr:grpSp>
      <xdr:nvGrpSpPr>
        <xdr:cNvPr id="91" name="グループ化 90">
          <a:extLst>
            <a:ext uri="{FF2B5EF4-FFF2-40B4-BE49-F238E27FC236}">
              <a16:creationId xmlns:a16="http://schemas.microsoft.com/office/drawing/2014/main" id="{58289613-495B-4C98-B03A-26EEAF75D426}"/>
            </a:ext>
          </a:extLst>
        </xdr:cNvPr>
        <xdr:cNvGrpSpPr>
          <a:grpSpLocks noChangeAspect="1"/>
        </xdr:cNvGrpSpPr>
      </xdr:nvGrpSpPr>
      <xdr:grpSpPr>
        <a:xfrm>
          <a:off x="5387975" y="7981950"/>
          <a:ext cx="948978" cy="654050"/>
          <a:chOff x="7112000" y="2892425"/>
          <a:chExt cx="873125" cy="584982"/>
        </a:xfrm>
      </xdr:grpSpPr>
      <xdr:sp macro="" textlink="">
        <xdr:nvSpPr>
          <xdr:cNvPr id="92" name="フローチャート: 磁気ディスク 91">
            <a:extLst>
              <a:ext uri="{FF2B5EF4-FFF2-40B4-BE49-F238E27FC236}">
                <a16:creationId xmlns:a16="http://schemas.microsoft.com/office/drawing/2014/main" id="{24CE1F61-A0FD-B5DF-6532-3EFC77978D0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3" name="正方形/長方形 92">
            <a:extLst>
              <a:ext uri="{FF2B5EF4-FFF2-40B4-BE49-F238E27FC236}">
                <a16:creationId xmlns:a16="http://schemas.microsoft.com/office/drawing/2014/main" id="{6E50FC01-A051-3108-7036-AB3C10EF1598}"/>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支払仕訳帳</a:t>
            </a:r>
            <a:endParaRPr kumimoji="1" lang="en-US" altLang="ja-JP" sz="900"/>
          </a:p>
        </xdr:txBody>
      </xdr:sp>
    </xdr:grpSp>
    <xdr:clientData/>
  </xdr:twoCellAnchor>
  <xdr:twoCellAnchor>
    <xdr:from>
      <xdr:col>7</xdr:col>
      <xdr:colOff>1943</xdr:colOff>
      <xdr:row>48</xdr:row>
      <xdr:rowOff>18684</xdr:rowOff>
    </xdr:from>
    <xdr:to>
      <xdr:col>30</xdr:col>
      <xdr:colOff>52299</xdr:colOff>
      <xdr:row>48</xdr:row>
      <xdr:rowOff>22020</xdr:rowOff>
    </xdr:to>
    <xdr:cxnSp macro="">
      <xdr:nvCxnSpPr>
        <xdr:cNvPr id="94" name="直線矢印コネクタ 93">
          <a:extLst>
            <a:ext uri="{FF2B5EF4-FFF2-40B4-BE49-F238E27FC236}">
              <a16:creationId xmlns:a16="http://schemas.microsoft.com/office/drawing/2014/main" id="{12F04C7D-90F7-4BCB-AC6B-1663F1F6C294}"/>
            </a:ext>
          </a:extLst>
        </xdr:cNvPr>
        <xdr:cNvCxnSpPr>
          <a:stCxn id="88" idx="3"/>
          <a:endCxn id="92" idx="2"/>
        </xdr:cNvCxnSpPr>
      </xdr:nvCxnSpPr>
      <xdr:spPr>
        <a:xfrm>
          <a:off x="1413884" y="20077213"/>
          <a:ext cx="3274475" cy="333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116940</xdr:colOff>
      <xdr:row>49</xdr:row>
      <xdr:rowOff>90940</xdr:rowOff>
    </xdr:from>
    <xdr:to>
      <xdr:col>11</xdr:col>
      <xdr:colOff>79553</xdr:colOff>
      <xdr:row>53</xdr:row>
      <xdr:rowOff>88930</xdr:rowOff>
    </xdr:to>
    <xdr:cxnSp macro="">
      <xdr:nvCxnSpPr>
        <xdr:cNvPr id="98" name="コネクタ: カギ線 97">
          <a:extLst>
            <a:ext uri="{FF2B5EF4-FFF2-40B4-BE49-F238E27FC236}">
              <a16:creationId xmlns:a16="http://schemas.microsoft.com/office/drawing/2014/main" id="{008D7034-44B5-4B76-9D60-AAC6FF505680}"/>
            </a:ext>
          </a:extLst>
        </xdr:cNvPr>
        <xdr:cNvCxnSpPr>
          <a:stCxn id="88" idx="2"/>
          <a:endCxn id="45" idx="0"/>
        </xdr:cNvCxnSpPr>
      </xdr:nvCxnSpPr>
      <xdr:spPr>
        <a:xfrm rot="16200000" flipH="1">
          <a:off x="1083502" y="8169601"/>
          <a:ext cx="675323" cy="119733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85725</xdr:colOff>
      <xdr:row>13</xdr:row>
      <xdr:rowOff>163233</xdr:rowOff>
    </xdr:from>
    <xdr:to>
      <xdr:col>58</xdr:col>
      <xdr:colOff>177800</xdr:colOff>
      <xdr:row>72</xdr:row>
      <xdr:rowOff>78441</xdr:rowOff>
    </xdr:to>
    <xdr:sp macro="" textlink="">
      <xdr:nvSpPr>
        <xdr:cNvPr id="100" name="正方形/長方形 99">
          <a:extLst>
            <a:ext uri="{FF2B5EF4-FFF2-40B4-BE49-F238E27FC236}">
              <a16:creationId xmlns:a16="http://schemas.microsoft.com/office/drawing/2014/main" id="{29F7A90A-2090-4638-964B-ADACC116D019}"/>
            </a:ext>
          </a:extLst>
        </xdr:cNvPr>
        <xdr:cNvSpPr/>
      </xdr:nvSpPr>
      <xdr:spPr>
        <a:xfrm>
          <a:off x="287431" y="2404409"/>
          <a:ext cx="10177369" cy="7815356"/>
        </a:xfrm>
        <a:prstGeom prst="rect">
          <a:avLst/>
        </a:prstGeom>
        <a:noFill/>
        <a:ln w="38100">
          <a:solidFill>
            <a:schemeClr val="accent3"/>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13356</xdr:colOff>
      <xdr:row>12</xdr:row>
      <xdr:rowOff>83158</xdr:rowOff>
    </xdr:from>
    <xdr:to>
      <xdr:col>59</xdr:col>
      <xdr:colOff>47627</xdr:colOff>
      <xdr:row>16</xdr:row>
      <xdr:rowOff>23812</xdr:rowOff>
    </xdr:to>
    <xdr:sp macro="" textlink="">
      <xdr:nvSpPr>
        <xdr:cNvPr id="101" name="正方形/長方形 100">
          <a:extLst>
            <a:ext uri="{FF2B5EF4-FFF2-40B4-BE49-F238E27FC236}">
              <a16:creationId xmlns:a16="http://schemas.microsoft.com/office/drawing/2014/main" id="{493FB5CC-7965-402B-88AD-45379A309385}"/>
            </a:ext>
          </a:extLst>
        </xdr:cNvPr>
        <xdr:cNvSpPr/>
      </xdr:nvSpPr>
      <xdr:spPr>
        <a:xfrm>
          <a:off x="7157106" y="2142939"/>
          <a:ext cx="2177396" cy="607404"/>
        </a:xfrm>
        <a:prstGeom prst="rect">
          <a:avLst/>
        </a:prstGeom>
        <a:solidFill>
          <a:schemeClr val="accent3"/>
        </a:solidFill>
        <a:ln w="38100">
          <a:no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solidFill>
                <a:sysClr val="windowText" lastClr="000000"/>
              </a:solidFill>
            </a:rPr>
            <a:t>売掛金相殺処理（滋賀ホスト）</a:t>
          </a:r>
          <a:endParaRPr kumimoji="1" lang="en-US" altLang="ja-JP" sz="1050">
            <a:solidFill>
              <a:sysClr val="windowText" lastClr="000000"/>
            </a:solidFill>
          </a:endParaRPr>
        </a:p>
        <a:p>
          <a:pPr algn="l"/>
          <a:r>
            <a:rPr kumimoji="1" lang="ja-JP" altLang="en-US" sz="1050">
              <a:solidFill>
                <a:sysClr val="windowText" lastClr="000000"/>
              </a:solidFill>
            </a:rPr>
            <a:t>（売掛金＞買掛金）</a:t>
          </a:r>
          <a:endParaRPr kumimoji="1" lang="en-US" altLang="ja-JP" sz="1050">
            <a:solidFill>
              <a:sysClr val="windowText" lastClr="000000"/>
            </a:solidFill>
          </a:endParaRPr>
        </a:p>
      </xdr:txBody>
    </xdr:sp>
    <xdr:clientData/>
  </xdr:twoCellAnchor>
  <xdr:twoCellAnchor>
    <xdr:from>
      <xdr:col>37</xdr:col>
      <xdr:colOff>2342</xdr:colOff>
      <xdr:row>15</xdr:row>
      <xdr:rowOff>128802</xdr:rowOff>
    </xdr:from>
    <xdr:to>
      <xdr:col>42</xdr:col>
      <xdr:colOff>29595</xdr:colOff>
      <xdr:row>19</xdr:row>
      <xdr:rowOff>128802</xdr:rowOff>
    </xdr:to>
    <xdr:grpSp>
      <xdr:nvGrpSpPr>
        <xdr:cNvPr id="107" name="グループ化 106">
          <a:extLst>
            <a:ext uri="{FF2B5EF4-FFF2-40B4-BE49-F238E27FC236}">
              <a16:creationId xmlns:a16="http://schemas.microsoft.com/office/drawing/2014/main" id="{65548DC2-2FC8-4D3A-8C1C-8F8AD0FCC8F2}"/>
            </a:ext>
          </a:extLst>
        </xdr:cNvPr>
        <xdr:cNvGrpSpPr>
          <a:grpSpLocks noChangeAspect="1"/>
        </xdr:cNvGrpSpPr>
      </xdr:nvGrpSpPr>
      <xdr:grpSpPr>
        <a:xfrm>
          <a:off x="6698417" y="2729127"/>
          <a:ext cx="932128" cy="685800"/>
          <a:chOff x="7112000" y="2892425"/>
          <a:chExt cx="873125" cy="584982"/>
        </a:xfrm>
      </xdr:grpSpPr>
      <xdr:sp macro="" textlink="">
        <xdr:nvSpPr>
          <xdr:cNvPr id="108" name="フローチャート: 磁気ディスク 107">
            <a:extLst>
              <a:ext uri="{FF2B5EF4-FFF2-40B4-BE49-F238E27FC236}">
                <a16:creationId xmlns:a16="http://schemas.microsoft.com/office/drawing/2014/main" id="{041BCC5C-EFBA-4B8B-F6D3-BE623C40D9E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4" name="正方形/長方形 113">
            <a:extLst>
              <a:ext uri="{FF2B5EF4-FFF2-40B4-BE49-F238E27FC236}">
                <a16:creationId xmlns:a16="http://schemas.microsoft.com/office/drawing/2014/main" id="{9E42495F-B764-FC11-E602-08B2A5B15E94}"/>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ホスト</a:t>
            </a:r>
            <a:endParaRPr kumimoji="1" lang="en-US" altLang="ja-JP" sz="900"/>
          </a:p>
        </xdr:txBody>
      </xdr:sp>
    </xdr:grpSp>
    <xdr:clientData/>
  </xdr:twoCellAnchor>
  <xdr:twoCellAnchor>
    <xdr:from>
      <xdr:col>20</xdr:col>
      <xdr:colOff>160464</xdr:colOff>
      <xdr:row>17</xdr:row>
      <xdr:rowOff>99075</xdr:rowOff>
    </xdr:from>
    <xdr:to>
      <xdr:col>37</xdr:col>
      <xdr:colOff>98221</xdr:colOff>
      <xdr:row>17</xdr:row>
      <xdr:rowOff>100778</xdr:rowOff>
    </xdr:to>
    <xdr:cxnSp macro="">
      <xdr:nvCxnSpPr>
        <xdr:cNvPr id="115" name="直線矢印コネクタ 114">
          <a:extLst>
            <a:ext uri="{FF2B5EF4-FFF2-40B4-BE49-F238E27FC236}">
              <a16:creationId xmlns:a16="http://schemas.microsoft.com/office/drawing/2014/main" id="{89AF6483-87A5-4355-BE97-243A5AA5F854}"/>
            </a:ext>
          </a:extLst>
        </xdr:cNvPr>
        <xdr:cNvCxnSpPr>
          <a:stCxn id="202" idx="3"/>
          <a:endCxn id="108" idx="2"/>
        </xdr:cNvCxnSpPr>
      </xdr:nvCxnSpPr>
      <xdr:spPr>
        <a:xfrm>
          <a:off x="3688242" y="3020075"/>
          <a:ext cx="2936368" cy="170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160058</xdr:colOff>
      <xdr:row>26</xdr:row>
      <xdr:rowOff>54532</xdr:rowOff>
    </xdr:from>
    <xdr:to>
      <xdr:col>34</xdr:col>
      <xdr:colOff>187379</xdr:colOff>
      <xdr:row>30</xdr:row>
      <xdr:rowOff>73585</xdr:rowOff>
    </xdr:to>
    <xdr:grpSp>
      <xdr:nvGrpSpPr>
        <xdr:cNvPr id="118" name="グループ化 117">
          <a:extLst>
            <a:ext uri="{FF2B5EF4-FFF2-40B4-BE49-F238E27FC236}">
              <a16:creationId xmlns:a16="http://schemas.microsoft.com/office/drawing/2014/main" id="{33FE7218-C309-4213-979F-DADB519E445B}"/>
            </a:ext>
          </a:extLst>
        </xdr:cNvPr>
        <xdr:cNvGrpSpPr>
          <a:grpSpLocks noChangeAspect="1"/>
        </xdr:cNvGrpSpPr>
      </xdr:nvGrpSpPr>
      <xdr:grpSpPr>
        <a:xfrm>
          <a:off x="5408333" y="4540807"/>
          <a:ext cx="922671" cy="704853"/>
          <a:chOff x="7112000" y="2892425"/>
          <a:chExt cx="873125" cy="584982"/>
        </a:xfrm>
      </xdr:grpSpPr>
      <xdr:sp macro="" textlink="">
        <xdr:nvSpPr>
          <xdr:cNvPr id="119" name="フローチャート: 磁気ディスク 118">
            <a:extLst>
              <a:ext uri="{FF2B5EF4-FFF2-40B4-BE49-F238E27FC236}">
                <a16:creationId xmlns:a16="http://schemas.microsoft.com/office/drawing/2014/main" id="{45BF6B3B-7FCE-218A-CD5F-2AD5DA1D14C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2" name="正方形/長方形 141">
            <a:extLst>
              <a:ext uri="{FF2B5EF4-FFF2-40B4-BE49-F238E27FC236}">
                <a16:creationId xmlns:a16="http://schemas.microsoft.com/office/drawing/2014/main" id="{B62CAAFB-9EB0-8D13-90AD-C9DF86349385}"/>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32</xdr:col>
      <xdr:colOff>72654</xdr:colOff>
      <xdr:row>17</xdr:row>
      <xdr:rowOff>100778</xdr:rowOff>
    </xdr:from>
    <xdr:to>
      <xdr:col>41</xdr:col>
      <xdr:colOff>96880</xdr:colOff>
      <xdr:row>26</xdr:row>
      <xdr:rowOff>54532</xdr:rowOff>
    </xdr:to>
    <xdr:cxnSp macro="">
      <xdr:nvCxnSpPr>
        <xdr:cNvPr id="148" name="コネクタ: カギ線 147">
          <a:extLst>
            <a:ext uri="{FF2B5EF4-FFF2-40B4-BE49-F238E27FC236}">
              <a16:creationId xmlns:a16="http://schemas.microsoft.com/office/drawing/2014/main" id="{E08537E6-ED9C-4F06-B34F-72C254C85B57}"/>
            </a:ext>
          </a:extLst>
        </xdr:cNvPr>
        <xdr:cNvCxnSpPr>
          <a:stCxn id="108" idx="4"/>
          <a:endCxn id="119" idx="1"/>
        </xdr:cNvCxnSpPr>
      </xdr:nvCxnSpPr>
      <xdr:spPr>
        <a:xfrm flipH="1">
          <a:off x="5717098" y="3021778"/>
          <a:ext cx="1611726" cy="1477754"/>
        </a:xfrm>
        <a:prstGeom prst="bentConnector4">
          <a:avLst>
            <a:gd name="adj1" fmla="val -14184"/>
            <a:gd name="adj2" fmla="val 6051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123262</xdr:colOff>
      <xdr:row>38</xdr:row>
      <xdr:rowOff>147261</xdr:rowOff>
    </xdr:from>
    <xdr:to>
      <xdr:col>7</xdr:col>
      <xdr:colOff>193900</xdr:colOff>
      <xdr:row>41</xdr:row>
      <xdr:rowOff>157320</xdr:rowOff>
    </xdr:to>
    <xdr:grpSp>
      <xdr:nvGrpSpPr>
        <xdr:cNvPr id="151" name="グループ化 150">
          <a:extLst>
            <a:ext uri="{FF2B5EF4-FFF2-40B4-BE49-F238E27FC236}">
              <a16:creationId xmlns:a16="http://schemas.microsoft.com/office/drawing/2014/main" id="{EBC2FCC0-E694-FDA0-2566-02FADB87A91B}"/>
            </a:ext>
          </a:extLst>
        </xdr:cNvPr>
        <xdr:cNvGrpSpPr/>
      </xdr:nvGrpSpPr>
      <xdr:grpSpPr>
        <a:xfrm>
          <a:off x="304237" y="6690936"/>
          <a:ext cx="1146963" cy="524409"/>
          <a:chOff x="2966220" y="2669736"/>
          <a:chExt cx="1087638" cy="400203"/>
        </a:xfrm>
      </xdr:grpSpPr>
      <xdr:sp macro="" textlink="">
        <xdr:nvSpPr>
          <xdr:cNvPr id="153" name="フローチャート: 定義済み処理 152">
            <a:extLst>
              <a:ext uri="{FF2B5EF4-FFF2-40B4-BE49-F238E27FC236}">
                <a16:creationId xmlns:a16="http://schemas.microsoft.com/office/drawing/2014/main" id="{278B6573-FD73-611A-EF0F-188DA58E4C41}"/>
              </a:ext>
            </a:extLst>
          </xdr:cNvPr>
          <xdr:cNvSpPr/>
        </xdr:nvSpPr>
        <xdr:spPr>
          <a:xfrm>
            <a:off x="3066218" y="2693373"/>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4" name="正方形/長方形 153">
            <a:extLst>
              <a:ext uri="{FF2B5EF4-FFF2-40B4-BE49-F238E27FC236}">
                <a16:creationId xmlns:a16="http://schemas.microsoft.com/office/drawing/2014/main" id="{82A4EECD-68AA-BAE0-301E-1B30DAB43DB0}"/>
              </a:ext>
            </a:extLst>
          </xdr:cNvPr>
          <xdr:cNvSpPr/>
        </xdr:nvSpPr>
        <xdr:spPr>
          <a:xfrm>
            <a:off x="2966220" y="2669736"/>
            <a:ext cx="1087638"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４．買掛金残高</a:t>
            </a:r>
            <a:endParaRPr kumimoji="1" lang="en-US" altLang="ja-JP" sz="900"/>
          </a:p>
          <a:p>
            <a:pPr algn="ctr"/>
            <a:r>
              <a:rPr kumimoji="1" lang="ja-JP" altLang="en-US" sz="900"/>
              <a:t>確認（滋賀ホスト）</a:t>
            </a:r>
            <a:endParaRPr kumimoji="1" lang="en-US" altLang="ja-JP" sz="900"/>
          </a:p>
        </xdr:txBody>
      </xdr:sp>
    </xdr:grpSp>
    <xdr:clientData/>
  </xdr:twoCellAnchor>
  <xdr:twoCellAnchor>
    <xdr:from>
      <xdr:col>29</xdr:col>
      <xdr:colOff>160058</xdr:colOff>
      <xdr:row>38</xdr:row>
      <xdr:rowOff>89832</xdr:rowOff>
    </xdr:from>
    <xdr:to>
      <xdr:col>34</xdr:col>
      <xdr:colOff>187379</xdr:colOff>
      <xdr:row>42</xdr:row>
      <xdr:rowOff>108884</xdr:rowOff>
    </xdr:to>
    <xdr:grpSp>
      <xdr:nvGrpSpPr>
        <xdr:cNvPr id="37" name="グループ化 156">
          <a:extLst>
            <a:ext uri="{FF2B5EF4-FFF2-40B4-BE49-F238E27FC236}">
              <a16:creationId xmlns:a16="http://schemas.microsoft.com/office/drawing/2014/main" id="{91965C7C-9F3B-F207-33A3-4359587F0647}"/>
            </a:ext>
          </a:extLst>
        </xdr:cNvPr>
        <xdr:cNvGrpSpPr>
          <a:grpSpLocks noChangeAspect="1"/>
        </xdr:cNvGrpSpPr>
      </xdr:nvGrpSpPr>
      <xdr:grpSpPr>
        <a:xfrm>
          <a:off x="5408333" y="6633507"/>
          <a:ext cx="922671" cy="704852"/>
          <a:chOff x="7112000" y="2892425"/>
          <a:chExt cx="873125" cy="584982"/>
        </a:xfrm>
      </xdr:grpSpPr>
      <xdr:sp macro="" textlink="">
        <xdr:nvSpPr>
          <xdr:cNvPr id="46" name="フローチャート: 磁気ディスク 157">
            <a:extLst>
              <a:ext uri="{FF2B5EF4-FFF2-40B4-BE49-F238E27FC236}">
                <a16:creationId xmlns:a16="http://schemas.microsoft.com/office/drawing/2014/main" id="{F8212FA1-9F97-4AE4-D7A1-022BCA3BA17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0" name="正方形/長方形 161">
            <a:extLst>
              <a:ext uri="{FF2B5EF4-FFF2-40B4-BE49-F238E27FC236}">
                <a16:creationId xmlns:a16="http://schemas.microsoft.com/office/drawing/2014/main" id="{D53A3F28-1DB6-B189-AB7A-1416F58FFBC1}"/>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仕入先残高リスト</a:t>
            </a:r>
            <a:endParaRPr kumimoji="1" lang="en-US" altLang="ja-JP" sz="900"/>
          </a:p>
        </xdr:txBody>
      </xdr:sp>
    </xdr:grpSp>
    <xdr:clientData/>
  </xdr:twoCellAnchor>
  <xdr:twoCellAnchor>
    <xdr:from>
      <xdr:col>6</xdr:col>
      <xdr:colOff>200356</xdr:colOff>
      <xdr:row>40</xdr:row>
      <xdr:rowOff>70751</xdr:rowOff>
    </xdr:from>
    <xdr:to>
      <xdr:col>30</xdr:col>
      <xdr:colOff>67587</xdr:colOff>
      <xdr:row>40</xdr:row>
      <xdr:rowOff>82376</xdr:rowOff>
    </xdr:to>
    <xdr:cxnSp macro="">
      <xdr:nvCxnSpPr>
        <xdr:cNvPr id="163" name="直線矢印コネクタ 162">
          <a:extLst>
            <a:ext uri="{FF2B5EF4-FFF2-40B4-BE49-F238E27FC236}">
              <a16:creationId xmlns:a16="http://schemas.microsoft.com/office/drawing/2014/main" id="{623358CD-BB90-45D6-A6BE-E523CB8C3D3F}"/>
            </a:ext>
          </a:extLst>
        </xdr:cNvPr>
        <xdr:cNvCxnSpPr>
          <a:stCxn id="158" idx="2"/>
          <a:endCxn id="153" idx="3"/>
        </xdr:cNvCxnSpPr>
      </xdr:nvCxnSpPr>
      <xdr:spPr>
        <a:xfrm flipH="1">
          <a:off x="1410591" y="6850310"/>
          <a:ext cx="3296231" cy="1162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120122</xdr:colOff>
      <xdr:row>41</xdr:row>
      <xdr:rowOff>158002</xdr:rowOff>
    </xdr:from>
    <xdr:to>
      <xdr:col>4</xdr:col>
      <xdr:colOff>121425</xdr:colOff>
      <xdr:row>46</xdr:row>
      <xdr:rowOff>118361</xdr:rowOff>
    </xdr:to>
    <xdr:cxnSp macro="">
      <xdr:nvCxnSpPr>
        <xdr:cNvPr id="176" name="直線矢印コネクタ 27">
          <a:extLst>
            <a:ext uri="{FF2B5EF4-FFF2-40B4-BE49-F238E27FC236}">
              <a16:creationId xmlns:a16="http://schemas.microsoft.com/office/drawing/2014/main" id="{58471E1B-0035-4FF3-B3CF-33A1E7B35592}"/>
            </a:ext>
          </a:extLst>
        </xdr:cNvPr>
        <xdr:cNvCxnSpPr>
          <a:cxnSpLocks/>
          <a:stCxn id="153" idx="2"/>
          <a:endCxn id="88" idx="0"/>
        </xdr:cNvCxnSpPr>
      </xdr:nvCxnSpPr>
      <xdr:spPr>
        <a:xfrm flipH="1">
          <a:off x="926946" y="7105649"/>
          <a:ext cx="1303" cy="8008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95</xdr:colOff>
      <xdr:row>194</xdr:row>
      <xdr:rowOff>29602</xdr:rowOff>
    </xdr:from>
    <xdr:to>
      <xdr:col>35</xdr:col>
      <xdr:colOff>11390</xdr:colOff>
      <xdr:row>198</xdr:row>
      <xdr:rowOff>31937</xdr:rowOff>
    </xdr:to>
    <xdr:grpSp>
      <xdr:nvGrpSpPr>
        <xdr:cNvPr id="196" name="グループ化 195">
          <a:extLst>
            <a:ext uri="{FF2B5EF4-FFF2-40B4-BE49-F238E27FC236}">
              <a16:creationId xmlns:a16="http://schemas.microsoft.com/office/drawing/2014/main" id="{CE53E9D0-F3EC-5C08-58CA-4B9E23E3A2D6}"/>
            </a:ext>
          </a:extLst>
        </xdr:cNvPr>
        <xdr:cNvGrpSpPr>
          <a:grpSpLocks noChangeAspect="1"/>
        </xdr:cNvGrpSpPr>
      </xdr:nvGrpSpPr>
      <xdr:grpSpPr>
        <a:xfrm>
          <a:off x="5429345" y="33319477"/>
          <a:ext cx="916170" cy="688135"/>
          <a:chOff x="7117593" y="2892425"/>
          <a:chExt cx="873125" cy="660333"/>
        </a:xfrm>
      </xdr:grpSpPr>
      <xdr:sp macro="" textlink="">
        <xdr:nvSpPr>
          <xdr:cNvPr id="199" name="フローチャート: 磁気ディスク 198">
            <a:extLst>
              <a:ext uri="{FF2B5EF4-FFF2-40B4-BE49-F238E27FC236}">
                <a16:creationId xmlns:a16="http://schemas.microsoft.com/office/drawing/2014/main" id="{1FB83099-A760-BAAA-0140-9E16396B84C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0" name="正方形/長方形 199">
            <a:extLst>
              <a:ext uri="{FF2B5EF4-FFF2-40B4-BE49-F238E27FC236}">
                <a16:creationId xmlns:a16="http://schemas.microsoft.com/office/drawing/2014/main" id="{4C41AA72-D74B-7A2B-21BA-42CEFD59F301}"/>
              </a:ext>
            </a:extLst>
          </xdr:cNvPr>
          <xdr:cNvSpPr/>
        </xdr:nvSpPr>
        <xdr:spPr>
          <a:xfrm>
            <a:off x="7117593" y="2956800"/>
            <a:ext cx="873125" cy="5959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残高リスト</a:t>
            </a:r>
            <a:endParaRPr kumimoji="1" lang="en-US" altLang="ja-JP" sz="900"/>
          </a:p>
        </xdr:txBody>
      </xdr:sp>
    </xdr:grpSp>
    <xdr:clientData/>
  </xdr:twoCellAnchor>
  <xdr:twoCellAnchor>
    <xdr:from>
      <xdr:col>7</xdr:col>
      <xdr:colOff>16321</xdr:colOff>
      <xdr:row>185</xdr:row>
      <xdr:rowOff>107655</xdr:rowOff>
    </xdr:from>
    <xdr:to>
      <xdr:col>30</xdr:col>
      <xdr:colOff>100794</xdr:colOff>
      <xdr:row>195</xdr:row>
      <xdr:rowOff>132458</xdr:rowOff>
    </xdr:to>
    <xdr:cxnSp macro="">
      <xdr:nvCxnSpPr>
        <xdr:cNvPr id="212" name="コネクタ: カギ線 211">
          <a:extLst>
            <a:ext uri="{FF2B5EF4-FFF2-40B4-BE49-F238E27FC236}">
              <a16:creationId xmlns:a16="http://schemas.microsoft.com/office/drawing/2014/main" id="{04FD4533-D9F2-428A-9F2C-12606631C7AB}"/>
            </a:ext>
          </a:extLst>
        </xdr:cNvPr>
        <xdr:cNvCxnSpPr>
          <a:cxnSpLocks/>
          <a:stCxn id="199" idx="2"/>
        </xdr:cNvCxnSpPr>
      </xdr:nvCxnSpPr>
      <xdr:spPr>
        <a:xfrm rot="10800000">
          <a:off x="1428262" y="25713096"/>
          <a:ext cx="3311767" cy="1705686"/>
        </a:xfrm>
        <a:prstGeom prst="bentConnector3">
          <a:avLst>
            <a:gd name="adj1" fmla="val 24309"/>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14544</xdr:colOff>
      <xdr:row>166</xdr:row>
      <xdr:rowOff>37420</xdr:rowOff>
    </xdr:from>
    <xdr:to>
      <xdr:col>30</xdr:col>
      <xdr:colOff>94327</xdr:colOff>
      <xdr:row>166</xdr:row>
      <xdr:rowOff>48793</xdr:rowOff>
    </xdr:to>
    <xdr:cxnSp macro="">
      <xdr:nvCxnSpPr>
        <xdr:cNvPr id="6" name="直線矢印コネクタ 5">
          <a:extLst>
            <a:ext uri="{FF2B5EF4-FFF2-40B4-BE49-F238E27FC236}">
              <a16:creationId xmlns:a16="http://schemas.microsoft.com/office/drawing/2014/main" id="{358D32AC-9500-4BB2-ACFE-1A99621C3FAD}"/>
            </a:ext>
          </a:extLst>
        </xdr:cNvPr>
        <xdr:cNvCxnSpPr>
          <a:stCxn id="3" idx="3"/>
          <a:endCxn id="133" idx="2"/>
        </xdr:cNvCxnSpPr>
      </xdr:nvCxnSpPr>
      <xdr:spPr>
        <a:xfrm>
          <a:off x="1426485" y="23625802"/>
          <a:ext cx="3307077" cy="1137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155004</xdr:colOff>
      <xdr:row>206</xdr:row>
      <xdr:rowOff>49090</xdr:rowOff>
    </xdr:from>
    <xdr:to>
      <xdr:col>36</xdr:col>
      <xdr:colOff>62707</xdr:colOff>
      <xdr:row>211</xdr:row>
      <xdr:rowOff>17800</xdr:rowOff>
    </xdr:to>
    <xdr:grpSp>
      <xdr:nvGrpSpPr>
        <xdr:cNvPr id="10" name="グループ化 9">
          <a:extLst>
            <a:ext uri="{FF2B5EF4-FFF2-40B4-BE49-F238E27FC236}">
              <a16:creationId xmlns:a16="http://schemas.microsoft.com/office/drawing/2014/main" id="{DF11CEEA-1B93-42E6-55F7-145C2FBB03A7}"/>
            </a:ext>
          </a:extLst>
        </xdr:cNvPr>
        <xdr:cNvGrpSpPr>
          <a:grpSpLocks noChangeAspect="1"/>
        </xdr:cNvGrpSpPr>
      </xdr:nvGrpSpPr>
      <xdr:grpSpPr>
        <a:xfrm>
          <a:off x="5222304" y="35396365"/>
          <a:ext cx="1355503" cy="825960"/>
          <a:chOff x="6914725" y="2858460"/>
          <a:chExt cx="1292174" cy="729849"/>
        </a:xfrm>
      </xdr:grpSpPr>
      <xdr:sp macro="" textlink="">
        <xdr:nvSpPr>
          <xdr:cNvPr id="39" name="フローチャート: 磁気ディスク 38">
            <a:extLst>
              <a:ext uri="{FF2B5EF4-FFF2-40B4-BE49-F238E27FC236}">
                <a16:creationId xmlns:a16="http://schemas.microsoft.com/office/drawing/2014/main" id="{D44E8AEF-DF02-6B65-B676-7BA09D4D591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solidFill>
                <a:srgbClr val="FF0000"/>
              </a:solidFill>
            </a:endParaRPr>
          </a:p>
        </xdr:txBody>
      </xdr:sp>
      <xdr:sp macro="" textlink="">
        <xdr:nvSpPr>
          <xdr:cNvPr id="44" name="正方形/長方形 43">
            <a:extLst>
              <a:ext uri="{FF2B5EF4-FFF2-40B4-BE49-F238E27FC236}">
                <a16:creationId xmlns:a16="http://schemas.microsoft.com/office/drawing/2014/main" id="{93C7967A-829B-0DC5-F30A-BEAC3F821279}"/>
              </a:ext>
            </a:extLst>
          </xdr:cNvPr>
          <xdr:cNvSpPr/>
        </xdr:nvSpPr>
        <xdr:spPr>
          <a:xfrm>
            <a:off x="6914725" y="2858460"/>
            <a:ext cx="1292174" cy="7298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仕入先</a:t>
            </a:r>
            <a:br>
              <a:rPr kumimoji="1" lang="en-US" altLang="ja-JP" sz="900">
                <a:solidFill>
                  <a:srgbClr val="FF0000"/>
                </a:solidFill>
              </a:rPr>
            </a:br>
            <a:r>
              <a:rPr kumimoji="1" lang="ja-JP" altLang="en-US" sz="900">
                <a:solidFill>
                  <a:srgbClr val="FF0000"/>
                </a:solidFill>
              </a:rPr>
              <a:t>トランザクション一覧</a:t>
            </a:r>
            <a:endParaRPr kumimoji="1" lang="en-US" altLang="ja-JP" sz="900">
              <a:solidFill>
                <a:srgbClr val="FF0000"/>
              </a:solidFill>
            </a:endParaRPr>
          </a:p>
        </xdr:txBody>
      </xdr:sp>
    </xdr:grpSp>
    <xdr:clientData/>
  </xdr:twoCellAnchor>
  <xdr:twoCellAnchor>
    <xdr:from>
      <xdr:col>7</xdr:col>
      <xdr:colOff>62015</xdr:colOff>
      <xdr:row>53</xdr:row>
      <xdr:rowOff>70122</xdr:rowOff>
    </xdr:from>
    <xdr:to>
      <xdr:col>15</xdr:col>
      <xdr:colOff>155224</xdr:colOff>
      <xdr:row>56</xdr:row>
      <xdr:rowOff>67255</xdr:rowOff>
    </xdr:to>
    <xdr:grpSp>
      <xdr:nvGrpSpPr>
        <xdr:cNvPr id="9" name="グループ化 8">
          <a:extLst>
            <a:ext uri="{FF2B5EF4-FFF2-40B4-BE49-F238E27FC236}">
              <a16:creationId xmlns:a16="http://schemas.microsoft.com/office/drawing/2014/main" id="{004546B7-ECF9-0080-CCD9-1E3EC5D638D4}"/>
            </a:ext>
          </a:extLst>
        </xdr:cNvPr>
        <xdr:cNvGrpSpPr/>
      </xdr:nvGrpSpPr>
      <xdr:grpSpPr>
        <a:xfrm>
          <a:off x="1328840" y="9185547"/>
          <a:ext cx="1541009" cy="511483"/>
          <a:chOff x="2724292" y="2678471"/>
          <a:chExt cx="1563419" cy="400203"/>
        </a:xfrm>
      </xdr:grpSpPr>
      <xdr:sp macro="" textlink="">
        <xdr:nvSpPr>
          <xdr:cNvPr id="45" name="フローチャート: 定義済み処理 44">
            <a:extLst>
              <a:ext uri="{FF2B5EF4-FFF2-40B4-BE49-F238E27FC236}">
                <a16:creationId xmlns:a16="http://schemas.microsoft.com/office/drawing/2014/main" id="{A8008918-BFD2-8580-CB67-424145196486}"/>
              </a:ext>
            </a:extLst>
          </xdr:cNvPr>
          <xdr:cNvSpPr/>
        </xdr:nvSpPr>
        <xdr:spPr>
          <a:xfrm>
            <a:off x="3066218" y="2693373"/>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7" name="正方形/長方形 46">
            <a:extLst>
              <a:ext uri="{FF2B5EF4-FFF2-40B4-BE49-F238E27FC236}">
                <a16:creationId xmlns:a16="http://schemas.microsoft.com/office/drawing/2014/main" id="{BD1CF864-D3F3-E808-9C09-6D1491CAE500}"/>
              </a:ext>
            </a:extLst>
          </xdr:cNvPr>
          <xdr:cNvSpPr/>
        </xdr:nvSpPr>
        <xdr:spPr>
          <a:xfrm>
            <a:off x="2724292" y="2678471"/>
            <a:ext cx="1563419"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６．預かり売掛金</a:t>
            </a:r>
            <a:endParaRPr kumimoji="1" lang="en-US" altLang="ja-JP" sz="900"/>
          </a:p>
          <a:p>
            <a:pPr algn="ctr"/>
            <a:r>
              <a:rPr kumimoji="1" lang="ja-JP" altLang="en-US" sz="900"/>
              <a:t>相殺承認（滋賀ホスト）</a:t>
            </a:r>
            <a:endParaRPr kumimoji="1" lang="en-US" altLang="ja-JP" sz="900"/>
          </a:p>
        </xdr:txBody>
      </xdr:sp>
    </xdr:grpSp>
    <xdr:clientData/>
  </xdr:twoCellAnchor>
  <xdr:twoCellAnchor>
    <xdr:from>
      <xdr:col>29</xdr:col>
      <xdr:colOff>142875</xdr:colOff>
      <xdr:row>53</xdr:row>
      <xdr:rowOff>21429</xdr:rowOff>
    </xdr:from>
    <xdr:to>
      <xdr:col>35</xdr:col>
      <xdr:colOff>2034</xdr:colOff>
      <xdr:row>56</xdr:row>
      <xdr:rowOff>165892</xdr:rowOff>
    </xdr:to>
    <xdr:grpSp>
      <xdr:nvGrpSpPr>
        <xdr:cNvPr id="61" name="グループ化 60">
          <a:extLst>
            <a:ext uri="{FF2B5EF4-FFF2-40B4-BE49-F238E27FC236}">
              <a16:creationId xmlns:a16="http://schemas.microsoft.com/office/drawing/2014/main" id="{7A4B69E9-9392-C21D-92CA-7FFD97617467}"/>
            </a:ext>
          </a:extLst>
        </xdr:cNvPr>
        <xdr:cNvGrpSpPr>
          <a:grpSpLocks noChangeAspect="1"/>
        </xdr:cNvGrpSpPr>
      </xdr:nvGrpSpPr>
      <xdr:grpSpPr>
        <a:xfrm>
          <a:off x="5391150" y="9136854"/>
          <a:ext cx="945009" cy="658813"/>
          <a:chOff x="7112000" y="2892425"/>
          <a:chExt cx="873125" cy="584982"/>
        </a:xfrm>
      </xdr:grpSpPr>
      <xdr:sp macro="" textlink="">
        <xdr:nvSpPr>
          <xdr:cNvPr id="62" name="フローチャート: 磁気ディスク 61">
            <a:extLst>
              <a:ext uri="{FF2B5EF4-FFF2-40B4-BE49-F238E27FC236}">
                <a16:creationId xmlns:a16="http://schemas.microsoft.com/office/drawing/2014/main" id="{D2AF0A3F-10DC-7D61-06C9-36F55DD004B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7" name="正方形/長方形 66">
            <a:extLst>
              <a:ext uri="{FF2B5EF4-FFF2-40B4-BE49-F238E27FC236}">
                <a16:creationId xmlns:a16="http://schemas.microsoft.com/office/drawing/2014/main" id="{FD26FCD5-CEEA-6B8E-C677-46499C3EE424}"/>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支払仕訳帳</a:t>
            </a:r>
            <a:endParaRPr kumimoji="1" lang="en-US" altLang="ja-JP" sz="900"/>
          </a:p>
        </xdr:txBody>
      </xdr:sp>
    </xdr:grpSp>
    <xdr:clientData/>
  </xdr:twoCellAnchor>
  <xdr:twoCellAnchor>
    <xdr:from>
      <xdr:col>13</xdr:col>
      <xdr:colOff>120867</xdr:colOff>
      <xdr:row>54</xdr:row>
      <xdr:rowOff>151332</xdr:rowOff>
    </xdr:from>
    <xdr:to>
      <xdr:col>30</xdr:col>
      <xdr:colOff>63240</xdr:colOff>
      <xdr:row>54</xdr:row>
      <xdr:rowOff>156038</xdr:rowOff>
    </xdr:to>
    <xdr:cxnSp macro="">
      <xdr:nvCxnSpPr>
        <xdr:cNvPr id="68" name="直線矢印コネクタ 67">
          <a:extLst>
            <a:ext uri="{FF2B5EF4-FFF2-40B4-BE49-F238E27FC236}">
              <a16:creationId xmlns:a16="http://schemas.microsoft.com/office/drawing/2014/main" id="{0D76B558-6EF0-481A-A0AF-489EC61C176C}"/>
            </a:ext>
          </a:extLst>
        </xdr:cNvPr>
        <xdr:cNvCxnSpPr>
          <a:stCxn id="45" idx="3"/>
          <a:endCxn id="62" idx="2"/>
        </xdr:cNvCxnSpPr>
      </xdr:nvCxnSpPr>
      <xdr:spPr>
        <a:xfrm flipV="1">
          <a:off x="2413923" y="9337665"/>
          <a:ext cx="2940984" cy="47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127082</xdr:colOff>
      <xdr:row>56</xdr:row>
      <xdr:rowOff>53390</xdr:rowOff>
    </xdr:from>
    <xdr:to>
      <xdr:col>11</xdr:col>
      <xdr:colOff>79826</xdr:colOff>
      <xdr:row>60</xdr:row>
      <xdr:rowOff>29910</xdr:rowOff>
    </xdr:to>
    <xdr:cxnSp macro="">
      <xdr:nvCxnSpPr>
        <xdr:cNvPr id="76" name="コネクタ: カギ線 75">
          <a:extLst>
            <a:ext uri="{FF2B5EF4-FFF2-40B4-BE49-F238E27FC236}">
              <a16:creationId xmlns:a16="http://schemas.microsoft.com/office/drawing/2014/main" id="{7A3E9F89-3156-4F24-B1AF-91DCBF518E48}"/>
            </a:ext>
          </a:extLst>
        </xdr:cNvPr>
        <xdr:cNvCxnSpPr>
          <a:stCxn id="45" idx="2"/>
          <a:endCxn id="219" idx="0"/>
        </xdr:cNvCxnSpPr>
      </xdr:nvCxnSpPr>
      <xdr:spPr>
        <a:xfrm rot="5400000">
          <a:off x="1075632" y="9606153"/>
          <a:ext cx="675020" cy="11751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138264</xdr:colOff>
      <xdr:row>132</xdr:row>
      <xdr:rowOff>55977</xdr:rowOff>
    </xdr:from>
    <xdr:to>
      <xdr:col>16</xdr:col>
      <xdr:colOff>105834</xdr:colOff>
      <xdr:row>135</xdr:row>
      <xdr:rowOff>139697</xdr:rowOff>
    </xdr:to>
    <xdr:grpSp>
      <xdr:nvGrpSpPr>
        <xdr:cNvPr id="156" name="グループ化 155">
          <a:extLst>
            <a:ext uri="{FF2B5EF4-FFF2-40B4-BE49-F238E27FC236}">
              <a16:creationId xmlns:a16="http://schemas.microsoft.com/office/drawing/2014/main" id="{11E3233C-EBA0-E74D-0E68-D9B5718A74D3}"/>
            </a:ext>
          </a:extLst>
        </xdr:cNvPr>
        <xdr:cNvGrpSpPr/>
      </xdr:nvGrpSpPr>
      <xdr:grpSpPr>
        <a:xfrm>
          <a:off x="1224114" y="22715952"/>
          <a:ext cx="1777320" cy="598070"/>
          <a:chOff x="2673063" y="2669954"/>
          <a:chExt cx="1643769" cy="461788"/>
        </a:xfrm>
      </xdr:grpSpPr>
      <xdr:sp macro="" textlink="">
        <xdr:nvSpPr>
          <xdr:cNvPr id="169" name="フローチャート: 定義済み処理 168">
            <a:extLst>
              <a:ext uri="{FF2B5EF4-FFF2-40B4-BE49-F238E27FC236}">
                <a16:creationId xmlns:a16="http://schemas.microsoft.com/office/drawing/2014/main" id="{83AE6565-BB85-7621-C794-C9D01EE1D94C}"/>
              </a:ext>
            </a:extLst>
          </xdr:cNvPr>
          <xdr:cNvSpPr/>
        </xdr:nvSpPr>
        <xdr:spPr>
          <a:xfrm>
            <a:off x="3066218" y="2693373"/>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0" name="正方形/長方形 169">
            <a:extLst>
              <a:ext uri="{FF2B5EF4-FFF2-40B4-BE49-F238E27FC236}">
                <a16:creationId xmlns:a16="http://schemas.microsoft.com/office/drawing/2014/main" id="{A757A29E-9275-48CF-5A1F-605C36EC5452}"/>
              </a:ext>
            </a:extLst>
          </xdr:cNvPr>
          <xdr:cNvSpPr/>
        </xdr:nvSpPr>
        <xdr:spPr>
          <a:xfrm>
            <a:off x="2673063" y="2669954"/>
            <a:ext cx="1643769" cy="46178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５．預かり売掛金</a:t>
            </a:r>
            <a:endParaRPr kumimoji="1" lang="en-US" altLang="ja-JP" sz="900"/>
          </a:p>
          <a:p>
            <a:pPr algn="ctr"/>
            <a:r>
              <a:rPr kumimoji="1" lang="ja-JP" altLang="en-US" sz="900"/>
              <a:t>相殺承認（</a:t>
            </a:r>
            <a:r>
              <a:rPr kumimoji="1" lang="en-US" altLang="ja-JP" sz="900"/>
              <a:t>SEJ</a:t>
            </a:r>
            <a:r>
              <a:rPr kumimoji="1" lang="ja-JP" altLang="en-US" sz="900"/>
              <a:t>）</a:t>
            </a:r>
            <a:endParaRPr kumimoji="1" lang="en-US" altLang="ja-JP" sz="900"/>
          </a:p>
        </xdr:txBody>
      </xdr:sp>
    </xdr:grpSp>
    <xdr:clientData/>
  </xdr:twoCellAnchor>
  <xdr:twoCellAnchor>
    <xdr:from>
      <xdr:col>29</xdr:col>
      <xdr:colOff>139700</xdr:colOff>
      <xdr:row>132</xdr:row>
      <xdr:rowOff>38103</xdr:rowOff>
    </xdr:from>
    <xdr:to>
      <xdr:col>35</xdr:col>
      <xdr:colOff>11559</xdr:colOff>
      <xdr:row>135</xdr:row>
      <xdr:rowOff>134940</xdr:rowOff>
    </xdr:to>
    <xdr:grpSp>
      <xdr:nvGrpSpPr>
        <xdr:cNvPr id="174" name="グループ化 173">
          <a:extLst>
            <a:ext uri="{FF2B5EF4-FFF2-40B4-BE49-F238E27FC236}">
              <a16:creationId xmlns:a16="http://schemas.microsoft.com/office/drawing/2014/main" id="{E5B9F913-CF54-413B-8D8E-86ADBAD63CF8}"/>
            </a:ext>
          </a:extLst>
        </xdr:cNvPr>
        <xdr:cNvGrpSpPr>
          <a:grpSpLocks noChangeAspect="1"/>
        </xdr:cNvGrpSpPr>
      </xdr:nvGrpSpPr>
      <xdr:grpSpPr>
        <a:xfrm>
          <a:off x="5387975" y="22698078"/>
          <a:ext cx="957709" cy="611187"/>
          <a:chOff x="7112000" y="2892425"/>
          <a:chExt cx="873125" cy="584982"/>
        </a:xfrm>
      </xdr:grpSpPr>
      <xdr:sp macro="" textlink="">
        <xdr:nvSpPr>
          <xdr:cNvPr id="175" name="フローチャート: 磁気ディスク 174">
            <a:extLst>
              <a:ext uri="{FF2B5EF4-FFF2-40B4-BE49-F238E27FC236}">
                <a16:creationId xmlns:a16="http://schemas.microsoft.com/office/drawing/2014/main" id="{13CAEA2F-D307-B2AA-C87B-A636E71DD25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7" name="正方形/長方形 176">
            <a:extLst>
              <a:ext uri="{FF2B5EF4-FFF2-40B4-BE49-F238E27FC236}">
                <a16:creationId xmlns:a16="http://schemas.microsoft.com/office/drawing/2014/main" id="{7E0C7378-0E2E-9AB1-B3A9-DEA6E00D96CD}"/>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支払仕訳帳</a:t>
            </a:r>
            <a:endParaRPr kumimoji="1" lang="en-US" altLang="ja-JP" sz="900"/>
          </a:p>
        </xdr:txBody>
      </xdr:sp>
    </xdr:grpSp>
    <xdr:clientData/>
  </xdr:twoCellAnchor>
  <xdr:twoCellAnchor>
    <xdr:from>
      <xdr:col>14</xdr:col>
      <xdr:colOff>4131</xdr:colOff>
      <xdr:row>133</xdr:row>
      <xdr:rowOff>146163</xdr:rowOff>
    </xdr:from>
    <xdr:to>
      <xdr:col>30</xdr:col>
      <xdr:colOff>61404</xdr:colOff>
      <xdr:row>133</xdr:row>
      <xdr:rowOff>156683</xdr:rowOff>
    </xdr:to>
    <xdr:cxnSp macro="">
      <xdr:nvCxnSpPr>
        <xdr:cNvPr id="178" name="直線矢印コネクタ 177">
          <a:extLst>
            <a:ext uri="{FF2B5EF4-FFF2-40B4-BE49-F238E27FC236}">
              <a16:creationId xmlns:a16="http://schemas.microsoft.com/office/drawing/2014/main" id="{70DED40C-1398-4085-858E-775936ED1815}"/>
            </a:ext>
          </a:extLst>
        </xdr:cNvPr>
        <xdr:cNvCxnSpPr>
          <a:stCxn id="169" idx="3"/>
          <a:endCxn id="175" idx="2"/>
        </xdr:cNvCxnSpPr>
      </xdr:nvCxnSpPr>
      <xdr:spPr>
        <a:xfrm flipV="1">
          <a:off x="2473575" y="22709830"/>
          <a:ext cx="2879496" cy="1052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152409</xdr:colOff>
      <xdr:row>135</xdr:row>
      <xdr:rowOff>55860</xdr:rowOff>
    </xdr:from>
    <xdr:to>
      <xdr:col>11</xdr:col>
      <xdr:colOff>102079</xdr:colOff>
      <xdr:row>140</xdr:row>
      <xdr:rowOff>26083</xdr:rowOff>
    </xdr:to>
    <xdr:cxnSp macro="">
      <xdr:nvCxnSpPr>
        <xdr:cNvPr id="201" name="コネクタ: カギ線 200">
          <a:extLst>
            <a:ext uri="{FF2B5EF4-FFF2-40B4-BE49-F238E27FC236}">
              <a16:creationId xmlns:a16="http://schemas.microsoft.com/office/drawing/2014/main" id="{80AC04E1-F881-469A-BA15-9C18462C0951}"/>
            </a:ext>
          </a:extLst>
        </xdr:cNvPr>
        <xdr:cNvCxnSpPr>
          <a:stCxn id="169" idx="2"/>
          <a:endCxn id="240" idx="0"/>
        </xdr:cNvCxnSpPr>
      </xdr:nvCxnSpPr>
      <xdr:spPr>
        <a:xfrm rot="5400000">
          <a:off x="1015258" y="23489699"/>
          <a:ext cx="843348" cy="117204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155004</xdr:colOff>
      <xdr:row>210</xdr:row>
      <xdr:rowOff>141165</xdr:rowOff>
    </xdr:from>
    <xdr:to>
      <xdr:col>36</xdr:col>
      <xdr:colOff>65882</xdr:colOff>
      <xdr:row>215</xdr:row>
      <xdr:rowOff>113050</xdr:rowOff>
    </xdr:to>
    <xdr:grpSp>
      <xdr:nvGrpSpPr>
        <xdr:cNvPr id="210" name="グループ化 209">
          <a:extLst>
            <a:ext uri="{FF2B5EF4-FFF2-40B4-BE49-F238E27FC236}">
              <a16:creationId xmlns:a16="http://schemas.microsoft.com/office/drawing/2014/main" id="{EBA742FE-4D38-B0A9-C6EF-3FE99FA211F2}"/>
            </a:ext>
          </a:extLst>
        </xdr:cNvPr>
        <xdr:cNvGrpSpPr>
          <a:grpSpLocks noChangeAspect="1"/>
        </xdr:cNvGrpSpPr>
      </xdr:nvGrpSpPr>
      <xdr:grpSpPr>
        <a:xfrm>
          <a:off x="5222304" y="36174240"/>
          <a:ext cx="1358678" cy="829135"/>
          <a:chOff x="6914725" y="2858460"/>
          <a:chExt cx="1292174" cy="729849"/>
        </a:xfrm>
      </xdr:grpSpPr>
      <xdr:sp macro="" textlink="">
        <xdr:nvSpPr>
          <xdr:cNvPr id="211" name="フローチャート: 磁気ディスク 210">
            <a:extLst>
              <a:ext uri="{FF2B5EF4-FFF2-40B4-BE49-F238E27FC236}">
                <a16:creationId xmlns:a16="http://schemas.microsoft.com/office/drawing/2014/main" id="{8DCEEE72-92F3-555C-501D-4E61300DA27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solidFill>
                <a:srgbClr val="FF0000"/>
              </a:solidFill>
            </a:endParaRPr>
          </a:p>
        </xdr:txBody>
      </xdr:sp>
      <xdr:sp macro="" textlink="">
        <xdr:nvSpPr>
          <xdr:cNvPr id="214" name="正方形/長方形 213">
            <a:extLst>
              <a:ext uri="{FF2B5EF4-FFF2-40B4-BE49-F238E27FC236}">
                <a16:creationId xmlns:a16="http://schemas.microsoft.com/office/drawing/2014/main" id="{E91849D5-6B68-D0C0-145A-879071EED920}"/>
              </a:ext>
            </a:extLst>
          </xdr:cNvPr>
          <xdr:cNvSpPr/>
        </xdr:nvSpPr>
        <xdr:spPr>
          <a:xfrm>
            <a:off x="6914725" y="2858460"/>
            <a:ext cx="1292174" cy="7298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債務残高明細</a:t>
            </a:r>
            <a:endParaRPr kumimoji="1" lang="en-US" altLang="ja-JP" sz="900">
              <a:solidFill>
                <a:srgbClr val="FF0000"/>
              </a:solidFill>
            </a:endParaRPr>
          </a:p>
        </xdr:txBody>
      </xdr:sp>
    </xdr:grpSp>
    <xdr:clientData/>
  </xdr:twoCellAnchor>
  <xdr:twoCellAnchor>
    <xdr:from>
      <xdr:col>7</xdr:col>
      <xdr:colOff>14112</xdr:colOff>
      <xdr:row>204</xdr:row>
      <xdr:rowOff>16079</xdr:rowOff>
    </xdr:from>
    <xdr:to>
      <xdr:col>30</xdr:col>
      <xdr:colOff>98301</xdr:colOff>
      <xdr:row>212</xdr:row>
      <xdr:rowOff>143518</xdr:rowOff>
    </xdr:to>
    <xdr:cxnSp macro="">
      <xdr:nvCxnSpPr>
        <xdr:cNvPr id="215" name="コネクタ: カギ線 214">
          <a:extLst>
            <a:ext uri="{FF2B5EF4-FFF2-40B4-BE49-F238E27FC236}">
              <a16:creationId xmlns:a16="http://schemas.microsoft.com/office/drawing/2014/main" id="{6A3E4857-12A3-4764-81E3-2BA7A4DD3273}"/>
            </a:ext>
          </a:extLst>
        </xdr:cNvPr>
        <xdr:cNvCxnSpPr>
          <a:cxnSpLocks/>
          <a:stCxn id="211" idx="2"/>
          <a:endCxn id="160" idx="3"/>
        </xdr:cNvCxnSpPr>
      </xdr:nvCxnSpPr>
      <xdr:spPr>
        <a:xfrm rot="10800000">
          <a:off x="1271100" y="33041284"/>
          <a:ext cx="2957303" cy="1501537"/>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151342</xdr:colOff>
      <xdr:row>213</xdr:row>
      <xdr:rowOff>28595</xdr:rowOff>
    </xdr:from>
    <xdr:to>
      <xdr:col>37</xdr:col>
      <xdr:colOff>136331</xdr:colOff>
      <xdr:row>216</xdr:row>
      <xdr:rowOff>105741</xdr:rowOff>
    </xdr:to>
    <xdr:grpSp>
      <xdr:nvGrpSpPr>
        <xdr:cNvPr id="223" name="グループ化 222">
          <a:extLst>
            <a:ext uri="{FF2B5EF4-FFF2-40B4-BE49-F238E27FC236}">
              <a16:creationId xmlns:a16="http://schemas.microsoft.com/office/drawing/2014/main" id="{C6CC6EA9-6327-4B15-8CD5-7B7262176928}"/>
            </a:ext>
          </a:extLst>
        </xdr:cNvPr>
        <xdr:cNvGrpSpPr>
          <a:grpSpLocks noChangeAspect="1"/>
        </xdr:cNvGrpSpPr>
      </xdr:nvGrpSpPr>
      <xdr:grpSpPr>
        <a:xfrm>
          <a:off x="5761567" y="36576020"/>
          <a:ext cx="1070839" cy="591496"/>
          <a:chOff x="2608363" y="18426641"/>
          <a:chExt cx="1391068" cy="671251"/>
        </a:xfrm>
      </xdr:grpSpPr>
      <xdr:sp macro="" textlink="">
        <xdr:nvSpPr>
          <xdr:cNvPr id="224" name="フローチャート: 書類 223">
            <a:extLst>
              <a:ext uri="{FF2B5EF4-FFF2-40B4-BE49-F238E27FC236}">
                <a16:creationId xmlns:a16="http://schemas.microsoft.com/office/drawing/2014/main" id="{69E553C0-E1EA-FDC0-1386-61381360BE8A}"/>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25" name="正方形/長方形 224">
            <a:extLst>
              <a:ext uri="{FF2B5EF4-FFF2-40B4-BE49-F238E27FC236}">
                <a16:creationId xmlns:a16="http://schemas.microsoft.com/office/drawing/2014/main" id="{17C43853-DE28-DA34-E2BD-F287C0EAC2AC}"/>
              </a:ext>
            </a:extLst>
          </xdr:cNvPr>
          <xdr:cNvSpPr/>
        </xdr:nvSpPr>
        <xdr:spPr>
          <a:xfrm>
            <a:off x="2608363" y="18426641"/>
            <a:ext cx="1391068" cy="6712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債務残高明細</a:t>
            </a:r>
            <a:endParaRPr kumimoji="1" lang="en-US" altLang="ja-JP" sz="900">
              <a:solidFill>
                <a:srgbClr val="FF0000"/>
              </a:solidFill>
            </a:endParaRPr>
          </a:p>
          <a:p>
            <a:pPr algn="ctr"/>
            <a:r>
              <a:rPr kumimoji="1" lang="ja-JP" altLang="en-US" sz="900">
                <a:solidFill>
                  <a:srgbClr val="FF0000"/>
                </a:solidFill>
              </a:rPr>
              <a:t>（未決済）</a:t>
            </a:r>
            <a:endParaRPr kumimoji="1" lang="en-US" altLang="ja-JP" sz="900">
              <a:solidFill>
                <a:srgbClr val="FF0000"/>
              </a:solidFill>
            </a:endParaRPr>
          </a:p>
        </xdr:txBody>
      </xdr:sp>
    </xdr:grpSp>
    <xdr:clientData/>
  </xdr:twoCellAnchor>
  <xdr:twoCellAnchor>
    <xdr:from>
      <xdr:col>31</xdr:col>
      <xdr:colOff>151342</xdr:colOff>
      <xdr:row>215</xdr:row>
      <xdr:rowOff>85748</xdr:rowOff>
    </xdr:from>
    <xdr:to>
      <xdr:col>37</xdr:col>
      <xdr:colOff>136331</xdr:colOff>
      <xdr:row>218</xdr:row>
      <xdr:rowOff>169244</xdr:rowOff>
    </xdr:to>
    <xdr:grpSp>
      <xdr:nvGrpSpPr>
        <xdr:cNvPr id="227" name="グループ化 226">
          <a:extLst>
            <a:ext uri="{FF2B5EF4-FFF2-40B4-BE49-F238E27FC236}">
              <a16:creationId xmlns:a16="http://schemas.microsoft.com/office/drawing/2014/main" id="{135A3ADB-B6F0-DBC9-581D-7B608215F8D2}"/>
            </a:ext>
          </a:extLst>
        </xdr:cNvPr>
        <xdr:cNvGrpSpPr>
          <a:grpSpLocks noChangeAspect="1"/>
        </xdr:cNvGrpSpPr>
      </xdr:nvGrpSpPr>
      <xdr:grpSpPr>
        <a:xfrm>
          <a:off x="5761567" y="36976073"/>
          <a:ext cx="1070839" cy="597846"/>
          <a:chOff x="2608363" y="18426641"/>
          <a:chExt cx="1391068" cy="671251"/>
        </a:xfrm>
      </xdr:grpSpPr>
      <xdr:sp macro="" textlink="">
        <xdr:nvSpPr>
          <xdr:cNvPr id="228" name="フローチャート: 書類 227">
            <a:extLst>
              <a:ext uri="{FF2B5EF4-FFF2-40B4-BE49-F238E27FC236}">
                <a16:creationId xmlns:a16="http://schemas.microsoft.com/office/drawing/2014/main" id="{8375C7E0-BBDA-622D-2E46-2B74C56FF567}"/>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29" name="正方形/長方形 228">
            <a:extLst>
              <a:ext uri="{FF2B5EF4-FFF2-40B4-BE49-F238E27FC236}">
                <a16:creationId xmlns:a16="http://schemas.microsoft.com/office/drawing/2014/main" id="{0F712144-ACBA-D2C5-687F-37A3C805CE66}"/>
              </a:ext>
            </a:extLst>
          </xdr:cNvPr>
          <xdr:cNvSpPr/>
        </xdr:nvSpPr>
        <xdr:spPr>
          <a:xfrm>
            <a:off x="2608363" y="18426641"/>
            <a:ext cx="1391068" cy="6712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債務残高明細</a:t>
            </a:r>
            <a:endParaRPr kumimoji="1" lang="en-US" altLang="ja-JP" sz="900">
              <a:solidFill>
                <a:srgbClr val="FF0000"/>
              </a:solidFill>
            </a:endParaRPr>
          </a:p>
          <a:p>
            <a:pPr algn="ctr"/>
            <a:r>
              <a:rPr kumimoji="1" lang="ja-JP" altLang="en-US" sz="900">
                <a:solidFill>
                  <a:srgbClr val="FF0000"/>
                </a:solidFill>
              </a:rPr>
              <a:t>（決済）</a:t>
            </a:r>
            <a:endParaRPr kumimoji="1" lang="en-US" altLang="ja-JP" sz="900">
              <a:solidFill>
                <a:srgbClr val="FF0000"/>
              </a:solidFill>
            </a:endParaRPr>
          </a:p>
        </xdr:txBody>
      </xdr:sp>
    </xdr:grpSp>
    <xdr:clientData/>
  </xdr:twoCellAnchor>
  <xdr:twoCellAnchor>
    <xdr:from>
      <xdr:col>15</xdr:col>
      <xdr:colOff>120650</xdr:colOff>
      <xdr:row>112</xdr:row>
      <xdr:rowOff>38100</xdr:rowOff>
    </xdr:from>
    <xdr:to>
      <xdr:col>21</xdr:col>
      <xdr:colOff>17461</xdr:colOff>
      <xdr:row>115</xdr:row>
      <xdr:rowOff>38100</xdr:rowOff>
    </xdr:to>
    <xdr:grpSp>
      <xdr:nvGrpSpPr>
        <xdr:cNvPr id="5" name="グループ化 4">
          <a:extLst>
            <a:ext uri="{FF2B5EF4-FFF2-40B4-BE49-F238E27FC236}">
              <a16:creationId xmlns:a16="http://schemas.microsoft.com/office/drawing/2014/main" id="{971227E1-F521-4029-B283-82F773E61F0E}"/>
            </a:ext>
          </a:extLst>
        </xdr:cNvPr>
        <xdr:cNvGrpSpPr/>
      </xdr:nvGrpSpPr>
      <xdr:grpSpPr>
        <a:xfrm>
          <a:off x="2835275" y="19269075"/>
          <a:ext cx="982661" cy="514350"/>
          <a:chOff x="1612900" y="2427475"/>
          <a:chExt cx="933032" cy="404625"/>
        </a:xfrm>
      </xdr:grpSpPr>
      <xdr:sp macro="" textlink="">
        <xdr:nvSpPr>
          <xdr:cNvPr id="7" name="フローチャート: 定義済み処理 29">
            <a:extLst>
              <a:ext uri="{FF2B5EF4-FFF2-40B4-BE49-F238E27FC236}">
                <a16:creationId xmlns:a16="http://schemas.microsoft.com/office/drawing/2014/main" id="{DBAADEC5-31A3-4769-9840-E1410DCC1910}"/>
              </a:ext>
            </a:extLst>
          </xdr:cNvPr>
          <xdr:cNvSpPr/>
        </xdr:nvSpPr>
        <xdr:spPr>
          <a:xfrm>
            <a:off x="1682750" y="2457450"/>
            <a:ext cx="819150" cy="374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 name="正方形/長方形 7">
            <a:extLst>
              <a:ext uri="{FF2B5EF4-FFF2-40B4-BE49-F238E27FC236}">
                <a16:creationId xmlns:a16="http://schemas.microsoft.com/office/drawing/2014/main" id="{95D15153-A1FC-D1DD-B705-CFE5281311FC}"/>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２．相殺依頼</a:t>
            </a:r>
            <a:br>
              <a:rPr kumimoji="1" lang="en-US" altLang="ja-JP" sz="900"/>
            </a:br>
            <a:r>
              <a:rPr kumimoji="1" lang="ja-JP" altLang="en-US" sz="900"/>
              <a:t>（</a:t>
            </a:r>
            <a:r>
              <a:rPr kumimoji="1" lang="en-US" altLang="ja-JP" sz="900"/>
              <a:t>SEJ</a:t>
            </a:r>
            <a:r>
              <a:rPr kumimoji="1" lang="ja-JP" altLang="en-US" sz="900"/>
              <a:t>）</a:t>
            </a:r>
            <a:endParaRPr kumimoji="1" lang="en-US" altLang="ja-JP" sz="900"/>
          </a:p>
        </xdr:txBody>
      </xdr:sp>
    </xdr:grpSp>
    <xdr:clientData/>
  </xdr:twoCellAnchor>
  <xdr:twoCellAnchor>
    <xdr:from>
      <xdr:col>16</xdr:col>
      <xdr:colOff>142313</xdr:colOff>
      <xdr:row>100</xdr:row>
      <xdr:rowOff>25588</xdr:rowOff>
    </xdr:from>
    <xdr:to>
      <xdr:col>20</xdr:col>
      <xdr:colOff>27483</xdr:colOff>
      <xdr:row>101</xdr:row>
      <xdr:rowOff>76575</xdr:rowOff>
    </xdr:to>
    <xdr:sp macro="" textlink="">
      <xdr:nvSpPr>
        <xdr:cNvPr id="71" name="フローチャート: 端子 70">
          <a:extLst>
            <a:ext uri="{FF2B5EF4-FFF2-40B4-BE49-F238E27FC236}">
              <a16:creationId xmlns:a16="http://schemas.microsoft.com/office/drawing/2014/main" id="{B97A3D2F-A32D-48E7-9258-D17A3C8B753E}"/>
            </a:ext>
          </a:extLst>
        </xdr:cNvPr>
        <xdr:cNvSpPr/>
      </xdr:nvSpPr>
      <xdr:spPr>
        <a:xfrm>
          <a:off x="4199257" y="15985255"/>
          <a:ext cx="590726" cy="22032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88073</xdr:colOff>
      <xdr:row>101</xdr:row>
      <xdr:rowOff>76575</xdr:rowOff>
    </xdr:from>
    <xdr:to>
      <xdr:col>18</xdr:col>
      <xdr:colOff>91793</xdr:colOff>
      <xdr:row>105</xdr:row>
      <xdr:rowOff>97010</xdr:rowOff>
    </xdr:to>
    <xdr:cxnSp macro="">
      <xdr:nvCxnSpPr>
        <xdr:cNvPr id="82" name="直線矢印コネクタ 27">
          <a:extLst>
            <a:ext uri="{FF2B5EF4-FFF2-40B4-BE49-F238E27FC236}">
              <a16:creationId xmlns:a16="http://schemas.microsoft.com/office/drawing/2014/main" id="{8E83F180-6133-41D7-9C82-FE641DAABDAB}"/>
            </a:ext>
          </a:extLst>
        </xdr:cNvPr>
        <xdr:cNvCxnSpPr>
          <a:cxnSpLocks/>
          <a:stCxn id="71" idx="2"/>
          <a:endCxn id="116" idx="0"/>
        </xdr:cNvCxnSpPr>
      </xdr:nvCxnSpPr>
      <xdr:spPr>
        <a:xfrm>
          <a:off x="4497795" y="16205575"/>
          <a:ext cx="3720" cy="69776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123265</xdr:colOff>
      <xdr:row>105</xdr:row>
      <xdr:rowOff>56029</xdr:rowOff>
    </xdr:from>
    <xdr:to>
      <xdr:col>21</xdr:col>
      <xdr:colOff>23250</xdr:colOff>
      <xdr:row>108</xdr:row>
      <xdr:rowOff>68729</xdr:rowOff>
    </xdr:to>
    <xdr:grpSp>
      <xdr:nvGrpSpPr>
        <xdr:cNvPr id="99" name="グループ化 98">
          <a:extLst>
            <a:ext uri="{FF2B5EF4-FFF2-40B4-BE49-F238E27FC236}">
              <a16:creationId xmlns:a16="http://schemas.microsoft.com/office/drawing/2014/main" id="{57617A1A-EB40-4D65-AB04-2EF7724A039B}"/>
            </a:ext>
          </a:extLst>
        </xdr:cNvPr>
        <xdr:cNvGrpSpPr/>
      </xdr:nvGrpSpPr>
      <xdr:grpSpPr>
        <a:xfrm>
          <a:off x="2837890" y="18086854"/>
          <a:ext cx="985835" cy="527050"/>
          <a:chOff x="1612900" y="2427475"/>
          <a:chExt cx="933032" cy="407123"/>
        </a:xfrm>
      </xdr:grpSpPr>
      <xdr:sp macro="" textlink="">
        <xdr:nvSpPr>
          <xdr:cNvPr id="116" name="フローチャート: 定義済み処理 115">
            <a:extLst>
              <a:ext uri="{FF2B5EF4-FFF2-40B4-BE49-F238E27FC236}">
                <a16:creationId xmlns:a16="http://schemas.microsoft.com/office/drawing/2014/main" id="{A93FD0AD-F102-32EF-C51F-3A8615808AA8}"/>
              </a:ext>
            </a:extLst>
          </xdr:cNvPr>
          <xdr:cNvSpPr/>
        </xdr:nvSpPr>
        <xdr:spPr>
          <a:xfrm>
            <a:off x="1682750" y="2459948"/>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7" name="正方形/長方形 136">
            <a:extLst>
              <a:ext uri="{FF2B5EF4-FFF2-40B4-BE49-F238E27FC236}">
                <a16:creationId xmlns:a16="http://schemas.microsoft.com/office/drawing/2014/main" id="{94BA1E66-E230-1DA2-1A07-040AB8C7991E}"/>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１．預かり売掛金</a:t>
            </a:r>
            <a:endParaRPr kumimoji="1" lang="en-US" altLang="ja-JP" sz="900"/>
          </a:p>
          <a:p>
            <a:pPr algn="ctr"/>
            <a:r>
              <a:rPr kumimoji="1" lang="ja-JP" altLang="en-US" sz="900"/>
              <a:t>振替処理（</a:t>
            </a:r>
            <a:r>
              <a:rPr kumimoji="1" lang="en-US" altLang="ja-JP" sz="900"/>
              <a:t>SEJ</a:t>
            </a:r>
            <a:r>
              <a:rPr kumimoji="1" lang="ja-JP" altLang="en-US" sz="900"/>
              <a:t>）</a:t>
            </a:r>
            <a:endParaRPr kumimoji="1" lang="en-US" altLang="ja-JP" sz="900"/>
          </a:p>
        </xdr:txBody>
      </xdr:sp>
    </xdr:grpSp>
    <xdr:clientData/>
  </xdr:twoCellAnchor>
  <xdr:twoCellAnchor>
    <xdr:from>
      <xdr:col>18</xdr:col>
      <xdr:colOff>85916</xdr:colOff>
      <xdr:row>108</xdr:row>
      <xdr:rowOff>68729</xdr:rowOff>
    </xdr:from>
    <xdr:to>
      <xdr:col>18</xdr:col>
      <xdr:colOff>88618</xdr:colOff>
      <xdr:row>112</xdr:row>
      <xdr:rowOff>75456</xdr:rowOff>
    </xdr:to>
    <xdr:cxnSp macro="">
      <xdr:nvCxnSpPr>
        <xdr:cNvPr id="149" name="直線矢印コネクタ 27">
          <a:extLst>
            <a:ext uri="{FF2B5EF4-FFF2-40B4-BE49-F238E27FC236}">
              <a16:creationId xmlns:a16="http://schemas.microsoft.com/office/drawing/2014/main" id="{1DC1F41F-5CF9-40C8-9DAA-E422DAD0E488}"/>
            </a:ext>
          </a:extLst>
        </xdr:cNvPr>
        <xdr:cNvCxnSpPr>
          <a:cxnSpLocks/>
          <a:stCxn id="116" idx="2"/>
          <a:endCxn id="7" idx="0"/>
        </xdr:cNvCxnSpPr>
      </xdr:nvCxnSpPr>
      <xdr:spPr>
        <a:xfrm flipH="1">
          <a:off x="4495638" y="17383062"/>
          <a:ext cx="2702" cy="68406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123825</xdr:colOff>
      <xdr:row>26</xdr:row>
      <xdr:rowOff>73021</xdr:rowOff>
    </xdr:from>
    <xdr:to>
      <xdr:col>21</xdr:col>
      <xdr:colOff>17461</xdr:colOff>
      <xdr:row>29</xdr:row>
      <xdr:rowOff>73021</xdr:rowOff>
    </xdr:to>
    <xdr:grpSp>
      <xdr:nvGrpSpPr>
        <xdr:cNvPr id="150" name="グループ化 149">
          <a:extLst>
            <a:ext uri="{FF2B5EF4-FFF2-40B4-BE49-F238E27FC236}">
              <a16:creationId xmlns:a16="http://schemas.microsoft.com/office/drawing/2014/main" id="{04ED09DD-FD7C-48DF-803F-C990E2DC1E1B}"/>
            </a:ext>
          </a:extLst>
        </xdr:cNvPr>
        <xdr:cNvGrpSpPr/>
      </xdr:nvGrpSpPr>
      <xdr:grpSpPr>
        <a:xfrm>
          <a:off x="2838450" y="4559296"/>
          <a:ext cx="979486" cy="514350"/>
          <a:chOff x="1612900" y="2427475"/>
          <a:chExt cx="933032" cy="404625"/>
        </a:xfrm>
      </xdr:grpSpPr>
      <xdr:sp macro="" textlink="">
        <xdr:nvSpPr>
          <xdr:cNvPr id="171" name="フローチャート: 定義済み処理 29">
            <a:extLst>
              <a:ext uri="{FF2B5EF4-FFF2-40B4-BE49-F238E27FC236}">
                <a16:creationId xmlns:a16="http://schemas.microsoft.com/office/drawing/2014/main" id="{A540FD04-7D71-1855-32BC-9ACD06BE521C}"/>
              </a:ext>
            </a:extLst>
          </xdr:cNvPr>
          <xdr:cNvSpPr/>
        </xdr:nvSpPr>
        <xdr:spPr>
          <a:xfrm>
            <a:off x="1682750" y="2457450"/>
            <a:ext cx="819150" cy="374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3" name="正方形/長方形 172">
            <a:extLst>
              <a:ext uri="{FF2B5EF4-FFF2-40B4-BE49-F238E27FC236}">
                <a16:creationId xmlns:a16="http://schemas.microsoft.com/office/drawing/2014/main" id="{E85F909D-D1D0-4060-6362-D6BDCE7018A6}"/>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２．相殺依頼</a:t>
            </a:r>
            <a:br>
              <a:rPr kumimoji="1" lang="en-US" altLang="ja-JP" sz="900"/>
            </a:br>
            <a:r>
              <a:rPr kumimoji="1" lang="ja-JP" altLang="en-US" sz="900"/>
              <a:t>（滋賀ホスト）</a:t>
            </a:r>
            <a:endParaRPr kumimoji="1" lang="en-US" altLang="ja-JP" sz="900"/>
          </a:p>
        </xdr:txBody>
      </xdr:sp>
    </xdr:grpSp>
    <xdr:clientData/>
  </xdr:twoCellAnchor>
  <xdr:twoCellAnchor>
    <xdr:from>
      <xdr:col>16</xdr:col>
      <xdr:colOff>142313</xdr:colOff>
      <xdr:row>11</xdr:row>
      <xdr:rowOff>126441</xdr:rowOff>
    </xdr:from>
    <xdr:to>
      <xdr:col>20</xdr:col>
      <xdr:colOff>27483</xdr:colOff>
      <xdr:row>13</xdr:row>
      <xdr:rowOff>9340</xdr:rowOff>
    </xdr:to>
    <xdr:sp macro="" textlink="">
      <xdr:nvSpPr>
        <xdr:cNvPr id="182" name="フローチャート: 端子 181">
          <a:extLst>
            <a:ext uri="{FF2B5EF4-FFF2-40B4-BE49-F238E27FC236}">
              <a16:creationId xmlns:a16="http://schemas.microsoft.com/office/drawing/2014/main" id="{DD9F75E4-3AF2-4516-9C41-164C7A3779B0}"/>
            </a:ext>
          </a:extLst>
        </xdr:cNvPr>
        <xdr:cNvSpPr/>
      </xdr:nvSpPr>
      <xdr:spPr>
        <a:xfrm>
          <a:off x="4199257" y="2031441"/>
          <a:ext cx="590726" cy="22156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88073</xdr:colOff>
      <xdr:row>13</xdr:row>
      <xdr:rowOff>12515</xdr:rowOff>
    </xdr:from>
    <xdr:to>
      <xdr:col>18</xdr:col>
      <xdr:colOff>91793</xdr:colOff>
      <xdr:row>16</xdr:row>
      <xdr:rowOff>38346</xdr:rowOff>
    </xdr:to>
    <xdr:cxnSp macro="">
      <xdr:nvCxnSpPr>
        <xdr:cNvPr id="192" name="直線矢印コネクタ 27">
          <a:extLst>
            <a:ext uri="{FF2B5EF4-FFF2-40B4-BE49-F238E27FC236}">
              <a16:creationId xmlns:a16="http://schemas.microsoft.com/office/drawing/2014/main" id="{E83ADD12-7631-4C08-8444-5097ECDAB7FD}"/>
            </a:ext>
          </a:extLst>
        </xdr:cNvPr>
        <xdr:cNvCxnSpPr>
          <a:cxnSpLocks/>
          <a:stCxn id="182" idx="2"/>
          <a:endCxn id="202" idx="0"/>
        </xdr:cNvCxnSpPr>
      </xdr:nvCxnSpPr>
      <xdr:spPr>
        <a:xfrm>
          <a:off x="4497795" y="2256182"/>
          <a:ext cx="3720" cy="53383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123265</xdr:colOff>
      <xdr:row>15</xdr:row>
      <xdr:rowOff>163036</xdr:rowOff>
    </xdr:from>
    <xdr:to>
      <xdr:col>21</xdr:col>
      <xdr:colOff>29600</xdr:colOff>
      <xdr:row>20</xdr:row>
      <xdr:rowOff>11204</xdr:rowOff>
    </xdr:to>
    <xdr:grpSp>
      <xdr:nvGrpSpPr>
        <xdr:cNvPr id="198" name="グループ化 197">
          <a:extLst>
            <a:ext uri="{FF2B5EF4-FFF2-40B4-BE49-F238E27FC236}">
              <a16:creationId xmlns:a16="http://schemas.microsoft.com/office/drawing/2014/main" id="{8C60E1DA-83D7-4F65-A28A-3C724FDD1458}"/>
            </a:ext>
          </a:extLst>
        </xdr:cNvPr>
        <xdr:cNvGrpSpPr/>
      </xdr:nvGrpSpPr>
      <xdr:grpSpPr>
        <a:xfrm>
          <a:off x="2837890" y="2763361"/>
          <a:ext cx="992185" cy="705418"/>
          <a:chOff x="1612900" y="2427474"/>
          <a:chExt cx="933032" cy="555955"/>
        </a:xfrm>
      </xdr:grpSpPr>
      <xdr:sp macro="" textlink="">
        <xdr:nvSpPr>
          <xdr:cNvPr id="202" name="フローチャート: 定義済み処理 201">
            <a:extLst>
              <a:ext uri="{FF2B5EF4-FFF2-40B4-BE49-F238E27FC236}">
                <a16:creationId xmlns:a16="http://schemas.microsoft.com/office/drawing/2014/main" id="{39A0CB38-6116-0234-CFBA-06263BA4990E}"/>
              </a:ext>
            </a:extLst>
          </xdr:cNvPr>
          <xdr:cNvSpPr/>
        </xdr:nvSpPr>
        <xdr:spPr>
          <a:xfrm>
            <a:off x="1682750" y="2459948"/>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3" name="正方形/長方形 202">
            <a:extLst>
              <a:ext uri="{FF2B5EF4-FFF2-40B4-BE49-F238E27FC236}">
                <a16:creationId xmlns:a16="http://schemas.microsoft.com/office/drawing/2014/main" id="{2FA46CF0-8921-4322-40FA-DE7B5E082762}"/>
              </a:ext>
            </a:extLst>
          </xdr:cNvPr>
          <xdr:cNvSpPr/>
        </xdr:nvSpPr>
        <xdr:spPr>
          <a:xfrm>
            <a:off x="1612900" y="2427474"/>
            <a:ext cx="933032" cy="55595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１．預かり売掛金</a:t>
            </a:r>
            <a:endParaRPr kumimoji="1" lang="en-US" altLang="ja-JP" sz="900"/>
          </a:p>
          <a:p>
            <a:pPr algn="ctr"/>
            <a:r>
              <a:rPr kumimoji="1" lang="ja-JP" altLang="en-US" sz="900"/>
              <a:t>振替処理</a:t>
            </a:r>
            <a:endParaRPr kumimoji="1" lang="en-US" altLang="ja-JP" sz="900"/>
          </a:p>
          <a:p>
            <a:pPr algn="ctr"/>
            <a:r>
              <a:rPr kumimoji="1" lang="ja-JP" altLang="en-US" sz="900"/>
              <a:t>（滋賀ホスト）</a:t>
            </a:r>
            <a:endParaRPr kumimoji="1" lang="en-US" altLang="ja-JP" sz="900"/>
          </a:p>
        </xdr:txBody>
      </xdr:sp>
    </xdr:grpSp>
    <xdr:clientData/>
  </xdr:twoCellAnchor>
  <xdr:twoCellAnchor>
    <xdr:from>
      <xdr:col>18</xdr:col>
      <xdr:colOff>85916</xdr:colOff>
      <xdr:row>18</xdr:row>
      <xdr:rowOff>159862</xdr:rowOff>
    </xdr:from>
    <xdr:to>
      <xdr:col>18</xdr:col>
      <xdr:colOff>91793</xdr:colOff>
      <xdr:row>26</xdr:row>
      <xdr:rowOff>110377</xdr:rowOff>
    </xdr:to>
    <xdr:cxnSp macro="">
      <xdr:nvCxnSpPr>
        <xdr:cNvPr id="204" name="直線矢印コネクタ 27">
          <a:extLst>
            <a:ext uri="{FF2B5EF4-FFF2-40B4-BE49-F238E27FC236}">
              <a16:creationId xmlns:a16="http://schemas.microsoft.com/office/drawing/2014/main" id="{58D825D6-370C-43BA-AB4E-773D1C53DB8A}"/>
            </a:ext>
          </a:extLst>
        </xdr:cNvPr>
        <xdr:cNvCxnSpPr>
          <a:cxnSpLocks/>
          <a:stCxn id="202" idx="2"/>
          <a:endCxn id="171" idx="0"/>
        </xdr:cNvCxnSpPr>
      </xdr:nvCxnSpPr>
      <xdr:spPr>
        <a:xfrm flipH="1">
          <a:off x="4495638" y="3250195"/>
          <a:ext cx="5877" cy="130518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118573</xdr:colOff>
      <xdr:row>62</xdr:row>
      <xdr:rowOff>169839</xdr:rowOff>
    </xdr:from>
    <xdr:to>
      <xdr:col>4</xdr:col>
      <xdr:colOff>127082</xdr:colOff>
      <xdr:row>75</xdr:row>
      <xdr:rowOff>33805</xdr:rowOff>
    </xdr:to>
    <xdr:cxnSp macro="">
      <xdr:nvCxnSpPr>
        <xdr:cNvPr id="205" name="直線矢印コネクタ 27">
          <a:extLst>
            <a:ext uri="{FF2B5EF4-FFF2-40B4-BE49-F238E27FC236}">
              <a16:creationId xmlns:a16="http://schemas.microsoft.com/office/drawing/2014/main" id="{F1400F3B-E818-4535-BAC4-EE4803BB296B}"/>
            </a:ext>
          </a:extLst>
        </xdr:cNvPr>
        <xdr:cNvCxnSpPr>
          <a:cxnSpLocks/>
          <a:stCxn id="219" idx="2"/>
          <a:endCxn id="207" idx="0"/>
        </xdr:cNvCxnSpPr>
      </xdr:nvCxnSpPr>
      <xdr:spPr>
        <a:xfrm flipH="1">
          <a:off x="817073" y="11020402"/>
          <a:ext cx="8509" cy="213409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166922</xdr:colOff>
      <xdr:row>75</xdr:row>
      <xdr:rowOff>33805</xdr:rowOff>
    </xdr:from>
    <xdr:to>
      <xdr:col>6</xdr:col>
      <xdr:colOff>70223</xdr:colOff>
      <xdr:row>76</xdr:row>
      <xdr:rowOff>110658</xdr:rowOff>
    </xdr:to>
    <xdr:sp macro="" textlink="">
      <xdr:nvSpPr>
        <xdr:cNvPr id="207" name="フローチャート: 端子 206">
          <a:extLst>
            <a:ext uri="{FF2B5EF4-FFF2-40B4-BE49-F238E27FC236}">
              <a16:creationId xmlns:a16="http://schemas.microsoft.com/office/drawing/2014/main" id="{A4A21ECF-704A-4492-ABAA-E94446AC06AD}"/>
            </a:ext>
          </a:extLst>
        </xdr:cNvPr>
        <xdr:cNvSpPr/>
      </xdr:nvSpPr>
      <xdr:spPr>
        <a:xfrm>
          <a:off x="516172" y="13154493"/>
          <a:ext cx="601801" cy="25147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0</xdr:col>
      <xdr:colOff>154266</xdr:colOff>
      <xdr:row>60</xdr:row>
      <xdr:rowOff>12229</xdr:rowOff>
    </xdr:from>
    <xdr:to>
      <xdr:col>9</xdr:col>
      <xdr:colOff>14639</xdr:colOff>
      <xdr:row>63</xdr:row>
      <xdr:rowOff>10899</xdr:rowOff>
    </xdr:to>
    <xdr:grpSp>
      <xdr:nvGrpSpPr>
        <xdr:cNvPr id="217" name="グループ化 216">
          <a:extLst>
            <a:ext uri="{FF2B5EF4-FFF2-40B4-BE49-F238E27FC236}">
              <a16:creationId xmlns:a16="http://schemas.microsoft.com/office/drawing/2014/main" id="{306F206F-7CBA-DE6A-7F48-E6ADD7021028}"/>
            </a:ext>
          </a:extLst>
        </xdr:cNvPr>
        <xdr:cNvGrpSpPr/>
      </xdr:nvGrpSpPr>
      <xdr:grpSpPr>
        <a:xfrm>
          <a:off x="154266" y="10327804"/>
          <a:ext cx="1489148" cy="513020"/>
          <a:chOff x="2826233" y="2679832"/>
          <a:chExt cx="1385592" cy="400203"/>
        </a:xfrm>
      </xdr:grpSpPr>
      <xdr:sp macro="" textlink="">
        <xdr:nvSpPr>
          <xdr:cNvPr id="219" name="フローチャート: 定義済み処理 218">
            <a:extLst>
              <a:ext uri="{FF2B5EF4-FFF2-40B4-BE49-F238E27FC236}">
                <a16:creationId xmlns:a16="http://schemas.microsoft.com/office/drawing/2014/main" id="{E933C6DD-5CD1-8D5E-9B03-AE33012C9715}"/>
              </a:ext>
            </a:extLst>
          </xdr:cNvPr>
          <xdr:cNvSpPr/>
        </xdr:nvSpPr>
        <xdr:spPr>
          <a:xfrm>
            <a:off x="3066218" y="2693373"/>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0" name="正方形/長方形 219">
            <a:extLst>
              <a:ext uri="{FF2B5EF4-FFF2-40B4-BE49-F238E27FC236}">
                <a16:creationId xmlns:a16="http://schemas.microsoft.com/office/drawing/2014/main" id="{8388A27E-07D5-869C-2455-BABCD1E1900D}"/>
              </a:ext>
            </a:extLst>
          </xdr:cNvPr>
          <xdr:cNvSpPr/>
        </xdr:nvSpPr>
        <xdr:spPr>
          <a:xfrm>
            <a:off x="2826233" y="2679832"/>
            <a:ext cx="138559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７．転記</a:t>
            </a:r>
            <a:endParaRPr kumimoji="1" lang="en-US" altLang="ja-JP" sz="900"/>
          </a:p>
        </xdr:txBody>
      </xdr:sp>
    </xdr:grpSp>
    <xdr:clientData/>
  </xdr:twoCellAnchor>
  <xdr:twoCellAnchor>
    <xdr:from>
      <xdr:col>29</xdr:col>
      <xdr:colOff>142876</xdr:colOff>
      <xdr:row>59</xdr:row>
      <xdr:rowOff>143140</xdr:rowOff>
    </xdr:from>
    <xdr:to>
      <xdr:col>35</xdr:col>
      <xdr:colOff>2035</xdr:colOff>
      <xdr:row>63</xdr:row>
      <xdr:rowOff>112978</xdr:rowOff>
    </xdr:to>
    <xdr:grpSp>
      <xdr:nvGrpSpPr>
        <xdr:cNvPr id="222" name="グループ化 221">
          <a:extLst>
            <a:ext uri="{FF2B5EF4-FFF2-40B4-BE49-F238E27FC236}">
              <a16:creationId xmlns:a16="http://schemas.microsoft.com/office/drawing/2014/main" id="{E2DB50DC-2DA7-5043-0770-B2EBA7D4714F}"/>
            </a:ext>
          </a:extLst>
        </xdr:cNvPr>
        <xdr:cNvGrpSpPr>
          <a:grpSpLocks noChangeAspect="1"/>
        </xdr:cNvGrpSpPr>
      </xdr:nvGrpSpPr>
      <xdr:grpSpPr>
        <a:xfrm>
          <a:off x="5391151" y="10287265"/>
          <a:ext cx="945009" cy="655638"/>
          <a:chOff x="7112000" y="2892425"/>
          <a:chExt cx="873125" cy="584982"/>
        </a:xfrm>
      </xdr:grpSpPr>
      <xdr:sp macro="" textlink="">
        <xdr:nvSpPr>
          <xdr:cNvPr id="226" name="フローチャート: 磁気ディスク 225">
            <a:extLst>
              <a:ext uri="{FF2B5EF4-FFF2-40B4-BE49-F238E27FC236}">
                <a16:creationId xmlns:a16="http://schemas.microsoft.com/office/drawing/2014/main" id="{B701B70D-73E4-D3A4-FD0A-5687673A2EB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0" name="正方形/長方形 229">
            <a:extLst>
              <a:ext uri="{FF2B5EF4-FFF2-40B4-BE49-F238E27FC236}">
                <a16:creationId xmlns:a16="http://schemas.microsoft.com/office/drawing/2014/main" id="{0E9E143C-B166-99BF-0118-88A6B9F5B3D3}"/>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支払仕訳帳</a:t>
            </a:r>
            <a:endParaRPr kumimoji="1" lang="en-US" altLang="ja-JP" sz="900"/>
          </a:p>
        </xdr:txBody>
      </xdr:sp>
    </xdr:grpSp>
    <xdr:clientData/>
  </xdr:twoCellAnchor>
  <xdr:twoCellAnchor>
    <xdr:from>
      <xdr:col>7</xdr:col>
      <xdr:colOff>26499</xdr:colOff>
      <xdr:row>61</xdr:row>
      <xdr:rowOff>99874</xdr:rowOff>
    </xdr:from>
    <xdr:to>
      <xdr:col>30</xdr:col>
      <xdr:colOff>63889</xdr:colOff>
      <xdr:row>61</xdr:row>
      <xdr:rowOff>100407</xdr:rowOff>
    </xdr:to>
    <xdr:cxnSp macro="">
      <xdr:nvCxnSpPr>
        <xdr:cNvPr id="231" name="直線矢印コネクタ 230">
          <a:extLst>
            <a:ext uri="{FF2B5EF4-FFF2-40B4-BE49-F238E27FC236}">
              <a16:creationId xmlns:a16="http://schemas.microsoft.com/office/drawing/2014/main" id="{9CEFEEB3-4729-4EFD-B82E-74F1A0108B73}"/>
            </a:ext>
          </a:extLst>
        </xdr:cNvPr>
        <xdr:cNvCxnSpPr>
          <a:stCxn id="219" idx="3"/>
          <a:endCxn id="226" idx="2"/>
        </xdr:cNvCxnSpPr>
      </xdr:nvCxnSpPr>
      <xdr:spPr>
        <a:xfrm>
          <a:off x="1248874" y="10775812"/>
          <a:ext cx="4053765" cy="5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139</xdr:row>
      <xdr:rowOff>147698</xdr:rowOff>
    </xdr:from>
    <xdr:to>
      <xdr:col>9</xdr:col>
      <xdr:colOff>142195</xdr:colOff>
      <xdr:row>143</xdr:row>
      <xdr:rowOff>62085</xdr:rowOff>
    </xdr:to>
    <xdr:grpSp>
      <xdr:nvGrpSpPr>
        <xdr:cNvPr id="239" name="グループ化 238">
          <a:extLst>
            <a:ext uri="{FF2B5EF4-FFF2-40B4-BE49-F238E27FC236}">
              <a16:creationId xmlns:a16="http://schemas.microsoft.com/office/drawing/2014/main" id="{CB3FAC94-93A2-CBB5-3105-630466E36A73}"/>
            </a:ext>
          </a:extLst>
        </xdr:cNvPr>
        <xdr:cNvGrpSpPr/>
      </xdr:nvGrpSpPr>
      <xdr:grpSpPr>
        <a:xfrm>
          <a:off x="0" y="24007823"/>
          <a:ext cx="1770970" cy="600187"/>
          <a:chOff x="2659665" y="2653433"/>
          <a:chExt cx="1643769" cy="461788"/>
        </a:xfrm>
      </xdr:grpSpPr>
      <xdr:sp macro="" textlink="">
        <xdr:nvSpPr>
          <xdr:cNvPr id="240" name="フローチャート: 定義済み処理 239">
            <a:extLst>
              <a:ext uri="{FF2B5EF4-FFF2-40B4-BE49-F238E27FC236}">
                <a16:creationId xmlns:a16="http://schemas.microsoft.com/office/drawing/2014/main" id="{4FFB9F30-E070-3A27-FEC9-6AB6CFA10C78}"/>
              </a:ext>
            </a:extLst>
          </xdr:cNvPr>
          <xdr:cNvSpPr/>
        </xdr:nvSpPr>
        <xdr:spPr>
          <a:xfrm>
            <a:off x="3066218" y="2693373"/>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1" name="正方形/長方形 240">
            <a:extLst>
              <a:ext uri="{FF2B5EF4-FFF2-40B4-BE49-F238E27FC236}">
                <a16:creationId xmlns:a16="http://schemas.microsoft.com/office/drawing/2014/main" id="{AA2BB24F-FDBB-6908-E6B3-63271AB65792}"/>
              </a:ext>
            </a:extLst>
          </xdr:cNvPr>
          <xdr:cNvSpPr/>
        </xdr:nvSpPr>
        <xdr:spPr>
          <a:xfrm>
            <a:off x="2659665" y="2653433"/>
            <a:ext cx="1643769" cy="46178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６．転記</a:t>
            </a:r>
            <a:endParaRPr kumimoji="1" lang="en-US" altLang="ja-JP" sz="900"/>
          </a:p>
        </xdr:txBody>
      </xdr:sp>
    </xdr:grpSp>
    <xdr:clientData/>
  </xdr:twoCellAnchor>
  <xdr:twoCellAnchor>
    <xdr:from>
      <xdr:col>29</xdr:col>
      <xdr:colOff>139700</xdr:colOff>
      <xdr:row>139</xdr:row>
      <xdr:rowOff>165104</xdr:rowOff>
    </xdr:from>
    <xdr:to>
      <xdr:col>35</xdr:col>
      <xdr:colOff>11559</xdr:colOff>
      <xdr:row>143</xdr:row>
      <xdr:rowOff>92608</xdr:rowOff>
    </xdr:to>
    <xdr:grpSp>
      <xdr:nvGrpSpPr>
        <xdr:cNvPr id="242" name="グループ化 241">
          <a:extLst>
            <a:ext uri="{FF2B5EF4-FFF2-40B4-BE49-F238E27FC236}">
              <a16:creationId xmlns:a16="http://schemas.microsoft.com/office/drawing/2014/main" id="{787DF008-4D42-DA81-33D4-05ADB59A540C}"/>
            </a:ext>
          </a:extLst>
        </xdr:cNvPr>
        <xdr:cNvGrpSpPr>
          <a:grpSpLocks noChangeAspect="1"/>
        </xdr:cNvGrpSpPr>
      </xdr:nvGrpSpPr>
      <xdr:grpSpPr>
        <a:xfrm>
          <a:off x="5387975" y="24025229"/>
          <a:ext cx="957709" cy="613304"/>
          <a:chOff x="7112000" y="2892425"/>
          <a:chExt cx="873125" cy="584982"/>
        </a:xfrm>
      </xdr:grpSpPr>
      <xdr:sp macro="" textlink="">
        <xdr:nvSpPr>
          <xdr:cNvPr id="243" name="フローチャート: 磁気ディスク 242">
            <a:extLst>
              <a:ext uri="{FF2B5EF4-FFF2-40B4-BE49-F238E27FC236}">
                <a16:creationId xmlns:a16="http://schemas.microsoft.com/office/drawing/2014/main" id="{2D6CE932-33C0-1D31-4160-A663C7F6CD5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4" name="正方形/長方形 243">
            <a:extLst>
              <a:ext uri="{FF2B5EF4-FFF2-40B4-BE49-F238E27FC236}">
                <a16:creationId xmlns:a16="http://schemas.microsoft.com/office/drawing/2014/main" id="{D0B1AB26-97C9-9C65-6B44-B3865F3217B3}"/>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a:p>
            <a:pPr algn="ctr"/>
            <a:r>
              <a:rPr kumimoji="1" lang="ja-JP" altLang="en-US" sz="900"/>
              <a:t>支払仕訳帳</a:t>
            </a:r>
            <a:endParaRPr kumimoji="1" lang="en-US" altLang="ja-JP" sz="900"/>
          </a:p>
        </xdr:txBody>
      </xdr:sp>
    </xdr:grpSp>
    <xdr:clientData/>
  </xdr:twoCellAnchor>
  <xdr:twoCellAnchor>
    <xdr:from>
      <xdr:col>7</xdr:col>
      <xdr:colOff>55563</xdr:colOff>
      <xdr:row>141</xdr:row>
      <xdr:rowOff>100076</xdr:rowOff>
    </xdr:from>
    <xdr:to>
      <xdr:col>30</xdr:col>
      <xdr:colOff>62052</xdr:colOff>
      <xdr:row>141</xdr:row>
      <xdr:rowOff>102955</xdr:rowOff>
    </xdr:to>
    <xdr:cxnSp macro="">
      <xdr:nvCxnSpPr>
        <xdr:cNvPr id="245" name="直線矢印コネクタ 244">
          <a:extLst>
            <a:ext uri="{FF2B5EF4-FFF2-40B4-BE49-F238E27FC236}">
              <a16:creationId xmlns:a16="http://schemas.microsoft.com/office/drawing/2014/main" id="{55755839-F2EA-4CEE-A2F6-5F27E7A9A574}"/>
            </a:ext>
          </a:extLst>
        </xdr:cNvPr>
        <xdr:cNvCxnSpPr>
          <a:stCxn id="240" idx="3"/>
          <a:endCxn id="243" idx="2"/>
        </xdr:cNvCxnSpPr>
      </xdr:nvCxnSpPr>
      <xdr:spPr>
        <a:xfrm>
          <a:off x="1277938" y="24746014"/>
          <a:ext cx="4022864" cy="28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152409</xdr:colOff>
      <xdr:row>142</xdr:row>
      <xdr:rowOff>174068</xdr:rowOff>
    </xdr:from>
    <xdr:to>
      <xdr:col>18</xdr:col>
      <xdr:colOff>88686</xdr:colOff>
      <xdr:row>146</xdr:row>
      <xdr:rowOff>158215</xdr:rowOff>
    </xdr:to>
    <xdr:cxnSp macro="">
      <xdr:nvCxnSpPr>
        <xdr:cNvPr id="249" name="コネクタ: カギ線 248">
          <a:extLst>
            <a:ext uri="{FF2B5EF4-FFF2-40B4-BE49-F238E27FC236}">
              <a16:creationId xmlns:a16="http://schemas.microsoft.com/office/drawing/2014/main" id="{77ED8A62-8FE1-4A7A-B0CD-B89A04BB6A53}"/>
            </a:ext>
          </a:extLst>
        </xdr:cNvPr>
        <xdr:cNvCxnSpPr>
          <a:stCxn id="240" idx="2"/>
          <a:endCxn id="73" idx="0"/>
        </xdr:cNvCxnSpPr>
      </xdr:nvCxnSpPr>
      <xdr:spPr>
        <a:xfrm rot="16200000" flipH="1">
          <a:off x="1700099" y="24145441"/>
          <a:ext cx="682647" cy="238102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7938</xdr:colOff>
      <xdr:row>177</xdr:row>
      <xdr:rowOff>95250</xdr:rowOff>
    </xdr:from>
    <xdr:to>
      <xdr:col>21</xdr:col>
      <xdr:colOff>167480</xdr:colOff>
      <xdr:row>180</xdr:row>
      <xdr:rowOff>98330</xdr:rowOff>
    </xdr:to>
    <xdr:grpSp>
      <xdr:nvGrpSpPr>
        <xdr:cNvPr id="11" name="グループ化 10">
          <a:extLst>
            <a:ext uri="{FF2B5EF4-FFF2-40B4-BE49-F238E27FC236}">
              <a16:creationId xmlns:a16="http://schemas.microsoft.com/office/drawing/2014/main" id="{DA9B85B0-05E1-4A25-A983-7CEB15BB7A7D}"/>
            </a:ext>
          </a:extLst>
        </xdr:cNvPr>
        <xdr:cNvGrpSpPr/>
      </xdr:nvGrpSpPr>
      <xdr:grpSpPr>
        <a:xfrm>
          <a:off x="2722563" y="30470475"/>
          <a:ext cx="1245392" cy="517430"/>
          <a:chOff x="217092" y="5701906"/>
          <a:chExt cx="1153558" cy="542012"/>
        </a:xfrm>
      </xdr:grpSpPr>
      <xdr:sp macro="" textlink="">
        <xdr:nvSpPr>
          <xdr:cNvPr id="12" name="フローチャート: 他ページ結合子 11">
            <a:extLst>
              <a:ext uri="{FF2B5EF4-FFF2-40B4-BE49-F238E27FC236}">
                <a16:creationId xmlns:a16="http://schemas.microsoft.com/office/drawing/2014/main" id="{84D477A2-96E1-BE08-0F6C-5EA439FC9A9B}"/>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 name="正方形/長方形 48">
            <a:extLst>
              <a:ext uri="{FF2B5EF4-FFF2-40B4-BE49-F238E27FC236}">
                <a16:creationId xmlns:a16="http://schemas.microsoft.com/office/drawing/2014/main" id="{97B82537-A53F-6910-0831-82E8B274801E}"/>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３．経費精算</a:t>
            </a:r>
          </a:p>
        </xdr:txBody>
      </xdr:sp>
    </xdr:grpSp>
    <xdr:clientData/>
  </xdr:twoCellAnchor>
  <xdr:twoCellAnchor>
    <xdr:from>
      <xdr:col>4</xdr:col>
      <xdr:colOff>112761</xdr:colOff>
      <xdr:row>180</xdr:row>
      <xdr:rowOff>81079</xdr:rowOff>
    </xdr:from>
    <xdr:to>
      <xdr:col>18</xdr:col>
      <xdr:colOff>85921</xdr:colOff>
      <xdr:row>184</xdr:row>
      <xdr:rowOff>46464</xdr:rowOff>
    </xdr:to>
    <xdr:cxnSp macro="">
      <xdr:nvCxnSpPr>
        <xdr:cNvPr id="30" name="コネクタ: カギ線 29">
          <a:extLst>
            <a:ext uri="{FF2B5EF4-FFF2-40B4-BE49-F238E27FC236}">
              <a16:creationId xmlns:a16="http://schemas.microsoft.com/office/drawing/2014/main" id="{71B3AD47-DBD7-4E16-A653-350DDEB509E4}"/>
            </a:ext>
          </a:extLst>
        </xdr:cNvPr>
        <xdr:cNvCxnSpPr>
          <a:stCxn id="12" idx="2"/>
          <a:endCxn id="144" idx="0"/>
        </xdr:cNvCxnSpPr>
      </xdr:nvCxnSpPr>
      <xdr:spPr>
        <a:xfrm rot="5400000">
          <a:off x="1688273" y="30660380"/>
          <a:ext cx="663885" cy="241791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115446</xdr:colOff>
      <xdr:row>37</xdr:row>
      <xdr:rowOff>9515</xdr:rowOff>
    </xdr:from>
    <xdr:to>
      <xdr:col>4</xdr:col>
      <xdr:colOff>116988</xdr:colOff>
      <xdr:row>40</xdr:row>
      <xdr:rowOff>77781</xdr:rowOff>
    </xdr:to>
    <xdr:cxnSp macro="">
      <xdr:nvCxnSpPr>
        <xdr:cNvPr id="6" name="直線矢印コネクタ 27">
          <a:extLst>
            <a:ext uri="{FF2B5EF4-FFF2-40B4-BE49-F238E27FC236}">
              <a16:creationId xmlns:a16="http://schemas.microsoft.com/office/drawing/2014/main" id="{87C7C884-6B7A-455C-AC33-80AA4EB78B15}"/>
            </a:ext>
          </a:extLst>
        </xdr:cNvPr>
        <xdr:cNvCxnSpPr>
          <a:cxnSpLocks/>
          <a:stCxn id="12" idx="2"/>
          <a:endCxn id="15" idx="0"/>
        </xdr:cNvCxnSpPr>
      </xdr:nvCxnSpPr>
      <xdr:spPr>
        <a:xfrm flipH="1">
          <a:off x="915546" y="14973290"/>
          <a:ext cx="1542" cy="58261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165096</xdr:colOff>
      <xdr:row>34</xdr:row>
      <xdr:rowOff>9515</xdr:rowOff>
    </xdr:from>
    <xdr:to>
      <xdr:col>7</xdr:col>
      <xdr:colOff>39155</xdr:colOff>
      <xdr:row>37</xdr:row>
      <xdr:rowOff>9515</xdr:rowOff>
    </xdr:to>
    <xdr:grpSp>
      <xdr:nvGrpSpPr>
        <xdr:cNvPr id="11" name="グループ化 10">
          <a:extLst>
            <a:ext uri="{FF2B5EF4-FFF2-40B4-BE49-F238E27FC236}">
              <a16:creationId xmlns:a16="http://schemas.microsoft.com/office/drawing/2014/main" id="{A11F1343-48C5-48CE-A261-1AA73634A43E}"/>
            </a:ext>
          </a:extLst>
        </xdr:cNvPr>
        <xdr:cNvGrpSpPr/>
      </xdr:nvGrpSpPr>
      <xdr:grpSpPr>
        <a:xfrm>
          <a:off x="346071" y="5867390"/>
          <a:ext cx="1007534" cy="514350"/>
          <a:chOff x="1612900" y="2427475"/>
          <a:chExt cx="933032" cy="404625"/>
        </a:xfrm>
      </xdr:grpSpPr>
      <xdr:sp macro="" textlink="">
        <xdr:nvSpPr>
          <xdr:cNvPr id="12" name="フローチャート: 定義済み処理 11">
            <a:extLst>
              <a:ext uri="{FF2B5EF4-FFF2-40B4-BE49-F238E27FC236}">
                <a16:creationId xmlns:a16="http://schemas.microsoft.com/office/drawing/2014/main" id="{08775C16-730D-824A-47D0-8F91F42B56B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 name="正方形/長方形 12">
            <a:extLst>
              <a:ext uri="{FF2B5EF4-FFF2-40B4-BE49-F238E27FC236}">
                <a16:creationId xmlns:a16="http://schemas.microsoft.com/office/drawing/2014/main" id="{95A556F9-29D7-5BA2-5AA8-ECCD2A8CD190}"/>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１．債務データ</a:t>
            </a:r>
            <a:endParaRPr kumimoji="1" lang="en-US" altLang="ja-JP" sz="900"/>
          </a:p>
          <a:p>
            <a:pPr algn="ctr"/>
            <a:r>
              <a:rPr kumimoji="1" lang="ja-JP" altLang="en-US" sz="900"/>
              <a:t>の紐づけ</a:t>
            </a:r>
            <a:endParaRPr kumimoji="1" lang="en-US" altLang="ja-JP" sz="900"/>
          </a:p>
        </xdr:txBody>
      </xdr:sp>
    </xdr:grpSp>
    <xdr:clientData/>
  </xdr:twoCellAnchor>
  <xdr:twoCellAnchor>
    <xdr:from>
      <xdr:col>1</xdr:col>
      <xdr:colOff>161922</xdr:colOff>
      <xdr:row>40</xdr:row>
      <xdr:rowOff>39677</xdr:rowOff>
    </xdr:from>
    <xdr:to>
      <xdr:col>7</xdr:col>
      <xdr:colOff>39156</xdr:colOff>
      <xdr:row>43</xdr:row>
      <xdr:rowOff>39677</xdr:rowOff>
    </xdr:to>
    <xdr:grpSp>
      <xdr:nvGrpSpPr>
        <xdr:cNvPr id="14" name="グループ化 13">
          <a:extLst>
            <a:ext uri="{FF2B5EF4-FFF2-40B4-BE49-F238E27FC236}">
              <a16:creationId xmlns:a16="http://schemas.microsoft.com/office/drawing/2014/main" id="{882BB416-E2C7-4924-968E-3385A3AF641E}"/>
            </a:ext>
          </a:extLst>
        </xdr:cNvPr>
        <xdr:cNvGrpSpPr/>
      </xdr:nvGrpSpPr>
      <xdr:grpSpPr>
        <a:xfrm>
          <a:off x="342897" y="6926252"/>
          <a:ext cx="1010709" cy="514350"/>
          <a:chOff x="1612900" y="2427475"/>
          <a:chExt cx="933032" cy="404625"/>
        </a:xfrm>
      </xdr:grpSpPr>
      <xdr:sp macro="" textlink="">
        <xdr:nvSpPr>
          <xdr:cNvPr id="15" name="フローチャート: 定義済み処理 14">
            <a:extLst>
              <a:ext uri="{FF2B5EF4-FFF2-40B4-BE49-F238E27FC236}">
                <a16:creationId xmlns:a16="http://schemas.microsoft.com/office/drawing/2014/main" id="{48922637-D439-922F-2823-245C0B0A59F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 name="正方形/長方形 15">
            <a:extLst>
              <a:ext uri="{FF2B5EF4-FFF2-40B4-BE49-F238E27FC236}">
                <a16:creationId xmlns:a16="http://schemas.microsoft.com/office/drawing/2014/main" id="{AE61C81C-7A0E-8FEE-81AF-417547118032}"/>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２．支払</a:t>
            </a:r>
            <a:endParaRPr kumimoji="1" lang="en-US" altLang="ja-JP" sz="900"/>
          </a:p>
          <a:p>
            <a:pPr algn="ctr"/>
            <a:r>
              <a:rPr kumimoji="1" lang="ja-JP" altLang="en-US" sz="900"/>
              <a:t>承認申請</a:t>
            </a:r>
            <a:endParaRPr kumimoji="1" lang="en-US" altLang="ja-JP" sz="900"/>
          </a:p>
        </xdr:txBody>
      </xdr:sp>
    </xdr:grpSp>
    <xdr:clientData/>
  </xdr:twoCellAnchor>
  <xdr:twoCellAnchor>
    <xdr:from>
      <xdr:col>8</xdr:col>
      <xdr:colOff>124882</xdr:colOff>
      <xdr:row>48</xdr:row>
      <xdr:rowOff>11652</xdr:rowOff>
    </xdr:from>
    <xdr:to>
      <xdr:col>14</xdr:col>
      <xdr:colOff>20107</xdr:colOff>
      <xdr:row>51</xdr:row>
      <xdr:rowOff>8196</xdr:rowOff>
    </xdr:to>
    <xdr:grpSp>
      <xdr:nvGrpSpPr>
        <xdr:cNvPr id="17" name="グループ化 16">
          <a:extLst>
            <a:ext uri="{FF2B5EF4-FFF2-40B4-BE49-F238E27FC236}">
              <a16:creationId xmlns:a16="http://schemas.microsoft.com/office/drawing/2014/main" id="{6F876FB1-F8E3-437B-BFDC-3EBF772622EA}"/>
            </a:ext>
          </a:extLst>
        </xdr:cNvPr>
        <xdr:cNvGrpSpPr/>
      </xdr:nvGrpSpPr>
      <xdr:grpSpPr>
        <a:xfrm>
          <a:off x="1620307" y="8269827"/>
          <a:ext cx="981075" cy="510894"/>
          <a:chOff x="1604016" y="2445245"/>
          <a:chExt cx="933032" cy="400203"/>
        </a:xfrm>
      </xdr:grpSpPr>
      <xdr:sp macro="" textlink="">
        <xdr:nvSpPr>
          <xdr:cNvPr id="18" name="フローチャート: 定義済み処理 17">
            <a:extLst>
              <a:ext uri="{FF2B5EF4-FFF2-40B4-BE49-F238E27FC236}">
                <a16:creationId xmlns:a16="http://schemas.microsoft.com/office/drawing/2014/main" id="{F4D225A1-47F1-72B9-6E3E-253E83A3C81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9" name="正方形/長方形 18">
            <a:extLst>
              <a:ext uri="{FF2B5EF4-FFF2-40B4-BE49-F238E27FC236}">
                <a16:creationId xmlns:a16="http://schemas.microsoft.com/office/drawing/2014/main" id="{F4E63AAD-6F6E-5170-EAEF-23BB66E9705E}"/>
              </a:ext>
            </a:extLst>
          </xdr:cNvPr>
          <xdr:cNvSpPr/>
        </xdr:nvSpPr>
        <xdr:spPr>
          <a:xfrm>
            <a:off x="1604016" y="244524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３．支払の</a:t>
            </a:r>
            <a:endParaRPr kumimoji="1" lang="en-US" altLang="ja-JP" sz="900"/>
          </a:p>
          <a:p>
            <a:pPr algn="ctr"/>
            <a:r>
              <a:rPr kumimoji="1" lang="ja-JP" altLang="en-US" sz="900"/>
              <a:t>承認</a:t>
            </a:r>
            <a:r>
              <a:rPr kumimoji="1" lang="en-US" altLang="ja-JP" sz="900"/>
              <a:t>/</a:t>
            </a:r>
            <a:r>
              <a:rPr kumimoji="1" lang="ja-JP" altLang="en-US" sz="900"/>
              <a:t>変更依頼</a:t>
            </a:r>
            <a:endParaRPr kumimoji="1" lang="en-US" altLang="ja-JP" sz="900"/>
          </a:p>
        </xdr:txBody>
      </xdr:sp>
    </xdr:grpSp>
    <xdr:clientData/>
  </xdr:twoCellAnchor>
  <xdr:twoCellAnchor>
    <xdr:from>
      <xdr:col>23</xdr:col>
      <xdr:colOff>444</xdr:colOff>
      <xdr:row>33</xdr:row>
      <xdr:rowOff>160330</xdr:rowOff>
    </xdr:from>
    <xdr:to>
      <xdr:col>28</xdr:col>
      <xdr:colOff>6419</xdr:colOff>
      <xdr:row>37</xdr:row>
      <xdr:rowOff>134830</xdr:rowOff>
    </xdr:to>
    <xdr:grpSp>
      <xdr:nvGrpSpPr>
        <xdr:cNvPr id="20" name="グループ化 19">
          <a:extLst>
            <a:ext uri="{FF2B5EF4-FFF2-40B4-BE49-F238E27FC236}">
              <a16:creationId xmlns:a16="http://schemas.microsoft.com/office/drawing/2014/main" id="{C8686E64-6BD9-44D7-8721-CD8EB85701B9}"/>
            </a:ext>
          </a:extLst>
        </xdr:cNvPr>
        <xdr:cNvGrpSpPr/>
      </xdr:nvGrpSpPr>
      <xdr:grpSpPr>
        <a:xfrm>
          <a:off x="4210494" y="5846755"/>
          <a:ext cx="910850" cy="660300"/>
          <a:chOff x="7111999" y="2892425"/>
          <a:chExt cx="873125" cy="584982"/>
        </a:xfrm>
      </xdr:grpSpPr>
      <xdr:sp macro="" textlink="">
        <xdr:nvSpPr>
          <xdr:cNvPr id="21" name="フローチャート: 磁気ディスク 20">
            <a:extLst>
              <a:ext uri="{FF2B5EF4-FFF2-40B4-BE49-F238E27FC236}">
                <a16:creationId xmlns:a16="http://schemas.microsoft.com/office/drawing/2014/main" id="{98823652-86D8-A9B6-B015-E2FA70D7818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 name="正方形/長方形 21">
            <a:extLst>
              <a:ext uri="{FF2B5EF4-FFF2-40B4-BE49-F238E27FC236}">
                <a16:creationId xmlns:a16="http://schemas.microsoft.com/office/drawing/2014/main" id="{7F198001-D4C5-FCAD-CD3B-3798B2C056DA}"/>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仕入先支払</a:t>
            </a:r>
            <a:endParaRPr kumimoji="1" lang="en-US" altLang="ja-JP" sz="900"/>
          </a:p>
          <a:p>
            <a:pPr algn="ctr"/>
            <a:r>
              <a:rPr kumimoji="1" lang="ja-JP" altLang="en-US" sz="900"/>
              <a:t>仕訳帳</a:t>
            </a:r>
          </a:p>
        </xdr:txBody>
      </xdr:sp>
    </xdr:grpSp>
    <xdr:clientData/>
  </xdr:twoCellAnchor>
  <xdr:twoCellAnchor>
    <xdr:from>
      <xdr:col>6</xdr:col>
      <xdr:colOff>188486</xdr:colOff>
      <xdr:row>35</xdr:row>
      <xdr:rowOff>114292</xdr:rowOff>
    </xdr:from>
    <xdr:to>
      <xdr:col>23</xdr:col>
      <xdr:colOff>106878</xdr:colOff>
      <xdr:row>35</xdr:row>
      <xdr:rowOff>121979</xdr:rowOff>
    </xdr:to>
    <xdr:cxnSp macro="">
      <xdr:nvCxnSpPr>
        <xdr:cNvPr id="23" name="直線矢印コネクタ 22">
          <a:extLst>
            <a:ext uri="{FF2B5EF4-FFF2-40B4-BE49-F238E27FC236}">
              <a16:creationId xmlns:a16="http://schemas.microsoft.com/office/drawing/2014/main" id="{074B88D2-E281-47FA-BB76-9DFE51298CB8}"/>
            </a:ext>
          </a:extLst>
        </xdr:cNvPr>
        <xdr:cNvCxnSpPr>
          <a:cxnSpLocks/>
          <a:stCxn id="12" idx="3"/>
          <a:endCxn id="21" idx="2"/>
        </xdr:cNvCxnSpPr>
      </xdr:nvCxnSpPr>
      <xdr:spPr>
        <a:xfrm>
          <a:off x="1388636" y="14735167"/>
          <a:ext cx="1918642" cy="76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100540</xdr:colOff>
      <xdr:row>43</xdr:row>
      <xdr:rowOff>34055</xdr:rowOff>
    </xdr:from>
    <xdr:to>
      <xdr:col>11</xdr:col>
      <xdr:colOff>96567</xdr:colOff>
      <xdr:row>48</xdr:row>
      <xdr:rowOff>24250</xdr:rowOff>
    </xdr:to>
    <xdr:cxnSp macro="">
      <xdr:nvCxnSpPr>
        <xdr:cNvPr id="28" name="コネクタ: カギ線 27">
          <a:extLst>
            <a:ext uri="{FF2B5EF4-FFF2-40B4-BE49-F238E27FC236}">
              <a16:creationId xmlns:a16="http://schemas.microsoft.com/office/drawing/2014/main" id="{E6598416-1827-477E-88C6-D69EEBF432EB}"/>
            </a:ext>
          </a:extLst>
        </xdr:cNvPr>
        <xdr:cNvCxnSpPr>
          <a:stCxn id="16" idx="2"/>
          <a:endCxn id="18" idx="0"/>
        </xdr:cNvCxnSpPr>
      </xdr:nvCxnSpPr>
      <xdr:spPr>
        <a:xfrm rot="16200000" flipH="1">
          <a:off x="1175018" y="15752152"/>
          <a:ext cx="847445" cy="139620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165093</xdr:colOff>
      <xdr:row>54</xdr:row>
      <xdr:rowOff>122236</xdr:rowOff>
    </xdr:from>
    <xdr:to>
      <xdr:col>14</xdr:col>
      <xdr:colOff>36506</xdr:colOff>
      <xdr:row>58</xdr:row>
      <xdr:rowOff>106361</xdr:rowOff>
    </xdr:to>
    <xdr:grpSp>
      <xdr:nvGrpSpPr>
        <xdr:cNvPr id="29" name="グループ化 28">
          <a:extLst>
            <a:ext uri="{FF2B5EF4-FFF2-40B4-BE49-F238E27FC236}">
              <a16:creationId xmlns:a16="http://schemas.microsoft.com/office/drawing/2014/main" id="{4AC5ECF3-6172-4BC6-9220-C4D0F3926819}"/>
            </a:ext>
          </a:extLst>
        </xdr:cNvPr>
        <xdr:cNvGrpSpPr/>
      </xdr:nvGrpSpPr>
      <xdr:grpSpPr>
        <a:xfrm>
          <a:off x="1660518" y="9409111"/>
          <a:ext cx="957263" cy="669925"/>
          <a:chOff x="285750" y="4792662"/>
          <a:chExt cx="1003300" cy="631826"/>
        </a:xfrm>
      </xdr:grpSpPr>
      <xdr:sp macro="" textlink="">
        <xdr:nvSpPr>
          <xdr:cNvPr id="30" name="フローチャート: 判断 29">
            <a:extLst>
              <a:ext uri="{FF2B5EF4-FFF2-40B4-BE49-F238E27FC236}">
                <a16:creationId xmlns:a16="http://schemas.microsoft.com/office/drawing/2014/main" id="{AEC9F431-48F2-E7FB-2CB4-070E092B23B8}"/>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31" name="正方形/長方形 48">
            <a:extLst>
              <a:ext uri="{FF2B5EF4-FFF2-40B4-BE49-F238E27FC236}">
                <a16:creationId xmlns:a16="http://schemas.microsoft.com/office/drawing/2014/main" id="{55098719-D4CD-DC65-B95D-C925E86DCD8C}"/>
              </a:ext>
            </a:extLst>
          </xdr:cNvPr>
          <xdr:cNvSpPr/>
        </xdr:nvSpPr>
        <xdr:spPr>
          <a:xfrm>
            <a:off x="285750" y="4792662"/>
            <a:ext cx="1003300" cy="6318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支払承認</a:t>
            </a:r>
          </a:p>
        </xdr:txBody>
      </xdr:sp>
    </xdr:grpSp>
    <xdr:clientData/>
  </xdr:twoCellAnchor>
  <xdr:twoCellAnchor>
    <xdr:from>
      <xdr:col>11</xdr:col>
      <xdr:colOff>96715</xdr:colOff>
      <xdr:row>50</xdr:row>
      <xdr:rowOff>163665</xdr:rowOff>
    </xdr:from>
    <xdr:to>
      <xdr:col>11</xdr:col>
      <xdr:colOff>104211</xdr:colOff>
      <xdr:row>55</xdr:row>
      <xdr:rowOff>7748</xdr:rowOff>
    </xdr:to>
    <xdr:cxnSp macro="">
      <xdr:nvCxnSpPr>
        <xdr:cNvPr id="32" name="直線矢印コネクタ 27">
          <a:extLst>
            <a:ext uri="{FF2B5EF4-FFF2-40B4-BE49-F238E27FC236}">
              <a16:creationId xmlns:a16="http://schemas.microsoft.com/office/drawing/2014/main" id="{782AAA93-5590-4068-B1B5-E8F90391FE21}"/>
            </a:ext>
          </a:extLst>
        </xdr:cNvPr>
        <xdr:cNvCxnSpPr>
          <a:cxnSpLocks/>
          <a:stCxn id="18" idx="2"/>
          <a:endCxn id="30" idx="0"/>
        </xdr:cNvCxnSpPr>
      </xdr:nvCxnSpPr>
      <xdr:spPr>
        <a:xfrm>
          <a:off x="7938965" y="17160498"/>
          <a:ext cx="7496" cy="6907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123287</xdr:colOff>
      <xdr:row>59</xdr:row>
      <xdr:rowOff>55562</xdr:rowOff>
    </xdr:from>
    <xdr:to>
      <xdr:col>6</xdr:col>
      <xdr:colOff>197371</xdr:colOff>
      <xdr:row>62</xdr:row>
      <xdr:rowOff>55562</xdr:rowOff>
    </xdr:to>
    <xdr:grpSp>
      <xdr:nvGrpSpPr>
        <xdr:cNvPr id="33" name="グループ化 32">
          <a:extLst>
            <a:ext uri="{FF2B5EF4-FFF2-40B4-BE49-F238E27FC236}">
              <a16:creationId xmlns:a16="http://schemas.microsoft.com/office/drawing/2014/main" id="{3DDBF29E-D550-4F08-8F55-81AF489289B2}"/>
            </a:ext>
          </a:extLst>
        </xdr:cNvPr>
        <xdr:cNvGrpSpPr/>
      </xdr:nvGrpSpPr>
      <xdr:grpSpPr>
        <a:xfrm>
          <a:off x="304262" y="10199687"/>
          <a:ext cx="1007534" cy="523875"/>
          <a:chOff x="1612900" y="2427475"/>
          <a:chExt cx="933032" cy="404625"/>
        </a:xfrm>
      </xdr:grpSpPr>
      <xdr:sp macro="" textlink="">
        <xdr:nvSpPr>
          <xdr:cNvPr id="34" name="フローチャート: 定義済み処理 33">
            <a:extLst>
              <a:ext uri="{FF2B5EF4-FFF2-40B4-BE49-F238E27FC236}">
                <a16:creationId xmlns:a16="http://schemas.microsoft.com/office/drawing/2014/main" id="{2B337E16-CF3E-687A-04E5-3EE529F53D2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5" name="正方形/長方形 34">
            <a:extLst>
              <a:ext uri="{FF2B5EF4-FFF2-40B4-BE49-F238E27FC236}">
                <a16:creationId xmlns:a16="http://schemas.microsoft.com/office/drawing/2014/main" id="{CE8FA4FC-05F7-6A3A-6BC5-32EC566A52A9}"/>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４．不備修正</a:t>
            </a:r>
            <a:endParaRPr kumimoji="1" lang="en-US" altLang="ja-JP" sz="900"/>
          </a:p>
        </xdr:txBody>
      </xdr:sp>
    </xdr:grpSp>
    <xdr:clientData/>
  </xdr:twoCellAnchor>
  <xdr:twoCellAnchor>
    <xdr:from>
      <xdr:col>2</xdr:col>
      <xdr:colOff>45279</xdr:colOff>
      <xdr:row>73</xdr:row>
      <xdr:rowOff>74905</xdr:rowOff>
    </xdr:from>
    <xdr:to>
      <xdr:col>7</xdr:col>
      <xdr:colOff>122538</xdr:colOff>
      <xdr:row>76</xdr:row>
      <xdr:rowOff>64193</xdr:rowOff>
    </xdr:to>
    <xdr:grpSp>
      <xdr:nvGrpSpPr>
        <xdr:cNvPr id="36" name="グループ化 35">
          <a:extLst>
            <a:ext uri="{FF2B5EF4-FFF2-40B4-BE49-F238E27FC236}">
              <a16:creationId xmlns:a16="http://schemas.microsoft.com/office/drawing/2014/main" id="{0958ED45-0F79-4381-961B-126785492EF2}"/>
            </a:ext>
          </a:extLst>
        </xdr:cNvPr>
        <xdr:cNvGrpSpPr/>
      </xdr:nvGrpSpPr>
      <xdr:grpSpPr>
        <a:xfrm>
          <a:off x="454854" y="12628855"/>
          <a:ext cx="982134" cy="503638"/>
          <a:chOff x="1630982" y="2443331"/>
          <a:chExt cx="933032" cy="400203"/>
        </a:xfrm>
      </xdr:grpSpPr>
      <xdr:sp macro="" textlink="">
        <xdr:nvSpPr>
          <xdr:cNvPr id="37" name="フローチャート: 定義済み処理 36">
            <a:extLst>
              <a:ext uri="{FF2B5EF4-FFF2-40B4-BE49-F238E27FC236}">
                <a16:creationId xmlns:a16="http://schemas.microsoft.com/office/drawing/2014/main" id="{A3088303-EB9A-0E01-D14F-6E4FBA135A1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8" name="正方形/長方形 37">
            <a:extLst>
              <a:ext uri="{FF2B5EF4-FFF2-40B4-BE49-F238E27FC236}">
                <a16:creationId xmlns:a16="http://schemas.microsoft.com/office/drawing/2014/main" id="{091DEBAB-C1A2-4CAE-D0BA-3BFE599BCDA7}"/>
              </a:ext>
            </a:extLst>
          </xdr:cNvPr>
          <xdr:cNvSpPr/>
        </xdr:nvSpPr>
        <xdr:spPr>
          <a:xfrm>
            <a:off x="1630982" y="2443331"/>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５．</a:t>
            </a:r>
            <a:r>
              <a:rPr kumimoji="1" lang="en-US" altLang="ja-JP" sz="900"/>
              <a:t>EB</a:t>
            </a:r>
            <a:r>
              <a:rPr kumimoji="1" lang="ja-JP" altLang="en-US" sz="900"/>
              <a:t>データ</a:t>
            </a:r>
            <a:endParaRPr kumimoji="1" lang="en-US" altLang="ja-JP" sz="900"/>
          </a:p>
          <a:p>
            <a:pPr algn="ctr"/>
            <a:r>
              <a:rPr kumimoji="1" lang="ja-JP" altLang="en-US" sz="900"/>
              <a:t>出力</a:t>
            </a:r>
            <a:endParaRPr kumimoji="1" lang="en-US" altLang="ja-JP" sz="900"/>
          </a:p>
        </xdr:txBody>
      </xdr:sp>
    </xdr:grpSp>
    <xdr:clientData/>
  </xdr:twoCellAnchor>
  <xdr:twoCellAnchor>
    <xdr:from>
      <xdr:col>5</xdr:col>
      <xdr:colOff>116100</xdr:colOff>
      <xdr:row>75</xdr:row>
      <xdr:rowOff>102235</xdr:rowOff>
    </xdr:from>
    <xdr:to>
      <xdr:col>14</xdr:col>
      <xdr:colOff>32987</xdr:colOff>
      <xdr:row>78</xdr:row>
      <xdr:rowOff>635</xdr:rowOff>
    </xdr:to>
    <xdr:grpSp>
      <xdr:nvGrpSpPr>
        <xdr:cNvPr id="39" name="グループ化 38">
          <a:extLst>
            <a:ext uri="{FF2B5EF4-FFF2-40B4-BE49-F238E27FC236}">
              <a16:creationId xmlns:a16="http://schemas.microsoft.com/office/drawing/2014/main" id="{E17FF107-45AF-422D-9640-565F7CE01A37}"/>
            </a:ext>
          </a:extLst>
        </xdr:cNvPr>
        <xdr:cNvGrpSpPr/>
      </xdr:nvGrpSpPr>
      <xdr:grpSpPr>
        <a:xfrm>
          <a:off x="1068600" y="12999085"/>
          <a:ext cx="1545662" cy="412750"/>
          <a:chOff x="4305300" y="5730875"/>
          <a:chExt cx="1003300" cy="425450"/>
        </a:xfrm>
      </xdr:grpSpPr>
      <xdr:sp macro="" textlink="">
        <xdr:nvSpPr>
          <xdr:cNvPr id="40" name="AutoShape 49">
            <a:extLst>
              <a:ext uri="{FF2B5EF4-FFF2-40B4-BE49-F238E27FC236}">
                <a16:creationId xmlns:a16="http://schemas.microsoft.com/office/drawing/2014/main" id="{0702B0A2-6760-A351-3712-D3FA1F1F1F3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41" name="正方形/長方形 48">
            <a:extLst>
              <a:ext uri="{FF2B5EF4-FFF2-40B4-BE49-F238E27FC236}">
                <a16:creationId xmlns:a16="http://schemas.microsoft.com/office/drawing/2014/main" id="{4BFEFB97-FF07-47DB-5722-498C68B32D60}"/>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EB</a:t>
            </a:r>
            <a:r>
              <a:rPr kumimoji="1" lang="ja-JP" altLang="en-US" sz="900"/>
              <a:t>データ（全銀協）</a:t>
            </a:r>
          </a:p>
        </xdr:txBody>
      </xdr:sp>
    </xdr:grpSp>
    <xdr:clientData/>
  </xdr:twoCellAnchor>
  <xdr:twoCellAnchor>
    <xdr:from>
      <xdr:col>1</xdr:col>
      <xdr:colOff>130175</xdr:colOff>
      <xdr:row>84</xdr:row>
      <xdr:rowOff>94602</xdr:rowOff>
    </xdr:from>
    <xdr:to>
      <xdr:col>8</xdr:col>
      <xdr:colOff>57148</xdr:colOff>
      <xdr:row>87</xdr:row>
      <xdr:rowOff>94601</xdr:rowOff>
    </xdr:to>
    <xdr:grpSp>
      <xdr:nvGrpSpPr>
        <xdr:cNvPr id="42" name="グループ化 41">
          <a:extLst>
            <a:ext uri="{FF2B5EF4-FFF2-40B4-BE49-F238E27FC236}">
              <a16:creationId xmlns:a16="http://schemas.microsoft.com/office/drawing/2014/main" id="{F5D01429-6E86-4138-A7EC-811341DA18B3}"/>
            </a:ext>
          </a:extLst>
        </xdr:cNvPr>
        <xdr:cNvGrpSpPr/>
      </xdr:nvGrpSpPr>
      <xdr:grpSpPr>
        <a:xfrm>
          <a:off x="311150" y="14534502"/>
          <a:ext cx="1241423" cy="514349"/>
          <a:chOff x="1482866" y="2427475"/>
          <a:chExt cx="1241743" cy="404625"/>
        </a:xfrm>
      </xdr:grpSpPr>
      <xdr:sp macro="" textlink="">
        <xdr:nvSpPr>
          <xdr:cNvPr id="43" name="フローチャート: 定義済み処理 42">
            <a:extLst>
              <a:ext uri="{FF2B5EF4-FFF2-40B4-BE49-F238E27FC236}">
                <a16:creationId xmlns:a16="http://schemas.microsoft.com/office/drawing/2014/main" id="{E063D9A6-CFAD-E0E7-97C3-2AAC4B1E8BBD}"/>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4" name="正方形/長方形 43">
            <a:extLst>
              <a:ext uri="{FF2B5EF4-FFF2-40B4-BE49-F238E27FC236}">
                <a16:creationId xmlns:a16="http://schemas.microsoft.com/office/drawing/2014/main" id="{7F6B8BC1-C79D-91BB-C382-1F8EE232351B}"/>
              </a:ext>
            </a:extLst>
          </xdr:cNvPr>
          <xdr:cNvSpPr/>
        </xdr:nvSpPr>
        <xdr:spPr>
          <a:xfrm>
            <a:off x="1482866" y="2427475"/>
            <a:ext cx="1241743"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６．</a:t>
            </a:r>
            <a:r>
              <a:rPr kumimoji="1" lang="en-US" altLang="ja-JP" sz="900"/>
              <a:t>EB</a:t>
            </a:r>
            <a:r>
              <a:rPr kumimoji="1" lang="ja-JP" altLang="en-US" sz="900"/>
              <a:t>データ</a:t>
            </a:r>
            <a:endParaRPr kumimoji="1" lang="en-US" altLang="ja-JP" sz="900"/>
          </a:p>
          <a:p>
            <a:pPr algn="ctr"/>
            <a:r>
              <a:rPr kumimoji="1" lang="ja-JP" altLang="en-US" sz="900"/>
              <a:t>取り込み</a:t>
            </a:r>
            <a:endParaRPr kumimoji="1" lang="en-US" altLang="ja-JP" sz="900"/>
          </a:p>
        </xdr:txBody>
      </xdr:sp>
    </xdr:grpSp>
    <xdr:clientData/>
  </xdr:twoCellAnchor>
  <xdr:twoCellAnchor>
    <xdr:from>
      <xdr:col>1</xdr:col>
      <xdr:colOff>177992</xdr:colOff>
      <xdr:row>107</xdr:row>
      <xdr:rowOff>59159</xdr:rowOff>
    </xdr:from>
    <xdr:to>
      <xdr:col>7</xdr:col>
      <xdr:colOff>86552</xdr:colOff>
      <xdr:row>110</xdr:row>
      <xdr:rowOff>59159</xdr:rowOff>
    </xdr:to>
    <xdr:grpSp>
      <xdr:nvGrpSpPr>
        <xdr:cNvPr id="48" name="グループ化 47">
          <a:extLst>
            <a:ext uri="{FF2B5EF4-FFF2-40B4-BE49-F238E27FC236}">
              <a16:creationId xmlns:a16="http://schemas.microsoft.com/office/drawing/2014/main" id="{E704B5E2-9037-40CA-BE6A-A23C75D20B0E}"/>
            </a:ext>
          </a:extLst>
        </xdr:cNvPr>
        <xdr:cNvGrpSpPr/>
      </xdr:nvGrpSpPr>
      <xdr:grpSpPr>
        <a:xfrm>
          <a:off x="358967" y="18442409"/>
          <a:ext cx="1042035" cy="514350"/>
          <a:chOff x="1620212" y="2427475"/>
          <a:chExt cx="933032" cy="406924"/>
        </a:xfrm>
      </xdr:grpSpPr>
      <xdr:sp macro="" textlink="">
        <xdr:nvSpPr>
          <xdr:cNvPr id="49" name="フローチャート: 定義済み処理 48">
            <a:extLst>
              <a:ext uri="{FF2B5EF4-FFF2-40B4-BE49-F238E27FC236}">
                <a16:creationId xmlns:a16="http://schemas.microsoft.com/office/drawing/2014/main" id="{C3143513-73E3-D389-8384-15DC43E111BA}"/>
              </a:ext>
            </a:extLst>
          </xdr:cNvPr>
          <xdr:cNvSpPr/>
        </xdr:nvSpPr>
        <xdr:spPr>
          <a:xfrm>
            <a:off x="1685063" y="2457621"/>
            <a:ext cx="814459" cy="37677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0" name="正方形/長方形 49">
            <a:extLst>
              <a:ext uri="{FF2B5EF4-FFF2-40B4-BE49-F238E27FC236}">
                <a16:creationId xmlns:a16="http://schemas.microsoft.com/office/drawing/2014/main" id="{8995E961-6EFB-3EF7-A739-183F10A018C8}"/>
              </a:ext>
            </a:extLst>
          </xdr:cNvPr>
          <xdr:cNvSpPr/>
        </xdr:nvSpPr>
        <xdr:spPr>
          <a:xfrm>
            <a:off x="1620212"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８．支払データ</a:t>
            </a:r>
            <a:endParaRPr kumimoji="1" lang="en-US" altLang="ja-JP" sz="900"/>
          </a:p>
          <a:p>
            <a:pPr algn="ctr"/>
            <a:r>
              <a:rPr kumimoji="1" lang="ja-JP" altLang="en-US" sz="900"/>
              <a:t>転記</a:t>
            </a:r>
            <a:endParaRPr kumimoji="1" lang="en-US" altLang="ja-JP" sz="900"/>
          </a:p>
        </xdr:txBody>
      </xdr:sp>
    </xdr:grpSp>
    <xdr:clientData/>
  </xdr:twoCellAnchor>
  <xdr:twoCellAnchor>
    <xdr:from>
      <xdr:col>4</xdr:col>
      <xdr:colOff>75180</xdr:colOff>
      <xdr:row>56</xdr:row>
      <xdr:rowOff>94291</xdr:rowOff>
    </xdr:from>
    <xdr:to>
      <xdr:col>9</xdr:col>
      <xdr:colOff>50322</xdr:colOff>
      <xdr:row>59</xdr:row>
      <xdr:rowOff>94371</xdr:rowOff>
    </xdr:to>
    <xdr:cxnSp macro="">
      <xdr:nvCxnSpPr>
        <xdr:cNvPr id="51" name="コネクタ: カギ線 50">
          <a:extLst>
            <a:ext uri="{FF2B5EF4-FFF2-40B4-BE49-F238E27FC236}">
              <a16:creationId xmlns:a16="http://schemas.microsoft.com/office/drawing/2014/main" id="{2A9D0336-C53F-45F7-AA0C-57181219BC53}"/>
            </a:ext>
          </a:extLst>
        </xdr:cNvPr>
        <xdr:cNvCxnSpPr>
          <a:stCxn id="30" idx="1"/>
          <a:endCxn id="34" idx="0"/>
        </xdr:cNvCxnSpPr>
      </xdr:nvCxnSpPr>
      <xdr:spPr>
        <a:xfrm rot="10800000" flipV="1">
          <a:off x="875280" y="18315616"/>
          <a:ext cx="975267" cy="51443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184896</xdr:colOff>
      <xdr:row>58</xdr:row>
      <xdr:rowOff>8152</xdr:rowOff>
    </xdr:from>
    <xdr:to>
      <xdr:col>11</xdr:col>
      <xdr:colOff>102614</xdr:colOff>
      <xdr:row>68</xdr:row>
      <xdr:rowOff>2989</xdr:rowOff>
    </xdr:to>
    <xdr:cxnSp macro="">
      <xdr:nvCxnSpPr>
        <xdr:cNvPr id="52" name="コネクタ: カギ線 51">
          <a:extLst>
            <a:ext uri="{FF2B5EF4-FFF2-40B4-BE49-F238E27FC236}">
              <a16:creationId xmlns:a16="http://schemas.microsoft.com/office/drawing/2014/main" id="{25FB5A6C-9713-4DFF-A6F3-4999A6669187}"/>
            </a:ext>
          </a:extLst>
        </xdr:cNvPr>
        <xdr:cNvCxnSpPr>
          <a:stCxn id="30" idx="2"/>
          <a:endCxn id="99" idx="0"/>
        </xdr:cNvCxnSpPr>
      </xdr:nvCxnSpPr>
      <xdr:spPr>
        <a:xfrm rot="5400000">
          <a:off x="784512" y="18772861"/>
          <a:ext cx="1718862" cy="1317893"/>
        </a:xfrm>
        <a:prstGeom prst="bentConnector3">
          <a:avLst>
            <a:gd name="adj1" fmla="val 7276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176955</xdr:colOff>
      <xdr:row>76</xdr:row>
      <xdr:rowOff>49655</xdr:rowOff>
    </xdr:from>
    <xdr:to>
      <xdr:col>4</xdr:col>
      <xdr:colOff>180561</xdr:colOff>
      <xdr:row>84</xdr:row>
      <xdr:rowOff>133090</xdr:rowOff>
    </xdr:to>
    <xdr:cxnSp macro="">
      <xdr:nvCxnSpPr>
        <xdr:cNvPr id="53" name="直線矢印コネクタ 27">
          <a:extLst>
            <a:ext uri="{FF2B5EF4-FFF2-40B4-BE49-F238E27FC236}">
              <a16:creationId xmlns:a16="http://schemas.microsoft.com/office/drawing/2014/main" id="{429AE754-D5AE-4EB1-8F8E-852A28783483}"/>
            </a:ext>
          </a:extLst>
        </xdr:cNvPr>
        <xdr:cNvCxnSpPr>
          <a:cxnSpLocks/>
          <a:stCxn id="37" idx="2"/>
          <a:endCxn id="43" idx="0"/>
        </xdr:cNvCxnSpPr>
      </xdr:nvCxnSpPr>
      <xdr:spPr>
        <a:xfrm>
          <a:off x="968643" y="13260954"/>
          <a:ext cx="3606" cy="146888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160117</xdr:colOff>
      <xdr:row>55</xdr:row>
      <xdr:rowOff>3070</xdr:rowOff>
    </xdr:from>
    <xdr:to>
      <xdr:col>8</xdr:col>
      <xdr:colOff>66209</xdr:colOff>
      <xdr:row>56</xdr:row>
      <xdr:rowOff>124142</xdr:rowOff>
    </xdr:to>
    <xdr:sp macro="" textlink="">
      <xdr:nvSpPr>
        <xdr:cNvPr id="55" name="テキスト ボックス 54">
          <a:extLst>
            <a:ext uri="{FF2B5EF4-FFF2-40B4-BE49-F238E27FC236}">
              <a16:creationId xmlns:a16="http://schemas.microsoft.com/office/drawing/2014/main" id="{F3DD30F7-54F0-4126-88BD-FFAC33B9A6DA}"/>
            </a:ext>
          </a:extLst>
        </xdr:cNvPr>
        <xdr:cNvSpPr txBox="1"/>
      </xdr:nvSpPr>
      <xdr:spPr>
        <a:xfrm>
          <a:off x="960217" y="18052945"/>
          <a:ext cx="706192" cy="29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11</xdr:col>
      <xdr:colOff>47316</xdr:colOff>
      <xdr:row>58</xdr:row>
      <xdr:rowOff>20501</xdr:rowOff>
    </xdr:from>
    <xdr:to>
      <xdr:col>13</xdr:col>
      <xdr:colOff>118157</xdr:colOff>
      <xdr:row>59</xdr:row>
      <xdr:rowOff>83727</xdr:rowOff>
    </xdr:to>
    <xdr:sp macro="" textlink="">
      <xdr:nvSpPr>
        <xdr:cNvPr id="56" name="テキスト ボックス 55">
          <a:extLst>
            <a:ext uri="{FF2B5EF4-FFF2-40B4-BE49-F238E27FC236}">
              <a16:creationId xmlns:a16="http://schemas.microsoft.com/office/drawing/2014/main" id="{850F554E-7C2A-44EF-B42D-4A15F5ED3090}"/>
            </a:ext>
          </a:extLst>
        </xdr:cNvPr>
        <xdr:cNvSpPr txBox="1"/>
      </xdr:nvSpPr>
      <xdr:spPr>
        <a:xfrm>
          <a:off x="7889566" y="18372001"/>
          <a:ext cx="473008" cy="23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23</xdr:col>
      <xdr:colOff>106113</xdr:colOff>
      <xdr:row>73</xdr:row>
      <xdr:rowOff>26988</xdr:rowOff>
    </xdr:from>
    <xdr:to>
      <xdr:col>28</xdr:col>
      <xdr:colOff>124788</xdr:colOff>
      <xdr:row>77</xdr:row>
      <xdr:rowOff>1488</xdr:rowOff>
    </xdr:to>
    <xdr:grpSp>
      <xdr:nvGrpSpPr>
        <xdr:cNvPr id="58" name="グループ化 57">
          <a:extLst>
            <a:ext uri="{FF2B5EF4-FFF2-40B4-BE49-F238E27FC236}">
              <a16:creationId xmlns:a16="http://schemas.microsoft.com/office/drawing/2014/main" id="{45960BF7-FDF6-43E5-BF0A-5D8C1436B4B9}"/>
            </a:ext>
          </a:extLst>
        </xdr:cNvPr>
        <xdr:cNvGrpSpPr/>
      </xdr:nvGrpSpPr>
      <xdr:grpSpPr>
        <a:xfrm>
          <a:off x="4316163" y="12580938"/>
          <a:ext cx="923550" cy="660300"/>
          <a:chOff x="7111999" y="2892425"/>
          <a:chExt cx="873125" cy="584982"/>
        </a:xfrm>
      </xdr:grpSpPr>
      <xdr:sp macro="" textlink="">
        <xdr:nvSpPr>
          <xdr:cNvPr id="59" name="フローチャート: 磁気ディスク 58">
            <a:extLst>
              <a:ext uri="{FF2B5EF4-FFF2-40B4-BE49-F238E27FC236}">
                <a16:creationId xmlns:a16="http://schemas.microsoft.com/office/drawing/2014/main" id="{B1DC6795-3CBE-B1C9-9B67-7C02734624D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0" name="正方形/長方形 59">
            <a:extLst>
              <a:ext uri="{FF2B5EF4-FFF2-40B4-BE49-F238E27FC236}">
                <a16:creationId xmlns:a16="http://schemas.microsoft.com/office/drawing/2014/main" id="{CE48DD8F-98A0-CE44-E7DC-35F935E1395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仕入先支払</a:t>
            </a:r>
            <a:endParaRPr kumimoji="1" lang="en-US" altLang="ja-JP" sz="900"/>
          </a:p>
          <a:p>
            <a:pPr algn="ctr"/>
            <a:r>
              <a:rPr kumimoji="1" lang="ja-JP" altLang="en-US" sz="900"/>
              <a:t>仕訳帳</a:t>
            </a:r>
          </a:p>
        </xdr:txBody>
      </xdr:sp>
    </xdr:grpSp>
    <xdr:clientData/>
  </xdr:twoCellAnchor>
  <xdr:twoCellAnchor>
    <xdr:from>
      <xdr:col>7</xdr:col>
      <xdr:colOff>50814</xdr:colOff>
      <xdr:row>74</xdr:row>
      <xdr:rowOff>156964</xdr:rowOff>
    </xdr:from>
    <xdr:to>
      <xdr:col>24</xdr:col>
      <xdr:colOff>10351</xdr:colOff>
      <xdr:row>74</xdr:row>
      <xdr:rowOff>160087</xdr:rowOff>
    </xdr:to>
    <xdr:cxnSp macro="">
      <xdr:nvCxnSpPr>
        <xdr:cNvPr id="61" name="直線矢印コネクタ 60">
          <a:extLst>
            <a:ext uri="{FF2B5EF4-FFF2-40B4-BE49-F238E27FC236}">
              <a16:creationId xmlns:a16="http://schemas.microsoft.com/office/drawing/2014/main" id="{2EFD5C8D-FB5E-4C6C-959E-6D89D350846B}"/>
            </a:ext>
          </a:extLst>
        </xdr:cNvPr>
        <xdr:cNvCxnSpPr>
          <a:stCxn id="59" idx="2"/>
          <a:endCxn id="37" idx="3"/>
        </xdr:cNvCxnSpPr>
      </xdr:nvCxnSpPr>
      <xdr:spPr>
        <a:xfrm flipH="1" flipV="1">
          <a:off x="1450989" y="21473914"/>
          <a:ext cx="1959787" cy="31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176269</xdr:colOff>
      <xdr:row>107</xdr:row>
      <xdr:rowOff>28580</xdr:rowOff>
    </xdr:from>
    <xdr:to>
      <xdr:col>27</xdr:col>
      <xdr:colOff>201142</xdr:colOff>
      <xdr:row>111</xdr:row>
      <xdr:rowOff>28480</xdr:rowOff>
    </xdr:to>
    <xdr:grpSp>
      <xdr:nvGrpSpPr>
        <xdr:cNvPr id="62" name="グループ化 61">
          <a:extLst>
            <a:ext uri="{FF2B5EF4-FFF2-40B4-BE49-F238E27FC236}">
              <a16:creationId xmlns:a16="http://schemas.microsoft.com/office/drawing/2014/main" id="{A202B70E-505B-4D0F-A53E-3DFB3EE7BD3D}"/>
            </a:ext>
          </a:extLst>
        </xdr:cNvPr>
        <xdr:cNvGrpSpPr/>
      </xdr:nvGrpSpPr>
      <xdr:grpSpPr>
        <a:xfrm>
          <a:off x="4205344" y="18411830"/>
          <a:ext cx="910698" cy="685700"/>
          <a:chOff x="7111999" y="2892425"/>
          <a:chExt cx="873125" cy="584982"/>
        </a:xfrm>
      </xdr:grpSpPr>
      <xdr:sp macro="" textlink="">
        <xdr:nvSpPr>
          <xdr:cNvPr id="63" name="フローチャート: 磁気ディスク 62">
            <a:extLst>
              <a:ext uri="{FF2B5EF4-FFF2-40B4-BE49-F238E27FC236}">
                <a16:creationId xmlns:a16="http://schemas.microsoft.com/office/drawing/2014/main" id="{7B7223DD-2B07-9EEB-7AE1-962AFC7D3EB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4" name="正方形/長方形 63">
            <a:extLst>
              <a:ext uri="{FF2B5EF4-FFF2-40B4-BE49-F238E27FC236}">
                <a16:creationId xmlns:a16="http://schemas.microsoft.com/office/drawing/2014/main" id="{FE9B554A-F17C-A970-64F5-9C098253808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仕入先支払</a:t>
            </a:r>
            <a:endParaRPr kumimoji="1" lang="en-US" altLang="ja-JP" sz="900"/>
          </a:p>
          <a:p>
            <a:pPr algn="ctr"/>
            <a:r>
              <a:rPr kumimoji="1" lang="ja-JP" altLang="en-US" sz="900"/>
              <a:t>仕訳帳</a:t>
            </a:r>
          </a:p>
        </xdr:txBody>
      </xdr:sp>
    </xdr:grpSp>
    <xdr:clientData/>
  </xdr:twoCellAnchor>
  <xdr:twoCellAnchor>
    <xdr:from>
      <xdr:col>7</xdr:col>
      <xdr:colOff>21367</xdr:colOff>
      <xdr:row>108</xdr:row>
      <xdr:rowOff>164088</xdr:rowOff>
    </xdr:from>
    <xdr:to>
      <xdr:col>23</xdr:col>
      <xdr:colOff>85581</xdr:colOff>
      <xdr:row>108</xdr:row>
      <xdr:rowOff>169802</xdr:rowOff>
    </xdr:to>
    <xdr:cxnSp macro="">
      <xdr:nvCxnSpPr>
        <xdr:cNvPr id="65" name="直線矢印コネクタ 64">
          <a:extLst>
            <a:ext uri="{FF2B5EF4-FFF2-40B4-BE49-F238E27FC236}">
              <a16:creationId xmlns:a16="http://schemas.microsoft.com/office/drawing/2014/main" id="{64351330-222C-4204-A117-333914215E71}"/>
            </a:ext>
          </a:extLst>
        </xdr:cNvPr>
        <xdr:cNvCxnSpPr>
          <a:stCxn id="49" idx="3"/>
          <a:endCxn id="63" idx="2"/>
        </xdr:cNvCxnSpPr>
      </xdr:nvCxnSpPr>
      <xdr:spPr>
        <a:xfrm>
          <a:off x="7165117" y="26020834"/>
          <a:ext cx="1898003" cy="888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170588</xdr:colOff>
      <xdr:row>151</xdr:row>
      <xdr:rowOff>36196</xdr:rowOff>
    </xdr:from>
    <xdr:to>
      <xdr:col>6</xdr:col>
      <xdr:colOff>71529</xdr:colOff>
      <xdr:row>152</xdr:row>
      <xdr:rowOff>111125</xdr:rowOff>
    </xdr:to>
    <xdr:sp macro="" textlink="">
      <xdr:nvSpPr>
        <xdr:cNvPr id="66" name="フローチャート: 端子 65">
          <a:extLst>
            <a:ext uri="{FF2B5EF4-FFF2-40B4-BE49-F238E27FC236}">
              <a16:creationId xmlns:a16="http://schemas.microsoft.com/office/drawing/2014/main" id="{EBE993EB-5FA9-4FD5-BE1F-29350C8FC260}"/>
            </a:ext>
          </a:extLst>
        </xdr:cNvPr>
        <xdr:cNvSpPr/>
      </xdr:nvSpPr>
      <xdr:spPr>
        <a:xfrm>
          <a:off x="575401" y="25277446"/>
          <a:ext cx="615316" cy="24161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xdr:col>
      <xdr:colOff>138889</xdr:colOff>
      <xdr:row>110</xdr:row>
      <xdr:rowOff>59159</xdr:rowOff>
    </xdr:from>
    <xdr:to>
      <xdr:col>4</xdr:col>
      <xdr:colOff>142970</xdr:colOff>
      <xdr:row>126</xdr:row>
      <xdr:rowOff>133985</xdr:rowOff>
    </xdr:to>
    <xdr:cxnSp macro="">
      <xdr:nvCxnSpPr>
        <xdr:cNvPr id="67" name="直線矢印コネクタ 27">
          <a:extLst>
            <a:ext uri="{FF2B5EF4-FFF2-40B4-BE49-F238E27FC236}">
              <a16:creationId xmlns:a16="http://schemas.microsoft.com/office/drawing/2014/main" id="{6F511620-E4FC-4590-AB24-12C869FDC987}"/>
            </a:ext>
          </a:extLst>
        </xdr:cNvPr>
        <xdr:cNvCxnSpPr>
          <a:cxnSpLocks/>
          <a:stCxn id="49" idx="2"/>
          <a:endCxn id="5" idx="0"/>
        </xdr:cNvCxnSpPr>
      </xdr:nvCxnSpPr>
      <xdr:spPr>
        <a:xfrm>
          <a:off x="943819" y="17351729"/>
          <a:ext cx="4081" cy="234204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2483</xdr:colOff>
      <xdr:row>84</xdr:row>
      <xdr:rowOff>57456</xdr:rowOff>
    </xdr:from>
    <xdr:to>
      <xdr:col>35</xdr:col>
      <xdr:colOff>21158</xdr:colOff>
      <xdr:row>88</xdr:row>
      <xdr:rowOff>35948</xdr:rowOff>
    </xdr:to>
    <xdr:grpSp>
      <xdr:nvGrpSpPr>
        <xdr:cNvPr id="68" name="グループ化 67">
          <a:extLst>
            <a:ext uri="{FF2B5EF4-FFF2-40B4-BE49-F238E27FC236}">
              <a16:creationId xmlns:a16="http://schemas.microsoft.com/office/drawing/2014/main" id="{49B51E86-BF42-4CC3-B452-609A77390300}"/>
            </a:ext>
          </a:extLst>
        </xdr:cNvPr>
        <xdr:cNvGrpSpPr>
          <a:grpSpLocks noChangeAspect="1"/>
        </xdr:cNvGrpSpPr>
      </xdr:nvGrpSpPr>
      <xdr:grpSpPr>
        <a:xfrm>
          <a:off x="5479358" y="14497356"/>
          <a:ext cx="923550" cy="664292"/>
          <a:chOff x="7112000" y="2892425"/>
          <a:chExt cx="873125" cy="584982"/>
        </a:xfrm>
      </xdr:grpSpPr>
      <xdr:sp macro="" textlink="">
        <xdr:nvSpPr>
          <xdr:cNvPr id="69" name="フローチャート: 磁気ディスク 68">
            <a:extLst>
              <a:ext uri="{FF2B5EF4-FFF2-40B4-BE49-F238E27FC236}">
                <a16:creationId xmlns:a16="http://schemas.microsoft.com/office/drawing/2014/main" id="{C960C154-D5E9-A203-4B17-8788D41319D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0" name="正方形/長方形 69">
            <a:extLst>
              <a:ext uri="{FF2B5EF4-FFF2-40B4-BE49-F238E27FC236}">
                <a16:creationId xmlns:a16="http://schemas.microsoft.com/office/drawing/2014/main" id="{F26175E9-1AC2-AE68-AF3E-B898D18E9132}"/>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銀行システム</a:t>
            </a:r>
          </a:p>
        </xdr:txBody>
      </xdr:sp>
    </xdr:grpSp>
    <xdr:clientData/>
  </xdr:twoCellAnchor>
  <xdr:twoCellAnchor>
    <xdr:from>
      <xdr:col>7</xdr:col>
      <xdr:colOff>19683</xdr:colOff>
      <xdr:row>86</xdr:row>
      <xdr:rowOff>18931</xdr:rowOff>
    </xdr:from>
    <xdr:to>
      <xdr:col>30</xdr:col>
      <xdr:colOff>108811</xdr:colOff>
      <xdr:row>86</xdr:row>
      <xdr:rowOff>27255</xdr:rowOff>
    </xdr:to>
    <xdr:cxnSp macro="">
      <xdr:nvCxnSpPr>
        <xdr:cNvPr id="71" name="直線矢印コネクタ 70">
          <a:extLst>
            <a:ext uri="{FF2B5EF4-FFF2-40B4-BE49-F238E27FC236}">
              <a16:creationId xmlns:a16="http://schemas.microsoft.com/office/drawing/2014/main" id="{B98D12FF-A0F6-4533-A6E2-48B8249E9C72}"/>
            </a:ext>
          </a:extLst>
        </xdr:cNvPr>
        <xdr:cNvCxnSpPr>
          <a:stCxn id="43" idx="3"/>
          <a:endCxn id="69" idx="2"/>
        </xdr:cNvCxnSpPr>
      </xdr:nvCxnSpPr>
      <xdr:spPr>
        <a:xfrm flipV="1">
          <a:off x="1405138" y="14962048"/>
          <a:ext cx="3255881" cy="83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200447</xdr:colOff>
      <xdr:row>44</xdr:row>
      <xdr:rowOff>8890</xdr:rowOff>
    </xdr:from>
    <xdr:to>
      <xdr:col>13</xdr:col>
      <xdr:colOff>50798</xdr:colOff>
      <xdr:row>45</xdr:row>
      <xdr:rowOff>92314</xdr:rowOff>
    </xdr:to>
    <xdr:sp macro="" textlink="">
      <xdr:nvSpPr>
        <xdr:cNvPr id="72" name="テキスト ボックス 71">
          <a:extLst>
            <a:ext uri="{FF2B5EF4-FFF2-40B4-BE49-F238E27FC236}">
              <a16:creationId xmlns:a16="http://schemas.microsoft.com/office/drawing/2014/main" id="{79D46C8F-0E28-46D9-BA48-81467213D9FC}"/>
            </a:ext>
          </a:extLst>
        </xdr:cNvPr>
        <xdr:cNvSpPr txBox="1"/>
      </xdr:nvSpPr>
      <xdr:spPr>
        <a:xfrm>
          <a:off x="7037280" y="15989723"/>
          <a:ext cx="1257935" cy="252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22</xdr:col>
      <xdr:colOff>44980</xdr:colOff>
      <xdr:row>40</xdr:row>
      <xdr:rowOff>9202</xdr:rowOff>
    </xdr:from>
    <xdr:to>
      <xdr:col>28</xdr:col>
      <xdr:colOff>193147</xdr:colOff>
      <xdr:row>44</xdr:row>
      <xdr:rowOff>1482</xdr:rowOff>
    </xdr:to>
    <xdr:grpSp>
      <xdr:nvGrpSpPr>
        <xdr:cNvPr id="73" name="グループ化 72">
          <a:extLst>
            <a:ext uri="{FF2B5EF4-FFF2-40B4-BE49-F238E27FC236}">
              <a16:creationId xmlns:a16="http://schemas.microsoft.com/office/drawing/2014/main" id="{E461EDF3-01C3-4F6F-B3E1-A39030C62455}"/>
            </a:ext>
          </a:extLst>
        </xdr:cNvPr>
        <xdr:cNvGrpSpPr/>
      </xdr:nvGrpSpPr>
      <xdr:grpSpPr>
        <a:xfrm>
          <a:off x="4074055" y="6895777"/>
          <a:ext cx="1224492" cy="678080"/>
          <a:chOff x="8532368" y="2996141"/>
          <a:chExt cx="1135459" cy="600938"/>
        </a:xfrm>
      </xdr:grpSpPr>
      <xdr:sp macro="" textlink="">
        <xdr:nvSpPr>
          <xdr:cNvPr id="74" name="フローチャート: 磁気ディスク 73">
            <a:extLst>
              <a:ext uri="{FF2B5EF4-FFF2-40B4-BE49-F238E27FC236}">
                <a16:creationId xmlns:a16="http://schemas.microsoft.com/office/drawing/2014/main" id="{E316F021-DB43-50EB-EB52-BF7006C6FC17}"/>
              </a:ext>
            </a:extLst>
          </xdr:cNvPr>
          <xdr:cNvSpPr/>
        </xdr:nvSpPr>
        <xdr:spPr>
          <a:xfrm>
            <a:off x="8714238" y="2996141"/>
            <a:ext cx="757951"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5" name="正方形/長方形 74">
            <a:extLst>
              <a:ext uri="{FF2B5EF4-FFF2-40B4-BE49-F238E27FC236}">
                <a16:creationId xmlns:a16="http://schemas.microsoft.com/office/drawing/2014/main" id="{331116C5-9190-CDA1-2FAE-ED5F84E2AD5F}"/>
              </a:ext>
            </a:extLst>
          </xdr:cNvPr>
          <xdr:cNvSpPr/>
        </xdr:nvSpPr>
        <xdr:spPr>
          <a:xfrm>
            <a:off x="8532368" y="3091472"/>
            <a:ext cx="1135459"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仕入先支払仕訳帳</a:t>
            </a:r>
            <a:endParaRPr kumimoji="1" lang="en-US" altLang="ja-JP" sz="900"/>
          </a:p>
          <a:p>
            <a:pPr algn="ctr"/>
            <a:r>
              <a:rPr kumimoji="1" lang="en-US" altLang="ja-JP" sz="900"/>
              <a:t>WF</a:t>
            </a:r>
            <a:r>
              <a:rPr kumimoji="1" lang="ja-JP" altLang="en-US" sz="900"/>
              <a:t>（申請）</a:t>
            </a:r>
          </a:p>
        </xdr:txBody>
      </xdr:sp>
    </xdr:grpSp>
    <xdr:clientData/>
  </xdr:twoCellAnchor>
  <xdr:twoCellAnchor>
    <xdr:from>
      <xdr:col>22</xdr:col>
      <xdr:colOff>97046</xdr:colOff>
      <xdr:row>47</xdr:row>
      <xdr:rowOff>135565</xdr:rowOff>
    </xdr:from>
    <xdr:to>
      <xdr:col>29</xdr:col>
      <xdr:colOff>38796</xdr:colOff>
      <xdr:row>51</xdr:row>
      <xdr:rowOff>104985</xdr:rowOff>
    </xdr:to>
    <xdr:grpSp>
      <xdr:nvGrpSpPr>
        <xdr:cNvPr id="76" name="グループ化 75">
          <a:extLst>
            <a:ext uri="{FF2B5EF4-FFF2-40B4-BE49-F238E27FC236}">
              <a16:creationId xmlns:a16="http://schemas.microsoft.com/office/drawing/2014/main" id="{17F7CDC7-CCA8-4D9A-8A78-E3D40F06A570}"/>
            </a:ext>
          </a:extLst>
        </xdr:cNvPr>
        <xdr:cNvGrpSpPr/>
      </xdr:nvGrpSpPr>
      <xdr:grpSpPr>
        <a:xfrm>
          <a:off x="4126121" y="8222290"/>
          <a:ext cx="1208575" cy="655220"/>
          <a:chOff x="7120161" y="2892425"/>
          <a:chExt cx="1143968" cy="584982"/>
        </a:xfrm>
      </xdr:grpSpPr>
      <xdr:sp macro="" textlink="">
        <xdr:nvSpPr>
          <xdr:cNvPr id="77" name="フローチャート: 磁気ディスク 76">
            <a:extLst>
              <a:ext uri="{FF2B5EF4-FFF2-40B4-BE49-F238E27FC236}">
                <a16:creationId xmlns:a16="http://schemas.microsoft.com/office/drawing/2014/main" id="{BC26AF89-25B4-1726-7FCF-E8EC60CF9E5F}"/>
              </a:ext>
            </a:extLst>
          </xdr:cNvPr>
          <xdr:cNvSpPr/>
        </xdr:nvSpPr>
        <xdr:spPr>
          <a:xfrm>
            <a:off x="7204075" y="2892425"/>
            <a:ext cx="888777"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8" name="正方形/長方形 77">
            <a:extLst>
              <a:ext uri="{FF2B5EF4-FFF2-40B4-BE49-F238E27FC236}">
                <a16:creationId xmlns:a16="http://schemas.microsoft.com/office/drawing/2014/main" id="{6848B65F-FE65-A520-DDFE-86F4C26BABBD}"/>
              </a:ext>
            </a:extLst>
          </xdr:cNvPr>
          <xdr:cNvSpPr/>
        </xdr:nvSpPr>
        <xdr:spPr>
          <a:xfrm>
            <a:off x="7120161" y="2971800"/>
            <a:ext cx="114396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仕入先支払仕訳帳</a:t>
            </a:r>
            <a:endParaRPr kumimoji="1" lang="en-US" altLang="ja-JP" sz="900"/>
          </a:p>
          <a:p>
            <a:pPr algn="ctr"/>
            <a:r>
              <a:rPr kumimoji="1" lang="en-US" altLang="ja-JP" sz="900"/>
              <a:t>WF</a:t>
            </a:r>
            <a:r>
              <a:rPr kumimoji="1" lang="ja-JP" altLang="en-US" sz="900"/>
              <a:t>（承認</a:t>
            </a:r>
            <a:r>
              <a:rPr kumimoji="1" lang="en-US" altLang="ja-JP" sz="900"/>
              <a:t>/</a:t>
            </a:r>
            <a:r>
              <a:rPr kumimoji="1" lang="ja-JP" altLang="en-US" sz="900"/>
              <a:t>変更依頼）</a:t>
            </a:r>
          </a:p>
        </xdr:txBody>
      </xdr:sp>
    </xdr:grpSp>
    <xdr:clientData/>
  </xdr:twoCellAnchor>
  <xdr:twoCellAnchor>
    <xdr:from>
      <xdr:col>4</xdr:col>
      <xdr:colOff>40208</xdr:colOff>
      <xdr:row>56</xdr:row>
      <xdr:rowOff>76200</xdr:rowOff>
    </xdr:from>
    <xdr:to>
      <xdr:col>9</xdr:col>
      <xdr:colOff>160660</xdr:colOff>
      <xdr:row>58</xdr:row>
      <xdr:rowOff>9050</xdr:rowOff>
    </xdr:to>
    <xdr:sp macro="" textlink="">
      <xdr:nvSpPr>
        <xdr:cNvPr id="79" name="テキスト ボックス 78">
          <a:extLst>
            <a:ext uri="{FF2B5EF4-FFF2-40B4-BE49-F238E27FC236}">
              <a16:creationId xmlns:a16="http://schemas.microsoft.com/office/drawing/2014/main" id="{B7692134-164F-487B-B298-CA9A11EB414D}"/>
            </a:ext>
          </a:extLst>
        </xdr:cNvPr>
        <xdr:cNvSpPr txBox="1"/>
      </xdr:nvSpPr>
      <xdr:spPr>
        <a:xfrm>
          <a:off x="840308" y="18297525"/>
          <a:ext cx="1120577" cy="27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4</xdr:col>
      <xdr:colOff>191761</xdr:colOff>
      <xdr:row>65</xdr:row>
      <xdr:rowOff>22195</xdr:rowOff>
    </xdr:from>
    <xdr:to>
      <xdr:col>11</xdr:col>
      <xdr:colOff>135457</xdr:colOff>
      <xdr:row>66</xdr:row>
      <xdr:rowOff>123110</xdr:rowOff>
    </xdr:to>
    <xdr:sp macro="" textlink="">
      <xdr:nvSpPr>
        <xdr:cNvPr id="80" name="テキスト ボックス 79">
          <a:extLst>
            <a:ext uri="{FF2B5EF4-FFF2-40B4-BE49-F238E27FC236}">
              <a16:creationId xmlns:a16="http://schemas.microsoft.com/office/drawing/2014/main" id="{4CEF568B-A3FD-4A97-A4AB-48178376607D}"/>
            </a:ext>
          </a:extLst>
        </xdr:cNvPr>
        <xdr:cNvSpPr txBox="1"/>
      </xdr:nvSpPr>
      <xdr:spPr>
        <a:xfrm>
          <a:off x="6626428" y="19569612"/>
          <a:ext cx="1351279" cy="270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6</xdr:col>
      <xdr:colOff>188337</xdr:colOff>
      <xdr:row>41</xdr:row>
      <xdr:rowOff>142237</xdr:rowOff>
    </xdr:from>
    <xdr:to>
      <xdr:col>23</xdr:col>
      <xdr:colOff>63586</xdr:colOff>
      <xdr:row>41</xdr:row>
      <xdr:rowOff>144454</xdr:rowOff>
    </xdr:to>
    <xdr:cxnSp macro="">
      <xdr:nvCxnSpPr>
        <xdr:cNvPr id="81" name="直線矢印コネクタ 80">
          <a:extLst>
            <a:ext uri="{FF2B5EF4-FFF2-40B4-BE49-F238E27FC236}">
              <a16:creationId xmlns:a16="http://schemas.microsoft.com/office/drawing/2014/main" id="{BAE128CA-EEF6-4D8B-9C49-0D9D926F0CB2}"/>
            </a:ext>
          </a:extLst>
        </xdr:cNvPr>
        <xdr:cNvCxnSpPr>
          <a:stCxn id="15" idx="3"/>
          <a:endCxn id="74" idx="2"/>
        </xdr:cNvCxnSpPr>
      </xdr:nvCxnSpPr>
      <xdr:spPr>
        <a:xfrm flipV="1">
          <a:off x="1388487" y="15791812"/>
          <a:ext cx="1875499" cy="221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179568</xdr:colOff>
      <xdr:row>49</xdr:row>
      <xdr:rowOff>92060</xdr:rowOff>
    </xdr:from>
    <xdr:to>
      <xdr:col>22</xdr:col>
      <xdr:colOff>196024</xdr:colOff>
      <xdr:row>49</xdr:row>
      <xdr:rowOff>95607</xdr:rowOff>
    </xdr:to>
    <xdr:cxnSp macro="">
      <xdr:nvCxnSpPr>
        <xdr:cNvPr id="82" name="直線矢印コネクタ 81">
          <a:extLst>
            <a:ext uri="{FF2B5EF4-FFF2-40B4-BE49-F238E27FC236}">
              <a16:creationId xmlns:a16="http://schemas.microsoft.com/office/drawing/2014/main" id="{103A5D7F-2533-4AF5-B175-5E12A0D7A8C3}"/>
            </a:ext>
          </a:extLst>
        </xdr:cNvPr>
        <xdr:cNvCxnSpPr>
          <a:stCxn id="18" idx="3"/>
          <a:endCxn id="77" idx="2"/>
        </xdr:cNvCxnSpPr>
      </xdr:nvCxnSpPr>
      <xdr:spPr>
        <a:xfrm flipV="1">
          <a:off x="8423985" y="16919560"/>
          <a:ext cx="418622" cy="35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3617</xdr:colOff>
      <xdr:row>59</xdr:row>
      <xdr:rowOff>26980</xdr:rowOff>
    </xdr:from>
    <xdr:to>
      <xdr:col>35</xdr:col>
      <xdr:colOff>3241</xdr:colOff>
      <xdr:row>63</xdr:row>
      <xdr:rowOff>1480</xdr:rowOff>
    </xdr:to>
    <xdr:grpSp>
      <xdr:nvGrpSpPr>
        <xdr:cNvPr id="83" name="グループ化 82">
          <a:extLst>
            <a:ext uri="{FF2B5EF4-FFF2-40B4-BE49-F238E27FC236}">
              <a16:creationId xmlns:a16="http://schemas.microsoft.com/office/drawing/2014/main" id="{33F26093-0FBC-45DB-9D0C-79DA34043010}"/>
            </a:ext>
          </a:extLst>
        </xdr:cNvPr>
        <xdr:cNvGrpSpPr/>
      </xdr:nvGrpSpPr>
      <xdr:grpSpPr>
        <a:xfrm>
          <a:off x="5480492" y="10171105"/>
          <a:ext cx="904499" cy="669825"/>
          <a:chOff x="7111999" y="2892425"/>
          <a:chExt cx="873125" cy="584982"/>
        </a:xfrm>
      </xdr:grpSpPr>
      <xdr:sp macro="" textlink="">
        <xdr:nvSpPr>
          <xdr:cNvPr id="84" name="フローチャート: 磁気ディスク 83">
            <a:extLst>
              <a:ext uri="{FF2B5EF4-FFF2-40B4-BE49-F238E27FC236}">
                <a16:creationId xmlns:a16="http://schemas.microsoft.com/office/drawing/2014/main" id="{5EA0AB8A-AFB9-E0F9-8DF2-D1FDDB602C1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 name="正方形/長方形 84">
            <a:extLst>
              <a:ext uri="{FF2B5EF4-FFF2-40B4-BE49-F238E27FC236}">
                <a16:creationId xmlns:a16="http://schemas.microsoft.com/office/drawing/2014/main" id="{F64C5122-215B-C135-1D18-2614D508966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各発生元</a:t>
            </a:r>
            <a:endParaRPr kumimoji="1" lang="en-US" altLang="ja-JP" sz="900"/>
          </a:p>
          <a:p>
            <a:pPr algn="ctr"/>
            <a:r>
              <a:rPr kumimoji="1" lang="ja-JP" altLang="en-US" sz="900"/>
              <a:t>システム</a:t>
            </a:r>
          </a:p>
        </xdr:txBody>
      </xdr:sp>
    </xdr:grpSp>
    <xdr:clientData/>
  </xdr:twoCellAnchor>
  <xdr:twoCellAnchor>
    <xdr:from>
      <xdr:col>6</xdr:col>
      <xdr:colOff>146677</xdr:colOff>
      <xdr:row>60</xdr:row>
      <xdr:rowOff>154923</xdr:rowOff>
    </xdr:from>
    <xdr:to>
      <xdr:col>30</xdr:col>
      <xdr:colOff>112221</xdr:colOff>
      <xdr:row>60</xdr:row>
      <xdr:rowOff>155929</xdr:rowOff>
    </xdr:to>
    <xdr:cxnSp macro="">
      <xdr:nvCxnSpPr>
        <xdr:cNvPr id="86" name="直線矢印コネクタ 85">
          <a:extLst>
            <a:ext uri="{FF2B5EF4-FFF2-40B4-BE49-F238E27FC236}">
              <a16:creationId xmlns:a16="http://schemas.microsoft.com/office/drawing/2014/main" id="{6C02DBF8-E97B-4E83-A7DD-035BDE4B2225}"/>
            </a:ext>
          </a:extLst>
        </xdr:cNvPr>
        <xdr:cNvCxnSpPr>
          <a:stCxn id="34" idx="3"/>
          <a:endCxn id="84" idx="2"/>
        </xdr:cNvCxnSpPr>
      </xdr:nvCxnSpPr>
      <xdr:spPr>
        <a:xfrm flipV="1">
          <a:off x="1346827" y="19071573"/>
          <a:ext cx="3365969" cy="10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109373</xdr:colOff>
      <xdr:row>27</xdr:row>
      <xdr:rowOff>1221</xdr:rowOff>
    </xdr:from>
    <xdr:to>
      <xdr:col>4</xdr:col>
      <xdr:colOff>115544</xdr:colOff>
      <xdr:row>34</xdr:row>
      <xdr:rowOff>51449</xdr:rowOff>
    </xdr:to>
    <xdr:cxnSp macro="">
      <xdr:nvCxnSpPr>
        <xdr:cNvPr id="97" name="直線矢印コネクタ 27">
          <a:extLst>
            <a:ext uri="{FF2B5EF4-FFF2-40B4-BE49-F238E27FC236}">
              <a16:creationId xmlns:a16="http://schemas.microsoft.com/office/drawing/2014/main" id="{63584B4D-8E5E-49A7-B2EC-1D23BEDB3A36}"/>
            </a:ext>
          </a:extLst>
        </xdr:cNvPr>
        <xdr:cNvCxnSpPr>
          <a:cxnSpLocks/>
          <a:stCxn id="227" idx="2"/>
          <a:endCxn id="12" idx="0"/>
        </xdr:cNvCxnSpPr>
      </xdr:nvCxnSpPr>
      <xdr:spPr>
        <a:xfrm>
          <a:off x="914303" y="4736890"/>
          <a:ext cx="6171" cy="127103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138728</xdr:colOff>
      <xdr:row>100</xdr:row>
      <xdr:rowOff>34502</xdr:rowOff>
    </xdr:from>
    <xdr:to>
      <xdr:col>13</xdr:col>
      <xdr:colOff>200658</xdr:colOff>
      <xdr:row>103</xdr:row>
      <xdr:rowOff>32192</xdr:rowOff>
    </xdr:to>
    <xdr:grpSp>
      <xdr:nvGrpSpPr>
        <xdr:cNvPr id="284" name="グループ化 283">
          <a:extLst>
            <a:ext uri="{FF2B5EF4-FFF2-40B4-BE49-F238E27FC236}">
              <a16:creationId xmlns:a16="http://schemas.microsoft.com/office/drawing/2014/main" id="{4AE19730-4AC6-4601-B7B3-BCD34EDB4659}"/>
            </a:ext>
          </a:extLst>
        </xdr:cNvPr>
        <xdr:cNvGrpSpPr/>
      </xdr:nvGrpSpPr>
      <xdr:grpSpPr>
        <a:xfrm>
          <a:off x="1634153" y="17217602"/>
          <a:ext cx="947755" cy="512040"/>
          <a:chOff x="2371526" y="2821131"/>
          <a:chExt cx="933032" cy="400203"/>
        </a:xfrm>
      </xdr:grpSpPr>
      <xdr:sp macro="" textlink="">
        <xdr:nvSpPr>
          <xdr:cNvPr id="285" name="フローチャート: 定義済み処理 284">
            <a:extLst>
              <a:ext uri="{FF2B5EF4-FFF2-40B4-BE49-F238E27FC236}">
                <a16:creationId xmlns:a16="http://schemas.microsoft.com/office/drawing/2014/main" id="{B057D77E-9470-B0C9-540B-4441702D3B92}"/>
              </a:ext>
            </a:extLst>
          </xdr:cNvPr>
          <xdr:cNvSpPr/>
        </xdr:nvSpPr>
        <xdr:spPr>
          <a:xfrm>
            <a:off x="2424134" y="2836786"/>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86" name="正方形/長方形 285">
            <a:extLst>
              <a:ext uri="{FF2B5EF4-FFF2-40B4-BE49-F238E27FC236}">
                <a16:creationId xmlns:a16="http://schemas.microsoft.com/office/drawing/2014/main" id="{783938E0-09A4-202A-4680-190BF6351F46}"/>
              </a:ext>
            </a:extLst>
          </xdr:cNvPr>
          <xdr:cNvSpPr/>
        </xdr:nvSpPr>
        <xdr:spPr>
          <a:xfrm>
            <a:off x="2371526" y="2821131"/>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承認</a:t>
            </a:r>
            <a:endParaRPr kumimoji="1" lang="en-US" altLang="ja-JP" sz="900"/>
          </a:p>
        </xdr:txBody>
      </xdr:sp>
    </xdr:grpSp>
    <xdr:clientData/>
  </xdr:twoCellAnchor>
  <xdr:twoCellAnchor>
    <xdr:from>
      <xdr:col>4</xdr:col>
      <xdr:colOff>180561</xdr:colOff>
      <xdr:row>87</xdr:row>
      <xdr:rowOff>94600</xdr:rowOff>
    </xdr:from>
    <xdr:to>
      <xdr:col>11</xdr:col>
      <xdr:colOff>62703</xdr:colOff>
      <xdr:row>100</xdr:row>
      <xdr:rowOff>54734</xdr:rowOff>
    </xdr:to>
    <xdr:cxnSp macro="">
      <xdr:nvCxnSpPr>
        <xdr:cNvPr id="287" name="コネクタ: カギ線 286">
          <a:extLst>
            <a:ext uri="{FF2B5EF4-FFF2-40B4-BE49-F238E27FC236}">
              <a16:creationId xmlns:a16="http://schemas.microsoft.com/office/drawing/2014/main" id="{0026E89D-07E7-436D-ACCF-2FD93A0914D3}"/>
            </a:ext>
          </a:extLst>
        </xdr:cNvPr>
        <xdr:cNvCxnSpPr>
          <a:stCxn id="43" idx="2"/>
          <a:endCxn id="285" idx="0"/>
        </xdr:cNvCxnSpPr>
      </xdr:nvCxnSpPr>
      <xdr:spPr>
        <a:xfrm rot="16200000" flipH="1">
          <a:off x="500299" y="15682849"/>
          <a:ext cx="2211497" cy="1267597"/>
        </a:xfrm>
        <a:prstGeom prst="bentConnector3">
          <a:avLst>
            <a:gd name="adj1" fmla="val 82816"/>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2483</xdr:colOff>
      <xdr:row>99</xdr:row>
      <xdr:rowOff>150811</xdr:rowOff>
    </xdr:from>
    <xdr:to>
      <xdr:col>35</xdr:col>
      <xdr:colOff>21158</xdr:colOff>
      <xdr:row>103</xdr:row>
      <xdr:rowOff>132480</xdr:rowOff>
    </xdr:to>
    <xdr:grpSp>
      <xdr:nvGrpSpPr>
        <xdr:cNvPr id="294" name="グループ化 293">
          <a:extLst>
            <a:ext uri="{FF2B5EF4-FFF2-40B4-BE49-F238E27FC236}">
              <a16:creationId xmlns:a16="http://schemas.microsoft.com/office/drawing/2014/main" id="{27E738FD-D352-A5C7-E98A-06BCF4C5EEB2}"/>
            </a:ext>
          </a:extLst>
        </xdr:cNvPr>
        <xdr:cNvGrpSpPr>
          <a:grpSpLocks noChangeAspect="1"/>
        </xdr:cNvGrpSpPr>
      </xdr:nvGrpSpPr>
      <xdr:grpSpPr>
        <a:xfrm>
          <a:off x="5479358" y="17162461"/>
          <a:ext cx="923550" cy="667469"/>
          <a:chOff x="7112000" y="2892425"/>
          <a:chExt cx="873125" cy="584982"/>
        </a:xfrm>
      </xdr:grpSpPr>
      <xdr:sp macro="" textlink="">
        <xdr:nvSpPr>
          <xdr:cNvPr id="295" name="フローチャート: 磁気ディスク 294">
            <a:extLst>
              <a:ext uri="{FF2B5EF4-FFF2-40B4-BE49-F238E27FC236}">
                <a16:creationId xmlns:a16="http://schemas.microsoft.com/office/drawing/2014/main" id="{8B038D6D-5735-1198-F7F4-E7BEB7A14B9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6" name="正方形/長方形 295">
            <a:extLst>
              <a:ext uri="{FF2B5EF4-FFF2-40B4-BE49-F238E27FC236}">
                <a16:creationId xmlns:a16="http://schemas.microsoft.com/office/drawing/2014/main" id="{564DCFE3-B77F-6E5D-5975-47AD7858CF1C}"/>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銀行システム</a:t>
            </a:r>
          </a:p>
        </xdr:txBody>
      </xdr:sp>
    </xdr:grpSp>
    <xdr:clientData/>
  </xdr:twoCellAnchor>
  <xdr:twoCellAnchor>
    <xdr:from>
      <xdr:col>13</xdr:col>
      <xdr:colOff>127805</xdr:colOff>
      <xdr:row>101</xdr:row>
      <xdr:rowOff>114379</xdr:rowOff>
    </xdr:from>
    <xdr:to>
      <xdr:col>30</xdr:col>
      <xdr:colOff>110478</xdr:colOff>
      <xdr:row>101</xdr:row>
      <xdr:rowOff>118475</xdr:rowOff>
    </xdr:to>
    <xdr:cxnSp macro="">
      <xdr:nvCxnSpPr>
        <xdr:cNvPr id="297" name="直線矢印コネクタ 296">
          <a:extLst>
            <a:ext uri="{FF2B5EF4-FFF2-40B4-BE49-F238E27FC236}">
              <a16:creationId xmlns:a16="http://schemas.microsoft.com/office/drawing/2014/main" id="{C4FE20C5-4220-4535-8512-0A0C490AC1F2}"/>
            </a:ext>
          </a:extLst>
        </xdr:cNvPr>
        <xdr:cNvCxnSpPr>
          <a:stCxn id="285" idx="3"/>
          <a:endCxn id="295" idx="2"/>
        </xdr:cNvCxnSpPr>
      </xdr:nvCxnSpPr>
      <xdr:spPr>
        <a:xfrm flipV="1">
          <a:off x="8372222" y="23725796"/>
          <a:ext cx="1993506" cy="409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142098</xdr:colOff>
      <xdr:row>103</xdr:row>
      <xdr:rowOff>16510</xdr:rowOff>
    </xdr:from>
    <xdr:to>
      <xdr:col>11</xdr:col>
      <xdr:colOff>67399</xdr:colOff>
      <xdr:row>107</xdr:row>
      <xdr:rowOff>96792</xdr:rowOff>
    </xdr:to>
    <xdr:cxnSp macro="">
      <xdr:nvCxnSpPr>
        <xdr:cNvPr id="300" name="コネクタ: カギ線 299">
          <a:extLst>
            <a:ext uri="{FF2B5EF4-FFF2-40B4-BE49-F238E27FC236}">
              <a16:creationId xmlns:a16="http://schemas.microsoft.com/office/drawing/2014/main" id="{0ED4BC2A-AB53-4462-A28B-B1FABD0EE134}"/>
            </a:ext>
          </a:extLst>
        </xdr:cNvPr>
        <xdr:cNvCxnSpPr>
          <a:stCxn id="285" idx="2"/>
          <a:endCxn id="49" idx="0"/>
        </xdr:cNvCxnSpPr>
      </xdr:nvCxnSpPr>
      <xdr:spPr>
        <a:xfrm rot="5400000">
          <a:off x="6861224" y="23678959"/>
          <a:ext cx="757616" cy="1332884"/>
        </a:xfrm>
        <a:prstGeom prst="bentConnector3">
          <a:avLst>
            <a:gd name="adj1" fmla="val 3293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48418</xdr:colOff>
      <xdr:row>67</xdr:row>
      <xdr:rowOff>92075</xdr:rowOff>
    </xdr:from>
    <xdr:to>
      <xdr:col>7</xdr:col>
      <xdr:colOff>152717</xdr:colOff>
      <xdr:row>71</xdr:row>
      <xdr:rowOff>74399</xdr:rowOff>
    </xdr:to>
    <xdr:grpSp>
      <xdr:nvGrpSpPr>
        <xdr:cNvPr id="98" name="グループ化 97">
          <a:extLst>
            <a:ext uri="{FF2B5EF4-FFF2-40B4-BE49-F238E27FC236}">
              <a16:creationId xmlns:a16="http://schemas.microsoft.com/office/drawing/2014/main" id="{32421365-6C33-437E-8394-4A6BE92FD6AC}"/>
            </a:ext>
          </a:extLst>
        </xdr:cNvPr>
        <xdr:cNvGrpSpPr/>
      </xdr:nvGrpSpPr>
      <xdr:grpSpPr>
        <a:xfrm>
          <a:off x="457993" y="11617325"/>
          <a:ext cx="1009174" cy="668124"/>
          <a:chOff x="303173" y="4767162"/>
          <a:chExt cx="1003300" cy="631826"/>
        </a:xfrm>
      </xdr:grpSpPr>
      <xdr:sp macro="" textlink="">
        <xdr:nvSpPr>
          <xdr:cNvPr id="99" name="フローチャート: 判断 98">
            <a:extLst>
              <a:ext uri="{FF2B5EF4-FFF2-40B4-BE49-F238E27FC236}">
                <a16:creationId xmlns:a16="http://schemas.microsoft.com/office/drawing/2014/main" id="{B4C8AC62-8E45-B619-C04F-157A127CB2BC}"/>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00" name="正方形/長方形 48">
            <a:extLst>
              <a:ext uri="{FF2B5EF4-FFF2-40B4-BE49-F238E27FC236}">
                <a16:creationId xmlns:a16="http://schemas.microsoft.com/office/drawing/2014/main" id="{750DC9DB-28D9-6EF5-E56D-05C9BB8A4C93}"/>
              </a:ext>
            </a:extLst>
          </xdr:cNvPr>
          <xdr:cNvSpPr/>
        </xdr:nvSpPr>
        <xdr:spPr>
          <a:xfrm>
            <a:off x="303173" y="4767162"/>
            <a:ext cx="1003300" cy="6318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EB</a:t>
            </a:r>
            <a:r>
              <a:rPr kumimoji="1" lang="ja-JP" altLang="en-US" sz="900"/>
              <a:t>振込か</a:t>
            </a:r>
            <a:endParaRPr kumimoji="1" lang="en-US" altLang="ja-JP" sz="900"/>
          </a:p>
        </xdr:txBody>
      </xdr:sp>
    </xdr:grpSp>
    <xdr:clientData/>
  </xdr:twoCellAnchor>
  <xdr:twoCellAnchor>
    <xdr:from>
      <xdr:col>4</xdr:col>
      <xdr:colOff>181123</xdr:colOff>
      <xdr:row>71</xdr:row>
      <xdr:rowOff>5678</xdr:rowOff>
    </xdr:from>
    <xdr:to>
      <xdr:col>4</xdr:col>
      <xdr:colOff>184896</xdr:colOff>
      <xdr:row>73</xdr:row>
      <xdr:rowOff>92785</xdr:rowOff>
    </xdr:to>
    <xdr:cxnSp macro="">
      <xdr:nvCxnSpPr>
        <xdr:cNvPr id="102" name="直線矢印コネクタ 27">
          <a:extLst>
            <a:ext uri="{FF2B5EF4-FFF2-40B4-BE49-F238E27FC236}">
              <a16:creationId xmlns:a16="http://schemas.microsoft.com/office/drawing/2014/main" id="{B531353E-613B-440E-9088-D2460F9DD1EF}"/>
            </a:ext>
          </a:extLst>
        </xdr:cNvPr>
        <xdr:cNvCxnSpPr>
          <a:cxnSpLocks/>
          <a:stCxn id="99" idx="2"/>
          <a:endCxn id="37" idx="0"/>
        </xdr:cNvCxnSpPr>
      </xdr:nvCxnSpPr>
      <xdr:spPr>
        <a:xfrm flipH="1">
          <a:off x="981223" y="20808278"/>
          <a:ext cx="3773" cy="43000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162718</xdr:colOff>
      <xdr:row>71</xdr:row>
      <xdr:rowOff>21430</xdr:rowOff>
    </xdr:from>
    <xdr:to>
      <xdr:col>7</xdr:col>
      <xdr:colOff>12681</xdr:colOff>
      <xdr:row>72</xdr:row>
      <xdr:rowOff>76329</xdr:rowOff>
    </xdr:to>
    <xdr:sp macro="" textlink="">
      <xdr:nvSpPr>
        <xdr:cNvPr id="223" name="テキスト ボックス 222">
          <a:extLst>
            <a:ext uri="{FF2B5EF4-FFF2-40B4-BE49-F238E27FC236}">
              <a16:creationId xmlns:a16="http://schemas.microsoft.com/office/drawing/2014/main" id="{93945380-D9AC-4461-BA64-0CDE4E12E7C6}"/>
            </a:ext>
          </a:extLst>
        </xdr:cNvPr>
        <xdr:cNvSpPr txBox="1"/>
      </xdr:nvSpPr>
      <xdr:spPr>
        <a:xfrm>
          <a:off x="962818" y="20824030"/>
          <a:ext cx="450038" cy="226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xdr:col>
      <xdr:colOff>123284</xdr:colOff>
      <xdr:row>69</xdr:row>
      <xdr:rowOff>86882</xdr:rowOff>
    </xdr:from>
    <xdr:to>
      <xdr:col>4</xdr:col>
      <xdr:colOff>142060</xdr:colOff>
      <xdr:row>107</xdr:row>
      <xdr:rowOff>97262</xdr:rowOff>
    </xdr:to>
    <xdr:cxnSp macro="">
      <xdr:nvCxnSpPr>
        <xdr:cNvPr id="224" name="コネクタ: カギ線 223">
          <a:extLst>
            <a:ext uri="{FF2B5EF4-FFF2-40B4-BE49-F238E27FC236}">
              <a16:creationId xmlns:a16="http://schemas.microsoft.com/office/drawing/2014/main" id="{D42179D3-374B-47C7-A551-2523CBA1924E}"/>
            </a:ext>
          </a:extLst>
        </xdr:cNvPr>
        <xdr:cNvCxnSpPr>
          <a:stCxn id="99" idx="1"/>
          <a:endCxn id="49" idx="0"/>
        </xdr:cNvCxnSpPr>
      </xdr:nvCxnSpPr>
      <xdr:spPr>
        <a:xfrm rot="10800000" flipH="1" flipV="1">
          <a:off x="520159" y="20549757"/>
          <a:ext cx="418826" cy="4636355"/>
        </a:xfrm>
        <a:prstGeom prst="bentConnector4">
          <a:avLst>
            <a:gd name="adj1" fmla="val -54581"/>
            <a:gd name="adj2" fmla="val 92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128667</xdr:colOff>
      <xdr:row>24</xdr:row>
      <xdr:rowOff>12297</xdr:rowOff>
    </xdr:from>
    <xdr:to>
      <xdr:col>7</xdr:col>
      <xdr:colOff>93555</xdr:colOff>
      <xdr:row>27</xdr:row>
      <xdr:rowOff>18553</xdr:rowOff>
    </xdr:to>
    <xdr:grpSp>
      <xdr:nvGrpSpPr>
        <xdr:cNvPr id="226" name="グループ化 225">
          <a:extLst>
            <a:ext uri="{FF2B5EF4-FFF2-40B4-BE49-F238E27FC236}">
              <a16:creationId xmlns:a16="http://schemas.microsoft.com/office/drawing/2014/main" id="{B0788DA3-34D5-487B-8468-65C2FD4CDD85}"/>
            </a:ext>
          </a:extLst>
        </xdr:cNvPr>
        <xdr:cNvGrpSpPr/>
      </xdr:nvGrpSpPr>
      <xdr:grpSpPr>
        <a:xfrm>
          <a:off x="309642" y="4155672"/>
          <a:ext cx="1098363" cy="520606"/>
          <a:chOff x="217092" y="5701906"/>
          <a:chExt cx="1153558" cy="542012"/>
        </a:xfrm>
      </xdr:grpSpPr>
      <xdr:sp macro="" textlink="">
        <xdr:nvSpPr>
          <xdr:cNvPr id="227" name="フローチャート: 他ページ結合子 226">
            <a:extLst>
              <a:ext uri="{FF2B5EF4-FFF2-40B4-BE49-F238E27FC236}">
                <a16:creationId xmlns:a16="http://schemas.microsoft.com/office/drawing/2014/main" id="{288E362B-9FDA-EA9D-9E45-83CBDF538FE3}"/>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1" name="正方形/長方形 48">
            <a:extLst>
              <a:ext uri="{FF2B5EF4-FFF2-40B4-BE49-F238E27FC236}">
                <a16:creationId xmlns:a16="http://schemas.microsoft.com/office/drawing/2014/main" id="{ABDDFE71-BCD6-7F8E-7C65-EED5DBCE6C2C}"/>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５．支払前</a:t>
            </a:r>
          </a:p>
        </xdr:txBody>
      </xdr:sp>
    </xdr:grpSp>
    <xdr:clientData/>
  </xdr:twoCellAnchor>
  <xdr:twoCellAnchor>
    <xdr:from>
      <xdr:col>1</xdr:col>
      <xdr:colOff>0</xdr:colOff>
      <xdr:row>67</xdr:row>
      <xdr:rowOff>151606</xdr:rowOff>
    </xdr:from>
    <xdr:to>
      <xdr:col>1</xdr:col>
      <xdr:colOff>38082</xdr:colOff>
      <xdr:row>69</xdr:row>
      <xdr:rowOff>41405</xdr:rowOff>
    </xdr:to>
    <xdr:sp macro="" textlink="">
      <xdr:nvSpPr>
        <xdr:cNvPr id="24" name="テキスト ボックス 23">
          <a:extLst>
            <a:ext uri="{FF2B5EF4-FFF2-40B4-BE49-F238E27FC236}">
              <a16:creationId xmlns:a16="http://schemas.microsoft.com/office/drawing/2014/main" id="{3A7A5B97-706B-46F8-8885-9AE0674C4AC8}"/>
            </a:ext>
          </a:extLst>
        </xdr:cNvPr>
        <xdr:cNvSpPr txBox="1"/>
      </xdr:nvSpPr>
      <xdr:spPr>
        <a:xfrm>
          <a:off x="5444331" y="19737387"/>
          <a:ext cx="463532" cy="22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0</xdr:col>
      <xdr:colOff>111918</xdr:colOff>
      <xdr:row>68</xdr:row>
      <xdr:rowOff>11905</xdr:rowOff>
    </xdr:from>
    <xdr:to>
      <xdr:col>3</xdr:col>
      <xdr:colOff>66675</xdr:colOff>
      <xdr:row>69</xdr:row>
      <xdr:rowOff>63500</xdr:rowOff>
    </xdr:to>
    <xdr:sp macro="" textlink="">
      <xdr:nvSpPr>
        <xdr:cNvPr id="274" name="テキスト ボックス 273">
          <a:extLst>
            <a:ext uri="{FF2B5EF4-FFF2-40B4-BE49-F238E27FC236}">
              <a16:creationId xmlns:a16="http://schemas.microsoft.com/office/drawing/2014/main" id="{2ACC3E0D-159C-4BB5-87ED-A718125C8569}"/>
            </a:ext>
          </a:extLst>
        </xdr:cNvPr>
        <xdr:cNvSpPr txBox="1"/>
      </xdr:nvSpPr>
      <xdr:spPr>
        <a:xfrm>
          <a:off x="111918" y="11727655"/>
          <a:ext cx="554832" cy="223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xdr:col>
      <xdr:colOff>168376</xdr:colOff>
      <xdr:row>126</xdr:row>
      <xdr:rowOff>104438</xdr:rowOff>
    </xdr:from>
    <xdr:to>
      <xdr:col>7</xdr:col>
      <xdr:colOff>88669</xdr:colOff>
      <xdr:row>129</xdr:row>
      <xdr:rowOff>97622</xdr:rowOff>
    </xdr:to>
    <xdr:grpSp>
      <xdr:nvGrpSpPr>
        <xdr:cNvPr id="4" name="グループ化 3">
          <a:extLst>
            <a:ext uri="{FF2B5EF4-FFF2-40B4-BE49-F238E27FC236}">
              <a16:creationId xmlns:a16="http://schemas.microsoft.com/office/drawing/2014/main" id="{446CF5A8-26B3-DB6C-12B0-04D837471301}"/>
            </a:ext>
          </a:extLst>
        </xdr:cNvPr>
        <xdr:cNvGrpSpPr/>
      </xdr:nvGrpSpPr>
      <xdr:grpSpPr>
        <a:xfrm>
          <a:off x="349351" y="21745238"/>
          <a:ext cx="1053768" cy="507534"/>
          <a:chOff x="1612504" y="2436885"/>
          <a:chExt cx="933032" cy="400203"/>
        </a:xfrm>
      </xdr:grpSpPr>
      <xdr:sp macro="" textlink="">
        <xdr:nvSpPr>
          <xdr:cNvPr id="5" name="フローチャート: 定義済み処理 4">
            <a:extLst>
              <a:ext uri="{FF2B5EF4-FFF2-40B4-BE49-F238E27FC236}">
                <a16:creationId xmlns:a16="http://schemas.microsoft.com/office/drawing/2014/main" id="{76352A55-93B3-82EF-F165-17710D668D4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 name="正方形/長方形 6">
            <a:extLst>
              <a:ext uri="{FF2B5EF4-FFF2-40B4-BE49-F238E27FC236}">
                <a16:creationId xmlns:a16="http://schemas.microsoft.com/office/drawing/2014/main" id="{FBE7F9B0-6283-4888-ED00-33FF10E28F4C}"/>
              </a:ext>
            </a:extLst>
          </xdr:cNvPr>
          <xdr:cNvSpPr/>
        </xdr:nvSpPr>
        <xdr:spPr>
          <a:xfrm>
            <a:off x="1612504" y="243688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９．帳票（支払案内書）出力</a:t>
            </a:r>
            <a:endParaRPr kumimoji="1" lang="en-US" altLang="ja-JP" sz="900"/>
          </a:p>
        </xdr:txBody>
      </xdr:sp>
    </xdr:grpSp>
    <xdr:clientData/>
  </xdr:twoCellAnchor>
  <xdr:twoCellAnchor>
    <xdr:from>
      <xdr:col>4</xdr:col>
      <xdr:colOff>144321</xdr:colOff>
      <xdr:row>129</xdr:row>
      <xdr:rowOff>91231</xdr:rowOff>
    </xdr:from>
    <xdr:to>
      <xdr:col>4</xdr:col>
      <xdr:colOff>144321</xdr:colOff>
      <xdr:row>136</xdr:row>
      <xdr:rowOff>139031</xdr:rowOff>
    </xdr:to>
    <xdr:cxnSp macro="">
      <xdr:nvCxnSpPr>
        <xdr:cNvPr id="8" name="直線矢印コネクタ 27">
          <a:extLst>
            <a:ext uri="{FF2B5EF4-FFF2-40B4-BE49-F238E27FC236}">
              <a16:creationId xmlns:a16="http://schemas.microsoft.com/office/drawing/2014/main" id="{F175DFF6-267D-05F5-F10A-D7FEE5D55D1E}"/>
            </a:ext>
          </a:extLst>
        </xdr:cNvPr>
        <xdr:cNvCxnSpPr>
          <a:cxnSpLocks/>
          <a:stCxn id="5" idx="2"/>
          <a:endCxn id="119" idx="0"/>
        </xdr:cNvCxnSpPr>
      </xdr:nvCxnSpPr>
      <xdr:spPr>
        <a:xfrm>
          <a:off x="936009" y="20922530"/>
          <a:ext cx="0" cy="126007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889</xdr:colOff>
      <xdr:row>126</xdr:row>
      <xdr:rowOff>71458</xdr:rowOff>
    </xdr:from>
    <xdr:to>
      <xdr:col>28</xdr:col>
      <xdr:colOff>513</xdr:colOff>
      <xdr:row>130</xdr:row>
      <xdr:rowOff>71358</xdr:rowOff>
    </xdr:to>
    <xdr:grpSp>
      <xdr:nvGrpSpPr>
        <xdr:cNvPr id="87" name="グループ化 86">
          <a:extLst>
            <a:ext uri="{FF2B5EF4-FFF2-40B4-BE49-F238E27FC236}">
              <a16:creationId xmlns:a16="http://schemas.microsoft.com/office/drawing/2014/main" id="{14919A85-D4BC-B96D-BBD8-1D8ADD09EB2D}"/>
            </a:ext>
          </a:extLst>
        </xdr:cNvPr>
        <xdr:cNvGrpSpPr/>
      </xdr:nvGrpSpPr>
      <xdr:grpSpPr>
        <a:xfrm>
          <a:off x="4210939" y="21712258"/>
          <a:ext cx="904499" cy="685700"/>
          <a:chOff x="7111999" y="2892425"/>
          <a:chExt cx="873125" cy="584982"/>
        </a:xfrm>
      </xdr:grpSpPr>
      <xdr:sp macro="" textlink="">
        <xdr:nvSpPr>
          <xdr:cNvPr id="88" name="フローチャート: 磁気ディスク 87">
            <a:extLst>
              <a:ext uri="{FF2B5EF4-FFF2-40B4-BE49-F238E27FC236}">
                <a16:creationId xmlns:a16="http://schemas.microsoft.com/office/drawing/2014/main" id="{E36FFDC6-2917-5BDF-169D-CD9E077E80A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9" name="正方形/長方形 88">
            <a:extLst>
              <a:ext uri="{FF2B5EF4-FFF2-40B4-BE49-F238E27FC236}">
                <a16:creationId xmlns:a16="http://schemas.microsoft.com/office/drawing/2014/main" id="{D376A6A4-E668-6D94-5A62-D8249B56B41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支払案内書</a:t>
            </a:r>
          </a:p>
        </xdr:txBody>
      </xdr:sp>
    </xdr:grpSp>
    <xdr:clientData/>
  </xdr:twoCellAnchor>
  <xdr:twoCellAnchor>
    <xdr:from>
      <xdr:col>7</xdr:col>
      <xdr:colOff>32770</xdr:colOff>
      <xdr:row>128</xdr:row>
      <xdr:rowOff>28193</xdr:rowOff>
    </xdr:from>
    <xdr:to>
      <xdr:col>23</xdr:col>
      <xdr:colOff>107205</xdr:colOff>
      <xdr:row>128</xdr:row>
      <xdr:rowOff>43594</xdr:rowOff>
    </xdr:to>
    <xdr:cxnSp macro="">
      <xdr:nvCxnSpPr>
        <xdr:cNvPr id="92" name="直線矢印コネクタ 91">
          <a:extLst>
            <a:ext uri="{FF2B5EF4-FFF2-40B4-BE49-F238E27FC236}">
              <a16:creationId xmlns:a16="http://schemas.microsoft.com/office/drawing/2014/main" id="{19591EA3-2231-43F7-A6C4-73AFCCD3C953}"/>
            </a:ext>
          </a:extLst>
        </xdr:cNvPr>
        <xdr:cNvCxnSpPr>
          <a:stCxn id="88" idx="2"/>
          <a:endCxn id="5" idx="3"/>
        </xdr:cNvCxnSpPr>
      </xdr:nvCxnSpPr>
      <xdr:spPr>
        <a:xfrm flipH="1" flipV="1">
          <a:off x="1444711" y="19257487"/>
          <a:ext cx="1889788" cy="1540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47998</xdr:colOff>
      <xdr:row>128</xdr:row>
      <xdr:rowOff>75265</xdr:rowOff>
    </xdr:from>
    <xdr:to>
      <xdr:col>29</xdr:col>
      <xdr:colOff>106456</xdr:colOff>
      <xdr:row>131</xdr:row>
      <xdr:rowOff>144181</xdr:rowOff>
    </xdr:to>
    <xdr:grpSp>
      <xdr:nvGrpSpPr>
        <xdr:cNvPr id="95" name="グループ化 94">
          <a:extLst>
            <a:ext uri="{FF2B5EF4-FFF2-40B4-BE49-F238E27FC236}">
              <a16:creationId xmlns:a16="http://schemas.microsoft.com/office/drawing/2014/main" id="{DA3E5A30-8294-20F9-8EEE-DE24530E52FB}"/>
            </a:ext>
          </a:extLst>
        </xdr:cNvPr>
        <xdr:cNvGrpSpPr>
          <a:grpSpLocks noChangeAspect="1"/>
        </xdr:cNvGrpSpPr>
      </xdr:nvGrpSpPr>
      <xdr:grpSpPr>
        <a:xfrm>
          <a:off x="4800973" y="22058965"/>
          <a:ext cx="601383" cy="583266"/>
          <a:chOff x="2804040" y="18436047"/>
          <a:chExt cx="773793" cy="671251"/>
        </a:xfrm>
      </xdr:grpSpPr>
      <xdr:sp macro="" textlink="">
        <xdr:nvSpPr>
          <xdr:cNvPr id="96" name="フローチャート: 書類 95">
            <a:extLst>
              <a:ext uri="{FF2B5EF4-FFF2-40B4-BE49-F238E27FC236}">
                <a16:creationId xmlns:a16="http://schemas.microsoft.com/office/drawing/2014/main" id="{2A2DE238-518A-D9E4-1760-A3EE872D5981}"/>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01" name="正方形/長方形 100">
            <a:extLst>
              <a:ext uri="{FF2B5EF4-FFF2-40B4-BE49-F238E27FC236}">
                <a16:creationId xmlns:a16="http://schemas.microsoft.com/office/drawing/2014/main" id="{3419E610-FD06-F35C-9699-D2D01DBB6178}"/>
              </a:ext>
            </a:extLst>
          </xdr:cNvPr>
          <xdr:cNvSpPr/>
        </xdr:nvSpPr>
        <xdr:spPr>
          <a:xfrm>
            <a:off x="2804040" y="18436047"/>
            <a:ext cx="773793" cy="6712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a:t>
            </a:r>
            <a:endParaRPr kumimoji="1" lang="en-US" altLang="ja-JP" sz="900"/>
          </a:p>
          <a:p>
            <a:pPr algn="ctr"/>
            <a:r>
              <a:rPr kumimoji="1" lang="ja-JP" altLang="en-US" sz="900"/>
              <a:t>案内書</a:t>
            </a:r>
            <a:endParaRPr kumimoji="1" lang="en-US" altLang="ja-JP" sz="900"/>
          </a:p>
        </xdr:txBody>
      </xdr:sp>
    </xdr:grpSp>
    <xdr:clientData/>
  </xdr:twoCellAnchor>
  <xdr:twoCellAnchor>
    <xdr:from>
      <xdr:col>6</xdr:col>
      <xdr:colOff>50127</xdr:colOff>
      <xdr:row>77</xdr:row>
      <xdr:rowOff>102235</xdr:rowOff>
    </xdr:from>
    <xdr:to>
      <xdr:col>14</xdr:col>
      <xdr:colOff>164936</xdr:colOff>
      <xdr:row>80</xdr:row>
      <xdr:rowOff>635</xdr:rowOff>
    </xdr:to>
    <xdr:grpSp>
      <xdr:nvGrpSpPr>
        <xdr:cNvPr id="25" name="グループ化 24">
          <a:extLst>
            <a:ext uri="{FF2B5EF4-FFF2-40B4-BE49-F238E27FC236}">
              <a16:creationId xmlns:a16="http://schemas.microsoft.com/office/drawing/2014/main" id="{837D8885-3FBC-7A66-92F8-DF219CA38CD6}"/>
            </a:ext>
          </a:extLst>
        </xdr:cNvPr>
        <xdr:cNvGrpSpPr/>
      </xdr:nvGrpSpPr>
      <xdr:grpSpPr>
        <a:xfrm>
          <a:off x="1183602" y="13341985"/>
          <a:ext cx="1562609" cy="412750"/>
          <a:chOff x="4383256" y="5730875"/>
          <a:chExt cx="1003300" cy="425450"/>
        </a:xfrm>
      </xdr:grpSpPr>
      <xdr:sp macro="" textlink="">
        <xdr:nvSpPr>
          <xdr:cNvPr id="26" name="AutoShape 49">
            <a:extLst>
              <a:ext uri="{FF2B5EF4-FFF2-40B4-BE49-F238E27FC236}">
                <a16:creationId xmlns:a16="http://schemas.microsoft.com/office/drawing/2014/main" id="{E083FAEE-7F6F-881F-BB27-CDFF3E925F6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7" name="正方形/長方形 48">
            <a:extLst>
              <a:ext uri="{FF2B5EF4-FFF2-40B4-BE49-F238E27FC236}">
                <a16:creationId xmlns:a16="http://schemas.microsoft.com/office/drawing/2014/main" id="{3F6C8551-80D4-FDC6-AEAF-75A4A0279C9C}"/>
              </a:ext>
            </a:extLst>
          </xdr:cNvPr>
          <xdr:cNvSpPr/>
        </xdr:nvSpPr>
        <xdr:spPr>
          <a:xfrm>
            <a:off x="4383256" y="578076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ysClr val="windowText" lastClr="000000"/>
                </a:solidFill>
              </a:rPr>
              <a:t>EB</a:t>
            </a:r>
            <a:r>
              <a:rPr kumimoji="1" lang="ja-JP" altLang="en-US" sz="900">
                <a:solidFill>
                  <a:sysClr val="windowText" lastClr="000000"/>
                </a:solidFill>
              </a:rPr>
              <a:t>データ（</a:t>
            </a:r>
            <a:r>
              <a:rPr kumimoji="1" lang="en-US" altLang="ja-JP" sz="900">
                <a:solidFill>
                  <a:sysClr val="windowText" lastClr="000000"/>
                </a:solidFill>
              </a:rPr>
              <a:t>ISO20022</a:t>
            </a:r>
            <a:r>
              <a:rPr kumimoji="1" lang="ja-JP" altLang="en-US" sz="900">
                <a:solidFill>
                  <a:sysClr val="windowText" lastClr="000000"/>
                </a:solidFill>
              </a:rPr>
              <a:t>形式）</a:t>
            </a:r>
          </a:p>
        </xdr:txBody>
      </xdr:sp>
    </xdr:grpSp>
    <xdr:clientData/>
  </xdr:twoCellAnchor>
  <xdr:twoCellAnchor>
    <xdr:from>
      <xdr:col>5</xdr:col>
      <xdr:colOff>116100</xdr:colOff>
      <xdr:row>87</xdr:row>
      <xdr:rowOff>28014</xdr:rowOff>
    </xdr:from>
    <xdr:to>
      <xdr:col>14</xdr:col>
      <xdr:colOff>32987</xdr:colOff>
      <xdr:row>89</xdr:row>
      <xdr:rowOff>99596</xdr:rowOff>
    </xdr:to>
    <xdr:grpSp>
      <xdr:nvGrpSpPr>
        <xdr:cNvPr id="104" name="グループ化 103">
          <a:extLst>
            <a:ext uri="{FF2B5EF4-FFF2-40B4-BE49-F238E27FC236}">
              <a16:creationId xmlns:a16="http://schemas.microsoft.com/office/drawing/2014/main" id="{3275C587-7819-A515-A757-0A1E44CDE8E4}"/>
            </a:ext>
          </a:extLst>
        </xdr:cNvPr>
        <xdr:cNvGrpSpPr/>
      </xdr:nvGrpSpPr>
      <xdr:grpSpPr>
        <a:xfrm>
          <a:off x="1068600" y="14982264"/>
          <a:ext cx="1545662" cy="414482"/>
          <a:chOff x="4305300" y="5730875"/>
          <a:chExt cx="1003300" cy="425450"/>
        </a:xfrm>
      </xdr:grpSpPr>
      <xdr:sp macro="" textlink="">
        <xdr:nvSpPr>
          <xdr:cNvPr id="105" name="AutoShape 49">
            <a:extLst>
              <a:ext uri="{FF2B5EF4-FFF2-40B4-BE49-F238E27FC236}">
                <a16:creationId xmlns:a16="http://schemas.microsoft.com/office/drawing/2014/main" id="{08B387DD-DA1E-B4DF-C6B9-C067DC0B6227}"/>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06" name="正方形/長方形 48">
            <a:extLst>
              <a:ext uri="{FF2B5EF4-FFF2-40B4-BE49-F238E27FC236}">
                <a16:creationId xmlns:a16="http://schemas.microsoft.com/office/drawing/2014/main" id="{B8FA483B-10D2-200F-45B3-4881371A6D44}"/>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EB</a:t>
            </a:r>
            <a:r>
              <a:rPr kumimoji="1" lang="ja-JP" altLang="en-US" sz="900"/>
              <a:t>データ（全銀協）</a:t>
            </a:r>
          </a:p>
        </xdr:txBody>
      </xdr:sp>
    </xdr:grpSp>
    <xdr:clientData/>
  </xdr:twoCellAnchor>
  <xdr:twoCellAnchor>
    <xdr:from>
      <xdr:col>6</xdr:col>
      <xdr:colOff>50127</xdr:colOff>
      <xdr:row>89</xdr:row>
      <xdr:rowOff>28015</xdr:rowOff>
    </xdr:from>
    <xdr:to>
      <xdr:col>14</xdr:col>
      <xdr:colOff>164936</xdr:colOff>
      <xdr:row>91</xdr:row>
      <xdr:rowOff>99596</xdr:rowOff>
    </xdr:to>
    <xdr:grpSp>
      <xdr:nvGrpSpPr>
        <xdr:cNvPr id="107" name="グループ化 106">
          <a:extLst>
            <a:ext uri="{FF2B5EF4-FFF2-40B4-BE49-F238E27FC236}">
              <a16:creationId xmlns:a16="http://schemas.microsoft.com/office/drawing/2014/main" id="{9601151E-C8A3-31DA-2CE4-FC782658B721}"/>
            </a:ext>
          </a:extLst>
        </xdr:cNvPr>
        <xdr:cNvGrpSpPr/>
      </xdr:nvGrpSpPr>
      <xdr:grpSpPr>
        <a:xfrm>
          <a:off x="1183602" y="15325165"/>
          <a:ext cx="1562609" cy="414481"/>
          <a:chOff x="4383256" y="5730875"/>
          <a:chExt cx="1003300" cy="425450"/>
        </a:xfrm>
      </xdr:grpSpPr>
      <xdr:sp macro="" textlink="">
        <xdr:nvSpPr>
          <xdr:cNvPr id="108" name="AutoShape 49">
            <a:extLst>
              <a:ext uri="{FF2B5EF4-FFF2-40B4-BE49-F238E27FC236}">
                <a16:creationId xmlns:a16="http://schemas.microsoft.com/office/drawing/2014/main" id="{BAF5397D-76A2-5432-5701-6B5A32D7E2B7}"/>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09" name="正方形/長方形 48">
            <a:extLst>
              <a:ext uri="{FF2B5EF4-FFF2-40B4-BE49-F238E27FC236}">
                <a16:creationId xmlns:a16="http://schemas.microsoft.com/office/drawing/2014/main" id="{34F05208-ECC1-C495-BF84-61762D53A494}"/>
              </a:ext>
            </a:extLst>
          </xdr:cNvPr>
          <xdr:cNvSpPr/>
        </xdr:nvSpPr>
        <xdr:spPr>
          <a:xfrm>
            <a:off x="4383256" y="578076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EB</a:t>
            </a:r>
            <a:r>
              <a:rPr kumimoji="1" lang="ja-JP" altLang="en-US" sz="900"/>
              <a:t>データ（</a:t>
            </a:r>
            <a:r>
              <a:rPr kumimoji="1" lang="en-US" altLang="ja-JP" sz="900"/>
              <a:t>ISO20022</a:t>
            </a:r>
            <a:r>
              <a:rPr kumimoji="1" lang="ja-JP" altLang="en-US" sz="900"/>
              <a:t>形式）</a:t>
            </a:r>
          </a:p>
        </xdr:txBody>
      </xdr:sp>
    </xdr:grpSp>
    <xdr:clientData/>
  </xdr:twoCellAnchor>
  <xdr:twoCellAnchor>
    <xdr:from>
      <xdr:col>1</xdr:col>
      <xdr:colOff>168376</xdr:colOff>
      <xdr:row>136</xdr:row>
      <xdr:rowOff>112684</xdr:rowOff>
    </xdr:from>
    <xdr:to>
      <xdr:col>7</xdr:col>
      <xdr:colOff>88669</xdr:colOff>
      <xdr:row>139</xdr:row>
      <xdr:rowOff>105868</xdr:rowOff>
    </xdr:to>
    <xdr:grpSp>
      <xdr:nvGrpSpPr>
        <xdr:cNvPr id="118" name="グループ化 117">
          <a:extLst>
            <a:ext uri="{FF2B5EF4-FFF2-40B4-BE49-F238E27FC236}">
              <a16:creationId xmlns:a16="http://schemas.microsoft.com/office/drawing/2014/main" id="{F2C221B4-05F5-9C8D-9767-48E2E3C05806}"/>
            </a:ext>
          </a:extLst>
        </xdr:cNvPr>
        <xdr:cNvGrpSpPr/>
      </xdr:nvGrpSpPr>
      <xdr:grpSpPr>
        <a:xfrm>
          <a:off x="349351" y="23467984"/>
          <a:ext cx="1053768" cy="507534"/>
          <a:chOff x="1612504" y="2436885"/>
          <a:chExt cx="933032" cy="400203"/>
        </a:xfrm>
      </xdr:grpSpPr>
      <xdr:sp macro="" textlink="">
        <xdr:nvSpPr>
          <xdr:cNvPr id="119" name="フローチャート: 定義済み処理 118">
            <a:extLst>
              <a:ext uri="{FF2B5EF4-FFF2-40B4-BE49-F238E27FC236}">
                <a16:creationId xmlns:a16="http://schemas.microsoft.com/office/drawing/2014/main" id="{ED8BBAC4-2118-5B25-8580-7ADA11807C8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0" name="正方形/長方形 119">
            <a:extLst>
              <a:ext uri="{FF2B5EF4-FFF2-40B4-BE49-F238E27FC236}">
                <a16:creationId xmlns:a16="http://schemas.microsoft.com/office/drawing/2014/main" id="{71FA767B-68CF-F67F-7623-7FC8E9598EF6}"/>
              </a:ext>
            </a:extLst>
          </xdr:cNvPr>
          <xdr:cNvSpPr/>
        </xdr:nvSpPr>
        <xdr:spPr>
          <a:xfrm>
            <a:off x="1612504" y="243688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１０．決済内容</a:t>
            </a:r>
            <a:endParaRPr kumimoji="1" lang="en-US" altLang="ja-JP" sz="900"/>
          </a:p>
          <a:p>
            <a:pPr algn="ctr"/>
            <a:r>
              <a:rPr kumimoji="1" lang="ja-JP" altLang="en-US" sz="900"/>
              <a:t>の確認</a:t>
            </a:r>
            <a:endParaRPr kumimoji="1" lang="en-US" altLang="ja-JP" sz="900"/>
          </a:p>
        </xdr:txBody>
      </xdr:sp>
    </xdr:grpSp>
    <xdr:clientData/>
  </xdr:twoCellAnchor>
  <xdr:twoCellAnchor>
    <xdr:from>
      <xdr:col>23</xdr:col>
      <xdr:colOff>889</xdr:colOff>
      <xdr:row>136</xdr:row>
      <xdr:rowOff>66388</xdr:rowOff>
    </xdr:from>
    <xdr:to>
      <xdr:col>28</xdr:col>
      <xdr:colOff>513</xdr:colOff>
      <xdr:row>140</xdr:row>
      <xdr:rowOff>66288</xdr:rowOff>
    </xdr:to>
    <xdr:grpSp>
      <xdr:nvGrpSpPr>
        <xdr:cNvPr id="122" name="グループ化 121">
          <a:extLst>
            <a:ext uri="{FF2B5EF4-FFF2-40B4-BE49-F238E27FC236}">
              <a16:creationId xmlns:a16="http://schemas.microsoft.com/office/drawing/2014/main" id="{EFF5BE1D-8D68-6C90-F137-D0AF31EB847B}"/>
            </a:ext>
          </a:extLst>
        </xdr:cNvPr>
        <xdr:cNvGrpSpPr/>
      </xdr:nvGrpSpPr>
      <xdr:grpSpPr>
        <a:xfrm>
          <a:off x="4210939" y="23421688"/>
          <a:ext cx="904499" cy="685700"/>
          <a:chOff x="7111999" y="2892425"/>
          <a:chExt cx="873125" cy="584982"/>
        </a:xfrm>
      </xdr:grpSpPr>
      <xdr:sp macro="" textlink="">
        <xdr:nvSpPr>
          <xdr:cNvPr id="123" name="フローチャート: 磁気ディスク 122">
            <a:extLst>
              <a:ext uri="{FF2B5EF4-FFF2-40B4-BE49-F238E27FC236}">
                <a16:creationId xmlns:a16="http://schemas.microsoft.com/office/drawing/2014/main" id="{4EE92A63-51E6-18B5-FDAD-5BAF4A5AF38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4" name="正方形/長方形 123">
            <a:extLst>
              <a:ext uri="{FF2B5EF4-FFF2-40B4-BE49-F238E27FC236}">
                <a16:creationId xmlns:a16="http://schemas.microsoft.com/office/drawing/2014/main" id="{C221D7E9-1F0A-8974-BEDE-810B8C5781D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債務残高明細</a:t>
            </a:r>
          </a:p>
        </xdr:txBody>
      </xdr:sp>
    </xdr:grpSp>
    <xdr:clientData/>
  </xdr:twoCellAnchor>
  <xdr:twoCellAnchor>
    <xdr:from>
      <xdr:col>25</xdr:col>
      <xdr:colOff>25485</xdr:colOff>
      <xdr:row>138</xdr:row>
      <xdr:rowOff>95884</xdr:rowOff>
    </xdr:from>
    <xdr:to>
      <xdr:col>31</xdr:col>
      <xdr:colOff>7299</xdr:colOff>
      <xdr:row>142</xdr:row>
      <xdr:rowOff>1817</xdr:rowOff>
    </xdr:to>
    <xdr:grpSp>
      <xdr:nvGrpSpPr>
        <xdr:cNvPr id="125" name="グループ化 124">
          <a:extLst>
            <a:ext uri="{FF2B5EF4-FFF2-40B4-BE49-F238E27FC236}">
              <a16:creationId xmlns:a16="http://schemas.microsoft.com/office/drawing/2014/main" id="{EE6F90BA-4877-7A35-D716-80F44CC068B0}"/>
            </a:ext>
          </a:extLst>
        </xdr:cNvPr>
        <xdr:cNvGrpSpPr>
          <a:grpSpLocks noChangeAspect="1"/>
        </xdr:cNvGrpSpPr>
      </xdr:nvGrpSpPr>
      <xdr:grpSpPr>
        <a:xfrm>
          <a:off x="4597485" y="23794084"/>
          <a:ext cx="1067664" cy="591733"/>
          <a:chOff x="2608363" y="18426641"/>
          <a:chExt cx="1391068" cy="671251"/>
        </a:xfrm>
      </xdr:grpSpPr>
      <xdr:sp macro="" textlink="">
        <xdr:nvSpPr>
          <xdr:cNvPr id="126" name="フローチャート: 書類 125">
            <a:extLst>
              <a:ext uri="{FF2B5EF4-FFF2-40B4-BE49-F238E27FC236}">
                <a16:creationId xmlns:a16="http://schemas.microsoft.com/office/drawing/2014/main" id="{4FAAC0AE-F5CE-8A42-0C86-A129FACE00DF}"/>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27" name="正方形/長方形 126">
            <a:extLst>
              <a:ext uri="{FF2B5EF4-FFF2-40B4-BE49-F238E27FC236}">
                <a16:creationId xmlns:a16="http://schemas.microsoft.com/office/drawing/2014/main" id="{2422563F-CA60-90FB-2717-38C494EBEE3D}"/>
              </a:ext>
            </a:extLst>
          </xdr:cNvPr>
          <xdr:cNvSpPr/>
        </xdr:nvSpPr>
        <xdr:spPr>
          <a:xfrm>
            <a:off x="2608363" y="18426641"/>
            <a:ext cx="1391068" cy="6712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債務残高明細</a:t>
            </a:r>
            <a:endParaRPr kumimoji="1" lang="en-US" altLang="ja-JP" sz="900">
              <a:solidFill>
                <a:srgbClr val="FF0000"/>
              </a:solidFill>
            </a:endParaRPr>
          </a:p>
          <a:p>
            <a:pPr algn="ctr"/>
            <a:r>
              <a:rPr kumimoji="1" lang="ja-JP" altLang="en-US" sz="900">
                <a:solidFill>
                  <a:srgbClr val="FF0000"/>
                </a:solidFill>
              </a:rPr>
              <a:t>（決済）</a:t>
            </a:r>
            <a:endParaRPr kumimoji="1" lang="en-US" altLang="ja-JP" sz="900">
              <a:solidFill>
                <a:srgbClr val="FF0000"/>
              </a:solidFill>
            </a:endParaRPr>
          </a:p>
        </xdr:txBody>
      </xdr:sp>
    </xdr:grpSp>
    <xdr:clientData/>
  </xdr:twoCellAnchor>
  <xdr:twoCellAnchor>
    <xdr:from>
      <xdr:col>7</xdr:col>
      <xdr:colOff>36858</xdr:colOff>
      <xdr:row>138</xdr:row>
      <xdr:rowOff>29488</xdr:rowOff>
    </xdr:from>
    <xdr:to>
      <xdr:col>23</xdr:col>
      <xdr:colOff>102034</xdr:colOff>
      <xdr:row>138</xdr:row>
      <xdr:rowOff>31331</xdr:rowOff>
    </xdr:to>
    <xdr:cxnSp macro="">
      <xdr:nvCxnSpPr>
        <xdr:cNvPr id="192" name="直線矢印コネクタ 191">
          <a:extLst>
            <a:ext uri="{FF2B5EF4-FFF2-40B4-BE49-F238E27FC236}">
              <a16:creationId xmlns:a16="http://schemas.microsoft.com/office/drawing/2014/main" id="{BDC5149E-E47D-4035-AE88-CD1B0FAF5A28}"/>
            </a:ext>
          </a:extLst>
        </xdr:cNvPr>
        <xdr:cNvCxnSpPr>
          <a:stCxn id="123" idx="2"/>
          <a:endCxn id="119" idx="3"/>
        </xdr:cNvCxnSpPr>
      </xdr:nvCxnSpPr>
      <xdr:spPr>
        <a:xfrm flipH="1" flipV="1">
          <a:off x="1422313" y="22422598"/>
          <a:ext cx="1849649" cy="18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117900</xdr:colOff>
      <xdr:row>139</xdr:row>
      <xdr:rowOff>96585</xdr:rowOff>
    </xdr:from>
    <xdr:to>
      <xdr:col>4</xdr:col>
      <xdr:colOff>128656</xdr:colOff>
      <xdr:row>143</xdr:row>
      <xdr:rowOff>37524</xdr:rowOff>
    </xdr:to>
    <xdr:cxnSp macro="">
      <xdr:nvCxnSpPr>
        <xdr:cNvPr id="196" name="直線矢印コネクタ 27">
          <a:extLst>
            <a:ext uri="{FF2B5EF4-FFF2-40B4-BE49-F238E27FC236}">
              <a16:creationId xmlns:a16="http://schemas.microsoft.com/office/drawing/2014/main" id="{454ED480-93B3-454F-B15F-06F67D2D1BA4}"/>
            </a:ext>
          </a:extLst>
        </xdr:cNvPr>
        <xdr:cNvCxnSpPr>
          <a:cxnSpLocks/>
          <a:stCxn id="119" idx="2"/>
          <a:endCxn id="193" idx="0"/>
        </xdr:cNvCxnSpPr>
      </xdr:nvCxnSpPr>
      <xdr:spPr>
        <a:xfrm>
          <a:off x="879900" y="23337585"/>
          <a:ext cx="10756" cy="60768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139700</xdr:colOff>
      <xdr:row>162</xdr:row>
      <xdr:rowOff>0</xdr:rowOff>
    </xdr:from>
    <xdr:to>
      <xdr:col>7</xdr:col>
      <xdr:colOff>16934</xdr:colOff>
      <xdr:row>165</xdr:row>
      <xdr:rowOff>1</xdr:rowOff>
    </xdr:to>
    <xdr:grpSp>
      <xdr:nvGrpSpPr>
        <xdr:cNvPr id="10" name="グループ化 9">
          <a:extLst>
            <a:ext uri="{FF2B5EF4-FFF2-40B4-BE49-F238E27FC236}">
              <a16:creationId xmlns:a16="http://schemas.microsoft.com/office/drawing/2014/main" id="{C928945E-81C4-4D1D-A4A9-C5A891793780}"/>
            </a:ext>
          </a:extLst>
        </xdr:cNvPr>
        <xdr:cNvGrpSpPr/>
      </xdr:nvGrpSpPr>
      <xdr:grpSpPr>
        <a:xfrm>
          <a:off x="320675" y="27813000"/>
          <a:ext cx="1010709" cy="514351"/>
          <a:chOff x="1612900" y="2427475"/>
          <a:chExt cx="933032" cy="404625"/>
        </a:xfrm>
      </xdr:grpSpPr>
      <xdr:sp macro="" textlink="">
        <xdr:nvSpPr>
          <xdr:cNvPr id="45" name="フローチャート: 定義済み処理 44">
            <a:extLst>
              <a:ext uri="{FF2B5EF4-FFF2-40B4-BE49-F238E27FC236}">
                <a16:creationId xmlns:a16="http://schemas.microsoft.com/office/drawing/2014/main" id="{7301FEB0-5307-CD28-9FAF-54AFF3F3FF8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6" name="正方形/長方形 45">
            <a:extLst>
              <a:ext uri="{FF2B5EF4-FFF2-40B4-BE49-F238E27FC236}">
                <a16:creationId xmlns:a16="http://schemas.microsoft.com/office/drawing/2014/main" id="{49B04291-4C2E-B632-E7F7-8F7A02556BE6}"/>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１．調整</a:t>
            </a:r>
            <a:endParaRPr kumimoji="1" lang="en-US" altLang="ja-JP" sz="900"/>
          </a:p>
          <a:p>
            <a:pPr algn="ctr"/>
            <a:r>
              <a:rPr kumimoji="1" lang="ja-JP" altLang="en-US" sz="900"/>
              <a:t>仕訳登録</a:t>
            </a:r>
            <a:endParaRPr kumimoji="1" lang="en-US" altLang="ja-JP" sz="900"/>
          </a:p>
        </xdr:txBody>
      </xdr:sp>
    </xdr:grpSp>
    <xdr:clientData/>
  </xdr:twoCellAnchor>
  <xdr:twoCellAnchor>
    <xdr:from>
      <xdr:col>23</xdr:col>
      <xdr:colOff>0</xdr:colOff>
      <xdr:row>161</xdr:row>
      <xdr:rowOff>136528</xdr:rowOff>
    </xdr:from>
    <xdr:to>
      <xdr:col>28</xdr:col>
      <xdr:colOff>12325</xdr:colOff>
      <xdr:row>165</xdr:row>
      <xdr:rowOff>114203</xdr:rowOff>
    </xdr:to>
    <xdr:grpSp>
      <xdr:nvGrpSpPr>
        <xdr:cNvPr id="47" name="グループ化 46">
          <a:extLst>
            <a:ext uri="{FF2B5EF4-FFF2-40B4-BE49-F238E27FC236}">
              <a16:creationId xmlns:a16="http://schemas.microsoft.com/office/drawing/2014/main" id="{64CB3573-D64F-41AE-BCB0-D40C803F8E01}"/>
            </a:ext>
          </a:extLst>
        </xdr:cNvPr>
        <xdr:cNvGrpSpPr/>
      </xdr:nvGrpSpPr>
      <xdr:grpSpPr>
        <a:xfrm>
          <a:off x="4210050" y="27778078"/>
          <a:ext cx="917200" cy="663475"/>
          <a:chOff x="7111999" y="2892425"/>
          <a:chExt cx="873125" cy="584982"/>
        </a:xfrm>
      </xdr:grpSpPr>
      <xdr:sp macro="" textlink="">
        <xdr:nvSpPr>
          <xdr:cNvPr id="54" name="フローチャート: 磁気ディスク 53">
            <a:extLst>
              <a:ext uri="{FF2B5EF4-FFF2-40B4-BE49-F238E27FC236}">
                <a16:creationId xmlns:a16="http://schemas.microsoft.com/office/drawing/2014/main" id="{FA404EFF-7201-C63D-E7F1-2D34A8BE392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7" name="正方形/長方形 56">
            <a:extLst>
              <a:ext uri="{FF2B5EF4-FFF2-40B4-BE49-F238E27FC236}">
                <a16:creationId xmlns:a16="http://schemas.microsoft.com/office/drawing/2014/main" id="{690A227F-53AC-B9C5-0172-3C5794670BB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xdr:col>
      <xdr:colOff>148504</xdr:colOff>
      <xdr:row>163</xdr:row>
      <xdr:rowOff>100422</xdr:rowOff>
    </xdr:from>
    <xdr:to>
      <xdr:col>23</xdr:col>
      <xdr:colOff>95134</xdr:colOff>
      <xdr:row>163</xdr:row>
      <xdr:rowOff>101867</xdr:rowOff>
    </xdr:to>
    <xdr:cxnSp macro="">
      <xdr:nvCxnSpPr>
        <xdr:cNvPr id="90" name="直線矢印コネクタ 89">
          <a:extLst>
            <a:ext uri="{FF2B5EF4-FFF2-40B4-BE49-F238E27FC236}">
              <a16:creationId xmlns:a16="http://schemas.microsoft.com/office/drawing/2014/main" id="{13E8919C-1CF3-4C10-8227-A882F19D9015}"/>
            </a:ext>
          </a:extLst>
        </xdr:cNvPr>
        <xdr:cNvCxnSpPr>
          <a:stCxn id="45" idx="3"/>
          <a:endCxn id="54" idx="2"/>
        </xdr:cNvCxnSpPr>
      </xdr:nvCxnSpPr>
      <xdr:spPr>
        <a:xfrm flipV="1">
          <a:off x="1267692" y="27341922"/>
          <a:ext cx="1732567" cy="144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130969</xdr:colOff>
      <xdr:row>167</xdr:row>
      <xdr:rowOff>129371</xdr:rowOff>
    </xdr:from>
    <xdr:to>
      <xdr:col>14</xdr:col>
      <xdr:colOff>29369</xdr:colOff>
      <xdr:row>170</xdr:row>
      <xdr:rowOff>129091</xdr:rowOff>
    </xdr:to>
    <xdr:grpSp>
      <xdr:nvGrpSpPr>
        <xdr:cNvPr id="94" name="グループ化 93">
          <a:extLst>
            <a:ext uri="{FF2B5EF4-FFF2-40B4-BE49-F238E27FC236}">
              <a16:creationId xmlns:a16="http://schemas.microsoft.com/office/drawing/2014/main" id="{F509648C-5A1F-4540-B601-D03A2239C7B1}"/>
            </a:ext>
          </a:extLst>
        </xdr:cNvPr>
        <xdr:cNvGrpSpPr/>
      </xdr:nvGrpSpPr>
      <xdr:grpSpPr>
        <a:xfrm>
          <a:off x="1626394" y="28799621"/>
          <a:ext cx="984250" cy="514070"/>
          <a:chOff x="1604016" y="2445245"/>
          <a:chExt cx="933032" cy="400203"/>
        </a:xfrm>
      </xdr:grpSpPr>
      <xdr:sp macro="" textlink="">
        <xdr:nvSpPr>
          <xdr:cNvPr id="103" name="フローチャート: 定義済み処理 102">
            <a:extLst>
              <a:ext uri="{FF2B5EF4-FFF2-40B4-BE49-F238E27FC236}">
                <a16:creationId xmlns:a16="http://schemas.microsoft.com/office/drawing/2014/main" id="{93421DBC-B78D-41A6-2366-E93BDFF4F99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0" name="正方形/長方形 109">
            <a:extLst>
              <a:ext uri="{FF2B5EF4-FFF2-40B4-BE49-F238E27FC236}">
                <a16:creationId xmlns:a16="http://schemas.microsoft.com/office/drawing/2014/main" id="{A6547467-9CFC-84DC-068F-13E22412F3AF}"/>
              </a:ext>
            </a:extLst>
          </xdr:cNvPr>
          <xdr:cNvSpPr/>
        </xdr:nvSpPr>
        <xdr:spPr>
          <a:xfrm>
            <a:off x="1604016" y="244524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２．承認</a:t>
            </a:r>
            <a:endParaRPr kumimoji="1" lang="en-US" altLang="ja-JP" sz="900"/>
          </a:p>
        </xdr:txBody>
      </xdr:sp>
    </xdr:grpSp>
    <xdr:clientData/>
  </xdr:twoCellAnchor>
  <xdr:twoCellAnchor>
    <xdr:from>
      <xdr:col>23</xdr:col>
      <xdr:colOff>0</xdr:colOff>
      <xdr:row>167</xdr:row>
      <xdr:rowOff>91273</xdr:rowOff>
    </xdr:from>
    <xdr:to>
      <xdr:col>28</xdr:col>
      <xdr:colOff>9150</xdr:colOff>
      <xdr:row>171</xdr:row>
      <xdr:rowOff>72123</xdr:rowOff>
    </xdr:to>
    <xdr:grpSp>
      <xdr:nvGrpSpPr>
        <xdr:cNvPr id="111" name="グループ化 110">
          <a:extLst>
            <a:ext uri="{FF2B5EF4-FFF2-40B4-BE49-F238E27FC236}">
              <a16:creationId xmlns:a16="http://schemas.microsoft.com/office/drawing/2014/main" id="{415088AE-081C-4E6E-044F-ED756A129B8A}"/>
            </a:ext>
          </a:extLst>
        </xdr:cNvPr>
        <xdr:cNvGrpSpPr/>
      </xdr:nvGrpSpPr>
      <xdr:grpSpPr>
        <a:xfrm>
          <a:off x="4210050" y="28761523"/>
          <a:ext cx="914025" cy="666650"/>
          <a:chOff x="7111999" y="2892425"/>
          <a:chExt cx="873125" cy="584982"/>
        </a:xfrm>
      </xdr:grpSpPr>
      <xdr:sp macro="" textlink="">
        <xdr:nvSpPr>
          <xdr:cNvPr id="112" name="フローチャート: 磁気ディスク 111">
            <a:extLst>
              <a:ext uri="{FF2B5EF4-FFF2-40B4-BE49-F238E27FC236}">
                <a16:creationId xmlns:a16="http://schemas.microsoft.com/office/drawing/2014/main" id="{50566AB3-DD81-6CBB-C052-804BC2962E5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3" name="正方形/長方形 112">
            <a:extLst>
              <a:ext uri="{FF2B5EF4-FFF2-40B4-BE49-F238E27FC236}">
                <a16:creationId xmlns:a16="http://schemas.microsoft.com/office/drawing/2014/main" id="{7342FE11-4E70-F3A6-7324-F616F24F384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13</xdr:col>
      <xdr:colOff>171423</xdr:colOff>
      <xdr:row>169</xdr:row>
      <xdr:rowOff>45174</xdr:rowOff>
    </xdr:from>
    <xdr:to>
      <xdr:col>23</xdr:col>
      <xdr:colOff>95134</xdr:colOff>
      <xdr:row>169</xdr:row>
      <xdr:rowOff>54904</xdr:rowOff>
    </xdr:to>
    <xdr:cxnSp macro="">
      <xdr:nvCxnSpPr>
        <xdr:cNvPr id="114" name="直線矢印コネクタ 113">
          <a:extLst>
            <a:ext uri="{FF2B5EF4-FFF2-40B4-BE49-F238E27FC236}">
              <a16:creationId xmlns:a16="http://schemas.microsoft.com/office/drawing/2014/main" id="{7F771D76-4B09-4698-9057-6540C05FAF4A}"/>
            </a:ext>
          </a:extLst>
        </xdr:cNvPr>
        <xdr:cNvCxnSpPr>
          <a:stCxn id="103" idx="3"/>
          <a:endCxn id="112" idx="2"/>
        </xdr:cNvCxnSpPr>
      </xdr:nvCxnSpPr>
      <xdr:spPr>
        <a:xfrm>
          <a:off x="2540767" y="31453862"/>
          <a:ext cx="1709648" cy="973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83345</xdr:colOff>
      <xdr:row>143</xdr:row>
      <xdr:rowOff>32945</xdr:rowOff>
    </xdr:from>
    <xdr:to>
      <xdr:col>8</xdr:col>
      <xdr:colOff>53709</xdr:colOff>
      <xdr:row>146</xdr:row>
      <xdr:rowOff>36369</xdr:rowOff>
    </xdr:to>
    <xdr:grpSp>
      <xdr:nvGrpSpPr>
        <xdr:cNvPr id="238" name="グループ化 120">
          <a:extLst>
            <a:ext uri="{FF2B5EF4-FFF2-40B4-BE49-F238E27FC236}">
              <a16:creationId xmlns:a16="http://schemas.microsoft.com/office/drawing/2014/main" id="{EB8EBE1C-3C67-49C9-8A7A-47623B0B4255}"/>
            </a:ext>
          </a:extLst>
        </xdr:cNvPr>
        <xdr:cNvGrpSpPr/>
      </xdr:nvGrpSpPr>
      <xdr:grpSpPr>
        <a:xfrm>
          <a:off x="264320" y="24588395"/>
          <a:ext cx="1284814" cy="517774"/>
          <a:chOff x="155033" y="4845050"/>
          <a:chExt cx="1291748" cy="503338"/>
        </a:xfrm>
      </xdr:grpSpPr>
      <xdr:sp macro="" textlink="">
        <xdr:nvSpPr>
          <xdr:cNvPr id="239" name="フローチャート: 判断 192">
            <a:extLst>
              <a:ext uri="{FF2B5EF4-FFF2-40B4-BE49-F238E27FC236}">
                <a16:creationId xmlns:a16="http://schemas.microsoft.com/office/drawing/2014/main" id="{C8BFD062-6A42-4CA4-6360-D266FF1DC070}"/>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40" name="正方形/長方形 48">
            <a:extLst>
              <a:ext uri="{FF2B5EF4-FFF2-40B4-BE49-F238E27FC236}">
                <a16:creationId xmlns:a16="http://schemas.microsoft.com/office/drawing/2014/main" id="{A514D213-7C49-4030-5C61-44CEA3300638}"/>
              </a:ext>
            </a:extLst>
          </xdr:cNvPr>
          <xdr:cNvSpPr/>
        </xdr:nvSpPr>
        <xdr:spPr>
          <a:xfrm>
            <a:off x="155033" y="4847826"/>
            <a:ext cx="1291748" cy="5005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外貨送金で</a:t>
            </a:r>
            <a:endParaRPr kumimoji="1" lang="en-US" altLang="ja-JP" sz="900"/>
          </a:p>
          <a:p>
            <a:pPr algn="ctr"/>
            <a:r>
              <a:rPr kumimoji="1" lang="ja-JP" altLang="en-US" sz="900"/>
              <a:t>円口座での支払か？</a:t>
            </a:r>
            <a:endParaRPr kumimoji="1" lang="en-US" altLang="ja-JP" sz="900"/>
          </a:p>
        </xdr:txBody>
      </xdr:sp>
    </xdr:grpSp>
    <xdr:clientData/>
  </xdr:twoCellAnchor>
  <xdr:twoCellAnchor>
    <xdr:from>
      <xdr:col>7</xdr:col>
      <xdr:colOff>622</xdr:colOff>
      <xdr:row>144</xdr:row>
      <xdr:rowOff>109172</xdr:rowOff>
    </xdr:from>
    <xdr:to>
      <xdr:col>11</xdr:col>
      <xdr:colOff>50683</xdr:colOff>
      <xdr:row>150</xdr:row>
      <xdr:rowOff>74983</xdr:rowOff>
    </xdr:to>
    <xdr:cxnSp macro="">
      <xdr:nvCxnSpPr>
        <xdr:cNvPr id="195" name="コネクタ: カギ線 194">
          <a:extLst>
            <a:ext uri="{FF2B5EF4-FFF2-40B4-BE49-F238E27FC236}">
              <a16:creationId xmlns:a16="http://schemas.microsoft.com/office/drawing/2014/main" id="{9CA911A1-D2E7-48ED-84F7-F326D1C43C8F}"/>
            </a:ext>
          </a:extLst>
        </xdr:cNvPr>
        <xdr:cNvCxnSpPr>
          <a:stCxn id="193" idx="3"/>
          <a:endCxn id="203" idx="0"/>
        </xdr:cNvCxnSpPr>
      </xdr:nvCxnSpPr>
      <xdr:spPr>
        <a:xfrm>
          <a:off x="1298403" y="24183610"/>
          <a:ext cx="764436" cy="965936"/>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44450</xdr:colOff>
      <xdr:row>150</xdr:row>
      <xdr:rowOff>0</xdr:rowOff>
    </xdr:from>
    <xdr:to>
      <xdr:col>14</xdr:col>
      <xdr:colOff>60137</xdr:colOff>
      <xdr:row>153</xdr:row>
      <xdr:rowOff>9432</xdr:rowOff>
    </xdr:to>
    <xdr:grpSp>
      <xdr:nvGrpSpPr>
        <xdr:cNvPr id="202" name="グループ化 201">
          <a:extLst>
            <a:ext uri="{FF2B5EF4-FFF2-40B4-BE49-F238E27FC236}">
              <a16:creationId xmlns:a16="http://schemas.microsoft.com/office/drawing/2014/main" id="{0FF81033-2FDF-4AB0-8F5F-A099951DE3E9}"/>
            </a:ext>
          </a:extLst>
        </xdr:cNvPr>
        <xdr:cNvGrpSpPr/>
      </xdr:nvGrpSpPr>
      <xdr:grpSpPr>
        <a:xfrm>
          <a:off x="1539875" y="25755600"/>
          <a:ext cx="1101537" cy="523782"/>
          <a:chOff x="217092" y="5701906"/>
          <a:chExt cx="1153558" cy="542012"/>
        </a:xfrm>
      </xdr:grpSpPr>
      <xdr:sp macro="" textlink="">
        <xdr:nvSpPr>
          <xdr:cNvPr id="203" name="フローチャート: 他ページ結合子 202">
            <a:extLst>
              <a:ext uri="{FF2B5EF4-FFF2-40B4-BE49-F238E27FC236}">
                <a16:creationId xmlns:a16="http://schemas.microsoft.com/office/drawing/2014/main" id="{30AE223F-2C2B-CFD1-2E5E-7BACF8B814BF}"/>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4" name="正方形/長方形 48">
            <a:extLst>
              <a:ext uri="{FF2B5EF4-FFF2-40B4-BE49-F238E27FC236}">
                <a16:creationId xmlns:a16="http://schemas.microsoft.com/office/drawing/2014/main" id="{87E30A7F-4D24-EDA6-38B9-7CD24BD69B71}"/>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２．為替差損益の調整仕訳登録</a:t>
            </a:r>
          </a:p>
        </xdr:txBody>
      </xdr:sp>
    </xdr:grpSp>
    <xdr:clientData/>
  </xdr:twoCellAnchor>
  <xdr:twoCellAnchor>
    <xdr:from>
      <xdr:col>4</xdr:col>
      <xdr:colOff>119472</xdr:colOff>
      <xdr:row>146</xdr:row>
      <xdr:rowOff>21886</xdr:rowOff>
    </xdr:from>
    <xdr:to>
      <xdr:col>4</xdr:col>
      <xdr:colOff>123920</xdr:colOff>
      <xdr:row>151</xdr:row>
      <xdr:rowOff>36196</xdr:rowOff>
    </xdr:to>
    <xdr:cxnSp macro="">
      <xdr:nvCxnSpPr>
        <xdr:cNvPr id="206" name="直線矢印コネクタ 27">
          <a:extLst>
            <a:ext uri="{FF2B5EF4-FFF2-40B4-BE49-F238E27FC236}">
              <a16:creationId xmlns:a16="http://schemas.microsoft.com/office/drawing/2014/main" id="{FD6EE0DC-9FCA-4BAA-A37F-DE161D69C8FF}"/>
            </a:ext>
          </a:extLst>
        </xdr:cNvPr>
        <xdr:cNvCxnSpPr>
          <a:cxnSpLocks/>
          <a:stCxn id="193" idx="2"/>
          <a:endCxn id="66" idx="0"/>
        </xdr:cNvCxnSpPr>
      </xdr:nvCxnSpPr>
      <xdr:spPr>
        <a:xfrm flipH="1">
          <a:off x="881472" y="24429699"/>
          <a:ext cx="4448" cy="84774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214312</xdr:colOff>
      <xdr:row>147</xdr:row>
      <xdr:rowOff>0</xdr:rowOff>
    </xdr:from>
    <xdr:to>
      <xdr:col>5</xdr:col>
      <xdr:colOff>15611</xdr:colOff>
      <xdr:row>148</xdr:row>
      <xdr:rowOff>76065</xdr:rowOff>
    </xdr:to>
    <xdr:sp macro="" textlink="">
      <xdr:nvSpPr>
        <xdr:cNvPr id="209" name="テキスト ボックス 208">
          <a:extLst>
            <a:ext uri="{FF2B5EF4-FFF2-40B4-BE49-F238E27FC236}">
              <a16:creationId xmlns:a16="http://schemas.microsoft.com/office/drawing/2014/main" id="{9D097605-2510-43F7-8AAE-4CF0A7D1D445}"/>
            </a:ext>
          </a:extLst>
        </xdr:cNvPr>
        <xdr:cNvSpPr txBox="1"/>
      </xdr:nvSpPr>
      <xdr:spPr>
        <a:xfrm>
          <a:off x="392906" y="24574500"/>
          <a:ext cx="563299" cy="242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8</xdr:col>
      <xdr:colOff>74612</xdr:colOff>
      <xdr:row>142</xdr:row>
      <xdr:rowOff>154781</xdr:rowOff>
    </xdr:from>
    <xdr:to>
      <xdr:col>11</xdr:col>
      <xdr:colOff>95780</xdr:colOff>
      <xdr:row>144</xdr:row>
      <xdr:rowOff>64159</xdr:rowOff>
    </xdr:to>
    <xdr:sp macro="" textlink="">
      <xdr:nvSpPr>
        <xdr:cNvPr id="210" name="テキスト ボックス 209">
          <a:extLst>
            <a:ext uri="{FF2B5EF4-FFF2-40B4-BE49-F238E27FC236}">
              <a16:creationId xmlns:a16="http://schemas.microsoft.com/office/drawing/2014/main" id="{F32239F0-0271-96A7-30C5-9F8A2ACBBD80}"/>
            </a:ext>
          </a:extLst>
        </xdr:cNvPr>
        <xdr:cNvSpPr txBox="1"/>
      </xdr:nvSpPr>
      <xdr:spPr>
        <a:xfrm>
          <a:off x="1550987" y="23895844"/>
          <a:ext cx="556949" cy="242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xdr:col>
      <xdr:colOff>103981</xdr:colOff>
      <xdr:row>157</xdr:row>
      <xdr:rowOff>35720</xdr:rowOff>
    </xdr:from>
    <xdr:to>
      <xdr:col>9</xdr:col>
      <xdr:colOff>59531</xdr:colOff>
      <xdr:row>160</xdr:row>
      <xdr:rowOff>45151</xdr:rowOff>
    </xdr:to>
    <xdr:grpSp>
      <xdr:nvGrpSpPr>
        <xdr:cNvPr id="211" name="グループ化 210">
          <a:extLst>
            <a:ext uri="{FF2B5EF4-FFF2-40B4-BE49-F238E27FC236}">
              <a16:creationId xmlns:a16="http://schemas.microsoft.com/office/drawing/2014/main" id="{E3880826-DB7D-45FC-B114-DF10FDFAB655}"/>
            </a:ext>
          </a:extLst>
        </xdr:cNvPr>
        <xdr:cNvGrpSpPr/>
      </xdr:nvGrpSpPr>
      <xdr:grpSpPr>
        <a:xfrm>
          <a:off x="284956" y="26991470"/>
          <a:ext cx="1450975" cy="523781"/>
          <a:chOff x="217092" y="5701906"/>
          <a:chExt cx="1523703" cy="542012"/>
        </a:xfrm>
      </xdr:grpSpPr>
      <xdr:sp macro="" textlink="">
        <xdr:nvSpPr>
          <xdr:cNvPr id="212" name="フローチャート: 他ページ結合子 211">
            <a:extLst>
              <a:ext uri="{FF2B5EF4-FFF2-40B4-BE49-F238E27FC236}">
                <a16:creationId xmlns:a16="http://schemas.microsoft.com/office/drawing/2014/main" id="{41FBB24C-C81C-BC6B-DA75-5CC403784F8E}"/>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13" name="正方形/長方形 48">
            <a:extLst>
              <a:ext uri="{FF2B5EF4-FFF2-40B4-BE49-F238E27FC236}">
                <a16:creationId xmlns:a16="http://schemas.microsoft.com/office/drawing/2014/main" id="{2C0DF8AB-F10A-F469-86E8-5F386F6A7121}"/>
              </a:ext>
            </a:extLst>
          </xdr:cNvPr>
          <xdr:cNvSpPr/>
        </xdr:nvSpPr>
        <xdr:spPr>
          <a:xfrm>
            <a:off x="217092" y="5701906"/>
            <a:ext cx="1523703"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１．支払（銀行振込、海外送金、小切手）</a:t>
            </a:r>
          </a:p>
        </xdr:txBody>
      </xdr:sp>
    </xdr:grpSp>
    <xdr:clientData/>
  </xdr:twoCellAnchor>
  <xdr:twoCellAnchor>
    <xdr:from>
      <xdr:col>4</xdr:col>
      <xdr:colOff>62983</xdr:colOff>
      <xdr:row>160</xdr:row>
      <xdr:rowOff>31544</xdr:rowOff>
    </xdr:from>
    <xdr:to>
      <xdr:col>4</xdr:col>
      <xdr:colOff>68291</xdr:colOff>
      <xdr:row>162</xdr:row>
      <xdr:rowOff>37045</xdr:rowOff>
    </xdr:to>
    <xdr:cxnSp macro="">
      <xdr:nvCxnSpPr>
        <xdr:cNvPr id="214" name="直線矢印コネクタ 27">
          <a:extLst>
            <a:ext uri="{FF2B5EF4-FFF2-40B4-BE49-F238E27FC236}">
              <a16:creationId xmlns:a16="http://schemas.microsoft.com/office/drawing/2014/main" id="{1EFC5CAE-6578-460E-89E2-F2468200443F}"/>
            </a:ext>
          </a:extLst>
        </xdr:cNvPr>
        <xdr:cNvCxnSpPr>
          <a:cxnSpLocks/>
          <a:stCxn id="212" idx="2"/>
          <a:endCxn id="45" idx="0"/>
        </xdr:cNvCxnSpPr>
      </xdr:nvCxnSpPr>
      <xdr:spPr>
        <a:xfrm>
          <a:off x="824983" y="26772982"/>
          <a:ext cx="5308" cy="3388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69835</xdr:colOff>
      <xdr:row>165</xdr:row>
      <xdr:rowOff>1</xdr:rowOff>
    </xdr:from>
    <xdr:to>
      <xdr:col>11</xdr:col>
      <xdr:colOff>102825</xdr:colOff>
      <xdr:row>167</xdr:row>
      <xdr:rowOff>144613</xdr:rowOff>
    </xdr:to>
    <xdr:cxnSp macro="">
      <xdr:nvCxnSpPr>
        <xdr:cNvPr id="217" name="コネクタ: カギ線 216">
          <a:extLst>
            <a:ext uri="{FF2B5EF4-FFF2-40B4-BE49-F238E27FC236}">
              <a16:creationId xmlns:a16="http://schemas.microsoft.com/office/drawing/2014/main" id="{2FD6C7B6-FBE1-4B19-A15C-37339B988638}"/>
            </a:ext>
          </a:extLst>
        </xdr:cNvPr>
        <xdr:cNvCxnSpPr>
          <a:stCxn id="45" idx="2"/>
          <a:endCxn id="103" idx="0"/>
        </xdr:cNvCxnSpPr>
      </xdr:nvCxnSpPr>
      <xdr:spPr>
        <a:xfrm rot="16200000" flipH="1">
          <a:off x="-349117" y="28755828"/>
          <a:ext cx="3645050" cy="128314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173</xdr:row>
      <xdr:rowOff>54758</xdr:rowOff>
    </xdr:from>
    <xdr:to>
      <xdr:col>21</xdr:col>
      <xdr:colOff>73819</xdr:colOff>
      <xdr:row>176</xdr:row>
      <xdr:rowOff>54478</xdr:rowOff>
    </xdr:to>
    <xdr:grpSp>
      <xdr:nvGrpSpPr>
        <xdr:cNvPr id="220" name="グループ化 219">
          <a:extLst>
            <a:ext uri="{FF2B5EF4-FFF2-40B4-BE49-F238E27FC236}">
              <a16:creationId xmlns:a16="http://schemas.microsoft.com/office/drawing/2014/main" id="{F8F43DC7-7B16-4294-DC60-CE28CCC9A25C}"/>
            </a:ext>
          </a:extLst>
        </xdr:cNvPr>
        <xdr:cNvGrpSpPr/>
      </xdr:nvGrpSpPr>
      <xdr:grpSpPr>
        <a:xfrm>
          <a:off x="2943225" y="29753708"/>
          <a:ext cx="978694" cy="514070"/>
          <a:chOff x="1604016" y="2445245"/>
          <a:chExt cx="933032" cy="400203"/>
        </a:xfrm>
      </xdr:grpSpPr>
      <xdr:sp macro="" textlink="">
        <xdr:nvSpPr>
          <xdr:cNvPr id="221" name="フローチャート: 定義済み処理 220">
            <a:extLst>
              <a:ext uri="{FF2B5EF4-FFF2-40B4-BE49-F238E27FC236}">
                <a16:creationId xmlns:a16="http://schemas.microsoft.com/office/drawing/2014/main" id="{DEF6D9D6-00C4-46E8-2FFC-D0C8A880E57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2" name="正方形/長方形 221">
            <a:extLst>
              <a:ext uri="{FF2B5EF4-FFF2-40B4-BE49-F238E27FC236}">
                <a16:creationId xmlns:a16="http://schemas.microsoft.com/office/drawing/2014/main" id="{DAA397F1-77CA-1EAF-F913-AA98D6EC7F9B}"/>
              </a:ext>
            </a:extLst>
          </xdr:cNvPr>
          <xdr:cNvSpPr/>
        </xdr:nvSpPr>
        <xdr:spPr>
          <a:xfrm>
            <a:off x="1604016" y="244524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．自動転記バッチ</a:t>
            </a:r>
            <a:endParaRPr kumimoji="1" lang="en-US" altLang="ja-JP" sz="900"/>
          </a:p>
        </xdr:txBody>
      </xdr:sp>
    </xdr:grpSp>
    <xdr:clientData/>
  </xdr:twoCellAnchor>
  <xdr:twoCellAnchor>
    <xdr:from>
      <xdr:col>11</xdr:col>
      <xdr:colOff>101163</xdr:colOff>
      <xdr:row>170</xdr:row>
      <xdr:rowOff>109247</xdr:rowOff>
    </xdr:from>
    <xdr:to>
      <xdr:col>18</xdr:col>
      <xdr:colOff>148787</xdr:colOff>
      <xdr:row>173</xdr:row>
      <xdr:rowOff>70000</xdr:rowOff>
    </xdr:to>
    <xdr:cxnSp macro="">
      <xdr:nvCxnSpPr>
        <xdr:cNvPr id="225" name="コネクタ: カギ線 224">
          <a:extLst>
            <a:ext uri="{FF2B5EF4-FFF2-40B4-BE49-F238E27FC236}">
              <a16:creationId xmlns:a16="http://schemas.microsoft.com/office/drawing/2014/main" id="{849557AC-422E-4B3A-8786-CCC6DBD74EEB}"/>
            </a:ext>
          </a:extLst>
        </xdr:cNvPr>
        <xdr:cNvCxnSpPr>
          <a:stCxn id="103" idx="2"/>
          <a:endCxn id="221" idx="0"/>
        </xdr:cNvCxnSpPr>
      </xdr:nvCxnSpPr>
      <xdr:spPr>
        <a:xfrm rot="16200000" flipH="1">
          <a:off x="2531802" y="31266139"/>
          <a:ext cx="460816" cy="129778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172</xdr:row>
      <xdr:rowOff>165090</xdr:rowOff>
    </xdr:from>
    <xdr:to>
      <xdr:col>28</xdr:col>
      <xdr:colOff>9150</xdr:colOff>
      <xdr:row>176</xdr:row>
      <xdr:rowOff>142765</xdr:rowOff>
    </xdr:to>
    <xdr:grpSp>
      <xdr:nvGrpSpPr>
        <xdr:cNvPr id="231" name="グループ化 230">
          <a:extLst>
            <a:ext uri="{FF2B5EF4-FFF2-40B4-BE49-F238E27FC236}">
              <a16:creationId xmlns:a16="http://schemas.microsoft.com/office/drawing/2014/main" id="{DF2C4C3E-A472-D421-B7F3-0EB093AF3919}"/>
            </a:ext>
          </a:extLst>
        </xdr:cNvPr>
        <xdr:cNvGrpSpPr/>
      </xdr:nvGrpSpPr>
      <xdr:grpSpPr>
        <a:xfrm>
          <a:off x="4210050" y="29692590"/>
          <a:ext cx="914025" cy="663475"/>
          <a:chOff x="7111999" y="2892425"/>
          <a:chExt cx="873125" cy="584982"/>
        </a:xfrm>
      </xdr:grpSpPr>
      <xdr:sp macro="" textlink="">
        <xdr:nvSpPr>
          <xdr:cNvPr id="232" name="フローチャート: 磁気ディスク 231">
            <a:extLst>
              <a:ext uri="{FF2B5EF4-FFF2-40B4-BE49-F238E27FC236}">
                <a16:creationId xmlns:a16="http://schemas.microsoft.com/office/drawing/2014/main" id="{03543638-A706-1A73-7F2F-ECFCFD95535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3" name="正方形/長方形 232">
            <a:extLst>
              <a:ext uri="{FF2B5EF4-FFF2-40B4-BE49-F238E27FC236}">
                <a16:creationId xmlns:a16="http://schemas.microsoft.com/office/drawing/2014/main" id="{B828E9F2-7EF6-DA8C-D544-4B902FD158C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21</xdr:col>
      <xdr:colOff>37400</xdr:colOff>
      <xdr:row>174</xdr:row>
      <xdr:rowOff>127265</xdr:rowOff>
    </xdr:from>
    <xdr:to>
      <xdr:col>23</xdr:col>
      <xdr:colOff>95134</xdr:colOff>
      <xdr:row>174</xdr:row>
      <xdr:rowOff>137249</xdr:rowOff>
    </xdr:to>
    <xdr:cxnSp macro="">
      <xdr:nvCxnSpPr>
        <xdr:cNvPr id="234" name="直線矢印コネクタ 233">
          <a:extLst>
            <a:ext uri="{FF2B5EF4-FFF2-40B4-BE49-F238E27FC236}">
              <a16:creationId xmlns:a16="http://schemas.microsoft.com/office/drawing/2014/main" id="{AA890AEA-508B-4241-AEF2-9FE1244DB030}"/>
            </a:ext>
          </a:extLst>
        </xdr:cNvPr>
        <xdr:cNvCxnSpPr>
          <a:stCxn id="221" idx="3"/>
          <a:endCxn id="232" idx="2"/>
        </xdr:cNvCxnSpPr>
      </xdr:nvCxnSpPr>
      <xdr:spPr>
        <a:xfrm flipV="1">
          <a:off x="3835494" y="32369390"/>
          <a:ext cx="414921" cy="998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175419</xdr:colOff>
      <xdr:row>195</xdr:row>
      <xdr:rowOff>38893</xdr:rowOff>
    </xdr:from>
    <xdr:to>
      <xdr:col>20</xdr:col>
      <xdr:colOff>73185</xdr:colOff>
      <xdr:row>196</xdr:row>
      <xdr:rowOff>113822</xdr:rowOff>
    </xdr:to>
    <xdr:sp macro="" textlink="">
      <xdr:nvSpPr>
        <xdr:cNvPr id="2" name="フローチャート: 端子 1">
          <a:extLst>
            <a:ext uri="{FF2B5EF4-FFF2-40B4-BE49-F238E27FC236}">
              <a16:creationId xmlns:a16="http://schemas.microsoft.com/office/drawing/2014/main" id="{1BE1D456-D671-4896-A767-806C3703B612}"/>
            </a:ext>
          </a:extLst>
        </xdr:cNvPr>
        <xdr:cNvSpPr/>
      </xdr:nvSpPr>
      <xdr:spPr>
        <a:xfrm>
          <a:off x="3080544" y="32614393"/>
          <a:ext cx="612141" cy="24161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18</xdr:col>
      <xdr:colOff>125889</xdr:colOff>
      <xdr:row>176</xdr:row>
      <xdr:rowOff>37809</xdr:rowOff>
    </xdr:from>
    <xdr:to>
      <xdr:col>18</xdr:col>
      <xdr:colOff>148788</xdr:colOff>
      <xdr:row>195</xdr:row>
      <xdr:rowOff>38893</xdr:rowOff>
    </xdr:to>
    <xdr:cxnSp macro="">
      <xdr:nvCxnSpPr>
        <xdr:cNvPr id="3" name="直線矢印コネクタ 27">
          <a:extLst>
            <a:ext uri="{FF2B5EF4-FFF2-40B4-BE49-F238E27FC236}">
              <a16:creationId xmlns:a16="http://schemas.microsoft.com/office/drawing/2014/main" id="{82742757-D891-46FA-8D39-7DD7DE4D36B4}"/>
            </a:ext>
          </a:extLst>
        </xdr:cNvPr>
        <xdr:cNvCxnSpPr>
          <a:cxnSpLocks/>
          <a:stCxn id="221" idx="2"/>
          <a:endCxn id="2" idx="0"/>
        </xdr:cNvCxnSpPr>
      </xdr:nvCxnSpPr>
      <xdr:spPr>
        <a:xfrm flipH="1">
          <a:off x="3388202" y="29446247"/>
          <a:ext cx="22899" cy="316814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78432</xdr:colOff>
      <xdr:row>23</xdr:row>
      <xdr:rowOff>9515</xdr:rowOff>
    </xdr:from>
    <xdr:to>
      <xdr:col>4</xdr:col>
      <xdr:colOff>78433</xdr:colOff>
      <xdr:row>27</xdr:row>
      <xdr:rowOff>77310</xdr:rowOff>
    </xdr:to>
    <xdr:cxnSp macro="">
      <xdr:nvCxnSpPr>
        <xdr:cNvPr id="6" name="直線矢印コネクタ 27">
          <a:extLst>
            <a:ext uri="{FF2B5EF4-FFF2-40B4-BE49-F238E27FC236}">
              <a16:creationId xmlns:a16="http://schemas.microsoft.com/office/drawing/2014/main" id="{32D06F0B-E94E-4C2E-8A52-8E38CE9E5D77}"/>
            </a:ext>
          </a:extLst>
        </xdr:cNvPr>
        <xdr:cNvCxnSpPr>
          <a:cxnSpLocks/>
          <a:stCxn id="12" idx="2"/>
          <a:endCxn id="15" idx="0"/>
        </xdr:cNvCxnSpPr>
      </xdr:nvCxnSpPr>
      <xdr:spPr>
        <a:xfrm>
          <a:off x="6479232" y="14985990"/>
          <a:ext cx="1" cy="5789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146116</xdr:colOff>
      <xdr:row>20</xdr:row>
      <xdr:rowOff>46559</xdr:rowOff>
    </xdr:from>
    <xdr:to>
      <xdr:col>7</xdr:col>
      <xdr:colOff>21695</xdr:colOff>
      <xdr:row>23</xdr:row>
      <xdr:rowOff>46118</xdr:rowOff>
    </xdr:to>
    <xdr:grpSp>
      <xdr:nvGrpSpPr>
        <xdr:cNvPr id="11" name="グループ化 10">
          <a:extLst>
            <a:ext uri="{FF2B5EF4-FFF2-40B4-BE49-F238E27FC236}">
              <a16:creationId xmlns:a16="http://schemas.microsoft.com/office/drawing/2014/main" id="{29127445-1412-4B55-9414-478B8F6E88DA}"/>
            </a:ext>
          </a:extLst>
        </xdr:cNvPr>
        <xdr:cNvGrpSpPr/>
      </xdr:nvGrpSpPr>
      <xdr:grpSpPr>
        <a:xfrm>
          <a:off x="327091" y="3504134"/>
          <a:ext cx="961429" cy="513909"/>
          <a:chOff x="1631877" y="2457450"/>
          <a:chExt cx="933032" cy="401392"/>
        </a:xfrm>
      </xdr:grpSpPr>
      <xdr:sp macro="" textlink="">
        <xdr:nvSpPr>
          <xdr:cNvPr id="12" name="フローチャート: 定義済み処理 11">
            <a:extLst>
              <a:ext uri="{FF2B5EF4-FFF2-40B4-BE49-F238E27FC236}">
                <a16:creationId xmlns:a16="http://schemas.microsoft.com/office/drawing/2014/main" id="{EA3CEEA1-E390-EC07-4BB0-935EE00537C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 name="正方形/長方形 12">
            <a:extLst>
              <a:ext uri="{FF2B5EF4-FFF2-40B4-BE49-F238E27FC236}">
                <a16:creationId xmlns:a16="http://schemas.microsoft.com/office/drawing/2014/main" id="{2ECCC8C4-619B-EC26-17E3-B888128769CE}"/>
              </a:ext>
            </a:extLst>
          </xdr:cNvPr>
          <xdr:cNvSpPr/>
        </xdr:nvSpPr>
        <xdr:spPr>
          <a:xfrm>
            <a:off x="1631877" y="2458639"/>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１．債務データ</a:t>
            </a:r>
            <a:endParaRPr kumimoji="1" lang="en-US" altLang="ja-JP" sz="900"/>
          </a:p>
          <a:p>
            <a:pPr algn="ctr"/>
            <a:r>
              <a:rPr kumimoji="1" lang="ja-JP" altLang="en-US" sz="900"/>
              <a:t>の紐づけ</a:t>
            </a:r>
            <a:endParaRPr kumimoji="1" lang="en-US" altLang="ja-JP" sz="900"/>
          </a:p>
        </xdr:txBody>
      </xdr:sp>
    </xdr:grpSp>
    <xdr:clientData/>
  </xdr:twoCellAnchor>
  <xdr:twoCellAnchor>
    <xdr:from>
      <xdr:col>1</xdr:col>
      <xdr:colOff>123822</xdr:colOff>
      <xdr:row>27</xdr:row>
      <xdr:rowOff>39677</xdr:rowOff>
    </xdr:from>
    <xdr:to>
      <xdr:col>6</xdr:col>
      <xdr:colOff>197906</xdr:colOff>
      <xdr:row>30</xdr:row>
      <xdr:rowOff>39677</xdr:rowOff>
    </xdr:to>
    <xdr:grpSp>
      <xdr:nvGrpSpPr>
        <xdr:cNvPr id="14" name="グループ化 13">
          <a:extLst>
            <a:ext uri="{FF2B5EF4-FFF2-40B4-BE49-F238E27FC236}">
              <a16:creationId xmlns:a16="http://schemas.microsoft.com/office/drawing/2014/main" id="{2B60B6FB-F1A6-4E04-A772-682CAA6B862E}"/>
            </a:ext>
          </a:extLst>
        </xdr:cNvPr>
        <xdr:cNvGrpSpPr/>
      </xdr:nvGrpSpPr>
      <xdr:grpSpPr>
        <a:xfrm>
          <a:off x="304797" y="4697402"/>
          <a:ext cx="959909" cy="514350"/>
          <a:chOff x="1612900" y="2427475"/>
          <a:chExt cx="933032" cy="404625"/>
        </a:xfrm>
      </xdr:grpSpPr>
      <xdr:sp macro="" textlink="">
        <xdr:nvSpPr>
          <xdr:cNvPr id="15" name="フローチャート: 定義済み処理 14">
            <a:extLst>
              <a:ext uri="{FF2B5EF4-FFF2-40B4-BE49-F238E27FC236}">
                <a16:creationId xmlns:a16="http://schemas.microsoft.com/office/drawing/2014/main" id="{FF0E2A14-2B57-6E5D-CC23-B3D98C41116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 name="正方形/長方形 15">
            <a:extLst>
              <a:ext uri="{FF2B5EF4-FFF2-40B4-BE49-F238E27FC236}">
                <a16:creationId xmlns:a16="http://schemas.microsoft.com/office/drawing/2014/main" id="{A1A6E43C-4194-CF6C-80AB-04490C5009F7}"/>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２．電子記録債務計上承認申請</a:t>
            </a:r>
            <a:endParaRPr kumimoji="1" lang="en-US" altLang="ja-JP" sz="900"/>
          </a:p>
        </xdr:txBody>
      </xdr:sp>
    </xdr:grpSp>
    <xdr:clientData/>
  </xdr:twoCellAnchor>
  <xdr:twoCellAnchor>
    <xdr:from>
      <xdr:col>8</xdr:col>
      <xdr:colOff>20639</xdr:colOff>
      <xdr:row>35</xdr:row>
      <xdr:rowOff>8477</xdr:rowOff>
    </xdr:from>
    <xdr:to>
      <xdr:col>14</xdr:col>
      <xdr:colOff>198703</xdr:colOff>
      <xdr:row>38</xdr:row>
      <xdr:rowOff>11371</xdr:rowOff>
    </xdr:to>
    <xdr:grpSp>
      <xdr:nvGrpSpPr>
        <xdr:cNvPr id="17" name="グループ化 16">
          <a:extLst>
            <a:ext uri="{FF2B5EF4-FFF2-40B4-BE49-F238E27FC236}">
              <a16:creationId xmlns:a16="http://schemas.microsoft.com/office/drawing/2014/main" id="{0FDFD9C8-07E1-4926-A02A-454381F04619}"/>
            </a:ext>
          </a:extLst>
        </xdr:cNvPr>
        <xdr:cNvGrpSpPr/>
      </xdr:nvGrpSpPr>
      <xdr:grpSpPr>
        <a:xfrm>
          <a:off x="1468439" y="6037802"/>
          <a:ext cx="1244864" cy="517244"/>
          <a:chOff x="1518693" y="2445245"/>
          <a:chExt cx="1168180" cy="400203"/>
        </a:xfrm>
      </xdr:grpSpPr>
      <xdr:sp macro="" textlink="">
        <xdr:nvSpPr>
          <xdr:cNvPr id="18" name="フローチャート: 定義済み処理 17">
            <a:extLst>
              <a:ext uri="{FF2B5EF4-FFF2-40B4-BE49-F238E27FC236}">
                <a16:creationId xmlns:a16="http://schemas.microsoft.com/office/drawing/2014/main" id="{3C887463-E464-4453-966C-91D02A60B51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9" name="正方形/長方形 18">
            <a:extLst>
              <a:ext uri="{FF2B5EF4-FFF2-40B4-BE49-F238E27FC236}">
                <a16:creationId xmlns:a16="http://schemas.microsoft.com/office/drawing/2014/main" id="{490B5905-0FCE-FA67-B814-33EE048F364F}"/>
              </a:ext>
            </a:extLst>
          </xdr:cNvPr>
          <xdr:cNvSpPr/>
        </xdr:nvSpPr>
        <xdr:spPr>
          <a:xfrm>
            <a:off x="1518693" y="2445245"/>
            <a:ext cx="1168180"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３．電子記録債務計上承認</a:t>
            </a:r>
            <a:r>
              <a:rPr kumimoji="1" lang="en-US" altLang="ja-JP" sz="900"/>
              <a:t>/</a:t>
            </a:r>
            <a:r>
              <a:rPr kumimoji="1" lang="ja-JP" altLang="en-US" sz="900"/>
              <a:t>変更依頼</a:t>
            </a:r>
            <a:endParaRPr kumimoji="1" lang="en-US" altLang="ja-JP" sz="900"/>
          </a:p>
        </xdr:txBody>
      </xdr:sp>
    </xdr:grpSp>
    <xdr:clientData/>
  </xdr:twoCellAnchor>
  <xdr:twoCellAnchor>
    <xdr:from>
      <xdr:col>16</xdr:col>
      <xdr:colOff>444</xdr:colOff>
      <xdr:row>19</xdr:row>
      <xdr:rowOff>163505</xdr:rowOff>
    </xdr:from>
    <xdr:to>
      <xdr:col>21</xdr:col>
      <xdr:colOff>9594</xdr:colOff>
      <xdr:row>23</xdr:row>
      <xdr:rowOff>134830</xdr:rowOff>
    </xdr:to>
    <xdr:grpSp>
      <xdr:nvGrpSpPr>
        <xdr:cNvPr id="20" name="グループ化 19">
          <a:extLst>
            <a:ext uri="{FF2B5EF4-FFF2-40B4-BE49-F238E27FC236}">
              <a16:creationId xmlns:a16="http://schemas.microsoft.com/office/drawing/2014/main" id="{85D3B2CD-2FC5-42E0-A856-0E4A8DBB5A03}"/>
            </a:ext>
          </a:extLst>
        </xdr:cNvPr>
        <xdr:cNvGrpSpPr/>
      </xdr:nvGrpSpPr>
      <xdr:grpSpPr>
        <a:xfrm>
          <a:off x="2896044" y="3449630"/>
          <a:ext cx="914025" cy="657125"/>
          <a:chOff x="7111999" y="2892425"/>
          <a:chExt cx="873125" cy="584982"/>
        </a:xfrm>
      </xdr:grpSpPr>
      <xdr:sp macro="" textlink="">
        <xdr:nvSpPr>
          <xdr:cNvPr id="21" name="フローチャート: 磁気ディスク 20">
            <a:extLst>
              <a:ext uri="{FF2B5EF4-FFF2-40B4-BE49-F238E27FC236}">
                <a16:creationId xmlns:a16="http://schemas.microsoft.com/office/drawing/2014/main" id="{593DBFAD-9CAE-0DCC-42CB-5E9AF14725C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 name="正方形/長方形 21">
            <a:extLst>
              <a:ext uri="{FF2B5EF4-FFF2-40B4-BE49-F238E27FC236}">
                <a16:creationId xmlns:a16="http://schemas.microsoft.com/office/drawing/2014/main" id="{1DFE30AA-2669-7943-A73E-8A5CEA8A2C6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支払手形仕訳帳の振出</a:t>
            </a:r>
            <a:endParaRPr kumimoji="1" lang="en-US" altLang="ja-JP" sz="900"/>
          </a:p>
        </xdr:txBody>
      </xdr:sp>
    </xdr:grpSp>
    <xdr:clientData/>
  </xdr:twoCellAnchor>
  <xdr:twoCellAnchor>
    <xdr:from>
      <xdr:col>6</xdr:col>
      <xdr:colOff>147261</xdr:colOff>
      <xdr:row>21</xdr:row>
      <xdr:rowOff>116174</xdr:rowOff>
    </xdr:from>
    <xdr:to>
      <xdr:col>16</xdr:col>
      <xdr:colOff>107436</xdr:colOff>
      <xdr:row>21</xdr:row>
      <xdr:rowOff>122330</xdr:rowOff>
    </xdr:to>
    <xdr:cxnSp macro="">
      <xdr:nvCxnSpPr>
        <xdr:cNvPr id="23" name="直線矢印コネクタ 22">
          <a:extLst>
            <a:ext uri="{FF2B5EF4-FFF2-40B4-BE49-F238E27FC236}">
              <a16:creationId xmlns:a16="http://schemas.microsoft.com/office/drawing/2014/main" id="{BE5549B8-48A3-440C-B4D2-C1F8ADEE923A}"/>
            </a:ext>
          </a:extLst>
        </xdr:cNvPr>
        <xdr:cNvCxnSpPr>
          <a:cxnSpLocks/>
          <a:stCxn id="12" idx="3"/>
          <a:endCxn id="21" idx="2"/>
        </xdr:cNvCxnSpPr>
      </xdr:nvCxnSpPr>
      <xdr:spPr>
        <a:xfrm>
          <a:off x="6944936" y="14746574"/>
          <a:ext cx="1960425" cy="933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60323</xdr:colOff>
      <xdr:row>30</xdr:row>
      <xdr:rowOff>34124</xdr:rowOff>
    </xdr:from>
    <xdr:to>
      <xdr:col>11</xdr:col>
      <xdr:colOff>96716</xdr:colOff>
      <xdr:row>35</xdr:row>
      <xdr:rowOff>30214</xdr:rowOff>
    </xdr:to>
    <xdr:cxnSp macro="">
      <xdr:nvCxnSpPr>
        <xdr:cNvPr id="24" name="コネクタ: カギ線 23">
          <a:extLst>
            <a:ext uri="{FF2B5EF4-FFF2-40B4-BE49-F238E27FC236}">
              <a16:creationId xmlns:a16="http://schemas.microsoft.com/office/drawing/2014/main" id="{F3A1CA11-B445-4F4A-B3B1-A23D4A390675}"/>
            </a:ext>
          </a:extLst>
        </xdr:cNvPr>
        <xdr:cNvCxnSpPr>
          <a:cxnSpLocks/>
          <a:stCxn id="16" idx="2"/>
          <a:endCxn id="18" idx="0"/>
        </xdr:cNvCxnSpPr>
      </xdr:nvCxnSpPr>
      <xdr:spPr>
        <a:xfrm rot="16200000" flipH="1">
          <a:off x="6752737" y="15741335"/>
          <a:ext cx="853340" cy="143656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161918</xdr:colOff>
      <xdr:row>41</xdr:row>
      <xdr:rowOff>125411</xdr:rowOff>
    </xdr:from>
    <xdr:to>
      <xdr:col>14</xdr:col>
      <xdr:colOff>36506</xdr:colOff>
      <xdr:row>45</xdr:row>
      <xdr:rowOff>103186</xdr:rowOff>
    </xdr:to>
    <xdr:grpSp>
      <xdr:nvGrpSpPr>
        <xdr:cNvPr id="25" name="グループ化 24">
          <a:extLst>
            <a:ext uri="{FF2B5EF4-FFF2-40B4-BE49-F238E27FC236}">
              <a16:creationId xmlns:a16="http://schemas.microsoft.com/office/drawing/2014/main" id="{CDD3B6B0-84B7-4490-B967-8EB5EA365B20}"/>
            </a:ext>
          </a:extLst>
        </xdr:cNvPr>
        <xdr:cNvGrpSpPr/>
      </xdr:nvGrpSpPr>
      <xdr:grpSpPr>
        <a:xfrm>
          <a:off x="1609718" y="7183436"/>
          <a:ext cx="960438" cy="663575"/>
          <a:chOff x="285750" y="4792662"/>
          <a:chExt cx="1003300" cy="631826"/>
        </a:xfrm>
      </xdr:grpSpPr>
      <xdr:sp macro="" textlink="">
        <xdr:nvSpPr>
          <xdr:cNvPr id="26" name="フローチャート: 判断 25">
            <a:extLst>
              <a:ext uri="{FF2B5EF4-FFF2-40B4-BE49-F238E27FC236}">
                <a16:creationId xmlns:a16="http://schemas.microsoft.com/office/drawing/2014/main" id="{E014650D-1738-F5BF-0BDA-66671C32A7FF}"/>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7" name="正方形/長方形 48">
            <a:extLst>
              <a:ext uri="{FF2B5EF4-FFF2-40B4-BE49-F238E27FC236}">
                <a16:creationId xmlns:a16="http://schemas.microsoft.com/office/drawing/2014/main" id="{CFA01B60-0B42-FC45-9272-79926FCB43D5}"/>
              </a:ext>
            </a:extLst>
          </xdr:cNvPr>
          <xdr:cNvSpPr/>
        </xdr:nvSpPr>
        <xdr:spPr>
          <a:xfrm>
            <a:off x="285750" y="4792662"/>
            <a:ext cx="1003300" cy="6318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p>
        </xdr:txBody>
      </xdr:sp>
    </xdr:grpSp>
    <xdr:clientData/>
  </xdr:twoCellAnchor>
  <xdr:twoCellAnchor>
    <xdr:from>
      <xdr:col>11</xdr:col>
      <xdr:colOff>96715</xdr:colOff>
      <xdr:row>37</xdr:row>
      <xdr:rowOff>163665</xdr:rowOff>
    </xdr:from>
    <xdr:to>
      <xdr:col>11</xdr:col>
      <xdr:colOff>104211</xdr:colOff>
      <xdr:row>42</xdr:row>
      <xdr:rowOff>7748</xdr:rowOff>
    </xdr:to>
    <xdr:cxnSp macro="">
      <xdr:nvCxnSpPr>
        <xdr:cNvPr id="28" name="直線矢印コネクタ 27">
          <a:extLst>
            <a:ext uri="{FF2B5EF4-FFF2-40B4-BE49-F238E27FC236}">
              <a16:creationId xmlns:a16="http://schemas.microsoft.com/office/drawing/2014/main" id="{5177ACCE-FD23-4396-9A64-94709C22A765}"/>
            </a:ext>
          </a:extLst>
        </xdr:cNvPr>
        <xdr:cNvCxnSpPr>
          <a:cxnSpLocks/>
          <a:stCxn id="18" idx="2"/>
          <a:endCxn id="26" idx="0"/>
        </xdr:cNvCxnSpPr>
      </xdr:nvCxnSpPr>
      <xdr:spPr>
        <a:xfrm>
          <a:off x="7897690" y="17362640"/>
          <a:ext cx="10671" cy="70768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85187</xdr:colOff>
      <xdr:row>46</xdr:row>
      <xdr:rowOff>55562</xdr:rowOff>
    </xdr:from>
    <xdr:to>
      <xdr:col>6</xdr:col>
      <xdr:colOff>159271</xdr:colOff>
      <xdr:row>49</xdr:row>
      <xdr:rowOff>55562</xdr:rowOff>
    </xdr:to>
    <xdr:grpSp>
      <xdr:nvGrpSpPr>
        <xdr:cNvPr id="29" name="グループ化 28">
          <a:extLst>
            <a:ext uri="{FF2B5EF4-FFF2-40B4-BE49-F238E27FC236}">
              <a16:creationId xmlns:a16="http://schemas.microsoft.com/office/drawing/2014/main" id="{25F2AB35-8A28-4CC6-B84D-13CAA939717F}"/>
            </a:ext>
          </a:extLst>
        </xdr:cNvPr>
        <xdr:cNvGrpSpPr/>
      </xdr:nvGrpSpPr>
      <xdr:grpSpPr>
        <a:xfrm>
          <a:off x="266162" y="7970837"/>
          <a:ext cx="978959" cy="523875"/>
          <a:chOff x="1612900" y="2427475"/>
          <a:chExt cx="933032" cy="404625"/>
        </a:xfrm>
      </xdr:grpSpPr>
      <xdr:sp macro="" textlink="">
        <xdr:nvSpPr>
          <xdr:cNvPr id="30" name="フローチャート: 定義済み処理 29">
            <a:extLst>
              <a:ext uri="{FF2B5EF4-FFF2-40B4-BE49-F238E27FC236}">
                <a16:creationId xmlns:a16="http://schemas.microsoft.com/office/drawing/2014/main" id="{85D29039-4135-3EBA-8D04-49B6E2747DF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1" name="正方形/長方形 30">
            <a:extLst>
              <a:ext uri="{FF2B5EF4-FFF2-40B4-BE49-F238E27FC236}">
                <a16:creationId xmlns:a16="http://schemas.microsoft.com/office/drawing/2014/main" id="{CF6107E5-F7D3-494C-AA4F-5B7B039F16B1}"/>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４．不備修正</a:t>
            </a:r>
            <a:endParaRPr kumimoji="1" lang="en-US" altLang="ja-JP" sz="900"/>
          </a:p>
        </xdr:txBody>
      </xdr:sp>
    </xdr:grpSp>
    <xdr:clientData/>
  </xdr:twoCellAnchor>
  <xdr:twoCellAnchor>
    <xdr:from>
      <xdr:col>1</xdr:col>
      <xdr:colOff>175452</xdr:colOff>
      <xdr:row>60</xdr:row>
      <xdr:rowOff>74905</xdr:rowOff>
    </xdr:from>
    <xdr:to>
      <xdr:col>7</xdr:col>
      <xdr:colOff>50305</xdr:colOff>
      <xdr:row>63</xdr:row>
      <xdr:rowOff>64193</xdr:rowOff>
    </xdr:to>
    <xdr:grpSp>
      <xdr:nvGrpSpPr>
        <xdr:cNvPr id="32" name="グループ化 31">
          <a:extLst>
            <a:ext uri="{FF2B5EF4-FFF2-40B4-BE49-F238E27FC236}">
              <a16:creationId xmlns:a16="http://schemas.microsoft.com/office/drawing/2014/main" id="{98F100BC-F0F9-40FC-A3E7-0524D92AA265}"/>
            </a:ext>
          </a:extLst>
        </xdr:cNvPr>
        <xdr:cNvGrpSpPr/>
      </xdr:nvGrpSpPr>
      <xdr:grpSpPr>
        <a:xfrm>
          <a:off x="356427" y="10400005"/>
          <a:ext cx="960703" cy="503638"/>
          <a:chOff x="1630982" y="2443331"/>
          <a:chExt cx="933032" cy="400203"/>
        </a:xfrm>
      </xdr:grpSpPr>
      <xdr:sp macro="" textlink="">
        <xdr:nvSpPr>
          <xdr:cNvPr id="33" name="フローチャート: 定義済み処理 32">
            <a:extLst>
              <a:ext uri="{FF2B5EF4-FFF2-40B4-BE49-F238E27FC236}">
                <a16:creationId xmlns:a16="http://schemas.microsoft.com/office/drawing/2014/main" id="{1771821F-10E4-7D09-701B-28F1F7DC9E5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4" name="正方形/長方形 33">
            <a:extLst>
              <a:ext uri="{FF2B5EF4-FFF2-40B4-BE49-F238E27FC236}">
                <a16:creationId xmlns:a16="http://schemas.microsoft.com/office/drawing/2014/main" id="{28EBCCF9-89C7-1424-5794-29B8B6D91DCD}"/>
              </a:ext>
            </a:extLst>
          </xdr:cNvPr>
          <xdr:cNvSpPr/>
        </xdr:nvSpPr>
        <xdr:spPr>
          <a:xfrm>
            <a:off x="1630982" y="2443331"/>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５．データ</a:t>
            </a:r>
            <a:endParaRPr kumimoji="1" lang="en-US" altLang="ja-JP" sz="900"/>
          </a:p>
          <a:p>
            <a:pPr algn="ctr"/>
            <a:r>
              <a:rPr kumimoji="1" lang="ja-JP" altLang="en-US" sz="900"/>
              <a:t>出力</a:t>
            </a:r>
            <a:endParaRPr kumimoji="1" lang="en-US" altLang="ja-JP" sz="900"/>
          </a:p>
        </xdr:txBody>
      </xdr:sp>
    </xdr:grpSp>
    <xdr:clientData/>
  </xdr:twoCellAnchor>
  <xdr:twoCellAnchor>
    <xdr:from>
      <xdr:col>4</xdr:col>
      <xdr:colOff>120860</xdr:colOff>
      <xdr:row>62</xdr:row>
      <xdr:rowOff>105410</xdr:rowOff>
    </xdr:from>
    <xdr:to>
      <xdr:col>11</xdr:col>
      <xdr:colOff>33616</xdr:colOff>
      <xdr:row>65</xdr:row>
      <xdr:rowOff>635</xdr:rowOff>
    </xdr:to>
    <xdr:grpSp>
      <xdr:nvGrpSpPr>
        <xdr:cNvPr id="35" name="グループ化 34">
          <a:extLst>
            <a:ext uri="{FF2B5EF4-FFF2-40B4-BE49-F238E27FC236}">
              <a16:creationId xmlns:a16="http://schemas.microsoft.com/office/drawing/2014/main" id="{F1988FE5-E627-4A3D-8DF0-BF58F91E7FFA}"/>
            </a:ext>
          </a:extLst>
        </xdr:cNvPr>
        <xdr:cNvGrpSpPr/>
      </xdr:nvGrpSpPr>
      <xdr:grpSpPr>
        <a:xfrm>
          <a:off x="844760" y="10773410"/>
          <a:ext cx="1179581" cy="409575"/>
          <a:chOff x="4305300" y="5730875"/>
          <a:chExt cx="1003300" cy="425450"/>
        </a:xfrm>
      </xdr:grpSpPr>
      <xdr:sp macro="" textlink="">
        <xdr:nvSpPr>
          <xdr:cNvPr id="36" name="AutoShape 49">
            <a:extLst>
              <a:ext uri="{FF2B5EF4-FFF2-40B4-BE49-F238E27FC236}">
                <a16:creationId xmlns:a16="http://schemas.microsoft.com/office/drawing/2014/main" id="{06D4C2DA-DBC0-9131-C41B-88D2ECAB0C52}"/>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37" name="正方形/長方形 48">
            <a:extLst>
              <a:ext uri="{FF2B5EF4-FFF2-40B4-BE49-F238E27FC236}">
                <a16:creationId xmlns:a16="http://schemas.microsoft.com/office/drawing/2014/main" id="{5BC2E003-82C1-3A12-5C5E-B538BE58A3EC}"/>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データ（電債）</a:t>
            </a:r>
          </a:p>
        </xdr:txBody>
      </xdr:sp>
    </xdr:grpSp>
    <xdr:clientData/>
  </xdr:twoCellAnchor>
  <xdr:twoCellAnchor>
    <xdr:from>
      <xdr:col>1</xdr:col>
      <xdr:colOff>91654</xdr:colOff>
      <xdr:row>69</xdr:row>
      <xdr:rowOff>116801</xdr:rowOff>
    </xdr:from>
    <xdr:to>
      <xdr:col>8</xdr:col>
      <xdr:colOff>23296</xdr:colOff>
      <xdr:row>72</xdr:row>
      <xdr:rowOff>111289</xdr:rowOff>
    </xdr:to>
    <xdr:grpSp>
      <xdr:nvGrpSpPr>
        <xdr:cNvPr id="38" name="グループ化 37">
          <a:extLst>
            <a:ext uri="{FF2B5EF4-FFF2-40B4-BE49-F238E27FC236}">
              <a16:creationId xmlns:a16="http://schemas.microsoft.com/office/drawing/2014/main" id="{4681BF5F-5E00-462F-AE90-0A43A30FF2DF}"/>
            </a:ext>
          </a:extLst>
        </xdr:cNvPr>
        <xdr:cNvGrpSpPr/>
      </xdr:nvGrpSpPr>
      <xdr:grpSpPr>
        <a:xfrm>
          <a:off x="272629" y="11984951"/>
          <a:ext cx="1198467" cy="508838"/>
          <a:chOff x="1492288" y="2436466"/>
          <a:chExt cx="1241743" cy="400203"/>
        </a:xfrm>
      </xdr:grpSpPr>
      <xdr:sp macro="" textlink="">
        <xdr:nvSpPr>
          <xdr:cNvPr id="39" name="フローチャート: 定義済み処理 38">
            <a:extLst>
              <a:ext uri="{FF2B5EF4-FFF2-40B4-BE49-F238E27FC236}">
                <a16:creationId xmlns:a16="http://schemas.microsoft.com/office/drawing/2014/main" id="{6EF904FB-70C2-017D-4E8B-9B91EA5F417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0" name="正方形/長方形 39">
            <a:extLst>
              <a:ext uri="{FF2B5EF4-FFF2-40B4-BE49-F238E27FC236}">
                <a16:creationId xmlns:a16="http://schemas.microsoft.com/office/drawing/2014/main" id="{8A281FE5-8751-859B-E6EF-A99E9B3B6BA0}"/>
              </a:ext>
            </a:extLst>
          </xdr:cNvPr>
          <xdr:cNvSpPr/>
        </xdr:nvSpPr>
        <xdr:spPr>
          <a:xfrm>
            <a:off x="1492288" y="2436466"/>
            <a:ext cx="1241743"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６．データ</a:t>
            </a:r>
            <a:endParaRPr kumimoji="1" lang="en-US" altLang="ja-JP" sz="900"/>
          </a:p>
          <a:p>
            <a:pPr algn="ctr"/>
            <a:r>
              <a:rPr kumimoji="1" lang="ja-JP" altLang="en-US" sz="900"/>
              <a:t>取り込み</a:t>
            </a:r>
            <a:endParaRPr kumimoji="1" lang="en-US" altLang="ja-JP" sz="900"/>
          </a:p>
        </xdr:txBody>
      </xdr:sp>
    </xdr:grpSp>
    <xdr:clientData/>
  </xdr:twoCellAnchor>
  <xdr:twoCellAnchor>
    <xdr:from>
      <xdr:col>1</xdr:col>
      <xdr:colOff>181167</xdr:colOff>
      <xdr:row>96</xdr:row>
      <xdr:rowOff>59159</xdr:rowOff>
    </xdr:from>
    <xdr:to>
      <xdr:col>7</xdr:col>
      <xdr:colOff>83377</xdr:colOff>
      <xdr:row>99</xdr:row>
      <xdr:rowOff>59159</xdr:rowOff>
    </xdr:to>
    <xdr:grpSp>
      <xdr:nvGrpSpPr>
        <xdr:cNvPr id="44" name="グループ化 43">
          <a:extLst>
            <a:ext uri="{FF2B5EF4-FFF2-40B4-BE49-F238E27FC236}">
              <a16:creationId xmlns:a16="http://schemas.microsoft.com/office/drawing/2014/main" id="{706AC032-7FDA-4E7F-AA16-E3E4864D1083}"/>
            </a:ext>
          </a:extLst>
        </xdr:cNvPr>
        <xdr:cNvGrpSpPr/>
      </xdr:nvGrpSpPr>
      <xdr:grpSpPr>
        <a:xfrm>
          <a:off x="362142" y="16556459"/>
          <a:ext cx="988060" cy="514350"/>
          <a:chOff x="1620212" y="2427475"/>
          <a:chExt cx="933032" cy="404625"/>
        </a:xfrm>
      </xdr:grpSpPr>
      <xdr:sp macro="" textlink="">
        <xdr:nvSpPr>
          <xdr:cNvPr id="45" name="フローチャート: 定義済み処理 44">
            <a:extLst>
              <a:ext uri="{FF2B5EF4-FFF2-40B4-BE49-F238E27FC236}">
                <a16:creationId xmlns:a16="http://schemas.microsoft.com/office/drawing/2014/main" id="{BBEAFADE-3496-2E9C-11A2-70213395154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6" name="正方形/長方形 45">
            <a:extLst>
              <a:ext uri="{FF2B5EF4-FFF2-40B4-BE49-F238E27FC236}">
                <a16:creationId xmlns:a16="http://schemas.microsoft.com/office/drawing/2014/main" id="{B4E8521D-54EC-F877-A103-F0C7F6B16E4A}"/>
              </a:ext>
            </a:extLst>
          </xdr:cNvPr>
          <xdr:cNvSpPr/>
        </xdr:nvSpPr>
        <xdr:spPr>
          <a:xfrm>
            <a:off x="1620212"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８．電子記録債務計上</a:t>
            </a:r>
            <a:endParaRPr kumimoji="1" lang="en-US" altLang="ja-JP" sz="900"/>
          </a:p>
        </xdr:txBody>
      </xdr:sp>
    </xdr:grpSp>
    <xdr:clientData/>
  </xdr:twoCellAnchor>
  <xdr:twoCellAnchor>
    <xdr:from>
      <xdr:col>4</xdr:col>
      <xdr:colOff>39799</xdr:colOff>
      <xdr:row>43</xdr:row>
      <xdr:rowOff>94355</xdr:rowOff>
    </xdr:from>
    <xdr:to>
      <xdr:col>9</xdr:col>
      <xdr:colOff>49525</xdr:colOff>
      <xdr:row>46</xdr:row>
      <xdr:rowOff>93978</xdr:rowOff>
    </xdr:to>
    <xdr:cxnSp macro="">
      <xdr:nvCxnSpPr>
        <xdr:cNvPr id="47" name="コネクタ: カギ線 46">
          <a:extLst>
            <a:ext uri="{FF2B5EF4-FFF2-40B4-BE49-F238E27FC236}">
              <a16:creationId xmlns:a16="http://schemas.microsoft.com/office/drawing/2014/main" id="{C1CE7229-005D-4F91-A07A-E04214589843}"/>
            </a:ext>
          </a:extLst>
        </xdr:cNvPr>
        <xdr:cNvCxnSpPr>
          <a:cxnSpLocks/>
          <a:stCxn id="26" idx="1"/>
          <a:endCxn id="30" idx="0"/>
        </xdr:cNvCxnSpPr>
      </xdr:nvCxnSpPr>
      <xdr:spPr>
        <a:xfrm rot="10800000" flipV="1">
          <a:off x="6440599" y="18325205"/>
          <a:ext cx="1006676" cy="513973"/>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102437</xdr:colOff>
      <xdr:row>45</xdr:row>
      <xdr:rowOff>13143</xdr:rowOff>
    </xdr:from>
    <xdr:to>
      <xdr:col>11</xdr:col>
      <xdr:colOff>104237</xdr:colOff>
      <xdr:row>55</xdr:row>
      <xdr:rowOff>5400</xdr:rowOff>
    </xdr:to>
    <xdr:cxnSp macro="">
      <xdr:nvCxnSpPr>
        <xdr:cNvPr id="48" name="コネクタ: カギ線 47">
          <a:extLst>
            <a:ext uri="{FF2B5EF4-FFF2-40B4-BE49-F238E27FC236}">
              <a16:creationId xmlns:a16="http://schemas.microsoft.com/office/drawing/2014/main" id="{087F238F-CCBD-4119-8C34-8FD24C87E34B}"/>
            </a:ext>
          </a:extLst>
        </xdr:cNvPr>
        <xdr:cNvCxnSpPr>
          <a:cxnSpLocks/>
          <a:stCxn id="26" idx="2"/>
          <a:endCxn id="268" idx="0"/>
        </xdr:cNvCxnSpPr>
      </xdr:nvCxnSpPr>
      <xdr:spPr>
        <a:xfrm rot="5400000">
          <a:off x="785864" y="7533122"/>
          <a:ext cx="1671039" cy="141864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106897</xdr:colOff>
      <xdr:row>63</xdr:row>
      <xdr:rowOff>53176</xdr:rowOff>
    </xdr:from>
    <xdr:to>
      <xdr:col>4</xdr:col>
      <xdr:colOff>138007</xdr:colOff>
      <xdr:row>69</xdr:row>
      <xdr:rowOff>142952</xdr:rowOff>
    </xdr:to>
    <xdr:cxnSp macro="">
      <xdr:nvCxnSpPr>
        <xdr:cNvPr id="49" name="直線矢印コネクタ 27">
          <a:extLst>
            <a:ext uri="{FF2B5EF4-FFF2-40B4-BE49-F238E27FC236}">
              <a16:creationId xmlns:a16="http://schemas.microsoft.com/office/drawing/2014/main" id="{52586C4C-9944-4CD9-949C-8B0916F18ECA}"/>
            </a:ext>
          </a:extLst>
        </xdr:cNvPr>
        <xdr:cNvCxnSpPr>
          <a:cxnSpLocks/>
          <a:stCxn id="33" idx="2"/>
          <a:endCxn id="39" idx="0"/>
        </xdr:cNvCxnSpPr>
      </xdr:nvCxnSpPr>
      <xdr:spPr>
        <a:xfrm>
          <a:off x="913721" y="10541882"/>
          <a:ext cx="31110" cy="109830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112492</xdr:colOff>
      <xdr:row>42</xdr:row>
      <xdr:rowOff>3070</xdr:rowOff>
    </xdr:from>
    <xdr:to>
      <xdr:col>8</xdr:col>
      <xdr:colOff>18584</xdr:colOff>
      <xdr:row>43</xdr:row>
      <xdr:rowOff>120967</xdr:rowOff>
    </xdr:to>
    <xdr:sp macro="" textlink="">
      <xdr:nvSpPr>
        <xdr:cNvPr id="50" name="テキスト ボックス 49">
          <a:extLst>
            <a:ext uri="{FF2B5EF4-FFF2-40B4-BE49-F238E27FC236}">
              <a16:creationId xmlns:a16="http://schemas.microsoft.com/office/drawing/2014/main" id="{5F513A1E-EE80-4DE2-814C-3BD55489A4DD}"/>
            </a:ext>
          </a:extLst>
        </xdr:cNvPr>
        <xdr:cNvSpPr txBox="1"/>
      </xdr:nvSpPr>
      <xdr:spPr>
        <a:xfrm>
          <a:off x="6513292" y="18062470"/>
          <a:ext cx="706192" cy="29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11</xdr:col>
      <xdr:colOff>47316</xdr:colOff>
      <xdr:row>45</xdr:row>
      <xdr:rowOff>20501</xdr:rowOff>
    </xdr:from>
    <xdr:to>
      <xdr:col>13</xdr:col>
      <xdr:colOff>118157</xdr:colOff>
      <xdr:row>46</xdr:row>
      <xdr:rowOff>83727</xdr:rowOff>
    </xdr:to>
    <xdr:sp macro="" textlink="">
      <xdr:nvSpPr>
        <xdr:cNvPr id="51" name="テキスト ボックス 50">
          <a:extLst>
            <a:ext uri="{FF2B5EF4-FFF2-40B4-BE49-F238E27FC236}">
              <a16:creationId xmlns:a16="http://schemas.microsoft.com/office/drawing/2014/main" id="{6AA867D5-B5EB-48BD-9892-45F60FF374DB}"/>
            </a:ext>
          </a:extLst>
        </xdr:cNvPr>
        <xdr:cNvSpPr txBox="1"/>
      </xdr:nvSpPr>
      <xdr:spPr>
        <a:xfrm>
          <a:off x="7851466" y="18594251"/>
          <a:ext cx="470891" cy="237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16</xdr:col>
      <xdr:colOff>102938</xdr:colOff>
      <xdr:row>60</xdr:row>
      <xdr:rowOff>30163</xdr:rowOff>
    </xdr:from>
    <xdr:to>
      <xdr:col>21</xdr:col>
      <xdr:colOff>121613</xdr:colOff>
      <xdr:row>64</xdr:row>
      <xdr:rowOff>1488</xdr:rowOff>
    </xdr:to>
    <xdr:grpSp>
      <xdr:nvGrpSpPr>
        <xdr:cNvPr id="52" name="グループ化 51">
          <a:extLst>
            <a:ext uri="{FF2B5EF4-FFF2-40B4-BE49-F238E27FC236}">
              <a16:creationId xmlns:a16="http://schemas.microsoft.com/office/drawing/2014/main" id="{BFBF288E-07C8-4220-ABE8-DAE47DC90F8E}"/>
            </a:ext>
          </a:extLst>
        </xdr:cNvPr>
        <xdr:cNvGrpSpPr/>
      </xdr:nvGrpSpPr>
      <xdr:grpSpPr>
        <a:xfrm>
          <a:off x="2998538" y="10355263"/>
          <a:ext cx="923550" cy="657125"/>
          <a:chOff x="7111999" y="2892425"/>
          <a:chExt cx="873125" cy="584982"/>
        </a:xfrm>
      </xdr:grpSpPr>
      <xdr:sp macro="" textlink="">
        <xdr:nvSpPr>
          <xdr:cNvPr id="53" name="フローチャート: 磁気ディスク 52">
            <a:extLst>
              <a:ext uri="{FF2B5EF4-FFF2-40B4-BE49-F238E27FC236}">
                <a16:creationId xmlns:a16="http://schemas.microsoft.com/office/drawing/2014/main" id="{BE157F8D-2585-66F3-958D-B5C0801592D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4" name="正方形/長方形 53">
            <a:extLst>
              <a:ext uri="{FF2B5EF4-FFF2-40B4-BE49-F238E27FC236}">
                <a16:creationId xmlns:a16="http://schemas.microsoft.com/office/drawing/2014/main" id="{E3596211-1C37-2055-EE54-AFB0B8C8892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支払手形仕訳帳の振出</a:t>
            </a:r>
          </a:p>
        </xdr:txBody>
      </xdr:sp>
    </xdr:grpSp>
    <xdr:clientData/>
  </xdr:twoCellAnchor>
  <xdr:twoCellAnchor>
    <xdr:from>
      <xdr:col>6</xdr:col>
      <xdr:colOff>180195</xdr:colOff>
      <xdr:row>61</xdr:row>
      <xdr:rowOff>154394</xdr:rowOff>
    </xdr:from>
    <xdr:to>
      <xdr:col>17</xdr:col>
      <xdr:colOff>12401</xdr:colOff>
      <xdr:row>61</xdr:row>
      <xdr:rowOff>154534</xdr:rowOff>
    </xdr:to>
    <xdr:cxnSp macro="">
      <xdr:nvCxnSpPr>
        <xdr:cNvPr id="55" name="直線矢印コネクタ 54">
          <a:extLst>
            <a:ext uri="{FF2B5EF4-FFF2-40B4-BE49-F238E27FC236}">
              <a16:creationId xmlns:a16="http://schemas.microsoft.com/office/drawing/2014/main" id="{AEBB4F16-6430-4E47-A6B8-7AD37A0BFF51}"/>
            </a:ext>
          </a:extLst>
        </xdr:cNvPr>
        <xdr:cNvCxnSpPr>
          <a:cxnSpLocks/>
          <a:stCxn id="53" idx="2"/>
          <a:endCxn id="33" idx="3"/>
        </xdr:cNvCxnSpPr>
      </xdr:nvCxnSpPr>
      <xdr:spPr>
        <a:xfrm flipH="1">
          <a:off x="1394633" y="10227082"/>
          <a:ext cx="2058674" cy="14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179444</xdr:colOff>
      <xdr:row>96</xdr:row>
      <xdr:rowOff>25405</xdr:rowOff>
    </xdr:from>
    <xdr:to>
      <xdr:col>20</xdr:col>
      <xdr:colOff>197967</xdr:colOff>
      <xdr:row>100</xdr:row>
      <xdr:rowOff>31655</xdr:rowOff>
    </xdr:to>
    <xdr:grpSp>
      <xdr:nvGrpSpPr>
        <xdr:cNvPr id="56" name="グループ化 55">
          <a:extLst>
            <a:ext uri="{FF2B5EF4-FFF2-40B4-BE49-F238E27FC236}">
              <a16:creationId xmlns:a16="http://schemas.microsoft.com/office/drawing/2014/main" id="{3C0B5FBA-9F5A-454A-BB51-58C684F9AE61}"/>
            </a:ext>
          </a:extLst>
        </xdr:cNvPr>
        <xdr:cNvGrpSpPr/>
      </xdr:nvGrpSpPr>
      <xdr:grpSpPr>
        <a:xfrm>
          <a:off x="2894069" y="16522705"/>
          <a:ext cx="904348" cy="692050"/>
          <a:chOff x="7111999" y="2892425"/>
          <a:chExt cx="873125" cy="584982"/>
        </a:xfrm>
      </xdr:grpSpPr>
      <xdr:sp macro="" textlink="">
        <xdr:nvSpPr>
          <xdr:cNvPr id="57" name="フローチャート: 磁気ディスク 56">
            <a:extLst>
              <a:ext uri="{FF2B5EF4-FFF2-40B4-BE49-F238E27FC236}">
                <a16:creationId xmlns:a16="http://schemas.microsoft.com/office/drawing/2014/main" id="{B1D346F2-2EBA-AEC7-66C7-54394F9256D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8" name="正方形/長方形 57">
            <a:extLst>
              <a:ext uri="{FF2B5EF4-FFF2-40B4-BE49-F238E27FC236}">
                <a16:creationId xmlns:a16="http://schemas.microsoft.com/office/drawing/2014/main" id="{8D4E765C-DF40-4FE5-E0C3-6EEC57AF61C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支払手形仕訳帳の振出</a:t>
            </a:r>
          </a:p>
        </xdr:txBody>
      </xdr:sp>
    </xdr:grpSp>
    <xdr:clientData/>
  </xdr:twoCellAnchor>
  <xdr:twoCellAnchor>
    <xdr:from>
      <xdr:col>7</xdr:col>
      <xdr:colOff>21367</xdr:colOff>
      <xdr:row>97</xdr:row>
      <xdr:rowOff>167263</xdr:rowOff>
    </xdr:from>
    <xdr:to>
      <xdr:col>16</xdr:col>
      <xdr:colOff>82406</xdr:colOff>
      <xdr:row>97</xdr:row>
      <xdr:rowOff>176152</xdr:rowOff>
    </xdr:to>
    <xdr:cxnSp macro="">
      <xdr:nvCxnSpPr>
        <xdr:cNvPr id="59" name="直線矢印コネクタ 58">
          <a:extLst>
            <a:ext uri="{FF2B5EF4-FFF2-40B4-BE49-F238E27FC236}">
              <a16:creationId xmlns:a16="http://schemas.microsoft.com/office/drawing/2014/main" id="{B46B5CC9-1D4F-46B3-AAF7-83EFC6546022}"/>
            </a:ext>
          </a:extLst>
        </xdr:cNvPr>
        <xdr:cNvCxnSpPr>
          <a:cxnSpLocks/>
          <a:stCxn id="45" idx="3"/>
          <a:endCxn id="57" idx="2"/>
        </xdr:cNvCxnSpPr>
      </xdr:nvCxnSpPr>
      <xdr:spPr>
        <a:xfrm>
          <a:off x="7022242" y="25433913"/>
          <a:ext cx="1864439" cy="571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138965</xdr:colOff>
      <xdr:row>99</xdr:row>
      <xdr:rowOff>59159</xdr:rowOff>
    </xdr:from>
    <xdr:to>
      <xdr:col>4</xdr:col>
      <xdr:colOff>139070</xdr:colOff>
      <xdr:row>105</xdr:row>
      <xdr:rowOff>89930</xdr:rowOff>
    </xdr:to>
    <xdr:cxnSp macro="">
      <xdr:nvCxnSpPr>
        <xdr:cNvPr id="61" name="直線矢印コネクタ 27">
          <a:extLst>
            <a:ext uri="{FF2B5EF4-FFF2-40B4-BE49-F238E27FC236}">
              <a16:creationId xmlns:a16="http://schemas.microsoft.com/office/drawing/2014/main" id="{2763A5AD-E27F-4146-AB42-08B0DDA7CFEA}"/>
            </a:ext>
          </a:extLst>
        </xdr:cNvPr>
        <xdr:cNvCxnSpPr>
          <a:cxnSpLocks/>
          <a:stCxn id="45" idx="2"/>
          <a:endCxn id="104" idx="0"/>
        </xdr:cNvCxnSpPr>
      </xdr:nvCxnSpPr>
      <xdr:spPr>
        <a:xfrm flipH="1">
          <a:off x="955394" y="17421873"/>
          <a:ext cx="105" cy="21534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2483</xdr:colOff>
      <xdr:row>69</xdr:row>
      <xdr:rowOff>66956</xdr:rowOff>
    </xdr:from>
    <xdr:to>
      <xdr:col>28</xdr:col>
      <xdr:colOff>21158</xdr:colOff>
      <xdr:row>73</xdr:row>
      <xdr:rowOff>67673</xdr:rowOff>
    </xdr:to>
    <xdr:grpSp>
      <xdr:nvGrpSpPr>
        <xdr:cNvPr id="62" name="グループ化 61">
          <a:extLst>
            <a:ext uri="{FF2B5EF4-FFF2-40B4-BE49-F238E27FC236}">
              <a16:creationId xmlns:a16="http://schemas.microsoft.com/office/drawing/2014/main" id="{07DB82EF-C579-4E50-BE55-438A02338E6D}"/>
            </a:ext>
          </a:extLst>
        </xdr:cNvPr>
        <xdr:cNvGrpSpPr>
          <a:grpSpLocks noChangeAspect="1"/>
        </xdr:cNvGrpSpPr>
      </xdr:nvGrpSpPr>
      <xdr:grpSpPr>
        <a:xfrm>
          <a:off x="4164908" y="11935106"/>
          <a:ext cx="923550" cy="686517"/>
          <a:chOff x="7112000" y="2892425"/>
          <a:chExt cx="873125" cy="584982"/>
        </a:xfrm>
      </xdr:grpSpPr>
      <xdr:sp macro="" textlink="">
        <xdr:nvSpPr>
          <xdr:cNvPr id="63" name="フローチャート: 磁気ディスク 62">
            <a:extLst>
              <a:ext uri="{FF2B5EF4-FFF2-40B4-BE49-F238E27FC236}">
                <a16:creationId xmlns:a16="http://schemas.microsoft.com/office/drawing/2014/main" id="{250C6ED1-2081-2605-42D3-6D31217F697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4" name="正方形/長方形 63">
            <a:extLst>
              <a:ext uri="{FF2B5EF4-FFF2-40B4-BE49-F238E27FC236}">
                <a16:creationId xmlns:a16="http://schemas.microsoft.com/office/drawing/2014/main" id="{5B3E0845-B6DD-5BA1-0111-65B2B4971A64}"/>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三菱</a:t>
            </a:r>
            <a:endParaRPr kumimoji="1" lang="en-US" altLang="ja-JP" sz="900">
              <a:solidFill>
                <a:sysClr val="windowText" lastClr="000000"/>
              </a:solidFill>
            </a:endParaRPr>
          </a:p>
          <a:p>
            <a:pPr algn="ctr"/>
            <a:r>
              <a:rPr kumimoji="1" lang="en-US" altLang="ja-JP" sz="900">
                <a:solidFill>
                  <a:sysClr val="windowText" lastClr="000000"/>
                </a:solidFill>
              </a:rPr>
              <a:t>UFJ</a:t>
            </a:r>
            <a:r>
              <a:rPr kumimoji="1" lang="ja-JP" altLang="en-US" sz="900">
                <a:solidFill>
                  <a:sysClr val="windowText" lastClr="000000"/>
                </a:solidFill>
              </a:rPr>
              <a:t>銀行</a:t>
            </a:r>
          </a:p>
        </xdr:txBody>
      </xdr:sp>
    </xdr:grpSp>
    <xdr:clientData/>
  </xdr:twoCellAnchor>
  <xdr:twoCellAnchor>
    <xdr:from>
      <xdr:col>6</xdr:col>
      <xdr:colOff>175539</xdr:colOff>
      <xdr:row>71</xdr:row>
      <xdr:rowOff>39466</xdr:rowOff>
    </xdr:from>
    <xdr:to>
      <xdr:col>23</xdr:col>
      <xdr:colOff>110806</xdr:colOff>
      <xdr:row>71</xdr:row>
      <xdr:rowOff>40229</xdr:rowOff>
    </xdr:to>
    <xdr:cxnSp macro="">
      <xdr:nvCxnSpPr>
        <xdr:cNvPr id="65" name="直線矢印コネクタ 64">
          <a:extLst>
            <a:ext uri="{FF2B5EF4-FFF2-40B4-BE49-F238E27FC236}">
              <a16:creationId xmlns:a16="http://schemas.microsoft.com/office/drawing/2014/main" id="{61A60544-4F66-498C-A1BB-5C44C72DE3A9}"/>
            </a:ext>
          </a:extLst>
        </xdr:cNvPr>
        <xdr:cNvCxnSpPr>
          <a:cxnSpLocks/>
          <a:stCxn id="39" idx="3"/>
          <a:endCxn id="63" idx="2"/>
        </xdr:cNvCxnSpPr>
      </xdr:nvCxnSpPr>
      <xdr:spPr>
        <a:xfrm flipV="1">
          <a:off x="1385774" y="11872878"/>
          <a:ext cx="3364267" cy="76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200447</xdr:colOff>
      <xdr:row>31</xdr:row>
      <xdr:rowOff>8890</xdr:rowOff>
    </xdr:from>
    <xdr:to>
      <xdr:col>13</xdr:col>
      <xdr:colOff>50798</xdr:colOff>
      <xdr:row>32</xdr:row>
      <xdr:rowOff>92314</xdr:rowOff>
    </xdr:to>
    <xdr:sp macro="" textlink="">
      <xdr:nvSpPr>
        <xdr:cNvPr id="66" name="テキスト ボックス 65">
          <a:extLst>
            <a:ext uri="{FF2B5EF4-FFF2-40B4-BE49-F238E27FC236}">
              <a16:creationId xmlns:a16="http://schemas.microsoft.com/office/drawing/2014/main" id="{D169D383-FCB5-4271-B436-B768EE78944A}"/>
            </a:ext>
          </a:extLst>
        </xdr:cNvPr>
        <xdr:cNvSpPr txBox="1"/>
      </xdr:nvSpPr>
      <xdr:spPr>
        <a:xfrm>
          <a:off x="6998122" y="16185515"/>
          <a:ext cx="1250526" cy="251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15</xdr:col>
      <xdr:colOff>48155</xdr:colOff>
      <xdr:row>27</xdr:row>
      <xdr:rowOff>12377</xdr:rowOff>
    </xdr:from>
    <xdr:to>
      <xdr:col>21</xdr:col>
      <xdr:colOff>193147</xdr:colOff>
      <xdr:row>31</xdr:row>
      <xdr:rowOff>1482</xdr:rowOff>
    </xdr:to>
    <xdr:grpSp>
      <xdr:nvGrpSpPr>
        <xdr:cNvPr id="67" name="グループ化 66">
          <a:extLst>
            <a:ext uri="{FF2B5EF4-FFF2-40B4-BE49-F238E27FC236}">
              <a16:creationId xmlns:a16="http://schemas.microsoft.com/office/drawing/2014/main" id="{892EF5BF-BAA9-40BC-95A1-B23B09DB7547}"/>
            </a:ext>
          </a:extLst>
        </xdr:cNvPr>
        <xdr:cNvGrpSpPr/>
      </xdr:nvGrpSpPr>
      <xdr:grpSpPr>
        <a:xfrm>
          <a:off x="2762780" y="4670102"/>
          <a:ext cx="1221317" cy="674905"/>
          <a:chOff x="8532368" y="2996141"/>
          <a:chExt cx="1135459" cy="600938"/>
        </a:xfrm>
      </xdr:grpSpPr>
      <xdr:sp macro="" textlink="">
        <xdr:nvSpPr>
          <xdr:cNvPr id="68" name="フローチャート: 磁気ディスク 67">
            <a:extLst>
              <a:ext uri="{FF2B5EF4-FFF2-40B4-BE49-F238E27FC236}">
                <a16:creationId xmlns:a16="http://schemas.microsoft.com/office/drawing/2014/main" id="{E00B567A-0E43-D035-9AAA-876F60B147FB}"/>
              </a:ext>
            </a:extLst>
          </xdr:cNvPr>
          <xdr:cNvSpPr/>
        </xdr:nvSpPr>
        <xdr:spPr>
          <a:xfrm>
            <a:off x="8714238" y="2996141"/>
            <a:ext cx="757951"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9" name="正方形/長方形 68">
            <a:extLst>
              <a:ext uri="{FF2B5EF4-FFF2-40B4-BE49-F238E27FC236}">
                <a16:creationId xmlns:a16="http://schemas.microsoft.com/office/drawing/2014/main" id="{7AD86410-1AB9-6F57-0FB3-D855D11465A1}"/>
              </a:ext>
            </a:extLst>
          </xdr:cNvPr>
          <xdr:cNvSpPr/>
        </xdr:nvSpPr>
        <xdr:spPr>
          <a:xfrm>
            <a:off x="8532368" y="3091472"/>
            <a:ext cx="1135459"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a:t>
            </a:r>
            <a:endParaRPr kumimoji="1" lang="en-US" altLang="ja-JP" sz="900"/>
          </a:p>
          <a:p>
            <a:pPr algn="ctr"/>
            <a:r>
              <a:rPr kumimoji="1" lang="ja-JP" altLang="en-US" sz="900"/>
              <a:t>の振出</a:t>
            </a:r>
            <a:r>
              <a:rPr kumimoji="1" lang="en-US" altLang="ja-JP" sz="900"/>
              <a:t>WF</a:t>
            </a:r>
            <a:r>
              <a:rPr kumimoji="1" lang="ja-JP" altLang="en-US" sz="900"/>
              <a:t>（申請）</a:t>
            </a:r>
          </a:p>
        </xdr:txBody>
      </xdr:sp>
    </xdr:grpSp>
    <xdr:clientData/>
  </xdr:twoCellAnchor>
  <xdr:twoCellAnchor>
    <xdr:from>
      <xdr:col>14</xdr:col>
      <xdr:colOff>88316</xdr:colOff>
      <xdr:row>34</xdr:row>
      <xdr:rowOff>135565</xdr:rowOff>
    </xdr:from>
    <xdr:to>
      <xdr:col>23</xdr:col>
      <xdr:colOff>107157</xdr:colOff>
      <xdr:row>38</xdr:row>
      <xdr:rowOff>113716</xdr:rowOff>
    </xdr:to>
    <xdr:grpSp>
      <xdr:nvGrpSpPr>
        <xdr:cNvPr id="70" name="グループ化 69">
          <a:extLst>
            <a:ext uri="{FF2B5EF4-FFF2-40B4-BE49-F238E27FC236}">
              <a16:creationId xmlns:a16="http://schemas.microsoft.com/office/drawing/2014/main" id="{D3A69CD4-7E21-4459-B9B8-3AE809D8C454}"/>
            </a:ext>
          </a:extLst>
        </xdr:cNvPr>
        <xdr:cNvGrpSpPr/>
      </xdr:nvGrpSpPr>
      <xdr:grpSpPr>
        <a:xfrm>
          <a:off x="2621966" y="5993440"/>
          <a:ext cx="1647616" cy="663951"/>
          <a:chOff x="6940016" y="2892425"/>
          <a:chExt cx="1552415" cy="595985"/>
        </a:xfrm>
      </xdr:grpSpPr>
      <xdr:sp macro="" textlink="">
        <xdr:nvSpPr>
          <xdr:cNvPr id="71" name="フローチャート: 磁気ディスク 70">
            <a:extLst>
              <a:ext uri="{FF2B5EF4-FFF2-40B4-BE49-F238E27FC236}">
                <a16:creationId xmlns:a16="http://schemas.microsoft.com/office/drawing/2014/main" id="{B9E1BBD7-74C2-E09A-1883-5514E154B215}"/>
              </a:ext>
            </a:extLst>
          </xdr:cNvPr>
          <xdr:cNvSpPr/>
        </xdr:nvSpPr>
        <xdr:spPr>
          <a:xfrm>
            <a:off x="7204075" y="2892425"/>
            <a:ext cx="888777"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2" name="正方形/長方形 71">
            <a:extLst>
              <a:ext uri="{FF2B5EF4-FFF2-40B4-BE49-F238E27FC236}">
                <a16:creationId xmlns:a16="http://schemas.microsoft.com/office/drawing/2014/main" id="{6AD369D5-98BF-79BA-5F76-455467A30540}"/>
              </a:ext>
            </a:extLst>
          </xdr:cNvPr>
          <xdr:cNvSpPr/>
        </xdr:nvSpPr>
        <xdr:spPr>
          <a:xfrm>
            <a:off x="6940016" y="2982803"/>
            <a:ext cx="155241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支払手形仕訳帳の振出</a:t>
            </a:r>
            <a:endParaRPr kumimoji="1" lang="en-US" altLang="ja-JP" sz="900"/>
          </a:p>
          <a:p>
            <a:pPr algn="ctr"/>
            <a:r>
              <a:rPr kumimoji="1" lang="en-US" altLang="ja-JP" sz="900"/>
              <a:t>WF</a:t>
            </a:r>
            <a:r>
              <a:rPr kumimoji="1" lang="ja-JP" altLang="en-US" sz="900"/>
              <a:t>（承認</a:t>
            </a:r>
            <a:r>
              <a:rPr kumimoji="1" lang="en-US" altLang="ja-JP" sz="900"/>
              <a:t>/</a:t>
            </a:r>
            <a:r>
              <a:rPr kumimoji="1" lang="ja-JP" altLang="en-US" sz="900"/>
              <a:t>変更依頼）</a:t>
            </a:r>
          </a:p>
        </xdr:txBody>
      </xdr:sp>
    </xdr:grpSp>
    <xdr:clientData/>
  </xdr:twoCellAnchor>
  <xdr:twoCellAnchor>
    <xdr:from>
      <xdr:col>3</xdr:col>
      <xdr:colOff>192608</xdr:colOff>
      <xdr:row>43</xdr:row>
      <xdr:rowOff>76200</xdr:rowOff>
    </xdr:from>
    <xdr:to>
      <xdr:col>9</xdr:col>
      <xdr:colOff>113035</xdr:colOff>
      <xdr:row>45</xdr:row>
      <xdr:rowOff>12225</xdr:rowOff>
    </xdr:to>
    <xdr:sp macro="" textlink="">
      <xdr:nvSpPr>
        <xdr:cNvPr id="73" name="テキスト ボックス 72">
          <a:extLst>
            <a:ext uri="{FF2B5EF4-FFF2-40B4-BE49-F238E27FC236}">
              <a16:creationId xmlns:a16="http://schemas.microsoft.com/office/drawing/2014/main" id="{8E8B0689-8125-47F2-9B7F-CBC47A21E075}"/>
            </a:ext>
          </a:extLst>
        </xdr:cNvPr>
        <xdr:cNvSpPr txBox="1"/>
      </xdr:nvSpPr>
      <xdr:spPr>
        <a:xfrm>
          <a:off x="6393383" y="18307050"/>
          <a:ext cx="1120577" cy="27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4</xdr:col>
      <xdr:colOff>191761</xdr:colOff>
      <xdr:row>52</xdr:row>
      <xdr:rowOff>22195</xdr:rowOff>
    </xdr:from>
    <xdr:to>
      <xdr:col>11</xdr:col>
      <xdr:colOff>135457</xdr:colOff>
      <xdr:row>53</xdr:row>
      <xdr:rowOff>123110</xdr:rowOff>
    </xdr:to>
    <xdr:sp macro="" textlink="">
      <xdr:nvSpPr>
        <xdr:cNvPr id="74" name="テキスト ボックス 73">
          <a:extLst>
            <a:ext uri="{FF2B5EF4-FFF2-40B4-BE49-F238E27FC236}">
              <a16:creationId xmlns:a16="http://schemas.microsoft.com/office/drawing/2014/main" id="{1DAD565D-1DED-430E-8C74-17A496E94A80}"/>
            </a:ext>
          </a:extLst>
        </xdr:cNvPr>
        <xdr:cNvSpPr txBox="1"/>
      </xdr:nvSpPr>
      <xdr:spPr>
        <a:xfrm>
          <a:off x="6592561" y="19805620"/>
          <a:ext cx="1343871" cy="275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6</xdr:col>
      <xdr:colOff>150137</xdr:colOff>
      <xdr:row>28</xdr:row>
      <xdr:rowOff>140574</xdr:rowOff>
    </xdr:from>
    <xdr:to>
      <xdr:col>16</xdr:col>
      <xdr:colOff>63544</xdr:colOff>
      <xdr:row>28</xdr:row>
      <xdr:rowOff>143161</xdr:rowOff>
    </xdr:to>
    <xdr:cxnSp macro="">
      <xdr:nvCxnSpPr>
        <xdr:cNvPr id="75" name="直線矢印コネクタ 74">
          <a:extLst>
            <a:ext uri="{FF2B5EF4-FFF2-40B4-BE49-F238E27FC236}">
              <a16:creationId xmlns:a16="http://schemas.microsoft.com/office/drawing/2014/main" id="{96B0D757-796C-493E-A0F6-1D4C65CA9273}"/>
            </a:ext>
          </a:extLst>
        </xdr:cNvPr>
        <xdr:cNvCxnSpPr>
          <a:cxnSpLocks/>
          <a:stCxn id="15" idx="3"/>
          <a:endCxn id="68" idx="2"/>
        </xdr:cNvCxnSpPr>
      </xdr:nvCxnSpPr>
      <xdr:spPr>
        <a:xfrm flipV="1">
          <a:off x="6950987" y="15802849"/>
          <a:ext cx="1916832"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182743</xdr:colOff>
      <xdr:row>36</xdr:row>
      <xdr:rowOff>88885</xdr:rowOff>
    </xdr:from>
    <xdr:to>
      <xdr:col>15</xdr:col>
      <xdr:colOff>199199</xdr:colOff>
      <xdr:row>36</xdr:row>
      <xdr:rowOff>95607</xdr:rowOff>
    </xdr:to>
    <xdr:cxnSp macro="">
      <xdr:nvCxnSpPr>
        <xdr:cNvPr id="76" name="直線矢印コネクタ 75">
          <a:extLst>
            <a:ext uri="{FF2B5EF4-FFF2-40B4-BE49-F238E27FC236}">
              <a16:creationId xmlns:a16="http://schemas.microsoft.com/office/drawing/2014/main" id="{5D7ACA30-C7F1-419A-AC5F-658623F8DA3F}"/>
            </a:ext>
          </a:extLst>
        </xdr:cNvPr>
        <xdr:cNvCxnSpPr>
          <a:cxnSpLocks/>
          <a:stCxn id="18" idx="3"/>
          <a:endCxn id="71" idx="2"/>
        </xdr:cNvCxnSpPr>
      </xdr:nvCxnSpPr>
      <xdr:spPr>
        <a:xfrm flipV="1">
          <a:off x="8383768" y="17119585"/>
          <a:ext cx="416506" cy="672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6792</xdr:colOff>
      <xdr:row>46</xdr:row>
      <xdr:rowOff>30155</xdr:rowOff>
    </xdr:from>
    <xdr:to>
      <xdr:col>28</xdr:col>
      <xdr:colOff>6416</xdr:colOff>
      <xdr:row>50</xdr:row>
      <xdr:rowOff>1480</xdr:rowOff>
    </xdr:to>
    <xdr:grpSp>
      <xdr:nvGrpSpPr>
        <xdr:cNvPr id="77" name="グループ化 76">
          <a:extLst>
            <a:ext uri="{FF2B5EF4-FFF2-40B4-BE49-F238E27FC236}">
              <a16:creationId xmlns:a16="http://schemas.microsoft.com/office/drawing/2014/main" id="{05B1D58B-17C7-429B-8A22-68D6FFDA8464}"/>
            </a:ext>
          </a:extLst>
        </xdr:cNvPr>
        <xdr:cNvGrpSpPr/>
      </xdr:nvGrpSpPr>
      <xdr:grpSpPr>
        <a:xfrm>
          <a:off x="4169217" y="7945430"/>
          <a:ext cx="904499" cy="666650"/>
          <a:chOff x="7111999" y="2892425"/>
          <a:chExt cx="873125" cy="584982"/>
        </a:xfrm>
      </xdr:grpSpPr>
      <xdr:sp macro="" textlink="">
        <xdr:nvSpPr>
          <xdr:cNvPr id="78" name="フローチャート: 磁気ディスク 77">
            <a:extLst>
              <a:ext uri="{FF2B5EF4-FFF2-40B4-BE49-F238E27FC236}">
                <a16:creationId xmlns:a16="http://schemas.microsoft.com/office/drawing/2014/main" id="{93D95660-1CC1-557F-F603-EA69E8FB98C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9" name="正方形/長方形 78">
            <a:extLst>
              <a:ext uri="{FF2B5EF4-FFF2-40B4-BE49-F238E27FC236}">
                <a16:creationId xmlns:a16="http://schemas.microsoft.com/office/drawing/2014/main" id="{51D9DCAC-2B75-D422-2FE0-4DE3BBE2D8CF}"/>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各発生元</a:t>
            </a:r>
            <a:endParaRPr kumimoji="1" lang="en-US" altLang="ja-JP" sz="900"/>
          </a:p>
          <a:p>
            <a:pPr algn="ctr"/>
            <a:r>
              <a:rPr kumimoji="1" lang="ja-JP" altLang="en-US" sz="900"/>
              <a:t>システム</a:t>
            </a:r>
          </a:p>
        </xdr:txBody>
      </xdr:sp>
    </xdr:grpSp>
    <xdr:clientData/>
  </xdr:twoCellAnchor>
  <xdr:twoCellAnchor>
    <xdr:from>
      <xdr:col>6</xdr:col>
      <xdr:colOff>108327</xdr:colOff>
      <xdr:row>47</xdr:row>
      <xdr:rowOff>150864</xdr:rowOff>
    </xdr:from>
    <xdr:to>
      <xdr:col>23</xdr:col>
      <xdr:colOff>109604</xdr:colOff>
      <xdr:row>47</xdr:row>
      <xdr:rowOff>154146</xdr:rowOff>
    </xdr:to>
    <xdr:cxnSp macro="">
      <xdr:nvCxnSpPr>
        <xdr:cNvPr id="80" name="直線矢印コネクタ 79">
          <a:extLst>
            <a:ext uri="{FF2B5EF4-FFF2-40B4-BE49-F238E27FC236}">
              <a16:creationId xmlns:a16="http://schemas.microsoft.com/office/drawing/2014/main" id="{A96FE9DC-833F-4565-A73E-A37EFC0899D4}"/>
            </a:ext>
          </a:extLst>
        </xdr:cNvPr>
        <xdr:cNvCxnSpPr>
          <a:cxnSpLocks/>
          <a:stCxn id="30" idx="3"/>
          <a:endCxn id="78" idx="2"/>
        </xdr:cNvCxnSpPr>
      </xdr:nvCxnSpPr>
      <xdr:spPr>
        <a:xfrm flipV="1">
          <a:off x="6906002" y="19077039"/>
          <a:ext cx="3401702" cy="328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75209</xdr:colOff>
      <xdr:row>15</xdr:row>
      <xdr:rowOff>40377</xdr:rowOff>
    </xdr:from>
    <xdr:to>
      <xdr:col>4</xdr:col>
      <xdr:colOff>78334</xdr:colOff>
      <xdr:row>20</xdr:row>
      <xdr:rowOff>49734</xdr:rowOff>
    </xdr:to>
    <xdr:cxnSp macro="">
      <xdr:nvCxnSpPr>
        <xdr:cNvPr id="91" name="直線矢印コネクタ 27">
          <a:extLst>
            <a:ext uri="{FF2B5EF4-FFF2-40B4-BE49-F238E27FC236}">
              <a16:creationId xmlns:a16="http://schemas.microsoft.com/office/drawing/2014/main" id="{708EF668-491C-431C-B4EE-20CE9FCD9803}"/>
            </a:ext>
          </a:extLst>
        </xdr:cNvPr>
        <xdr:cNvCxnSpPr>
          <a:cxnSpLocks/>
          <a:stCxn id="275" idx="2"/>
          <a:endCxn id="12" idx="0"/>
        </xdr:cNvCxnSpPr>
      </xdr:nvCxnSpPr>
      <xdr:spPr>
        <a:xfrm flipH="1">
          <a:off x="6552209" y="2612127"/>
          <a:ext cx="3125" cy="84279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141903</xdr:colOff>
      <xdr:row>85</xdr:row>
      <xdr:rowOff>31327</xdr:rowOff>
    </xdr:from>
    <xdr:to>
      <xdr:col>13</xdr:col>
      <xdr:colOff>197483</xdr:colOff>
      <xdr:row>88</xdr:row>
      <xdr:rowOff>29017</xdr:rowOff>
    </xdr:to>
    <xdr:grpSp>
      <xdr:nvGrpSpPr>
        <xdr:cNvPr id="224" name="グループ化 223">
          <a:extLst>
            <a:ext uri="{FF2B5EF4-FFF2-40B4-BE49-F238E27FC236}">
              <a16:creationId xmlns:a16="http://schemas.microsoft.com/office/drawing/2014/main" id="{282FB962-7B8F-4D83-B0F6-B388A19DF260}"/>
            </a:ext>
          </a:extLst>
        </xdr:cNvPr>
        <xdr:cNvGrpSpPr/>
      </xdr:nvGrpSpPr>
      <xdr:grpSpPr>
        <a:xfrm>
          <a:off x="1589703" y="14642677"/>
          <a:ext cx="941405" cy="512040"/>
          <a:chOff x="2371526" y="2821131"/>
          <a:chExt cx="933032" cy="400203"/>
        </a:xfrm>
      </xdr:grpSpPr>
      <xdr:sp macro="" textlink="">
        <xdr:nvSpPr>
          <xdr:cNvPr id="225" name="フローチャート: 定義済み処理 224">
            <a:extLst>
              <a:ext uri="{FF2B5EF4-FFF2-40B4-BE49-F238E27FC236}">
                <a16:creationId xmlns:a16="http://schemas.microsoft.com/office/drawing/2014/main" id="{A8A315CC-7A75-EDD8-EC92-0936D898E7D1}"/>
              </a:ext>
            </a:extLst>
          </xdr:cNvPr>
          <xdr:cNvSpPr/>
        </xdr:nvSpPr>
        <xdr:spPr>
          <a:xfrm>
            <a:off x="2424134" y="2836786"/>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6" name="正方形/長方形 225">
            <a:extLst>
              <a:ext uri="{FF2B5EF4-FFF2-40B4-BE49-F238E27FC236}">
                <a16:creationId xmlns:a16="http://schemas.microsoft.com/office/drawing/2014/main" id="{7AD1EE0D-144B-C5AC-D8D7-21633BE172A9}"/>
              </a:ext>
            </a:extLst>
          </xdr:cNvPr>
          <xdr:cNvSpPr/>
        </xdr:nvSpPr>
        <xdr:spPr>
          <a:xfrm>
            <a:off x="2371526" y="2821131"/>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７</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承認</a:t>
            </a:r>
            <a:endParaRPr kumimoji="1" lang="en-US" altLang="ja-JP" sz="900"/>
          </a:p>
        </xdr:txBody>
      </xdr:sp>
    </xdr:grpSp>
    <xdr:clientData/>
  </xdr:twoCellAnchor>
  <xdr:twoCellAnchor>
    <xdr:from>
      <xdr:col>4</xdr:col>
      <xdr:colOff>138006</xdr:colOff>
      <xdr:row>72</xdr:row>
      <xdr:rowOff>105595</xdr:rowOff>
    </xdr:from>
    <xdr:to>
      <xdr:col>11</xdr:col>
      <xdr:colOff>67072</xdr:colOff>
      <xdr:row>85</xdr:row>
      <xdr:rowOff>47787</xdr:rowOff>
    </xdr:to>
    <xdr:cxnSp macro="">
      <xdr:nvCxnSpPr>
        <xdr:cNvPr id="227" name="コネクタ: カギ線 226">
          <a:extLst>
            <a:ext uri="{FF2B5EF4-FFF2-40B4-BE49-F238E27FC236}">
              <a16:creationId xmlns:a16="http://schemas.microsoft.com/office/drawing/2014/main" id="{8DAE7061-7CB8-4794-8E60-D58B5E0467D0}"/>
            </a:ext>
          </a:extLst>
        </xdr:cNvPr>
        <xdr:cNvCxnSpPr>
          <a:cxnSpLocks/>
          <a:stCxn id="39" idx="2"/>
          <a:endCxn id="225" idx="0"/>
        </xdr:cNvCxnSpPr>
      </xdr:nvCxnSpPr>
      <xdr:spPr>
        <a:xfrm rot="16200000" flipH="1">
          <a:off x="1055929" y="11995996"/>
          <a:ext cx="1118810" cy="134100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557</xdr:colOff>
      <xdr:row>84</xdr:row>
      <xdr:rowOff>150813</xdr:rowOff>
    </xdr:from>
    <xdr:to>
      <xdr:col>28</xdr:col>
      <xdr:colOff>21162</xdr:colOff>
      <xdr:row>88</xdr:row>
      <xdr:rowOff>132483</xdr:rowOff>
    </xdr:to>
    <xdr:grpSp>
      <xdr:nvGrpSpPr>
        <xdr:cNvPr id="228" name="グループ化 227">
          <a:extLst>
            <a:ext uri="{FF2B5EF4-FFF2-40B4-BE49-F238E27FC236}">
              <a16:creationId xmlns:a16="http://schemas.microsoft.com/office/drawing/2014/main" id="{749B72A4-5B5E-4133-B03F-FF7514FB2C3B}"/>
            </a:ext>
          </a:extLst>
        </xdr:cNvPr>
        <xdr:cNvGrpSpPr>
          <a:grpSpLocks noChangeAspect="1"/>
        </xdr:cNvGrpSpPr>
      </xdr:nvGrpSpPr>
      <xdr:grpSpPr>
        <a:xfrm>
          <a:off x="4162982" y="14590713"/>
          <a:ext cx="925480" cy="667470"/>
          <a:chOff x="7112000" y="2894406"/>
          <a:chExt cx="873125" cy="583001"/>
        </a:xfrm>
      </xdr:grpSpPr>
      <xdr:sp macro="" textlink="">
        <xdr:nvSpPr>
          <xdr:cNvPr id="229" name="フローチャート: 磁気ディスク 228">
            <a:extLst>
              <a:ext uri="{FF2B5EF4-FFF2-40B4-BE49-F238E27FC236}">
                <a16:creationId xmlns:a16="http://schemas.microsoft.com/office/drawing/2014/main" id="{E092F235-3DFD-3748-9EB0-873068B1EABB}"/>
              </a:ext>
            </a:extLst>
          </xdr:cNvPr>
          <xdr:cNvSpPr/>
        </xdr:nvSpPr>
        <xdr:spPr>
          <a:xfrm>
            <a:off x="7205535" y="2894406"/>
            <a:ext cx="675012" cy="534758"/>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0" name="正方形/長方形 229">
            <a:extLst>
              <a:ext uri="{FF2B5EF4-FFF2-40B4-BE49-F238E27FC236}">
                <a16:creationId xmlns:a16="http://schemas.microsoft.com/office/drawing/2014/main" id="{EF864FC8-AE41-DB0C-7FF3-F0A20EF3ACA8}"/>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三菱</a:t>
            </a:r>
          </a:p>
          <a:p>
            <a:pPr algn="ctr"/>
            <a:r>
              <a:rPr kumimoji="1" lang="en-US" altLang="ja-JP" sz="900">
                <a:solidFill>
                  <a:sysClr val="windowText" lastClr="000000"/>
                </a:solidFill>
              </a:rPr>
              <a:t>UFJ</a:t>
            </a:r>
            <a:r>
              <a:rPr kumimoji="1" lang="ja-JP" altLang="en-US" sz="900">
                <a:solidFill>
                  <a:sysClr val="windowText" lastClr="000000"/>
                </a:solidFill>
              </a:rPr>
              <a:t>銀行</a:t>
            </a:r>
          </a:p>
        </xdr:txBody>
      </xdr:sp>
    </xdr:grpSp>
    <xdr:clientData/>
  </xdr:twoCellAnchor>
  <xdr:twoCellAnchor>
    <xdr:from>
      <xdr:col>13</xdr:col>
      <xdr:colOff>124630</xdr:colOff>
      <xdr:row>86</xdr:row>
      <xdr:rowOff>114379</xdr:rowOff>
    </xdr:from>
    <xdr:to>
      <xdr:col>23</xdr:col>
      <xdr:colOff>107303</xdr:colOff>
      <xdr:row>86</xdr:row>
      <xdr:rowOff>121650</xdr:rowOff>
    </xdr:to>
    <xdr:cxnSp macro="">
      <xdr:nvCxnSpPr>
        <xdr:cNvPr id="231" name="直線矢印コネクタ 230">
          <a:extLst>
            <a:ext uri="{FF2B5EF4-FFF2-40B4-BE49-F238E27FC236}">
              <a16:creationId xmlns:a16="http://schemas.microsoft.com/office/drawing/2014/main" id="{6F032466-7ECC-4774-B215-19691535BE8E}"/>
            </a:ext>
          </a:extLst>
        </xdr:cNvPr>
        <xdr:cNvCxnSpPr>
          <a:cxnSpLocks/>
          <a:stCxn id="225" idx="3"/>
          <a:endCxn id="229" idx="2"/>
        </xdr:cNvCxnSpPr>
      </xdr:nvCxnSpPr>
      <xdr:spPr>
        <a:xfrm flipV="1">
          <a:off x="8325655" y="24184054"/>
          <a:ext cx="1982923" cy="727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138923</xdr:colOff>
      <xdr:row>88</xdr:row>
      <xdr:rowOff>16510</xdr:rowOff>
    </xdr:from>
    <xdr:to>
      <xdr:col>11</xdr:col>
      <xdr:colOff>64224</xdr:colOff>
      <xdr:row>96</xdr:row>
      <xdr:rowOff>96792</xdr:rowOff>
    </xdr:to>
    <xdr:cxnSp macro="">
      <xdr:nvCxnSpPr>
        <xdr:cNvPr id="232" name="コネクタ: カギ線 231">
          <a:extLst>
            <a:ext uri="{FF2B5EF4-FFF2-40B4-BE49-F238E27FC236}">
              <a16:creationId xmlns:a16="http://schemas.microsoft.com/office/drawing/2014/main" id="{C3CD327D-3030-426D-81EF-1AF67C5F5346}"/>
            </a:ext>
          </a:extLst>
        </xdr:cNvPr>
        <xdr:cNvCxnSpPr>
          <a:cxnSpLocks/>
          <a:stCxn id="225" idx="2"/>
          <a:endCxn id="45" idx="0"/>
        </xdr:cNvCxnSpPr>
      </xdr:nvCxnSpPr>
      <xdr:spPr>
        <a:xfrm rot="5400000">
          <a:off x="6822595" y="24149388"/>
          <a:ext cx="766082" cy="1325476"/>
        </a:xfrm>
        <a:prstGeom prst="bentConnector3">
          <a:avLst>
            <a:gd name="adj1" fmla="val 61009"/>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162716</xdr:colOff>
      <xdr:row>54</xdr:row>
      <xdr:rowOff>92075</xdr:rowOff>
    </xdr:from>
    <xdr:to>
      <xdr:col>7</xdr:col>
      <xdr:colOff>74134</xdr:colOff>
      <xdr:row>58</xdr:row>
      <xdr:rowOff>74399</xdr:rowOff>
    </xdr:to>
    <xdr:grpSp>
      <xdr:nvGrpSpPr>
        <xdr:cNvPr id="267" name="グループ化 266">
          <a:extLst>
            <a:ext uri="{FF2B5EF4-FFF2-40B4-BE49-F238E27FC236}">
              <a16:creationId xmlns:a16="http://schemas.microsoft.com/office/drawing/2014/main" id="{43ACE4DF-75ED-4A19-BFB8-49622232D8AD}"/>
            </a:ext>
          </a:extLst>
        </xdr:cNvPr>
        <xdr:cNvGrpSpPr/>
      </xdr:nvGrpSpPr>
      <xdr:grpSpPr>
        <a:xfrm>
          <a:off x="343691" y="9388475"/>
          <a:ext cx="997268" cy="668124"/>
          <a:chOff x="303173" y="4767162"/>
          <a:chExt cx="1003300" cy="631826"/>
        </a:xfrm>
      </xdr:grpSpPr>
      <xdr:sp macro="" textlink="">
        <xdr:nvSpPr>
          <xdr:cNvPr id="268" name="フローチャート: 判断 267">
            <a:extLst>
              <a:ext uri="{FF2B5EF4-FFF2-40B4-BE49-F238E27FC236}">
                <a16:creationId xmlns:a16="http://schemas.microsoft.com/office/drawing/2014/main" id="{A3B8F50D-6990-83B4-85A3-BB4255424CA6}"/>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69" name="正方形/長方形 48">
            <a:extLst>
              <a:ext uri="{FF2B5EF4-FFF2-40B4-BE49-F238E27FC236}">
                <a16:creationId xmlns:a16="http://schemas.microsoft.com/office/drawing/2014/main" id="{76F90203-14B5-F661-1021-2084D2F917EE}"/>
              </a:ext>
            </a:extLst>
          </xdr:cNvPr>
          <xdr:cNvSpPr/>
        </xdr:nvSpPr>
        <xdr:spPr>
          <a:xfrm>
            <a:off x="303173" y="4767162"/>
            <a:ext cx="1003300" cy="6318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ファイル出力か</a:t>
            </a:r>
            <a:endParaRPr kumimoji="1" lang="en-US" altLang="ja-JP" sz="900"/>
          </a:p>
        </xdr:txBody>
      </xdr:sp>
    </xdr:grpSp>
    <xdr:clientData/>
  </xdr:twoCellAnchor>
  <xdr:twoCellAnchor>
    <xdr:from>
      <xdr:col>4</xdr:col>
      <xdr:colOff>102436</xdr:colOff>
      <xdr:row>58</xdr:row>
      <xdr:rowOff>7637</xdr:rowOff>
    </xdr:from>
    <xdr:to>
      <xdr:col>4</xdr:col>
      <xdr:colOff>106874</xdr:colOff>
      <xdr:row>60</xdr:row>
      <xdr:rowOff>92281</xdr:rowOff>
    </xdr:to>
    <xdr:cxnSp macro="">
      <xdr:nvCxnSpPr>
        <xdr:cNvPr id="270" name="直線矢印コネクタ 27">
          <a:extLst>
            <a:ext uri="{FF2B5EF4-FFF2-40B4-BE49-F238E27FC236}">
              <a16:creationId xmlns:a16="http://schemas.microsoft.com/office/drawing/2014/main" id="{98E5FE59-57F2-48B6-99E1-9AAA11DA99C3}"/>
            </a:ext>
          </a:extLst>
        </xdr:cNvPr>
        <xdr:cNvCxnSpPr>
          <a:cxnSpLocks/>
          <a:stCxn id="268" idx="2"/>
          <a:endCxn id="33" idx="0"/>
        </xdr:cNvCxnSpPr>
      </xdr:nvCxnSpPr>
      <xdr:spPr>
        <a:xfrm>
          <a:off x="912061" y="9580262"/>
          <a:ext cx="4438" cy="41801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47623</xdr:colOff>
      <xdr:row>57</xdr:row>
      <xdr:rowOff>154780</xdr:rowOff>
    </xdr:from>
    <xdr:to>
      <xdr:col>6</xdr:col>
      <xdr:colOff>99992</xdr:colOff>
      <xdr:row>59</xdr:row>
      <xdr:rowOff>38229</xdr:rowOff>
    </xdr:to>
    <xdr:sp macro="" textlink="">
      <xdr:nvSpPr>
        <xdr:cNvPr id="271" name="テキスト ボックス 270">
          <a:extLst>
            <a:ext uri="{FF2B5EF4-FFF2-40B4-BE49-F238E27FC236}">
              <a16:creationId xmlns:a16="http://schemas.microsoft.com/office/drawing/2014/main" id="{301E81CD-0B27-4214-B9B5-237E5AB51A50}"/>
            </a:ext>
          </a:extLst>
        </xdr:cNvPr>
        <xdr:cNvSpPr txBox="1"/>
      </xdr:nvSpPr>
      <xdr:spPr>
        <a:xfrm>
          <a:off x="857248" y="9560718"/>
          <a:ext cx="457182" cy="216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xdr:col>
      <xdr:colOff>33391</xdr:colOff>
      <xdr:row>56</xdr:row>
      <xdr:rowOff>89863</xdr:rowOff>
    </xdr:from>
    <xdr:to>
      <xdr:col>4</xdr:col>
      <xdr:colOff>139009</xdr:colOff>
      <xdr:row>96</xdr:row>
      <xdr:rowOff>96204</xdr:rowOff>
    </xdr:to>
    <xdr:cxnSp macro="">
      <xdr:nvCxnSpPr>
        <xdr:cNvPr id="272" name="コネクタ: カギ線 271">
          <a:extLst>
            <a:ext uri="{FF2B5EF4-FFF2-40B4-BE49-F238E27FC236}">
              <a16:creationId xmlns:a16="http://schemas.microsoft.com/office/drawing/2014/main" id="{312E5B01-6127-4D0A-BFFB-95C10F055BDD}"/>
            </a:ext>
          </a:extLst>
        </xdr:cNvPr>
        <xdr:cNvCxnSpPr>
          <a:cxnSpLocks/>
          <a:stCxn id="268" idx="1"/>
          <a:endCxn id="45" idx="0"/>
        </xdr:cNvCxnSpPr>
      </xdr:nvCxnSpPr>
      <xdr:spPr>
        <a:xfrm rot="10800000" flipH="1" flipV="1">
          <a:off x="438204" y="9329113"/>
          <a:ext cx="510430" cy="4506904"/>
        </a:xfrm>
        <a:prstGeom prst="bentConnector4">
          <a:avLst>
            <a:gd name="adj1" fmla="val -24051"/>
            <a:gd name="adj2" fmla="val 9159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99220</xdr:colOff>
      <xdr:row>12</xdr:row>
      <xdr:rowOff>47625</xdr:rowOff>
    </xdr:from>
    <xdr:to>
      <xdr:col>7</xdr:col>
      <xdr:colOff>60933</xdr:colOff>
      <xdr:row>15</xdr:row>
      <xdr:rowOff>57055</xdr:rowOff>
    </xdr:to>
    <xdr:grpSp>
      <xdr:nvGrpSpPr>
        <xdr:cNvPr id="274" name="グループ化 273">
          <a:extLst>
            <a:ext uri="{FF2B5EF4-FFF2-40B4-BE49-F238E27FC236}">
              <a16:creationId xmlns:a16="http://schemas.microsoft.com/office/drawing/2014/main" id="{02A5F46F-3B9B-4466-9C44-326855A6F063}"/>
            </a:ext>
          </a:extLst>
        </xdr:cNvPr>
        <xdr:cNvGrpSpPr/>
      </xdr:nvGrpSpPr>
      <xdr:grpSpPr>
        <a:xfrm>
          <a:off x="280195" y="2133600"/>
          <a:ext cx="1047563" cy="523780"/>
          <a:chOff x="217092" y="5701906"/>
          <a:chExt cx="1153558" cy="542012"/>
        </a:xfrm>
      </xdr:grpSpPr>
      <xdr:sp macro="" textlink="">
        <xdr:nvSpPr>
          <xdr:cNvPr id="275" name="フローチャート: 他ページ結合子 274">
            <a:extLst>
              <a:ext uri="{FF2B5EF4-FFF2-40B4-BE49-F238E27FC236}">
                <a16:creationId xmlns:a16="http://schemas.microsoft.com/office/drawing/2014/main" id="{DF4EFC3D-9828-ACDB-8BDD-85FF436633AB}"/>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76" name="正方形/長方形 48">
            <a:extLst>
              <a:ext uri="{FF2B5EF4-FFF2-40B4-BE49-F238E27FC236}">
                <a16:creationId xmlns:a16="http://schemas.microsoft.com/office/drawing/2014/main" id="{14A3E30F-C867-0A24-3156-73EC3059E3A9}"/>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５．支払前</a:t>
            </a:r>
          </a:p>
        </xdr:txBody>
      </xdr:sp>
    </xdr:grpSp>
    <xdr:clientData/>
  </xdr:twoCellAnchor>
  <xdr:twoCellAnchor>
    <xdr:from>
      <xdr:col>4</xdr:col>
      <xdr:colOff>78432</xdr:colOff>
      <xdr:row>132</xdr:row>
      <xdr:rowOff>9515</xdr:rowOff>
    </xdr:from>
    <xdr:to>
      <xdr:col>4</xdr:col>
      <xdr:colOff>78433</xdr:colOff>
      <xdr:row>135</xdr:row>
      <xdr:rowOff>77310</xdr:rowOff>
    </xdr:to>
    <xdr:cxnSp macro="">
      <xdr:nvCxnSpPr>
        <xdr:cNvPr id="9" name="直線矢印コネクタ 27">
          <a:extLst>
            <a:ext uri="{FF2B5EF4-FFF2-40B4-BE49-F238E27FC236}">
              <a16:creationId xmlns:a16="http://schemas.microsoft.com/office/drawing/2014/main" id="{5F521BB7-D2F8-42AC-B2F0-3BCF5A33E72A}"/>
            </a:ext>
          </a:extLst>
        </xdr:cNvPr>
        <xdr:cNvCxnSpPr>
          <a:cxnSpLocks/>
          <a:stCxn id="60" idx="2"/>
          <a:endCxn id="83" idx="0"/>
        </xdr:cNvCxnSpPr>
      </xdr:nvCxnSpPr>
      <xdr:spPr>
        <a:xfrm>
          <a:off x="6555432" y="3917940"/>
          <a:ext cx="1" cy="56468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142941</xdr:colOff>
      <xdr:row>129</xdr:row>
      <xdr:rowOff>49734</xdr:rowOff>
    </xdr:from>
    <xdr:to>
      <xdr:col>7</xdr:col>
      <xdr:colOff>21695</xdr:colOff>
      <xdr:row>132</xdr:row>
      <xdr:rowOff>49293</xdr:rowOff>
    </xdr:to>
    <xdr:grpSp>
      <xdr:nvGrpSpPr>
        <xdr:cNvPr id="10" name="グループ化 9">
          <a:extLst>
            <a:ext uri="{FF2B5EF4-FFF2-40B4-BE49-F238E27FC236}">
              <a16:creationId xmlns:a16="http://schemas.microsoft.com/office/drawing/2014/main" id="{545D5880-04DA-4083-AAC5-360F0B931857}"/>
            </a:ext>
          </a:extLst>
        </xdr:cNvPr>
        <xdr:cNvGrpSpPr/>
      </xdr:nvGrpSpPr>
      <xdr:grpSpPr>
        <a:xfrm>
          <a:off x="323916" y="22204884"/>
          <a:ext cx="964604" cy="513909"/>
          <a:chOff x="1631877" y="2457450"/>
          <a:chExt cx="933032" cy="401392"/>
        </a:xfrm>
      </xdr:grpSpPr>
      <xdr:sp macro="" textlink="">
        <xdr:nvSpPr>
          <xdr:cNvPr id="60" name="フローチャート: 定義済み処理 59">
            <a:extLst>
              <a:ext uri="{FF2B5EF4-FFF2-40B4-BE49-F238E27FC236}">
                <a16:creationId xmlns:a16="http://schemas.microsoft.com/office/drawing/2014/main" id="{1DC6D33B-DD56-5228-0319-108C0CCAD86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1" name="正方形/長方形 80">
            <a:extLst>
              <a:ext uri="{FF2B5EF4-FFF2-40B4-BE49-F238E27FC236}">
                <a16:creationId xmlns:a16="http://schemas.microsoft.com/office/drawing/2014/main" id="{DE42F4D4-BF59-6F6E-8DC7-AE1500E20FCC}"/>
              </a:ext>
            </a:extLst>
          </xdr:cNvPr>
          <xdr:cNvSpPr/>
        </xdr:nvSpPr>
        <xdr:spPr>
          <a:xfrm>
            <a:off x="1631877" y="2458639"/>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１．電子記録債務決済データ抽出</a:t>
            </a:r>
            <a:endParaRPr kumimoji="1" lang="en-US" altLang="ja-JP" sz="900"/>
          </a:p>
        </xdr:txBody>
      </xdr:sp>
    </xdr:grpSp>
    <xdr:clientData/>
  </xdr:twoCellAnchor>
  <xdr:twoCellAnchor>
    <xdr:from>
      <xdr:col>1</xdr:col>
      <xdr:colOff>126997</xdr:colOff>
      <xdr:row>135</xdr:row>
      <xdr:rowOff>39677</xdr:rowOff>
    </xdr:from>
    <xdr:to>
      <xdr:col>6</xdr:col>
      <xdr:colOff>201081</xdr:colOff>
      <xdr:row>138</xdr:row>
      <xdr:rowOff>39677</xdr:rowOff>
    </xdr:to>
    <xdr:grpSp>
      <xdr:nvGrpSpPr>
        <xdr:cNvPr id="82" name="グループ化 81">
          <a:extLst>
            <a:ext uri="{FF2B5EF4-FFF2-40B4-BE49-F238E27FC236}">
              <a16:creationId xmlns:a16="http://schemas.microsoft.com/office/drawing/2014/main" id="{A14B10B1-59F1-429F-94E6-0E1525FDDFD0}"/>
            </a:ext>
          </a:extLst>
        </xdr:cNvPr>
        <xdr:cNvGrpSpPr/>
      </xdr:nvGrpSpPr>
      <xdr:grpSpPr>
        <a:xfrm>
          <a:off x="307972" y="23223527"/>
          <a:ext cx="959909" cy="514350"/>
          <a:chOff x="1612900" y="2427475"/>
          <a:chExt cx="933032" cy="404625"/>
        </a:xfrm>
      </xdr:grpSpPr>
      <xdr:sp macro="" textlink="">
        <xdr:nvSpPr>
          <xdr:cNvPr id="83" name="フローチャート: 定義済み処理 82">
            <a:extLst>
              <a:ext uri="{FF2B5EF4-FFF2-40B4-BE49-F238E27FC236}">
                <a16:creationId xmlns:a16="http://schemas.microsoft.com/office/drawing/2014/main" id="{D563F5F5-6BD7-9163-7396-AF4404565D8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4" name="正方形/長方形 83">
            <a:extLst>
              <a:ext uri="{FF2B5EF4-FFF2-40B4-BE49-F238E27FC236}">
                <a16:creationId xmlns:a16="http://schemas.microsoft.com/office/drawing/2014/main" id="{9DF5F722-BD37-30AC-26EE-B88E9324E097}"/>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２．電子記録債務決済承認申請</a:t>
            </a:r>
            <a:endParaRPr kumimoji="1" lang="en-US" altLang="ja-JP" sz="900"/>
          </a:p>
        </xdr:txBody>
      </xdr:sp>
    </xdr:grpSp>
    <xdr:clientData/>
  </xdr:twoCellAnchor>
  <xdr:twoCellAnchor>
    <xdr:from>
      <xdr:col>8</xdr:col>
      <xdr:colOff>20639</xdr:colOff>
      <xdr:row>143</xdr:row>
      <xdr:rowOff>11652</xdr:rowOff>
    </xdr:from>
    <xdr:to>
      <xdr:col>14</xdr:col>
      <xdr:colOff>201878</xdr:colOff>
      <xdr:row>146</xdr:row>
      <xdr:rowOff>8196</xdr:rowOff>
    </xdr:to>
    <xdr:grpSp>
      <xdr:nvGrpSpPr>
        <xdr:cNvPr id="85" name="グループ化 84">
          <a:extLst>
            <a:ext uri="{FF2B5EF4-FFF2-40B4-BE49-F238E27FC236}">
              <a16:creationId xmlns:a16="http://schemas.microsoft.com/office/drawing/2014/main" id="{E29F7194-B3EA-4B84-AAB2-4E4C063582A3}"/>
            </a:ext>
          </a:extLst>
        </xdr:cNvPr>
        <xdr:cNvGrpSpPr/>
      </xdr:nvGrpSpPr>
      <xdr:grpSpPr>
        <a:xfrm>
          <a:off x="1468439" y="24567102"/>
          <a:ext cx="1248039" cy="510894"/>
          <a:chOff x="1518693" y="2445245"/>
          <a:chExt cx="1168180" cy="400203"/>
        </a:xfrm>
      </xdr:grpSpPr>
      <xdr:sp macro="" textlink="">
        <xdr:nvSpPr>
          <xdr:cNvPr id="86" name="フローチャート: 定義済み処理 85">
            <a:extLst>
              <a:ext uri="{FF2B5EF4-FFF2-40B4-BE49-F238E27FC236}">
                <a16:creationId xmlns:a16="http://schemas.microsoft.com/office/drawing/2014/main" id="{5CB8901B-F0C4-BE92-3D1C-C5D9E46BD79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7" name="正方形/長方形 86">
            <a:extLst>
              <a:ext uri="{FF2B5EF4-FFF2-40B4-BE49-F238E27FC236}">
                <a16:creationId xmlns:a16="http://schemas.microsoft.com/office/drawing/2014/main" id="{CE3DE830-0D7F-60D7-9407-8A0478557CAA}"/>
              </a:ext>
            </a:extLst>
          </xdr:cNvPr>
          <xdr:cNvSpPr/>
        </xdr:nvSpPr>
        <xdr:spPr>
          <a:xfrm>
            <a:off x="1518693" y="2445245"/>
            <a:ext cx="1168180"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３．電子記録債務決済承認</a:t>
            </a:r>
            <a:r>
              <a:rPr kumimoji="1" lang="en-US" altLang="ja-JP" sz="900"/>
              <a:t>/</a:t>
            </a:r>
            <a:r>
              <a:rPr kumimoji="1" lang="ja-JP" altLang="en-US" sz="900"/>
              <a:t>変更依頼</a:t>
            </a:r>
            <a:endParaRPr kumimoji="1" lang="en-US" altLang="ja-JP" sz="900"/>
          </a:p>
        </xdr:txBody>
      </xdr:sp>
    </xdr:grpSp>
    <xdr:clientData/>
  </xdr:twoCellAnchor>
  <xdr:twoCellAnchor>
    <xdr:from>
      <xdr:col>16</xdr:col>
      <xdr:colOff>444</xdr:colOff>
      <xdr:row>128</xdr:row>
      <xdr:rowOff>160330</xdr:rowOff>
    </xdr:from>
    <xdr:to>
      <xdr:col>21</xdr:col>
      <xdr:colOff>6419</xdr:colOff>
      <xdr:row>132</xdr:row>
      <xdr:rowOff>134830</xdr:rowOff>
    </xdr:to>
    <xdr:grpSp>
      <xdr:nvGrpSpPr>
        <xdr:cNvPr id="88" name="グループ化 87">
          <a:extLst>
            <a:ext uri="{FF2B5EF4-FFF2-40B4-BE49-F238E27FC236}">
              <a16:creationId xmlns:a16="http://schemas.microsoft.com/office/drawing/2014/main" id="{2528CA21-4AD2-4B66-AC4B-879242F43D43}"/>
            </a:ext>
          </a:extLst>
        </xdr:cNvPr>
        <xdr:cNvGrpSpPr/>
      </xdr:nvGrpSpPr>
      <xdr:grpSpPr>
        <a:xfrm>
          <a:off x="2896044" y="22144030"/>
          <a:ext cx="910850" cy="660300"/>
          <a:chOff x="7111999" y="2892425"/>
          <a:chExt cx="873125" cy="584982"/>
        </a:xfrm>
      </xdr:grpSpPr>
      <xdr:sp macro="" textlink="">
        <xdr:nvSpPr>
          <xdr:cNvPr id="89" name="フローチャート: 磁気ディスク 88">
            <a:extLst>
              <a:ext uri="{FF2B5EF4-FFF2-40B4-BE49-F238E27FC236}">
                <a16:creationId xmlns:a16="http://schemas.microsoft.com/office/drawing/2014/main" id="{A5249707-A131-F74A-3E4D-879CF2B0E0D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 name="正方形/長方形 89">
            <a:extLst>
              <a:ext uri="{FF2B5EF4-FFF2-40B4-BE49-F238E27FC236}">
                <a16:creationId xmlns:a16="http://schemas.microsoft.com/office/drawing/2014/main" id="{D473F60A-3973-A8F7-D540-BD424787718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支払手形仕訳帳の決済</a:t>
            </a:r>
            <a:endParaRPr kumimoji="1" lang="en-US" altLang="ja-JP" sz="900"/>
          </a:p>
        </xdr:txBody>
      </xdr:sp>
    </xdr:grpSp>
    <xdr:clientData/>
  </xdr:twoCellAnchor>
  <xdr:twoCellAnchor>
    <xdr:from>
      <xdr:col>6</xdr:col>
      <xdr:colOff>147261</xdr:colOff>
      <xdr:row>130</xdr:row>
      <xdr:rowOff>116174</xdr:rowOff>
    </xdr:from>
    <xdr:to>
      <xdr:col>16</xdr:col>
      <xdr:colOff>107436</xdr:colOff>
      <xdr:row>130</xdr:row>
      <xdr:rowOff>122330</xdr:rowOff>
    </xdr:to>
    <xdr:cxnSp macro="">
      <xdr:nvCxnSpPr>
        <xdr:cNvPr id="92" name="直線矢印コネクタ 91">
          <a:extLst>
            <a:ext uri="{FF2B5EF4-FFF2-40B4-BE49-F238E27FC236}">
              <a16:creationId xmlns:a16="http://schemas.microsoft.com/office/drawing/2014/main" id="{38B75E40-D854-4360-8BDA-FB4E9BDF3CB4}"/>
            </a:ext>
          </a:extLst>
        </xdr:cNvPr>
        <xdr:cNvCxnSpPr>
          <a:cxnSpLocks/>
          <a:stCxn id="60" idx="3"/>
          <a:endCxn id="89" idx="2"/>
        </xdr:cNvCxnSpPr>
      </xdr:nvCxnSpPr>
      <xdr:spPr>
        <a:xfrm>
          <a:off x="7025899" y="3688049"/>
          <a:ext cx="1984237" cy="933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60323</xdr:colOff>
      <xdr:row>138</xdr:row>
      <xdr:rowOff>34124</xdr:rowOff>
    </xdr:from>
    <xdr:to>
      <xdr:col>11</xdr:col>
      <xdr:colOff>96716</xdr:colOff>
      <xdr:row>143</xdr:row>
      <xdr:rowOff>30214</xdr:rowOff>
    </xdr:to>
    <xdr:cxnSp macro="">
      <xdr:nvCxnSpPr>
        <xdr:cNvPr id="93" name="コネクタ: カギ線 92">
          <a:extLst>
            <a:ext uri="{FF2B5EF4-FFF2-40B4-BE49-F238E27FC236}">
              <a16:creationId xmlns:a16="http://schemas.microsoft.com/office/drawing/2014/main" id="{6887215A-AD0D-4B4A-A766-34F2732346AD}"/>
            </a:ext>
          </a:extLst>
        </xdr:cNvPr>
        <xdr:cNvCxnSpPr>
          <a:cxnSpLocks/>
          <a:stCxn id="84" idx="2"/>
          <a:endCxn id="86" idx="0"/>
        </xdr:cNvCxnSpPr>
      </xdr:nvCxnSpPr>
      <xdr:spPr>
        <a:xfrm rot="16200000" flipH="1">
          <a:off x="6849178" y="4624469"/>
          <a:ext cx="829528" cy="145323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165093</xdr:colOff>
      <xdr:row>149</xdr:row>
      <xdr:rowOff>122236</xdr:rowOff>
    </xdr:from>
    <xdr:to>
      <xdr:col>14</xdr:col>
      <xdr:colOff>36506</xdr:colOff>
      <xdr:row>153</xdr:row>
      <xdr:rowOff>106361</xdr:rowOff>
    </xdr:to>
    <xdr:grpSp>
      <xdr:nvGrpSpPr>
        <xdr:cNvPr id="94" name="グループ化 93">
          <a:extLst>
            <a:ext uri="{FF2B5EF4-FFF2-40B4-BE49-F238E27FC236}">
              <a16:creationId xmlns:a16="http://schemas.microsoft.com/office/drawing/2014/main" id="{EEB81EF9-166C-4520-9D20-70AD7B6AC88C}"/>
            </a:ext>
          </a:extLst>
        </xdr:cNvPr>
        <xdr:cNvGrpSpPr/>
      </xdr:nvGrpSpPr>
      <xdr:grpSpPr>
        <a:xfrm>
          <a:off x="1612893" y="25706386"/>
          <a:ext cx="957263" cy="669925"/>
          <a:chOff x="285750" y="4792662"/>
          <a:chExt cx="1003300" cy="631826"/>
        </a:xfrm>
      </xdr:grpSpPr>
      <xdr:sp macro="" textlink="">
        <xdr:nvSpPr>
          <xdr:cNvPr id="95" name="フローチャート: 判断 94">
            <a:extLst>
              <a:ext uri="{FF2B5EF4-FFF2-40B4-BE49-F238E27FC236}">
                <a16:creationId xmlns:a16="http://schemas.microsoft.com/office/drawing/2014/main" id="{EABA419D-489F-162F-7B47-ADF2EB2C0D3F}"/>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96" name="正方形/長方形 48">
            <a:extLst>
              <a:ext uri="{FF2B5EF4-FFF2-40B4-BE49-F238E27FC236}">
                <a16:creationId xmlns:a16="http://schemas.microsoft.com/office/drawing/2014/main" id="{CFBEAC27-005D-FC80-C302-10D84E8D729C}"/>
              </a:ext>
            </a:extLst>
          </xdr:cNvPr>
          <xdr:cNvSpPr/>
        </xdr:nvSpPr>
        <xdr:spPr>
          <a:xfrm>
            <a:off x="285750" y="4792662"/>
            <a:ext cx="1003300" cy="6318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p>
        </xdr:txBody>
      </xdr:sp>
    </xdr:grpSp>
    <xdr:clientData/>
  </xdr:twoCellAnchor>
  <xdr:twoCellAnchor>
    <xdr:from>
      <xdr:col>11</xdr:col>
      <xdr:colOff>96715</xdr:colOff>
      <xdr:row>145</xdr:row>
      <xdr:rowOff>163665</xdr:rowOff>
    </xdr:from>
    <xdr:to>
      <xdr:col>11</xdr:col>
      <xdr:colOff>104211</xdr:colOff>
      <xdr:row>150</xdr:row>
      <xdr:rowOff>7748</xdr:rowOff>
    </xdr:to>
    <xdr:cxnSp macro="">
      <xdr:nvCxnSpPr>
        <xdr:cNvPr id="97" name="直線矢印コネクタ 96">
          <a:extLst>
            <a:ext uri="{FF2B5EF4-FFF2-40B4-BE49-F238E27FC236}">
              <a16:creationId xmlns:a16="http://schemas.microsoft.com/office/drawing/2014/main" id="{67A14AD5-90B7-4236-9846-922682885B1A}"/>
            </a:ext>
          </a:extLst>
        </xdr:cNvPr>
        <xdr:cNvCxnSpPr>
          <a:cxnSpLocks/>
          <a:stCxn id="86" idx="2"/>
          <a:endCxn id="95" idx="0"/>
        </xdr:cNvCxnSpPr>
      </xdr:nvCxnSpPr>
      <xdr:spPr>
        <a:xfrm>
          <a:off x="7990559" y="6232678"/>
          <a:ext cx="10671" cy="6838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88362</xdr:colOff>
      <xdr:row>154</xdr:row>
      <xdr:rowOff>55562</xdr:rowOff>
    </xdr:from>
    <xdr:to>
      <xdr:col>6</xdr:col>
      <xdr:colOff>162446</xdr:colOff>
      <xdr:row>157</xdr:row>
      <xdr:rowOff>55562</xdr:rowOff>
    </xdr:to>
    <xdr:grpSp>
      <xdr:nvGrpSpPr>
        <xdr:cNvPr id="98" name="グループ化 97">
          <a:extLst>
            <a:ext uri="{FF2B5EF4-FFF2-40B4-BE49-F238E27FC236}">
              <a16:creationId xmlns:a16="http://schemas.microsoft.com/office/drawing/2014/main" id="{D68A85F5-0358-45F9-B5A5-714BADCF2D13}"/>
            </a:ext>
          </a:extLst>
        </xdr:cNvPr>
        <xdr:cNvGrpSpPr/>
      </xdr:nvGrpSpPr>
      <xdr:grpSpPr>
        <a:xfrm>
          <a:off x="269337" y="26496962"/>
          <a:ext cx="978959" cy="523875"/>
          <a:chOff x="1612900" y="2427475"/>
          <a:chExt cx="933032" cy="404625"/>
        </a:xfrm>
      </xdr:grpSpPr>
      <xdr:sp macro="" textlink="">
        <xdr:nvSpPr>
          <xdr:cNvPr id="99" name="フローチャート: 定義済み処理 98">
            <a:extLst>
              <a:ext uri="{FF2B5EF4-FFF2-40B4-BE49-F238E27FC236}">
                <a16:creationId xmlns:a16="http://schemas.microsoft.com/office/drawing/2014/main" id="{7EA9A492-BDDF-B4C0-292E-DC54D2FF6FF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0" name="正方形/長方形 99">
            <a:extLst>
              <a:ext uri="{FF2B5EF4-FFF2-40B4-BE49-F238E27FC236}">
                <a16:creationId xmlns:a16="http://schemas.microsoft.com/office/drawing/2014/main" id="{DA70826D-2C12-60B9-0331-CBF10F621D02}"/>
              </a:ext>
            </a:extLst>
          </xdr:cNvPr>
          <xdr:cNvSpPr/>
        </xdr:nvSpPr>
        <xdr:spPr>
          <a:xfrm>
            <a:off x="1612900"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４．不備修正</a:t>
            </a:r>
            <a:endParaRPr kumimoji="1" lang="en-US" altLang="ja-JP" sz="900"/>
          </a:p>
        </xdr:txBody>
      </xdr:sp>
    </xdr:grpSp>
    <xdr:clientData/>
  </xdr:twoCellAnchor>
  <xdr:twoCellAnchor>
    <xdr:from>
      <xdr:col>1</xdr:col>
      <xdr:colOff>177992</xdr:colOff>
      <xdr:row>162</xdr:row>
      <xdr:rowOff>59159</xdr:rowOff>
    </xdr:from>
    <xdr:to>
      <xdr:col>7</xdr:col>
      <xdr:colOff>86552</xdr:colOff>
      <xdr:row>165</xdr:row>
      <xdr:rowOff>59159</xdr:rowOff>
    </xdr:to>
    <xdr:grpSp>
      <xdr:nvGrpSpPr>
        <xdr:cNvPr id="113" name="グループ化 112">
          <a:extLst>
            <a:ext uri="{FF2B5EF4-FFF2-40B4-BE49-F238E27FC236}">
              <a16:creationId xmlns:a16="http://schemas.microsoft.com/office/drawing/2014/main" id="{6F336080-F584-433A-B095-BD7F92197854}"/>
            </a:ext>
          </a:extLst>
        </xdr:cNvPr>
        <xdr:cNvGrpSpPr/>
      </xdr:nvGrpSpPr>
      <xdr:grpSpPr>
        <a:xfrm>
          <a:off x="358967" y="27881684"/>
          <a:ext cx="994410" cy="514350"/>
          <a:chOff x="1620212" y="2427475"/>
          <a:chExt cx="933032" cy="404625"/>
        </a:xfrm>
      </xdr:grpSpPr>
      <xdr:sp macro="" textlink="">
        <xdr:nvSpPr>
          <xdr:cNvPr id="114" name="フローチャート: 定義済み処理 113">
            <a:extLst>
              <a:ext uri="{FF2B5EF4-FFF2-40B4-BE49-F238E27FC236}">
                <a16:creationId xmlns:a16="http://schemas.microsoft.com/office/drawing/2014/main" id="{125D234F-8E68-41AE-3036-B6808AE1C3F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5" name="正方形/長方形 114">
            <a:extLst>
              <a:ext uri="{FF2B5EF4-FFF2-40B4-BE49-F238E27FC236}">
                <a16:creationId xmlns:a16="http://schemas.microsoft.com/office/drawing/2014/main" id="{CF241906-2BF4-9E04-8DC5-88B8BEFB1CBA}"/>
              </a:ext>
            </a:extLst>
          </xdr:cNvPr>
          <xdr:cNvSpPr/>
        </xdr:nvSpPr>
        <xdr:spPr>
          <a:xfrm>
            <a:off x="1620212" y="242747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５．電子記録債務決済計上</a:t>
            </a:r>
            <a:endParaRPr kumimoji="1" lang="en-US" altLang="ja-JP" sz="900"/>
          </a:p>
        </xdr:txBody>
      </xdr:sp>
    </xdr:grpSp>
    <xdr:clientData/>
  </xdr:twoCellAnchor>
  <xdr:twoCellAnchor>
    <xdr:from>
      <xdr:col>4</xdr:col>
      <xdr:colOff>39799</xdr:colOff>
      <xdr:row>151</xdr:row>
      <xdr:rowOff>94355</xdr:rowOff>
    </xdr:from>
    <xdr:to>
      <xdr:col>9</xdr:col>
      <xdr:colOff>49525</xdr:colOff>
      <xdr:row>154</xdr:row>
      <xdr:rowOff>93978</xdr:rowOff>
    </xdr:to>
    <xdr:cxnSp macro="">
      <xdr:nvCxnSpPr>
        <xdr:cNvPr id="116" name="コネクタ: カギ線 115">
          <a:extLst>
            <a:ext uri="{FF2B5EF4-FFF2-40B4-BE49-F238E27FC236}">
              <a16:creationId xmlns:a16="http://schemas.microsoft.com/office/drawing/2014/main" id="{CE4FC308-442F-4EEE-B33F-AC85474C8FF4}"/>
            </a:ext>
          </a:extLst>
        </xdr:cNvPr>
        <xdr:cNvCxnSpPr>
          <a:cxnSpLocks/>
          <a:stCxn id="95" idx="1"/>
          <a:endCxn id="99" idx="0"/>
        </xdr:cNvCxnSpPr>
      </xdr:nvCxnSpPr>
      <xdr:spPr>
        <a:xfrm rot="10800000" flipV="1">
          <a:off x="6516799" y="7166668"/>
          <a:ext cx="1018582" cy="499685"/>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138971</xdr:colOff>
      <xdr:row>153</xdr:row>
      <xdr:rowOff>10880</xdr:rowOff>
    </xdr:from>
    <xdr:to>
      <xdr:col>11</xdr:col>
      <xdr:colOff>102658</xdr:colOff>
      <xdr:row>162</xdr:row>
      <xdr:rowOff>96205</xdr:rowOff>
    </xdr:to>
    <xdr:cxnSp macro="">
      <xdr:nvCxnSpPr>
        <xdr:cNvPr id="117" name="コネクタ: カギ線 116">
          <a:extLst>
            <a:ext uri="{FF2B5EF4-FFF2-40B4-BE49-F238E27FC236}">
              <a16:creationId xmlns:a16="http://schemas.microsoft.com/office/drawing/2014/main" id="{5FF07F05-2920-412A-A687-E8819F7FAE0D}"/>
            </a:ext>
          </a:extLst>
        </xdr:cNvPr>
        <xdr:cNvCxnSpPr>
          <a:cxnSpLocks/>
          <a:stCxn id="95" idx="2"/>
          <a:endCxn id="114" idx="0"/>
        </xdr:cNvCxnSpPr>
      </xdr:nvCxnSpPr>
      <xdr:spPr>
        <a:xfrm rot="5400000">
          <a:off x="4090559" y="25289136"/>
          <a:ext cx="6431356" cy="1380531"/>
        </a:xfrm>
        <a:prstGeom prst="bentConnector3">
          <a:avLst>
            <a:gd name="adj1" fmla="val 7154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112492</xdr:colOff>
      <xdr:row>150</xdr:row>
      <xdr:rowOff>3070</xdr:rowOff>
    </xdr:from>
    <xdr:to>
      <xdr:col>8</xdr:col>
      <xdr:colOff>18584</xdr:colOff>
      <xdr:row>151</xdr:row>
      <xdr:rowOff>120967</xdr:rowOff>
    </xdr:to>
    <xdr:sp macro="" textlink="">
      <xdr:nvSpPr>
        <xdr:cNvPr id="119" name="テキスト ボックス 118">
          <a:extLst>
            <a:ext uri="{FF2B5EF4-FFF2-40B4-BE49-F238E27FC236}">
              <a16:creationId xmlns:a16="http://schemas.microsoft.com/office/drawing/2014/main" id="{80411EF6-2DBE-4D4C-89A7-840A6A882077}"/>
            </a:ext>
          </a:extLst>
        </xdr:cNvPr>
        <xdr:cNvSpPr txBox="1"/>
      </xdr:nvSpPr>
      <xdr:spPr>
        <a:xfrm>
          <a:off x="6589492" y="6908695"/>
          <a:ext cx="715717" cy="287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11</xdr:col>
      <xdr:colOff>47316</xdr:colOff>
      <xdr:row>153</xdr:row>
      <xdr:rowOff>20501</xdr:rowOff>
    </xdr:from>
    <xdr:to>
      <xdr:col>13</xdr:col>
      <xdr:colOff>118157</xdr:colOff>
      <xdr:row>154</xdr:row>
      <xdr:rowOff>83727</xdr:rowOff>
    </xdr:to>
    <xdr:sp macro="" textlink="">
      <xdr:nvSpPr>
        <xdr:cNvPr id="120" name="テキスト ボックス 119">
          <a:extLst>
            <a:ext uri="{FF2B5EF4-FFF2-40B4-BE49-F238E27FC236}">
              <a16:creationId xmlns:a16="http://schemas.microsoft.com/office/drawing/2014/main" id="{418E8D9E-81F9-4627-99A7-3842F4C137E0}"/>
            </a:ext>
          </a:extLst>
        </xdr:cNvPr>
        <xdr:cNvSpPr txBox="1"/>
      </xdr:nvSpPr>
      <xdr:spPr>
        <a:xfrm>
          <a:off x="7944335" y="7426189"/>
          <a:ext cx="475653" cy="233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15</xdr:col>
      <xdr:colOff>142403</xdr:colOff>
      <xdr:row>162</xdr:row>
      <xdr:rowOff>11645</xdr:rowOff>
    </xdr:from>
    <xdr:to>
      <xdr:col>20</xdr:col>
      <xdr:colOff>157751</xdr:colOff>
      <xdr:row>166</xdr:row>
      <xdr:rowOff>30594</xdr:rowOff>
    </xdr:to>
    <xdr:grpSp>
      <xdr:nvGrpSpPr>
        <xdr:cNvPr id="125" name="グループ化 124">
          <a:extLst>
            <a:ext uri="{FF2B5EF4-FFF2-40B4-BE49-F238E27FC236}">
              <a16:creationId xmlns:a16="http://schemas.microsoft.com/office/drawing/2014/main" id="{EF5485B1-FDA6-4443-9DCC-7A1BB7033A3A}"/>
            </a:ext>
            <a:ext uri="{147F2762-F138-4A5C-976F-8EAC2B608ADB}">
              <a16:predDERef xmlns:a16="http://schemas.microsoft.com/office/drawing/2014/main" pred="{418E8D9E-81F9-4627-99A7-3842F4C137E0}"/>
            </a:ext>
          </a:extLst>
        </xdr:cNvPr>
        <xdr:cNvGrpSpPr/>
      </xdr:nvGrpSpPr>
      <xdr:grpSpPr>
        <a:xfrm>
          <a:off x="2857028" y="27834170"/>
          <a:ext cx="920223" cy="704749"/>
          <a:chOff x="7111999" y="2892425"/>
          <a:chExt cx="873125" cy="584982"/>
        </a:xfrm>
      </xdr:grpSpPr>
      <xdr:sp macro="" textlink="">
        <xdr:nvSpPr>
          <xdr:cNvPr id="126" name="フローチャート: 磁気ディスク 125">
            <a:extLst>
              <a:ext uri="{FF2B5EF4-FFF2-40B4-BE49-F238E27FC236}">
                <a16:creationId xmlns:a16="http://schemas.microsoft.com/office/drawing/2014/main" id="{D9521146-7FF7-80BD-CB3B-3DA72C474E4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7" name="正方形/長方形 126">
            <a:extLst>
              <a:ext uri="{FF2B5EF4-FFF2-40B4-BE49-F238E27FC236}">
                <a16:creationId xmlns:a16="http://schemas.microsoft.com/office/drawing/2014/main" id="{2E92896C-A5F3-17AC-B6D4-E5AA98F61A9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支払手形仕訳帳の決済</a:t>
            </a:r>
          </a:p>
        </xdr:txBody>
      </xdr:sp>
    </xdr:grpSp>
    <xdr:clientData/>
  </xdr:twoCellAnchor>
  <xdr:twoCellAnchor>
    <xdr:from>
      <xdr:col>7</xdr:col>
      <xdr:colOff>29355</xdr:colOff>
      <xdr:row>163</xdr:row>
      <xdr:rowOff>161644</xdr:rowOff>
    </xdr:from>
    <xdr:to>
      <xdr:col>16</xdr:col>
      <xdr:colOff>58971</xdr:colOff>
      <xdr:row>163</xdr:row>
      <xdr:rowOff>162642</xdr:rowOff>
    </xdr:to>
    <xdr:cxnSp macro="">
      <xdr:nvCxnSpPr>
        <xdr:cNvPr id="192" name="直線矢印コネクタ 191">
          <a:extLst>
            <a:ext uri="{FF2B5EF4-FFF2-40B4-BE49-F238E27FC236}">
              <a16:creationId xmlns:a16="http://schemas.microsoft.com/office/drawing/2014/main" id="{09858EE7-3221-4CAE-B13B-26223511F501}"/>
            </a:ext>
            <a:ext uri="{147F2762-F138-4A5C-976F-8EAC2B608ADB}">
              <a16:predDERef xmlns:a16="http://schemas.microsoft.com/office/drawing/2014/main" pred="{EF5485B1-FDA6-4443-9DCC-7A1BB7033A3A}"/>
            </a:ext>
          </a:extLst>
        </xdr:cNvPr>
        <xdr:cNvCxnSpPr>
          <a:cxnSpLocks/>
          <a:stCxn id="114" idx="3"/>
          <a:endCxn id="126" idx="2"/>
          <a:extLst>
            <a:ext uri="{5F17804C-33F3-41E3-A699-7DCFA2EF7971}">
              <a16:cxnDERefs xmlns:a16="http://schemas.microsoft.com/office/drawing/2014/main" st="{125D234F-8E68-41AE-3036-B6808AE1C3FA}" end="{D9521146-7FF7-80BD-CB3B-3DA72C474E43}"/>
            </a:ext>
          </a:extLst>
        </xdr:cNvCxnSpPr>
      </xdr:nvCxnSpPr>
      <xdr:spPr>
        <a:xfrm flipV="1">
          <a:off x="1288772" y="27837061"/>
          <a:ext cx="1648866" cy="99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138945</xdr:colOff>
      <xdr:row>165</xdr:row>
      <xdr:rowOff>59159</xdr:rowOff>
    </xdr:from>
    <xdr:to>
      <xdr:col>4</xdr:col>
      <xdr:colOff>147206</xdr:colOff>
      <xdr:row>183</xdr:row>
      <xdr:rowOff>109431</xdr:rowOff>
    </xdr:to>
    <xdr:cxnSp macro="">
      <xdr:nvCxnSpPr>
        <xdr:cNvPr id="193" name="直線矢印コネクタ 27">
          <a:extLst>
            <a:ext uri="{FF2B5EF4-FFF2-40B4-BE49-F238E27FC236}">
              <a16:creationId xmlns:a16="http://schemas.microsoft.com/office/drawing/2014/main" id="{1278C08B-0F91-46C1-AB21-C6BD969409FA}"/>
            </a:ext>
          </a:extLst>
        </xdr:cNvPr>
        <xdr:cNvCxnSpPr>
          <a:cxnSpLocks/>
          <a:stCxn id="114" idx="2"/>
          <a:endCxn id="222" idx="0"/>
        </xdr:cNvCxnSpPr>
      </xdr:nvCxnSpPr>
      <xdr:spPr>
        <a:xfrm>
          <a:off x="945769" y="28712600"/>
          <a:ext cx="8261" cy="7226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200447</xdr:colOff>
      <xdr:row>139</xdr:row>
      <xdr:rowOff>8890</xdr:rowOff>
    </xdr:from>
    <xdr:to>
      <xdr:col>13</xdr:col>
      <xdr:colOff>50798</xdr:colOff>
      <xdr:row>140</xdr:row>
      <xdr:rowOff>92314</xdr:rowOff>
    </xdr:to>
    <xdr:sp macro="" textlink="">
      <xdr:nvSpPr>
        <xdr:cNvPr id="198" name="テキスト ボックス 197">
          <a:extLst>
            <a:ext uri="{FF2B5EF4-FFF2-40B4-BE49-F238E27FC236}">
              <a16:creationId xmlns:a16="http://schemas.microsoft.com/office/drawing/2014/main" id="{40FF654A-2D0D-4064-98BB-D9BFE4AAB419}"/>
            </a:ext>
          </a:extLst>
        </xdr:cNvPr>
        <xdr:cNvSpPr txBox="1"/>
      </xdr:nvSpPr>
      <xdr:spPr>
        <a:xfrm>
          <a:off x="7079085" y="5084128"/>
          <a:ext cx="1267194" cy="24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15</xdr:col>
      <xdr:colOff>44980</xdr:colOff>
      <xdr:row>135</xdr:row>
      <xdr:rowOff>9202</xdr:rowOff>
    </xdr:from>
    <xdr:to>
      <xdr:col>21</xdr:col>
      <xdr:colOff>193147</xdr:colOff>
      <xdr:row>139</xdr:row>
      <xdr:rowOff>1482</xdr:rowOff>
    </xdr:to>
    <xdr:grpSp>
      <xdr:nvGrpSpPr>
        <xdr:cNvPr id="199" name="グループ化 198">
          <a:extLst>
            <a:ext uri="{FF2B5EF4-FFF2-40B4-BE49-F238E27FC236}">
              <a16:creationId xmlns:a16="http://schemas.microsoft.com/office/drawing/2014/main" id="{8A1D13FD-2315-4C02-B4E9-415BCEC8AE30}"/>
            </a:ext>
          </a:extLst>
        </xdr:cNvPr>
        <xdr:cNvGrpSpPr/>
      </xdr:nvGrpSpPr>
      <xdr:grpSpPr>
        <a:xfrm>
          <a:off x="2759605" y="23193052"/>
          <a:ext cx="1224492" cy="678080"/>
          <a:chOff x="8532368" y="2996141"/>
          <a:chExt cx="1135459" cy="600938"/>
        </a:xfrm>
      </xdr:grpSpPr>
      <xdr:sp macro="" textlink="">
        <xdr:nvSpPr>
          <xdr:cNvPr id="200" name="フローチャート: 磁気ディスク 199">
            <a:extLst>
              <a:ext uri="{FF2B5EF4-FFF2-40B4-BE49-F238E27FC236}">
                <a16:creationId xmlns:a16="http://schemas.microsoft.com/office/drawing/2014/main" id="{7EA9DA6C-AD0D-3E42-EB5C-EB049CD22CB9}"/>
              </a:ext>
            </a:extLst>
          </xdr:cNvPr>
          <xdr:cNvSpPr/>
        </xdr:nvSpPr>
        <xdr:spPr>
          <a:xfrm>
            <a:off x="8714238" y="2996141"/>
            <a:ext cx="757951"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1" name="正方形/長方形 200">
            <a:extLst>
              <a:ext uri="{FF2B5EF4-FFF2-40B4-BE49-F238E27FC236}">
                <a16:creationId xmlns:a16="http://schemas.microsoft.com/office/drawing/2014/main" id="{C8544795-5D83-AC97-B14A-B90601EB7520}"/>
              </a:ext>
            </a:extLst>
          </xdr:cNvPr>
          <xdr:cNvSpPr/>
        </xdr:nvSpPr>
        <xdr:spPr>
          <a:xfrm>
            <a:off x="8532368" y="3091472"/>
            <a:ext cx="1135459"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a:t>
            </a:r>
            <a:endParaRPr kumimoji="1" lang="en-US" altLang="ja-JP" sz="900"/>
          </a:p>
          <a:p>
            <a:pPr algn="ctr"/>
            <a:r>
              <a:rPr kumimoji="1" lang="ja-JP" altLang="en-US" sz="900"/>
              <a:t>の決済</a:t>
            </a:r>
            <a:r>
              <a:rPr kumimoji="1" lang="en-US" altLang="ja-JP" sz="900"/>
              <a:t>WF</a:t>
            </a:r>
            <a:r>
              <a:rPr kumimoji="1" lang="ja-JP" altLang="en-US" sz="900"/>
              <a:t>（申請）</a:t>
            </a:r>
          </a:p>
        </xdr:txBody>
      </xdr:sp>
    </xdr:grpSp>
    <xdr:clientData/>
  </xdr:twoCellAnchor>
  <xdr:twoCellAnchor>
    <xdr:from>
      <xdr:col>14</xdr:col>
      <xdr:colOff>85141</xdr:colOff>
      <xdr:row>142</xdr:row>
      <xdr:rowOff>135565</xdr:rowOff>
    </xdr:from>
    <xdr:to>
      <xdr:col>23</xdr:col>
      <xdr:colOff>103982</xdr:colOff>
      <xdr:row>146</xdr:row>
      <xdr:rowOff>113716</xdr:rowOff>
    </xdr:to>
    <xdr:grpSp>
      <xdr:nvGrpSpPr>
        <xdr:cNvPr id="202" name="グループ化 201">
          <a:extLst>
            <a:ext uri="{FF2B5EF4-FFF2-40B4-BE49-F238E27FC236}">
              <a16:creationId xmlns:a16="http://schemas.microsoft.com/office/drawing/2014/main" id="{7056D027-7BF8-466A-9E3B-CE095FF8381C}"/>
            </a:ext>
          </a:extLst>
        </xdr:cNvPr>
        <xdr:cNvGrpSpPr/>
      </xdr:nvGrpSpPr>
      <xdr:grpSpPr>
        <a:xfrm>
          <a:off x="2618791" y="24519565"/>
          <a:ext cx="1647616" cy="663951"/>
          <a:chOff x="6940016" y="2892425"/>
          <a:chExt cx="1552415" cy="595985"/>
        </a:xfrm>
      </xdr:grpSpPr>
      <xdr:sp macro="" textlink="">
        <xdr:nvSpPr>
          <xdr:cNvPr id="203" name="フローチャート: 磁気ディスク 202">
            <a:extLst>
              <a:ext uri="{FF2B5EF4-FFF2-40B4-BE49-F238E27FC236}">
                <a16:creationId xmlns:a16="http://schemas.microsoft.com/office/drawing/2014/main" id="{61E563F3-6DED-02DC-2C2F-481E4FB7A3FD}"/>
              </a:ext>
            </a:extLst>
          </xdr:cNvPr>
          <xdr:cNvSpPr/>
        </xdr:nvSpPr>
        <xdr:spPr>
          <a:xfrm>
            <a:off x="7204075" y="2892425"/>
            <a:ext cx="888777"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4" name="正方形/長方形 203">
            <a:extLst>
              <a:ext uri="{FF2B5EF4-FFF2-40B4-BE49-F238E27FC236}">
                <a16:creationId xmlns:a16="http://schemas.microsoft.com/office/drawing/2014/main" id="{0CDEA17F-95CE-16FE-08C5-DAC833EABC46}"/>
              </a:ext>
            </a:extLst>
          </xdr:cNvPr>
          <xdr:cNvSpPr/>
        </xdr:nvSpPr>
        <xdr:spPr>
          <a:xfrm>
            <a:off x="6940016" y="2982803"/>
            <a:ext cx="155241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支払手形仕訳帳の決済</a:t>
            </a:r>
            <a:endParaRPr kumimoji="1" lang="en-US" altLang="ja-JP" sz="900"/>
          </a:p>
          <a:p>
            <a:pPr algn="ctr"/>
            <a:r>
              <a:rPr kumimoji="1" lang="en-US" altLang="ja-JP" sz="900"/>
              <a:t>WF</a:t>
            </a:r>
            <a:r>
              <a:rPr kumimoji="1" lang="ja-JP" altLang="en-US" sz="900"/>
              <a:t>（承認</a:t>
            </a:r>
            <a:r>
              <a:rPr kumimoji="1" lang="en-US" altLang="ja-JP" sz="900"/>
              <a:t>/</a:t>
            </a:r>
            <a:r>
              <a:rPr kumimoji="1" lang="ja-JP" altLang="en-US" sz="900"/>
              <a:t>変更依頼）</a:t>
            </a:r>
          </a:p>
        </xdr:txBody>
      </xdr:sp>
    </xdr:grpSp>
    <xdr:clientData/>
  </xdr:twoCellAnchor>
  <xdr:twoCellAnchor>
    <xdr:from>
      <xdr:col>3</xdr:col>
      <xdr:colOff>192608</xdr:colOff>
      <xdr:row>151</xdr:row>
      <xdr:rowOff>76200</xdr:rowOff>
    </xdr:from>
    <xdr:to>
      <xdr:col>9</xdr:col>
      <xdr:colOff>113035</xdr:colOff>
      <xdr:row>153</xdr:row>
      <xdr:rowOff>12225</xdr:rowOff>
    </xdr:to>
    <xdr:sp macro="" textlink="">
      <xdr:nvSpPr>
        <xdr:cNvPr id="205" name="テキスト ボックス 204">
          <a:extLst>
            <a:ext uri="{FF2B5EF4-FFF2-40B4-BE49-F238E27FC236}">
              <a16:creationId xmlns:a16="http://schemas.microsoft.com/office/drawing/2014/main" id="{12973A7E-BE70-4287-B757-42E200EB8291}"/>
            </a:ext>
          </a:extLst>
        </xdr:cNvPr>
        <xdr:cNvSpPr txBox="1"/>
      </xdr:nvSpPr>
      <xdr:spPr>
        <a:xfrm>
          <a:off x="6467202" y="7148513"/>
          <a:ext cx="1134864" cy="26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4</xdr:col>
      <xdr:colOff>191761</xdr:colOff>
      <xdr:row>160</xdr:row>
      <xdr:rowOff>22195</xdr:rowOff>
    </xdr:from>
    <xdr:to>
      <xdr:col>11</xdr:col>
      <xdr:colOff>135457</xdr:colOff>
      <xdr:row>161</xdr:row>
      <xdr:rowOff>123110</xdr:rowOff>
    </xdr:to>
    <xdr:sp macro="" textlink="">
      <xdr:nvSpPr>
        <xdr:cNvPr id="206" name="テキスト ボックス 205">
          <a:extLst>
            <a:ext uri="{FF2B5EF4-FFF2-40B4-BE49-F238E27FC236}">
              <a16:creationId xmlns:a16="http://schemas.microsoft.com/office/drawing/2014/main" id="{03CF8D2C-B56B-4CF3-B8BB-025AAD69BE28}"/>
            </a:ext>
          </a:extLst>
        </xdr:cNvPr>
        <xdr:cNvSpPr txBox="1"/>
      </xdr:nvSpPr>
      <xdr:spPr>
        <a:xfrm>
          <a:off x="6668761" y="8606601"/>
          <a:ext cx="1360540" cy="27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6</xdr:col>
      <xdr:colOff>150137</xdr:colOff>
      <xdr:row>136</xdr:row>
      <xdr:rowOff>140574</xdr:rowOff>
    </xdr:from>
    <xdr:to>
      <xdr:col>16</xdr:col>
      <xdr:colOff>63544</xdr:colOff>
      <xdr:row>136</xdr:row>
      <xdr:rowOff>143161</xdr:rowOff>
    </xdr:to>
    <xdr:cxnSp macro="">
      <xdr:nvCxnSpPr>
        <xdr:cNvPr id="207" name="直線矢印コネクタ 206">
          <a:extLst>
            <a:ext uri="{FF2B5EF4-FFF2-40B4-BE49-F238E27FC236}">
              <a16:creationId xmlns:a16="http://schemas.microsoft.com/office/drawing/2014/main" id="{5CB43A0E-9753-44FD-B203-4A0CC3E7A0EF}"/>
            </a:ext>
          </a:extLst>
        </xdr:cNvPr>
        <xdr:cNvCxnSpPr>
          <a:cxnSpLocks/>
          <a:stCxn id="83" idx="3"/>
          <a:endCxn id="200" idx="2"/>
        </xdr:cNvCxnSpPr>
      </xdr:nvCxnSpPr>
      <xdr:spPr>
        <a:xfrm flipV="1">
          <a:off x="7031950" y="4715749"/>
          <a:ext cx="1940644"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182743</xdr:colOff>
      <xdr:row>144</xdr:row>
      <xdr:rowOff>88885</xdr:rowOff>
    </xdr:from>
    <xdr:to>
      <xdr:col>15</xdr:col>
      <xdr:colOff>199199</xdr:colOff>
      <xdr:row>144</xdr:row>
      <xdr:rowOff>95607</xdr:rowOff>
    </xdr:to>
    <xdr:cxnSp macro="">
      <xdr:nvCxnSpPr>
        <xdr:cNvPr id="208" name="直線矢印コネクタ 207">
          <a:extLst>
            <a:ext uri="{FF2B5EF4-FFF2-40B4-BE49-F238E27FC236}">
              <a16:creationId xmlns:a16="http://schemas.microsoft.com/office/drawing/2014/main" id="{CD180115-14E0-43F7-8036-B89D5902A5F9}"/>
            </a:ext>
          </a:extLst>
        </xdr:cNvPr>
        <xdr:cNvCxnSpPr>
          <a:cxnSpLocks/>
          <a:stCxn id="86" idx="3"/>
          <a:endCxn id="203" idx="2"/>
        </xdr:cNvCxnSpPr>
      </xdr:nvCxnSpPr>
      <xdr:spPr>
        <a:xfrm flipV="1">
          <a:off x="8478224" y="5991210"/>
          <a:ext cx="427619" cy="989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108180</xdr:colOff>
      <xdr:row>155</xdr:row>
      <xdr:rowOff>153097</xdr:rowOff>
    </xdr:from>
    <xdr:to>
      <xdr:col>16</xdr:col>
      <xdr:colOff>107764</xdr:colOff>
      <xdr:row>155</xdr:row>
      <xdr:rowOff>165378</xdr:rowOff>
    </xdr:to>
    <xdr:cxnSp macro="">
      <xdr:nvCxnSpPr>
        <xdr:cNvPr id="212" name="直線矢印コネクタ 211">
          <a:extLst>
            <a:ext uri="{FF2B5EF4-FFF2-40B4-BE49-F238E27FC236}">
              <a16:creationId xmlns:a16="http://schemas.microsoft.com/office/drawing/2014/main" id="{6F135738-574D-4A1B-BEB8-80A0EEC34C9F}"/>
            </a:ext>
          </a:extLst>
        </xdr:cNvPr>
        <xdr:cNvCxnSpPr>
          <a:cxnSpLocks/>
          <a:stCxn id="99" idx="3"/>
          <a:endCxn id="3" idx="2"/>
        </xdr:cNvCxnSpPr>
      </xdr:nvCxnSpPr>
      <xdr:spPr>
        <a:xfrm>
          <a:off x="1318415" y="23427715"/>
          <a:ext cx="2016643" cy="1228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75209</xdr:colOff>
      <xdr:row>124</xdr:row>
      <xdr:rowOff>40377</xdr:rowOff>
    </xdr:from>
    <xdr:to>
      <xdr:col>4</xdr:col>
      <xdr:colOff>78334</xdr:colOff>
      <xdr:row>129</xdr:row>
      <xdr:rowOff>49734</xdr:rowOff>
    </xdr:to>
    <xdr:cxnSp macro="">
      <xdr:nvCxnSpPr>
        <xdr:cNvPr id="213" name="直線矢印コネクタ 27">
          <a:extLst>
            <a:ext uri="{FF2B5EF4-FFF2-40B4-BE49-F238E27FC236}">
              <a16:creationId xmlns:a16="http://schemas.microsoft.com/office/drawing/2014/main" id="{8B1EC462-6A96-457A-8037-70BA1AC3FFDF}"/>
            </a:ext>
          </a:extLst>
        </xdr:cNvPr>
        <xdr:cNvCxnSpPr>
          <a:cxnSpLocks/>
          <a:stCxn id="243" idx="2"/>
          <a:endCxn id="60" idx="0"/>
        </xdr:cNvCxnSpPr>
      </xdr:nvCxnSpPr>
      <xdr:spPr>
        <a:xfrm flipH="1">
          <a:off x="6552209" y="2612127"/>
          <a:ext cx="3125" cy="83962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102395</xdr:colOff>
      <xdr:row>121</xdr:row>
      <xdr:rowOff>44450</xdr:rowOff>
    </xdr:from>
    <xdr:to>
      <xdr:col>7</xdr:col>
      <xdr:colOff>64108</xdr:colOff>
      <xdr:row>124</xdr:row>
      <xdr:rowOff>57055</xdr:rowOff>
    </xdr:to>
    <xdr:grpSp>
      <xdr:nvGrpSpPr>
        <xdr:cNvPr id="242" name="グループ化 241">
          <a:extLst>
            <a:ext uri="{FF2B5EF4-FFF2-40B4-BE49-F238E27FC236}">
              <a16:creationId xmlns:a16="http://schemas.microsoft.com/office/drawing/2014/main" id="{C690A2F3-0B0D-40B5-B5F7-4A40871D45B9}"/>
            </a:ext>
          </a:extLst>
        </xdr:cNvPr>
        <xdr:cNvGrpSpPr/>
      </xdr:nvGrpSpPr>
      <xdr:grpSpPr>
        <a:xfrm>
          <a:off x="283370" y="20828000"/>
          <a:ext cx="1047563" cy="526955"/>
          <a:chOff x="217092" y="5701906"/>
          <a:chExt cx="1153558" cy="542012"/>
        </a:xfrm>
      </xdr:grpSpPr>
      <xdr:sp macro="" textlink="">
        <xdr:nvSpPr>
          <xdr:cNvPr id="243" name="フローチャート: 他ページ結合子 242">
            <a:extLst>
              <a:ext uri="{FF2B5EF4-FFF2-40B4-BE49-F238E27FC236}">
                <a16:creationId xmlns:a16="http://schemas.microsoft.com/office/drawing/2014/main" id="{16EA11D4-53E0-0CB4-2451-3738F494DE87}"/>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4" name="正方形/長方形 48">
            <a:extLst>
              <a:ext uri="{FF2B5EF4-FFF2-40B4-BE49-F238E27FC236}">
                <a16:creationId xmlns:a16="http://schemas.microsoft.com/office/drawing/2014/main" id="{1369C6AA-38EF-E656-6E8D-A2C7E506A94F}"/>
              </a:ext>
            </a:extLst>
          </xdr:cNvPr>
          <xdr:cNvSpPr/>
        </xdr:nvSpPr>
        <xdr:spPr>
          <a:xfrm>
            <a:off x="217092" y="5701906"/>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７．１</a:t>
            </a:r>
            <a:endParaRPr kumimoji="1" lang="en-US" altLang="ja-JP" sz="900">
              <a:solidFill>
                <a:sysClr val="windowText" lastClr="000000"/>
              </a:solidFill>
            </a:endParaRPr>
          </a:p>
          <a:p>
            <a:pPr algn="ctr"/>
            <a:r>
              <a:rPr kumimoji="1" lang="ja-JP" altLang="en-US" sz="900">
                <a:solidFill>
                  <a:sysClr val="windowText" lastClr="000000"/>
                </a:solidFill>
              </a:rPr>
              <a:t>電子記録債務計上</a:t>
            </a:r>
          </a:p>
        </xdr:txBody>
      </xdr:sp>
    </xdr:grpSp>
    <xdr:clientData/>
  </xdr:twoCellAnchor>
  <xdr:twoCellAnchor>
    <xdr:from>
      <xdr:col>2</xdr:col>
      <xdr:colOff>184149</xdr:colOff>
      <xdr:row>207</xdr:row>
      <xdr:rowOff>125415</xdr:rowOff>
    </xdr:from>
    <xdr:to>
      <xdr:col>6</xdr:col>
      <xdr:colOff>85090</xdr:colOff>
      <xdr:row>209</xdr:row>
      <xdr:rowOff>16194</xdr:rowOff>
    </xdr:to>
    <xdr:sp macro="" textlink="">
      <xdr:nvSpPr>
        <xdr:cNvPr id="253" name="フローチャート: 端子 252">
          <a:extLst>
            <a:ext uri="{FF2B5EF4-FFF2-40B4-BE49-F238E27FC236}">
              <a16:creationId xmlns:a16="http://schemas.microsoft.com/office/drawing/2014/main" id="{76B236E9-8E22-45F9-8959-656A256A0B5D}"/>
            </a:ext>
          </a:extLst>
        </xdr:cNvPr>
        <xdr:cNvSpPr/>
      </xdr:nvSpPr>
      <xdr:spPr>
        <a:xfrm>
          <a:off x="6256337" y="25723853"/>
          <a:ext cx="710566" cy="224154"/>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xdr:col>
      <xdr:colOff>184875</xdr:colOff>
      <xdr:row>112</xdr:row>
      <xdr:rowOff>68264</xdr:rowOff>
    </xdr:from>
    <xdr:to>
      <xdr:col>7</xdr:col>
      <xdr:colOff>147283</xdr:colOff>
      <xdr:row>115</xdr:row>
      <xdr:rowOff>125167</xdr:rowOff>
    </xdr:to>
    <xdr:grpSp>
      <xdr:nvGrpSpPr>
        <xdr:cNvPr id="262" name="グループ化 261">
          <a:extLst>
            <a:ext uri="{FF2B5EF4-FFF2-40B4-BE49-F238E27FC236}">
              <a16:creationId xmlns:a16="http://schemas.microsoft.com/office/drawing/2014/main" id="{4872E5C7-4451-49C3-B16F-3FA49EBE2030}"/>
            </a:ext>
          </a:extLst>
        </xdr:cNvPr>
        <xdr:cNvGrpSpPr/>
      </xdr:nvGrpSpPr>
      <xdr:grpSpPr>
        <a:xfrm>
          <a:off x="365850" y="19308764"/>
          <a:ext cx="1048258" cy="571253"/>
          <a:chOff x="230715" y="5710690"/>
          <a:chExt cx="1153558" cy="542012"/>
        </a:xfrm>
      </xdr:grpSpPr>
      <xdr:sp macro="" textlink="">
        <xdr:nvSpPr>
          <xdr:cNvPr id="263" name="フローチャート: 他ページ結合子 262">
            <a:extLst>
              <a:ext uri="{FF2B5EF4-FFF2-40B4-BE49-F238E27FC236}">
                <a16:creationId xmlns:a16="http://schemas.microsoft.com/office/drawing/2014/main" id="{1F3EF5B1-23C7-4215-C56A-A64DD20CB1A0}"/>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64" name="正方形/長方形 48">
            <a:extLst>
              <a:ext uri="{FF2B5EF4-FFF2-40B4-BE49-F238E27FC236}">
                <a16:creationId xmlns:a16="http://schemas.microsoft.com/office/drawing/2014/main" id="{08A15258-3830-406B-2821-8F501CC6E19F}"/>
              </a:ext>
            </a:extLst>
          </xdr:cNvPr>
          <xdr:cNvSpPr/>
        </xdr:nvSpPr>
        <xdr:spPr>
          <a:xfrm>
            <a:off x="230715" y="5710690"/>
            <a:ext cx="1153558" cy="542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７．２</a:t>
            </a:r>
            <a:endParaRPr kumimoji="1" lang="en-US" altLang="ja-JP" sz="900">
              <a:solidFill>
                <a:sysClr val="windowText" lastClr="000000"/>
              </a:solidFill>
            </a:endParaRPr>
          </a:p>
          <a:p>
            <a:pPr algn="ctr"/>
            <a:r>
              <a:rPr kumimoji="1" lang="ja-JP" altLang="en-US" sz="900">
                <a:solidFill>
                  <a:sysClr val="windowText" lastClr="000000"/>
                </a:solidFill>
              </a:rPr>
              <a:t>電子記録債務決済</a:t>
            </a:r>
          </a:p>
        </xdr:txBody>
      </xdr:sp>
    </xdr:grpSp>
    <xdr:clientData/>
  </xdr:twoCellAnchor>
  <xdr:twoCellAnchor>
    <xdr:from>
      <xdr:col>0</xdr:col>
      <xdr:colOff>122235</xdr:colOff>
      <xdr:row>54</xdr:row>
      <xdr:rowOff>142875</xdr:rowOff>
    </xdr:from>
    <xdr:to>
      <xdr:col>3</xdr:col>
      <xdr:colOff>107156</xdr:colOff>
      <xdr:row>56</xdr:row>
      <xdr:rowOff>44580</xdr:rowOff>
    </xdr:to>
    <xdr:sp macro="" textlink="">
      <xdr:nvSpPr>
        <xdr:cNvPr id="282" name="テキスト ボックス 281">
          <a:extLst>
            <a:ext uri="{FF2B5EF4-FFF2-40B4-BE49-F238E27FC236}">
              <a16:creationId xmlns:a16="http://schemas.microsoft.com/office/drawing/2014/main" id="{842BEEA1-4BE5-4E67-B935-99421FEB5DD7}"/>
            </a:ext>
          </a:extLst>
        </xdr:cNvPr>
        <xdr:cNvSpPr txBox="1"/>
      </xdr:nvSpPr>
      <xdr:spPr>
        <a:xfrm>
          <a:off x="122235" y="9048750"/>
          <a:ext cx="592140" cy="23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16</xdr:col>
      <xdr:colOff>444</xdr:colOff>
      <xdr:row>154</xdr:row>
      <xdr:rowOff>45096</xdr:rowOff>
    </xdr:from>
    <xdr:to>
      <xdr:col>21</xdr:col>
      <xdr:colOff>9594</xdr:colOff>
      <xdr:row>158</xdr:row>
      <xdr:rowOff>14741</xdr:rowOff>
    </xdr:to>
    <xdr:grpSp>
      <xdr:nvGrpSpPr>
        <xdr:cNvPr id="2" name="グループ化 1">
          <a:extLst>
            <a:ext uri="{FF2B5EF4-FFF2-40B4-BE49-F238E27FC236}">
              <a16:creationId xmlns:a16="http://schemas.microsoft.com/office/drawing/2014/main" id="{C6CA5209-AD4C-8043-B350-1B27F48CE2F3}"/>
            </a:ext>
          </a:extLst>
        </xdr:cNvPr>
        <xdr:cNvGrpSpPr/>
      </xdr:nvGrpSpPr>
      <xdr:grpSpPr>
        <a:xfrm>
          <a:off x="2896044" y="26486496"/>
          <a:ext cx="914025" cy="664970"/>
          <a:chOff x="7111999" y="2892425"/>
          <a:chExt cx="873125" cy="584982"/>
        </a:xfrm>
      </xdr:grpSpPr>
      <xdr:sp macro="" textlink="">
        <xdr:nvSpPr>
          <xdr:cNvPr id="3" name="フローチャート: 磁気ディスク 2">
            <a:extLst>
              <a:ext uri="{FF2B5EF4-FFF2-40B4-BE49-F238E27FC236}">
                <a16:creationId xmlns:a16="http://schemas.microsoft.com/office/drawing/2014/main" id="{B4515C41-5B7D-AB06-2A69-9B297EC1B80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 name="正方形/長方形 3">
            <a:extLst>
              <a:ext uri="{FF2B5EF4-FFF2-40B4-BE49-F238E27FC236}">
                <a16:creationId xmlns:a16="http://schemas.microsoft.com/office/drawing/2014/main" id="{6974F89A-2F7E-1879-F6AC-DA91A4ACB73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支払手形仕訳帳の決済</a:t>
            </a:r>
            <a:endParaRPr kumimoji="1" lang="en-US" altLang="ja-JP" sz="900"/>
          </a:p>
        </xdr:txBody>
      </xdr:sp>
    </xdr:grpSp>
    <xdr:clientData/>
  </xdr:twoCellAnchor>
  <xdr:twoCellAnchor>
    <xdr:from>
      <xdr:col>4</xdr:col>
      <xdr:colOff>36354</xdr:colOff>
      <xdr:row>129</xdr:row>
      <xdr:rowOff>46559</xdr:rowOff>
    </xdr:from>
    <xdr:to>
      <xdr:col>4</xdr:col>
      <xdr:colOff>73628</xdr:colOff>
      <xdr:row>157</xdr:row>
      <xdr:rowOff>55562</xdr:rowOff>
    </xdr:to>
    <xdr:cxnSp macro="">
      <xdr:nvCxnSpPr>
        <xdr:cNvPr id="7" name="コネクタ: カギ線 6">
          <a:extLst>
            <a:ext uri="{FF2B5EF4-FFF2-40B4-BE49-F238E27FC236}">
              <a16:creationId xmlns:a16="http://schemas.microsoft.com/office/drawing/2014/main" id="{882F9EAB-DA8C-4AD3-B948-6F147FC82BE0}"/>
            </a:ext>
          </a:extLst>
        </xdr:cNvPr>
        <xdr:cNvCxnSpPr>
          <a:cxnSpLocks/>
          <a:stCxn id="99" idx="2"/>
          <a:endCxn id="60" idx="0"/>
        </xdr:cNvCxnSpPr>
      </xdr:nvCxnSpPr>
      <xdr:spPr>
        <a:xfrm rot="5400000" flipH="1" flipV="1">
          <a:off x="-1501525" y="21284380"/>
          <a:ext cx="4726679" cy="37274"/>
        </a:xfrm>
        <a:prstGeom prst="bentConnector5">
          <a:avLst>
            <a:gd name="adj1" fmla="val -4836"/>
            <a:gd name="adj2" fmla="val -1578036"/>
            <a:gd name="adj3" fmla="val 104836"/>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101624</xdr:colOff>
      <xdr:row>65</xdr:row>
      <xdr:rowOff>74969</xdr:rowOff>
    </xdr:from>
    <xdr:to>
      <xdr:col>11</xdr:col>
      <xdr:colOff>11206</xdr:colOff>
      <xdr:row>67</xdr:row>
      <xdr:rowOff>141456</xdr:rowOff>
    </xdr:to>
    <xdr:grpSp>
      <xdr:nvGrpSpPr>
        <xdr:cNvPr id="5" name="グループ化 4">
          <a:extLst>
            <a:ext uri="{FF2B5EF4-FFF2-40B4-BE49-F238E27FC236}">
              <a16:creationId xmlns:a16="http://schemas.microsoft.com/office/drawing/2014/main" id="{1B591F5E-815D-7B93-C62D-303D5FB8866B}"/>
            </a:ext>
          </a:extLst>
        </xdr:cNvPr>
        <xdr:cNvGrpSpPr/>
      </xdr:nvGrpSpPr>
      <xdr:grpSpPr>
        <a:xfrm>
          <a:off x="825524" y="11257319"/>
          <a:ext cx="1176407" cy="409387"/>
          <a:chOff x="4305300" y="5730875"/>
          <a:chExt cx="1003300" cy="425450"/>
        </a:xfrm>
      </xdr:grpSpPr>
      <xdr:sp macro="" textlink="">
        <xdr:nvSpPr>
          <xdr:cNvPr id="8" name="AutoShape 49">
            <a:extLst>
              <a:ext uri="{FF2B5EF4-FFF2-40B4-BE49-F238E27FC236}">
                <a16:creationId xmlns:a16="http://schemas.microsoft.com/office/drawing/2014/main" id="{D903CD1E-BD15-D86A-4F7F-783A3EAC9B11}"/>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01" name="正方形/長方形 48">
            <a:extLst>
              <a:ext uri="{FF2B5EF4-FFF2-40B4-BE49-F238E27FC236}">
                <a16:creationId xmlns:a16="http://schemas.microsoft.com/office/drawing/2014/main" id="{4F3FDFBD-8C8D-E2D5-B889-42AC963FF54F}"/>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データ（でんさい）</a:t>
            </a:r>
          </a:p>
        </xdr:txBody>
      </xdr:sp>
    </xdr:grpSp>
    <xdr:clientData/>
  </xdr:twoCellAnchor>
  <xdr:twoCellAnchor>
    <xdr:from>
      <xdr:col>23</xdr:col>
      <xdr:colOff>2483</xdr:colOff>
      <xdr:row>75</xdr:row>
      <xdr:rowOff>86196</xdr:rowOff>
    </xdr:from>
    <xdr:to>
      <xdr:col>28</xdr:col>
      <xdr:colOff>21158</xdr:colOff>
      <xdr:row>79</xdr:row>
      <xdr:rowOff>83738</xdr:rowOff>
    </xdr:to>
    <xdr:grpSp>
      <xdr:nvGrpSpPr>
        <xdr:cNvPr id="108" name="グループ化 107">
          <a:extLst>
            <a:ext uri="{FF2B5EF4-FFF2-40B4-BE49-F238E27FC236}">
              <a16:creationId xmlns:a16="http://schemas.microsoft.com/office/drawing/2014/main" id="{7D9A2D0B-2F32-0331-9900-BD606B610B77}"/>
            </a:ext>
          </a:extLst>
        </xdr:cNvPr>
        <xdr:cNvGrpSpPr>
          <a:grpSpLocks noChangeAspect="1"/>
        </xdr:cNvGrpSpPr>
      </xdr:nvGrpSpPr>
      <xdr:grpSpPr>
        <a:xfrm>
          <a:off x="4164908" y="12983046"/>
          <a:ext cx="923550" cy="683342"/>
          <a:chOff x="7112000" y="2892425"/>
          <a:chExt cx="873125" cy="584982"/>
        </a:xfrm>
      </xdr:grpSpPr>
      <xdr:sp macro="" textlink="">
        <xdr:nvSpPr>
          <xdr:cNvPr id="109" name="フローチャート: 磁気ディスク 108">
            <a:extLst>
              <a:ext uri="{FF2B5EF4-FFF2-40B4-BE49-F238E27FC236}">
                <a16:creationId xmlns:a16="http://schemas.microsoft.com/office/drawing/2014/main" id="{B9E472B3-DC0E-63E1-57BB-66DA91ADC09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0" name="正方形/長方形 109">
            <a:extLst>
              <a:ext uri="{FF2B5EF4-FFF2-40B4-BE49-F238E27FC236}">
                <a16:creationId xmlns:a16="http://schemas.microsoft.com/office/drawing/2014/main" id="{FE0814B8-F9EE-923E-CA4C-F88F3C1F8522}"/>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三井住友銀行</a:t>
            </a:r>
          </a:p>
        </xdr:txBody>
      </xdr:sp>
    </xdr:grpSp>
    <xdr:clientData/>
  </xdr:twoCellAnchor>
  <xdr:twoCellAnchor>
    <xdr:from>
      <xdr:col>6</xdr:col>
      <xdr:colOff>180702</xdr:colOff>
      <xdr:row>71</xdr:row>
      <xdr:rowOff>40229</xdr:rowOff>
    </xdr:from>
    <xdr:to>
      <xdr:col>23</xdr:col>
      <xdr:colOff>107631</xdr:colOff>
      <xdr:row>77</xdr:row>
      <xdr:rowOff>57514</xdr:rowOff>
    </xdr:to>
    <xdr:cxnSp macro="">
      <xdr:nvCxnSpPr>
        <xdr:cNvPr id="111" name="コネクタ: カギ線 110">
          <a:extLst>
            <a:ext uri="{FF2B5EF4-FFF2-40B4-BE49-F238E27FC236}">
              <a16:creationId xmlns:a16="http://schemas.microsoft.com/office/drawing/2014/main" id="{BD25C03A-99AD-495C-9EA9-2C66DFCD310C}"/>
            </a:ext>
          </a:extLst>
        </xdr:cNvPr>
        <xdr:cNvCxnSpPr>
          <a:cxnSpLocks/>
          <a:stCxn id="39" idx="3"/>
          <a:endCxn id="109" idx="2"/>
        </xdr:cNvCxnSpPr>
      </xdr:nvCxnSpPr>
      <xdr:spPr>
        <a:xfrm>
          <a:off x="1387762" y="11873641"/>
          <a:ext cx="3362279" cy="1025814"/>
        </a:xfrm>
        <a:prstGeom prst="bentConnector3">
          <a:avLst>
            <a:gd name="adj1" fmla="val 78049"/>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135242</xdr:colOff>
      <xdr:row>72</xdr:row>
      <xdr:rowOff>102235</xdr:rowOff>
    </xdr:from>
    <xdr:to>
      <xdr:col>31</xdr:col>
      <xdr:colOff>41648</xdr:colOff>
      <xdr:row>75</xdr:row>
      <xdr:rowOff>634</xdr:rowOff>
    </xdr:to>
    <xdr:grpSp>
      <xdr:nvGrpSpPr>
        <xdr:cNvPr id="124" name="グループ化 123">
          <a:extLst>
            <a:ext uri="{FF2B5EF4-FFF2-40B4-BE49-F238E27FC236}">
              <a16:creationId xmlns:a16="http://schemas.microsoft.com/office/drawing/2014/main" id="{9EC3225C-4A74-1CD6-8FC6-7E6CEF2A3D3E}"/>
            </a:ext>
          </a:extLst>
        </xdr:cNvPr>
        <xdr:cNvGrpSpPr/>
      </xdr:nvGrpSpPr>
      <xdr:grpSpPr>
        <a:xfrm>
          <a:off x="4478642" y="12484735"/>
          <a:ext cx="1173231" cy="412749"/>
          <a:chOff x="4305300" y="5730875"/>
          <a:chExt cx="1003300" cy="425450"/>
        </a:xfrm>
      </xdr:grpSpPr>
      <xdr:sp macro="" textlink="">
        <xdr:nvSpPr>
          <xdr:cNvPr id="194" name="AutoShape 49">
            <a:extLst>
              <a:ext uri="{FF2B5EF4-FFF2-40B4-BE49-F238E27FC236}">
                <a16:creationId xmlns:a16="http://schemas.microsoft.com/office/drawing/2014/main" id="{9FE7F4DD-8E30-62C0-0890-33130CE00E38}"/>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95" name="正方形/長方形 48">
            <a:extLst>
              <a:ext uri="{FF2B5EF4-FFF2-40B4-BE49-F238E27FC236}">
                <a16:creationId xmlns:a16="http://schemas.microsoft.com/office/drawing/2014/main" id="{D3AD9B97-505D-27CC-9D4B-71E6B4BE3AEA}"/>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データ（電債）</a:t>
            </a:r>
          </a:p>
        </xdr:txBody>
      </xdr:sp>
    </xdr:grpSp>
    <xdr:clientData/>
  </xdr:twoCellAnchor>
  <xdr:twoCellAnchor>
    <xdr:from>
      <xdr:col>24</xdr:col>
      <xdr:colOff>116006</xdr:colOff>
      <xdr:row>78</xdr:row>
      <xdr:rowOff>108587</xdr:rowOff>
    </xdr:from>
    <xdr:to>
      <xdr:col>31</xdr:col>
      <xdr:colOff>19238</xdr:colOff>
      <xdr:row>81</xdr:row>
      <xdr:rowOff>10161</xdr:rowOff>
    </xdr:to>
    <xdr:grpSp>
      <xdr:nvGrpSpPr>
        <xdr:cNvPr id="196" name="グループ化 195">
          <a:extLst>
            <a:ext uri="{FF2B5EF4-FFF2-40B4-BE49-F238E27FC236}">
              <a16:creationId xmlns:a16="http://schemas.microsoft.com/office/drawing/2014/main" id="{698A6F73-6022-80F9-AF81-15A36C6AC7C6}"/>
            </a:ext>
          </a:extLst>
        </xdr:cNvPr>
        <xdr:cNvGrpSpPr/>
      </xdr:nvGrpSpPr>
      <xdr:grpSpPr>
        <a:xfrm>
          <a:off x="4459406" y="13519787"/>
          <a:ext cx="1170057" cy="415924"/>
          <a:chOff x="4305300" y="5730875"/>
          <a:chExt cx="1003300" cy="425450"/>
        </a:xfrm>
      </xdr:grpSpPr>
      <xdr:sp macro="" textlink="">
        <xdr:nvSpPr>
          <xdr:cNvPr id="197" name="AutoShape 49">
            <a:extLst>
              <a:ext uri="{FF2B5EF4-FFF2-40B4-BE49-F238E27FC236}">
                <a16:creationId xmlns:a16="http://schemas.microsoft.com/office/drawing/2014/main" id="{3D757274-411E-AEB9-0A0A-47ED06FAED61}"/>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09" name="正方形/長方形 48">
            <a:extLst>
              <a:ext uri="{FF2B5EF4-FFF2-40B4-BE49-F238E27FC236}">
                <a16:creationId xmlns:a16="http://schemas.microsoft.com/office/drawing/2014/main" id="{491439CF-BD0F-84CB-C531-5E0A0CE4DBA2}"/>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データ（でんさい）</a:t>
            </a:r>
          </a:p>
        </xdr:txBody>
      </xdr:sp>
    </xdr:grpSp>
    <xdr:clientData/>
  </xdr:twoCellAnchor>
  <xdr:twoCellAnchor>
    <xdr:from>
      <xdr:col>23</xdr:col>
      <xdr:colOff>2483</xdr:colOff>
      <xdr:row>89</xdr:row>
      <xdr:rowOff>97402</xdr:rowOff>
    </xdr:from>
    <xdr:to>
      <xdr:col>28</xdr:col>
      <xdr:colOff>21158</xdr:colOff>
      <xdr:row>93</xdr:row>
      <xdr:rowOff>94944</xdr:rowOff>
    </xdr:to>
    <xdr:grpSp>
      <xdr:nvGrpSpPr>
        <xdr:cNvPr id="216" name="グループ化 215">
          <a:extLst>
            <a:ext uri="{FF2B5EF4-FFF2-40B4-BE49-F238E27FC236}">
              <a16:creationId xmlns:a16="http://schemas.microsoft.com/office/drawing/2014/main" id="{00F3AD8F-5FFC-C9D9-F9B2-DBF1B3FA6247}"/>
            </a:ext>
          </a:extLst>
        </xdr:cNvPr>
        <xdr:cNvGrpSpPr>
          <a:grpSpLocks noChangeAspect="1"/>
        </xdr:cNvGrpSpPr>
      </xdr:nvGrpSpPr>
      <xdr:grpSpPr>
        <a:xfrm>
          <a:off x="4164908" y="15394552"/>
          <a:ext cx="923550" cy="683342"/>
          <a:chOff x="7112000" y="2892425"/>
          <a:chExt cx="873125" cy="584982"/>
        </a:xfrm>
      </xdr:grpSpPr>
      <xdr:sp macro="" textlink="">
        <xdr:nvSpPr>
          <xdr:cNvPr id="217" name="フローチャート: 磁気ディスク 216">
            <a:extLst>
              <a:ext uri="{FF2B5EF4-FFF2-40B4-BE49-F238E27FC236}">
                <a16:creationId xmlns:a16="http://schemas.microsoft.com/office/drawing/2014/main" id="{6F7F9DC5-5836-8167-B6D0-4A65D3CC510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18" name="正方形/長方形 217">
            <a:extLst>
              <a:ext uri="{FF2B5EF4-FFF2-40B4-BE49-F238E27FC236}">
                <a16:creationId xmlns:a16="http://schemas.microsoft.com/office/drawing/2014/main" id="{EF9520DB-60F7-43DF-96CD-657BBF9AFCB2}"/>
              </a:ext>
            </a:extLst>
          </xdr:cNvPr>
          <xdr:cNvSpPr/>
        </xdr:nvSpPr>
        <xdr:spPr>
          <a:xfrm>
            <a:off x="7112000"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ysClr val="windowText" lastClr="000000"/>
                </a:solidFill>
              </a:rPr>
              <a:t>三井住友銀行</a:t>
            </a:r>
          </a:p>
        </xdr:txBody>
      </xdr:sp>
    </xdr:grpSp>
    <xdr:clientData/>
  </xdr:twoCellAnchor>
  <xdr:twoCellAnchor>
    <xdr:from>
      <xdr:col>13</xdr:col>
      <xdr:colOff>130776</xdr:colOff>
      <xdr:row>86</xdr:row>
      <xdr:rowOff>114652</xdr:rowOff>
    </xdr:from>
    <xdr:to>
      <xdr:col>23</xdr:col>
      <xdr:colOff>110806</xdr:colOff>
      <xdr:row>91</xdr:row>
      <xdr:rowOff>68457</xdr:rowOff>
    </xdr:to>
    <xdr:cxnSp macro="">
      <xdr:nvCxnSpPr>
        <xdr:cNvPr id="219" name="コネクタ: カギ線 218">
          <a:extLst>
            <a:ext uri="{FF2B5EF4-FFF2-40B4-BE49-F238E27FC236}">
              <a16:creationId xmlns:a16="http://schemas.microsoft.com/office/drawing/2014/main" id="{6FCC39BC-069F-46F1-AAD9-B3F94608C8A4}"/>
            </a:ext>
          </a:extLst>
        </xdr:cNvPr>
        <xdr:cNvCxnSpPr>
          <a:cxnSpLocks/>
          <a:stCxn id="225" idx="3"/>
          <a:endCxn id="217" idx="2"/>
        </xdr:cNvCxnSpPr>
      </xdr:nvCxnSpPr>
      <xdr:spPr>
        <a:xfrm>
          <a:off x="2752952" y="14469387"/>
          <a:ext cx="1997089" cy="794246"/>
        </a:xfrm>
        <a:prstGeom prst="bentConnector3">
          <a:avLst>
            <a:gd name="adj1" fmla="val 63488"/>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191806</xdr:colOff>
      <xdr:row>105</xdr:row>
      <xdr:rowOff>28785</xdr:rowOff>
    </xdr:from>
    <xdr:to>
      <xdr:col>20</xdr:col>
      <xdr:colOff>190634</xdr:colOff>
      <xdr:row>109</xdr:row>
      <xdr:rowOff>40705</xdr:rowOff>
    </xdr:to>
    <xdr:grpSp>
      <xdr:nvGrpSpPr>
        <xdr:cNvPr id="41" name="グループ化 40">
          <a:extLst>
            <a:ext uri="{FF2B5EF4-FFF2-40B4-BE49-F238E27FC236}">
              <a16:creationId xmlns:a16="http://schemas.microsoft.com/office/drawing/2014/main" id="{27049E86-1D7E-8016-88E6-410CE271CBF2}"/>
            </a:ext>
          </a:extLst>
        </xdr:cNvPr>
        <xdr:cNvGrpSpPr/>
      </xdr:nvGrpSpPr>
      <xdr:grpSpPr>
        <a:xfrm>
          <a:off x="2896906" y="18069135"/>
          <a:ext cx="903703" cy="697720"/>
          <a:chOff x="8670826" y="3038692"/>
          <a:chExt cx="873125" cy="603729"/>
        </a:xfrm>
      </xdr:grpSpPr>
      <xdr:sp macro="" textlink="">
        <xdr:nvSpPr>
          <xdr:cNvPr id="42" name="フローチャート: 磁気ディスク 41">
            <a:extLst>
              <a:ext uri="{FF2B5EF4-FFF2-40B4-BE49-F238E27FC236}">
                <a16:creationId xmlns:a16="http://schemas.microsoft.com/office/drawing/2014/main" id="{57A6B057-B5BC-B084-0399-5D6433CA9EB7}"/>
              </a:ext>
            </a:extLst>
          </xdr:cNvPr>
          <xdr:cNvSpPr/>
        </xdr:nvSpPr>
        <xdr:spPr>
          <a:xfrm>
            <a:off x="8766581" y="3038692"/>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3" name="正方形/長方形 42">
            <a:extLst>
              <a:ext uri="{FF2B5EF4-FFF2-40B4-BE49-F238E27FC236}">
                <a16:creationId xmlns:a16="http://schemas.microsoft.com/office/drawing/2014/main" id="{A0386456-AC6C-3FA1-8750-2FF689BF9882}"/>
              </a:ext>
            </a:extLst>
          </xdr:cNvPr>
          <xdr:cNvSpPr/>
        </xdr:nvSpPr>
        <xdr:spPr>
          <a:xfrm>
            <a:off x="8670826" y="3136814"/>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電子記録債務</a:t>
            </a:r>
            <a:endParaRPr kumimoji="1" lang="en-US" altLang="ja-JP" sz="900">
              <a:solidFill>
                <a:srgbClr val="FF0000"/>
              </a:solidFill>
            </a:endParaRPr>
          </a:p>
          <a:p>
            <a:pPr algn="ctr"/>
            <a:r>
              <a:rPr kumimoji="1" lang="ja-JP" altLang="en-US" sz="900">
                <a:solidFill>
                  <a:srgbClr val="FF0000"/>
                </a:solidFill>
              </a:rPr>
              <a:t>管理一覧</a:t>
            </a:r>
          </a:p>
        </xdr:txBody>
      </xdr:sp>
    </xdr:grpSp>
    <xdr:clientData/>
  </xdr:twoCellAnchor>
  <xdr:twoCellAnchor>
    <xdr:from>
      <xdr:col>1</xdr:col>
      <xdr:colOff>162901</xdr:colOff>
      <xdr:row>105</xdr:row>
      <xdr:rowOff>81071</xdr:rowOff>
    </xdr:from>
    <xdr:to>
      <xdr:col>7</xdr:col>
      <xdr:colOff>86983</xdr:colOff>
      <xdr:row>108</xdr:row>
      <xdr:rowOff>83650</xdr:rowOff>
    </xdr:to>
    <xdr:grpSp>
      <xdr:nvGrpSpPr>
        <xdr:cNvPr id="103" name="グループ化 102">
          <a:extLst>
            <a:ext uri="{FF2B5EF4-FFF2-40B4-BE49-F238E27FC236}">
              <a16:creationId xmlns:a16="http://schemas.microsoft.com/office/drawing/2014/main" id="{64514ECF-8D55-B98A-0BE6-C4171667C1A2}"/>
            </a:ext>
          </a:extLst>
        </xdr:cNvPr>
        <xdr:cNvGrpSpPr/>
      </xdr:nvGrpSpPr>
      <xdr:grpSpPr>
        <a:xfrm>
          <a:off x="343876" y="18121421"/>
          <a:ext cx="1009932" cy="516929"/>
          <a:chOff x="1611840" y="2453184"/>
          <a:chExt cx="933032" cy="400203"/>
        </a:xfrm>
      </xdr:grpSpPr>
      <xdr:sp macro="" textlink="">
        <xdr:nvSpPr>
          <xdr:cNvPr id="104" name="フローチャート: 定義済み処理 103">
            <a:extLst>
              <a:ext uri="{FF2B5EF4-FFF2-40B4-BE49-F238E27FC236}">
                <a16:creationId xmlns:a16="http://schemas.microsoft.com/office/drawing/2014/main" id="{92DDF6FE-9A36-0B7F-9A50-8B71C1340243}"/>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5" name="正方形/長方形 104">
            <a:extLst>
              <a:ext uri="{FF2B5EF4-FFF2-40B4-BE49-F238E27FC236}">
                <a16:creationId xmlns:a16="http://schemas.microsoft.com/office/drawing/2014/main" id="{AC812349-5026-2340-FE8C-6D8664517593}"/>
              </a:ext>
            </a:extLst>
          </xdr:cNvPr>
          <xdr:cNvSpPr/>
        </xdr:nvSpPr>
        <xdr:spPr>
          <a:xfrm>
            <a:off x="1611840" y="2453184"/>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９．電子記録債務の確認</a:t>
            </a:r>
            <a:endParaRPr kumimoji="1" lang="en-US" altLang="ja-JP" sz="900"/>
          </a:p>
        </xdr:txBody>
      </xdr:sp>
    </xdr:grpSp>
    <xdr:clientData/>
  </xdr:twoCellAnchor>
  <xdr:twoCellAnchor>
    <xdr:from>
      <xdr:col>7</xdr:col>
      <xdr:colOff>31566</xdr:colOff>
      <xdr:row>106</xdr:row>
      <xdr:rowOff>158802</xdr:rowOff>
    </xdr:from>
    <xdr:to>
      <xdr:col>16</xdr:col>
      <xdr:colOff>100576</xdr:colOff>
      <xdr:row>106</xdr:row>
      <xdr:rowOff>164777</xdr:rowOff>
    </xdr:to>
    <xdr:cxnSp macro="">
      <xdr:nvCxnSpPr>
        <xdr:cNvPr id="107" name="直線矢印コネクタ 106">
          <a:extLst>
            <a:ext uri="{FF2B5EF4-FFF2-40B4-BE49-F238E27FC236}">
              <a16:creationId xmlns:a16="http://schemas.microsoft.com/office/drawing/2014/main" id="{762F99F2-BA10-4736-A97E-4C88DF4DB5DC}"/>
            </a:ext>
          </a:extLst>
        </xdr:cNvPr>
        <xdr:cNvCxnSpPr>
          <a:cxnSpLocks/>
          <a:stCxn id="42" idx="2"/>
          <a:endCxn id="104" idx="3"/>
        </xdr:cNvCxnSpPr>
      </xdr:nvCxnSpPr>
      <xdr:spPr>
        <a:xfrm flipH="1" flipV="1">
          <a:off x="1443507" y="18883831"/>
          <a:ext cx="1884363" cy="597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138750</xdr:colOff>
      <xdr:row>108</xdr:row>
      <xdr:rowOff>59866</xdr:rowOff>
    </xdr:from>
    <xdr:to>
      <xdr:col>4</xdr:col>
      <xdr:colOff>150493</xdr:colOff>
      <xdr:row>112</xdr:row>
      <xdr:rowOff>141754</xdr:rowOff>
    </xdr:to>
    <xdr:cxnSp macro="">
      <xdr:nvCxnSpPr>
        <xdr:cNvPr id="122" name="直線矢印コネクタ 27">
          <a:extLst>
            <a:ext uri="{FF2B5EF4-FFF2-40B4-BE49-F238E27FC236}">
              <a16:creationId xmlns:a16="http://schemas.microsoft.com/office/drawing/2014/main" id="{044A9E3E-6224-4A6B-81B1-59365F089E1A}"/>
            </a:ext>
          </a:extLst>
        </xdr:cNvPr>
        <xdr:cNvCxnSpPr>
          <a:cxnSpLocks/>
          <a:stCxn id="104" idx="2"/>
          <a:endCxn id="263" idx="0"/>
        </xdr:cNvCxnSpPr>
      </xdr:nvCxnSpPr>
      <xdr:spPr>
        <a:xfrm>
          <a:off x="945574" y="19121072"/>
          <a:ext cx="11743" cy="75424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185257</xdr:colOff>
      <xdr:row>183</xdr:row>
      <xdr:rowOff>81613</xdr:rowOff>
    </xdr:from>
    <xdr:to>
      <xdr:col>7</xdr:col>
      <xdr:colOff>114580</xdr:colOff>
      <xdr:row>186</xdr:row>
      <xdr:rowOff>79630</xdr:rowOff>
    </xdr:to>
    <xdr:grpSp>
      <xdr:nvGrpSpPr>
        <xdr:cNvPr id="221" name="グループ化 220">
          <a:extLst>
            <a:ext uri="{FF2B5EF4-FFF2-40B4-BE49-F238E27FC236}">
              <a16:creationId xmlns:a16="http://schemas.microsoft.com/office/drawing/2014/main" id="{568F26D7-FD7E-4390-B503-1333F14483EF}"/>
            </a:ext>
          </a:extLst>
        </xdr:cNvPr>
        <xdr:cNvGrpSpPr/>
      </xdr:nvGrpSpPr>
      <xdr:grpSpPr>
        <a:xfrm>
          <a:off x="366232" y="31504588"/>
          <a:ext cx="1015173" cy="512367"/>
          <a:chOff x="1628231" y="2434147"/>
          <a:chExt cx="933032" cy="400203"/>
        </a:xfrm>
      </xdr:grpSpPr>
      <xdr:sp macro="" textlink="">
        <xdr:nvSpPr>
          <xdr:cNvPr id="222" name="フローチャート: 定義済み処理 221">
            <a:extLst>
              <a:ext uri="{FF2B5EF4-FFF2-40B4-BE49-F238E27FC236}">
                <a16:creationId xmlns:a16="http://schemas.microsoft.com/office/drawing/2014/main" id="{59586B65-A21F-DDB5-7D37-EB20EF7D0B0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3" name="正方形/長方形 222">
            <a:extLst>
              <a:ext uri="{FF2B5EF4-FFF2-40B4-BE49-F238E27FC236}">
                <a16:creationId xmlns:a16="http://schemas.microsoft.com/office/drawing/2014/main" id="{BACFE75C-6318-5569-2142-6BA9B86D76EB}"/>
              </a:ext>
            </a:extLst>
          </xdr:cNvPr>
          <xdr:cNvSpPr/>
        </xdr:nvSpPr>
        <xdr:spPr>
          <a:xfrm>
            <a:off x="1628231" y="243414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６．電子記録債務の決済確認</a:t>
            </a:r>
            <a:endParaRPr kumimoji="1" lang="en-US" altLang="ja-JP" sz="900"/>
          </a:p>
        </xdr:txBody>
      </xdr:sp>
    </xdr:grpSp>
    <xdr:clientData/>
  </xdr:twoCellAnchor>
  <xdr:twoCellAnchor>
    <xdr:from>
      <xdr:col>16</xdr:col>
      <xdr:colOff>22096</xdr:colOff>
      <xdr:row>183</xdr:row>
      <xdr:rowOff>40821</xdr:rowOff>
    </xdr:from>
    <xdr:to>
      <xdr:col>20</xdr:col>
      <xdr:colOff>197542</xdr:colOff>
      <xdr:row>187</xdr:row>
      <xdr:rowOff>59225</xdr:rowOff>
    </xdr:to>
    <xdr:grpSp>
      <xdr:nvGrpSpPr>
        <xdr:cNvPr id="234" name="グループ化 233">
          <a:extLst>
            <a:ext uri="{FF2B5EF4-FFF2-40B4-BE49-F238E27FC236}">
              <a16:creationId xmlns:a16="http://schemas.microsoft.com/office/drawing/2014/main" id="{29C08F2F-50F8-43BE-8182-7A8C7C996DB2}"/>
            </a:ext>
          </a:extLst>
        </xdr:cNvPr>
        <xdr:cNvGrpSpPr/>
      </xdr:nvGrpSpPr>
      <xdr:grpSpPr>
        <a:xfrm>
          <a:off x="2917696" y="31463796"/>
          <a:ext cx="880296" cy="704204"/>
          <a:chOff x="8677399" y="3038692"/>
          <a:chExt cx="873125" cy="615203"/>
        </a:xfrm>
      </xdr:grpSpPr>
      <xdr:sp macro="" textlink="">
        <xdr:nvSpPr>
          <xdr:cNvPr id="235" name="フローチャート: 磁気ディスク 234">
            <a:extLst>
              <a:ext uri="{FF2B5EF4-FFF2-40B4-BE49-F238E27FC236}">
                <a16:creationId xmlns:a16="http://schemas.microsoft.com/office/drawing/2014/main" id="{B2F54541-C0E1-14DC-D82D-9EEA59040FA4}"/>
              </a:ext>
            </a:extLst>
          </xdr:cNvPr>
          <xdr:cNvSpPr/>
        </xdr:nvSpPr>
        <xdr:spPr>
          <a:xfrm>
            <a:off x="8769387" y="3038692"/>
            <a:ext cx="676275" cy="539076"/>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6" name="正方形/長方形 235">
            <a:extLst>
              <a:ext uri="{FF2B5EF4-FFF2-40B4-BE49-F238E27FC236}">
                <a16:creationId xmlns:a16="http://schemas.microsoft.com/office/drawing/2014/main" id="{42795CB2-8207-5BD1-262B-83926B18CF4C}"/>
              </a:ext>
            </a:extLst>
          </xdr:cNvPr>
          <xdr:cNvSpPr/>
        </xdr:nvSpPr>
        <xdr:spPr>
          <a:xfrm>
            <a:off x="8677399" y="3148288"/>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電子記録債務</a:t>
            </a:r>
            <a:endParaRPr kumimoji="1" lang="en-US" altLang="ja-JP" sz="900">
              <a:solidFill>
                <a:srgbClr val="FF0000"/>
              </a:solidFill>
            </a:endParaRPr>
          </a:p>
          <a:p>
            <a:pPr algn="ctr"/>
            <a:r>
              <a:rPr kumimoji="1" lang="ja-JP" altLang="en-US" sz="900">
                <a:solidFill>
                  <a:srgbClr val="FF0000"/>
                </a:solidFill>
              </a:rPr>
              <a:t>管理一覧</a:t>
            </a:r>
          </a:p>
        </xdr:txBody>
      </xdr:sp>
    </xdr:grpSp>
    <xdr:clientData/>
  </xdr:twoCellAnchor>
  <xdr:twoCellAnchor>
    <xdr:from>
      <xdr:col>18</xdr:col>
      <xdr:colOff>152026</xdr:colOff>
      <xdr:row>185</xdr:row>
      <xdr:rowOff>160051</xdr:rowOff>
    </xdr:from>
    <xdr:to>
      <xdr:col>23</xdr:col>
      <xdr:colOff>153706</xdr:colOff>
      <xdr:row>189</xdr:row>
      <xdr:rowOff>64054</xdr:rowOff>
    </xdr:to>
    <xdr:grpSp>
      <xdr:nvGrpSpPr>
        <xdr:cNvPr id="240" name="グループ化 239">
          <a:extLst>
            <a:ext uri="{FF2B5EF4-FFF2-40B4-BE49-F238E27FC236}">
              <a16:creationId xmlns:a16="http://schemas.microsoft.com/office/drawing/2014/main" id="{17CE9631-2B13-43B0-9112-72634AE82ADD}"/>
            </a:ext>
          </a:extLst>
        </xdr:cNvPr>
        <xdr:cNvGrpSpPr>
          <a:grpSpLocks noChangeAspect="1"/>
        </xdr:cNvGrpSpPr>
      </xdr:nvGrpSpPr>
      <xdr:grpSpPr>
        <a:xfrm>
          <a:off x="3409576" y="31925926"/>
          <a:ext cx="906555" cy="589803"/>
          <a:chOff x="2752510" y="18455584"/>
          <a:chExt cx="1161332" cy="677418"/>
        </a:xfrm>
      </xdr:grpSpPr>
      <xdr:sp macro="" textlink="">
        <xdr:nvSpPr>
          <xdr:cNvPr id="241" name="フローチャート: 書類 240">
            <a:extLst>
              <a:ext uri="{FF2B5EF4-FFF2-40B4-BE49-F238E27FC236}">
                <a16:creationId xmlns:a16="http://schemas.microsoft.com/office/drawing/2014/main" id="{FAC6DDAB-6543-87C1-3D6E-6831BE84A1C6}"/>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46" name="正方形/長方形 245">
            <a:extLst>
              <a:ext uri="{FF2B5EF4-FFF2-40B4-BE49-F238E27FC236}">
                <a16:creationId xmlns:a16="http://schemas.microsoft.com/office/drawing/2014/main" id="{3B909825-6AF5-3FD0-8471-F4C3C7C3FEE9}"/>
              </a:ext>
            </a:extLst>
          </xdr:cNvPr>
          <xdr:cNvSpPr/>
        </xdr:nvSpPr>
        <xdr:spPr>
          <a:xfrm>
            <a:off x="2752510" y="18455584"/>
            <a:ext cx="1161332" cy="67741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電子記録債務</a:t>
            </a:r>
            <a:endParaRPr kumimoji="1" lang="en-US" altLang="ja-JP" sz="900">
              <a:solidFill>
                <a:srgbClr val="FF0000"/>
              </a:solidFill>
            </a:endParaRPr>
          </a:p>
          <a:p>
            <a:pPr algn="ctr"/>
            <a:r>
              <a:rPr kumimoji="1" lang="ja-JP" altLang="en-US" sz="900">
                <a:solidFill>
                  <a:srgbClr val="FF0000"/>
                </a:solidFill>
              </a:rPr>
              <a:t>管理一覧</a:t>
            </a:r>
          </a:p>
        </xdr:txBody>
      </xdr:sp>
    </xdr:grpSp>
    <xdr:clientData/>
  </xdr:twoCellAnchor>
  <xdr:twoCellAnchor>
    <xdr:from>
      <xdr:col>19</xdr:col>
      <xdr:colOff>44822</xdr:colOff>
      <xdr:row>107</xdr:row>
      <xdr:rowOff>78440</xdr:rowOff>
    </xdr:from>
    <xdr:to>
      <xdr:col>23</xdr:col>
      <xdr:colOff>198530</xdr:colOff>
      <xdr:row>110</xdr:row>
      <xdr:rowOff>144182</xdr:rowOff>
    </xdr:to>
    <xdr:grpSp>
      <xdr:nvGrpSpPr>
        <xdr:cNvPr id="247" name="グループ化 246">
          <a:extLst>
            <a:ext uri="{FF2B5EF4-FFF2-40B4-BE49-F238E27FC236}">
              <a16:creationId xmlns:a16="http://schemas.microsoft.com/office/drawing/2014/main" id="{67071EE2-5977-4739-9992-707E8DBB2EDE}"/>
            </a:ext>
          </a:extLst>
        </xdr:cNvPr>
        <xdr:cNvGrpSpPr>
          <a:grpSpLocks noChangeAspect="1"/>
        </xdr:cNvGrpSpPr>
      </xdr:nvGrpSpPr>
      <xdr:grpSpPr>
        <a:xfrm>
          <a:off x="3483347" y="18461690"/>
          <a:ext cx="858558" cy="580092"/>
          <a:chOff x="2804040" y="18462440"/>
          <a:chExt cx="1120073" cy="671251"/>
        </a:xfrm>
      </xdr:grpSpPr>
      <xdr:sp macro="" textlink="">
        <xdr:nvSpPr>
          <xdr:cNvPr id="248" name="フローチャート: 書類 247">
            <a:extLst>
              <a:ext uri="{FF2B5EF4-FFF2-40B4-BE49-F238E27FC236}">
                <a16:creationId xmlns:a16="http://schemas.microsoft.com/office/drawing/2014/main" id="{726A060E-ABEF-1750-4E97-37C49A521C12}"/>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49" name="正方形/長方形 248">
            <a:extLst>
              <a:ext uri="{FF2B5EF4-FFF2-40B4-BE49-F238E27FC236}">
                <a16:creationId xmlns:a16="http://schemas.microsoft.com/office/drawing/2014/main" id="{66B954F8-001D-8205-2932-C21DFBCE9AC9}"/>
              </a:ext>
            </a:extLst>
          </xdr:cNvPr>
          <xdr:cNvSpPr/>
        </xdr:nvSpPr>
        <xdr:spPr>
          <a:xfrm>
            <a:off x="2804040" y="18462440"/>
            <a:ext cx="1120073" cy="6712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電子記録債務管理一覧</a:t>
            </a:r>
          </a:p>
        </xdr:txBody>
      </xdr:sp>
    </xdr:grpSp>
    <xdr:clientData/>
  </xdr:twoCellAnchor>
  <xdr:twoCellAnchor>
    <xdr:from>
      <xdr:col>4</xdr:col>
      <xdr:colOff>143351</xdr:colOff>
      <xdr:row>186</xdr:row>
      <xdr:rowOff>76735</xdr:rowOff>
    </xdr:from>
    <xdr:to>
      <xdr:col>4</xdr:col>
      <xdr:colOff>146993</xdr:colOff>
      <xdr:row>198</xdr:row>
      <xdr:rowOff>162422</xdr:rowOff>
    </xdr:to>
    <xdr:cxnSp macro="">
      <xdr:nvCxnSpPr>
        <xdr:cNvPr id="250" name="直線矢印コネクタ 27">
          <a:extLst>
            <a:ext uri="{FF2B5EF4-FFF2-40B4-BE49-F238E27FC236}">
              <a16:creationId xmlns:a16="http://schemas.microsoft.com/office/drawing/2014/main" id="{DC4C34A4-AD96-4589-936D-00D324AF7441}"/>
            </a:ext>
          </a:extLst>
        </xdr:cNvPr>
        <xdr:cNvCxnSpPr>
          <a:cxnSpLocks/>
          <a:stCxn id="222" idx="2"/>
          <a:endCxn id="106" idx="0"/>
        </xdr:cNvCxnSpPr>
      </xdr:nvCxnSpPr>
      <xdr:spPr>
        <a:xfrm flipH="1">
          <a:off x="941637" y="29613306"/>
          <a:ext cx="3642" cy="111983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172355</xdr:colOff>
      <xdr:row>198</xdr:row>
      <xdr:rowOff>136075</xdr:rowOff>
    </xdr:from>
    <xdr:to>
      <xdr:col>7</xdr:col>
      <xdr:colOff>82752</xdr:colOff>
      <xdr:row>201</xdr:row>
      <xdr:rowOff>131733</xdr:rowOff>
    </xdr:to>
    <xdr:grpSp>
      <xdr:nvGrpSpPr>
        <xdr:cNvPr id="102" name="グループ化 101">
          <a:extLst>
            <a:ext uri="{FF2B5EF4-FFF2-40B4-BE49-F238E27FC236}">
              <a16:creationId xmlns:a16="http://schemas.microsoft.com/office/drawing/2014/main" id="{ED8598D8-5483-469E-9EC3-A7DECF107524}"/>
            </a:ext>
          </a:extLst>
        </xdr:cNvPr>
        <xdr:cNvGrpSpPr/>
      </xdr:nvGrpSpPr>
      <xdr:grpSpPr>
        <a:xfrm>
          <a:off x="353330" y="34130800"/>
          <a:ext cx="996247" cy="510008"/>
          <a:chOff x="1612504" y="2436885"/>
          <a:chExt cx="933032" cy="400203"/>
        </a:xfrm>
      </xdr:grpSpPr>
      <xdr:sp macro="" textlink="">
        <xdr:nvSpPr>
          <xdr:cNvPr id="106" name="フローチャート: 定義済み処理 105">
            <a:extLst>
              <a:ext uri="{FF2B5EF4-FFF2-40B4-BE49-F238E27FC236}">
                <a16:creationId xmlns:a16="http://schemas.microsoft.com/office/drawing/2014/main" id="{42C4914C-74B4-E0F4-67A5-691B5CE03EC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2" name="正方形/長方形 111">
            <a:extLst>
              <a:ext uri="{FF2B5EF4-FFF2-40B4-BE49-F238E27FC236}">
                <a16:creationId xmlns:a16="http://schemas.microsoft.com/office/drawing/2014/main" id="{9FEBBC91-8483-8C1A-2E3B-7F78D5951239}"/>
              </a:ext>
            </a:extLst>
          </xdr:cNvPr>
          <xdr:cNvSpPr/>
        </xdr:nvSpPr>
        <xdr:spPr>
          <a:xfrm>
            <a:off x="1612504" y="2436885"/>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７．決済内容</a:t>
            </a:r>
            <a:endParaRPr kumimoji="1" lang="en-US" altLang="ja-JP" sz="900"/>
          </a:p>
          <a:p>
            <a:pPr algn="ctr"/>
            <a:r>
              <a:rPr kumimoji="1" lang="ja-JP" altLang="en-US" sz="900"/>
              <a:t>の確認</a:t>
            </a:r>
            <a:endParaRPr kumimoji="1" lang="en-US" altLang="ja-JP" sz="900"/>
          </a:p>
        </xdr:txBody>
      </xdr:sp>
    </xdr:grpSp>
    <xdr:clientData/>
  </xdr:twoCellAnchor>
  <xdr:twoCellAnchor>
    <xdr:from>
      <xdr:col>16</xdr:col>
      <xdr:colOff>27214</xdr:colOff>
      <xdr:row>198</xdr:row>
      <xdr:rowOff>81646</xdr:rowOff>
    </xdr:from>
    <xdr:to>
      <xdr:col>21</xdr:col>
      <xdr:colOff>5952</xdr:colOff>
      <xdr:row>202</xdr:row>
      <xdr:rowOff>90391</xdr:rowOff>
    </xdr:to>
    <xdr:grpSp>
      <xdr:nvGrpSpPr>
        <xdr:cNvPr id="121" name="グループ化 120">
          <a:extLst>
            <a:ext uri="{FF2B5EF4-FFF2-40B4-BE49-F238E27FC236}">
              <a16:creationId xmlns:a16="http://schemas.microsoft.com/office/drawing/2014/main" id="{C1664F97-CB6E-4B27-8913-2C3E8D17A8DD}"/>
            </a:ext>
          </a:extLst>
        </xdr:cNvPr>
        <xdr:cNvGrpSpPr/>
      </xdr:nvGrpSpPr>
      <xdr:grpSpPr>
        <a:xfrm>
          <a:off x="2922814" y="34076371"/>
          <a:ext cx="883613" cy="694545"/>
          <a:chOff x="8670826" y="3038692"/>
          <a:chExt cx="873125" cy="603729"/>
        </a:xfrm>
      </xdr:grpSpPr>
      <xdr:sp macro="" textlink="">
        <xdr:nvSpPr>
          <xdr:cNvPr id="123" name="フローチャート: 磁気ディスク 122">
            <a:extLst>
              <a:ext uri="{FF2B5EF4-FFF2-40B4-BE49-F238E27FC236}">
                <a16:creationId xmlns:a16="http://schemas.microsoft.com/office/drawing/2014/main" id="{BBD9D86B-013D-96ED-A115-548632A83DE8}"/>
              </a:ext>
            </a:extLst>
          </xdr:cNvPr>
          <xdr:cNvSpPr/>
        </xdr:nvSpPr>
        <xdr:spPr>
          <a:xfrm>
            <a:off x="8766581" y="3038692"/>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10" name="正方形/長方形 209">
            <a:extLst>
              <a:ext uri="{FF2B5EF4-FFF2-40B4-BE49-F238E27FC236}">
                <a16:creationId xmlns:a16="http://schemas.microsoft.com/office/drawing/2014/main" id="{87F40180-AECB-A4E6-352D-520853A616CF}"/>
              </a:ext>
            </a:extLst>
          </xdr:cNvPr>
          <xdr:cNvSpPr/>
        </xdr:nvSpPr>
        <xdr:spPr>
          <a:xfrm>
            <a:off x="8670826" y="3136814"/>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債務残高明細</a:t>
            </a:r>
          </a:p>
        </xdr:txBody>
      </xdr:sp>
    </xdr:grpSp>
    <xdr:clientData/>
  </xdr:twoCellAnchor>
  <xdr:twoCellAnchor>
    <xdr:from>
      <xdr:col>7</xdr:col>
      <xdr:colOff>30941</xdr:colOff>
      <xdr:row>200</xdr:row>
      <xdr:rowOff>47189</xdr:rowOff>
    </xdr:from>
    <xdr:to>
      <xdr:col>16</xdr:col>
      <xdr:colOff>134316</xdr:colOff>
      <xdr:row>200</xdr:row>
      <xdr:rowOff>57703</xdr:rowOff>
    </xdr:to>
    <xdr:cxnSp macro="">
      <xdr:nvCxnSpPr>
        <xdr:cNvPr id="211" name="直線矢印コネクタ 210">
          <a:extLst>
            <a:ext uri="{FF2B5EF4-FFF2-40B4-BE49-F238E27FC236}">
              <a16:creationId xmlns:a16="http://schemas.microsoft.com/office/drawing/2014/main" id="{AA76D763-C0CF-4B66-8662-461AE39F196D}"/>
            </a:ext>
          </a:extLst>
        </xdr:cNvPr>
        <xdr:cNvCxnSpPr>
          <a:cxnSpLocks/>
          <a:stCxn id="123" idx="2"/>
          <a:endCxn id="106" idx="3"/>
        </xdr:cNvCxnSpPr>
      </xdr:nvCxnSpPr>
      <xdr:spPr>
        <a:xfrm flipH="1">
          <a:off x="1427941" y="30962618"/>
          <a:ext cx="1899518" cy="1051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134619</xdr:colOff>
      <xdr:row>201</xdr:row>
      <xdr:rowOff>125455</xdr:rowOff>
    </xdr:from>
    <xdr:to>
      <xdr:col>4</xdr:col>
      <xdr:colOff>143302</xdr:colOff>
      <xdr:row>207</xdr:row>
      <xdr:rowOff>122240</xdr:rowOff>
    </xdr:to>
    <xdr:cxnSp macro="">
      <xdr:nvCxnSpPr>
        <xdr:cNvPr id="259" name="直線矢印コネクタ 27">
          <a:extLst>
            <a:ext uri="{FF2B5EF4-FFF2-40B4-BE49-F238E27FC236}">
              <a16:creationId xmlns:a16="http://schemas.microsoft.com/office/drawing/2014/main" id="{6738D55D-1BCD-40C5-8512-584F237C701D}"/>
            </a:ext>
          </a:extLst>
        </xdr:cNvPr>
        <xdr:cNvCxnSpPr>
          <a:cxnSpLocks/>
          <a:stCxn id="106" idx="2"/>
          <a:endCxn id="253" idx="0"/>
        </xdr:cNvCxnSpPr>
      </xdr:nvCxnSpPr>
      <xdr:spPr>
        <a:xfrm flipH="1">
          <a:off x="854286" y="34235538"/>
          <a:ext cx="8683" cy="101278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64943</xdr:colOff>
      <xdr:row>200</xdr:row>
      <xdr:rowOff>129886</xdr:rowOff>
    </xdr:from>
    <xdr:to>
      <xdr:col>24</xdr:col>
      <xdr:colOff>84280</xdr:colOff>
      <xdr:row>204</xdr:row>
      <xdr:rowOff>23600</xdr:rowOff>
    </xdr:to>
    <xdr:grpSp>
      <xdr:nvGrpSpPr>
        <xdr:cNvPr id="257" name="グループ化 256">
          <a:extLst>
            <a:ext uri="{FF2B5EF4-FFF2-40B4-BE49-F238E27FC236}">
              <a16:creationId xmlns:a16="http://schemas.microsoft.com/office/drawing/2014/main" id="{63E8851D-C856-425B-90C5-E09577B93FBA}"/>
            </a:ext>
          </a:extLst>
        </xdr:cNvPr>
        <xdr:cNvGrpSpPr>
          <a:grpSpLocks noChangeAspect="1"/>
        </xdr:cNvGrpSpPr>
      </xdr:nvGrpSpPr>
      <xdr:grpSpPr>
        <a:xfrm>
          <a:off x="3322493" y="34467511"/>
          <a:ext cx="1105187" cy="579514"/>
          <a:chOff x="2608363" y="18426641"/>
          <a:chExt cx="1391068" cy="671251"/>
        </a:xfrm>
      </xdr:grpSpPr>
      <xdr:sp macro="" textlink="">
        <xdr:nvSpPr>
          <xdr:cNvPr id="258" name="フローチャート: 書類 257">
            <a:extLst>
              <a:ext uri="{FF2B5EF4-FFF2-40B4-BE49-F238E27FC236}">
                <a16:creationId xmlns:a16="http://schemas.microsoft.com/office/drawing/2014/main" id="{D147CD19-650C-82F1-9BC8-8A9477602757}"/>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60" name="正方形/長方形 259">
            <a:extLst>
              <a:ext uri="{FF2B5EF4-FFF2-40B4-BE49-F238E27FC236}">
                <a16:creationId xmlns:a16="http://schemas.microsoft.com/office/drawing/2014/main" id="{E9ADC443-A880-559B-3A7B-B5642CB4FEB6}"/>
              </a:ext>
            </a:extLst>
          </xdr:cNvPr>
          <xdr:cNvSpPr/>
        </xdr:nvSpPr>
        <xdr:spPr>
          <a:xfrm>
            <a:off x="2608363" y="18426641"/>
            <a:ext cx="1391068" cy="6712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債務残高明細</a:t>
            </a:r>
          </a:p>
          <a:p>
            <a:pPr algn="ctr"/>
            <a:r>
              <a:rPr kumimoji="1" lang="ja-JP" altLang="en-US" sz="900">
                <a:solidFill>
                  <a:srgbClr val="FF0000"/>
                </a:solidFill>
              </a:rPr>
              <a:t>（決済）</a:t>
            </a:r>
          </a:p>
        </xdr:txBody>
      </xdr:sp>
    </xdr:grpSp>
    <xdr:clientData/>
  </xdr:twoCellAnchor>
  <xdr:twoCellAnchor>
    <xdr:from>
      <xdr:col>6</xdr:col>
      <xdr:colOff>36792</xdr:colOff>
      <xdr:row>107</xdr:row>
      <xdr:rowOff>78440</xdr:rowOff>
    </xdr:from>
    <xdr:to>
      <xdr:col>10</xdr:col>
      <xdr:colOff>190499</xdr:colOff>
      <xdr:row>110</xdr:row>
      <xdr:rowOff>141007</xdr:rowOff>
    </xdr:to>
    <xdr:grpSp>
      <xdr:nvGrpSpPr>
        <xdr:cNvPr id="118" name="グループ化 117">
          <a:extLst>
            <a:ext uri="{FF2B5EF4-FFF2-40B4-BE49-F238E27FC236}">
              <a16:creationId xmlns:a16="http://schemas.microsoft.com/office/drawing/2014/main" id="{5056552E-47FB-071B-A98F-C7298741C166}"/>
            </a:ext>
          </a:extLst>
        </xdr:cNvPr>
        <xdr:cNvGrpSpPr>
          <a:grpSpLocks noChangeAspect="1"/>
        </xdr:cNvGrpSpPr>
      </xdr:nvGrpSpPr>
      <xdr:grpSpPr>
        <a:xfrm>
          <a:off x="1122642" y="18461690"/>
          <a:ext cx="868082" cy="576917"/>
          <a:chOff x="2804040" y="18462440"/>
          <a:chExt cx="1120073" cy="671251"/>
        </a:xfrm>
      </xdr:grpSpPr>
      <xdr:sp macro="" textlink="">
        <xdr:nvSpPr>
          <xdr:cNvPr id="214" name="フローチャート: 書類 213">
            <a:extLst>
              <a:ext uri="{FF2B5EF4-FFF2-40B4-BE49-F238E27FC236}">
                <a16:creationId xmlns:a16="http://schemas.microsoft.com/office/drawing/2014/main" id="{75B502E5-B365-EE1F-47F3-649FBE7E4D78}"/>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20" name="正方形/長方形 219">
            <a:extLst>
              <a:ext uri="{FF2B5EF4-FFF2-40B4-BE49-F238E27FC236}">
                <a16:creationId xmlns:a16="http://schemas.microsoft.com/office/drawing/2014/main" id="{640DBD9A-3269-CC45-2A02-9E63DD035E09}"/>
              </a:ext>
            </a:extLst>
          </xdr:cNvPr>
          <xdr:cNvSpPr/>
        </xdr:nvSpPr>
        <xdr:spPr>
          <a:xfrm>
            <a:off x="2804040" y="18462440"/>
            <a:ext cx="1120073" cy="6712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電子記録債務管理一覧</a:t>
            </a:r>
          </a:p>
        </xdr:txBody>
      </xdr:sp>
    </xdr:grpSp>
    <xdr:clientData/>
  </xdr:twoCellAnchor>
  <xdr:twoCellAnchor>
    <xdr:from>
      <xdr:col>7</xdr:col>
      <xdr:colOff>41875</xdr:colOff>
      <xdr:row>185</xdr:row>
      <xdr:rowOff>7287</xdr:rowOff>
    </xdr:from>
    <xdr:to>
      <xdr:col>16</xdr:col>
      <xdr:colOff>125585</xdr:colOff>
      <xdr:row>185</xdr:row>
      <xdr:rowOff>12964</xdr:rowOff>
    </xdr:to>
    <xdr:cxnSp macro="">
      <xdr:nvCxnSpPr>
        <xdr:cNvPr id="237" name="直線矢印コネクタ 236">
          <a:extLst>
            <a:ext uri="{FF2B5EF4-FFF2-40B4-BE49-F238E27FC236}">
              <a16:creationId xmlns:a16="http://schemas.microsoft.com/office/drawing/2014/main" id="{A8A0BD46-FD93-4F8B-87C5-A496284FEA0F}"/>
            </a:ext>
          </a:extLst>
        </xdr:cNvPr>
        <xdr:cNvCxnSpPr>
          <a:cxnSpLocks/>
          <a:stCxn id="235" idx="2"/>
          <a:endCxn id="222" idx="3"/>
        </xdr:cNvCxnSpPr>
      </xdr:nvCxnSpPr>
      <xdr:spPr>
        <a:xfrm flipH="1">
          <a:off x="1453816" y="31182052"/>
          <a:ext cx="1899063" cy="567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193686</xdr:colOff>
      <xdr:row>110</xdr:row>
      <xdr:rowOff>92846</xdr:rowOff>
    </xdr:from>
    <xdr:to>
      <xdr:col>20</xdr:col>
      <xdr:colOff>190637</xdr:colOff>
      <xdr:row>114</xdr:row>
      <xdr:rowOff>79179</xdr:rowOff>
    </xdr:to>
    <xdr:grpSp>
      <xdr:nvGrpSpPr>
        <xdr:cNvPr id="283" name="グループ化 282">
          <a:extLst>
            <a:ext uri="{FF2B5EF4-FFF2-40B4-BE49-F238E27FC236}">
              <a16:creationId xmlns:a16="http://schemas.microsoft.com/office/drawing/2014/main" id="{4EB7FBB5-B0E3-EB6A-D94F-876D1483480C}"/>
            </a:ext>
          </a:extLst>
        </xdr:cNvPr>
        <xdr:cNvGrpSpPr/>
      </xdr:nvGrpSpPr>
      <xdr:grpSpPr>
        <a:xfrm>
          <a:off x="2898786" y="18990446"/>
          <a:ext cx="901826" cy="672133"/>
          <a:chOff x="8669520" y="3038692"/>
          <a:chExt cx="873125" cy="583143"/>
        </a:xfrm>
      </xdr:grpSpPr>
      <xdr:sp macro="" textlink="">
        <xdr:nvSpPr>
          <xdr:cNvPr id="285" name="フローチャート: 磁気ディスク 284">
            <a:extLst>
              <a:ext uri="{FF2B5EF4-FFF2-40B4-BE49-F238E27FC236}">
                <a16:creationId xmlns:a16="http://schemas.microsoft.com/office/drawing/2014/main" id="{08BCDDD1-0D6B-A2B8-F0C3-94356788D40C}"/>
              </a:ext>
            </a:extLst>
          </xdr:cNvPr>
          <xdr:cNvSpPr/>
        </xdr:nvSpPr>
        <xdr:spPr>
          <a:xfrm>
            <a:off x="8766581" y="3038692"/>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86" name="正方形/長方形 285">
            <a:extLst>
              <a:ext uri="{FF2B5EF4-FFF2-40B4-BE49-F238E27FC236}">
                <a16:creationId xmlns:a16="http://schemas.microsoft.com/office/drawing/2014/main" id="{9B821BEE-5652-D357-D833-F45281B3BDDE}"/>
              </a:ext>
            </a:extLst>
          </xdr:cNvPr>
          <xdr:cNvSpPr/>
        </xdr:nvSpPr>
        <xdr:spPr>
          <a:xfrm>
            <a:off x="8669520" y="3116228"/>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支払手形仕訳帳</a:t>
            </a:r>
          </a:p>
        </xdr:txBody>
      </xdr:sp>
    </xdr:grpSp>
    <xdr:clientData/>
  </xdr:twoCellAnchor>
  <xdr:twoCellAnchor>
    <xdr:from>
      <xdr:col>7</xdr:col>
      <xdr:colOff>31567</xdr:colOff>
      <xdr:row>106</xdr:row>
      <xdr:rowOff>158803</xdr:rowOff>
    </xdr:from>
    <xdr:to>
      <xdr:col>16</xdr:col>
      <xdr:colOff>103751</xdr:colOff>
      <xdr:row>112</xdr:row>
      <xdr:rowOff>59712</xdr:rowOff>
    </xdr:to>
    <xdr:cxnSp macro="">
      <xdr:nvCxnSpPr>
        <xdr:cNvPr id="287" name="コネクタ: カギ線 286">
          <a:extLst>
            <a:ext uri="{FF2B5EF4-FFF2-40B4-BE49-F238E27FC236}">
              <a16:creationId xmlns:a16="http://schemas.microsoft.com/office/drawing/2014/main" id="{7CD0EC60-4852-40C1-8552-51E29B7A94B0}"/>
            </a:ext>
          </a:extLst>
        </xdr:cNvPr>
        <xdr:cNvCxnSpPr>
          <a:cxnSpLocks/>
          <a:stCxn id="285" idx="2"/>
          <a:endCxn id="104" idx="3"/>
        </xdr:cNvCxnSpPr>
      </xdr:nvCxnSpPr>
      <xdr:spPr>
        <a:xfrm rot="10800000">
          <a:off x="1443508" y="18043391"/>
          <a:ext cx="1887537" cy="909439"/>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51174</xdr:colOff>
      <xdr:row>185</xdr:row>
      <xdr:rowOff>163226</xdr:rowOff>
    </xdr:from>
    <xdr:to>
      <xdr:col>10</xdr:col>
      <xdr:colOff>52853</xdr:colOff>
      <xdr:row>189</xdr:row>
      <xdr:rowOff>67229</xdr:rowOff>
    </xdr:to>
    <xdr:grpSp>
      <xdr:nvGrpSpPr>
        <xdr:cNvPr id="291" name="グループ化 290">
          <a:extLst>
            <a:ext uri="{FF2B5EF4-FFF2-40B4-BE49-F238E27FC236}">
              <a16:creationId xmlns:a16="http://schemas.microsoft.com/office/drawing/2014/main" id="{995C4CFD-E8CE-03A2-0798-FCFA8862CD6A}"/>
            </a:ext>
          </a:extLst>
        </xdr:cNvPr>
        <xdr:cNvGrpSpPr>
          <a:grpSpLocks noChangeAspect="1"/>
        </xdr:cNvGrpSpPr>
      </xdr:nvGrpSpPr>
      <xdr:grpSpPr>
        <a:xfrm>
          <a:off x="956049" y="31929101"/>
          <a:ext cx="906554" cy="589803"/>
          <a:chOff x="2752510" y="18455584"/>
          <a:chExt cx="1161332" cy="677418"/>
        </a:xfrm>
      </xdr:grpSpPr>
      <xdr:sp macro="" textlink="">
        <xdr:nvSpPr>
          <xdr:cNvPr id="292" name="フローチャート: 書類 291">
            <a:extLst>
              <a:ext uri="{FF2B5EF4-FFF2-40B4-BE49-F238E27FC236}">
                <a16:creationId xmlns:a16="http://schemas.microsoft.com/office/drawing/2014/main" id="{12137C79-86C6-48EB-BBD6-58C19C174147}"/>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93" name="正方形/長方形 292">
            <a:extLst>
              <a:ext uri="{FF2B5EF4-FFF2-40B4-BE49-F238E27FC236}">
                <a16:creationId xmlns:a16="http://schemas.microsoft.com/office/drawing/2014/main" id="{82F2F80A-CB8E-1555-36E0-C90058AB3236}"/>
              </a:ext>
            </a:extLst>
          </xdr:cNvPr>
          <xdr:cNvSpPr/>
        </xdr:nvSpPr>
        <xdr:spPr>
          <a:xfrm>
            <a:off x="2752510" y="18455584"/>
            <a:ext cx="1161332" cy="67741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電子記録債務</a:t>
            </a:r>
            <a:endParaRPr kumimoji="1" lang="en-US" altLang="ja-JP" sz="900">
              <a:solidFill>
                <a:srgbClr val="FF0000"/>
              </a:solidFill>
            </a:endParaRPr>
          </a:p>
          <a:p>
            <a:pPr algn="ctr"/>
            <a:r>
              <a:rPr kumimoji="1" lang="ja-JP" altLang="en-US" sz="900">
                <a:solidFill>
                  <a:srgbClr val="FF0000"/>
                </a:solidFill>
              </a:rPr>
              <a:t>管理一覧</a:t>
            </a:r>
          </a:p>
        </xdr:txBody>
      </xdr:sp>
    </xdr:grpSp>
    <xdr:clientData/>
  </xdr:twoCellAnchor>
  <xdr:twoCellAnchor>
    <xdr:from>
      <xdr:col>15</xdr:col>
      <xdr:colOff>190882</xdr:colOff>
      <xdr:row>190</xdr:row>
      <xdr:rowOff>9309</xdr:rowOff>
    </xdr:from>
    <xdr:to>
      <xdr:col>20</xdr:col>
      <xdr:colOff>178308</xdr:colOff>
      <xdr:row>193</xdr:row>
      <xdr:rowOff>163730</xdr:rowOff>
    </xdr:to>
    <xdr:grpSp>
      <xdr:nvGrpSpPr>
        <xdr:cNvPr id="294" name="グループ化 293">
          <a:extLst>
            <a:ext uri="{FF2B5EF4-FFF2-40B4-BE49-F238E27FC236}">
              <a16:creationId xmlns:a16="http://schemas.microsoft.com/office/drawing/2014/main" id="{A28F2C9E-57EC-4B0B-859B-3799916830B6}"/>
            </a:ext>
          </a:extLst>
        </xdr:cNvPr>
        <xdr:cNvGrpSpPr/>
      </xdr:nvGrpSpPr>
      <xdr:grpSpPr>
        <a:xfrm>
          <a:off x="2895982" y="32632434"/>
          <a:ext cx="901826" cy="668771"/>
          <a:chOff x="8669520" y="3038692"/>
          <a:chExt cx="873125" cy="583143"/>
        </a:xfrm>
      </xdr:grpSpPr>
      <xdr:sp macro="" textlink="">
        <xdr:nvSpPr>
          <xdr:cNvPr id="295" name="フローチャート: 磁気ディスク 294">
            <a:extLst>
              <a:ext uri="{FF2B5EF4-FFF2-40B4-BE49-F238E27FC236}">
                <a16:creationId xmlns:a16="http://schemas.microsoft.com/office/drawing/2014/main" id="{7FFEFD92-E50A-82F2-8F8F-732944CA6504}"/>
              </a:ext>
            </a:extLst>
          </xdr:cNvPr>
          <xdr:cNvSpPr/>
        </xdr:nvSpPr>
        <xdr:spPr>
          <a:xfrm>
            <a:off x="8766581" y="3038692"/>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6" name="正方形/長方形 295">
            <a:extLst>
              <a:ext uri="{FF2B5EF4-FFF2-40B4-BE49-F238E27FC236}">
                <a16:creationId xmlns:a16="http://schemas.microsoft.com/office/drawing/2014/main" id="{B0CA5676-FBCD-8EAE-0DD3-D56AA024F6E4}"/>
              </a:ext>
            </a:extLst>
          </xdr:cNvPr>
          <xdr:cNvSpPr/>
        </xdr:nvSpPr>
        <xdr:spPr>
          <a:xfrm>
            <a:off x="8669520" y="3116228"/>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支払手形仕訳帳</a:t>
            </a:r>
          </a:p>
        </xdr:txBody>
      </xdr:sp>
    </xdr:grpSp>
    <xdr:clientData/>
  </xdr:twoCellAnchor>
  <xdr:twoCellAnchor>
    <xdr:from>
      <xdr:col>7</xdr:col>
      <xdr:colOff>41875</xdr:colOff>
      <xdr:row>185</xdr:row>
      <xdr:rowOff>12965</xdr:rowOff>
    </xdr:from>
    <xdr:to>
      <xdr:col>16</xdr:col>
      <xdr:colOff>99892</xdr:colOff>
      <xdr:row>191</xdr:row>
      <xdr:rowOff>144265</xdr:rowOff>
    </xdr:to>
    <xdr:cxnSp macro="">
      <xdr:nvCxnSpPr>
        <xdr:cNvPr id="297" name="コネクタ: カギ線 296">
          <a:extLst>
            <a:ext uri="{FF2B5EF4-FFF2-40B4-BE49-F238E27FC236}">
              <a16:creationId xmlns:a16="http://schemas.microsoft.com/office/drawing/2014/main" id="{CA74C548-5324-49BD-A336-9000ED548EA6}"/>
            </a:ext>
          </a:extLst>
        </xdr:cNvPr>
        <xdr:cNvCxnSpPr>
          <a:cxnSpLocks/>
          <a:stCxn id="295" idx="2"/>
          <a:endCxn id="222" idx="3"/>
        </xdr:cNvCxnSpPr>
      </xdr:nvCxnSpPr>
      <xdr:spPr>
        <a:xfrm rot="10800000">
          <a:off x="1453816" y="31187730"/>
          <a:ext cx="1873370" cy="1139829"/>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22</xdr:col>
      <xdr:colOff>180179</xdr:colOff>
      <xdr:row>118</xdr:row>
      <xdr:rowOff>26988</xdr:rowOff>
    </xdr:from>
    <xdr:to>
      <xdr:col>27</xdr:col>
      <xdr:colOff>179804</xdr:colOff>
      <xdr:row>122</xdr:row>
      <xdr:rowOff>14188</xdr:rowOff>
    </xdr:to>
    <xdr:grpSp>
      <xdr:nvGrpSpPr>
        <xdr:cNvPr id="7" name="グループ化 6">
          <a:extLst>
            <a:ext uri="{FF2B5EF4-FFF2-40B4-BE49-F238E27FC236}">
              <a16:creationId xmlns:a16="http://schemas.microsoft.com/office/drawing/2014/main" id="{B1524E3E-EA18-4AF7-8115-1FDC27BF33CD}"/>
            </a:ext>
          </a:extLst>
        </xdr:cNvPr>
        <xdr:cNvGrpSpPr/>
      </xdr:nvGrpSpPr>
      <xdr:grpSpPr>
        <a:xfrm>
          <a:off x="4161629" y="20286663"/>
          <a:ext cx="904500" cy="673000"/>
          <a:chOff x="7111999" y="2892425"/>
          <a:chExt cx="873125" cy="584982"/>
        </a:xfrm>
      </xdr:grpSpPr>
      <xdr:sp macro="" textlink="">
        <xdr:nvSpPr>
          <xdr:cNvPr id="8" name="フローチャート: 磁気ディスク 7">
            <a:extLst>
              <a:ext uri="{FF2B5EF4-FFF2-40B4-BE49-F238E27FC236}">
                <a16:creationId xmlns:a16="http://schemas.microsoft.com/office/drawing/2014/main" id="{CA35972B-B04C-9C16-B6D5-07B0D3FCC57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 name="正方形/長方形 8">
            <a:extLst>
              <a:ext uri="{FF2B5EF4-FFF2-40B4-BE49-F238E27FC236}">
                <a16:creationId xmlns:a16="http://schemas.microsoft.com/office/drawing/2014/main" id="{F2A8313E-5539-695E-E70F-FFE162BCDCC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銀行システム</a:t>
            </a:r>
          </a:p>
        </xdr:txBody>
      </xdr:sp>
    </xdr:grpSp>
    <xdr:clientData/>
  </xdr:twoCellAnchor>
  <xdr:twoCellAnchor>
    <xdr:from>
      <xdr:col>25</xdr:col>
      <xdr:colOff>19050</xdr:colOff>
      <xdr:row>120</xdr:row>
      <xdr:rowOff>133350</xdr:rowOff>
    </xdr:from>
    <xdr:to>
      <xdr:col>30</xdr:col>
      <xdr:colOff>38100</xdr:colOff>
      <xdr:row>123</xdr:row>
      <xdr:rowOff>142478</xdr:rowOff>
    </xdr:to>
    <xdr:grpSp>
      <xdr:nvGrpSpPr>
        <xdr:cNvPr id="52" name="グループ化 51">
          <a:extLst>
            <a:ext uri="{FF2B5EF4-FFF2-40B4-BE49-F238E27FC236}">
              <a16:creationId xmlns:a16="http://schemas.microsoft.com/office/drawing/2014/main" id="{E17C94FB-0484-AF8D-F4F1-55C3B77B4E3E}"/>
            </a:ext>
          </a:extLst>
        </xdr:cNvPr>
        <xdr:cNvGrpSpPr/>
      </xdr:nvGrpSpPr>
      <xdr:grpSpPr>
        <a:xfrm>
          <a:off x="4543425" y="20735925"/>
          <a:ext cx="923925" cy="523478"/>
          <a:chOff x="4305300" y="5661025"/>
          <a:chExt cx="1003300" cy="526653"/>
        </a:xfrm>
      </xdr:grpSpPr>
      <xdr:sp macro="" textlink="">
        <xdr:nvSpPr>
          <xdr:cNvPr id="53" name="AutoShape 49">
            <a:extLst>
              <a:ext uri="{FF2B5EF4-FFF2-40B4-BE49-F238E27FC236}">
                <a16:creationId xmlns:a16="http://schemas.microsoft.com/office/drawing/2014/main" id="{D8868380-EDBE-5C8A-8EA4-1E1E513D21F9}"/>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54" name="正方形/長方形 48">
            <a:extLst>
              <a:ext uri="{FF2B5EF4-FFF2-40B4-BE49-F238E27FC236}">
                <a16:creationId xmlns:a16="http://schemas.microsoft.com/office/drawing/2014/main" id="{38FB53CF-ACC7-1A1B-EFC0-E15D3BFA4194}"/>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入出金データ</a:t>
            </a:r>
          </a:p>
        </xdr:txBody>
      </xdr:sp>
    </xdr:grpSp>
    <xdr:clientData/>
  </xdr:twoCellAnchor>
  <xdr:twoCellAnchor>
    <xdr:from>
      <xdr:col>1</xdr:col>
      <xdr:colOff>156803</xdr:colOff>
      <xdr:row>17</xdr:row>
      <xdr:rowOff>111218</xdr:rowOff>
    </xdr:from>
    <xdr:to>
      <xdr:col>7</xdr:col>
      <xdr:colOff>69127</xdr:colOff>
      <xdr:row>20</xdr:row>
      <xdr:rowOff>115279</xdr:rowOff>
    </xdr:to>
    <xdr:grpSp>
      <xdr:nvGrpSpPr>
        <xdr:cNvPr id="57" name="グループ化 56">
          <a:extLst>
            <a:ext uri="{FF2B5EF4-FFF2-40B4-BE49-F238E27FC236}">
              <a16:creationId xmlns:a16="http://schemas.microsoft.com/office/drawing/2014/main" id="{3A1EA732-556B-40C6-92FA-A97DE7E55998}"/>
            </a:ext>
          </a:extLst>
        </xdr:cNvPr>
        <xdr:cNvGrpSpPr/>
      </xdr:nvGrpSpPr>
      <xdr:grpSpPr>
        <a:xfrm>
          <a:off x="337778" y="3054443"/>
          <a:ext cx="998174" cy="518411"/>
          <a:chOff x="1612122" y="2437107"/>
          <a:chExt cx="933032" cy="400203"/>
        </a:xfrm>
      </xdr:grpSpPr>
      <xdr:sp macro="" textlink="">
        <xdr:nvSpPr>
          <xdr:cNvPr id="58" name="フローチャート: 定義済み処理 57">
            <a:extLst>
              <a:ext uri="{FF2B5EF4-FFF2-40B4-BE49-F238E27FC236}">
                <a16:creationId xmlns:a16="http://schemas.microsoft.com/office/drawing/2014/main" id="{A138AE8E-8664-5195-61F4-8C6FEA4B66BC}"/>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9" name="正方形/長方形 58">
            <a:extLst>
              <a:ext uri="{FF2B5EF4-FFF2-40B4-BE49-F238E27FC236}">
                <a16:creationId xmlns:a16="http://schemas.microsoft.com/office/drawing/2014/main" id="{706DC55B-415D-1B37-D2FE-3219F96A0B6A}"/>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１．契約内容</a:t>
            </a:r>
            <a:endParaRPr kumimoji="1" lang="en-US" altLang="ja-JP" sz="900"/>
          </a:p>
          <a:p>
            <a:pPr algn="ctr"/>
            <a:r>
              <a:rPr kumimoji="1" lang="ja-JP" altLang="en-US" sz="900"/>
              <a:t>登録</a:t>
            </a:r>
            <a:endParaRPr kumimoji="1" lang="en-US" altLang="ja-JP" sz="900"/>
          </a:p>
        </xdr:txBody>
      </xdr:sp>
    </xdr:grpSp>
    <xdr:clientData/>
  </xdr:twoCellAnchor>
  <xdr:twoCellAnchor>
    <xdr:from>
      <xdr:col>7</xdr:col>
      <xdr:colOff>14338</xdr:colOff>
      <xdr:row>19</xdr:row>
      <xdr:rowOff>29794</xdr:rowOff>
    </xdr:from>
    <xdr:to>
      <xdr:col>16</xdr:col>
      <xdr:colOff>69998</xdr:colOff>
      <xdr:row>19</xdr:row>
      <xdr:rowOff>36017</xdr:rowOff>
    </xdr:to>
    <xdr:cxnSp macro="">
      <xdr:nvCxnSpPr>
        <xdr:cNvPr id="74" name="直線矢印コネクタ 73">
          <a:extLst>
            <a:ext uri="{FF2B5EF4-FFF2-40B4-BE49-F238E27FC236}">
              <a16:creationId xmlns:a16="http://schemas.microsoft.com/office/drawing/2014/main" id="{E78DE8C8-01A9-40D4-B75F-E6B10321B65D}"/>
            </a:ext>
          </a:extLst>
        </xdr:cNvPr>
        <xdr:cNvCxnSpPr>
          <a:cxnSpLocks/>
          <a:stCxn id="58" idx="3"/>
          <a:endCxn id="166" idx="2"/>
        </xdr:cNvCxnSpPr>
      </xdr:nvCxnSpPr>
      <xdr:spPr>
        <a:xfrm flipV="1">
          <a:off x="1422965" y="12439125"/>
          <a:ext cx="1866751" cy="62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168275</xdr:colOff>
      <xdr:row>115</xdr:row>
      <xdr:rowOff>152400</xdr:rowOff>
    </xdr:from>
    <xdr:to>
      <xdr:col>6</xdr:col>
      <xdr:colOff>96014</xdr:colOff>
      <xdr:row>117</xdr:row>
      <xdr:rowOff>56126</xdr:rowOff>
    </xdr:to>
    <xdr:sp macro="" textlink="">
      <xdr:nvSpPr>
        <xdr:cNvPr id="82" name="フローチャート: 端子 81">
          <a:extLst>
            <a:ext uri="{FF2B5EF4-FFF2-40B4-BE49-F238E27FC236}">
              <a16:creationId xmlns:a16="http://schemas.microsoft.com/office/drawing/2014/main" id="{21A90AB7-C124-4DD2-AA59-5DA09FF2E8FD}"/>
            </a:ext>
          </a:extLst>
        </xdr:cNvPr>
        <xdr:cNvSpPr/>
      </xdr:nvSpPr>
      <xdr:spPr>
        <a:xfrm>
          <a:off x="568325" y="2085975"/>
          <a:ext cx="727839" cy="24662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119979</xdr:colOff>
      <xdr:row>117</xdr:row>
      <xdr:rowOff>56126</xdr:rowOff>
    </xdr:from>
    <xdr:to>
      <xdr:col>4</xdr:col>
      <xdr:colOff>132145</xdr:colOff>
      <xdr:row>126</xdr:row>
      <xdr:rowOff>121924</xdr:rowOff>
    </xdr:to>
    <xdr:cxnSp macro="">
      <xdr:nvCxnSpPr>
        <xdr:cNvPr id="83" name="直線矢印コネクタ 27">
          <a:extLst>
            <a:ext uri="{FF2B5EF4-FFF2-40B4-BE49-F238E27FC236}">
              <a16:creationId xmlns:a16="http://schemas.microsoft.com/office/drawing/2014/main" id="{CFC8AB0C-63E9-4ACF-A77D-78F0E3E1EC46}"/>
            </a:ext>
          </a:extLst>
        </xdr:cNvPr>
        <xdr:cNvCxnSpPr>
          <a:cxnSpLocks/>
          <a:stCxn id="82" idx="2"/>
          <a:endCxn id="69" idx="0"/>
        </xdr:cNvCxnSpPr>
      </xdr:nvCxnSpPr>
      <xdr:spPr>
        <a:xfrm flipH="1">
          <a:off x="920079" y="2332601"/>
          <a:ext cx="12166" cy="160884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129297</xdr:colOff>
      <xdr:row>20</xdr:row>
      <xdr:rowOff>108415</xdr:rowOff>
    </xdr:from>
    <xdr:to>
      <xdr:col>4</xdr:col>
      <xdr:colOff>131077</xdr:colOff>
      <xdr:row>29</xdr:row>
      <xdr:rowOff>169706</xdr:rowOff>
    </xdr:to>
    <xdr:cxnSp macro="">
      <xdr:nvCxnSpPr>
        <xdr:cNvPr id="88" name="直線矢印コネクタ 27">
          <a:extLst>
            <a:ext uri="{FF2B5EF4-FFF2-40B4-BE49-F238E27FC236}">
              <a16:creationId xmlns:a16="http://schemas.microsoft.com/office/drawing/2014/main" id="{25CC69E4-D069-4777-B725-9DD2AEABDB42}"/>
            </a:ext>
          </a:extLst>
        </xdr:cNvPr>
        <xdr:cNvCxnSpPr>
          <a:cxnSpLocks/>
          <a:stCxn id="58" idx="2"/>
          <a:endCxn id="91" idx="0"/>
        </xdr:cNvCxnSpPr>
      </xdr:nvCxnSpPr>
      <xdr:spPr>
        <a:xfrm>
          <a:off x="934227" y="12692147"/>
          <a:ext cx="1780" cy="163090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169706</xdr:colOff>
      <xdr:row>29</xdr:row>
      <xdr:rowOff>169706</xdr:rowOff>
    </xdr:from>
    <xdr:to>
      <xdr:col>6</xdr:col>
      <xdr:colOff>92448</xdr:colOff>
      <xdr:row>31</xdr:row>
      <xdr:rowOff>73399</xdr:rowOff>
    </xdr:to>
    <xdr:sp macro="" textlink="">
      <xdr:nvSpPr>
        <xdr:cNvPr id="91" name="フローチャート: 端子 90">
          <a:extLst>
            <a:ext uri="{FF2B5EF4-FFF2-40B4-BE49-F238E27FC236}">
              <a16:creationId xmlns:a16="http://schemas.microsoft.com/office/drawing/2014/main" id="{33331F2F-AE30-4D62-B834-8449B878DB0C}"/>
            </a:ext>
          </a:extLst>
        </xdr:cNvPr>
        <xdr:cNvSpPr/>
      </xdr:nvSpPr>
      <xdr:spPr>
        <a:xfrm>
          <a:off x="572171" y="14323051"/>
          <a:ext cx="727671" cy="25249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25</xdr:col>
      <xdr:colOff>75070</xdr:colOff>
      <xdr:row>121</xdr:row>
      <xdr:rowOff>127298</xdr:rowOff>
    </xdr:from>
    <xdr:to>
      <xdr:col>25</xdr:col>
      <xdr:colOff>75884</xdr:colOff>
      <xdr:row>126</xdr:row>
      <xdr:rowOff>57150</xdr:rowOff>
    </xdr:to>
    <xdr:cxnSp macro="">
      <xdr:nvCxnSpPr>
        <xdr:cNvPr id="34" name="直線矢印コネクタ 33">
          <a:extLst>
            <a:ext uri="{FF2B5EF4-FFF2-40B4-BE49-F238E27FC236}">
              <a16:creationId xmlns:a16="http://schemas.microsoft.com/office/drawing/2014/main" id="{61602AC6-2105-41F8-B586-12660ED1A4A3}"/>
            </a:ext>
          </a:extLst>
        </xdr:cNvPr>
        <xdr:cNvCxnSpPr>
          <a:cxnSpLocks/>
          <a:stCxn id="8" idx="3"/>
          <a:endCxn id="60" idx="1"/>
        </xdr:cNvCxnSpPr>
      </xdr:nvCxnSpPr>
      <xdr:spPr>
        <a:xfrm flipH="1">
          <a:off x="5075695" y="3089573"/>
          <a:ext cx="814" cy="78710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180975</xdr:colOff>
      <xdr:row>126</xdr:row>
      <xdr:rowOff>57150</xdr:rowOff>
    </xdr:from>
    <xdr:to>
      <xdr:col>27</xdr:col>
      <xdr:colOff>183775</xdr:colOff>
      <xdr:row>130</xdr:row>
      <xdr:rowOff>38000</xdr:rowOff>
    </xdr:to>
    <xdr:grpSp>
      <xdr:nvGrpSpPr>
        <xdr:cNvPr id="56" name="グループ化 55">
          <a:extLst>
            <a:ext uri="{FF2B5EF4-FFF2-40B4-BE49-F238E27FC236}">
              <a16:creationId xmlns:a16="http://schemas.microsoft.com/office/drawing/2014/main" id="{242D0451-E1F0-41A7-AA8B-5219B1FBA8D0}"/>
            </a:ext>
          </a:extLst>
        </xdr:cNvPr>
        <xdr:cNvGrpSpPr/>
      </xdr:nvGrpSpPr>
      <xdr:grpSpPr>
        <a:xfrm>
          <a:off x="4162425" y="21688425"/>
          <a:ext cx="907675" cy="666650"/>
          <a:chOff x="7111999" y="2892425"/>
          <a:chExt cx="873125" cy="584982"/>
        </a:xfrm>
      </xdr:grpSpPr>
      <xdr:sp macro="" textlink="">
        <xdr:nvSpPr>
          <xdr:cNvPr id="60" name="フローチャート: 磁気ディスク 59">
            <a:extLst>
              <a:ext uri="{FF2B5EF4-FFF2-40B4-BE49-F238E27FC236}">
                <a16:creationId xmlns:a16="http://schemas.microsoft.com/office/drawing/2014/main" id="{45C13766-A78C-B75F-8757-81A1FD51C7A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1" name="正方形/長方形 60">
            <a:extLst>
              <a:ext uri="{FF2B5EF4-FFF2-40B4-BE49-F238E27FC236}">
                <a16:creationId xmlns:a16="http://schemas.microsoft.com/office/drawing/2014/main" id="{576E416C-E625-6721-AFA1-8CE6FEDF7FC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ホスト</a:t>
            </a:r>
          </a:p>
        </xdr:txBody>
      </xdr:sp>
    </xdr:grpSp>
    <xdr:clientData/>
  </xdr:twoCellAnchor>
  <xdr:twoCellAnchor>
    <xdr:from>
      <xdr:col>1</xdr:col>
      <xdr:colOff>152400</xdr:colOff>
      <xdr:row>126</xdr:row>
      <xdr:rowOff>95250</xdr:rowOff>
    </xdr:from>
    <xdr:to>
      <xdr:col>7</xdr:col>
      <xdr:colOff>55199</xdr:colOff>
      <xdr:row>129</xdr:row>
      <xdr:rowOff>102485</xdr:rowOff>
    </xdr:to>
    <xdr:grpSp>
      <xdr:nvGrpSpPr>
        <xdr:cNvPr id="68" name="グループ化 67">
          <a:extLst>
            <a:ext uri="{FF2B5EF4-FFF2-40B4-BE49-F238E27FC236}">
              <a16:creationId xmlns:a16="http://schemas.microsoft.com/office/drawing/2014/main" id="{77E66B04-0690-48CC-97B5-6F04A82B98C2}"/>
            </a:ext>
          </a:extLst>
        </xdr:cNvPr>
        <xdr:cNvGrpSpPr/>
      </xdr:nvGrpSpPr>
      <xdr:grpSpPr>
        <a:xfrm>
          <a:off x="333375" y="21726525"/>
          <a:ext cx="988649" cy="521585"/>
          <a:chOff x="1612122" y="2437107"/>
          <a:chExt cx="933032" cy="400203"/>
        </a:xfrm>
      </xdr:grpSpPr>
      <xdr:sp macro="" textlink="">
        <xdr:nvSpPr>
          <xdr:cNvPr id="69" name="フローチャート: 定義済み処理 68">
            <a:extLst>
              <a:ext uri="{FF2B5EF4-FFF2-40B4-BE49-F238E27FC236}">
                <a16:creationId xmlns:a16="http://schemas.microsoft.com/office/drawing/2014/main" id="{FB91AA55-E152-F26A-2253-DEC15E6C7B98}"/>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0" name="正方形/長方形 69">
            <a:extLst>
              <a:ext uri="{FF2B5EF4-FFF2-40B4-BE49-F238E27FC236}">
                <a16:creationId xmlns:a16="http://schemas.microsoft.com/office/drawing/2014/main" id="{4F5E37A2-6682-6EB4-DBF6-2861FC6E8411}"/>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１．入出金</a:t>
            </a:r>
            <a:endParaRPr kumimoji="1" lang="en-US" altLang="ja-JP" sz="900"/>
          </a:p>
          <a:p>
            <a:pPr algn="ctr"/>
            <a:r>
              <a:rPr kumimoji="1" lang="ja-JP" altLang="en-US" sz="900"/>
              <a:t>データ入手</a:t>
            </a:r>
            <a:endParaRPr kumimoji="1" lang="en-US" altLang="ja-JP" sz="900"/>
          </a:p>
        </xdr:txBody>
      </xdr:sp>
    </xdr:grpSp>
    <xdr:clientData/>
  </xdr:twoCellAnchor>
  <xdr:twoCellAnchor>
    <xdr:from>
      <xdr:col>7</xdr:col>
      <xdr:colOff>4068</xdr:colOff>
      <xdr:row>128</xdr:row>
      <xdr:rowOff>19993</xdr:rowOff>
    </xdr:from>
    <xdr:to>
      <xdr:col>23</xdr:col>
      <xdr:colOff>86714</xdr:colOff>
      <xdr:row>128</xdr:row>
      <xdr:rowOff>24651</xdr:rowOff>
    </xdr:to>
    <xdr:cxnSp macro="">
      <xdr:nvCxnSpPr>
        <xdr:cNvPr id="75" name="直線矢印コネクタ 74">
          <a:extLst>
            <a:ext uri="{FF2B5EF4-FFF2-40B4-BE49-F238E27FC236}">
              <a16:creationId xmlns:a16="http://schemas.microsoft.com/office/drawing/2014/main" id="{9D10B245-43EE-48B4-A6B3-D7FAB7BB4533}"/>
            </a:ext>
          </a:extLst>
        </xdr:cNvPr>
        <xdr:cNvCxnSpPr>
          <a:cxnSpLocks/>
          <a:stCxn id="60" idx="2"/>
          <a:endCxn id="69" idx="3"/>
        </xdr:cNvCxnSpPr>
      </xdr:nvCxnSpPr>
      <xdr:spPr>
        <a:xfrm flipH="1">
          <a:off x="1404243" y="4182418"/>
          <a:ext cx="3283046" cy="465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19050</xdr:colOff>
      <xdr:row>128</xdr:row>
      <xdr:rowOff>114300</xdr:rowOff>
    </xdr:from>
    <xdr:to>
      <xdr:col>30</xdr:col>
      <xdr:colOff>38100</xdr:colOff>
      <xdr:row>131</xdr:row>
      <xdr:rowOff>126603</xdr:rowOff>
    </xdr:to>
    <xdr:grpSp>
      <xdr:nvGrpSpPr>
        <xdr:cNvPr id="81" name="グループ化 80">
          <a:extLst>
            <a:ext uri="{FF2B5EF4-FFF2-40B4-BE49-F238E27FC236}">
              <a16:creationId xmlns:a16="http://schemas.microsoft.com/office/drawing/2014/main" id="{DCCBC434-2BB6-57BF-9621-688CE87221B9}"/>
            </a:ext>
          </a:extLst>
        </xdr:cNvPr>
        <xdr:cNvGrpSpPr/>
      </xdr:nvGrpSpPr>
      <xdr:grpSpPr>
        <a:xfrm>
          <a:off x="4543425" y="22088475"/>
          <a:ext cx="923925" cy="526653"/>
          <a:chOff x="4305300" y="5661025"/>
          <a:chExt cx="1003300" cy="526653"/>
        </a:xfrm>
      </xdr:grpSpPr>
      <xdr:sp macro="" textlink="">
        <xdr:nvSpPr>
          <xdr:cNvPr id="84" name="AutoShape 49">
            <a:extLst>
              <a:ext uri="{FF2B5EF4-FFF2-40B4-BE49-F238E27FC236}">
                <a16:creationId xmlns:a16="http://schemas.microsoft.com/office/drawing/2014/main" id="{F019D5C6-7CE6-9DCE-4875-2328BA1B2A9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5" name="正方形/長方形 48">
            <a:extLst>
              <a:ext uri="{FF2B5EF4-FFF2-40B4-BE49-F238E27FC236}">
                <a16:creationId xmlns:a16="http://schemas.microsoft.com/office/drawing/2014/main" id="{2C67D2FE-E790-3711-E675-CC3BC43B74B6}"/>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入出金データ</a:t>
            </a:r>
          </a:p>
        </xdr:txBody>
      </xdr:sp>
    </xdr:grpSp>
    <xdr:clientData/>
  </xdr:twoCellAnchor>
  <xdr:twoCellAnchor>
    <xdr:from>
      <xdr:col>5</xdr:col>
      <xdr:colOff>85725</xdr:colOff>
      <xdr:row>128</xdr:row>
      <xdr:rowOff>44450</xdr:rowOff>
    </xdr:from>
    <xdr:to>
      <xdr:col>10</xdr:col>
      <xdr:colOff>104775</xdr:colOff>
      <xdr:row>131</xdr:row>
      <xdr:rowOff>59928</xdr:rowOff>
    </xdr:to>
    <xdr:grpSp>
      <xdr:nvGrpSpPr>
        <xdr:cNvPr id="86" name="グループ化 85">
          <a:extLst>
            <a:ext uri="{FF2B5EF4-FFF2-40B4-BE49-F238E27FC236}">
              <a16:creationId xmlns:a16="http://schemas.microsoft.com/office/drawing/2014/main" id="{C1750E6E-239C-DBA3-4E4F-B8DFA3832F82}"/>
            </a:ext>
          </a:extLst>
        </xdr:cNvPr>
        <xdr:cNvGrpSpPr/>
      </xdr:nvGrpSpPr>
      <xdr:grpSpPr>
        <a:xfrm>
          <a:off x="990600" y="22018625"/>
          <a:ext cx="923925" cy="529828"/>
          <a:chOff x="4305300" y="5661025"/>
          <a:chExt cx="1003300" cy="526653"/>
        </a:xfrm>
      </xdr:grpSpPr>
      <xdr:sp macro="" textlink="">
        <xdr:nvSpPr>
          <xdr:cNvPr id="87" name="AutoShape 49">
            <a:extLst>
              <a:ext uri="{FF2B5EF4-FFF2-40B4-BE49-F238E27FC236}">
                <a16:creationId xmlns:a16="http://schemas.microsoft.com/office/drawing/2014/main" id="{969B98B2-AFB9-FD02-0A26-2CB8B108325A}"/>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89" name="正方形/長方形 48">
            <a:extLst>
              <a:ext uri="{FF2B5EF4-FFF2-40B4-BE49-F238E27FC236}">
                <a16:creationId xmlns:a16="http://schemas.microsoft.com/office/drawing/2014/main" id="{0E45D651-4793-7FA8-346C-80A78F8F379B}"/>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入出金データ</a:t>
            </a:r>
          </a:p>
        </xdr:txBody>
      </xdr:sp>
    </xdr:grpSp>
    <xdr:clientData/>
  </xdr:twoCellAnchor>
  <xdr:twoCellAnchor>
    <xdr:from>
      <xdr:col>23</xdr:col>
      <xdr:colOff>0</xdr:colOff>
      <xdr:row>136</xdr:row>
      <xdr:rowOff>63900</xdr:rowOff>
    </xdr:from>
    <xdr:to>
      <xdr:col>28</xdr:col>
      <xdr:colOff>2800</xdr:colOff>
      <xdr:row>140</xdr:row>
      <xdr:rowOff>41798</xdr:rowOff>
    </xdr:to>
    <xdr:grpSp>
      <xdr:nvGrpSpPr>
        <xdr:cNvPr id="90" name="グループ化 89">
          <a:extLst>
            <a:ext uri="{FF2B5EF4-FFF2-40B4-BE49-F238E27FC236}">
              <a16:creationId xmlns:a16="http://schemas.microsoft.com/office/drawing/2014/main" id="{E46599C6-8097-4718-B9E6-A66DD2F8F8C9}"/>
            </a:ext>
          </a:extLst>
        </xdr:cNvPr>
        <xdr:cNvGrpSpPr/>
      </xdr:nvGrpSpPr>
      <xdr:grpSpPr>
        <a:xfrm>
          <a:off x="4162425" y="23409675"/>
          <a:ext cx="907675" cy="663698"/>
          <a:chOff x="7111999" y="2892425"/>
          <a:chExt cx="873125" cy="584982"/>
        </a:xfrm>
      </xdr:grpSpPr>
      <xdr:sp macro="" textlink="">
        <xdr:nvSpPr>
          <xdr:cNvPr id="92" name="フローチャート: 磁気ディスク 91">
            <a:extLst>
              <a:ext uri="{FF2B5EF4-FFF2-40B4-BE49-F238E27FC236}">
                <a16:creationId xmlns:a16="http://schemas.microsoft.com/office/drawing/2014/main" id="{9B75B131-159F-05A8-A42D-ED42F31F8BE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3" name="正方形/長方形 92">
            <a:extLst>
              <a:ext uri="{FF2B5EF4-FFF2-40B4-BE49-F238E27FC236}">
                <a16:creationId xmlns:a16="http://schemas.microsoft.com/office/drawing/2014/main" id="{15E5A036-A682-9AC5-A9C7-FF4F04A07062}"/>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Access</a:t>
            </a:r>
            <a:endParaRPr kumimoji="1" lang="ja-JP" altLang="en-US" sz="900"/>
          </a:p>
        </xdr:txBody>
      </xdr:sp>
    </xdr:grpSp>
    <xdr:clientData/>
  </xdr:twoCellAnchor>
  <xdr:twoCellAnchor>
    <xdr:from>
      <xdr:col>25</xdr:col>
      <xdr:colOff>19050</xdr:colOff>
      <xdr:row>138</xdr:row>
      <xdr:rowOff>121050</xdr:rowOff>
    </xdr:from>
    <xdr:to>
      <xdr:col>30</xdr:col>
      <xdr:colOff>38100</xdr:colOff>
      <xdr:row>141</xdr:row>
      <xdr:rowOff>136528</xdr:rowOff>
    </xdr:to>
    <xdr:grpSp>
      <xdr:nvGrpSpPr>
        <xdr:cNvPr id="94" name="グループ化 93">
          <a:extLst>
            <a:ext uri="{FF2B5EF4-FFF2-40B4-BE49-F238E27FC236}">
              <a16:creationId xmlns:a16="http://schemas.microsoft.com/office/drawing/2014/main" id="{23C39BB2-66BC-361A-1E74-4E184B12B802}"/>
            </a:ext>
          </a:extLst>
        </xdr:cNvPr>
        <xdr:cNvGrpSpPr/>
      </xdr:nvGrpSpPr>
      <xdr:grpSpPr>
        <a:xfrm>
          <a:off x="4543425" y="23809725"/>
          <a:ext cx="923925" cy="529828"/>
          <a:chOff x="4305300" y="5661025"/>
          <a:chExt cx="1003300" cy="526653"/>
        </a:xfrm>
      </xdr:grpSpPr>
      <xdr:sp macro="" textlink="">
        <xdr:nvSpPr>
          <xdr:cNvPr id="95" name="AutoShape 49">
            <a:extLst>
              <a:ext uri="{FF2B5EF4-FFF2-40B4-BE49-F238E27FC236}">
                <a16:creationId xmlns:a16="http://schemas.microsoft.com/office/drawing/2014/main" id="{276986D3-6786-A53E-E37B-36F328F5D8F7}"/>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96" name="正方形/長方形 48">
            <a:extLst>
              <a:ext uri="{FF2B5EF4-FFF2-40B4-BE49-F238E27FC236}">
                <a16:creationId xmlns:a16="http://schemas.microsoft.com/office/drawing/2014/main" id="{6F70EEB9-18AD-8F89-B968-19826A28A820}"/>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入出金データ</a:t>
            </a:r>
          </a:p>
        </xdr:txBody>
      </xdr:sp>
    </xdr:grpSp>
    <xdr:clientData/>
  </xdr:twoCellAnchor>
  <xdr:twoCellAnchor>
    <xdr:from>
      <xdr:col>25</xdr:col>
      <xdr:colOff>19050</xdr:colOff>
      <xdr:row>141</xdr:row>
      <xdr:rowOff>45074</xdr:rowOff>
    </xdr:from>
    <xdr:to>
      <xdr:col>30</xdr:col>
      <xdr:colOff>38100</xdr:colOff>
      <xdr:row>144</xdr:row>
      <xdr:rowOff>60552</xdr:rowOff>
    </xdr:to>
    <xdr:grpSp>
      <xdr:nvGrpSpPr>
        <xdr:cNvPr id="97" name="グループ化 96">
          <a:extLst>
            <a:ext uri="{FF2B5EF4-FFF2-40B4-BE49-F238E27FC236}">
              <a16:creationId xmlns:a16="http://schemas.microsoft.com/office/drawing/2014/main" id="{532EDAC7-4ACC-84EA-509E-11EBB7D95084}"/>
            </a:ext>
          </a:extLst>
        </xdr:cNvPr>
        <xdr:cNvGrpSpPr/>
      </xdr:nvGrpSpPr>
      <xdr:grpSpPr>
        <a:xfrm>
          <a:off x="4543425" y="24248099"/>
          <a:ext cx="923925" cy="529828"/>
          <a:chOff x="4305300" y="5661025"/>
          <a:chExt cx="1003300" cy="526653"/>
        </a:xfrm>
      </xdr:grpSpPr>
      <xdr:sp macro="" textlink="">
        <xdr:nvSpPr>
          <xdr:cNvPr id="98" name="AutoShape 49">
            <a:extLst>
              <a:ext uri="{FF2B5EF4-FFF2-40B4-BE49-F238E27FC236}">
                <a16:creationId xmlns:a16="http://schemas.microsoft.com/office/drawing/2014/main" id="{98268126-DAF7-3ED8-6787-93F389B3F7F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99" name="正方形/長方形 48">
            <a:extLst>
              <a:ext uri="{FF2B5EF4-FFF2-40B4-BE49-F238E27FC236}">
                <a16:creationId xmlns:a16="http://schemas.microsoft.com/office/drawing/2014/main" id="{AA3E7859-A050-EB84-42BA-E6F3D892F219}"/>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Excel</a:t>
            </a:r>
            <a:r>
              <a:rPr kumimoji="1" lang="ja-JP" altLang="en-US" sz="900"/>
              <a:t>台帳</a:t>
            </a:r>
          </a:p>
        </xdr:txBody>
      </xdr:sp>
    </xdr:grpSp>
    <xdr:clientData/>
  </xdr:twoCellAnchor>
  <xdr:twoCellAnchor>
    <xdr:from>
      <xdr:col>1</xdr:col>
      <xdr:colOff>152400</xdr:colOff>
      <xdr:row>136</xdr:row>
      <xdr:rowOff>95250</xdr:rowOff>
    </xdr:from>
    <xdr:to>
      <xdr:col>7</xdr:col>
      <xdr:colOff>55199</xdr:colOff>
      <xdr:row>139</xdr:row>
      <xdr:rowOff>105660</xdr:rowOff>
    </xdr:to>
    <xdr:grpSp>
      <xdr:nvGrpSpPr>
        <xdr:cNvPr id="100" name="グループ化 99">
          <a:extLst>
            <a:ext uri="{FF2B5EF4-FFF2-40B4-BE49-F238E27FC236}">
              <a16:creationId xmlns:a16="http://schemas.microsoft.com/office/drawing/2014/main" id="{3F1952D6-EE96-FBD1-BFEC-ACAA44920199}"/>
            </a:ext>
          </a:extLst>
        </xdr:cNvPr>
        <xdr:cNvGrpSpPr/>
      </xdr:nvGrpSpPr>
      <xdr:grpSpPr>
        <a:xfrm>
          <a:off x="333375" y="23441025"/>
          <a:ext cx="988649" cy="524760"/>
          <a:chOff x="1612122" y="2437107"/>
          <a:chExt cx="933032" cy="400203"/>
        </a:xfrm>
      </xdr:grpSpPr>
      <xdr:sp macro="" textlink="">
        <xdr:nvSpPr>
          <xdr:cNvPr id="101" name="フローチャート: 定義済み処理 100">
            <a:extLst>
              <a:ext uri="{FF2B5EF4-FFF2-40B4-BE49-F238E27FC236}">
                <a16:creationId xmlns:a16="http://schemas.microsoft.com/office/drawing/2014/main" id="{8B4B8002-7ADA-1418-0D5D-6C01054E8F35}"/>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2" name="正方形/長方形 101">
            <a:extLst>
              <a:ext uri="{FF2B5EF4-FFF2-40B4-BE49-F238E27FC236}">
                <a16:creationId xmlns:a16="http://schemas.microsoft.com/office/drawing/2014/main" id="{351C7C5D-DF8E-4675-3B14-EE74CC5EB30A}"/>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２．マッチング</a:t>
            </a:r>
            <a:endParaRPr kumimoji="1" lang="en-US" altLang="ja-JP" sz="900"/>
          </a:p>
        </xdr:txBody>
      </xdr:sp>
    </xdr:grpSp>
    <xdr:clientData/>
  </xdr:twoCellAnchor>
  <xdr:twoCellAnchor>
    <xdr:from>
      <xdr:col>7</xdr:col>
      <xdr:colOff>3732</xdr:colOff>
      <xdr:row>138</xdr:row>
      <xdr:rowOff>21695</xdr:rowOff>
    </xdr:from>
    <xdr:to>
      <xdr:col>23</xdr:col>
      <xdr:colOff>106401</xdr:colOff>
      <xdr:row>138</xdr:row>
      <xdr:rowOff>24900</xdr:rowOff>
    </xdr:to>
    <xdr:cxnSp macro="">
      <xdr:nvCxnSpPr>
        <xdr:cNvPr id="103" name="直線矢印コネクタ 102">
          <a:extLst>
            <a:ext uri="{FF2B5EF4-FFF2-40B4-BE49-F238E27FC236}">
              <a16:creationId xmlns:a16="http://schemas.microsoft.com/office/drawing/2014/main" id="{7AC13C18-D099-40A9-8071-E80A434001A9}"/>
            </a:ext>
          </a:extLst>
        </xdr:cNvPr>
        <xdr:cNvCxnSpPr>
          <a:cxnSpLocks/>
          <a:stCxn id="101" idx="3"/>
          <a:endCxn id="92" idx="2"/>
        </xdr:cNvCxnSpPr>
      </xdr:nvCxnSpPr>
      <xdr:spPr>
        <a:xfrm>
          <a:off x="1412359" y="5978174"/>
          <a:ext cx="3322387" cy="320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133350</xdr:colOff>
      <xdr:row>138</xdr:row>
      <xdr:rowOff>57150</xdr:rowOff>
    </xdr:from>
    <xdr:to>
      <xdr:col>10</xdr:col>
      <xdr:colOff>152400</xdr:colOff>
      <xdr:row>141</xdr:row>
      <xdr:rowOff>66278</xdr:rowOff>
    </xdr:to>
    <xdr:grpSp>
      <xdr:nvGrpSpPr>
        <xdr:cNvPr id="106" name="グループ化 105">
          <a:extLst>
            <a:ext uri="{FF2B5EF4-FFF2-40B4-BE49-F238E27FC236}">
              <a16:creationId xmlns:a16="http://schemas.microsoft.com/office/drawing/2014/main" id="{8E741D4C-49E5-359A-2A91-3CCCB53E46E0}"/>
            </a:ext>
          </a:extLst>
        </xdr:cNvPr>
        <xdr:cNvGrpSpPr/>
      </xdr:nvGrpSpPr>
      <xdr:grpSpPr>
        <a:xfrm>
          <a:off x="1038225" y="23745825"/>
          <a:ext cx="923925" cy="523478"/>
          <a:chOff x="4305300" y="5661025"/>
          <a:chExt cx="1003300" cy="526653"/>
        </a:xfrm>
      </xdr:grpSpPr>
      <xdr:sp macro="" textlink="">
        <xdr:nvSpPr>
          <xdr:cNvPr id="107" name="AutoShape 49">
            <a:extLst>
              <a:ext uri="{FF2B5EF4-FFF2-40B4-BE49-F238E27FC236}">
                <a16:creationId xmlns:a16="http://schemas.microsoft.com/office/drawing/2014/main" id="{8EC4E513-BD4A-7479-F7AD-242DEFB595CA}"/>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08" name="正方形/長方形 48">
            <a:extLst>
              <a:ext uri="{FF2B5EF4-FFF2-40B4-BE49-F238E27FC236}">
                <a16:creationId xmlns:a16="http://schemas.microsoft.com/office/drawing/2014/main" id="{FB77F4B6-AE0D-35E7-177F-73FFEF54B9EF}"/>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入出金データ</a:t>
            </a:r>
          </a:p>
        </xdr:txBody>
      </xdr:sp>
    </xdr:grpSp>
    <xdr:clientData/>
  </xdr:twoCellAnchor>
  <xdr:twoCellAnchor>
    <xdr:from>
      <xdr:col>5</xdr:col>
      <xdr:colOff>133350</xdr:colOff>
      <xdr:row>140</xdr:row>
      <xdr:rowOff>158750</xdr:rowOff>
    </xdr:from>
    <xdr:to>
      <xdr:col>10</xdr:col>
      <xdr:colOff>152400</xdr:colOff>
      <xdr:row>144</xdr:row>
      <xdr:rowOff>687</xdr:rowOff>
    </xdr:to>
    <xdr:grpSp>
      <xdr:nvGrpSpPr>
        <xdr:cNvPr id="109" name="グループ化 108">
          <a:extLst>
            <a:ext uri="{FF2B5EF4-FFF2-40B4-BE49-F238E27FC236}">
              <a16:creationId xmlns:a16="http://schemas.microsoft.com/office/drawing/2014/main" id="{5EC9E498-63DF-2F1F-D82C-005A6FE58C3D}"/>
            </a:ext>
          </a:extLst>
        </xdr:cNvPr>
        <xdr:cNvGrpSpPr/>
      </xdr:nvGrpSpPr>
      <xdr:grpSpPr>
        <a:xfrm>
          <a:off x="1038225" y="24190325"/>
          <a:ext cx="923925" cy="527737"/>
          <a:chOff x="4305300" y="5661025"/>
          <a:chExt cx="1003300" cy="526653"/>
        </a:xfrm>
      </xdr:grpSpPr>
      <xdr:sp macro="" textlink="">
        <xdr:nvSpPr>
          <xdr:cNvPr id="110" name="AutoShape 49">
            <a:extLst>
              <a:ext uri="{FF2B5EF4-FFF2-40B4-BE49-F238E27FC236}">
                <a16:creationId xmlns:a16="http://schemas.microsoft.com/office/drawing/2014/main" id="{2E3E1BD8-DC9C-857D-6018-E1C1CA527A7F}"/>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11" name="正方形/長方形 48">
            <a:extLst>
              <a:ext uri="{FF2B5EF4-FFF2-40B4-BE49-F238E27FC236}">
                <a16:creationId xmlns:a16="http://schemas.microsoft.com/office/drawing/2014/main" id="{087C2377-5D06-F180-A732-78CF2328B249}"/>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Excel</a:t>
            </a:r>
            <a:r>
              <a:rPr kumimoji="1" lang="ja-JP" altLang="en-US" sz="900"/>
              <a:t>台帳</a:t>
            </a:r>
          </a:p>
        </xdr:txBody>
      </xdr:sp>
    </xdr:grpSp>
    <xdr:clientData/>
  </xdr:twoCellAnchor>
  <xdr:twoCellAnchor>
    <xdr:from>
      <xdr:col>1</xdr:col>
      <xdr:colOff>152400</xdr:colOff>
      <xdr:row>147</xdr:row>
      <xdr:rowOff>47625</xdr:rowOff>
    </xdr:from>
    <xdr:to>
      <xdr:col>7</xdr:col>
      <xdr:colOff>55199</xdr:colOff>
      <xdr:row>150</xdr:row>
      <xdr:rowOff>54860</xdr:rowOff>
    </xdr:to>
    <xdr:grpSp>
      <xdr:nvGrpSpPr>
        <xdr:cNvPr id="112" name="グループ化 111">
          <a:extLst>
            <a:ext uri="{FF2B5EF4-FFF2-40B4-BE49-F238E27FC236}">
              <a16:creationId xmlns:a16="http://schemas.microsoft.com/office/drawing/2014/main" id="{C2BBA3C4-4B84-DC46-FD41-E8E4D7208F24}"/>
            </a:ext>
          </a:extLst>
        </xdr:cNvPr>
        <xdr:cNvGrpSpPr/>
      </xdr:nvGrpSpPr>
      <xdr:grpSpPr>
        <a:xfrm>
          <a:off x="333375" y="25279350"/>
          <a:ext cx="988649" cy="521585"/>
          <a:chOff x="1612122" y="2437107"/>
          <a:chExt cx="933032" cy="400203"/>
        </a:xfrm>
      </xdr:grpSpPr>
      <xdr:sp macro="" textlink="">
        <xdr:nvSpPr>
          <xdr:cNvPr id="113" name="フローチャート: 定義済み処理 112">
            <a:extLst>
              <a:ext uri="{FF2B5EF4-FFF2-40B4-BE49-F238E27FC236}">
                <a16:creationId xmlns:a16="http://schemas.microsoft.com/office/drawing/2014/main" id="{98D70F8A-E979-CF12-8FED-5C7EC362917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4" name="正方形/長方形 113">
            <a:extLst>
              <a:ext uri="{FF2B5EF4-FFF2-40B4-BE49-F238E27FC236}">
                <a16:creationId xmlns:a16="http://schemas.microsoft.com/office/drawing/2014/main" id="{52E19174-7D67-37AF-2A21-7E36C17B1BAB}"/>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３．データ出力</a:t>
            </a:r>
            <a:endParaRPr kumimoji="1" lang="en-US" altLang="ja-JP" sz="900"/>
          </a:p>
        </xdr:txBody>
      </xdr:sp>
    </xdr:grpSp>
    <xdr:clientData/>
  </xdr:twoCellAnchor>
  <xdr:twoCellAnchor>
    <xdr:from>
      <xdr:col>23</xdr:col>
      <xdr:colOff>0</xdr:colOff>
      <xdr:row>147</xdr:row>
      <xdr:rowOff>1891</xdr:rowOff>
    </xdr:from>
    <xdr:to>
      <xdr:col>28</xdr:col>
      <xdr:colOff>2800</xdr:colOff>
      <xdr:row>150</xdr:row>
      <xdr:rowOff>156281</xdr:rowOff>
    </xdr:to>
    <xdr:grpSp>
      <xdr:nvGrpSpPr>
        <xdr:cNvPr id="115" name="グループ化 114">
          <a:extLst>
            <a:ext uri="{FF2B5EF4-FFF2-40B4-BE49-F238E27FC236}">
              <a16:creationId xmlns:a16="http://schemas.microsoft.com/office/drawing/2014/main" id="{6CC9AB02-43C5-30C3-B281-225BDCD8FBB4}"/>
            </a:ext>
          </a:extLst>
        </xdr:cNvPr>
        <xdr:cNvGrpSpPr/>
      </xdr:nvGrpSpPr>
      <xdr:grpSpPr>
        <a:xfrm>
          <a:off x="4162425" y="25233616"/>
          <a:ext cx="907675" cy="668740"/>
          <a:chOff x="7111999" y="2892425"/>
          <a:chExt cx="873125" cy="584982"/>
        </a:xfrm>
      </xdr:grpSpPr>
      <xdr:sp macro="" textlink="">
        <xdr:nvSpPr>
          <xdr:cNvPr id="116" name="フローチャート: 磁気ディスク 115">
            <a:extLst>
              <a:ext uri="{FF2B5EF4-FFF2-40B4-BE49-F238E27FC236}">
                <a16:creationId xmlns:a16="http://schemas.microsoft.com/office/drawing/2014/main" id="{4B7CB575-F06F-948B-53FE-C690D77BBEF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7" name="正方形/長方形 116">
            <a:extLst>
              <a:ext uri="{FF2B5EF4-FFF2-40B4-BE49-F238E27FC236}">
                <a16:creationId xmlns:a16="http://schemas.microsoft.com/office/drawing/2014/main" id="{5541C3D4-4341-888A-CDEB-FA9D74AA36B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Access</a:t>
            </a:r>
            <a:endParaRPr kumimoji="1" lang="ja-JP" altLang="en-US" sz="900"/>
          </a:p>
        </xdr:txBody>
      </xdr:sp>
    </xdr:grpSp>
    <xdr:clientData/>
  </xdr:twoCellAnchor>
  <xdr:twoCellAnchor>
    <xdr:from>
      <xdr:col>7</xdr:col>
      <xdr:colOff>3732</xdr:colOff>
      <xdr:row>148</xdr:row>
      <xdr:rowOff>136067</xdr:rowOff>
    </xdr:from>
    <xdr:to>
      <xdr:col>23</xdr:col>
      <xdr:colOff>106401</xdr:colOff>
      <xdr:row>148</xdr:row>
      <xdr:rowOff>146946</xdr:rowOff>
    </xdr:to>
    <xdr:cxnSp macro="">
      <xdr:nvCxnSpPr>
        <xdr:cNvPr id="118" name="直線矢印コネクタ 117">
          <a:extLst>
            <a:ext uri="{FF2B5EF4-FFF2-40B4-BE49-F238E27FC236}">
              <a16:creationId xmlns:a16="http://schemas.microsoft.com/office/drawing/2014/main" id="{5BA77262-4D2F-4C4D-9FB7-D9DFE4779AE2}"/>
            </a:ext>
          </a:extLst>
        </xdr:cNvPr>
        <xdr:cNvCxnSpPr>
          <a:cxnSpLocks/>
          <a:stCxn id="116" idx="2"/>
          <a:endCxn id="113" idx="3"/>
        </xdr:cNvCxnSpPr>
      </xdr:nvCxnSpPr>
      <xdr:spPr>
        <a:xfrm flipH="1">
          <a:off x="1412359" y="7836560"/>
          <a:ext cx="3322387" cy="1087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19050</xdr:colOff>
      <xdr:row>149</xdr:row>
      <xdr:rowOff>55005</xdr:rowOff>
    </xdr:from>
    <xdr:to>
      <xdr:col>30</xdr:col>
      <xdr:colOff>38100</xdr:colOff>
      <xdr:row>152</xdr:row>
      <xdr:rowOff>70483</xdr:rowOff>
    </xdr:to>
    <xdr:grpSp>
      <xdr:nvGrpSpPr>
        <xdr:cNvPr id="121" name="グループ化 120">
          <a:extLst>
            <a:ext uri="{FF2B5EF4-FFF2-40B4-BE49-F238E27FC236}">
              <a16:creationId xmlns:a16="http://schemas.microsoft.com/office/drawing/2014/main" id="{89231AD5-3ABA-C78F-2871-92548DC7A2E4}"/>
            </a:ext>
          </a:extLst>
        </xdr:cNvPr>
        <xdr:cNvGrpSpPr/>
      </xdr:nvGrpSpPr>
      <xdr:grpSpPr>
        <a:xfrm>
          <a:off x="4543425" y="25629630"/>
          <a:ext cx="923925" cy="529828"/>
          <a:chOff x="4305300" y="5661025"/>
          <a:chExt cx="1003300" cy="526653"/>
        </a:xfrm>
      </xdr:grpSpPr>
      <xdr:sp macro="" textlink="">
        <xdr:nvSpPr>
          <xdr:cNvPr id="122" name="AutoShape 49">
            <a:extLst>
              <a:ext uri="{FF2B5EF4-FFF2-40B4-BE49-F238E27FC236}">
                <a16:creationId xmlns:a16="http://schemas.microsoft.com/office/drawing/2014/main" id="{FAC4D0AB-B429-E5AF-F774-1CB46903C28B}"/>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23" name="正方形/長方形 48">
            <a:extLst>
              <a:ext uri="{FF2B5EF4-FFF2-40B4-BE49-F238E27FC236}">
                <a16:creationId xmlns:a16="http://schemas.microsoft.com/office/drawing/2014/main" id="{5691C3E8-AABF-F014-F08D-A8B9FC2FCD6F}"/>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仕訳データ</a:t>
            </a:r>
            <a:endParaRPr kumimoji="1" lang="en-US" altLang="ja-JP" sz="900"/>
          </a:p>
          <a:p>
            <a:pPr algn="ctr"/>
            <a:r>
              <a:rPr kumimoji="1" lang="ja-JP" altLang="en-US" sz="900"/>
              <a:t>（</a:t>
            </a:r>
            <a:r>
              <a:rPr kumimoji="1" lang="en-US" altLang="ja-JP" sz="900"/>
              <a:t>toSAP</a:t>
            </a:r>
            <a:r>
              <a:rPr kumimoji="1" lang="ja-JP" altLang="en-US" sz="900"/>
              <a:t>）</a:t>
            </a:r>
          </a:p>
        </xdr:txBody>
      </xdr:sp>
    </xdr:grpSp>
    <xdr:clientData/>
  </xdr:twoCellAnchor>
  <xdr:twoCellAnchor>
    <xdr:from>
      <xdr:col>1</xdr:col>
      <xdr:colOff>152400</xdr:colOff>
      <xdr:row>154</xdr:row>
      <xdr:rowOff>15875</xdr:rowOff>
    </xdr:from>
    <xdr:to>
      <xdr:col>7</xdr:col>
      <xdr:colOff>55199</xdr:colOff>
      <xdr:row>157</xdr:row>
      <xdr:rowOff>26285</xdr:rowOff>
    </xdr:to>
    <xdr:grpSp>
      <xdr:nvGrpSpPr>
        <xdr:cNvPr id="124" name="グループ化 123">
          <a:extLst>
            <a:ext uri="{FF2B5EF4-FFF2-40B4-BE49-F238E27FC236}">
              <a16:creationId xmlns:a16="http://schemas.microsoft.com/office/drawing/2014/main" id="{1FAD3226-49A8-DFCC-0C43-9B6ED7AE9407}"/>
            </a:ext>
          </a:extLst>
        </xdr:cNvPr>
        <xdr:cNvGrpSpPr/>
      </xdr:nvGrpSpPr>
      <xdr:grpSpPr>
        <a:xfrm>
          <a:off x="333375" y="26447750"/>
          <a:ext cx="988649" cy="524760"/>
          <a:chOff x="1612122" y="2437107"/>
          <a:chExt cx="933032" cy="400203"/>
        </a:xfrm>
      </xdr:grpSpPr>
      <xdr:sp macro="" textlink="">
        <xdr:nvSpPr>
          <xdr:cNvPr id="125" name="フローチャート: 定義済み処理 124">
            <a:extLst>
              <a:ext uri="{FF2B5EF4-FFF2-40B4-BE49-F238E27FC236}">
                <a16:creationId xmlns:a16="http://schemas.microsoft.com/office/drawing/2014/main" id="{5D763C3E-79B4-A7A0-0908-821DF3A04EDB}"/>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6" name="正方形/長方形 125">
            <a:extLst>
              <a:ext uri="{FF2B5EF4-FFF2-40B4-BE49-F238E27FC236}">
                <a16:creationId xmlns:a16="http://schemas.microsoft.com/office/drawing/2014/main" id="{AE3A941B-EAC4-7236-70AA-5D88A472D139}"/>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．データ取込</a:t>
            </a:r>
            <a:endParaRPr kumimoji="1" lang="en-US" altLang="ja-JP" sz="900"/>
          </a:p>
        </xdr:txBody>
      </xdr:sp>
    </xdr:grpSp>
    <xdr:clientData/>
  </xdr:twoCellAnchor>
  <xdr:twoCellAnchor>
    <xdr:from>
      <xdr:col>23</xdr:col>
      <xdr:colOff>0</xdr:colOff>
      <xdr:row>153</xdr:row>
      <xdr:rowOff>156690</xdr:rowOff>
    </xdr:from>
    <xdr:to>
      <xdr:col>28</xdr:col>
      <xdr:colOff>2800</xdr:colOff>
      <xdr:row>157</xdr:row>
      <xdr:rowOff>137540</xdr:rowOff>
    </xdr:to>
    <xdr:grpSp>
      <xdr:nvGrpSpPr>
        <xdr:cNvPr id="127" name="グループ化 126">
          <a:extLst>
            <a:ext uri="{FF2B5EF4-FFF2-40B4-BE49-F238E27FC236}">
              <a16:creationId xmlns:a16="http://schemas.microsoft.com/office/drawing/2014/main" id="{B7CA0F0B-FE2B-053D-8DB8-0A42180C939C}"/>
            </a:ext>
          </a:extLst>
        </xdr:cNvPr>
        <xdr:cNvGrpSpPr/>
      </xdr:nvGrpSpPr>
      <xdr:grpSpPr>
        <a:xfrm>
          <a:off x="4162425" y="26417115"/>
          <a:ext cx="907675" cy="666650"/>
          <a:chOff x="7111999" y="2892425"/>
          <a:chExt cx="873125" cy="584982"/>
        </a:xfrm>
      </xdr:grpSpPr>
      <xdr:sp macro="" textlink="">
        <xdr:nvSpPr>
          <xdr:cNvPr id="128" name="フローチャート: 磁気ディスク 127">
            <a:extLst>
              <a:ext uri="{FF2B5EF4-FFF2-40B4-BE49-F238E27FC236}">
                <a16:creationId xmlns:a16="http://schemas.microsoft.com/office/drawing/2014/main" id="{17740693-9FC7-5066-19B8-ED3A9B7E70F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9" name="正方形/長方形 128">
            <a:extLst>
              <a:ext uri="{FF2B5EF4-FFF2-40B4-BE49-F238E27FC236}">
                <a16:creationId xmlns:a16="http://schemas.microsoft.com/office/drawing/2014/main" id="{58377A7F-F028-0FF6-3E74-F0B090FD48C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SAP</a:t>
            </a:r>
            <a:endParaRPr kumimoji="1" lang="ja-JP" altLang="en-US" sz="900"/>
          </a:p>
        </xdr:txBody>
      </xdr:sp>
    </xdr:grpSp>
    <xdr:clientData/>
  </xdr:twoCellAnchor>
  <xdr:twoCellAnchor>
    <xdr:from>
      <xdr:col>25</xdr:col>
      <xdr:colOff>19050</xdr:colOff>
      <xdr:row>155</xdr:row>
      <xdr:rowOff>137640</xdr:rowOff>
    </xdr:from>
    <xdr:to>
      <xdr:col>30</xdr:col>
      <xdr:colOff>38100</xdr:colOff>
      <xdr:row>158</xdr:row>
      <xdr:rowOff>153118</xdr:rowOff>
    </xdr:to>
    <xdr:grpSp>
      <xdr:nvGrpSpPr>
        <xdr:cNvPr id="130" name="グループ化 129">
          <a:extLst>
            <a:ext uri="{FF2B5EF4-FFF2-40B4-BE49-F238E27FC236}">
              <a16:creationId xmlns:a16="http://schemas.microsoft.com/office/drawing/2014/main" id="{408578C0-E71C-3851-70F9-5D7CFFF3C18A}"/>
            </a:ext>
          </a:extLst>
        </xdr:cNvPr>
        <xdr:cNvGrpSpPr/>
      </xdr:nvGrpSpPr>
      <xdr:grpSpPr>
        <a:xfrm>
          <a:off x="4543425" y="26740965"/>
          <a:ext cx="923925" cy="529828"/>
          <a:chOff x="4305300" y="5661025"/>
          <a:chExt cx="1003300" cy="526653"/>
        </a:xfrm>
      </xdr:grpSpPr>
      <xdr:sp macro="" textlink="">
        <xdr:nvSpPr>
          <xdr:cNvPr id="131" name="AutoShape 49">
            <a:extLst>
              <a:ext uri="{FF2B5EF4-FFF2-40B4-BE49-F238E27FC236}">
                <a16:creationId xmlns:a16="http://schemas.microsoft.com/office/drawing/2014/main" id="{DBD75382-3920-FFF9-33F4-8512B798220F}"/>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32" name="正方形/長方形 48">
            <a:extLst>
              <a:ext uri="{FF2B5EF4-FFF2-40B4-BE49-F238E27FC236}">
                <a16:creationId xmlns:a16="http://schemas.microsoft.com/office/drawing/2014/main" id="{1816717A-3C77-2542-B8E4-CC986BBD4ACD}"/>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仕訳データ</a:t>
            </a:r>
            <a:endParaRPr kumimoji="1" lang="en-US" altLang="ja-JP" sz="900"/>
          </a:p>
          <a:p>
            <a:pPr algn="ctr"/>
            <a:r>
              <a:rPr kumimoji="1" lang="ja-JP" altLang="en-US" sz="900"/>
              <a:t>（</a:t>
            </a:r>
            <a:r>
              <a:rPr kumimoji="1" lang="en-US" altLang="ja-JP" sz="900"/>
              <a:t>toSAP</a:t>
            </a:r>
            <a:r>
              <a:rPr kumimoji="1" lang="ja-JP" altLang="en-US" sz="900"/>
              <a:t>）</a:t>
            </a:r>
          </a:p>
        </xdr:txBody>
      </xdr:sp>
    </xdr:grpSp>
    <xdr:clientData/>
  </xdr:twoCellAnchor>
  <xdr:twoCellAnchor>
    <xdr:from>
      <xdr:col>7</xdr:col>
      <xdr:colOff>3732</xdr:colOff>
      <xdr:row>155</xdr:row>
      <xdr:rowOff>119044</xdr:rowOff>
    </xdr:from>
    <xdr:to>
      <xdr:col>23</xdr:col>
      <xdr:colOff>106401</xdr:colOff>
      <xdr:row>155</xdr:row>
      <xdr:rowOff>120017</xdr:rowOff>
    </xdr:to>
    <xdr:cxnSp macro="">
      <xdr:nvCxnSpPr>
        <xdr:cNvPr id="133" name="直線矢印コネクタ 132">
          <a:extLst>
            <a:ext uri="{FF2B5EF4-FFF2-40B4-BE49-F238E27FC236}">
              <a16:creationId xmlns:a16="http://schemas.microsoft.com/office/drawing/2014/main" id="{D31BFD77-AB8B-45E4-AF04-27F3C9C7D923}"/>
            </a:ext>
          </a:extLst>
        </xdr:cNvPr>
        <xdr:cNvCxnSpPr>
          <a:cxnSpLocks/>
          <a:stCxn id="125" idx="3"/>
          <a:endCxn id="128" idx="2"/>
        </xdr:cNvCxnSpPr>
      </xdr:nvCxnSpPr>
      <xdr:spPr>
        <a:xfrm flipV="1">
          <a:off x="1412359" y="9040347"/>
          <a:ext cx="3322387" cy="97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159465</xdr:colOff>
      <xdr:row>11</xdr:row>
      <xdr:rowOff>152400</xdr:rowOff>
    </xdr:from>
    <xdr:to>
      <xdr:col>6</xdr:col>
      <xdr:colOff>74504</xdr:colOff>
      <xdr:row>13</xdr:row>
      <xdr:rowOff>56126</xdr:rowOff>
    </xdr:to>
    <xdr:sp macro="" textlink="">
      <xdr:nvSpPr>
        <xdr:cNvPr id="149" name="フローチャート: 端子 148">
          <a:extLst>
            <a:ext uri="{FF2B5EF4-FFF2-40B4-BE49-F238E27FC236}">
              <a16:creationId xmlns:a16="http://schemas.microsoft.com/office/drawing/2014/main" id="{3639F045-1946-4066-AA35-5F27F8F1AA2C}"/>
            </a:ext>
          </a:extLst>
        </xdr:cNvPr>
        <xdr:cNvSpPr/>
      </xdr:nvSpPr>
      <xdr:spPr>
        <a:xfrm>
          <a:off x="561930" y="11166520"/>
          <a:ext cx="719968" cy="25252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15</xdr:col>
      <xdr:colOff>164160</xdr:colOff>
      <xdr:row>17</xdr:row>
      <xdr:rowOff>70250</xdr:rowOff>
    </xdr:from>
    <xdr:to>
      <xdr:col>20</xdr:col>
      <xdr:colOff>173310</xdr:colOff>
      <xdr:row>21</xdr:row>
      <xdr:rowOff>44973</xdr:rowOff>
    </xdr:to>
    <xdr:grpSp>
      <xdr:nvGrpSpPr>
        <xdr:cNvPr id="165" name="グループ化 164">
          <a:extLst>
            <a:ext uri="{FF2B5EF4-FFF2-40B4-BE49-F238E27FC236}">
              <a16:creationId xmlns:a16="http://schemas.microsoft.com/office/drawing/2014/main" id="{101A68FB-BB91-4C0F-996D-CE45205334B3}"/>
            </a:ext>
          </a:extLst>
        </xdr:cNvPr>
        <xdr:cNvGrpSpPr/>
      </xdr:nvGrpSpPr>
      <xdr:grpSpPr>
        <a:xfrm>
          <a:off x="2878785" y="3013475"/>
          <a:ext cx="914025" cy="660523"/>
          <a:chOff x="7111999" y="2892425"/>
          <a:chExt cx="873125" cy="584982"/>
        </a:xfrm>
      </xdr:grpSpPr>
      <xdr:sp macro="" textlink="">
        <xdr:nvSpPr>
          <xdr:cNvPr id="166" name="フローチャート: 磁気ディスク 165">
            <a:extLst>
              <a:ext uri="{FF2B5EF4-FFF2-40B4-BE49-F238E27FC236}">
                <a16:creationId xmlns:a16="http://schemas.microsoft.com/office/drawing/2014/main" id="{05E69CA0-0D88-7333-B744-9279A865FC9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7" name="正方形/長方形 166">
            <a:extLst>
              <a:ext uri="{FF2B5EF4-FFF2-40B4-BE49-F238E27FC236}">
                <a16:creationId xmlns:a16="http://schemas.microsoft.com/office/drawing/2014/main" id="{EBE9A24A-697D-556D-4D96-D8C04AB3374D}"/>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口座引落</a:t>
            </a:r>
            <a:endParaRPr kumimoji="1" lang="en-US" altLang="ja-JP" sz="900"/>
          </a:p>
          <a:p>
            <a:pPr algn="ctr"/>
            <a:r>
              <a:rPr kumimoji="1" lang="ja-JP" altLang="en-US" sz="900"/>
              <a:t>契約台帳</a:t>
            </a:r>
          </a:p>
        </xdr:txBody>
      </xdr:sp>
    </xdr:grpSp>
    <xdr:clientData/>
  </xdr:twoCellAnchor>
  <xdr:twoCellAnchor>
    <xdr:from>
      <xdr:col>4</xdr:col>
      <xdr:colOff>120085</xdr:colOff>
      <xdr:row>129</xdr:row>
      <xdr:rowOff>98714</xdr:rowOff>
    </xdr:from>
    <xdr:to>
      <xdr:col>4</xdr:col>
      <xdr:colOff>120085</xdr:colOff>
      <xdr:row>136</xdr:row>
      <xdr:rowOff>122213</xdr:rowOff>
    </xdr:to>
    <xdr:cxnSp macro="">
      <xdr:nvCxnSpPr>
        <xdr:cNvPr id="10" name="直線矢印コネクタ 27">
          <a:extLst>
            <a:ext uri="{FF2B5EF4-FFF2-40B4-BE49-F238E27FC236}">
              <a16:creationId xmlns:a16="http://schemas.microsoft.com/office/drawing/2014/main" id="{B3C205B4-6AE8-4FF3-9473-854A173D67AC}"/>
            </a:ext>
          </a:extLst>
        </xdr:cNvPr>
        <xdr:cNvCxnSpPr>
          <a:cxnSpLocks/>
          <a:stCxn id="69" idx="2"/>
          <a:endCxn id="101" idx="0"/>
        </xdr:cNvCxnSpPr>
      </xdr:nvCxnSpPr>
      <xdr:spPr>
        <a:xfrm>
          <a:off x="925015" y="4485580"/>
          <a:ext cx="0" cy="124430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120085</xdr:colOff>
      <xdr:row>139</xdr:row>
      <xdr:rowOff>95579</xdr:rowOff>
    </xdr:from>
    <xdr:to>
      <xdr:col>4</xdr:col>
      <xdr:colOff>120085</xdr:colOff>
      <xdr:row>147</xdr:row>
      <xdr:rowOff>71575</xdr:rowOff>
    </xdr:to>
    <xdr:cxnSp macro="">
      <xdr:nvCxnSpPr>
        <xdr:cNvPr id="22" name="直線矢印コネクタ 27">
          <a:extLst>
            <a:ext uri="{FF2B5EF4-FFF2-40B4-BE49-F238E27FC236}">
              <a16:creationId xmlns:a16="http://schemas.microsoft.com/office/drawing/2014/main" id="{7155EF83-4A39-4F81-BC19-0CAEBB9E91CF}"/>
            </a:ext>
          </a:extLst>
        </xdr:cNvPr>
        <xdr:cNvCxnSpPr>
          <a:cxnSpLocks/>
          <a:stCxn id="101" idx="2"/>
          <a:endCxn id="113" idx="0"/>
        </xdr:cNvCxnSpPr>
      </xdr:nvCxnSpPr>
      <xdr:spPr>
        <a:xfrm>
          <a:off x="925015" y="6226459"/>
          <a:ext cx="0" cy="137120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120085</xdr:colOff>
      <xdr:row>150</xdr:row>
      <xdr:rowOff>47914</xdr:rowOff>
    </xdr:from>
    <xdr:to>
      <xdr:col>4</xdr:col>
      <xdr:colOff>120085</xdr:colOff>
      <xdr:row>154</xdr:row>
      <xdr:rowOff>43161</xdr:rowOff>
    </xdr:to>
    <xdr:cxnSp macro="">
      <xdr:nvCxnSpPr>
        <xdr:cNvPr id="25" name="直線矢印コネクタ 27">
          <a:extLst>
            <a:ext uri="{FF2B5EF4-FFF2-40B4-BE49-F238E27FC236}">
              <a16:creationId xmlns:a16="http://schemas.microsoft.com/office/drawing/2014/main" id="{C4F889F5-B453-4061-BF7E-C57F5766BE69}"/>
            </a:ext>
          </a:extLst>
        </xdr:cNvPr>
        <xdr:cNvCxnSpPr>
          <a:cxnSpLocks/>
          <a:stCxn id="113" idx="2"/>
          <a:endCxn id="125" idx="0"/>
        </xdr:cNvCxnSpPr>
      </xdr:nvCxnSpPr>
      <xdr:spPr>
        <a:xfrm>
          <a:off x="925015" y="8097210"/>
          <a:ext cx="0" cy="69285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120085</xdr:colOff>
      <xdr:row>157</xdr:row>
      <xdr:rowOff>22472</xdr:rowOff>
    </xdr:from>
    <xdr:to>
      <xdr:col>4</xdr:col>
      <xdr:colOff>123944</xdr:colOff>
      <xdr:row>160</xdr:row>
      <xdr:rowOff>123914</xdr:rowOff>
    </xdr:to>
    <xdr:cxnSp macro="">
      <xdr:nvCxnSpPr>
        <xdr:cNvPr id="37" name="直線矢印コネクタ 27">
          <a:extLst>
            <a:ext uri="{FF2B5EF4-FFF2-40B4-BE49-F238E27FC236}">
              <a16:creationId xmlns:a16="http://schemas.microsoft.com/office/drawing/2014/main" id="{65CAD012-1892-4443-B31D-0B31BFF72318}"/>
            </a:ext>
          </a:extLst>
        </xdr:cNvPr>
        <xdr:cNvCxnSpPr>
          <a:cxnSpLocks/>
          <a:stCxn id="125" idx="2"/>
          <a:endCxn id="39" idx="0"/>
        </xdr:cNvCxnSpPr>
      </xdr:nvCxnSpPr>
      <xdr:spPr>
        <a:xfrm>
          <a:off x="925015" y="9292578"/>
          <a:ext cx="3859" cy="62464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160986</xdr:colOff>
      <xdr:row>160</xdr:row>
      <xdr:rowOff>120739</xdr:rowOff>
    </xdr:from>
    <xdr:to>
      <xdr:col>6</xdr:col>
      <xdr:colOff>80553</xdr:colOff>
      <xdr:row>162</xdr:row>
      <xdr:rowOff>24432</xdr:rowOff>
    </xdr:to>
    <xdr:sp macro="" textlink="">
      <xdr:nvSpPr>
        <xdr:cNvPr id="39" name="フローチャート: 端子 38">
          <a:extLst>
            <a:ext uri="{FF2B5EF4-FFF2-40B4-BE49-F238E27FC236}">
              <a16:creationId xmlns:a16="http://schemas.microsoft.com/office/drawing/2014/main" id="{DEFCA3E4-9529-4973-A6F4-80F7F15C4C7D}"/>
            </a:ext>
          </a:extLst>
        </xdr:cNvPr>
        <xdr:cNvSpPr/>
      </xdr:nvSpPr>
      <xdr:spPr>
        <a:xfrm>
          <a:off x="563451" y="9914049"/>
          <a:ext cx="724496" cy="25249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xdr:col>
      <xdr:colOff>118572</xdr:colOff>
      <xdr:row>13</xdr:row>
      <xdr:rowOff>56126</xdr:rowOff>
    </xdr:from>
    <xdr:to>
      <xdr:col>4</xdr:col>
      <xdr:colOff>128967</xdr:colOff>
      <xdr:row>17</xdr:row>
      <xdr:rowOff>137995</xdr:rowOff>
    </xdr:to>
    <xdr:cxnSp macro="">
      <xdr:nvCxnSpPr>
        <xdr:cNvPr id="73" name="直線矢印コネクタ 27">
          <a:extLst>
            <a:ext uri="{FF2B5EF4-FFF2-40B4-BE49-F238E27FC236}">
              <a16:creationId xmlns:a16="http://schemas.microsoft.com/office/drawing/2014/main" id="{F7925321-751C-437F-AD1E-85670D70D195}"/>
            </a:ext>
          </a:extLst>
        </xdr:cNvPr>
        <xdr:cNvCxnSpPr>
          <a:cxnSpLocks/>
          <a:stCxn id="149" idx="2"/>
          <a:endCxn id="58" idx="0"/>
        </xdr:cNvCxnSpPr>
      </xdr:nvCxnSpPr>
      <xdr:spPr>
        <a:xfrm>
          <a:off x="908450" y="2367681"/>
          <a:ext cx="10395" cy="77882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90114</xdr:colOff>
      <xdr:row>20</xdr:row>
      <xdr:rowOff>70448</xdr:rowOff>
    </xdr:from>
    <xdr:to>
      <xdr:col>23</xdr:col>
      <xdr:colOff>105989</xdr:colOff>
      <xdr:row>23</xdr:row>
      <xdr:rowOff>89101</xdr:rowOff>
    </xdr:to>
    <xdr:grpSp>
      <xdr:nvGrpSpPr>
        <xdr:cNvPr id="104" name="グループ化 103">
          <a:extLst>
            <a:ext uri="{FF2B5EF4-FFF2-40B4-BE49-F238E27FC236}">
              <a16:creationId xmlns:a16="http://schemas.microsoft.com/office/drawing/2014/main" id="{52121F2A-3324-427A-AED6-B4891BEF5AF4}"/>
            </a:ext>
          </a:extLst>
        </xdr:cNvPr>
        <xdr:cNvGrpSpPr/>
      </xdr:nvGrpSpPr>
      <xdr:grpSpPr>
        <a:xfrm>
          <a:off x="3347664" y="3528023"/>
          <a:ext cx="920750" cy="533003"/>
          <a:chOff x="4305300" y="5661025"/>
          <a:chExt cx="1003300" cy="526653"/>
        </a:xfrm>
      </xdr:grpSpPr>
      <xdr:sp macro="" textlink="">
        <xdr:nvSpPr>
          <xdr:cNvPr id="105" name="AutoShape 49">
            <a:extLst>
              <a:ext uri="{FF2B5EF4-FFF2-40B4-BE49-F238E27FC236}">
                <a16:creationId xmlns:a16="http://schemas.microsoft.com/office/drawing/2014/main" id="{A8C6B2ED-198D-F687-2A19-77D4B4DF0D86}"/>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19" name="正方形/長方形 48">
            <a:extLst>
              <a:ext uri="{FF2B5EF4-FFF2-40B4-BE49-F238E27FC236}">
                <a16:creationId xmlns:a16="http://schemas.microsoft.com/office/drawing/2014/main" id="{9A4ED0CD-30AF-33B6-D478-9FF417611023}"/>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Excel</a:t>
            </a:r>
            <a:r>
              <a:rPr kumimoji="1" lang="ja-JP" altLang="en-US" sz="900"/>
              <a:t>台帳</a:t>
            </a:r>
          </a:p>
        </xdr:txBody>
      </xdr:sp>
    </xdr:grpSp>
    <xdr:clientData/>
  </xdr:twoCellAnchor>
  <xdr:twoCellAnchor>
    <xdr:from>
      <xdr:col>6</xdr:col>
      <xdr:colOff>183227</xdr:colOff>
      <xdr:row>72</xdr:row>
      <xdr:rowOff>44988</xdr:rowOff>
    </xdr:from>
    <xdr:to>
      <xdr:col>16</xdr:col>
      <xdr:colOff>129412</xdr:colOff>
      <xdr:row>72</xdr:row>
      <xdr:rowOff>48413</xdr:rowOff>
    </xdr:to>
    <xdr:cxnSp macro="">
      <xdr:nvCxnSpPr>
        <xdr:cNvPr id="136" name="直線矢印コネクタ 135">
          <a:extLst>
            <a:ext uri="{FF2B5EF4-FFF2-40B4-BE49-F238E27FC236}">
              <a16:creationId xmlns:a16="http://schemas.microsoft.com/office/drawing/2014/main" id="{8947689E-F77E-4386-A220-66AF9EB0874F}"/>
            </a:ext>
          </a:extLst>
        </xdr:cNvPr>
        <xdr:cNvCxnSpPr>
          <a:cxnSpLocks/>
          <a:stCxn id="14" idx="2"/>
          <a:endCxn id="11" idx="3"/>
        </xdr:cNvCxnSpPr>
      </xdr:nvCxnSpPr>
      <xdr:spPr>
        <a:xfrm flipH="1" flipV="1">
          <a:off x="1344812" y="12350049"/>
          <a:ext cx="1882161" cy="342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82865</xdr:colOff>
      <xdr:row>64</xdr:row>
      <xdr:rowOff>49678</xdr:rowOff>
    </xdr:from>
    <xdr:to>
      <xdr:col>21</xdr:col>
      <xdr:colOff>77889</xdr:colOff>
      <xdr:row>67</xdr:row>
      <xdr:rowOff>143121</xdr:rowOff>
    </xdr:to>
    <xdr:grpSp>
      <xdr:nvGrpSpPr>
        <xdr:cNvPr id="137" name="グループ化 11">
          <a:extLst>
            <a:ext uri="{FF2B5EF4-FFF2-40B4-BE49-F238E27FC236}">
              <a16:creationId xmlns:a16="http://schemas.microsoft.com/office/drawing/2014/main" id="{627E3594-67A9-44FC-B8E0-1B0865F0B159}"/>
            </a:ext>
          </a:extLst>
        </xdr:cNvPr>
        <xdr:cNvGrpSpPr/>
      </xdr:nvGrpSpPr>
      <xdr:grpSpPr>
        <a:xfrm>
          <a:off x="2797490" y="11051053"/>
          <a:ext cx="1080874" cy="607793"/>
          <a:chOff x="6963496" y="2892429"/>
          <a:chExt cx="1158702" cy="601220"/>
        </a:xfrm>
      </xdr:grpSpPr>
      <xdr:sp macro="" textlink="">
        <xdr:nvSpPr>
          <xdr:cNvPr id="138" name="フローチャート: 磁気ディスク 12">
            <a:extLst>
              <a:ext uri="{FF2B5EF4-FFF2-40B4-BE49-F238E27FC236}">
                <a16:creationId xmlns:a16="http://schemas.microsoft.com/office/drawing/2014/main" id="{4A46C76C-E1FF-828C-6A97-56697143F14F}"/>
              </a:ext>
            </a:extLst>
          </xdr:cNvPr>
          <xdr:cNvSpPr/>
        </xdr:nvSpPr>
        <xdr:spPr>
          <a:xfrm>
            <a:off x="7204075" y="2892429"/>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9" name="正方形/長方形 13">
            <a:extLst>
              <a:ext uri="{FF2B5EF4-FFF2-40B4-BE49-F238E27FC236}">
                <a16:creationId xmlns:a16="http://schemas.microsoft.com/office/drawing/2014/main" id="{0E301A07-FDE9-DD13-A3A2-A54D16B0BFC0}"/>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引落データマッチング</a:t>
            </a:r>
            <a:endParaRPr kumimoji="1" lang="en-US" altLang="ja-JP" sz="900">
              <a:solidFill>
                <a:srgbClr val="FF0000"/>
              </a:solidFill>
            </a:endParaRPr>
          </a:p>
        </xdr:txBody>
      </xdr:sp>
    </xdr:grpSp>
    <xdr:clientData/>
  </xdr:twoCellAnchor>
  <xdr:twoCellAnchor>
    <xdr:from>
      <xdr:col>22</xdr:col>
      <xdr:colOff>180179</xdr:colOff>
      <xdr:row>38</xdr:row>
      <xdr:rowOff>26988</xdr:rowOff>
    </xdr:from>
    <xdr:to>
      <xdr:col>27</xdr:col>
      <xdr:colOff>179804</xdr:colOff>
      <xdr:row>42</xdr:row>
      <xdr:rowOff>7838</xdr:rowOff>
    </xdr:to>
    <xdr:grpSp>
      <xdr:nvGrpSpPr>
        <xdr:cNvPr id="206" name="グループ化 205">
          <a:extLst>
            <a:ext uri="{FF2B5EF4-FFF2-40B4-BE49-F238E27FC236}">
              <a16:creationId xmlns:a16="http://schemas.microsoft.com/office/drawing/2014/main" id="{AB0076F0-15A1-4A6C-9326-4E89214EFE2A}"/>
            </a:ext>
          </a:extLst>
        </xdr:cNvPr>
        <xdr:cNvGrpSpPr/>
      </xdr:nvGrpSpPr>
      <xdr:grpSpPr>
        <a:xfrm>
          <a:off x="4161629" y="6570663"/>
          <a:ext cx="904500" cy="666650"/>
          <a:chOff x="7111999" y="2892425"/>
          <a:chExt cx="873125" cy="584982"/>
        </a:xfrm>
      </xdr:grpSpPr>
      <xdr:sp macro="" textlink="">
        <xdr:nvSpPr>
          <xdr:cNvPr id="207" name="フローチャート: 磁気ディスク 206">
            <a:extLst>
              <a:ext uri="{FF2B5EF4-FFF2-40B4-BE49-F238E27FC236}">
                <a16:creationId xmlns:a16="http://schemas.microsoft.com/office/drawing/2014/main" id="{4596FC21-11F4-AC32-50C5-1F24257663A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8" name="正方形/長方形 207">
            <a:extLst>
              <a:ext uri="{FF2B5EF4-FFF2-40B4-BE49-F238E27FC236}">
                <a16:creationId xmlns:a16="http://schemas.microsoft.com/office/drawing/2014/main" id="{30D5BBED-9BF4-214A-93FB-ED5291CDA83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銀行システム</a:t>
            </a:r>
          </a:p>
        </xdr:txBody>
      </xdr:sp>
    </xdr:grpSp>
    <xdr:clientData/>
  </xdr:twoCellAnchor>
  <xdr:twoCellAnchor>
    <xdr:from>
      <xdr:col>25</xdr:col>
      <xdr:colOff>19050</xdr:colOff>
      <xdr:row>40</xdr:row>
      <xdr:rowOff>133350</xdr:rowOff>
    </xdr:from>
    <xdr:to>
      <xdr:col>30</xdr:col>
      <xdr:colOff>38100</xdr:colOff>
      <xdr:row>43</xdr:row>
      <xdr:rowOff>142478</xdr:rowOff>
    </xdr:to>
    <xdr:grpSp>
      <xdr:nvGrpSpPr>
        <xdr:cNvPr id="209" name="グループ化 208">
          <a:extLst>
            <a:ext uri="{FF2B5EF4-FFF2-40B4-BE49-F238E27FC236}">
              <a16:creationId xmlns:a16="http://schemas.microsoft.com/office/drawing/2014/main" id="{D6E7F51E-C622-49A6-B16F-87261252F1B6}"/>
            </a:ext>
          </a:extLst>
        </xdr:cNvPr>
        <xdr:cNvGrpSpPr/>
      </xdr:nvGrpSpPr>
      <xdr:grpSpPr>
        <a:xfrm>
          <a:off x="4543425" y="7019925"/>
          <a:ext cx="923925" cy="523478"/>
          <a:chOff x="4305300" y="5661025"/>
          <a:chExt cx="1003300" cy="526653"/>
        </a:xfrm>
      </xdr:grpSpPr>
      <xdr:sp macro="" textlink="">
        <xdr:nvSpPr>
          <xdr:cNvPr id="210" name="AutoShape 49">
            <a:extLst>
              <a:ext uri="{FF2B5EF4-FFF2-40B4-BE49-F238E27FC236}">
                <a16:creationId xmlns:a16="http://schemas.microsoft.com/office/drawing/2014/main" id="{61DD17A7-A39B-04C7-E0BF-B7CB778B263C}"/>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11" name="正方形/長方形 48">
            <a:extLst>
              <a:ext uri="{FF2B5EF4-FFF2-40B4-BE49-F238E27FC236}">
                <a16:creationId xmlns:a16="http://schemas.microsoft.com/office/drawing/2014/main" id="{1583C0D6-7191-7BEA-A2EF-E94847045C17}"/>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入出金データ</a:t>
            </a:r>
          </a:p>
        </xdr:txBody>
      </xdr:sp>
    </xdr:grpSp>
    <xdr:clientData/>
  </xdr:twoCellAnchor>
  <xdr:twoCellAnchor>
    <xdr:from>
      <xdr:col>2</xdr:col>
      <xdr:colOff>159465</xdr:colOff>
      <xdr:row>35</xdr:row>
      <xdr:rowOff>152400</xdr:rowOff>
    </xdr:from>
    <xdr:to>
      <xdr:col>6</xdr:col>
      <xdr:colOff>74504</xdr:colOff>
      <xdr:row>37</xdr:row>
      <xdr:rowOff>56126</xdr:rowOff>
    </xdr:to>
    <xdr:sp macro="" textlink="">
      <xdr:nvSpPr>
        <xdr:cNvPr id="212" name="フローチャート: 端子 211">
          <a:extLst>
            <a:ext uri="{FF2B5EF4-FFF2-40B4-BE49-F238E27FC236}">
              <a16:creationId xmlns:a16="http://schemas.microsoft.com/office/drawing/2014/main" id="{4893F97B-FB54-481D-A906-957609B0255A}"/>
            </a:ext>
          </a:extLst>
        </xdr:cNvPr>
        <xdr:cNvSpPr/>
      </xdr:nvSpPr>
      <xdr:spPr>
        <a:xfrm>
          <a:off x="565105" y="11166520"/>
          <a:ext cx="716793" cy="25252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65712</xdr:colOff>
      <xdr:row>41</xdr:row>
      <xdr:rowOff>126098</xdr:rowOff>
    </xdr:from>
    <xdr:to>
      <xdr:col>25</xdr:col>
      <xdr:colOff>74423</xdr:colOff>
      <xdr:row>46</xdr:row>
      <xdr:rowOff>57150</xdr:rowOff>
    </xdr:to>
    <xdr:cxnSp macro="">
      <xdr:nvCxnSpPr>
        <xdr:cNvPr id="213" name="直線矢印コネクタ 212">
          <a:extLst>
            <a:ext uri="{FF2B5EF4-FFF2-40B4-BE49-F238E27FC236}">
              <a16:creationId xmlns:a16="http://schemas.microsoft.com/office/drawing/2014/main" id="{D085A51E-CDEE-4CFD-8EE1-5A1A2097C907}"/>
            </a:ext>
          </a:extLst>
        </xdr:cNvPr>
        <xdr:cNvCxnSpPr>
          <a:cxnSpLocks/>
          <a:stCxn id="207" idx="3"/>
          <a:endCxn id="215" idx="1"/>
        </xdr:cNvCxnSpPr>
      </xdr:nvCxnSpPr>
      <xdr:spPr>
        <a:xfrm>
          <a:off x="5099697" y="12183451"/>
          <a:ext cx="5536" cy="80623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180975</xdr:colOff>
      <xdr:row>46</xdr:row>
      <xdr:rowOff>57150</xdr:rowOff>
    </xdr:from>
    <xdr:to>
      <xdr:col>27</xdr:col>
      <xdr:colOff>183775</xdr:colOff>
      <xdr:row>50</xdr:row>
      <xdr:rowOff>38000</xdr:rowOff>
    </xdr:to>
    <xdr:grpSp>
      <xdr:nvGrpSpPr>
        <xdr:cNvPr id="214" name="グループ化 213">
          <a:extLst>
            <a:ext uri="{FF2B5EF4-FFF2-40B4-BE49-F238E27FC236}">
              <a16:creationId xmlns:a16="http://schemas.microsoft.com/office/drawing/2014/main" id="{F25FAC39-7055-4205-8984-DB859F7307AD}"/>
            </a:ext>
          </a:extLst>
        </xdr:cNvPr>
        <xdr:cNvGrpSpPr/>
      </xdr:nvGrpSpPr>
      <xdr:grpSpPr>
        <a:xfrm>
          <a:off x="4162425" y="7972425"/>
          <a:ext cx="907675" cy="666650"/>
          <a:chOff x="7111999" y="2892425"/>
          <a:chExt cx="873125" cy="584982"/>
        </a:xfrm>
      </xdr:grpSpPr>
      <xdr:sp macro="" textlink="">
        <xdr:nvSpPr>
          <xdr:cNvPr id="215" name="フローチャート: 磁気ディスク 214">
            <a:extLst>
              <a:ext uri="{FF2B5EF4-FFF2-40B4-BE49-F238E27FC236}">
                <a16:creationId xmlns:a16="http://schemas.microsoft.com/office/drawing/2014/main" id="{148E1E06-A1E5-E856-88D2-24D013B9F60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16" name="正方形/長方形 215">
            <a:extLst>
              <a:ext uri="{FF2B5EF4-FFF2-40B4-BE49-F238E27FC236}">
                <a16:creationId xmlns:a16="http://schemas.microsoft.com/office/drawing/2014/main" id="{09867825-577E-3800-95AA-68A26B42C1E9}"/>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データ連携基盤</a:t>
            </a:r>
          </a:p>
        </xdr:txBody>
      </xdr:sp>
    </xdr:grpSp>
    <xdr:clientData/>
  </xdr:twoCellAnchor>
  <xdr:twoCellAnchor>
    <xdr:from>
      <xdr:col>25</xdr:col>
      <xdr:colOff>19050</xdr:colOff>
      <xdr:row>48</xdr:row>
      <xdr:rowOff>114300</xdr:rowOff>
    </xdr:from>
    <xdr:to>
      <xdr:col>30</xdr:col>
      <xdr:colOff>38100</xdr:colOff>
      <xdr:row>51</xdr:row>
      <xdr:rowOff>126603</xdr:rowOff>
    </xdr:to>
    <xdr:grpSp>
      <xdr:nvGrpSpPr>
        <xdr:cNvPr id="217" name="グループ化 216">
          <a:extLst>
            <a:ext uri="{FF2B5EF4-FFF2-40B4-BE49-F238E27FC236}">
              <a16:creationId xmlns:a16="http://schemas.microsoft.com/office/drawing/2014/main" id="{D6AD7D9C-88D8-4FE7-AFCC-F449E1EDC64F}"/>
            </a:ext>
          </a:extLst>
        </xdr:cNvPr>
        <xdr:cNvGrpSpPr/>
      </xdr:nvGrpSpPr>
      <xdr:grpSpPr>
        <a:xfrm>
          <a:off x="4543425" y="8372475"/>
          <a:ext cx="923925" cy="526653"/>
          <a:chOff x="4305300" y="5661025"/>
          <a:chExt cx="1003300" cy="526653"/>
        </a:xfrm>
      </xdr:grpSpPr>
      <xdr:sp macro="" textlink="">
        <xdr:nvSpPr>
          <xdr:cNvPr id="218" name="AutoShape 49">
            <a:extLst>
              <a:ext uri="{FF2B5EF4-FFF2-40B4-BE49-F238E27FC236}">
                <a16:creationId xmlns:a16="http://schemas.microsoft.com/office/drawing/2014/main" id="{13D9DB48-5915-25CD-29A3-ECD08ED7D702}"/>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19" name="正方形/長方形 48">
            <a:extLst>
              <a:ext uri="{FF2B5EF4-FFF2-40B4-BE49-F238E27FC236}">
                <a16:creationId xmlns:a16="http://schemas.microsoft.com/office/drawing/2014/main" id="{A5B7239C-7568-23DB-559E-7EEC1B3968CE}"/>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入出金データ</a:t>
            </a:r>
          </a:p>
        </xdr:txBody>
      </xdr:sp>
    </xdr:grpSp>
    <xdr:clientData/>
  </xdr:twoCellAnchor>
  <xdr:twoCellAnchor>
    <xdr:from>
      <xdr:col>15</xdr:col>
      <xdr:colOff>164160</xdr:colOff>
      <xdr:row>56</xdr:row>
      <xdr:rowOff>0</xdr:rowOff>
    </xdr:from>
    <xdr:to>
      <xdr:col>20</xdr:col>
      <xdr:colOff>173310</xdr:colOff>
      <xdr:row>59</xdr:row>
      <xdr:rowOff>152300</xdr:rowOff>
    </xdr:to>
    <xdr:grpSp>
      <xdr:nvGrpSpPr>
        <xdr:cNvPr id="220" name="グループ化 219">
          <a:extLst>
            <a:ext uri="{FF2B5EF4-FFF2-40B4-BE49-F238E27FC236}">
              <a16:creationId xmlns:a16="http://schemas.microsoft.com/office/drawing/2014/main" id="{29EE4699-2FF6-463C-A270-AFC7F873A73B}"/>
            </a:ext>
          </a:extLst>
        </xdr:cNvPr>
        <xdr:cNvGrpSpPr/>
      </xdr:nvGrpSpPr>
      <xdr:grpSpPr>
        <a:xfrm>
          <a:off x="2878785" y="9629775"/>
          <a:ext cx="914025" cy="666650"/>
          <a:chOff x="7111999" y="2892425"/>
          <a:chExt cx="873125" cy="584982"/>
        </a:xfrm>
      </xdr:grpSpPr>
      <xdr:sp macro="" textlink="">
        <xdr:nvSpPr>
          <xdr:cNvPr id="221" name="フローチャート: 磁気ディスク 220">
            <a:extLst>
              <a:ext uri="{FF2B5EF4-FFF2-40B4-BE49-F238E27FC236}">
                <a16:creationId xmlns:a16="http://schemas.microsoft.com/office/drawing/2014/main" id="{F6CCC6FF-51C3-AC63-9EE5-217C8A56658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22" name="正方形/長方形 221">
            <a:extLst>
              <a:ext uri="{FF2B5EF4-FFF2-40B4-BE49-F238E27FC236}">
                <a16:creationId xmlns:a16="http://schemas.microsoft.com/office/drawing/2014/main" id="{209458E1-92D7-8349-4929-0BA28A01FC0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引落データ取込</a:t>
            </a:r>
          </a:p>
        </xdr:txBody>
      </xdr:sp>
    </xdr:grpSp>
    <xdr:clientData/>
  </xdr:twoCellAnchor>
  <xdr:twoCellAnchor>
    <xdr:from>
      <xdr:col>17</xdr:col>
      <xdr:colOff>183210</xdr:colOff>
      <xdr:row>58</xdr:row>
      <xdr:rowOff>57150</xdr:rowOff>
    </xdr:from>
    <xdr:to>
      <xdr:col>22</xdr:col>
      <xdr:colOff>183210</xdr:colOff>
      <xdr:row>61</xdr:row>
      <xdr:rowOff>69453</xdr:rowOff>
    </xdr:to>
    <xdr:grpSp>
      <xdr:nvGrpSpPr>
        <xdr:cNvPr id="223" name="グループ化 222">
          <a:extLst>
            <a:ext uri="{FF2B5EF4-FFF2-40B4-BE49-F238E27FC236}">
              <a16:creationId xmlns:a16="http://schemas.microsoft.com/office/drawing/2014/main" id="{1F57FB8D-7711-4E0B-98A4-5CFF5848CFE1}"/>
            </a:ext>
          </a:extLst>
        </xdr:cNvPr>
        <xdr:cNvGrpSpPr/>
      </xdr:nvGrpSpPr>
      <xdr:grpSpPr>
        <a:xfrm>
          <a:off x="3259785" y="10029825"/>
          <a:ext cx="904875" cy="526653"/>
          <a:chOff x="4305300" y="5661025"/>
          <a:chExt cx="1003300" cy="526653"/>
        </a:xfrm>
      </xdr:grpSpPr>
      <xdr:sp macro="" textlink="">
        <xdr:nvSpPr>
          <xdr:cNvPr id="224" name="AutoShape 49">
            <a:extLst>
              <a:ext uri="{FF2B5EF4-FFF2-40B4-BE49-F238E27FC236}">
                <a16:creationId xmlns:a16="http://schemas.microsoft.com/office/drawing/2014/main" id="{0EA39F95-9498-2749-9023-AE35037255C2}"/>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25" name="正方形/長方形 48">
            <a:extLst>
              <a:ext uri="{FF2B5EF4-FFF2-40B4-BE49-F238E27FC236}">
                <a16:creationId xmlns:a16="http://schemas.microsoft.com/office/drawing/2014/main" id="{4A748181-621C-99EB-82BF-C18FB8FF9F2E}"/>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入出金データ</a:t>
            </a:r>
          </a:p>
        </xdr:txBody>
      </xdr:sp>
    </xdr:grpSp>
    <xdr:clientData/>
  </xdr:twoCellAnchor>
  <xdr:twoCellAnchor>
    <xdr:from>
      <xdr:col>25</xdr:col>
      <xdr:colOff>65712</xdr:colOff>
      <xdr:row>41</xdr:row>
      <xdr:rowOff>126098</xdr:rowOff>
    </xdr:from>
    <xdr:to>
      <xdr:col>25</xdr:col>
      <xdr:colOff>74423</xdr:colOff>
      <xdr:row>46</xdr:row>
      <xdr:rowOff>66675</xdr:rowOff>
    </xdr:to>
    <xdr:cxnSp macro="">
      <xdr:nvCxnSpPr>
        <xdr:cNvPr id="227" name="直線矢印コネクタ 226">
          <a:extLst>
            <a:ext uri="{FF2B5EF4-FFF2-40B4-BE49-F238E27FC236}">
              <a16:creationId xmlns:a16="http://schemas.microsoft.com/office/drawing/2014/main" id="{3F66EF08-EE97-43B9-AF91-56C71A8E0685}"/>
            </a:ext>
          </a:extLst>
        </xdr:cNvPr>
        <xdr:cNvCxnSpPr>
          <a:cxnSpLocks/>
        </xdr:cNvCxnSpPr>
      </xdr:nvCxnSpPr>
      <xdr:spPr>
        <a:xfrm>
          <a:off x="5099697" y="12183451"/>
          <a:ext cx="5536" cy="81258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60736</xdr:colOff>
      <xdr:row>49</xdr:row>
      <xdr:rowOff>156260</xdr:rowOff>
    </xdr:from>
    <xdr:to>
      <xdr:col>25</xdr:col>
      <xdr:colOff>74423</xdr:colOff>
      <xdr:row>56</xdr:row>
      <xdr:rowOff>0</xdr:rowOff>
    </xdr:to>
    <xdr:cxnSp macro="">
      <xdr:nvCxnSpPr>
        <xdr:cNvPr id="229" name="コネクタ: カギ線 228">
          <a:extLst>
            <a:ext uri="{FF2B5EF4-FFF2-40B4-BE49-F238E27FC236}">
              <a16:creationId xmlns:a16="http://schemas.microsoft.com/office/drawing/2014/main" id="{5B2F8808-53BF-448B-9F7E-7AFF37EDB4E3}"/>
            </a:ext>
          </a:extLst>
        </xdr:cNvPr>
        <xdr:cNvCxnSpPr>
          <a:stCxn id="215" idx="3"/>
          <a:endCxn id="221" idx="1"/>
        </xdr:cNvCxnSpPr>
      </xdr:nvCxnSpPr>
      <xdr:spPr>
        <a:xfrm rot="5400000">
          <a:off x="3864976" y="13436292"/>
          <a:ext cx="1061375" cy="1419139"/>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60736</xdr:colOff>
      <xdr:row>59</xdr:row>
      <xdr:rowOff>96402</xdr:rowOff>
    </xdr:from>
    <xdr:to>
      <xdr:col>18</xdr:col>
      <xdr:colOff>78130</xdr:colOff>
      <xdr:row>64</xdr:row>
      <xdr:rowOff>46503</xdr:rowOff>
    </xdr:to>
    <xdr:cxnSp macro="">
      <xdr:nvCxnSpPr>
        <xdr:cNvPr id="230" name="直線矢印コネクタ 229">
          <a:extLst>
            <a:ext uri="{FF2B5EF4-FFF2-40B4-BE49-F238E27FC236}">
              <a16:creationId xmlns:a16="http://schemas.microsoft.com/office/drawing/2014/main" id="{4CF456DA-E903-40B6-8310-92C65774B28B}"/>
            </a:ext>
          </a:extLst>
        </xdr:cNvPr>
        <xdr:cNvCxnSpPr>
          <a:cxnSpLocks/>
          <a:stCxn id="221" idx="3"/>
          <a:endCxn id="138" idx="1"/>
        </xdr:cNvCxnSpPr>
      </xdr:nvCxnSpPr>
      <xdr:spPr>
        <a:xfrm>
          <a:off x="3686094" y="15296156"/>
          <a:ext cx="14219" cy="8252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101794</xdr:colOff>
      <xdr:row>37</xdr:row>
      <xdr:rowOff>56126</xdr:rowOff>
    </xdr:from>
    <xdr:to>
      <xdr:col>4</xdr:col>
      <xdr:colOff>116985</xdr:colOff>
      <xdr:row>70</xdr:row>
      <xdr:rowOff>144588</xdr:rowOff>
    </xdr:to>
    <xdr:cxnSp macro="">
      <xdr:nvCxnSpPr>
        <xdr:cNvPr id="231" name="直線矢印コネクタ 27">
          <a:extLst>
            <a:ext uri="{FF2B5EF4-FFF2-40B4-BE49-F238E27FC236}">
              <a16:creationId xmlns:a16="http://schemas.microsoft.com/office/drawing/2014/main" id="{82AE6EC5-3017-4F38-B3E7-48DF3A87FE48}"/>
            </a:ext>
          </a:extLst>
        </xdr:cNvPr>
        <xdr:cNvCxnSpPr>
          <a:cxnSpLocks/>
          <a:stCxn id="212" idx="2"/>
          <a:endCxn id="11" idx="0"/>
        </xdr:cNvCxnSpPr>
      </xdr:nvCxnSpPr>
      <xdr:spPr>
        <a:xfrm flipH="1">
          <a:off x="876184" y="6398382"/>
          <a:ext cx="15191" cy="57105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112571</xdr:colOff>
      <xdr:row>19</xdr:row>
      <xdr:rowOff>99022</xdr:rowOff>
    </xdr:from>
    <xdr:to>
      <xdr:col>9</xdr:col>
      <xdr:colOff>128446</xdr:colOff>
      <xdr:row>22</xdr:row>
      <xdr:rowOff>117675</xdr:rowOff>
    </xdr:to>
    <xdr:grpSp>
      <xdr:nvGrpSpPr>
        <xdr:cNvPr id="2" name="グループ化 1">
          <a:extLst>
            <a:ext uri="{FF2B5EF4-FFF2-40B4-BE49-F238E27FC236}">
              <a16:creationId xmlns:a16="http://schemas.microsoft.com/office/drawing/2014/main" id="{BD0662B3-2038-4E52-6290-0B693C56CD7A}"/>
            </a:ext>
          </a:extLst>
        </xdr:cNvPr>
        <xdr:cNvGrpSpPr/>
      </xdr:nvGrpSpPr>
      <xdr:grpSpPr>
        <a:xfrm>
          <a:off x="836471" y="3385147"/>
          <a:ext cx="920750" cy="533003"/>
          <a:chOff x="4305300" y="5661025"/>
          <a:chExt cx="1003300" cy="526653"/>
        </a:xfrm>
      </xdr:grpSpPr>
      <xdr:sp macro="" textlink="">
        <xdr:nvSpPr>
          <xdr:cNvPr id="3" name="AutoShape 49">
            <a:extLst>
              <a:ext uri="{FF2B5EF4-FFF2-40B4-BE49-F238E27FC236}">
                <a16:creationId xmlns:a16="http://schemas.microsoft.com/office/drawing/2014/main" id="{7AC4AAE5-DFDB-7F8A-2DDF-EA1718EBC0CD}"/>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4" name="正方形/長方形 48">
            <a:extLst>
              <a:ext uri="{FF2B5EF4-FFF2-40B4-BE49-F238E27FC236}">
                <a16:creationId xmlns:a16="http://schemas.microsoft.com/office/drawing/2014/main" id="{95A2CD06-F6BF-92C4-CF30-C79767D042E0}"/>
              </a:ext>
            </a:extLst>
          </xdr:cNvPr>
          <xdr:cNvSpPr/>
        </xdr:nvSpPr>
        <xdr:spPr>
          <a:xfrm>
            <a:off x="4305300" y="5661025"/>
            <a:ext cx="1003300" cy="5266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Excel</a:t>
            </a:r>
            <a:r>
              <a:rPr kumimoji="1" lang="ja-JP" altLang="en-US" sz="900"/>
              <a:t>台帳</a:t>
            </a:r>
          </a:p>
        </xdr:txBody>
      </xdr:sp>
    </xdr:grpSp>
    <xdr:clientData/>
  </xdr:twoCellAnchor>
  <xdr:twoCellAnchor>
    <xdr:from>
      <xdr:col>1</xdr:col>
      <xdr:colOff>133146</xdr:colOff>
      <xdr:row>70</xdr:row>
      <xdr:rowOff>118402</xdr:rowOff>
    </xdr:from>
    <xdr:to>
      <xdr:col>7</xdr:col>
      <xdr:colOff>39120</xdr:colOff>
      <xdr:row>73</xdr:row>
      <xdr:rowOff>122460</xdr:rowOff>
    </xdr:to>
    <xdr:grpSp>
      <xdr:nvGrpSpPr>
        <xdr:cNvPr id="5" name="グループ化 4">
          <a:extLst>
            <a:ext uri="{FF2B5EF4-FFF2-40B4-BE49-F238E27FC236}">
              <a16:creationId xmlns:a16="http://schemas.microsoft.com/office/drawing/2014/main" id="{5E861F57-A120-B026-6991-A893E1C05A1D}"/>
            </a:ext>
          </a:extLst>
        </xdr:cNvPr>
        <xdr:cNvGrpSpPr/>
      </xdr:nvGrpSpPr>
      <xdr:grpSpPr>
        <a:xfrm>
          <a:off x="314121" y="12148477"/>
          <a:ext cx="991824" cy="518408"/>
          <a:chOff x="1612122" y="2437107"/>
          <a:chExt cx="933032" cy="400203"/>
        </a:xfrm>
      </xdr:grpSpPr>
      <xdr:sp macro="" textlink="">
        <xdr:nvSpPr>
          <xdr:cNvPr id="11" name="フローチャート: 定義済み処理 10">
            <a:extLst>
              <a:ext uri="{FF2B5EF4-FFF2-40B4-BE49-F238E27FC236}">
                <a16:creationId xmlns:a16="http://schemas.microsoft.com/office/drawing/2014/main" id="{C27D509E-9776-7EFE-ECA1-A47F40A8FBCF}"/>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 name="正方形/長方形 11">
            <a:extLst>
              <a:ext uri="{FF2B5EF4-FFF2-40B4-BE49-F238E27FC236}">
                <a16:creationId xmlns:a16="http://schemas.microsoft.com/office/drawing/2014/main" id="{DD87FC75-5C0F-EAA5-B020-30A6134A31B8}"/>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１．結果確認</a:t>
            </a:r>
            <a:endParaRPr kumimoji="1" lang="en-US" altLang="ja-JP" sz="900"/>
          </a:p>
        </xdr:txBody>
      </xdr:sp>
    </xdr:grpSp>
    <xdr:clientData/>
  </xdr:twoCellAnchor>
  <xdr:twoCellAnchor>
    <xdr:from>
      <xdr:col>15</xdr:col>
      <xdr:colOff>82865</xdr:colOff>
      <xdr:row>70</xdr:row>
      <xdr:rowOff>119375</xdr:rowOff>
    </xdr:from>
    <xdr:to>
      <xdr:col>21</xdr:col>
      <xdr:colOff>77889</xdr:colOff>
      <xdr:row>74</xdr:row>
      <xdr:rowOff>42452</xdr:rowOff>
    </xdr:to>
    <xdr:grpSp>
      <xdr:nvGrpSpPr>
        <xdr:cNvPr id="13" name="グループ化 11">
          <a:extLst>
            <a:ext uri="{FF2B5EF4-FFF2-40B4-BE49-F238E27FC236}">
              <a16:creationId xmlns:a16="http://schemas.microsoft.com/office/drawing/2014/main" id="{6F4B6EFB-6B06-26AA-F406-0E9A701116F5}"/>
            </a:ext>
          </a:extLst>
        </xdr:cNvPr>
        <xdr:cNvGrpSpPr/>
      </xdr:nvGrpSpPr>
      <xdr:grpSpPr>
        <a:xfrm>
          <a:off x="2797490" y="12149450"/>
          <a:ext cx="1080874" cy="608877"/>
          <a:chOff x="6963496" y="2892429"/>
          <a:chExt cx="1158702" cy="601220"/>
        </a:xfrm>
      </xdr:grpSpPr>
      <xdr:sp macro="" textlink="">
        <xdr:nvSpPr>
          <xdr:cNvPr id="14" name="フローチャート: 磁気ディスク 12">
            <a:extLst>
              <a:ext uri="{FF2B5EF4-FFF2-40B4-BE49-F238E27FC236}">
                <a16:creationId xmlns:a16="http://schemas.microsoft.com/office/drawing/2014/main" id="{6D6BD366-7657-85DA-DC38-063FACDE8C86}"/>
              </a:ext>
            </a:extLst>
          </xdr:cNvPr>
          <xdr:cNvSpPr/>
        </xdr:nvSpPr>
        <xdr:spPr>
          <a:xfrm>
            <a:off x="7204075" y="2892429"/>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 name="正方形/長方形 13">
            <a:extLst>
              <a:ext uri="{FF2B5EF4-FFF2-40B4-BE49-F238E27FC236}">
                <a16:creationId xmlns:a16="http://schemas.microsoft.com/office/drawing/2014/main" id="{B0E21660-BDFD-0B7E-54F1-2F8CF7394B07}"/>
              </a:ext>
            </a:extLst>
          </xdr:cNvPr>
          <xdr:cNvSpPr/>
        </xdr:nvSpPr>
        <xdr:spPr>
          <a:xfrm>
            <a:off x="6963496" y="2988042"/>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引落結果出力</a:t>
            </a:r>
            <a:endParaRPr kumimoji="1" lang="en-US" altLang="ja-JP" sz="900">
              <a:solidFill>
                <a:srgbClr val="FF0000"/>
              </a:solidFill>
            </a:endParaRPr>
          </a:p>
        </xdr:txBody>
      </xdr:sp>
    </xdr:grpSp>
    <xdr:clientData/>
  </xdr:twoCellAnchor>
  <xdr:twoCellAnchor>
    <xdr:from>
      <xdr:col>18</xdr:col>
      <xdr:colOff>79744</xdr:colOff>
      <xdr:row>67</xdr:row>
      <xdr:rowOff>78119</xdr:rowOff>
    </xdr:from>
    <xdr:to>
      <xdr:col>18</xdr:col>
      <xdr:colOff>79744</xdr:colOff>
      <xdr:row>70</xdr:row>
      <xdr:rowOff>119375</xdr:rowOff>
    </xdr:to>
    <xdr:cxnSp macro="">
      <xdr:nvCxnSpPr>
        <xdr:cNvPr id="31" name="直線矢印コネクタ 30">
          <a:extLst>
            <a:ext uri="{FF2B5EF4-FFF2-40B4-BE49-F238E27FC236}">
              <a16:creationId xmlns:a16="http://schemas.microsoft.com/office/drawing/2014/main" id="{2D8AD84B-87B1-4E46-863D-460A2CCCA838}"/>
            </a:ext>
          </a:extLst>
        </xdr:cNvPr>
        <xdr:cNvCxnSpPr>
          <a:cxnSpLocks/>
          <a:stCxn id="138" idx="3"/>
          <a:endCxn id="14" idx="1"/>
        </xdr:cNvCxnSpPr>
      </xdr:nvCxnSpPr>
      <xdr:spPr>
        <a:xfrm>
          <a:off x="3564500" y="11531351"/>
          <a:ext cx="0" cy="55235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102569</xdr:colOff>
      <xdr:row>73</xdr:row>
      <xdr:rowOff>119072</xdr:rowOff>
    </xdr:from>
    <xdr:to>
      <xdr:col>4</xdr:col>
      <xdr:colOff>108000</xdr:colOff>
      <xdr:row>78</xdr:row>
      <xdr:rowOff>149308</xdr:rowOff>
    </xdr:to>
    <xdr:cxnSp macro="">
      <xdr:nvCxnSpPr>
        <xdr:cNvPr id="40" name="直線矢印コネクタ 27">
          <a:extLst>
            <a:ext uri="{FF2B5EF4-FFF2-40B4-BE49-F238E27FC236}">
              <a16:creationId xmlns:a16="http://schemas.microsoft.com/office/drawing/2014/main" id="{963AD618-4BC5-4D20-A198-EDCFAB35899E}"/>
            </a:ext>
          </a:extLst>
        </xdr:cNvPr>
        <xdr:cNvCxnSpPr>
          <a:cxnSpLocks/>
          <a:stCxn id="11" idx="2"/>
          <a:endCxn id="76" idx="0"/>
        </xdr:cNvCxnSpPr>
      </xdr:nvCxnSpPr>
      <xdr:spPr>
        <a:xfrm>
          <a:off x="912194" y="12346791"/>
          <a:ext cx="5431" cy="219717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133146</xdr:colOff>
      <xdr:row>89</xdr:row>
      <xdr:rowOff>112845</xdr:rowOff>
    </xdr:from>
    <xdr:to>
      <xdr:col>7</xdr:col>
      <xdr:colOff>39120</xdr:colOff>
      <xdr:row>92</xdr:row>
      <xdr:rowOff>113729</xdr:rowOff>
    </xdr:to>
    <xdr:grpSp>
      <xdr:nvGrpSpPr>
        <xdr:cNvPr id="45" name="グループ化 44">
          <a:extLst>
            <a:ext uri="{FF2B5EF4-FFF2-40B4-BE49-F238E27FC236}">
              <a16:creationId xmlns:a16="http://schemas.microsoft.com/office/drawing/2014/main" id="{946633EB-3B75-C754-9960-13A54BC6CE6B}"/>
            </a:ext>
          </a:extLst>
        </xdr:cNvPr>
        <xdr:cNvGrpSpPr/>
      </xdr:nvGrpSpPr>
      <xdr:grpSpPr>
        <a:xfrm>
          <a:off x="314121" y="15400470"/>
          <a:ext cx="991824" cy="515234"/>
          <a:chOff x="1612122" y="2437107"/>
          <a:chExt cx="933032" cy="400203"/>
        </a:xfrm>
      </xdr:grpSpPr>
      <xdr:sp macro="" textlink="">
        <xdr:nvSpPr>
          <xdr:cNvPr id="46" name="フローチャート: 定義済み処理 45">
            <a:extLst>
              <a:ext uri="{FF2B5EF4-FFF2-40B4-BE49-F238E27FC236}">
                <a16:creationId xmlns:a16="http://schemas.microsoft.com/office/drawing/2014/main" id="{98F0A2DB-15D8-D0F7-7FD7-4B309A585822}"/>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7" name="正方形/長方形 46">
            <a:extLst>
              <a:ext uri="{FF2B5EF4-FFF2-40B4-BE49-F238E27FC236}">
                <a16:creationId xmlns:a16="http://schemas.microsoft.com/office/drawing/2014/main" id="{91ECC017-1EBE-D184-F3C1-ED6886B18E50}"/>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２．口座引落</a:t>
            </a:r>
            <a:endParaRPr kumimoji="1" lang="en-US" altLang="ja-JP" sz="900"/>
          </a:p>
          <a:p>
            <a:pPr algn="ctr"/>
            <a:r>
              <a:rPr kumimoji="1" lang="ja-JP" altLang="en-US" sz="900"/>
              <a:t>契約台帳修正</a:t>
            </a:r>
            <a:endParaRPr kumimoji="1" lang="en-US" altLang="ja-JP" sz="900"/>
          </a:p>
        </xdr:txBody>
      </xdr:sp>
    </xdr:grpSp>
    <xdr:clientData/>
  </xdr:twoCellAnchor>
  <xdr:twoCellAnchor>
    <xdr:from>
      <xdr:col>15</xdr:col>
      <xdr:colOff>84762</xdr:colOff>
      <xdr:row>89</xdr:row>
      <xdr:rowOff>128104</xdr:rowOff>
    </xdr:from>
    <xdr:to>
      <xdr:col>21</xdr:col>
      <xdr:colOff>77888</xdr:colOff>
      <xdr:row>93</xdr:row>
      <xdr:rowOff>38480</xdr:rowOff>
    </xdr:to>
    <xdr:grpSp>
      <xdr:nvGrpSpPr>
        <xdr:cNvPr id="49" name="グループ化 11">
          <a:extLst>
            <a:ext uri="{FF2B5EF4-FFF2-40B4-BE49-F238E27FC236}">
              <a16:creationId xmlns:a16="http://schemas.microsoft.com/office/drawing/2014/main" id="{2AC4B660-351D-1855-5C6C-3959E41C27D9}"/>
            </a:ext>
          </a:extLst>
        </xdr:cNvPr>
        <xdr:cNvGrpSpPr/>
      </xdr:nvGrpSpPr>
      <xdr:grpSpPr>
        <a:xfrm>
          <a:off x="2799387" y="15415729"/>
          <a:ext cx="1078976" cy="596176"/>
          <a:chOff x="6965326" y="2892429"/>
          <a:chExt cx="1158702" cy="601569"/>
        </a:xfrm>
      </xdr:grpSpPr>
      <xdr:sp macro="" textlink="">
        <xdr:nvSpPr>
          <xdr:cNvPr id="50" name="フローチャート: 磁気ディスク 12">
            <a:extLst>
              <a:ext uri="{FF2B5EF4-FFF2-40B4-BE49-F238E27FC236}">
                <a16:creationId xmlns:a16="http://schemas.microsoft.com/office/drawing/2014/main" id="{45781162-C82E-8C52-C23A-285076942F01}"/>
              </a:ext>
            </a:extLst>
          </xdr:cNvPr>
          <xdr:cNvSpPr/>
        </xdr:nvSpPr>
        <xdr:spPr>
          <a:xfrm>
            <a:off x="7204075" y="2892429"/>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1" name="正方形/長方形 13">
            <a:extLst>
              <a:ext uri="{FF2B5EF4-FFF2-40B4-BE49-F238E27FC236}">
                <a16:creationId xmlns:a16="http://schemas.microsoft.com/office/drawing/2014/main" id="{C00601F4-A2B3-4657-DB81-A9E03F023F2F}"/>
              </a:ext>
            </a:extLst>
          </xdr:cNvPr>
          <xdr:cNvSpPr/>
        </xdr:nvSpPr>
        <xdr:spPr>
          <a:xfrm>
            <a:off x="6965326" y="2988391"/>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口座引落</a:t>
            </a:r>
            <a:endParaRPr kumimoji="1" lang="en-US" altLang="ja-JP" sz="900">
              <a:solidFill>
                <a:srgbClr val="FF0000"/>
              </a:solidFill>
            </a:endParaRPr>
          </a:p>
          <a:p>
            <a:pPr algn="ctr"/>
            <a:r>
              <a:rPr kumimoji="1" lang="ja-JP" altLang="en-US" sz="900">
                <a:solidFill>
                  <a:srgbClr val="FF0000"/>
                </a:solidFill>
              </a:rPr>
              <a:t>契約台帳</a:t>
            </a:r>
            <a:endParaRPr kumimoji="1" lang="en-US" altLang="ja-JP" sz="900">
              <a:solidFill>
                <a:srgbClr val="FF0000"/>
              </a:solidFill>
            </a:endParaRPr>
          </a:p>
        </xdr:txBody>
      </xdr:sp>
    </xdr:grpSp>
    <xdr:clientData/>
  </xdr:twoCellAnchor>
  <xdr:twoCellAnchor>
    <xdr:from>
      <xdr:col>6</xdr:col>
      <xdr:colOff>189585</xdr:colOff>
      <xdr:row>91</xdr:row>
      <xdr:rowOff>39415</xdr:rowOff>
    </xdr:from>
    <xdr:to>
      <xdr:col>16</xdr:col>
      <xdr:colOff>133694</xdr:colOff>
      <xdr:row>91</xdr:row>
      <xdr:rowOff>50357</xdr:rowOff>
    </xdr:to>
    <xdr:cxnSp macro="">
      <xdr:nvCxnSpPr>
        <xdr:cNvPr id="55" name="直線矢印コネクタ 54">
          <a:extLst>
            <a:ext uri="{FF2B5EF4-FFF2-40B4-BE49-F238E27FC236}">
              <a16:creationId xmlns:a16="http://schemas.microsoft.com/office/drawing/2014/main" id="{A426798F-A9DA-41F1-9297-83275ACB2CE7}"/>
            </a:ext>
          </a:extLst>
        </xdr:cNvPr>
        <xdr:cNvCxnSpPr>
          <a:cxnSpLocks/>
          <a:stCxn id="46" idx="3"/>
          <a:endCxn id="50" idx="2"/>
        </xdr:cNvCxnSpPr>
      </xdr:nvCxnSpPr>
      <xdr:spPr>
        <a:xfrm>
          <a:off x="1404023" y="15267509"/>
          <a:ext cx="1968171" cy="1094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xdr:colOff>
      <xdr:row>78</xdr:row>
      <xdr:rowOff>136230</xdr:rowOff>
    </xdr:from>
    <xdr:to>
      <xdr:col>7</xdr:col>
      <xdr:colOff>10318</xdr:colOff>
      <xdr:row>81</xdr:row>
      <xdr:rowOff>137319</xdr:rowOff>
    </xdr:to>
    <xdr:grpSp>
      <xdr:nvGrpSpPr>
        <xdr:cNvPr id="72" name="グループ化 71">
          <a:extLst>
            <a:ext uri="{FF2B5EF4-FFF2-40B4-BE49-F238E27FC236}">
              <a16:creationId xmlns:a16="http://schemas.microsoft.com/office/drawing/2014/main" id="{275360FD-9426-4888-89CB-811BC5DFBBC4}"/>
            </a:ext>
          </a:extLst>
        </xdr:cNvPr>
        <xdr:cNvGrpSpPr/>
      </xdr:nvGrpSpPr>
      <xdr:grpSpPr>
        <a:xfrm>
          <a:off x="361949" y="13537905"/>
          <a:ext cx="915194" cy="515439"/>
          <a:chOff x="285750" y="4831946"/>
          <a:chExt cx="1003300" cy="505316"/>
        </a:xfrm>
      </xdr:grpSpPr>
      <xdr:sp macro="" textlink="">
        <xdr:nvSpPr>
          <xdr:cNvPr id="76" name="フローチャート: 判断 75">
            <a:extLst>
              <a:ext uri="{FF2B5EF4-FFF2-40B4-BE49-F238E27FC236}">
                <a16:creationId xmlns:a16="http://schemas.microsoft.com/office/drawing/2014/main" id="{E1D1E836-1A27-6E9D-C3C4-0867B236F3F4}"/>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77" name="正方形/長方形 48">
            <a:extLst>
              <a:ext uri="{FF2B5EF4-FFF2-40B4-BE49-F238E27FC236}">
                <a16:creationId xmlns:a16="http://schemas.microsoft.com/office/drawing/2014/main" id="{2A08081D-EEF8-321C-C0B3-CA12BD362EA5}"/>
              </a:ext>
            </a:extLst>
          </xdr:cNvPr>
          <xdr:cNvSpPr/>
        </xdr:nvSpPr>
        <xdr:spPr>
          <a:xfrm>
            <a:off x="285750" y="4831946"/>
            <a:ext cx="1003300" cy="5053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マッチング</a:t>
            </a:r>
            <a:endParaRPr kumimoji="1" lang="en-US" altLang="ja-JP" sz="900"/>
          </a:p>
          <a:p>
            <a:pPr algn="ctr"/>
            <a:r>
              <a:rPr kumimoji="1" lang="ja-JP" altLang="en-US" sz="900"/>
              <a:t>不備あり</a:t>
            </a:r>
          </a:p>
        </xdr:txBody>
      </xdr:sp>
    </xdr:grpSp>
    <xdr:clientData/>
  </xdr:twoCellAnchor>
  <xdr:twoCellAnchor>
    <xdr:from>
      <xdr:col>6</xdr:col>
      <xdr:colOff>132143</xdr:colOff>
      <xdr:row>80</xdr:row>
      <xdr:rowOff>59930</xdr:rowOff>
    </xdr:from>
    <xdr:to>
      <xdr:col>11</xdr:col>
      <xdr:colOff>104247</xdr:colOff>
      <xdr:row>84</xdr:row>
      <xdr:rowOff>26987</xdr:rowOff>
    </xdr:to>
    <xdr:cxnSp macro="">
      <xdr:nvCxnSpPr>
        <xdr:cNvPr id="78" name="コネクタ: カギ線 77">
          <a:extLst>
            <a:ext uri="{FF2B5EF4-FFF2-40B4-BE49-F238E27FC236}">
              <a16:creationId xmlns:a16="http://schemas.microsoft.com/office/drawing/2014/main" id="{FD4D66A7-D023-4EDF-904B-89B20498FA03}"/>
            </a:ext>
          </a:extLst>
        </xdr:cNvPr>
        <xdr:cNvCxnSpPr>
          <a:cxnSpLocks/>
          <a:stCxn id="76" idx="3"/>
          <a:endCxn id="120" idx="0"/>
        </xdr:cNvCxnSpPr>
      </xdr:nvCxnSpPr>
      <xdr:spPr>
        <a:xfrm>
          <a:off x="1346581" y="14787961"/>
          <a:ext cx="984135" cy="633807"/>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142876</xdr:colOff>
      <xdr:row>84</xdr:row>
      <xdr:rowOff>23812</xdr:rowOff>
    </xdr:from>
    <xdr:to>
      <xdr:col>13</xdr:col>
      <xdr:colOff>65618</xdr:colOff>
      <xdr:row>85</xdr:row>
      <xdr:rowOff>94192</xdr:rowOff>
    </xdr:to>
    <xdr:sp macro="" textlink="">
      <xdr:nvSpPr>
        <xdr:cNvPr id="120" name="フローチャート: 端子 119">
          <a:extLst>
            <a:ext uri="{FF2B5EF4-FFF2-40B4-BE49-F238E27FC236}">
              <a16:creationId xmlns:a16="http://schemas.microsoft.com/office/drawing/2014/main" id="{F2EAD6A2-E87B-B3CB-1E42-5583FC3C9A62}"/>
            </a:ext>
          </a:extLst>
        </xdr:cNvPr>
        <xdr:cNvSpPr/>
      </xdr:nvSpPr>
      <xdr:spPr>
        <a:xfrm>
          <a:off x="1964532" y="15418593"/>
          <a:ext cx="732367" cy="23706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7</xdr:col>
      <xdr:colOff>178593</xdr:colOff>
      <xdr:row>78</xdr:row>
      <xdr:rowOff>122238</xdr:rowOff>
    </xdr:from>
    <xdr:to>
      <xdr:col>10</xdr:col>
      <xdr:colOff>119061</xdr:colOff>
      <xdr:row>80</xdr:row>
      <xdr:rowOff>0</xdr:rowOff>
    </xdr:to>
    <xdr:sp macro="" textlink="">
      <xdr:nvSpPr>
        <xdr:cNvPr id="140" name="テキスト ボックス 139">
          <a:extLst>
            <a:ext uri="{FF2B5EF4-FFF2-40B4-BE49-F238E27FC236}">
              <a16:creationId xmlns:a16="http://schemas.microsoft.com/office/drawing/2014/main" id="{01541490-533E-1B07-1CA7-DEB6BB01A78F}"/>
            </a:ext>
          </a:extLst>
        </xdr:cNvPr>
        <xdr:cNvSpPr txBox="1"/>
      </xdr:nvSpPr>
      <xdr:spPr>
        <a:xfrm>
          <a:off x="1595437" y="14516894"/>
          <a:ext cx="547687" cy="211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4</xdr:col>
      <xdr:colOff>102569</xdr:colOff>
      <xdr:row>81</xdr:row>
      <xdr:rowOff>137238</xdr:rowOff>
    </xdr:from>
    <xdr:to>
      <xdr:col>4</xdr:col>
      <xdr:colOff>108000</xdr:colOff>
      <xdr:row>89</xdr:row>
      <xdr:rowOff>138309</xdr:rowOff>
    </xdr:to>
    <xdr:cxnSp macro="">
      <xdr:nvCxnSpPr>
        <xdr:cNvPr id="145" name="直線矢印コネクタ 27">
          <a:extLst>
            <a:ext uri="{FF2B5EF4-FFF2-40B4-BE49-F238E27FC236}">
              <a16:creationId xmlns:a16="http://schemas.microsoft.com/office/drawing/2014/main" id="{D6F30B1B-AA49-4443-A473-E72AE3925CAE}"/>
            </a:ext>
          </a:extLst>
        </xdr:cNvPr>
        <xdr:cNvCxnSpPr>
          <a:cxnSpLocks/>
          <a:stCxn id="76" idx="2"/>
          <a:endCxn id="46" idx="0"/>
        </xdr:cNvCxnSpPr>
      </xdr:nvCxnSpPr>
      <xdr:spPr>
        <a:xfrm flipH="1">
          <a:off x="912194" y="13698457"/>
          <a:ext cx="5431" cy="133457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52185</xdr:colOff>
      <xdr:row>96</xdr:row>
      <xdr:rowOff>36393</xdr:rowOff>
    </xdr:from>
    <xdr:to>
      <xdr:col>9</xdr:col>
      <xdr:colOff>76200</xdr:colOff>
      <xdr:row>99</xdr:row>
      <xdr:rowOff>63500</xdr:rowOff>
    </xdr:to>
    <xdr:grpSp>
      <xdr:nvGrpSpPr>
        <xdr:cNvPr id="157" name="グループ化 156">
          <a:extLst>
            <a:ext uri="{FF2B5EF4-FFF2-40B4-BE49-F238E27FC236}">
              <a16:creationId xmlns:a16="http://schemas.microsoft.com/office/drawing/2014/main" id="{97F757EB-3904-5426-36A5-846FD926EEA8}"/>
            </a:ext>
          </a:extLst>
        </xdr:cNvPr>
        <xdr:cNvGrpSpPr/>
      </xdr:nvGrpSpPr>
      <xdr:grpSpPr>
        <a:xfrm>
          <a:off x="233160" y="16524168"/>
          <a:ext cx="1471815" cy="541457"/>
          <a:chOff x="1553464" y="2447647"/>
          <a:chExt cx="1332262" cy="413990"/>
        </a:xfrm>
      </xdr:grpSpPr>
      <xdr:sp macro="" textlink="">
        <xdr:nvSpPr>
          <xdr:cNvPr id="158" name="フローチャート: 定義済み処理 157">
            <a:extLst>
              <a:ext uri="{FF2B5EF4-FFF2-40B4-BE49-F238E27FC236}">
                <a16:creationId xmlns:a16="http://schemas.microsoft.com/office/drawing/2014/main" id="{B7EBD372-D40A-2361-D9F4-FFADC0A384E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9" name="正方形/長方形 158">
            <a:extLst>
              <a:ext uri="{FF2B5EF4-FFF2-40B4-BE49-F238E27FC236}">
                <a16:creationId xmlns:a16="http://schemas.microsoft.com/office/drawing/2014/main" id="{82E422BF-8142-2422-63D8-880A66B959E6}"/>
              </a:ext>
            </a:extLst>
          </xdr:cNvPr>
          <xdr:cNvSpPr/>
        </xdr:nvSpPr>
        <xdr:spPr>
          <a:xfrm>
            <a:off x="1553464" y="2447647"/>
            <a:ext cx="1332262" cy="41399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３．引落データ</a:t>
            </a:r>
            <a:endParaRPr kumimoji="1" lang="en-US" altLang="ja-JP" sz="900"/>
          </a:p>
          <a:p>
            <a:pPr algn="ctr"/>
            <a:r>
              <a:rPr kumimoji="1" lang="ja-JP" altLang="en-US" sz="900"/>
              <a:t>対象外のステータス更新</a:t>
            </a:r>
            <a:endParaRPr kumimoji="1" lang="en-US" altLang="ja-JP" sz="900"/>
          </a:p>
        </xdr:txBody>
      </xdr:sp>
    </xdr:grpSp>
    <xdr:clientData/>
  </xdr:twoCellAnchor>
  <xdr:twoCellAnchor>
    <xdr:from>
      <xdr:col>4</xdr:col>
      <xdr:colOff>102569</xdr:colOff>
      <xdr:row>92</xdr:row>
      <xdr:rowOff>107208</xdr:rowOff>
    </xdr:from>
    <xdr:to>
      <xdr:col>4</xdr:col>
      <xdr:colOff>104297</xdr:colOff>
      <xdr:row>96</xdr:row>
      <xdr:rowOff>51952</xdr:rowOff>
    </xdr:to>
    <xdr:cxnSp macro="">
      <xdr:nvCxnSpPr>
        <xdr:cNvPr id="176" name="直線矢印コネクタ 27">
          <a:extLst>
            <a:ext uri="{FF2B5EF4-FFF2-40B4-BE49-F238E27FC236}">
              <a16:creationId xmlns:a16="http://schemas.microsoft.com/office/drawing/2014/main" id="{75B72870-9CE6-4B3A-A951-C8356B17B3EC}"/>
            </a:ext>
          </a:extLst>
        </xdr:cNvPr>
        <xdr:cNvCxnSpPr>
          <a:cxnSpLocks/>
          <a:stCxn id="46" idx="2"/>
          <a:endCxn id="158" idx="0"/>
        </xdr:cNvCxnSpPr>
      </xdr:nvCxnSpPr>
      <xdr:spPr>
        <a:xfrm>
          <a:off x="912194" y="15501989"/>
          <a:ext cx="1728" cy="61149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133146</xdr:colOff>
      <xdr:row>103</xdr:row>
      <xdr:rowOff>100939</xdr:rowOff>
    </xdr:from>
    <xdr:to>
      <xdr:col>7</xdr:col>
      <xdr:colOff>39120</xdr:colOff>
      <xdr:row>106</xdr:row>
      <xdr:rowOff>101823</xdr:rowOff>
    </xdr:to>
    <xdr:grpSp>
      <xdr:nvGrpSpPr>
        <xdr:cNvPr id="179" name="グループ化 178">
          <a:extLst>
            <a:ext uri="{FF2B5EF4-FFF2-40B4-BE49-F238E27FC236}">
              <a16:creationId xmlns:a16="http://schemas.microsoft.com/office/drawing/2014/main" id="{86ACC50A-B050-B050-95F0-794CA0815733}"/>
            </a:ext>
          </a:extLst>
        </xdr:cNvPr>
        <xdr:cNvGrpSpPr/>
      </xdr:nvGrpSpPr>
      <xdr:grpSpPr>
        <a:xfrm>
          <a:off x="314121" y="17788864"/>
          <a:ext cx="991824" cy="515234"/>
          <a:chOff x="1612122" y="2437107"/>
          <a:chExt cx="933032" cy="400203"/>
        </a:xfrm>
      </xdr:grpSpPr>
      <xdr:sp macro="" textlink="">
        <xdr:nvSpPr>
          <xdr:cNvPr id="180" name="フローチャート: 定義済み処理 179">
            <a:extLst>
              <a:ext uri="{FF2B5EF4-FFF2-40B4-BE49-F238E27FC236}">
                <a16:creationId xmlns:a16="http://schemas.microsoft.com/office/drawing/2014/main" id="{D946E220-698E-0458-4E18-5100F3F4332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1" name="正方形/長方形 180">
            <a:extLst>
              <a:ext uri="{FF2B5EF4-FFF2-40B4-BE49-F238E27FC236}">
                <a16:creationId xmlns:a16="http://schemas.microsoft.com/office/drawing/2014/main" id="{F499D3DB-2C82-6BCE-0B65-C3FE472C43B0}"/>
              </a:ext>
            </a:extLst>
          </xdr:cNvPr>
          <xdr:cNvSpPr/>
        </xdr:nvSpPr>
        <xdr:spPr>
          <a:xfrm>
            <a:off x="1612122" y="2437107"/>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４．マッチング</a:t>
            </a:r>
            <a:endParaRPr kumimoji="1" lang="en-US" altLang="ja-JP" sz="900"/>
          </a:p>
          <a:p>
            <a:pPr algn="ctr"/>
            <a:r>
              <a:rPr kumimoji="1" lang="ja-JP" altLang="en-US" sz="900"/>
              <a:t>再実行</a:t>
            </a:r>
            <a:endParaRPr kumimoji="1" lang="en-US" altLang="ja-JP" sz="900"/>
          </a:p>
        </xdr:txBody>
      </xdr:sp>
    </xdr:grpSp>
    <xdr:clientData/>
  </xdr:twoCellAnchor>
  <xdr:twoCellAnchor>
    <xdr:from>
      <xdr:col>4</xdr:col>
      <xdr:colOff>101240</xdr:colOff>
      <xdr:row>99</xdr:row>
      <xdr:rowOff>26880</xdr:rowOff>
    </xdr:from>
    <xdr:to>
      <xdr:col>4</xdr:col>
      <xdr:colOff>102569</xdr:colOff>
      <xdr:row>103</xdr:row>
      <xdr:rowOff>129578</xdr:rowOff>
    </xdr:to>
    <xdr:cxnSp macro="">
      <xdr:nvCxnSpPr>
        <xdr:cNvPr id="182" name="直線矢印コネクタ 27">
          <a:extLst>
            <a:ext uri="{FF2B5EF4-FFF2-40B4-BE49-F238E27FC236}">
              <a16:creationId xmlns:a16="http://schemas.microsoft.com/office/drawing/2014/main" id="{A49C0009-D15A-4150-A6D1-B1729FF4A9D2}"/>
            </a:ext>
          </a:extLst>
        </xdr:cNvPr>
        <xdr:cNvCxnSpPr>
          <a:cxnSpLocks/>
          <a:stCxn id="158" idx="2"/>
          <a:endCxn id="180" idx="0"/>
        </xdr:cNvCxnSpPr>
      </xdr:nvCxnSpPr>
      <xdr:spPr>
        <a:xfrm>
          <a:off x="910865" y="16588474"/>
          <a:ext cx="1329" cy="76944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86041</xdr:colOff>
      <xdr:row>96</xdr:row>
      <xdr:rowOff>24127</xdr:rowOff>
    </xdr:from>
    <xdr:to>
      <xdr:col>21</xdr:col>
      <xdr:colOff>76160</xdr:colOff>
      <xdr:row>99</xdr:row>
      <xdr:rowOff>99603</xdr:rowOff>
    </xdr:to>
    <xdr:grpSp>
      <xdr:nvGrpSpPr>
        <xdr:cNvPr id="18" name="グループ化 11">
          <a:extLst>
            <a:ext uri="{FF2B5EF4-FFF2-40B4-BE49-F238E27FC236}">
              <a16:creationId xmlns:a16="http://schemas.microsoft.com/office/drawing/2014/main" id="{24625B33-800A-7664-DC2E-56DB61D057F9}"/>
            </a:ext>
          </a:extLst>
        </xdr:cNvPr>
        <xdr:cNvGrpSpPr/>
      </xdr:nvGrpSpPr>
      <xdr:grpSpPr>
        <a:xfrm>
          <a:off x="2800666" y="16511902"/>
          <a:ext cx="1075969" cy="589826"/>
          <a:chOff x="8162901" y="2636189"/>
          <a:chExt cx="1158702" cy="577877"/>
        </a:xfrm>
      </xdr:grpSpPr>
      <xdr:sp macro="" textlink="">
        <xdr:nvSpPr>
          <xdr:cNvPr id="19" name="フローチャート: 磁気ディスク 12">
            <a:extLst>
              <a:ext uri="{FF2B5EF4-FFF2-40B4-BE49-F238E27FC236}">
                <a16:creationId xmlns:a16="http://schemas.microsoft.com/office/drawing/2014/main" id="{76103D62-FE98-E558-A0E8-0E26B72F7A4E}"/>
              </a:ext>
            </a:extLst>
          </xdr:cNvPr>
          <xdr:cNvSpPr/>
        </xdr:nvSpPr>
        <xdr:spPr>
          <a:xfrm>
            <a:off x="8413171" y="2636189"/>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 name="正方形/長方形 13">
            <a:extLst>
              <a:ext uri="{FF2B5EF4-FFF2-40B4-BE49-F238E27FC236}">
                <a16:creationId xmlns:a16="http://schemas.microsoft.com/office/drawing/2014/main" id="{8BE73FE9-D340-2383-5E48-0AFA930EABE3}"/>
              </a:ext>
            </a:extLst>
          </xdr:cNvPr>
          <xdr:cNvSpPr/>
        </xdr:nvSpPr>
        <xdr:spPr>
          <a:xfrm>
            <a:off x="8162901" y="2708459"/>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引落結果出力</a:t>
            </a:r>
            <a:endParaRPr kumimoji="1" lang="en-US" altLang="ja-JP" sz="900">
              <a:solidFill>
                <a:srgbClr val="FF0000"/>
              </a:solidFill>
            </a:endParaRPr>
          </a:p>
        </xdr:txBody>
      </xdr:sp>
    </xdr:grpSp>
    <xdr:clientData/>
  </xdr:twoCellAnchor>
  <xdr:twoCellAnchor>
    <xdr:from>
      <xdr:col>6</xdr:col>
      <xdr:colOff>197658</xdr:colOff>
      <xdr:row>97</xdr:row>
      <xdr:rowOff>122055</xdr:rowOff>
    </xdr:from>
    <xdr:to>
      <xdr:col>16</xdr:col>
      <xdr:colOff>143809</xdr:colOff>
      <xdr:row>97</xdr:row>
      <xdr:rowOff>124641</xdr:rowOff>
    </xdr:to>
    <xdr:cxnSp macro="">
      <xdr:nvCxnSpPr>
        <xdr:cNvPr id="188" name="直線矢印コネクタ 187">
          <a:extLst>
            <a:ext uri="{FF2B5EF4-FFF2-40B4-BE49-F238E27FC236}">
              <a16:creationId xmlns:a16="http://schemas.microsoft.com/office/drawing/2014/main" id="{7E949452-CD8F-4BD6-A162-29FCE5DC6528}"/>
            </a:ext>
          </a:extLst>
        </xdr:cNvPr>
        <xdr:cNvCxnSpPr>
          <a:cxnSpLocks/>
          <a:stCxn id="158" idx="3"/>
          <a:endCxn id="186" idx="2"/>
        </xdr:cNvCxnSpPr>
      </xdr:nvCxnSpPr>
      <xdr:spPr>
        <a:xfrm>
          <a:off x="1412096" y="16350274"/>
          <a:ext cx="1970213" cy="258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82866</xdr:colOff>
      <xdr:row>103</xdr:row>
      <xdr:rowOff>95562</xdr:rowOff>
    </xdr:from>
    <xdr:to>
      <xdr:col>21</xdr:col>
      <xdr:colOff>76160</xdr:colOff>
      <xdr:row>107</xdr:row>
      <xdr:rowOff>4351</xdr:rowOff>
    </xdr:to>
    <xdr:grpSp>
      <xdr:nvGrpSpPr>
        <xdr:cNvPr id="193" name="グループ化 11">
          <a:extLst>
            <a:ext uri="{FF2B5EF4-FFF2-40B4-BE49-F238E27FC236}">
              <a16:creationId xmlns:a16="http://schemas.microsoft.com/office/drawing/2014/main" id="{71D229F8-A68D-248B-4878-9F3F86E18485}"/>
            </a:ext>
          </a:extLst>
        </xdr:cNvPr>
        <xdr:cNvGrpSpPr/>
      </xdr:nvGrpSpPr>
      <xdr:grpSpPr>
        <a:xfrm>
          <a:off x="2797491" y="17783487"/>
          <a:ext cx="1079144" cy="594589"/>
          <a:chOff x="8162901" y="2636189"/>
          <a:chExt cx="1158702" cy="577877"/>
        </a:xfrm>
      </xdr:grpSpPr>
      <xdr:sp macro="" textlink="">
        <xdr:nvSpPr>
          <xdr:cNvPr id="194" name="フローチャート: 磁気ディスク 12">
            <a:extLst>
              <a:ext uri="{FF2B5EF4-FFF2-40B4-BE49-F238E27FC236}">
                <a16:creationId xmlns:a16="http://schemas.microsoft.com/office/drawing/2014/main" id="{F4598C49-EAAC-77D4-7CDC-05AC50EA581B}"/>
              </a:ext>
            </a:extLst>
          </xdr:cNvPr>
          <xdr:cNvSpPr/>
        </xdr:nvSpPr>
        <xdr:spPr>
          <a:xfrm>
            <a:off x="8413171" y="2636189"/>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5" name="正方形/長方形 13">
            <a:extLst>
              <a:ext uri="{FF2B5EF4-FFF2-40B4-BE49-F238E27FC236}">
                <a16:creationId xmlns:a16="http://schemas.microsoft.com/office/drawing/2014/main" id="{F0574C40-47D3-BCB6-754F-ECD9D2AC307A}"/>
              </a:ext>
            </a:extLst>
          </xdr:cNvPr>
          <xdr:cNvSpPr/>
        </xdr:nvSpPr>
        <xdr:spPr>
          <a:xfrm>
            <a:off x="8162901" y="2708459"/>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引落結果出力</a:t>
            </a:r>
          </a:p>
        </xdr:txBody>
      </xdr:sp>
    </xdr:grpSp>
    <xdr:clientData/>
  </xdr:twoCellAnchor>
  <xdr:twoCellAnchor>
    <xdr:from>
      <xdr:col>6</xdr:col>
      <xdr:colOff>189585</xdr:colOff>
      <xdr:row>105</xdr:row>
      <xdr:rowOff>29389</xdr:rowOff>
    </xdr:from>
    <xdr:to>
      <xdr:col>16</xdr:col>
      <xdr:colOff>141320</xdr:colOff>
      <xdr:row>105</xdr:row>
      <xdr:rowOff>30684</xdr:rowOff>
    </xdr:to>
    <xdr:cxnSp macro="">
      <xdr:nvCxnSpPr>
        <xdr:cNvPr id="196" name="直線矢印コネクタ 195">
          <a:extLst>
            <a:ext uri="{FF2B5EF4-FFF2-40B4-BE49-F238E27FC236}">
              <a16:creationId xmlns:a16="http://schemas.microsoft.com/office/drawing/2014/main" id="{4A772FA6-87F1-4574-9A27-D49787ABCCFE}"/>
            </a:ext>
          </a:extLst>
        </xdr:cNvPr>
        <xdr:cNvCxnSpPr>
          <a:cxnSpLocks/>
          <a:stCxn id="180" idx="3"/>
          <a:endCxn id="194" idx="2"/>
        </xdr:cNvCxnSpPr>
      </xdr:nvCxnSpPr>
      <xdr:spPr>
        <a:xfrm flipV="1">
          <a:off x="1404023" y="17591108"/>
          <a:ext cx="1975797" cy="129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96219</xdr:colOff>
      <xdr:row>70</xdr:row>
      <xdr:rowOff>153552</xdr:rowOff>
    </xdr:from>
    <xdr:to>
      <xdr:col>4</xdr:col>
      <xdr:colOff>108919</xdr:colOff>
      <xdr:row>106</xdr:row>
      <xdr:rowOff>104827</xdr:rowOff>
    </xdr:to>
    <xdr:cxnSp macro="">
      <xdr:nvCxnSpPr>
        <xdr:cNvPr id="199" name="コネクタ: カギ線 198">
          <a:extLst>
            <a:ext uri="{FF2B5EF4-FFF2-40B4-BE49-F238E27FC236}">
              <a16:creationId xmlns:a16="http://schemas.microsoft.com/office/drawing/2014/main" id="{BA363F1A-84C8-4AFC-911D-61063855335A}"/>
            </a:ext>
          </a:extLst>
        </xdr:cNvPr>
        <xdr:cNvCxnSpPr>
          <a:cxnSpLocks/>
          <a:stCxn id="180" idx="2"/>
          <a:endCxn id="11" idx="0"/>
        </xdr:cNvCxnSpPr>
      </xdr:nvCxnSpPr>
      <xdr:spPr>
        <a:xfrm rot="5400000" flipH="1">
          <a:off x="-2063819" y="14850871"/>
          <a:ext cx="5952025" cy="12700"/>
        </a:xfrm>
        <a:prstGeom prst="bentConnector5">
          <a:avLst>
            <a:gd name="adj1" fmla="val -3841"/>
            <a:gd name="adj2" fmla="val 4347661"/>
            <a:gd name="adj3" fmla="val 104048"/>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110331</xdr:colOff>
      <xdr:row>82</xdr:row>
      <xdr:rowOff>42069</xdr:rowOff>
    </xdr:from>
    <xdr:to>
      <xdr:col>7</xdr:col>
      <xdr:colOff>50799</xdr:colOff>
      <xdr:row>83</xdr:row>
      <xdr:rowOff>83343</xdr:rowOff>
    </xdr:to>
    <xdr:sp macro="" textlink="">
      <xdr:nvSpPr>
        <xdr:cNvPr id="204" name="テキスト ボックス 203">
          <a:extLst>
            <a:ext uri="{FF2B5EF4-FFF2-40B4-BE49-F238E27FC236}">
              <a16:creationId xmlns:a16="http://schemas.microsoft.com/office/drawing/2014/main" id="{09962FC2-748F-D08D-AA9A-B173F8F02004}"/>
            </a:ext>
          </a:extLst>
        </xdr:cNvPr>
        <xdr:cNvSpPr txBox="1"/>
      </xdr:nvSpPr>
      <xdr:spPr>
        <a:xfrm>
          <a:off x="919956" y="13769975"/>
          <a:ext cx="547687" cy="207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91885</xdr:colOff>
      <xdr:row>38</xdr:row>
      <xdr:rowOff>162449</xdr:rowOff>
    </xdr:from>
    <xdr:to>
      <xdr:col>6</xdr:col>
      <xdr:colOff>14627</xdr:colOff>
      <xdr:row>40</xdr:row>
      <xdr:rowOff>66142</xdr:rowOff>
    </xdr:to>
    <xdr:sp macro="" textlink="">
      <xdr:nvSpPr>
        <xdr:cNvPr id="87" name="フローチャート: 端子 86">
          <a:extLst>
            <a:ext uri="{FF2B5EF4-FFF2-40B4-BE49-F238E27FC236}">
              <a16:creationId xmlns:a16="http://schemas.microsoft.com/office/drawing/2014/main" id="{8DA4C6E7-FDCE-4747-BD3D-082A69DA6CE8}"/>
            </a:ext>
          </a:extLst>
        </xdr:cNvPr>
        <xdr:cNvSpPr/>
      </xdr:nvSpPr>
      <xdr:spPr>
        <a:xfrm>
          <a:off x="491028" y="5550878"/>
          <a:ext cx="721028" cy="24840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xdr:col>
      <xdr:colOff>92983</xdr:colOff>
      <xdr:row>11</xdr:row>
      <xdr:rowOff>48532</xdr:rowOff>
    </xdr:from>
    <xdr:to>
      <xdr:col>6</xdr:col>
      <xdr:colOff>20722</xdr:colOff>
      <xdr:row>12</xdr:row>
      <xdr:rowOff>124615</xdr:rowOff>
    </xdr:to>
    <xdr:sp macro="" textlink="">
      <xdr:nvSpPr>
        <xdr:cNvPr id="88" name="フローチャート: 端子 87">
          <a:extLst>
            <a:ext uri="{FF2B5EF4-FFF2-40B4-BE49-F238E27FC236}">
              <a16:creationId xmlns:a16="http://schemas.microsoft.com/office/drawing/2014/main" id="{639F6F66-E114-4184-982E-E0E44B660D29}"/>
            </a:ext>
          </a:extLst>
        </xdr:cNvPr>
        <xdr:cNvSpPr/>
      </xdr:nvSpPr>
      <xdr:spPr>
        <a:xfrm>
          <a:off x="473983" y="1982107"/>
          <a:ext cx="689739" cy="24753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53589</xdr:colOff>
      <xdr:row>16</xdr:row>
      <xdr:rowOff>125746</xdr:rowOff>
    </xdr:from>
    <xdr:to>
      <xdr:col>4</xdr:col>
      <xdr:colOff>54260</xdr:colOff>
      <xdr:row>25</xdr:row>
      <xdr:rowOff>151942</xdr:rowOff>
    </xdr:to>
    <xdr:cxnSp macro="">
      <xdr:nvCxnSpPr>
        <xdr:cNvPr id="89" name="直線矢印コネクタ 27">
          <a:extLst>
            <a:ext uri="{FF2B5EF4-FFF2-40B4-BE49-F238E27FC236}">
              <a16:creationId xmlns:a16="http://schemas.microsoft.com/office/drawing/2014/main" id="{106A29AD-9078-4973-9911-9E447089960C}"/>
            </a:ext>
          </a:extLst>
        </xdr:cNvPr>
        <xdr:cNvCxnSpPr>
          <a:cxnSpLocks/>
          <a:stCxn id="95" idx="2"/>
          <a:endCxn id="102" idx="0"/>
        </xdr:cNvCxnSpPr>
      </xdr:nvCxnSpPr>
      <xdr:spPr>
        <a:xfrm flipH="1">
          <a:off x="815589" y="2916571"/>
          <a:ext cx="671" cy="156924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47555</xdr:colOff>
      <xdr:row>36</xdr:row>
      <xdr:rowOff>52088</xdr:rowOff>
    </xdr:from>
    <xdr:to>
      <xdr:col>4</xdr:col>
      <xdr:colOff>53256</xdr:colOff>
      <xdr:row>38</xdr:row>
      <xdr:rowOff>162449</xdr:rowOff>
    </xdr:to>
    <xdr:cxnSp macro="">
      <xdr:nvCxnSpPr>
        <xdr:cNvPr id="91" name="直線矢印コネクタ 27">
          <a:extLst>
            <a:ext uri="{FF2B5EF4-FFF2-40B4-BE49-F238E27FC236}">
              <a16:creationId xmlns:a16="http://schemas.microsoft.com/office/drawing/2014/main" id="{9157C7FF-5BCF-492A-BCE6-109D0DEAA8E3}"/>
            </a:ext>
          </a:extLst>
        </xdr:cNvPr>
        <xdr:cNvCxnSpPr>
          <a:cxnSpLocks/>
          <a:stCxn id="110" idx="2"/>
          <a:endCxn id="87" idx="0"/>
        </xdr:cNvCxnSpPr>
      </xdr:nvCxnSpPr>
      <xdr:spPr>
        <a:xfrm>
          <a:off x="845841" y="5095802"/>
          <a:ext cx="5701" cy="4550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115208</xdr:colOff>
      <xdr:row>13</xdr:row>
      <xdr:rowOff>165096</xdr:rowOff>
    </xdr:from>
    <xdr:to>
      <xdr:col>7</xdr:col>
      <xdr:colOff>9943</xdr:colOff>
      <xdr:row>16</xdr:row>
      <xdr:rowOff>163053</xdr:rowOff>
    </xdr:to>
    <xdr:grpSp>
      <xdr:nvGrpSpPr>
        <xdr:cNvPr id="94" name="グループ化 93">
          <a:extLst>
            <a:ext uri="{FF2B5EF4-FFF2-40B4-BE49-F238E27FC236}">
              <a16:creationId xmlns:a16="http://schemas.microsoft.com/office/drawing/2014/main" id="{2245D4A9-CA87-489A-A374-B25CD97D30E1}"/>
            </a:ext>
          </a:extLst>
        </xdr:cNvPr>
        <xdr:cNvGrpSpPr/>
      </xdr:nvGrpSpPr>
      <xdr:grpSpPr>
        <a:xfrm>
          <a:off x="296183" y="2422521"/>
          <a:ext cx="980585" cy="512307"/>
          <a:chOff x="1631877" y="2457450"/>
          <a:chExt cx="933032" cy="401392"/>
        </a:xfrm>
      </xdr:grpSpPr>
      <xdr:sp macro="" textlink="">
        <xdr:nvSpPr>
          <xdr:cNvPr id="95" name="フローチャート: 定義済み処理 94">
            <a:extLst>
              <a:ext uri="{FF2B5EF4-FFF2-40B4-BE49-F238E27FC236}">
                <a16:creationId xmlns:a16="http://schemas.microsoft.com/office/drawing/2014/main" id="{3C1BEFE8-E2F2-0D02-E44C-2DC1960FF5B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6" name="正方形/長方形 95">
            <a:extLst>
              <a:ext uri="{FF2B5EF4-FFF2-40B4-BE49-F238E27FC236}">
                <a16:creationId xmlns:a16="http://schemas.microsoft.com/office/drawing/2014/main" id="{75B9FCC3-1FB6-380C-1A2D-2DCD0B455EAC}"/>
              </a:ext>
            </a:extLst>
          </xdr:cNvPr>
          <xdr:cNvSpPr/>
        </xdr:nvSpPr>
        <xdr:spPr>
          <a:xfrm>
            <a:off x="1631877" y="2458639"/>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１．主勘定登録</a:t>
            </a:r>
            <a:endParaRPr kumimoji="1" lang="en-US" altLang="ja-JP" sz="900"/>
          </a:p>
        </xdr:txBody>
      </xdr:sp>
    </xdr:grpSp>
    <xdr:clientData/>
  </xdr:twoCellAnchor>
  <xdr:twoCellAnchor>
    <xdr:from>
      <xdr:col>16</xdr:col>
      <xdr:colOff>12211</xdr:colOff>
      <xdr:row>13</xdr:row>
      <xdr:rowOff>92756</xdr:rowOff>
    </xdr:from>
    <xdr:to>
      <xdr:col>21</xdr:col>
      <xdr:colOff>26931</xdr:colOff>
      <xdr:row>17</xdr:row>
      <xdr:rowOff>61266</xdr:rowOff>
    </xdr:to>
    <xdr:grpSp>
      <xdr:nvGrpSpPr>
        <xdr:cNvPr id="97" name="グループ化 96">
          <a:extLst>
            <a:ext uri="{FF2B5EF4-FFF2-40B4-BE49-F238E27FC236}">
              <a16:creationId xmlns:a16="http://schemas.microsoft.com/office/drawing/2014/main" id="{E84FA052-3A7B-410E-8D15-1D1D35B4E788}"/>
            </a:ext>
          </a:extLst>
        </xdr:cNvPr>
        <xdr:cNvGrpSpPr/>
      </xdr:nvGrpSpPr>
      <xdr:grpSpPr>
        <a:xfrm>
          <a:off x="2907811" y="2350181"/>
          <a:ext cx="919595" cy="654310"/>
          <a:chOff x="7111999" y="2892425"/>
          <a:chExt cx="873125" cy="584982"/>
        </a:xfrm>
      </xdr:grpSpPr>
      <xdr:sp macro="" textlink="">
        <xdr:nvSpPr>
          <xdr:cNvPr id="98" name="フローチャート: 磁気ディスク 97">
            <a:extLst>
              <a:ext uri="{FF2B5EF4-FFF2-40B4-BE49-F238E27FC236}">
                <a16:creationId xmlns:a16="http://schemas.microsoft.com/office/drawing/2014/main" id="{824C96B8-CBD8-60F7-0DF6-5E371FE529D8}"/>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9" name="正方形/長方形 98">
            <a:extLst>
              <a:ext uri="{FF2B5EF4-FFF2-40B4-BE49-F238E27FC236}">
                <a16:creationId xmlns:a16="http://schemas.microsoft.com/office/drawing/2014/main" id="{B6961874-61C7-AE37-F81E-52BAB728782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主勘定</a:t>
            </a:r>
            <a:endParaRPr kumimoji="1" lang="en-US" altLang="ja-JP" sz="900"/>
          </a:p>
        </xdr:txBody>
      </xdr:sp>
    </xdr:grpSp>
    <xdr:clientData/>
  </xdr:twoCellAnchor>
  <xdr:twoCellAnchor>
    <xdr:from>
      <xdr:col>6</xdr:col>
      <xdr:colOff>120320</xdr:colOff>
      <xdr:row>15</xdr:row>
      <xdr:rowOff>50728</xdr:rowOff>
    </xdr:from>
    <xdr:to>
      <xdr:col>16</xdr:col>
      <xdr:colOff>107930</xdr:colOff>
      <xdr:row>15</xdr:row>
      <xdr:rowOff>60966</xdr:rowOff>
    </xdr:to>
    <xdr:cxnSp macro="">
      <xdr:nvCxnSpPr>
        <xdr:cNvPr id="100" name="直線矢印コネクタ 99">
          <a:extLst>
            <a:ext uri="{FF2B5EF4-FFF2-40B4-BE49-F238E27FC236}">
              <a16:creationId xmlns:a16="http://schemas.microsoft.com/office/drawing/2014/main" id="{CA53ECE9-36EF-4352-B0D1-09168E3E6375}"/>
            </a:ext>
          </a:extLst>
        </xdr:cNvPr>
        <xdr:cNvCxnSpPr>
          <a:cxnSpLocks/>
          <a:stCxn id="95" idx="3"/>
          <a:endCxn id="98" idx="2"/>
        </xdr:cNvCxnSpPr>
      </xdr:nvCxnSpPr>
      <xdr:spPr>
        <a:xfrm flipV="1">
          <a:off x="1191883" y="2610572"/>
          <a:ext cx="1773547" cy="1023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99786</xdr:colOff>
      <xdr:row>25</xdr:row>
      <xdr:rowOff>151942</xdr:rowOff>
    </xdr:from>
    <xdr:to>
      <xdr:col>6</xdr:col>
      <xdr:colOff>190917</xdr:colOff>
      <xdr:row>28</xdr:row>
      <xdr:rowOff>149900</xdr:rowOff>
    </xdr:to>
    <xdr:grpSp>
      <xdr:nvGrpSpPr>
        <xdr:cNvPr id="101" name="グループ化 100">
          <a:extLst>
            <a:ext uri="{FF2B5EF4-FFF2-40B4-BE49-F238E27FC236}">
              <a16:creationId xmlns:a16="http://schemas.microsoft.com/office/drawing/2014/main" id="{091E9CB7-5406-403E-8CCF-6468D6234FDF}"/>
            </a:ext>
          </a:extLst>
        </xdr:cNvPr>
        <xdr:cNvGrpSpPr/>
      </xdr:nvGrpSpPr>
      <xdr:grpSpPr>
        <a:xfrm>
          <a:off x="280761" y="4466767"/>
          <a:ext cx="986481" cy="512308"/>
          <a:chOff x="1631877" y="2457450"/>
          <a:chExt cx="933032" cy="401392"/>
        </a:xfrm>
      </xdr:grpSpPr>
      <xdr:sp macro="" textlink="">
        <xdr:nvSpPr>
          <xdr:cNvPr id="102" name="フローチャート: 定義済み処理 101">
            <a:extLst>
              <a:ext uri="{FF2B5EF4-FFF2-40B4-BE49-F238E27FC236}">
                <a16:creationId xmlns:a16="http://schemas.microsoft.com/office/drawing/2014/main" id="{956D4BAE-8D2E-942D-8688-E900123455A1}"/>
              </a:ext>
            </a:extLst>
          </xdr:cNvPr>
          <xdr:cNvSpPr/>
        </xdr:nvSpPr>
        <xdr:spPr>
          <a:xfrm>
            <a:off x="1690522"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3" name="正方形/長方形 102">
            <a:extLst>
              <a:ext uri="{FF2B5EF4-FFF2-40B4-BE49-F238E27FC236}">
                <a16:creationId xmlns:a16="http://schemas.microsoft.com/office/drawing/2014/main" id="{CEDD4B7D-2472-D1CC-B401-709F6F6898C0}"/>
              </a:ext>
            </a:extLst>
          </xdr:cNvPr>
          <xdr:cNvSpPr/>
        </xdr:nvSpPr>
        <xdr:spPr>
          <a:xfrm>
            <a:off x="1631877" y="2458639"/>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２．銀行グループ登録</a:t>
            </a:r>
            <a:endParaRPr kumimoji="1" lang="en-US" altLang="ja-JP" sz="900"/>
          </a:p>
        </xdr:txBody>
      </xdr:sp>
    </xdr:grpSp>
    <xdr:clientData/>
  </xdr:twoCellAnchor>
  <xdr:twoCellAnchor>
    <xdr:from>
      <xdr:col>15</xdr:col>
      <xdr:colOff>188877</xdr:colOff>
      <xdr:row>25</xdr:row>
      <xdr:rowOff>90714</xdr:rowOff>
    </xdr:from>
    <xdr:to>
      <xdr:col>21</xdr:col>
      <xdr:colOff>5953</xdr:colOff>
      <xdr:row>29</xdr:row>
      <xdr:rowOff>63079</xdr:rowOff>
    </xdr:to>
    <xdr:grpSp>
      <xdr:nvGrpSpPr>
        <xdr:cNvPr id="104" name="グループ化 103">
          <a:extLst>
            <a:ext uri="{FF2B5EF4-FFF2-40B4-BE49-F238E27FC236}">
              <a16:creationId xmlns:a16="http://schemas.microsoft.com/office/drawing/2014/main" id="{79FF345C-42CD-4186-9E1D-0C5B87F2C144}"/>
            </a:ext>
          </a:extLst>
        </xdr:cNvPr>
        <xdr:cNvGrpSpPr/>
      </xdr:nvGrpSpPr>
      <xdr:grpSpPr>
        <a:xfrm>
          <a:off x="2893977" y="4405539"/>
          <a:ext cx="912451" cy="658165"/>
          <a:chOff x="7111999" y="2892425"/>
          <a:chExt cx="873125" cy="584982"/>
        </a:xfrm>
      </xdr:grpSpPr>
      <xdr:sp macro="" textlink="">
        <xdr:nvSpPr>
          <xdr:cNvPr id="105" name="フローチャート: 磁気ディスク 104">
            <a:extLst>
              <a:ext uri="{FF2B5EF4-FFF2-40B4-BE49-F238E27FC236}">
                <a16:creationId xmlns:a16="http://schemas.microsoft.com/office/drawing/2014/main" id="{83DAFC88-B048-4961-61BA-227B8030DCB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6" name="正方形/長方形 105">
            <a:extLst>
              <a:ext uri="{FF2B5EF4-FFF2-40B4-BE49-F238E27FC236}">
                <a16:creationId xmlns:a16="http://schemas.microsoft.com/office/drawing/2014/main" id="{EC5BED3D-7EFA-92A9-DE4E-03B91ADEE8D6}"/>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銀行グループ</a:t>
            </a:r>
            <a:endParaRPr kumimoji="1" lang="en-US" altLang="ja-JP" sz="900"/>
          </a:p>
        </xdr:txBody>
      </xdr:sp>
    </xdr:grpSp>
    <xdr:clientData/>
  </xdr:twoCellAnchor>
  <xdr:twoCellAnchor>
    <xdr:from>
      <xdr:col>6</xdr:col>
      <xdr:colOff>126448</xdr:colOff>
      <xdr:row>27</xdr:row>
      <xdr:rowOff>47586</xdr:rowOff>
    </xdr:from>
    <xdr:to>
      <xdr:col>16</xdr:col>
      <xdr:colOff>96290</xdr:colOff>
      <xdr:row>27</xdr:row>
      <xdr:rowOff>49516</xdr:rowOff>
    </xdr:to>
    <xdr:cxnSp macro="">
      <xdr:nvCxnSpPr>
        <xdr:cNvPr id="107" name="直線矢印コネクタ 106">
          <a:extLst>
            <a:ext uri="{FF2B5EF4-FFF2-40B4-BE49-F238E27FC236}">
              <a16:creationId xmlns:a16="http://schemas.microsoft.com/office/drawing/2014/main" id="{FC9813D7-8B08-4848-935B-8063D551B155}"/>
            </a:ext>
          </a:extLst>
        </xdr:cNvPr>
        <xdr:cNvCxnSpPr>
          <a:cxnSpLocks/>
          <a:stCxn id="102" idx="3"/>
          <a:endCxn id="105" idx="2"/>
        </xdr:cNvCxnSpPr>
      </xdr:nvCxnSpPr>
      <xdr:spPr>
        <a:xfrm>
          <a:off x="1323877" y="3884800"/>
          <a:ext cx="1965556" cy="193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108858</xdr:colOff>
      <xdr:row>33</xdr:row>
      <xdr:rowOff>88443</xdr:rowOff>
    </xdr:from>
    <xdr:to>
      <xdr:col>7</xdr:col>
      <xdr:colOff>418</xdr:colOff>
      <xdr:row>36</xdr:row>
      <xdr:rowOff>86401</xdr:rowOff>
    </xdr:to>
    <xdr:grpSp>
      <xdr:nvGrpSpPr>
        <xdr:cNvPr id="109" name="グループ化 108">
          <a:extLst>
            <a:ext uri="{FF2B5EF4-FFF2-40B4-BE49-F238E27FC236}">
              <a16:creationId xmlns:a16="http://schemas.microsoft.com/office/drawing/2014/main" id="{C7F97DF0-C96C-4C46-9AE3-D1A9A227E2C2}"/>
            </a:ext>
          </a:extLst>
        </xdr:cNvPr>
        <xdr:cNvGrpSpPr/>
      </xdr:nvGrpSpPr>
      <xdr:grpSpPr>
        <a:xfrm>
          <a:off x="289833" y="5774868"/>
          <a:ext cx="977410" cy="512308"/>
          <a:chOff x="1631877" y="2457450"/>
          <a:chExt cx="933032" cy="401392"/>
        </a:xfrm>
      </xdr:grpSpPr>
      <xdr:sp macro="" textlink="">
        <xdr:nvSpPr>
          <xdr:cNvPr id="110" name="フローチャート: 定義済み処理 109">
            <a:extLst>
              <a:ext uri="{FF2B5EF4-FFF2-40B4-BE49-F238E27FC236}">
                <a16:creationId xmlns:a16="http://schemas.microsoft.com/office/drawing/2014/main" id="{0924FDED-A1D0-65AA-5338-3A6038A1F3E4}"/>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1" name="正方形/長方形 110">
            <a:extLst>
              <a:ext uri="{FF2B5EF4-FFF2-40B4-BE49-F238E27FC236}">
                <a16:creationId xmlns:a16="http://schemas.microsoft.com/office/drawing/2014/main" id="{FF108EB1-C9F1-5138-604D-2196EE1A7DAA}"/>
              </a:ext>
            </a:extLst>
          </xdr:cNvPr>
          <xdr:cNvSpPr/>
        </xdr:nvSpPr>
        <xdr:spPr>
          <a:xfrm>
            <a:off x="1631877" y="2458639"/>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３．銀行口座</a:t>
            </a:r>
            <a:br>
              <a:rPr kumimoji="1" lang="en-US" altLang="ja-JP" sz="900"/>
            </a:br>
            <a:r>
              <a:rPr kumimoji="1" lang="ja-JP" altLang="en-US" sz="900"/>
              <a:t>登録</a:t>
            </a:r>
            <a:endParaRPr kumimoji="1" lang="en-US" altLang="ja-JP" sz="900"/>
          </a:p>
        </xdr:txBody>
      </xdr:sp>
    </xdr:grpSp>
    <xdr:clientData/>
  </xdr:twoCellAnchor>
  <xdr:twoCellAnchor>
    <xdr:from>
      <xdr:col>15</xdr:col>
      <xdr:colOff>197949</xdr:colOff>
      <xdr:row>33</xdr:row>
      <xdr:rowOff>27215</xdr:rowOff>
    </xdr:from>
    <xdr:to>
      <xdr:col>21</xdr:col>
      <xdr:colOff>15025</xdr:colOff>
      <xdr:row>36</xdr:row>
      <xdr:rowOff>136073</xdr:rowOff>
    </xdr:to>
    <xdr:grpSp>
      <xdr:nvGrpSpPr>
        <xdr:cNvPr id="112" name="グループ化 111">
          <a:extLst>
            <a:ext uri="{FF2B5EF4-FFF2-40B4-BE49-F238E27FC236}">
              <a16:creationId xmlns:a16="http://schemas.microsoft.com/office/drawing/2014/main" id="{ED89C43C-B643-46D9-9226-592BB1AF7D81}"/>
            </a:ext>
          </a:extLst>
        </xdr:cNvPr>
        <xdr:cNvGrpSpPr/>
      </xdr:nvGrpSpPr>
      <xdr:grpSpPr>
        <a:xfrm>
          <a:off x="2893524" y="5713640"/>
          <a:ext cx="921976" cy="623208"/>
          <a:chOff x="7111999" y="2892425"/>
          <a:chExt cx="873125" cy="584982"/>
        </a:xfrm>
      </xdr:grpSpPr>
      <xdr:sp macro="" textlink="">
        <xdr:nvSpPr>
          <xdr:cNvPr id="113" name="フローチャート: 磁気ディスク 112">
            <a:extLst>
              <a:ext uri="{FF2B5EF4-FFF2-40B4-BE49-F238E27FC236}">
                <a16:creationId xmlns:a16="http://schemas.microsoft.com/office/drawing/2014/main" id="{94800325-8009-B94A-5B92-F7EC93990D2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4" name="正方形/長方形 113">
            <a:extLst>
              <a:ext uri="{FF2B5EF4-FFF2-40B4-BE49-F238E27FC236}">
                <a16:creationId xmlns:a16="http://schemas.microsoft.com/office/drawing/2014/main" id="{F4C5F140-5EFC-220C-186A-8E0EBAC0ED0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銀行口座</a:t>
            </a:r>
            <a:endParaRPr kumimoji="1" lang="en-US" altLang="ja-JP" sz="900"/>
          </a:p>
        </xdr:txBody>
      </xdr:sp>
    </xdr:grpSp>
    <xdr:clientData/>
  </xdr:twoCellAnchor>
  <xdr:twoCellAnchor>
    <xdr:from>
      <xdr:col>6</xdr:col>
      <xdr:colOff>123849</xdr:colOff>
      <xdr:row>34</xdr:row>
      <xdr:rowOff>154349</xdr:rowOff>
    </xdr:from>
    <xdr:to>
      <xdr:col>16</xdr:col>
      <xdr:colOff>105369</xdr:colOff>
      <xdr:row>34</xdr:row>
      <xdr:rowOff>160505</xdr:rowOff>
    </xdr:to>
    <xdr:cxnSp macro="">
      <xdr:nvCxnSpPr>
        <xdr:cNvPr id="115" name="直線矢印コネクタ 114">
          <a:extLst>
            <a:ext uri="{FF2B5EF4-FFF2-40B4-BE49-F238E27FC236}">
              <a16:creationId xmlns:a16="http://schemas.microsoft.com/office/drawing/2014/main" id="{875D941B-0679-4DCC-8408-9343FBFC353D}"/>
            </a:ext>
          </a:extLst>
        </xdr:cNvPr>
        <xdr:cNvCxnSpPr>
          <a:cxnSpLocks/>
          <a:stCxn id="110" idx="3"/>
          <a:endCxn id="113" idx="2"/>
        </xdr:cNvCxnSpPr>
      </xdr:nvCxnSpPr>
      <xdr:spPr>
        <a:xfrm>
          <a:off x="1321278" y="4853349"/>
          <a:ext cx="1977234" cy="61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47555</xdr:colOff>
      <xdr:row>28</xdr:row>
      <xdr:rowOff>115587</xdr:rowOff>
    </xdr:from>
    <xdr:to>
      <xdr:col>4</xdr:col>
      <xdr:colOff>47555</xdr:colOff>
      <xdr:row>33</xdr:row>
      <xdr:rowOff>88443</xdr:rowOff>
    </xdr:to>
    <xdr:cxnSp macro="">
      <xdr:nvCxnSpPr>
        <xdr:cNvPr id="123" name="直線矢印コネクタ 27">
          <a:extLst>
            <a:ext uri="{FF2B5EF4-FFF2-40B4-BE49-F238E27FC236}">
              <a16:creationId xmlns:a16="http://schemas.microsoft.com/office/drawing/2014/main" id="{6B6E8500-C8C9-4095-A826-81EB0FCFD546}"/>
            </a:ext>
          </a:extLst>
        </xdr:cNvPr>
        <xdr:cNvCxnSpPr>
          <a:cxnSpLocks/>
          <a:stCxn id="102" idx="2"/>
          <a:endCxn id="110" idx="0"/>
        </xdr:cNvCxnSpPr>
      </xdr:nvCxnSpPr>
      <xdr:spPr>
        <a:xfrm>
          <a:off x="845841" y="4125158"/>
          <a:ext cx="0" cy="48992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3969</xdr:colOff>
      <xdr:row>19</xdr:row>
      <xdr:rowOff>78581</xdr:rowOff>
    </xdr:from>
    <xdr:to>
      <xdr:col>28</xdr:col>
      <xdr:colOff>6769</xdr:colOff>
      <xdr:row>23</xdr:row>
      <xdr:rowOff>40381</xdr:rowOff>
    </xdr:to>
    <xdr:grpSp>
      <xdr:nvGrpSpPr>
        <xdr:cNvPr id="2" name="グループ化 1">
          <a:extLst>
            <a:ext uri="{FF2B5EF4-FFF2-40B4-BE49-F238E27FC236}">
              <a16:creationId xmlns:a16="http://schemas.microsoft.com/office/drawing/2014/main" id="{F59C61DA-0977-44DD-8F0E-EBF9386B1C8D}"/>
            </a:ext>
          </a:extLst>
        </xdr:cNvPr>
        <xdr:cNvGrpSpPr/>
      </xdr:nvGrpSpPr>
      <xdr:grpSpPr>
        <a:xfrm>
          <a:off x="4166394" y="3364706"/>
          <a:ext cx="907675" cy="647600"/>
          <a:chOff x="7111999" y="2892425"/>
          <a:chExt cx="873125" cy="584982"/>
        </a:xfrm>
      </xdr:grpSpPr>
      <xdr:sp macro="" textlink="">
        <xdr:nvSpPr>
          <xdr:cNvPr id="3" name="フローチャート: 磁気ディスク 2">
            <a:extLst>
              <a:ext uri="{FF2B5EF4-FFF2-40B4-BE49-F238E27FC236}">
                <a16:creationId xmlns:a16="http://schemas.microsoft.com/office/drawing/2014/main" id="{625FB534-736F-1495-F59E-BF345C26E1D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 name="正方形/長方形 3">
            <a:extLst>
              <a:ext uri="{FF2B5EF4-FFF2-40B4-BE49-F238E27FC236}">
                <a16:creationId xmlns:a16="http://schemas.microsoft.com/office/drawing/2014/main" id="{0B89A07C-2B2D-7466-659A-8E5839305B3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MDM</a:t>
            </a:r>
            <a:endParaRPr kumimoji="1" lang="ja-JP" altLang="en-US" sz="900"/>
          </a:p>
        </xdr:txBody>
      </xdr:sp>
    </xdr:grpSp>
    <xdr:clientData/>
  </xdr:twoCellAnchor>
  <xdr:twoCellAnchor>
    <xdr:from>
      <xdr:col>18</xdr:col>
      <xdr:colOff>102220</xdr:colOff>
      <xdr:row>17</xdr:row>
      <xdr:rowOff>11611</xdr:rowOff>
    </xdr:from>
    <xdr:to>
      <xdr:col>23</xdr:col>
      <xdr:colOff>101608</xdr:colOff>
      <xdr:row>21</xdr:row>
      <xdr:rowOff>33475</xdr:rowOff>
    </xdr:to>
    <xdr:cxnSp macro="">
      <xdr:nvCxnSpPr>
        <xdr:cNvPr id="5" name="コネクタ: カギ線 4">
          <a:extLst>
            <a:ext uri="{FF2B5EF4-FFF2-40B4-BE49-F238E27FC236}">
              <a16:creationId xmlns:a16="http://schemas.microsoft.com/office/drawing/2014/main" id="{4305C2D4-A61B-47C8-BC34-C5255A7351B4}"/>
            </a:ext>
          </a:extLst>
        </xdr:cNvPr>
        <xdr:cNvCxnSpPr>
          <a:stCxn id="98" idx="3"/>
          <a:endCxn id="3" idx="2"/>
        </xdr:cNvCxnSpPr>
      </xdr:nvCxnSpPr>
      <xdr:spPr>
        <a:xfrm rot="16200000" flipH="1">
          <a:off x="3418779" y="2802959"/>
          <a:ext cx="688614" cy="892356"/>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54260</xdr:colOff>
      <xdr:row>12</xdr:row>
      <xdr:rowOff>121440</xdr:rowOff>
    </xdr:from>
    <xdr:to>
      <xdr:col>4</xdr:col>
      <xdr:colOff>56853</xdr:colOff>
      <xdr:row>13</xdr:row>
      <xdr:rowOff>161921</xdr:rowOff>
    </xdr:to>
    <xdr:cxnSp macro="">
      <xdr:nvCxnSpPr>
        <xdr:cNvPr id="11" name="直線矢印コネクタ 27">
          <a:extLst>
            <a:ext uri="{FF2B5EF4-FFF2-40B4-BE49-F238E27FC236}">
              <a16:creationId xmlns:a16="http://schemas.microsoft.com/office/drawing/2014/main" id="{2191D069-AC0A-4BD1-983C-E19DCCD347FC}"/>
            </a:ext>
          </a:extLst>
        </xdr:cNvPr>
        <xdr:cNvCxnSpPr>
          <a:cxnSpLocks/>
          <a:stCxn id="88" idx="2"/>
          <a:endCxn id="95" idx="0"/>
        </xdr:cNvCxnSpPr>
      </xdr:nvCxnSpPr>
      <xdr:spPr>
        <a:xfrm flipH="1">
          <a:off x="816260" y="2226465"/>
          <a:ext cx="2593" cy="21193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108403</xdr:colOff>
      <xdr:row>30</xdr:row>
      <xdr:rowOff>130813</xdr:rowOff>
    </xdr:from>
    <xdr:to>
      <xdr:col>6</xdr:col>
      <xdr:colOff>27970</xdr:colOff>
      <xdr:row>32</xdr:row>
      <xdr:rowOff>29743</xdr:rowOff>
    </xdr:to>
    <xdr:sp macro="" textlink="">
      <xdr:nvSpPr>
        <xdr:cNvPr id="14" name="フローチャート: 端子 1">
          <a:extLst>
            <a:ext uri="{FF2B5EF4-FFF2-40B4-BE49-F238E27FC236}">
              <a16:creationId xmlns:a16="http://schemas.microsoft.com/office/drawing/2014/main" id="{C01CA94B-EB4C-4079-BE9F-EF97B295D1C4}"/>
            </a:ext>
          </a:extLst>
        </xdr:cNvPr>
        <xdr:cNvSpPr/>
      </xdr:nvSpPr>
      <xdr:spPr>
        <a:xfrm>
          <a:off x="464003" y="5312413"/>
          <a:ext cx="630767" cy="24183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xdr:col>
      <xdr:colOff>116759</xdr:colOff>
      <xdr:row>11</xdr:row>
      <xdr:rowOff>27215</xdr:rowOff>
    </xdr:from>
    <xdr:to>
      <xdr:col>6</xdr:col>
      <xdr:colOff>31798</xdr:colOff>
      <xdr:row>12</xdr:row>
      <xdr:rowOff>103298</xdr:rowOff>
    </xdr:to>
    <xdr:sp macro="" textlink="">
      <xdr:nvSpPr>
        <xdr:cNvPr id="3" name="フローチャート: 端子 2">
          <a:extLst>
            <a:ext uri="{FF2B5EF4-FFF2-40B4-BE49-F238E27FC236}">
              <a16:creationId xmlns:a16="http://schemas.microsoft.com/office/drawing/2014/main" id="{3D507774-B447-4873-A636-5EE069F72039}"/>
            </a:ext>
          </a:extLst>
        </xdr:cNvPr>
        <xdr:cNvSpPr/>
      </xdr:nvSpPr>
      <xdr:spPr>
        <a:xfrm>
          <a:off x="472359" y="1951265"/>
          <a:ext cx="626239" cy="24753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74279</xdr:colOff>
      <xdr:row>12</xdr:row>
      <xdr:rowOff>103298</xdr:rowOff>
    </xdr:from>
    <xdr:to>
      <xdr:col>4</xdr:col>
      <xdr:colOff>74769</xdr:colOff>
      <xdr:row>15</xdr:row>
      <xdr:rowOff>79371</xdr:rowOff>
    </xdr:to>
    <xdr:cxnSp macro="">
      <xdr:nvCxnSpPr>
        <xdr:cNvPr id="4" name="直線矢印コネクタ 27">
          <a:extLst>
            <a:ext uri="{FF2B5EF4-FFF2-40B4-BE49-F238E27FC236}">
              <a16:creationId xmlns:a16="http://schemas.microsoft.com/office/drawing/2014/main" id="{BE17FC12-BE85-4921-B938-362B540272D0}"/>
            </a:ext>
          </a:extLst>
        </xdr:cNvPr>
        <xdr:cNvCxnSpPr>
          <a:cxnSpLocks/>
          <a:stCxn id="3" idx="2"/>
          <a:endCxn id="7" idx="0"/>
        </xdr:cNvCxnSpPr>
      </xdr:nvCxnSpPr>
      <xdr:spPr>
        <a:xfrm>
          <a:off x="785479" y="2198798"/>
          <a:ext cx="490" cy="49042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68187</xdr:colOff>
      <xdr:row>25</xdr:row>
      <xdr:rowOff>97171</xdr:rowOff>
    </xdr:from>
    <xdr:to>
      <xdr:col>4</xdr:col>
      <xdr:colOff>76392</xdr:colOff>
      <xdr:row>30</xdr:row>
      <xdr:rowOff>130813</xdr:rowOff>
    </xdr:to>
    <xdr:cxnSp macro="">
      <xdr:nvCxnSpPr>
        <xdr:cNvPr id="13" name="直線矢印コネクタ 27">
          <a:extLst>
            <a:ext uri="{FF2B5EF4-FFF2-40B4-BE49-F238E27FC236}">
              <a16:creationId xmlns:a16="http://schemas.microsoft.com/office/drawing/2014/main" id="{240B1D6E-E7F6-4A5E-AFA5-C3BD62DF14B7}"/>
            </a:ext>
          </a:extLst>
        </xdr:cNvPr>
        <xdr:cNvCxnSpPr>
          <a:cxnSpLocks/>
          <a:stCxn id="5" idx="2"/>
          <a:endCxn id="14" idx="0"/>
        </xdr:cNvCxnSpPr>
      </xdr:nvCxnSpPr>
      <xdr:spPr>
        <a:xfrm flipH="1">
          <a:off x="779387" y="4421521"/>
          <a:ext cx="8205" cy="89089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136072</xdr:colOff>
      <xdr:row>15</xdr:row>
      <xdr:rowOff>79371</xdr:rowOff>
    </xdr:from>
    <xdr:to>
      <xdr:col>7</xdr:col>
      <xdr:colOff>27632</xdr:colOff>
      <xdr:row>18</xdr:row>
      <xdr:rowOff>77328</xdr:rowOff>
    </xdr:to>
    <xdr:grpSp>
      <xdr:nvGrpSpPr>
        <xdr:cNvPr id="6" name="グループ化 5">
          <a:extLst>
            <a:ext uri="{FF2B5EF4-FFF2-40B4-BE49-F238E27FC236}">
              <a16:creationId xmlns:a16="http://schemas.microsoft.com/office/drawing/2014/main" id="{937D2238-D108-4CBA-A074-FF1DFD7BCE60}"/>
            </a:ext>
          </a:extLst>
        </xdr:cNvPr>
        <xdr:cNvGrpSpPr/>
      </xdr:nvGrpSpPr>
      <xdr:grpSpPr>
        <a:xfrm>
          <a:off x="317047" y="2679696"/>
          <a:ext cx="977410" cy="512307"/>
          <a:chOff x="1631877" y="2457450"/>
          <a:chExt cx="933032" cy="401392"/>
        </a:xfrm>
      </xdr:grpSpPr>
      <xdr:sp macro="" textlink="">
        <xdr:nvSpPr>
          <xdr:cNvPr id="7" name="フローチャート: 定義済み処理 6">
            <a:extLst>
              <a:ext uri="{FF2B5EF4-FFF2-40B4-BE49-F238E27FC236}">
                <a16:creationId xmlns:a16="http://schemas.microsoft.com/office/drawing/2014/main" id="{D04EB988-AF18-5ECD-245B-F14BF157A69A}"/>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 name="正方形/長方形 7">
            <a:extLst>
              <a:ext uri="{FF2B5EF4-FFF2-40B4-BE49-F238E27FC236}">
                <a16:creationId xmlns:a16="http://schemas.microsoft.com/office/drawing/2014/main" id="{3C177408-9844-E1B8-199B-DBDA64A2C857}"/>
              </a:ext>
            </a:extLst>
          </xdr:cNvPr>
          <xdr:cNvSpPr/>
        </xdr:nvSpPr>
        <xdr:spPr>
          <a:xfrm>
            <a:off x="1631877" y="2458639"/>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１．相殺決済</a:t>
            </a:r>
            <a:br>
              <a:rPr kumimoji="1" lang="en-US" altLang="ja-JP" sz="900"/>
            </a:br>
            <a:r>
              <a:rPr kumimoji="1" lang="ja-JP" altLang="en-US" sz="900"/>
              <a:t>契約登録</a:t>
            </a:r>
            <a:endParaRPr kumimoji="1" lang="en-US" altLang="ja-JP" sz="900"/>
          </a:p>
        </xdr:txBody>
      </xdr:sp>
    </xdr:grpSp>
    <xdr:clientData/>
  </xdr:twoCellAnchor>
  <xdr:twoCellAnchor>
    <xdr:from>
      <xdr:col>23</xdr:col>
      <xdr:colOff>25591</xdr:colOff>
      <xdr:row>15</xdr:row>
      <xdr:rowOff>18143</xdr:rowOff>
    </xdr:from>
    <xdr:to>
      <xdr:col>28</xdr:col>
      <xdr:colOff>42239</xdr:colOff>
      <xdr:row>18</xdr:row>
      <xdr:rowOff>162865</xdr:rowOff>
    </xdr:to>
    <xdr:grpSp>
      <xdr:nvGrpSpPr>
        <xdr:cNvPr id="9" name="グループ化 8">
          <a:extLst>
            <a:ext uri="{FF2B5EF4-FFF2-40B4-BE49-F238E27FC236}">
              <a16:creationId xmlns:a16="http://schemas.microsoft.com/office/drawing/2014/main" id="{D345335B-56CC-4E74-BA65-182BC5E4A29D}"/>
            </a:ext>
          </a:extLst>
        </xdr:cNvPr>
        <xdr:cNvGrpSpPr/>
      </xdr:nvGrpSpPr>
      <xdr:grpSpPr>
        <a:xfrm>
          <a:off x="4188016" y="2618468"/>
          <a:ext cx="921523" cy="659072"/>
          <a:chOff x="7111999" y="2892425"/>
          <a:chExt cx="873125" cy="584982"/>
        </a:xfrm>
      </xdr:grpSpPr>
      <xdr:sp macro="" textlink="">
        <xdr:nvSpPr>
          <xdr:cNvPr id="10" name="フローチャート: 磁気ディスク 9">
            <a:extLst>
              <a:ext uri="{FF2B5EF4-FFF2-40B4-BE49-F238E27FC236}">
                <a16:creationId xmlns:a16="http://schemas.microsoft.com/office/drawing/2014/main" id="{70226CB1-F0E4-CD55-915A-6A1A7D9A2DF9}"/>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 name="正方形/長方形 10">
            <a:extLst>
              <a:ext uri="{FF2B5EF4-FFF2-40B4-BE49-F238E27FC236}">
                <a16:creationId xmlns:a16="http://schemas.microsoft.com/office/drawing/2014/main" id="{4EE7D093-81CF-359E-DAFF-4CCA2ECFAFA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相殺決済契約</a:t>
            </a:r>
            <a:br>
              <a:rPr kumimoji="1" lang="en-US" altLang="ja-JP" sz="900"/>
            </a:br>
            <a:r>
              <a:rPr kumimoji="1" lang="ja-JP" altLang="en-US" sz="900"/>
              <a:t>マスタ</a:t>
            </a:r>
            <a:endParaRPr kumimoji="1" lang="en-US" altLang="ja-JP" sz="900"/>
          </a:p>
        </xdr:txBody>
      </xdr:sp>
    </xdr:grpSp>
    <xdr:clientData/>
  </xdr:twoCellAnchor>
  <xdr:twoCellAnchor>
    <xdr:from>
      <xdr:col>6</xdr:col>
      <xdr:colOff>151063</xdr:colOff>
      <xdr:row>16</xdr:row>
      <xdr:rowOff>145277</xdr:rowOff>
    </xdr:from>
    <xdr:to>
      <xdr:col>23</xdr:col>
      <xdr:colOff>132583</xdr:colOff>
      <xdr:row>16</xdr:row>
      <xdr:rowOff>151433</xdr:rowOff>
    </xdr:to>
    <xdr:cxnSp macro="">
      <xdr:nvCxnSpPr>
        <xdr:cNvPr id="12" name="直線矢印コネクタ 11">
          <a:extLst>
            <a:ext uri="{FF2B5EF4-FFF2-40B4-BE49-F238E27FC236}">
              <a16:creationId xmlns:a16="http://schemas.microsoft.com/office/drawing/2014/main" id="{11AEC355-3E01-4E4E-94C3-B41A17BAE53A}"/>
            </a:ext>
          </a:extLst>
        </xdr:cNvPr>
        <xdr:cNvCxnSpPr>
          <a:cxnSpLocks/>
          <a:stCxn id="7" idx="3"/>
          <a:endCxn id="10" idx="2"/>
        </xdr:cNvCxnSpPr>
      </xdr:nvCxnSpPr>
      <xdr:spPr>
        <a:xfrm>
          <a:off x="1217863" y="2926577"/>
          <a:ext cx="1759520" cy="61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135278</xdr:colOff>
      <xdr:row>22</xdr:row>
      <xdr:rowOff>133346</xdr:rowOff>
    </xdr:from>
    <xdr:to>
      <xdr:col>7</xdr:col>
      <xdr:colOff>30012</xdr:colOff>
      <xdr:row>25</xdr:row>
      <xdr:rowOff>131302</xdr:rowOff>
    </xdr:to>
    <xdr:grpSp>
      <xdr:nvGrpSpPr>
        <xdr:cNvPr id="2" name="グループ化 1">
          <a:extLst>
            <a:ext uri="{FF2B5EF4-FFF2-40B4-BE49-F238E27FC236}">
              <a16:creationId xmlns:a16="http://schemas.microsoft.com/office/drawing/2014/main" id="{12607817-952A-35BC-78B6-AA260E398E4F}"/>
            </a:ext>
          </a:extLst>
        </xdr:cNvPr>
        <xdr:cNvGrpSpPr/>
      </xdr:nvGrpSpPr>
      <xdr:grpSpPr>
        <a:xfrm>
          <a:off x="316253" y="3933821"/>
          <a:ext cx="980584" cy="512306"/>
          <a:chOff x="1631877" y="2457450"/>
          <a:chExt cx="933032" cy="401392"/>
        </a:xfrm>
      </xdr:grpSpPr>
      <xdr:sp macro="" textlink="">
        <xdr:nvSpPr>
          <xdr:cNvPr id="5" name="フローチャート: 定義済み処理 4">
            <a:extLst>
              <a:ext uri="{FF2B5EF4-FFF2-40B4-BE49-F238E27FC236}">
                <a16:creationId xmlns:a16="http://schemas.microsoft.com/office/drawing/2014/main" id="{64F86698-C544-671C-9135-4A5A475B7A29}"/>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 name="正方形/長方形 14">
            <a:extLst>
              <a:ext uri="{FF2B5EF4-FFF2-40B4-BE49-F238E27FC236}">
                <a16:creationId xmlns:a16="http://schemas.microsoft.com/office/drawing/2014/main" id="{5E79E21A-9263-257B-65AD-830F2628393B}"/>
              </a:ext>
            </a:extLst>
          </xdr:cNvPr>
          <xdr:cNvSpPr/>
        </xdr:nvSpPr>
        <xdr:spPr>
          <a:xfrm>
            <a:off x="1631877" y="2458639"/>
            <a:ext cx="933032" cy="400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２．有効化</a:t>
            </a:r>
            <a:endParaRPr kumimoji="1" lang="en-US" altLang="ja-JP" sz="900"/>
          </a:p>
        </xdr:txBody>
      </xdr:sp>
    </xdr:grpSp>
    <xdr:clientData/>
  </xdr:twoCellAnchor>
  <xdr:twoCellAnchor>
    <xdr:from>
      <xdr:col>23</xdr:col>
      <xdr:colOff>25591</xdr:colOff>
      <xdr:row>22</xdr:row>
      <xdr:rowOff>56243</xdr:rowOff>
    </xdr:from>
    <xdr:to>
      <xdr:col>28</xdr:col>
      <xdr:colOff>48589</xdr:colOff>
      <xdr:row>26</xdr:row>
      <xdr:rowOff>37452</xdr:rowOff>
    </xdr:to>
    <xdr:grpSp>
      <xdr:nvGrpSpPr>
        <xdr:cNvPr id="16" name="グループ化 15">
          <a:extLst>
            <a:ext uri="{FF2B5EF4-FFF2-40B4-BE49-F238E27FC236}">
              <a16:creationId xmlns:a16="http://schemas.microsoft.com/office/drawing/2014/main" id="{CD9EAF34-0446-8A7C-F1C5-FD518544914B}"/>
            </a:ext>
          </a:extLst>
        </xdr:cNvPr>
        <xdr:cNvGrpSpPr/>
      </xdr:nvGrpSpPr>
      <xdr:grpSpPr>
        <a:xfrm>
          <a:off x="4188016" y="3856718"/>
          <a:ext cx="927873" cy="667009"/>
          <a:chOff x="7111999" y="2892425"/>
          <a:chExt cx="873125" cy="584982"/>
        </a:xfrm>
      </xdr:grpSpPr>
      <xdr:sp macro="" textlink="">
        <xdr:nvSpPr>
          <xdr:cNvPr id="17" name="フローチャート: 磁気ディスク 16">
            <a:extLst>
              <a:ext uri="{FF2B5EF4-FFF2-40B4-BE49-F238E27FC236}">
                <a16:creationId xmlns:a16="http://schemas.microsoft.com/office/drawing/2014/main" id="{C77B2EC0-291D-F434-AF7A-CA12CAC33903}"/>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 name="正方形/長方形 17">
            <a:extLst>
              <a:ext uri="{FF2B5EF4-FFF2-40B4-BE49-F238E27FC236}">
                <a16:creationId xmlns:a16="http://schemas.microsoft.com/office/drawing/2014/main" id="{0CADE92A-DF0D-E8F7-A73A-563BF5AB8F08}"/>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相殺決済契約</a:t>
            </a:r>
            <a:br>
              <a:rPr kumimoji="1" lang="en-US" altLang="ja-JP" sz="900"/>
            </a:br>
            <a:r>
              <a:rPr kumimoji="1" lang="ja-JP" altLang="en-US" sz="900"/>
              <a:t>マスタ</a:t>
            </a:r>
            <a:endParaRPr kumimoji="1" lang="en-US" altLang="ja-JP" sz="900"/>
          </a:p>
        </xdr:txBody>
      </xdr:sp>
    </xdr:grpSp>
    <xdr:clientData/>
  </xdr:twoCellAnchor>
  <xdr:twoCellAnchor>
    <xdr:from>
      <xdr:col>6</xdr:col>
      <xdr:colOff>142878</xdr:colOff>
      <xdr:row>24</xdr:row>
      <xdr:rowOff>19250</xdr:rowOff>
    </xdr:from>
    <xdr:to>
      <xdr:col>23</xdr:col>
      <xdr:colOff>121764</xdr:colOff>
      <xdr:row>24</xdr:row>
      <xdr:rowOff>29534</xdr:rowOff>
    </xdr:to>
    <xdr:cxnSp macro="">
      <xdr:nvCxnSpPr>
        <xdr:cNvPr id="19" name="直線矢印コネクタ 18">
          <a:extLst>
            <a:ext uri="{FF2B5EF4-FFF2-40B4-BE49-F238E27FC236}">
              <a16:creationId xmlns:a16="http://schemas.microsoft.com/office/drawing/2014/main" id="{9D84F2CB-1906-404C-B1B8-D0A3A4E7C1F3}"/>
            </a:ext>
          </a:extLst>
        </xdr:cNvPr>
        <xdr:cNvCxnSpPr>
          <a:cxnSpLocks/>
          <a:stCxn id="5" idx="3"/>
          <a:endCxn id="17" idx="2"/>
        </xdr:cNvCxnSpPr>
      </xdr:nvCxnSpPr>
      <xdr:spPr>
        <a:xfrm flipV="1">
          <a:off x="1209678" y="4172150"/>
          <a:ext cx="3001486" cy="1028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75620</xdr:colOff>
      <xdr:row>18</xdr:row>
      <xdr:rowOff>43196</xdr:rowOff>
    </xdr:from>
    <xdr:to>
      <xdr:col>4</xdr:col>
      <xdr:colOff>76392</xdr:colOff>
      <xdr:row>22</xdr:row>
      <xdr:rowOff>133346</xdr:rowOff>
    </xdr:to>
    <xdr:cxnSp macro="">
      <xdr:nvCxnSpPr>
        <xdr:cNvPr id="21" name="直線矢印コネクタ 27">
          <a:extLst>
            <a:ext uri="{FF2B5EF4-FFF2-40B4-BE49-F238E27FC236}">
              <a16:creationId xmlns:a16="http://schemas.microsoft.com/office/drawing/2014/main" id="{51067EC0-8897-4EE6-BC79-73FFFB347C4C}"/>
            </a:ext>
          </a:extLst>
        </xdr:cNvPr>
        <xdr:cNvCxnSpPr>
          <a:cxnSpLocks/>
          <a:stCxn id="7" idx="2"/>
          <a:endCxn id="5" idx="0"/>
        </xdr:cNvCxnSpPr>
      </xdr:nvCxnSpPr>
      <xdr:spPr>
        <a:xfrm>
          <a:off x="786820" y="3167396"/>
          <a:ext cx="772" cy="7759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117928</xdr:colOff>
      <xdr:row>94</xdr:row>
      <xdr:rowOff>144307</xdr:rowOff>
    </xdr:from>
    <xdr:to>
      <xdr:col>6</xdr:col>
      <xdr:colOff>40670</xdr:colOff>
      <xdr:row>96</xdr:row>
      <xdr:rowOff>48000</xdr:rowOff>
    </xdr:to>
    <xdr:sp macro="" textlink="">
      <xdr:nvSpPr>
        <xdr:cNvPr id="2" name="フローチャート: 端子 1">
          <a:extLst>
            <a:ext uri="{FF2B5EF4-FFF2-40B4-BE49-F238E27FC236}">
              <a16:creationId xmlns:a16="http://schemas.microsoft.com/office/drawing/2014/main" id="{C9BD7BC7-9268-41C7-B582-A2418E2C435E}"/>
            </a:ext>
          </a:extLst>
        </xdr:cNvPr>
        <xdr:cNvSpPr/>
      </xdr:nvSpPr>
      <xdr:spPr>
        <a:xfrm>
          <a:off x="473528" y="13041157"/>
          <a:ext cx="633942" cy="24659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xdr:col>
      <xdr:colOff>79393</xdr:colOff>
      <xdr:row>30</xdr:row>
      <xdr:rowOff>46325</xdr:rowOff>
    </xdr:from>
    <xdr:to>
      <xdr:col>4</xdr:col>
      <xdr:colOff>79870</xdr:colOff>
      <xdr:row>49</xdr:row>
      <xdr:rowOff>148546</xdr:rowOff>
    </xdr:to>
    <xdr:cxnSp macro="">
      <xdr:nvCxnSpPr>
        <xdr:cNvPr id="3" name="直線矢印コネクタ 27">
          <a:extLst>
            <a:ext uri="{FF2B5EF4-FFF2-40B4-BE49-F238E27FC236}">
              <a16:creationId xmlns:a16="http://schemas.microsoft.com/office/drawing/2014/main" id="{FAFE6FB6-E78C-45BE-B361-6F24B357D716}"/>
            </a:ext>
          </a:extLst>
        </xdr:cNvPr>
        <xdr:cNvCxnSpPr>
          <a:cxnSpLocks/>
          <a:endCxn id="87" idx="0"/>
        </xdr:cNvCxnSpPr>
      </xdr:nvCxnSpPr>
      <xdr:spPr>
        <a:xfrm flipH="1">
          <a:off x="777893" y="5308888"/>
          <a:ext cx="477" cy="342009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144801</xdr:colOff>
      <xdr:row>27</xdr:row>
      <xdr:rowOff>27096</xdr:rowOff>
    </xdr:from>
    <xdr:to>
      <xdr:col>9</xdr:col>
      <xdr:colOff>65086</xdr:colOff>
      <xdr:row>30</xdr:row>
      <xdr:rowOff>84932</xdr:rowOff>
    </xdr:to>
    <xdr:grpSp>
      <xdr:nvGrpSpPr>
        <xdr:cNvPr id="54" name="グループ化 3">
          <a:extLst>
            <a:ext uri="{FF2B5EF4-FFF2-40B4-BE49-F238E27FC236}">
              <a16:creationId xmlns:a16="http://schemas.microsoft.com/office/drawing/2014/main" id="{D455696D-25CF-48B9-8DE1-616991980F88}"/>
            </a:ext>
          </a:extLst>
        </xdr:cNvPr>
        <xdr:cNvGrpSpPr/>
      </xdr:nvGrpSpPr>
      <xdr:grpSpPr>
        <a:xfrm>
          <a:off x="325776" y="4684821"/>
          <a:ext cx="1368085" cy="572186"/>
          <a:chOff x="1638779" y="2412828"/>
          <a:chExt cx="1301791" cy="449076"/>
        </a:xfrm>
      </xdr:grpSpPr>
      <xdr:sp macro="" textlink="">
        <xdr:nvSpPr>
          <xdr:cNvPr id="55" name="フローチャート: 定義済み処理 4">
            <a:extLst>
              <a:ext uri="{FF2B5EF4-FFF2-40B4-BE49-F238E27FC236}">
                <a16:creationId xmlns:a16="http://schemas.microsoft.com/office/drawing/2014/main" id="{FC9CEF47-5ABD-0388-68CF-A4D1499FD65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6" name="正方形/長方形 5">
            <a:extLst>
              <a:ext uri="{FF2B5EF4-FFF2-40B4-BE49-F238E27FC236}">
                <a16:creationId xmlns:a16="http://schemas.microsoft.com/office/drawing/2014/main" id="{E271F207-9BA7-85FB-CD9E-D33758980D86}"/>
              </a:ext>
            </a:extLst>
          </xdr:cNvPr>
          <xdr:cNvSpPr/>
        </xdr:nvSpPr>
        <xdr:spPr>
          <a:xfrm>
            <a:off x="1638779" y="2412828"/>
            <a:ext cx="1301791" cy="4490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２．仕入先マスタ・</a:t>
            </a:r>
            <a:endParaRPr kumimoji="1" lang="en-US" altLang="ja-JP" sz="900"/>
          </a:p>
          <a:p>
            <a:pPr algn="ctr"/>
            <a:r>
              <a:rPr kumimoji="1" lang="ja-JP" altLang="en-US" sz="900"/>
              <a:t>仕入先の銀行口座登録</a:t>
            </a:r>
            <a:endParaRPr kumimoji="1" lang="en-US" altLang="ja-JP" sz="900"/>
          </a:p>
        </xdr:txBody>
      </xdr:sp>
    </xdr:grpSp>
    <xdr:clientData/>
  </xdr:twoCellAnchor>
  <xdr:twoCellAnchor>
    <xdr:from>
      <xdr:col>37</xdr:col>
      <xdr:colOff>1777</xdr:colOff>
      <xdr:row>31</xdr:row>
      <xdr:rowOff>81646</xdr:rowOff>
    </xdr:from>
    <xdr:to>
      <xdr:col>42</xdr:col>
      <xdr:colOff>18425</xdr:colOff>
      <xdr:row>35</xdr:row>
      <xdr:rowOff>51743</xdr:rowOff>
    </xdr:to>
    <xdr:grpSp>
      <xdr:nvGrpSpPr>
        <xdr:cNvPr id="7" name="グループ化 6">
          <a:extLst>
            <a:ext uri="{FF2B5EF4-FFF2-40B4-BE49-F238E27FC236}">
              <a16:creationId xmlns:a16="http://schemas.microsoft.com/office/drawing/2014/main" id="{CDD9BDA5-FD57-40A4-A2F5-C5F4FD86DE12}"/>
            </a:ext>
          </a:extLst>
        </xdr:cNvPr>
        <xdr:cNvGrpSpPr/>
      </xdr:nvGrpSpPr>
      <xdr:grpSpPr>
        <a:xfrm>
          <a:off x="6697852" y="5425171"/>
          <a:ext cx="921523" cy="655897"/>
          <a:chOff x="7111999" y="2892425"/>
          <a:chExt cx="873125" cy="584982"/>
        </a:xfrm>
      </xdr:grpSpPr>
      <xdr:sp macro="" textlink="">
        <xdr:nvSpPr>
          <xdr:cNvPr id="8" name="フローチャート: 磁気ディスク 7">
            <a:extLst>
              <a:ext uri="{FF2B5EF4-FFF2-40B4-BE49-F238E27FC236}">
                <a16:creationId xmlns:a16="http://schemas.microsoft.com/office/drawing/2014/main" id="{06EEDC0F-5C20-504D-CB3E-267F02B057EF}"/>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 name="正方形/長方形 8">
            <a:extLst>
              <a:ext uri="{FF2B5EF4-FFF2-40B4-BE49-F238E27FC236}">
                <a16:creationId xmlns:a16="http://schemas.microsoft.com/office/drawing/2014/main" id="{818CC4C2-2C20-9756-0F02-BF62FF0BB12E}"/>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MDM</a:t>
            </a:r>
          </a:p>
        </xdr:txBody>
      </xdr:sp>
    </xdr:grpSp>
    <xdr:clientData/>
  </xdr:twoCellAnchor>
  <xdr:twoCellAnchor>
    <xdr:from>
      <xdr:col>6</xdr:col>
      <xdr:colOff>140888</xdr:colOff>
      <xdr:row>28</xdr:row>
      <xdr:rowOff>142745</xdr:rowOff>
    </xdr:from>
    <xdr:to>
      <xdr:col>37</xdr:col>
      <xdr:colOff>88256</xdr:colOff>
      <xdr:row>28</xdr:row>
      <xdr:rowOff>148412</xdr:rowOff>
    </xdr:to>
    <xdr:cxnSp macro="">
      <xdr:nvCxnSpPr>
        <xdr:cNvPr id="10" name="直線矢印コネクタ 9">
          <a:extLst>
            <a:ext uri="{FF2B5EF4-FFF2-40B4-BE49-F238E27FC236}">
              <a16:creationId xmlns:a16="http://schemas.microsoft.com/office/drawing/2014/main" id="{28767F6C-37C2-4CDE-B671-B1C36EA7B36F}"/>
            </a:ext>
          </a:extLst>
        </xdr:cNvPr>
        <xdr:cNvCxnSpPr>
          <a:cxnSpLocks/>
          <a:endCxn id="46" idx="2"/>
        </xdr:cNvCxnSpPr>
      </xdr:nvCxnSpPr>
      <xdr:spPr>
        <a:xfrm flipV="1">
          <a:off x="1207688" y="4809995"/>
          <a:ext cx="5459168" cy="566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116759</xdr:colOff>
      <xdr:row>11</xdr:row>
      <xdr:rowOff>27215</xdr:rowOff>
    </xdr:from>
    <xdr:to>
      <xdr:col>20</xdr:col>
      <xdr:colOff>31798</xdr:colOff>
      <xdr:row>12</xdr:row>
      <xdr:rowOff>103298</xdr:rowOff>
    </xdr:to>
    <xdr:sp macro="" textlink="">
      <xdr:nvSpPr>
        <xdr:cNvPr id="11" name="フローチャート: 端子 10">
          <a:extLst>
            <a:ext uri="{FF2B5EF4-FFF2-40B4-BE49-F238E27FC236}">
              <a16:creationId xmlns:a16="http://schemas.microsoft.com/office/drawing/2014/main" id="{9D81E9C7-373B-4795-B481-8A92008F3F54}"/>
            </a:ext>
          </a:extLst>
        </xdr:cNvPr>
        <xdr:cNvSpPr/>
      </xdr:nvSpPr>
      <xdr:spPr>
        <a:xfrm>
          <a:off x="2961559" y="1951265"/>
          <a:ext cx="626239" cy="24753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68500</xdr:colOff>
      <xdr:row>12</xdr:row>
      <xdr:rowOff>103298</xdr:rowOff>
    </xdr:from>
    <xdr:to>
      <xdr:col>18</xdr:col>
      <xdr:colOff>74279</xdr:colOff>
      <xdr:row>16</xdr:row>
      <xdr:rowOff>94244</xdr:rowOff>
    </xdr:to>
    <xdr:cxnSp macro="">
      <xdr:nvCxnSpPr>
        <xdr:cNvPr id="12" name="直線矢印コネクタ 27">
          <a:extLst>
            <a:ext uri="{FF2B5EF4-FFF2-40B4-BE49-F238E27FC236}">
              <a16:creationId xmlns:a16="http://schemas.microsoft.com/office/drawing/2014/main" id="{4004E6B0-A0B0-46DE-A088-3559C96F4B19}"/>
            </a:ext>
          </a:extLst>
        </xdr:cNvPr>
        <xdr:cNvCxnSpPr>
          <a:cxnSpLocks/>
          <a:stCxn id="11" idx="2"/>
          <a:endCxn id="14" idx="0"/>
        </xdr:cNvCxnSpPr>
      </xdr:nvCxnSpPr>
      <xdr:spPr>
        <a:xfrm flipH="1">
          <a:off x="3268900" y="2198798"/>
          <a:ext cx="5779" cy="67674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164646</xdr:colOff>
      <xdr:row>16</xdr:row>
      <xdr:rowOff>61274</xdr:rowOff>
    </xdr:from>
    <xdr:to>
      <xdr:col>22</xdr:col>
      <xdr:colOff>82550</xdr:colOff>
      <xdr:row>20</xdr:row>
      <xdr:rowOff>3735</xdr:rowOff>
    </xdr:to>
    <xdr:grpSp>
      <xdr:nvGrpSpPr>
        <xdr:cNvPr id="13" name="グループ化 12">
          <a:extLst>
            <a:ext uri="{FF2B5EF4-FFF2-40B4-BE49-F238E27FC236}">
              <a16:creationId xmlns:a16="http://schemas.microsoft.com/office/drawing/2014/main" id="{6D63A0EE-9A88-41C4-97F1-C9FA503411AF}"/>
            </a:ext>
          </a:extLst>
        </xdr:cNvPr>
        <xdr:cNvGrpSpPr/>
      </xdr:nvGrpSpPr>
      <xdr:grpSpPr>
        <a:xfrm>
          <a:off x="2698296" y="2833049"/>
          <a:ext cx="1365704" cy="628261"/>
          <a:chOff x="1495978" y="2434350"/>
          <a:chExt cx="1301791" cy="449076"/>
        </a:xfrm>
      </xdr:grpSpPr>
      <xdr:sp macro="" textlink="">
        <xdr:nvSpPr>
          <xdr:cNvPr id="14" name="フローチャート: 定義済み処理 13">
            <a:extLst>
              <a:ext uri="{FF2B5EF4-FFF2-40B4-BE49-F238E27FC236}">
                <a16:creationId xmlns:a16="http://schemas.microsoft.com/office/drawing/2014/main" id="{7A626700-0791-EA82-DDA8-E99C7AC5E0F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 name="正方形/長方形 14">
            <a:extLst>
              <a:ext uri="{FF2B5EF4-FFF2-40B4-BE49-F238E27FC236}">
                <a16:creationId xmlns:a16="http://schemas.microsoft.com/office/drawing/2014/main" id="{9B6248AC-92E6-C26C-2D68-ACDDCC266883}"/>
              </a:ext>
            </a:extLst>
          </xdr:cNvPr>
          <xdr:cNvSpPr/>
        </xdr:nvSpPr>
        <xdr:spPr>
          <a:xfrm>
            <a:off x="1495978" y="2434350"/>
            <a:ext cx="1301791" cy="4490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１．銀行グループの</a:t>
            </a:r>
            <a:endParaRPr kumimoji="1" lang="en-US" altLang="ja-JP" sz="900"/>
          </a:p>
          <a:p>
            <a:pPr algn="ctr"/>
            <a:r>
              <a:rPr kumimoji="1" lang="ja-JP" altLang="en-US" sz="900"/>
              <a:t>登録</a:t>
            </a:r>
            <a:endParaRPr kumimoji="1" lang="en-US" altLang="ja-JP" sz="900"/>
          </a:p>
        </xdr:txBody>
      </xdr:sp>
    </xdr:grpSp>
    <xdr:clientData/>
  </xdr:twoCellAnchor>
  <xdr:twoCellAnchor>
    <xdr:from>
      <xdr:col>30</xdr:col>
      <xdr:colOff>1779</xdr:colOff>
      <xdr:row>16</xdr:row>
      <xdr:rowOff>65767</xdr:rowOff>
    </xdr:from>
    <xdr:to>
      <xdr:col>35</xdr:col>
      <xdr:colOff>18427</xdr:colOff>
      <xdr:row>20</xdr:row>
      <xdr:rowOff>35864</xdr:rowOff>
    </xdr:to>
    <xdr:grpSp>
      <xdr:nvGrpSpPr>
        <xdr:cNvPr id="16" name="グループ化 15">
          <a:extLst>
            <a:ext uri="{FF2B5EF4-FFF2-40B4-BE49-F238E27FC236}">
              <a16:creationId xmlns:a16="http://schemas.microsoft.com/office/drawing/2014/main" id="{E2C207A7-849C-45EE-803E-F2CF829CFFE5}"/>
            </a:ext>
          </a:extLst>
        </xdr:cNvPr>
        <xdr:cNvGrpSpPr/>
      </xdr:nvGrpSpPr>
      <xdr:grpSpPr>
        <a:xfrm>
          <a:off x="5431029" y="2837542"/>
          <a:ext cx="921523" cy="655897"/>
          <a:chOff x="7111999" y="2892425"/>
          <a:chExt cx="873125" cy="584982"/>
        </a:xfrm>
      </xdr:grpSpPr>
      <xdr:sp macro="" textlink="">
        <xdr:nvSpPr>
          <xdr:cNvPr id="17" name="フローチャート: 磁気ディスク 16">
            <a:extLst>
              <a:ext uri="{FF2B5EF4-FFF2-40B4-BE49-F238E27FC236}">
                <a16:creationId xmlns:a16="http://schemas.microsoft.com/office/drawing/2014/main" id="{D2956C77-92A8-A66B-4E08-3016306F360B}"/>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 name="正方形/長方形 17">
            <a:extLst>
              <a:ext uri="{FF2B5EF4-FFF2-40B4-BE49-F238E27FC236}">
                <a16:creationId xmlns:a16="http://schemas.microsoft.com/office/drawing/2014/main" id="{9E557A06-8C5F-F284-AA50-008A9B303AC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銀行グループ</a:t>
            </a:r>
            <a:endParaRPr kumimoji="1" lang="en-US" altLang="ja-JP" sz="900"/>
          </a:p>
        </xdr:txBody>
      </xdr:sp>
    </xdr:grpSp>
    <xdr:clientData/>
  </xdr:twoCellAnchor>
  <xdr:twoCellAnchor>
    <xdr:from>
      <xdr:col>20</xdr:col>
      <xdr:colOff>132950</xdr:colOff>
      <xdr:row>18</xdr:row>
      <xdr:rowOff>12361</xdr:rowOff>
    </xdr:from>
    <xdr:to>
      <xdr:col>30</xdr:col>
      <xdr:colOff>95609</xdr:colOff>
      <xdr:row>18</xdr:row>
      <xdr:rowOff>23153</xdr:rowOff>
    </xdr:to>
    <xdr:cxnSp macro="">
      <xdr:nvCxnSpPr>
        <xdr:cNvPr id="19" name="直線矢印コネクタ 18">
          <a:extLst>
            <a:ext uri="{FF2B5EF4-FFF2-40B4-BE49-F238E27FC236}">
              <a16:creationId xmlns:a16="http://schemas.microsoft.com/office/drawing/2014/main" id="{FAA86498-D48B-4E42-9EF1-39CED9B7F03B}"/>
            </a:ext>
          </a:extLst>
        </xdr:cNvPr>
        <xdr:cNvCxnSpPr>
          <a:cxnSpLocks/>
          <a:stCxn id="14" idx="3"/>
          <a:endCxn id="17" idx="2"/>
        </xdr:cNvCxnSpPr>
      </xdr:nvCxnSpPr>
      <xdr:spPr>
        <a:xfrm>
          <a:off x="3688950" y="3136561"/>
          <a:ext cx="1740659" cy="1079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76438</xdr:colOff>
      <xdr:row>19</xdr:row>
      <xdr:rowOff>105103</xdr:rowOff>
    </xdr:from>
    <xdr:to>
      <xdr:col>18</xdr:col>
      <xdr:colOff>68500</xdr:colOff>
      <xdr:row>27</xdr:row>
      <xdr:rowOff>79976</xdr:rowOff>
    </xdr:to>
    <xdr:cxnSp macro="">
      <xdr:nvCxnSpPr>
        <xdr:cNvPr id="20" name="コネクタ: カギ線 19">
          <a:extLst>
            <a:ext uri="{FF2B5EF4-FFF2-40B4-BE49-F238E27FC236}">
              <a16:creationId xmlns:a16="http://schemas.microsoft.com/office/drawing/2014/main" id="{07AA8DA6-5BC1-4FC9-9B10-B9B2958F9B72}"/>
            </a:ext>
          </a:extLst>
        </xdr:cNvPr>
        <xdr:cNvCxnSpPr>
          <a:cxnSpLocks/>
          <a:stCxn id="14" idx="2"/>
        </xdr:cNvCxnSpPr>
      </xdr:nvCxnSpPr>
      <xdr:spPr>
        <a:xfrm rot="5400000">
          <a:off x="1440757" y="2747634"/>
          <a:ext cx="1175023" cy="248126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86279</xdr:colOff>
      <xdr:row>33</xdr:row>
      <xdr:rowOff>39032</xdr:rowOff>
    </xdr:from>
    <xdr:to>
      <xdr:col>41</xdr:col>
      <xdr:colOff>86277</xdr:colOff>
      <xdr:row>44</xdr:row>
      <xdr:rowOff>46965</xdr:rowOff>
    </xdr:to>
    <xdr:cxnSp macro="">
      <xdr:nvCxnSpPr>
        <xdr:cNvPr id="21" name="コネクタ: カギ線 20">
          <a:extLst>
            <a:ext uri="{FF2B5EF4-FFF2-40B4-BE49-F238E27FC236}">
              <a16:creationId xmlns:a16="http://schemas.microsoft.com/office/drawing/2014/main" id="{3E632F86-2040-499B-B10F-3CDA1339433F}"/>
            </a:ext>
          </a:extLst>
        </xdr:cNvPr>
        <xdr:cNvCxnSpPr>
          <a:stCxn id="8" idx="4"/>
          <a:endCxn id="23" idx="4"/>
        </xdr:cNvCxnSpPr>
      </xdr:nvCxnSpPr>
      <xdr:spPr>
        <a:xfrm flipH="1">
          <a:off x="6023529" y="5650845"/>
          <a:ext cx="1222373" cy="1928808"/>
        </a:xfrm>
        <a:prstGeom prst="bentConnector3">
          <a:avLst>
            <a:gd name="adj1" fmla="val -1870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1779</xdr:colOff>
      <xdr:row>42</xdr:row>
      <xdr:rowOff>89579</xdr:rowOff>
    </xdr:from>
    <xdr:to>
      <xdr:col>35</xdr:col>
      <xdr:colOff>18427</xdr:colOff>
      <xdr:row>46</xdr:row>
      <xdr:rowOff>59676</xdr:rowOff>
    </xdr:to>
    <xdr:grpSp>
      <xdr:nvGrpSpPr>
        <xdr:cNvPr id="22" name="グループ化 31">
          <a:extLst>
            <a:ext uri="{FF2B5EF4-FFF2-40B4-BE49-F238E27FC236}">
              <a16:creationId xmlns:a16="http://schemas.microsoft.com/office/drawing/2014/main" id="{E51499EA-6A1B-4412-BF53-469E9830E471}"/>
            </a:ext>
          </a:extLst>
        </xdr:cNvPr>
        <xdr:cNvGrpSpPr/>
      </xdr:nvGrpSpPr>
      <xdr:grpSpPr>
        <a:xfrm>
          <a:off x="5431029" y="7319054"/>
          <a:ext cx="921523" cy="655897"/>
          <a:chOff x="7111999" y="2892425"/>
          <a:chExt cx="873125" cy="584982"/>
        </a:xfrm>
      </xdr:grpSpPr>
      <xdr:sp macro="" textlink="">
        <xdr:nvSpPr>
          <xdr:cNvPr id="23" name="フローチャート: 磁気ディスク 32">
            <a:extLst>
              <a:ext uri="{FF2B5EF4-FFF2-40B4-BE49-F238E27FC236}">
                <a16:creationId xmlns:a16="http://schemas.microsoft.com/office/drawing/2014/main" id="{E305E1EE-AE64-6669-3665-CDB91AC36AAA}"/>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 name="正方形/長方形 33">
            <a:extLst>
              <a:ext uri="{FF2B5EF4-FFF2-40B4-BE49-F238E27FC236}">
                <a16:creationId xmlns:a16="http://schemas.microsoft.com/office/drawing/2014/main" id="{4057730E-D6C1-AB2A-B13F-F7FB7B9D1C31}"/>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xdr:txBody>
      </xdr:sp>
    </xdr:grpSp>
    <xdr:clientData/>
  </xdr:twoCellAnchor>
  <xdr:twoCellAnchor>
    <xdr:from>
      <xdr:col>30</xdr:col>
      <xdr:colOff>1779</xdr:colOff>
      <xdr:row>46</xdr:row>
      <xdr:rowOff>49891</xdr:rowOff>
    </xdr:from>
    <xdr:to>
      <xdr:col>35</xdr:col>
      <xdr:colOff>18427</xdr:colOff>
      <xdr:row>50</xdr:row>
      <xdr:rowOff>19988</xdr:rowOff>
    </xdr:to>
    <xdr:grpSp>
      <xdr:nvGrpSpPr>
        <xdr:cNvPr id="25" name="グループ化 24">
          <a:extLst>
            <a:ext uri="{FF2B5EF4-FFF2-40B4-BE49-F238E27FC236}">
              <a16:creationId xmlns:a16="http://schemas.microsoft.com/office/drawing/2014/main" id="{78BCA682-649A-4226-B771-7AE39BEA4BF0}"/>
            </a:ext>
          </a:extLst>
        </xdr:cNvPr>
        <xdr:cNvGrpSpPr/>
      </xdr:nvGrpSpPr>
      <xdr:grpSpPr>
        <a:xfrm>
          <a:off x="5431029" y="7965166"/>
          <a:ext cx="921523" cy="655897"/>
          <a:chOff x="7111999" y="2892425"/>
          <a:chExt cx="873125" cy="584982"/>
        </a:xfrm>
      </xdr:grpSpPr>
      <xdr:sp macro="" textlink="">
        <xdr:nvSpPr>
          <xdr:cNvPr id="26" name="フローチャート: 磁気ディスク 25">
            <a:extLst>
              <a:ext uri="{FF2B5EF4-FFF2-40B4-BE49-F238E27FC236}">
                <a16:creationId xmlns:a16="http://schemas.microsoft.com/office/drawing/2014/main" id="{BD0F502F-C34C-D200-95CF-9221DD024BBC}"/>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7" name="正方形/長方形 26">
            <a:extLst>
              <a:ext uri="{FF2B5EF4-FFF2-40B4-BE49-F238E27FC236}">
                <a16:creationId xmlns:a16="http://schemas.microsoft.com/office/drawing/2014/main" id="{12A1D56D-AC7B-F47A-CBF4-E6D64E38B030}"/>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仕入先の</a:t>
            </a:r>
            <a:endParaRPr kumimoji="1" lang="en-US" altLang="ja-JP" sz="900"/>
          </a:p>
          <a:p>
            <a:pPr algn="ctr"/>
            <a:r>
              <a:rPr kumimoji="1" lang="ja-JP" altLang="en-US" sz="900"/>
              <a:t>銀行口座</a:t>
            </a:r>
            <a:endParaRPr kumimoji="1" lang="en-US" altLang="ja-JP" sz="900"/>
          </a:p>
        </xdr:txBody>
      </xdr:sp>
    </xdr:grpSp>
    <xdr:clientData/>
  </xdr:twoCellAnchor>
  <xdr:twoCellAnchor>
    <xdr:from>
      <xdr:col>34</xdr:col>
      <xdr:colOff>86279</xdr:colOff>
      <xdr:row>33</xdr:row>
      <xdr:rowOff>39032</xdr:rowOff>
    </xdr:from>
    <xdr:to>
      <xdr:col>41</xdr:col>
      <xdr:colOff>86277</xdr:colOff>
      <xdr:row>48</xdr:row>
      <xdr:rowOff>7277</xdr:rowOff>
    </xdr:to>
    <xdr:cxnSp macro="">
      <xdr:nvCxnSpPr>
        <xdr:cNvPr id="28" name="コネクタ: カギ線 27">
          <a:extLst>
            <a:ext uri="{FF2B5EF4-FFF2-40B4-BE49-F238E27FC236}">
              <a16:creationId xmlns:a16="http://schemas.microsoft.com/office/drawing/2014/main" id="{2E268821-8096-4670-9187-749E1C1038A8}"/>
            </a:ext>
          </a:extLst>
        </xdr:cNvPr>
        <xdr:cNvCxnSpPr>
          <a:stCxn id="8" idx="4"/>
          <a:endCxn id="26" idx="4"/>
        </xdr:cNvCxnSpPr>
      </xdr:nvCxnSpPr>
      <xdr:spPr>
        <a:xfrm flipH="1">
          <a:off x="6023529" y="5650845"/>
          <a:ext cx="1222373" cy="2587620"/>
        </a:xfrm>
        <a:prstGeom prst="bentConnector3">
          <a:avLst>
            <a:gd name="adj1" fmla="val -1870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148770</xdr:colOff>
      <xdr:row>57</xdr:row>
      <xdr:rowOff>3099</xdr:rowOff>
    </xdr:from>
    <xdr:to>
      <xdr:col>8</xdr:col>
      <xdr:colOff>66674</xdr:colOff>
      <xdr:row>60</xdr:row>
      <xdr:rowOff>61916</xdr:rowOff>
    </xdr:to>
    <xdr:grpSp>
      <xdr:nvGrpSpPr>
        <xdr:cNvPr id="29" name="グループ化 28">
          <a:extLst>
            <a:ext uri="{FF2B5EF4-FFF2-40B4-BE49-F238E27FC236}">
              <a16:creationId xmlns:a16="http://schemas.microsoft.com/office/drawing/2014/main" id="{0DD9CC56-2B1D-4A7B-BDC9-9D6CE6546F1C}"/>
            </a:ext>
          </a:extLst>
        </xdr:cNvPr>
        <xdr:cNvGrpSpPr/>
      </xdr:nvGrpSpPr>
      <xdr:grpSpPr>
        <a:xfrm>
          <a:off x="148770" y="9804324"/>
          <a:ext cx="1365704" cy="573167"/>
          <a:chOff x="1472402" y="2422671"/>
          <a:chExt cx="1301791" cy="449076"/>
        </a:xfrm>
      </xdr:grpSpPr>
      <xdr:sp macro="" textlink="">
        <xdr:nvSpPr>
          <xdr:cNvPr id="30" name="フローチャート: 定義済み処理 29">
            <a:extLst>
              <a:ext uri="{FF2B5EF4-FFF2-40B4-BE49-F238E27FC236}">
                <a16:creationId xmlns:a16="http://schemas.microsoft.com/office/drawing/2014/main" id="{194BFCB9-8945-CF0D-C766-6B2E3AADAEE6}"/>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1" name="正方形/長方形 30">
            <a:extLst>
              <a:ext uri="{FF2B5EF4-FFF2-40B4-BE49-F238E27FC236}">
                <a16:creationId xmlns:a16="http://schemas.microsoft.com/office/drawing/2014/main" id="{9F903012-77F1-0020-823C-36C7314F1D88}"/>
              </a:ext>
            </a:extLst>
          </xdr:cNvPr>
          <xdr:cNvSpPr/>
        </xdr:nvSpPr>
        <xdr:spPr>
          <a:xfrm>
            <a:off x="1472402" y="2422671"/>
            <a:ext cx="1301791" cy="4490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３．仕入先マスタ</a:t>
            </a:r>
            <a:endParaRPr kumimoji="1" lang="en-US" altLang="ja-JP" sz="900"/>
          </a:p>
          <a:p>
            <a:pPr algn="ctr"/>
            <a:r>
              <a:rPr kumimoji="1" lang="ja-JP" altLang="en-US" sz="900"/>
              <a:t>の更新</a:t>
            </a:r>
            <a:endParaRPr kumimoji="1" lang="en-US" altLang="ja-JP" sz="900"/>
          </a:p>
        </xdr:txBody>
      </xdr:sp>
    </xdr:grpSp>
    <xdr:clientData/>
  </xdr:twoCellAnchor>
  <xdr:twoCellAnchor>
    <xdr:from>
      <xdr:col>30</xdr:col>
      <xdr:colOff>1779</xdr:colOff>
      <xdr:row>56</xdr:row>
      <xdr:rowOff>161024</xdr:rowOff>
    </xdr:from>
    <xdr:to>
      <xdr:col>35</xdr:col>
      <xdr:colOff>18427</xdr:colOff>
      <xdr:row>60</xdr:row>
      <xdr:rowOff>131121</xdr:rowOff>
    </xdr:to>
    <xdr:grpSp>
      <xdr:nvGrpSpPr>
        <xdr:cNvPr id="32" name="グループ化 31">
          <a:extLst>
            <a:ext uri="{FF2B5EF4-FFF2-40B4-BE49-F238E27FC236}">
              <a16:creationId xmlns:a16="http://schemas.microsoft.com/office/drawing/2014/main" id="{D55C39D0-0D4F-491D-B377-BE282B67A5D9}"/>
            </a:ext>
          </a:extLst>
        </xdr:cNvPr>
        <xdr:cNvGrpSpPr/>
      </xdr:nvGrpSpPr>
      <xdr:grpSpPr>
        <a:xfrm>
          <a:off x="5431029" y="9790799"/>
          <a:ext cx="921523" cy="655897"/>
          <a:chOff x="7111999" y="2892425"/>
          <a:chExt cx="873125" cy="584982"/>
        </a:xfrm>
      </xdr:grpSpPr>
      <xdr:sp macro="" textlink="">
        <xdr:nvSpPr>
          <xdr:cNvPr id="33" name="フローチャート: 磁気ディスク 32">
            <a:extLst>
              <a:ext uri="{FF2B5EF4-FFF2-40B4-BE49-F238E27FC236}">
                <a16:creationId xmlns:a16="http://schemas.microsoft.com/office/drawing/2014/main" id="{A5B081B2-6724-84B2-48B6-2FB046358FBA}"/>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4" name="正方形/長方形 33">
            <a:extLst>
              <a:ext uri="{FF2B5EF4-FFF2-40B4-BE49-F238E27FC236}">
                <a16:creationId xmlns:a16="http://schemas.microsoft.com/office/drawing/2014/main" id="{48C36654-2871-DE81-059A-FABCC4BBF517}"/>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xdr:txBody>
      </xdr:sp>
    </xdr:grpSp>
    <xdr:clientData/>
  </xdr:twoCellAnchor>
  <xdr:twoCellAnchor>
    <xdr:from>
      <xdr:col>6</xdr:col>
      <xdr:colOff>140888</xdr:colOff>
      <xdr:row>58</xdr:row>
      <xdr:rowOff>116662</xdr:rowOff>
    </xdr:from>
    <xdr:to>
      <xdr:col>30</xdr:col>
      <xdr:colOff>95609</xdr:colOff>
      <xdr:row>58</xdr:row>
      <xdr:rowOff>118410</xdr:rowOff>
    </xdr:to>
    <xdr:cxnSp macro="">
      <xdr:nvCxnSpPr>
        <xdr:cNvPr id="35" name="直線矢印コネクタ 48">
          <a:extLst>
            <a:ext uri="{FF2B5EF4-FFF2-40B4-BE49-F238E27FC236}">
              <a16:creationId xmlns:a16="http://schemas.microsoft.com/office/drawing/2014/main" id="{CE5DB4CE-33A9-4127-8749-19425D8AA1E2}"/>
            </a:ext>
          </a:extLst>
        </xdr:cNvPr>
        <xdr:cNvCxnSpPr>
          <a:cxnSpLocks/>
          <a:stCxn id="30" idx="3"/>
          <a:endCxn id="33" idx="2"/>
        </xdr:cNvCxnSpPr>
      </xdr:nvCxnSpPr>
      <xdr:spPr>
        <a:xfrm>
          <a:off x="1207688" y="9241612"/>
          <a:ext cx="4221921" cy="174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148770</xdr:colOff>
      <xdr:row>76</xdr:row>
      <xdr:rowOff>42786</xdr:rowOff>
    </xdr:from>
    <xdr:to>
      <xdr:col>8</xdr:col>
      <xdr:colOff>66674</xdr:colOff>
      <xdr:row>79</xdr:row>
      <xdr:rowOff>101603</xdr:rowOff>
    </xdr:to>
    <xdr:grpSp>
      <xdr:nvGrpSpPr>
        <xdr:cNvPr id="36" name="グループ化 35">
          <a:extLst>
            <a:ext uri="{FF2B5EF4-FFF2-40B4-BE49-F238E27FC236}">
              <a16:creationId xmlns:a16="http://schemas.microsoft.com/office/drawing/2014/main" id="{A692DBD0-C81A-4471-9E70-7A4C4B4B9674}"/>
            </a:ext>
          </a:extLst>
        </xdr:cNvPr>
        <xdr:cNvGrpSpPr/>
      </xdr:nvGrpSpPr>
      <xdr:grpSpPr>
        <a:xfrm>
          <a:off x="148770" y="13101561"/>
          <a:ext cx="1365704" cy="573167"/>
          <a:chOff x="1472402" y="2422671"/>
          <a:chExt cx="1301791" cy="449076"/>
        </a:xfrm>
      </xdr:grpSpPr>
      <xdr:sp macro="" textlink="">
        <xdr:nvSpPr>
          <xdr:cNvPr id="37" name="フローチャート: 定義済み処理 36">
            <a:extLst>
              <a:ext uri="{FF2B5EF4-FFF2-40B4-BE49-F238E27FC236}">
                <a16:creationId xmlns:a16="http://schemas.microsoft.com/office/drawing/2014/main" id="{40B49B23-4653-195D-5B3D-CBF0065A6F71}"/>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8" name="正方形/長方形 37">
            <a:extLst>
              <a:ext uri="{FF2B5EF4-FFF2-40B4-BE49-F238E27FC236}">
                <a16:creationId xmlns:a16="http://schemas.microsoft.com/office/drawing/2014/main" id="{9F874429-EF18-5A4C-E832-6FAEDAF232D0}"/>
              </a:ext>
            </a:extLst>
          </xdr:cNvPr>
          <xdr:cNvSpPr/>
        </xdr:nvSpPr>
        <xdr:spPr>
          <a:xfrm>
            <a:off x="1472402" y="2422671"/>
            <a:ext cx="1301791" cy="4490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５．仕入先の</a:t>
            </a:r>
            <a:endParaRPr kumimoji="1" lang="en-US" altLang="ja-JP" sz="900"/>
          </a:p>
          <a:p>
            <a:pPr algn="ctr"/>
            <a:r>
              <a:rPr kumimoji="1" lang="ja-JP" altLang="en-US" sz="900"/>
              <a:t>銀行口座更新</a:t>
            </a:r>
            <a:endParaRPr kumimoji="1" lang="en-US" altLang="ja-JP" sz="900"/>
          </a:p>
        </xdr:txBody>
      </xdr:sp>
    </xdr:grpSp>
    <xdr:clientData/>
  </xdr:twoCellAnchor>
  <xdr:twoCellAnchor>
    <xdr:from>
      <xdr:col>4</xdr:col>
      <xdr:colOff>76438</xdr:colOff>
      <xdr:row>60</xdr:row>
      <xdr:rowOff>10473</xdr:rowOff>
    </xdr:from>
    <xdr:to>
      <xdr:col>4</xdr:col>
      <xdr:colOff>79395</xdr:colOff>
      <xdr:row>63</xdr:row>
      <xdr:rowOff>45364</xdr:rowOff>
    </xdr:to>
    <xdr:cxnSp macro="">
      <xdr:nvCxnSpPr>
        <xdr:cNvPr id="39" name="直線矢印コネクタ 27">
          <a:extLst>
            <a:ext uri="{FF2B5EF4-FFF2-40B4-BE49-F238E27FC236}">
              <a16:creationId xmlns:a16="http://schemas.microsoft.com/office/drawing/2014/main" id="{B5C9F42F-2C23-4AD1-BE7B-EC32998C12FF}"/>
            </a:ext>
          </a:extLst>
        </xdr:cNvPr>
        <xdr:cNvCxnSpPr>
          <a:cxnSpLocks/>
          <a:stCxn id="30" idx="2"/>
          <a:endCxn id="103" idx="0"/>
        </xdr:cNvCxnSpPr>
      </xdr:nvCxnSpPr>
      <xdr:spPr>
        <a:xfrm>
          <a:off x="774938" y="10511786"/>
          <a:ext cx="2957" cy="55876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76438</xdr:colOff>
      <xdr:row>79</xdr:row>
      <xdr:rowOff>50160</xdr:rowOff>
    </xdr:from>
    <xdr:to>
      <xdr:col>4</xdr:col>
      <xdr:colOff>76438</xdr:colOff>
      <xdr:row>85</xdr:row>
      <xdr:rowOff>87913</xdr:rowOff>
    </xdr:to>
    <xdr:cxnSp macro="">
      <xdr:nvCxnSpPr>
        <xdr:cNvPr id="40" name="直線矢印コネクタ 27">
          <a:extLst>
            <a:ext uri="{FF2B5EF4-FFF2-40B4-BE49-F238E27FC236}">
              <a16:creationId xmlns:a16="http://schemas.microsoft.com/office/drawing/2014/main" id="{2B73F32C-038F-440D-AC85-E13F53D09EDA}"/>
            </a:ext>
          </a:extLst>
        </xdr:cNvPr>
        <xdr:cNvCxnSpPr>
          <a:cxnSpLocks/>
          <a:stCxn id="37" idx="2"/>
          <a:endCxn id="130" idx="0"/>
        </xdr:cNvCxnSpPr>
      </xdr:nvCxnSpPr>
      <xdr:spPr>
        <a:xfrm>
          <a:off x="774938" y="13869348"/>
          <a:ext cx="0" cy="108550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1779</xdr:colOff>
      <xdr:row>76</xdr:row>
      <xdr:rowOff>22911</xdr:rowOff>
    </xdr:from>
    <xdr:to>
      <xdr:col>35</xdr:col>
      <xdr:colOff>18427</xdr:colOff>
      <xdr:row>80</xdr:row>
      <xdr:rowOff>4120</xdr:rowOff>
    </xdr:to>
    <xdr:grpSp>
      <xdr:nvGrpSpPr>
        <xdr:cNvPr id="41" name="グループ化 40">
          <a:extLst>
            <a:ext uri="{FF2B5EF4-FFF2-40B4-BE49-F238E27FC236}">
              <a16:creationId xmlns:a16="http://schemas.microsoft.com/office/drawing/2014/main" id="{3BE79C3C-3D66-4DE0-A585-8848F10A50B3}"/>
            </a:ext>
          </a:extLst>
        </xdr:cNvPr>
        <xdr:cNvGrpSpPr/>
      </xdr:nvGrpSpPr>
      <xdr:grpSpPr>
        <a:xfrm>
          <a:off x="5431029" y="13081686"/>
          <a:ext cx="921523" cy="667009"/>
          <a:chOff x="7111999" y="2892425"/>
          <a:chExt cx="873125" cy="584982"/>
        </a:xfrm>
      </xdr:grpSpPr>
      <xdr:sp macro="" textlink="">
        <xdr:nvSpPr>
          <xdr:cNvPr id="42" name="フローチャート: 磁気ディスク 41">
            <a:extLst>
              <a:ext uri="{FF2B5EF4-FFF2-40B4-BE49-F238E27FC236}">
                <a16:creationId xmlns:a16="http://schemas.microsoft.com/office/drawing/2014/main" id="{C9B3E9FA-D683-85ED-D57C-9352DCACA905}"/>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3" name="正方形/長方形 42">
            <a:extLst>
              <a:ext uri="{FF2B5EF4-FFF2-40B4-BE49-F238E27FC236}">
                <a16:creationId xmlns:a16="http://schemas.microsoft.com/office/drawing/2014/main" id="{70BED2AF-EB9A-DB78-D87A-FE933FCE6AA4}"/>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仕入先の</a:t>
            </a:r>
            <a:endParaRPr kumimoji="1" lang="en-US" altLang="ja-JP" sz="900"/>
          </a:p>
          <a:p>
            <a:pPr algn="ctr"/>
            <a:r>
              <a:rPr kumimoji="1" lang="ja-JP" altLang="en-US" sz="900"/>
              <a:t>銀行口座</a:t>
            </a:r>
            <a:endParaRPr kumimoji="1" lang="en-US" altLang="ja-JP" sz="900"/>
          </a:p>
        </xdr:txBody>
      </xdr:sp>
    </xdr:grpSp>
    <xdr:clientData/>
  </xdr:twoCellAnchor>
  <xdr:twoCellAnchor>
    <xdr:from>
      <xdr:col>6</xdr:col>
      <xdr:colOff>144031</xdr:colOff>
      <xdr:row>77</xdr:row>
      <xdr:rowOff>153395</xdr:rowOff>
    </xdr:from>
    <xdr:to>
      <xdr:col>30</xdr:col>
      <xdr:colOff>97701</xdr:colOff>
      <xdr:row>77</xdr:row>
      <xdr:rowOff>155685</xdr:rowOff>
    </xdr:to>
    <xdr:cxnSp macro="">
      <xdr:nvCxnSpPr>
        <xdr:cNvPr id="44" name="直線矢印コネクタ 48">
          <a:extLst>
            <a:ext uri="{FF2B5EF4-FFF2-40B4-BE49-F238E27FC236}">
              <a16:creationId xmlns:a16="http://schemas.microsoft.com/office/drawing/2014/main" id="{370677AC-9A20-44B4-B744-C86F538627FB}"/>
            </a:ext>
          </a:extLst>
        </xdr:cNvPr>
        <xdr:cNvCxnSpPr>
          <a:cxnSpLocks/>
          <a:stCxn id="37" idx="3"/>
          <a:endCxn id="42" idx="2"/>
        </xdr:cNvCxnSpPr>
      </xdr:nvCxnSpPr>
      <xdr:spPr>
        <a:xfrm flipV="1">
          <a:off x="1210831" y="11164295"/>
          <a:ext cx="4220870" cy="229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168466</xdr:colOff>
      <xdr:row>27</xdr:row>
      <xdr:rowOff>16558</xdr:rowOff>
    </xdr:from>
    <xdr:to>
      <xdr:col>42</xdr:col>
      <xdr:colOff>16045</xdr:colOff>
      <xdr:row>30</xdr:row>
      <xdr:rowOff>148581</xdr:rowOff>
    </xdr:to>
    <xdr:grpSp>
      <xdr:nvGrpSpPr>
        <xdr:cNvPr id="45" name="グループ化 44">
          <a:extLst>
            <a:ext uri="{FF2B5EF4-FFF2-40B4-BE49-F238E27FC236}">
              <a16:creationId xmlns:a16="http://schemas.microsoft.com/office/drawing/2014/main" id="{8D547FA9-211E-4720-88D4-E983FA301D5D}"/>
            </a:ext>
          </a:extLst>
        </xdr:cNvPr>
        <xdr:cNvGrpSpPr/>
      </xdr:nvGrpSpPr>
      <xdr:grpSpPr>
        <a:xfrm>
          <a:off x="6683566" y="4674283"/>
          <a:ext cx="933429" cy="646373"/>
          <a:chOff x="7111999" y="2892425"/>
          <a:chExt cx="873125" cy="584982"/>
        </a:xfrm>
      </xdr:grpSpPr>
      <xdr:sp macro="" textlink="">
        <xdr:nvSpPr>
          <xdr:cNvPr id="46" name="フローチャート: 磁気ディスク 45">
            <a:extLst>
              <a:ext uri="{FF2B5EF4-FFF2-40B4-BE49-F238E27FC236}">
                <a16:creationId xmlns:a16="http://schemas.microsoft.com/office/drawing/2014/main" id="{D1A33A2C-0382-4050-31A4-BBA78AC2A6EE}"/>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7" name="正方形/長方形 46">
            <a:extLst>
              <a:ext uri="{FF2B5EF4-FFF2-40B4-BE49-F238E27FC236}">
                <a16:creationId xmlns:a16="http://schemas.microsoft.com/office/drawing/2014/main" id="{8CC5E5E0-F860-5C09-665A-F4F691CD14B3}"/>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JUST D.B</a:t>
            </a:r>
          </a:p>
        </xdr:txBody>
      </xdr:sp>
    </xdr:grpSp>
    <xdr:clientData/>
  </xdr:twoCellAnchor>
  <xdr:twoCellAnchor>
    <xdr:from>
      <xdr:col>37</xdr:col>
      <xdr:colOff>9715</xdr:colOff>
      <xdr:row>36</xdr:row>
      <xdr:rowOff>11794</xdr:rowOff>
    </xdr:from>
    <xdr:to>
      <xdr:col>42</xdr:col>
      <xdr:colOff>26363</xdr:colOff>
      <xdr:row>39</xdr:row>
      <xdr:rowOff>167629</xdr:rowOff>
    </xdr:to>
    <xdr:grpSp>
      <xdr:nvGrpSpPr>
        <xdr:cNvPr id="48" name="グループ化 47">
          <a:extLst>
            <a:ext uri="{FF2B5EF4-FFF2-40B4-BE49-F238E27FC236}">
              <a16:creationId xmlns:a16="http://schemas.microsoft.com/office/drawing/2014/main" id="{508A13D3-33D9-48A0-9882-B74D4567FD9D}"/>
            </a:ext>
          </a:extLst>
        </xdr:cNvPr>
        <xdr:cNvGrpSpPr/>
      </xdr:nvGrpSpPr>
      <xdr:grpSpPr>
        <a:xfrm>
          <a:off x="6705790" y="6212569"/>
          <a:ext cx="921523" cy="670185"/>
          <a:chOff x="7111999" y="2892425"/>
          <a:chExt cx="873125" cy="584982"/>
        </a:xfrm>
      </xdr:grpSpPr>
      <xdr:sp macro="" textlink="">
        <xdr:nvSpPr>
          <xdr:cNvPr id="49" name="フローチャート: 磁気ディスク 48">
            <a:extLst>
              <a:ext uri="{FF2B5EF4-FFF2-40B4-BE49-F238E27FC236}">
                <a16:creationId xmlns:a16="http://schemas.microsoft.com/office/drawing/2014/main" id="{31223D54-4E32-0BB8-FBF8-5B9CF092136C}"/>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0" name="正方形/長方形 49">
            <a:extLst>
              <a:ext uri="{FF2B5EF4-FFF2-40B4-BE49-F238E27FC236}">
                <a16:creationId xmlns:a16="http://schemas.microsoft.com/office/drawing/2014/main" id="{A7D9B767-A5B5-C364-9947-7B0B54CB2EBB}"/>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a:t>
            </a:r>
            <a:r>
              <a:rPr kumimoji="1" lang="ja-JP" altLang="en-US" sz="900"/>
              <a:t>ホスト</a:t>
            </a:r>
            <a:endParaRPr kumimoji="1" lang="en-US" altLang="ja-JP" sz="900"/>
          </a:p>
        </xdr:txBody>
      </xdr:sp>
    </xdr:grpSp>
    <xdr:clientData/>
  </xdr:twoCellAnchor>
  <xdr:twoCellAnchor>
    <xdr:from>
      <xdr:col>6</xdr:col>
      <xdr:colOff>145070</xdr:colOff>
      <xdr:row>28</xdr:row>
      <xdr:rowOff>152924</xdr:rowOff>
    </xdr:from>
    <xdr:to>
      <xdr:col>37</xdr:col>
      <xdr:colOff>103545</xdr:colOff>
      <xdr:row>37</xdr:row>
      <xdr:rowOff>148901</xdr:rowOff>
    </xdr:to>
    <xdr:cxnSp macro="">
      <xdr:nvCxnSpPr>
        <xdr:cNvPr id="51" name="コネクタ: カギ線 50">
          <a:extLst>
            <a:ext uri="{FF2B5EF4-FFF2-40B4-BE49-F238E27FC236}">
              <a16:creationId xmlns:a16="http://schemas.microsoft.com/office/drawing/2014/main" id="{7C7A4623-850A-445E-9698-A8FE3F675E7F}"/>
            </a:ext>
          </a:extLst>
        </xdr:cNvPr>
        <xdr:cNvCxnSpPr>
          <a:cxnSpLocks/>
          <a:endCxn id="49" idx="2"/>
        </xdr:cNvCxnSpPr>
      </xdr:nvCxnSpPr>
      <xdr:spPr>
        <a:xfrm>
          <a:off x="1192820" y="4891612"/>
          <a:ext cx="5371850" cy="1567602"/>
        </a:xfrm>
        <a:prstGeom prst="bentConnector3">
          <a:avLst>
            <a:gd name="adj1" fmla="val 61969"/>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85743</xdr:colOff>
      <xdr:row>30</xdr:row>
      <xdr:rowOff>94305</xdr:rowOff>
    </xdr:from>
    <xdr:to>
      <xdr:col>39</xdr:col>
      <xdr:colOff>90942</xdr:colOff>
      <xdr:row>31</xdr:row>
      <xdr:rowOff>81645</xdr:rowOff>
    </xdr:to>
    <xdr:cxnSp macro="">
      <xdr:nvCxnSpPr>
        <xdr:cNvPr id="52" name="コネクタ: カギ線 51">
          <a:extLst>
            <a:ext uri="{FF2B5EF4-FFF2-40B4-BE49-F238E27FC236}">
              <a16:creationId xmlns:a16="http://schemas.microsoft.com/office/drawing/2014/main" id="{6F92EB03-6777-4D40-A871-F246CF62CFA9}"/>
            </a:ext>
          </a:extLst>
        </xdr:cNvPr>
        <xdr:cNvCxnSpPr>
          <a:stCxn id="46" idx="3"/>
          <a:endCxn id="8" idx="1"/>
        </xdr:cNvCxnSpPr>
      </xdr:nvCxnSpPr>
      <xdr:spPr>
        <a:xfrm rot="16200000" flipH="1">
          <a:off x="6817735" y="5260626"/>
          <a:ext cx="161965" cy="5199"/>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86279</xdr:colOff>
      <xdr:row>37</xdr:row>
      <xdr:rowOff>148901</xdr:rowOff>
    </xdr:from>
    <xdr:to>
      <xdr:col>41</xdr:col>
      <xdr:colOff>94215</xdr:colOff>
      <xdr:row>44</xdr:row>
      <xdr:rowOff>46965</xdr:rowOff>
    </xdr:to>
    <xdr:cxnSp macro="">
      <xdr:nvCxnSpPr>
        <xdr:cNvPr id="53" name="コネクタ: カギ線 52">
          <a:extLst>
            <a:ext uri="{FF2B5EF4-FFF2-40B4-BE49-F238E27FC236}">
              <a16:creationId xmlns:a16="http://schemas.microsoft.com/office/drawing/2014/main" id="{A6812AFE-894D-49E7-A295-ED89AC3B2AA5}"/>
            </a:ext>
          </a:extLst>
        </xdr:cNvPr>
        <xdr:cNvCxnSpPr>
          <a:stCxn id="49" idx="4"/>
          <a:endCxn id="23" idx="4"/>
        </xdr:cNvCxnSpPr>
      </xdr:nvCxnSpPr>
      <xdr:spPr>
        <a:xfrm flipH="1">
          <a:off x="6023529" y="6459214"/>
          <a:ext cx="1230311" cy="1120439"/>
        </a:xfrm>
        <a:prstGeom prst="bentConnector3">
          <a:avLst>
            <a:gd name="adj1" fmla="val -1858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86279</xdr:colOff>
      <xdr:row>37</xdr:row>
      <xdr:rowOff>148901</xdr:rowOff>
    </xdr:from>
    <xdr:to>
      <xdr:col>41</xdr:col>
      <xdr:colOff>94215</xdr:colOff>
      <xdr:row>48</xdr:row>
      <xdr:rowOff>7277</xdr:rowOff>
    </xdr:to>
    <xdr:cxnSp macro="">
      <xdr:nvCxnSpPr>
        <xdr:cNvPr id="63" name="コネクタ: カギ線 62">
          <a:extLst>
            <a:ext uri="{FF2B5EF4-FFF2-40B4-BE49-F238E27FC236}">
              <a16:creationId xmlns:a16="http://schemas.microsoft.com/office/drawing/2014/main" id="{BE88FC25-780C-4FBE-A25F-9506AF6AEDCE}"/>
            </a:ext>
          </a:extLst>
        </xdr:cNvPr>
        <xdr:cNvCxnSpPr>
          <a:stCxn id="49" idx="4"/>
          <a:endCxn id="26" idx="4"/>
        </xdr:cNvCxnSpPr>
      </xdr:nvCxnSpPr>
      <xdr:spPr>
        <a:xfrm flipH="1">
          <a:off x="6023529" y="6459214"/>
          <a:ext cx="1230311" cy="1779251"/>
        </a:xfrm>
        <a:prstGeom prst="bentConnector3">
          <a:avLst>
            <a:gd name="adj1" fmla="val -1858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158750</xdr:colOff>
      <xdr:row>49</xdr:row>
      <xdr:rowOff>134932</xdr:rowOff>
    </xdr:from>
    <xdr:to>
      <xdr:col>6</xdr:col>
      <xdr:colOff>169069</xdr:colOff>
      <xdr:row>52</xdr:row>
      <xdr:rowOff>136021</xdr:rowOff>
    </xdr:to>
    <xdr:grpSp>
      <xdr:nvGrpSpPr>
        <xdr:cNvPr id="86" name="グループ化 85">
          <a:extLst>
            <a:ext uri="{FF2B5EF4-FFF2-40B4-BE49-F238E27FC236}">
              <a16:creationId xmlns:a16="http://schemas.microsoft.com/office/drawing/2014/main" id="{81B771BB-DB17-4010-8CED-A8F847722E67}"/>
            </a:ext>
          </a:extLst>
        </xdr:cNvPr>
        <xdr:cNvGrpSpPr/>
      </xdr:nvGrpSpPr>
      <xdr:grpSpPr>
        <a:xfrm>
          <a:off x="339725" y="8564557"/>
          <a:ext cx="915194" cy="515439"/>
          <a:chOff x="285750" y="4831946"/>
          <a:chExt cx="1003300" cy="505316"/>
        </a:xfrm>
      </xdr:grpSpPr>
      <xdr:sp macro="" textlink="">
        <xdr:nvSpPr>
          <xdr:cNvPr id="87" name="フローチャート: 判断 86">
            <a:extLst>
              <a:ext uri="{FF2B5EF4-FFF2-40B4-BE49-F238E27FC236}">
                <a16:creationId xmlns:a16="http://schemas.microsoft.com/office/drawing/2014/main" id="{21E5F46C-5436-31AD-F9A8-1A87002BAC7F}"/>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88" name="正方形/長方形 48">
            <a:extLst>
              <a:ext uri="{FF2B5EF4-FFF2-40B4-BE49-F238E27FC236}">
                <a16:creationId xmlns:a16="http://schemas.microsoft.com/office/drawing/2014/main" id="{45105849-68A1-367E-853F-DFA12F6BA153}"/>
              </a:ext>
            </a:extLst>
          </xdr:cNvPr>
          <xdr:cNvSpPr/>
        </xdr:nvSpPr>
        <xdr:spPr>
          <a:xfrm>
            <a:off x="285750" y="4831946"/>
            <a:ext cx="1003300" cy="5053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海外仕入先</a:t>
            </a:r>
            <a:endParaRPr kumimoji="1" lang="en-US" altLang="ja-JP" sz="900"/>
          </a:p>
        </xdr:txBody>
      </xdr:sp>
    </xdr:grpSp>
    <xdr:clientData/>
  </xdr:twoCellAnchor>
  <xdr:twoCellAnchor>
    <xdr:from>
      <xdr:col>4</xdr:col>
      <xdr:colOff>76438</xdr:colOff>
      <xdr:row>52</xdr:row>
      <xdr:rowOff>132633</xdr:rowOff>
    </xdr:from>
    <xdr:to>
      <xdr:col>4</xdr:col>
      <xdr:colOff>79393</xdr:colOff>
      <xdr:row>57</xdr:row>
      <xdr:rowOff>48226</xdr:rowOff>
    </xdr:to>
    <xdr:cxnSp macro="">
      <xdr:nvCxnSpPr>
        <xdr:cNvPr id="90" name="直線矢印コネクタ 27">
          <a:extLst>
            <a:ext uri="{FF2B5EF4-FFF2-40B4-BE49-F238E27FC236}">
              <a16:creationId xmlns:a16="http://schemas.microsoft.com/office/drawing/2014/main" id="{204FBA89-3254-4236-BE0A-985766898BBE}"/>
            </a:ext>
          </a:extLst>
        </xdr:cNvPr>
        <xdr:cNvCxnSpPr>
          <a:cxnSpLocks/>
          <a:stCxn id="87" idx="2"/>
          <a:endCxn id="30" idx="0"/>
        </xdr:cNvCxnSpPr>
      </xdr:nvCxnSpPr>
      <xdr:spPr>
        <a:xfrm flipH="1">
          <a:off x="774938" y="9236946"/>
          <a:ext cx="2955" cy="113796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63500</xdr:colOff>
      <xdr:row>52</xdr:row>
      <xdr:rowOff>127000</xdr:rowOff>
    </xdr:from>
    <xdr:to>
      <xdr:col>7</xdr:col>
      <xdr:colOff>3968</xdr:colOff>
      <xdr:row>53</xdr:row>
      <xdr:rowOff>168274</xdr:rowOff>
    </xdr:to>
    <xdr:sp macro="" textlink="">
      <xdr:nvSpPr>
        <xdr:cNvPr id="93" name="テキスト ボックス 92">
          <a:extLst>
            <a:ext uri="{FF2B5EF4-FFF2-40B4-BE49-F238E27FC236}">
              <a16:creationId xmlns:a16="http://schemas.microsoft.com/office/drawing/2014/main" id="{C52E9E54-D06C-4829-90A7-50D581FD7D22}"/>
            </a:ext>
          </a:extLst>
        </xdr:cNvPr>
        <xdr:cNvSpPr txBox="1"/>
      </xdr:nvSpPr>
      <xdr:spPr>
        <a:xfrm>
          <a:off x="762000" y="9231313"/>
          <a:ext cx="464343" cy="21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6</xdr:col>
      <xdr:colOff>101972</xdr:colOff>
      <xdr:row>51</xdr:row>
      <xdr:rowOff>53277</xdr:rowOff>
    </xdr:from>
    <xdr:to>
      <xdr:col>11</xdr:col>
      <xdr:colOff>104246</xdr:colOff>
      <xdr:row>53</xdr:row>
      <xdr:rowOff>63500</xdr:rowOff>
    </xdr:to>
    <xdr:cxnSp macro="">
      <xdr:nvCxnSpPr>
        <xdr:cNvPr id="94" name="コネクタ: カギ線 93">
          <a:extLst>
            <a:ext uri="{FF2B5EF4-FFF2-40B4-BE49-F238E27FC236}">
              <a16:creationId xmlns:a16="http://schemas.microsoft.com/office/drawing/2014/main" id="{9CF7B922-95AA-4E5B-AC7C-FF56A6ED4ECB}"/>
            </a:ext>
          </a:extLst>
        </xdr:cNvPr>
        <xdr:cNvCxnSpPr>
          <a:cxnSpLocks/>
          <a:stCxn id="87" idx="3"/>
          <a:endCxn id="97" idx="0"/>
        </xdr:cNvCxnSpPr>
      </xdr:nvCxnSpPr>
      <xdr:spPr>
        <a:xfrm>
          <a:off x="1149722" y="8982965"/>
          <a:ext cx="875399" cy="359473"/>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142875</xdr:colOff>
      <xdr:row>53</xdr:row>
      <xdr:rowOff>63500</xdr:rowOff>
    </xdr:from>
    <xdr:to>
      <xdr:col>13</xdr:col>
      <xdr:colOff>65617</xdr:colOff>
      <xdr:row>54</xdr:row>
      <xdr:rowOff>141818</xdr:rowOff>
    </xdr:to>
    <xdr:sp macro="" textlink="">
      <xdr:nvSpPr>
        <xdr:cNvPr id="97" name="フローチャート: 端子 96">
          <a:extLst>
            <a:ext uri="{FF2B5EF4-FFF2-40B4-BE49-F238E27FC236}">
              <a16:creationId xmlns:a16="http://schemas.microsoft.com/office/drawing/2014/main" id="{0563282F-2DF1-40D0-B7CC-DC7C96783178}"/>
            </a:ext>
          </a:extLst>
        </xdr:cNvPr>
        <xdr:cNvSpPr/>
      </xdr:nvSpPr>
      <xdr:spPr>
        <a:xfrm>
          <a:off x="1714500" y="9342438"/>
          <a:ext cx="621242" cy="25294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8</xdr:col>
      <xdr:colOff>55563</xdr:colOff>
      <xdr:row>49</xdr:row>
      <xdr:rowOff>134937</xdr:rowOff>
    </xdr:from>
    <xdr:to>
      <xdr:col>10</xdr:col>
      <xdr:colOff>170656</xdr:colOff>
      <xdr:row>51</xdr:row>
      <xdr:rowOff>12699</xdr:rowOff>
    </xdr:to>
    <xdr:sp macro="" textlink="">
      <xdr:nvSpPr>
        <xdr:cNvPr id="101" name="テキスト ボックス 100">
          <a:extLst>
            <a:ext uri="{FF2B5EF4-FFF2-40B4-BE49-F238E27FC236}">
              <a16:creationId xmlns:a16="http://schemas.microsoft.com/office/drawing/2014/main" id="{6A26EAE7-6F23-455C-8151-C6F4B5E1D99B}"/>
            </a:ext>
          </a:extLst>
        </xdr:cNvPr>
        <xdr:cNvSpPr txBox="1"/>
      </xdr:nvSpPr>
      <xdr:spPr>
        <a:xfrm>
          <a:off x="1452563" y="8715375"/>
          <a:ext cx="464343" cy="227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xdr:col>
      <xdr:colOff>158752</xdr:colOff>
      <xdr:row>63</xdr:row>
      <xdr:rowOff>31750</xdr:rowOff>
    </xdr:from>
    <xdr:to>
      <xdr:col>6</xdr:col>
      <xdr:colOff>169071</xdr:colOff>
      <xdr:row>66</xdr:row>
      <xdr:rowOff>32839</xdr:rowOff>
    </xdr:to>
    <xdr:grpSp>
      <xdr:nvGrpSpPr>
        <xdr:cNvPr id="102" name="グループ化 101">
          <a:extLst>
            <a:ext uri="{FF2B5EF4-FFF2-40B4-BE49-F238E27FC236}">
              <a16:creationId xmlns:a16="http://schemas.microsoft.com/office/drawing/2014/main" id="{F57B127C-8D1A-4037-84F6-0A40F4643041}"/>
            </a:ext>
          </a:extLst>
        </xdr:cNvPr>
        <xdr:cNvGrpSpPr/>
      </xdr:nvGrpSpPr>
      <xdr:grpSpPr>
        <a:xfrm>
          <a:off x="339727" y="10861675"/>
          <a:ext cx="915194" cy="515439"/>
          <a:chOff x="285750" y="4831946"/>
          <a:chExt cx="1003300" cy="505316"/>
        </a:xfrm>
      </xdr:grpSpPr>
      <xdr:sp macro="" textlink="">
        <xdr:nvSpPr>
          <xdr:cNvPr id="103" name="フローチャート: 判断 102">
            <a:extLst>
              <a:ext uri="{FF2B5EF4-FFF2-40B4-BE49-F238E27FC236}">
                <a16:creationId xmlns:a16="http://schemas.microsoft.com/office/drawing/2014/main" id="{8AD2F6E9-91A5-6F00-76A0-ADFED9E60D66}"/>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04" name="正方形/長方形 48">
            <a:extLst>
              <a:ext uri="{FF2B5EF4-FFF2-40B4-BE49-F238E27FC236}">
                <a16:creationId xmlns:a16="http://schemas.microsoft.com/office/drawing/2014/main" id="{A4A474E4-2347-977A-65F8-25D3C42F2BF7}"/>
              </a:ext>
            </a:extLst>
          </xdr:cNvPr>
          <xdr:cNvSpPr/>
        </xdr:nvSpPr>
        <xdr:spPr>
          <a:xfrm>
            <a:off x="285750" y="4831946"/>
            <a:ext cx="1003300" cy="5053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SEJ,SLJ</a:t>
            </a:r>
          </a:p>
        </xdr:txBody>
      </xdr:sp>
    </xdr:grpSp>
    <xdr:clientData/>
  </xdr:twoCellAnchor>
  <xdr:twoCellAnchor>
    <xdr:from>
      <xdr:col>0</xdr:col>
      <xdr:colOff>148770</xdr:colOff>
      <xdr:row>68</xdr:row>
      <xdr:rowOff>130099</xdr:rowOff>
    </xdr:from>
    <xdr:to>
      <xdr:col>8</xdr:col>
      <xdr:colOff>66674</xdr:colOff>
      <xdr:row>72</xdr:row>
      <xdr:rowOff>14291</xdr:rowOff>
    </xdr:to>
    <xdr:grpSp>
      <xdr:nvGrpSpPr>
        <xdr:cNvPr id="106" name="グループ化 105">
          <a:extLst>
            <a:ext uri="{FF2B5EF4-FFF2-40B4-BE49-F238E27FC236}">
              <a16:creationId xmlns:a16="http://schemas.microsoft.com/office/drawing/2014/main" id="{94CCB6DC-C68A-0053-5612-3A9B71FE3C41}"/>
            </a:ext>
          </a:extLst>
        </xdr:cNvPr>
        <xdr:cNvGrpSpPr/>
      </xdr:nvGrpSpPr>
      <xdr:grpSpPr>
        <a:xfrm>
          <a:off x="148770" y="11817274"/>
          <a:ext cx="1365704" cy="569992"/>
          <a:chOff x="1472402" y="2422671"/>
          <a:chExt cx="1301791" cy="449076"/>
        </a:xfrm>
      </xdr:grpSpPr>
      <xdr:sp macro="" textlink="">
        <xdr:nvSpPr>
          <xdr:cNvPr id="107" name="フローチャート: 定義済み処理 106">
            <a:extLst>
              <a:ext uri="{FF2B5EF4-FFF2-40B4-BE49-F238E27FC236}">
                <a16:creationId xmlns:a16="http://schemas.microsoft.com/office/drawing/2014/main" id="{B8E65C75-06CA-F169-EB01-945E5E03239E}"/>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8" name="正方形/長方形 107">
            <a:extLst>
              <a:ext uri="{FF2B5EF4-FFF2-40B4-BE49-F238E27FC236}">
                <a16:creationId xmlns:a16="http://schemas.microsoft.com/office/drawing/2014/main" id="{61F93EFE-E31B-D946-6E3F-D91B728E1519}"/>
              </a:ext>
            </a:extLst>
          </xdr:cNvPr>
          <xdr:cNvSpPr/>
        </xdr:nvSpPr>
        <xdr:spPr>
          <a:xfrm>
            <a:off x="1472402" y="2422671"/>
            <a:ext cx="1301791" cy="4490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４．仕入先マスタ</a:t>
            </a:r>
            <a:endParaRPr kumimoji="1" lang="en-US" altLang="ja-JP" sz="900"/>
          </a:p>
          <a:p>
            <a:pPr algn="ctr"/>
            <a:r>
              <a:rPr kumimoji="1" lang="ja-JP" altLang="en-US" sz="900"/>
              <a:t>の住所更新</a:t>
            </a:r>
            <a:endParaRPr kumimoji="1" lang="en-US" altLang="ja-JP" sz="900"/>
          </a:p>
        </xdr:txBody>
      </xdr:sp>
    </xdr:grpSp>
    <xdr:clientData/>
  </xdr:twoCellAnchor>
  <xdr:twoCellAnchor>
    <xdr:from>
      <xdr:col>4</xdr:col>
      <xdr:colOff>76438</xdr:colOff>
      <xdr:row>66</xdr:row>
      <xdr:rowOff>29451</xdr:rowOff>
    </xdr:from>
    <xdr:to>
      <xdr:col>4</xdr:col>
      <xdr:colOff>79395</xdr:colOff>
      <xdr:row>69</xdr:row>
      <xdr:rowOff>601</xdr:rowOff>
    </xdr:to>
    <xdr:cxnSp macro="">
      <xdr:nvCxnSpPr>
        <xdr:cNvPr id="109" name="直線矢印コネクタ 27">
          <a:extLst>
            <a:ext uri="{FF2B5EF4-FFF2-40B4-BE49-F238E27FC236}">
              <a16:creationId xmlns:a16="http://schemas.microsoft.com/office/drawing/2014/main" id="{712CB01D-F3A6-47EB-AF62-892244381DDA}"/>
            </a:ext>
          </a:extLst>
        </xdr:cNvPr>
        <xdr:cNvCxnSpPr>
          <a:cxnSpLocks/>
          <a:stCxn id="103" idx="2"/>
          <a:endCxn id="107" idx="0"/>
        </xdr:cNvCxnSpPr>
      </xdr:nvCxnSpPr>
      <xdr:spPr>
        <a:xfrm flipH="1">
          <a:off x="774938" y="11578514"/>
          <a:ext cx="2957" cy="4950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63500</xdr:colOff>
      <xdr:row>66</xdr:row>
      <xdr:rowOff>127000</xdr:rowOff>
    </xdr:from>
    <xdr:to>
      <xdr:col>7</xdr:col>
      <xdr:colOff>3968</xdr:colOff>
      <xdr:row>67</xdr:row>
      <xdr:rowOff>168274</xdr:rowOff>
    </xdr:to>
    <xdr:sp macro="" textlink="">
      <xdr:nvSpPr>
        <xdr:cNvPr id="112" name="テキスト ボックス 111">
          <a:extLst>
            <a:ext uri="{FF2B5EF4-FFF2-40B4-BE49-F238E27FC236}">
              <a16:creationId xmlns:a16="http://schemas.microsoft.com/office/drawing/2014/main" id="{2F3CC802-5044-D86C-75E5-A21C5389FA8D}"/>
            </a:ext>
          </a:extLst>
        </xdr:cNvPr>
        <xdr:cNvSpPr txBox="1"/>
      </xdr:nvSpPr>
      <xdr:spPr>
        <a:xfrm>
          <a:off x="762000" y="11676063"/>
          <a:ext cx="464343" cy="21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30</xdr:col>
      <xdr:colOff>1779</xdr:colOff>
      <xdr:row>68</xdr:row>
      <xdr:rowOff>89588</xdr:rowOff>
    </xdr:from>
    <xdr:to>
      <xdr:col>35</xdr:col>
      <xdr:colOff>18427</xdr:colOff>
      <xdr:row>72</xdr:row>
      <xdr:rowOff>59685</xdr:rowOff>
    </xdr:to>
    <xdr:grpSp>
      <xdr:nvGrpSpPr>
        <xdr:cNvPr id="113" name="グループ化 112">
          <a:extLst>
            <a:ext uri="{FF2B5EF4-FFF2-40B4-BE49-F238E27FC236}">
              <a16:creationId xmlns:a16="http://schemas.microsoft.com/office/drawing/2014/main" id="{B0AED50F-5EE3-45D0-1754-4796A47B29A8}"/>
            </a:ext>
          </a:extLst>
        </xdr:cNvPr>
        <xdr:cNvGrpSpPr/>
      </xdr:nvGrpSpPr>
      <xdr:grpSpPr>
        <a:xfrm>
          <a:off x="5431029" y="11776763"/>
          <a:ext cx="921523" cy="655897"/>
          <a:chOff x="7111999" y="2892425"/>
          <a:chExt cx="873125" cy="584982"/>
        </a:xfrm>
      </xdr:grpSpPr>
      <xdr:sp macro="" textlink="">
        <xdr:nvSpPr>
          <xdr:cNvPr id="114" name="フローチャート: 磁気ディスク 113">
            <a:extLst>
              <a:ext uri="{FF2B5EF4-FFF2-40B4-BE49-F238E27FC236}">
                <a16:creationId xmlns:a16="http://schemas.microsoft.com/office/drawing/2014/main" id="{E4A47B2E-5987-8E81-3338-860AFAC4D2C4}"/>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5" name="正方形/長方形 114">
            <a:extLst>
              <a:ext uri="{FF2B5EF4-FFF2-40B4-BE49-F238E27FC236}">
                <a16:creationId xmlns:a16="http://schemas.microsoft.com/office/drawing/2014/main" id="{DF2418B0-934D-5F84-D1AD-C72F82C3520C}"/>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a:t>
            </a:r>
            <a:endParaRPr kumimoji="1" lang="en-US" altLang="ja-JP" sz="900"/>
          </a:p>
        </xdr:txBody>
      </xdr:sp>
    </xdr:grpSp>
    <xdr:clientData/>
  </xdr:twoCellAnchor>
  <xdr:twoCellAnchor>
    <xdr:from>
      <xdr:col>6</xdr:col>
      <xdr:colOff>140888</xdr:colOff>
      <xdr:row>70</xdr:row>
      <xdr:rowOff>46974</xdr:rowOff>
    </xdr:from>
    <xdr:to>
      <xdr:col>30</xdr:col>
      <xdr:colOff>95609</xdr:colOff>
      <xdr:row>70</xdr:row>
      <xdr:rowOff>69037</xdr:rowOff>
    </xdr:to>
    <xdr:cxnSp macro="">
      <xdr:nvCxnSpPr>
        <xdr:cNvPr id="116" name="直線矢印コネクタ 48">
          <a:extLst>
            <a:ext uri="{FF2B5EF4-FFF2-40B4-BE49-F238E27FC236}">
              <a16:creationId xmlns:a16="http://schemas.microsoft.com/office/drawing/2014/main" id="{3B4D75F5-7583-4723-9F55-E3994BE8C231}"/>
            </a:ext>
          </a:extLst>
        </xdr:cNvPr>
        <xdr:cNvCxnSpPr>
          <a:cxnSpLocks/>
          <a:stCxn id="107" idx="3"/>
          <a:endCxn id="114" idx="2"/>
        </xdr:cNvCxnSpPr>
      </xdr:nvCxnSpPr>
      <xdr:spPr>
        <a:xfrm flipV="1">
          <a:off x="1188638" y="12294537"/>
          <a:ext cx="4145721" cy="2206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56814</xdr:colOff>
      <xdr:row>64</xdr:row>
      <xdr:rowOff>124719</xdr:rowOff>
    </xdr:from>
    <xdr:to>
      <xdr:col>4</xdr:col>
      <xdr:colOff>76437</xdr:colOff>
      <xdr:row>76</xdr:row>
      <xdr:rowOff>87912</xdr:rowOff>
    </xdr:to>
    <xdr:cxnSp macro="">
      <xdr:nvCxnSpPr>
        <xdr:cNvPr id="119" name="コネクタ: カギ線 118">
          <a:extLst>
            <a:ext uri="{FF2B5EF4-FFF2-40B4-BE49-F238E27FC236}">
              <a16:creationId xmlns:a16="http://schemas.microsoft.com/office/drawing/2014/main" id="{D1AE4353-ACFF-4E33-928E-F601E2209A38}"/>
            </a:ext>
          </a:extLst>
        </xdr:cNvPr>
        <xdr:cNvCxnSpPr>
          <a:cxnSpLocks/>
          <a:stCxn id="103" idx="1"/>
          <a:endCxn id="37" idx="0"/>
        </xdr:cNvCxnSpPr>
      </xdr:nvCxnSpPr>
      <xdr:spPr>
        <a:xfrm rot="10800000" flipH="1" flipV="1">
          <a:off x="406064" y="11324532"/>
          <a:ext cx="368873" cy="2058693"/>
        </a:xfrm>
        <a:prstGeom prst="bentConnector4">
          <a:avLst>
            <a:gd name="adj1" fmla="val -42607"/>
            <a:gd name="adj2" fmla="val 87785"/>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76438</xdr:colOff>
      <xdr:row>71</xdr:row>
      <xdr:rowOff>137473</xdr:rowOff>
    </xdr:from>
    <xdr:to>
      <xdr:col>4</xdr:col>
      <xdr:colOff>76438</xdr:colOff>
      <xdr:row>76</xdr:row>
      <xdr:rowOff>87913</xdr:rowOff>
    </xdr:to>
    <xdr:cxnSp macro="">
      <xdr:nvCxnSpPr>
        <xdr:cNvPr id="125" name="直線矢印コネクタ 27">
          <a:extLst>
            <a:ext uri="{FF2B5EF4-FFF2-40B4-BE49-F238E27FC236}">
              <a16:creationId xmlns:a16="http://schemas.microsoft.com/office/drawing/2014/main" id="{427A9F1F-4AF7-43A1-A172-10A4B1960BA9}"/>
            </a:ext>
          </a:extLst>
        </xdr:cNvPr>
        <xdr:cNvCxnSpPr>
          <a:cxnSpLocks/>
          <a:stCxn id="107" idx="2"/>
          <a:endCxn id="37" idx="0"/>
        </xdr:cNvCxnSpPr>
      </xdr:nvCxnSpPr>
      <xdr:spPr>
        <a:xfrm>
          <a:off x="774938" y="12559661"/>
          <a:ext cx="0" cy="82356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119063</xdr:colOff>
      <xdr:row>63</xdr:row>
      <xdr:rowOff>7937</xdr:rowOff>
    </xdr:from>
    <xdr:to>
      <xdr:col>3</xdr:col>
      <xdr:colOff>59531</xdr:colOff>
      <xdr:row>64</xdr:row>
      <xdr:rowOff>60324</xdr:rowOff>
    </xdr:to>
    <xdr:sp macro="" textlink="">
      <xdr:nvSpPr>
        <xdr:cNvPr id="128" name="テキスト ボックス 127">
          <a:extLst>
            <a:ext uri="{FF2B5EF4-FFF2-40B4-BE49-F238E27FC236}">
              <a16:creationId xmlns:a16="http://schemas.microsoft.com/office/drawing/2014/main" id="{37B4CE03-9583-79AE-FCEA-3356BE734B1F}"/>
            </a:ext>
          </a:extLst>
        </xdr:cNvPr>
        <xdr:cNvSpPr txBox="1"/>
      </xdr:nvSpPr>
      <xdr:spPr>
        <a:xfrm>
          <a:off x="119063" y="11033125"/>
          <a:ext cx="464343" cy="227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0</xdr:col>
      <xdr:colOff>156708</xdr:colOff>
      <xdr:row>85</xdr:row>
      <xdr:rowOff>58662</xdr:rowOff>
    </xdr:from>
    <xdr:to>
      <xdr:col>8</xdr:col>
      <xdr:colOff>74612</xdr:colOff>
      <xdr:row>88</xdr:row>
      <xdr:rowOff>117479</xdr:rowOff>
    </xdr:to>
    <xdr:grpSp>
      <xdr:nvGrpSpPr>
        <xdr:cNvPr id="129" name="グループ化 128">
          <a:extLst>
            <a:ext uri="{FF2B5EF4-FFF2-40B4-BE49-F238E27FC236}">
              <a16:creationId xmlns:a16="http://schemas.microsoft.com/office/drawing/2014/main" id="{4B11442E-0581-4542-EF2A-54DC49242956}"/>
            </a:ext>
          </a:extLst>
        </xdr:cNvPr>
        <xdr:cNvGrpSpPr/>
      </xdr:nvGrpSpPr>
      <xdr:grpSpPr>
        <a:xfrm>
          <a:off x="156708" y="14660487"/>
          <a:ext cx="1365704" cy="573167"/>
          <a:chOff x="1480261" y="2434906"/>
          <a:chExt cx="1301791" cy="449076"/>
        </a:xfrm>
      </xdr:grpSpPr>
      <xdr:sp macro="" textlink="">
        <xdr:nvSpPr>
          <xdr:cNvPr id="130" name="フローチャート: 定義済み処理 129">
            <a:extLst>
              <a:ext uri="{FF2B5EF4-FFF2-40B4-BE49-F238E27FC236}">
                <a16:creationId xmlns:a16="http://schemas.microsoft.com/office/drawing/2014/main" id="{F8B3D154-CCE1-1F55-89DD-968F99906E27}"/>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1" name="正方形/長方形 130">
            <a:extLst>
              <a:ext uri="{FF2B5EF4-FFF2-40B4-BE49-F238E27FC236}">
                <a16:creationId xmlns:a16="http://schemas.microsoft.com/office/drawing/2014/main" id="{86AB2BD0-6DE9-258E-6796-B3E4A3A74678}"/>
              </a:ext>
            </a:extLst>
          </xdr:cNvPr>
          <xdr:cNvSpPr/>
        </xdr:nvSpPr>
        <xdr:spPr>
          <a:xfrm>
            <a:off x="1480261" y="2434906"/>
            <a:ext cx="1301791" cy="4490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６．銀行グループの</a:t>
            </a:r>
            <a:endParaRPr kumimoji="1" lang="en-US" altLang="ja-JP" sz="900"/>
          </a:p>
          <a:p>
            <a:pPr algn="ctr"/>
            <a:r>
              <a:rPr kumimoji="1" lang="ja-JP" altLang="en-US" sz="900"/>
              <a:t>変更</a:t>
            </a:r>
            <a:endParaRPr kumimoji="1" lang="en-US" altLang="ja-JP" sz="900"/>
          </a:p>
        </xdr:txBody>
      </xdr:sp>
    </xdr:grpSp>
    <xdr:clientData/>
  </xdr:twoCellAnchor>
  <xdr:twoCellAnchor>
    <xdr:from>
      <xdr:col>30</xdr:col>
      <xdr:colOff>1779</xdr:colOff>
      <xdr:row>85</xdr:row>
      <xdr:rowOff>7036</xdr:rowOff>
    </xdr:from>
    <xdr:to>
      <xdr:col>35</xdr:col>
      <xdr:colOff>18427</xdr:colOff>
      <xdr:row>88</xdr:row>
      <xdr:rowOff>162870</xdr:rowOff>
    </xdr:to>
    <xdr:grpSp>
      <xdr:nvGrpSpPr>
        <xdr:cNvPr id="135" name="グループ化 134">
          <a:extLst>
            <a:ext uri="{FF2B5EF4-FFF2-40B4-BE49-F238E27FC236}">
              <a16:creationId xmlns:a16="http://schemas.microsoft.com/office/drawing/2014/main" id="{8F0DAEDA-89A1-88B1-12CE-898D5257AA4A}"/>
            </a:ext>
          </a:extLst>
        </xdr:cNvPr>
        <xdr:cNvGrpSpPr/>
      </xdr:nvGrpSpPr>
      <xdr:grpSpPr>
        <a:xfrm>
          <a:off x="5431029" y="14608861"/>
          <a:ext cx="921523" cy="670184"/>
          <a:chOff x="7111999" y="2892425"/>
          <a:chExt cx="873125" cy="584982"/>
        </a:xfrm>
      </xdr:grpSpPr>
      <xdr:sp macro="" textlink="">
        <xdr:nvSpPr>
          <xdr:cNvPr id="136" name="フローチャート: 磁気ディスク 135">
            <a:extLst>
              <a:ext uri="{FF2B5EF4-FFF2-40B4-BE49-F238E27FC236}">
                <a16:creationId xmlns:a16="http://schemas.microsoft.com/office/drawing/2014/main" id="{3326654F-C0BB-6F7A-6729-224D1997D240}"/>
              </a:ext>
            </a:extLst>
          </xdr:cNvPr>
          <xdr:cNvSpPr/>
        </xdr:nvSpPr>
        <xdr:spPr>
          <a:xfrm>
            <a:off x="7204073"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7" name="正方形/長方形 136">
            <a:extLst>
              <a:ext uri="{FF2B5EF4-FFF2-40B4-BE49-F238E27FC236}">
                <a16:creationId xmlns:a16="http://schemas.microsoft.com/office/drawing/2014/main" id="{787D81A9-AA81-4911-7ED1-E08B6D88E705}"/>
              </a:ext>
            </a:extLst>
          </xdr:cNvPr>
          <xdr:cNvSpPr/>
        </xdr:nvSpPr>
        <xdr:spPr>
          <a:xfrm>
            <a:off x="7111999" y="2971800"/>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仕入先の</a:t>
            </a:r>
            <a:endParaRPr kumimoji="1" lang="en-US" altLang="ja-JP" sz="900"/>
          </a:p>
          <a:p>
            <a:pPr algn="ctr"/>
            <a:r>
              <a:rPr kumimoji="1" lang="ja-JP" altLang="en-US" sz="900"/>
              <a:t>銀行口座</a:t>
            </a:r>
            <a:endParaRPr kumimoji="1" lang="en-US" altLang="ja-JP" sz="900"/>
          </a:p>
        </xdr:txBody>
      </xdr:sp>
    </xdr:grpSp>
    <xdr:clientData/>
  </xdr:twoCellAnchor>
  <xdr:twoCellAnchor>
    <xdr:from>
      <xdr:col>6</xdr:col>
      <xdr:colOff>140888</xdr:colOff>
      <xdr:row>86</xdr:row>
      <xdr:rowOff>144143</xdr:rowOff>
    </xdr:from>
    <xdr:to>
      <xdr:col>30</xdr:col>
      <xdr:colOff>95609</xdr:colOff>
      <xdr:row>86</xdr:row>
      <xdr:rowOff>156350</xdr:rowOff>
    </xdr:to>
    <xdr:cxnSp macro="">
      <xdr:nvCxnSpPr>
        <xdr:cNvPr id="138" name="直線矢印コネクタ 48">
          <a:extLst>
            <a:ext uri="{FF2B5EF4-FFF2-40B4-BE49-F238E27FC236}">
              <a16:creationId xmlns:a16="http://schemas.microsoft.com/office/drawing/2014/main" id="{8073B5DF-9193-4768-93D2-2322C5BC4921}"/>
            </a:ext>
          </a:extLst>
        </xdr:cNvPr>
        <xdr:cNvCxnSpPr>
          <a:cxnSpLocks/>
          <a:stCxn id="130" idx="3"/>
          <a:endCxn id="136" idx="2"/>
        </xdr:cNvCxnSpPr>
      </xdr:nvCxnSpPr>
      <xdr:spPr>
        <a:xfrm flipV="1">
          <a:off x="1188638" y="15185706"/>
          <a:ext cx="4145721" cy="1220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76438</xdr:colOff>
      <xdr:row>88</xdr:row>
      <xdr:rowOff>50161</xdr:rowOff>
    </xdr:from>
    <xdr:to>
      <xdr:col>4</xdr:col>
      <xdr:colOff>79299</xdr:colOff>
      <xdr:row>94</xdr:row>
      <xdr:rowOff>144307</xdr:rowOff>
    </xdr:to>
    <xdr:cxnSp macro="">
      <xdr:nvCxnSpPr>
        <xdr:cNvPr id="142" name="直線矢印コネクタ 27">
          <a:extLst>
            <a:ext uri="{FF2B5EF4-FFF2-40B4-BE49-F238E27FC236}">
              <a16:creationId xmlns:a16="http://schemas.microsoft.com/office/drawing/2014/main" id="{130F2811-E1B0-4D3D-874D-16A986313D59}"/>
            </a:ext>
          </a:extLst>
        </xdr:cNvPr>
        <xdr:cNvCxnSpPr>
          <a:cxnSpLocks/>
          <a:stCxn id="130" idx="2"/>
          <a:endCxn id="2" idx="0"/>
        </xdr:cNvCxnSpPr>
      </xdr:nvCxnSpPr>
      <xdr:spPr>
        <a:xfrm>
          <a:off x="774938" y="15440974"/>
          <a:ext cx="2861" cy="114189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JBSテンプレートテーマ_Excel">
  <a:themeElements>
    <a:clrScheme name="青">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JBSテンプレート_Excel">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tailEnd type="triangle"/>
        </a:ln>
      </a:spPr>
      <a:bodyPr/>
      <a:lstStyle/>
      <a:style>
        <a:lnRef idx="1">
          <a:schemeClr val="dk1"/>
        </a:lnRef>
        <a:fillRef idx="0">
          <a:schemeClr val="dk1"/>
        </a:fillRef>
        <a:effectRef idx="0">
          <a:schemeClr val="dk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E35"/>
  <sheetViews>
    <sheetView showGridLines="0" workbookViewId="0"/>
  </sheetViews>
  <sheetFormatPr defaultColWidth="2.375" defaultRowHeight="15"/>
  <cols>
    <col min="1" max="16384" width="2.375" style="1"/>
  </cols>
  <sheetData>
    <row r="2" spans="1:31">
      <c r="C2" s="2"/>
      <c r="D2" s="2"/>
      <c r="E2" s="2"/>
      <c r="F2" s="2"/>
      <c r="G2" s="2"/>
      <c r="H2" s="2"/>
      <c r="I2" s="2"/>
      <c r="J2" s="2"/>
      <c r="K2" s="2"/>
      <c r="L2" s="2"/>
      <c r="M2" s="2"/>
      <c r="N2" s="2"/>
      <c r="O2" s="2"/>
      <c r="P2" s="2"/>
      <c r="Q2" s="2"/>
    </row>
    <row r="3" spans="1:31">
      <c r="B3" s="2" t="s">
        <v>0</v>
      </c>
    </row>
    <row r="4" spans="1:31" ht="15.75" customHeight="1">
      <c r="A4" s="3"/>
      <c r="B4" s="3"/>
      <c r="C4" s="3"/>
      <c r="D4" s="3"/>
      <c r="E4" s="3"/>
      <c r="F4" s="3"/>
      <c r="G4" s="3"/>
      <c r="H4" s="3"/>
      <c r="I4" s="3"/>
      <c r="J4" s="244"/>
      <c r="K4" s="244"/>
      <c r="L4" s="244"/>
    </row>
    <row r="5" spans="1:31" ht="15.75" customHeight="1">
      <c r="A5" s="4"/>
      <c r="B5" s="4"/>
      <c r="C5" s="4"/>
      <c r="D5" s="4"/>
      <c r="E5" s="4"/>
      <c r="F5" s="4"/>
      <c r="G5" s="4"/>
      <c r="H5" s="4"/>
      <c r="I5" s="4"/>
      <c r="J5" s="245"/>
      <c r="K5" s="245"/>
      <c r="L5" s="245"/>
    </row>
    <row r="10" spans="1:31">
      <c r="B10" s="246" t="s">
        <v>1</v>
      </c>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c r="AA10" s="247"/>
      <c r="AB10" s="247"/>
      <c r="AC10" s="247"/>
      <c r="AD10" s="247"/>
      <c r="AE10" s="248"/>
    </row>
    <row r="11" spans="1:31">
      <c r="B11" s="249"/>
      <c r="C11" s="250"/>
      <c r="D11" s="250"/>
      <c r="E11" s="250"/>
      <c r="F11" s="250"/>
      <c r="G11" s="250"/>
      <c r="H11" s="250"/>
      <c r="I11" s="250"/>
      <c r="J11" s="250"/>
      <c r="K11" s="250"/>
      <c r="L11" s="250"/>
      <c r="M11" s="250"/>
      <c r="N11" s="250"/>
      <c r="O11" s="250"/>
      <c r="P11" s="250"/>
      <c r="Q11" s="250"/>
      <c r="R11" s="250"/>
      <c r="S11" s="250"/>
      <c r="T11" s="250"/>
      <c r="U11" s="250"/>
      <c r="V11" s="250"/>
      <c r="W11" s="250"/>
      <c r="X11" s="250"/>
      <c r="Y11" s="250"/>
      <c r="Z11" s="250"/>
      <c r="AA11" s="250"/>
      <c r="AB11" s="250"/>
      <c r="AC11" s="250"/>
      <c r="AD11" s="250"/>
      <c r="AE11" s="251"/>
    </row>
    <row r="12" spans="1:31">
      <c r="B12" s="249"/>
      <c r="C12" s="250"/>
      <c r="D12" s="250"/>
      <c r="E12" s="250"/>
      <c r="F12" s="250"/>
      <c r="G12" s="250"/>
      <c r="H12" s="250"/>
      <c r="I12" s="250"/>
      <c r="J12" s="250"/>
      <c r="K12" s="250"/>
      <c r="L12" s="250"/>
      <c r="M12" s="250"/>
      <c r="N12" s="250"/>
      <c r="O12" s="250"/>
      <c r="P12" s="250"/>
      <c r="Q12" s="250"/>
      <c r="R12" s="250"/>
      <c r="S12" s="250"/>
      <c r="T12" s="250"/>
      <c r="U12" s="250"/>
      <c r="V12" s="250"/>
      <c r="W12" s="250"/>
      <c r="X12" s="250"/>
      <c r="Y12" s="250"/>
      <c r="Z12" s="250"/>
      <c r="AA12" s="250"/>
      <c r="AB12" s="250"/>
      <c r="AC12" s="250"/>
      <c r="AD12" s="250"/>
      <c r="AE12" s="251"/>
    </row>
    <row r="13" spans="1:31">
      <c r="B13" s="249"/>
      <c r="C13" s="250"/>
      <c r="D13" s="250"/>
      <c r="E13" s="250"/>
      <c r="F13" s="250"/>
      <c r="G13" s="250"/>
      <c r="H13" s="250"/>
      <c r="I13" s="250"/>
      <c r="J13" s="250"/>
      <c r="K13" s="250"/>
      <c r="L13" s="250"/>
      <c r="M13" s="250"/>
      <c r="N13" s="250"/>
      <c r="O13" s="250"/>
      <c r="P13" s="250"/>
      <c r="Q13" s="250"/>
      <c r="R13" s="250"/>
      <c r="S13" s="250"/>
      <c r="T13" s="250"/>
      <c r="U13" s="250"/>
      <c r="V13" s="250"/>
      <c r="W13" s="250"/>
      <c r="X13" s="250"/>
      <c r="Y13" s="250"/>
      <c r="Z13" s="250"/>
      <c r="AA13" s="250"/>
      <c r="AB13" s="250"/>
      <c r="AC13" s="250"/>
      <c r="AD13" s="250"/>
      <c r="AE13" s="251"/>
    </row>
    <row r="14" spans="1:31">
      <c r="B14" s="252" t="s">
        <v>2</v>
      </c>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c r="AA14" s="253"/>
      <c r="AB14" s="253"/>
      <c r="AC14" s="253"/>
      <c r="AD14" s="253"/>
      <c r="AE14" s="254"/>
    </row>
    <row r="15" spans="1:31">
      <c r="B15" s="252"/>
      <c r="C15" s="253"/>
      <c r="D15" s="253"/>
      <c r="E15" s="253"/>
      <c r="F15" s="253"/>
      <c r="G15" s="253"/>
      <c r="H15" s="253"/>
      <c r="I15" s="253"/>
      <c r="J15" s="253"/>
      <c r="K15" s="253"/>
      <c r="L15" s="253"/>
      <c r="M15" s="253"/>
      <c r="N15" s="253"/>
      <c r="O15" s="253"/>
      <c r="P15" s="253"/>
      <c r="Q15" s="253"/>
      <c r="R15" s="253"/>
      <c r="S15" s="253"/>
      <c r="T15" s="253"/>
      <c r="U15" s="253"/>
      <c r="V15" s="253"/>
      <c r="W15" s="253"/>
      <c r="X15" s="253"/>
      <c r="Y15" s="253"/>
      <c r="Z15" s="253"/>
      <c r="AA15" s="253"/>
      <c r="AB15" s="253"/>
      <c r="AC15" s="253"/>
      <c r="AD15" s="253"/>
      <c r="AE15" s="254"/>
    </row>
    <row r="16" spans="1:31">
      <c r="B16" s="255"/>
      <c r="C16" s="256"/>
      <c r="D16" s="256"/>
      <c r="E16" s="256"/>
      <c r="F16" s="256"/>
      <c r="G16" s="256"/>
      <c r="H16" s="256"/>
      <c r="I16" s="256"/>
      <c r="J16" s="256"/>
      <c r="K16" s="256"/>
      <c r="L16" s="256"/>
      <c r="M16" s="256"/>
      <c r="N16" s="256"/>
      <c r="O16" s="256"/>
      <c r="P16" s="256"/>
      <c r="Q16" s="256"/>
      <c r="R16" s="256"/>
      <c r="S16" s="256"/>
      <c r="T16" s="256"/>
      <c r="U16" s="256"/>
      <c r="V16" s="256"/>
      <c r="W16" s="256"/>
      <c r="X16" s="256"/>
      <c r="Y16" s="256"/>
      <c r="Z16" s="256"/>
      <c r="AA16" s="256"/>
      <c r="AB16" s="256"/>
      <c r="AC16" s="256"/>
      <c r="AD16" s="256"/>
      <c r="AE16" s="257"/>
    </row>
    <row r="22" spans="2:31">
      <c r="B22" s="243" t="str">
        <f ca="1">"第"&amp;IF(COUNTA(変更履歴!BE5:BH10008)=1,"",INDIRECT("変更履歴!BE"&amp;COUNTA(変更履歴!BE5:BH10008)+4))&amp;"版"</f>
        <v>第1.9版</v>
      </c>
      <c r="C22" s="243"/>
      <c r="D22" s="243"/>
      <c r="E22" s="243"/>
      <c r="F22" s="243"/>
      <c r="G22" s="243"/>
      <c r="H22" s="243"/>
      <c r="I22" s="243"/>
      <c r="J22" s="243"/>
      <c r="K22" s="243"/>
      <c r="L22" s="243"/>
      <c r="M22" s="243"/>
      <c r="N22" s="243"/>
      <c r="O22" s="243"/>
      <c r="P22" s="243"/>
      <c r="Q22" s="243"/>
      <c r="R22" s="243"/>
      <c r="S22" s="243"/>
      <c r="T22" s="243"/>
      <c r="U22" s="243"/>
      <c r="V22" s="243"/>
      <c r="W22" s="243"/>
      <c r="X22" s="243"/>
      <c r="Y22" s="243"/>
      <c r="Z22" s="243"/>
      <c r="AA22" s="243"/>
      <c r="AB22" s="243"/>
      <c r="AC22" s="243"/>
      <c r="AD22" s="243"/>
      <c r="AE22" s="243"/>
    </row>
    <row r="23" spans="2:31">
      <c r="B23" s="243"/>
      <c r="C23" s="243"/>
      <c r="D23" s="243"/>
      <c r="E23" s="243"/>
      <c r="F23" s="243"/>
      <c r="G23" s="243"/>
      <c r="H23" s="243"/>
      <c r="I23" s="243"/>
      <c r="J23" s="243"/>
      <c r="K23" s="243"/>
      <c r="L23" s="243"/>
      <c r="M23" s="243"/>
      <c r="N23" s="243"/>
      <c r="O23" s="243"/>
      <c r="P23" s="243"/>
      <c r="Q23" s="243"/>
      <c r="R23" s="243"/>
      <c r="S23" s="243"/>
      <c r="T23" s="243"/>
      <c r="U23" s="243"/>
      <c r="V23" s="243"/>
      <c r="W23" s="243"/>
      <c r="X23" s="243"/>
      <c r="Y23" s="243"/>
      <c r="Z23" s="243"/>
      <c r="AA23" s="243"/>
      <c r="AB23" s="243"/>
      <c r="AC23" s="243"/>
      <c r="AD23" s="243"/>
      <c r="AE23" s="243"/>
    </row>
    <row r="24" spans="2:31">
      <c r="B24" s="258" cm="1">
        <f t="array" aca="1" ref="B24" ca="1">IF(OR(COUNTA(変更履歴!A:E)=3),"",INDIRECT("変更履歴!A"&amp;COUNTA(変更履歴!A:E)+2))</f>
        <v>45890</v>
      </c>
      <c r="C24" s="258"/>
      <c r="D24" s="258"/>
      <c r="E24" s="258"/>
      <c r="F24" s="258"/>
      <c r="G24" s="258"/>
      <c r="H24" s="258"/>
      <c r="I24" s="258"/>
      <c r="J24" s="258"/>
      <c r="K24" s="258"/>
      <c r="L24" s="258"/>
      <c r="M24" s="258"/>
      <c r="N24" s="258"/>
      <c r="O24" s="258"/>
      <c r="P24" s="258"/>
      <c r="Q24" s="258"/>
      <c r="R24" s="258"/>
      <c r="S24" s="258"/>
      <c r="T24" s="258"/>
      <c r="U24" s="258"/>
      <c r="V24" s="258"/>
      <c r="W24" s="258"/>
      <c r="X24" s="258"/>
      <c r="Y24" s="258"/>
      <c r="Z24" s="258"/>
      <c r="AA24" s="258"/>
      <c r="AB24" s="258"/>
      <c r="AC24" s="258"/>
      <c r="AD24" s="258"/>
      <c r="AE24" s="258"/>
    </row>
    <row r="25" spans="2:31">
      <c r="B25" s="258"/>
      <c r="C25" s="258"/>
      <c r="D25" s="258"/>
      <c r="E25" s="258"/>
      <c r="F25" s="258"/>
      <c r="G25" s="258"/>
      <c r="H25" s="258"/>
      <c r="I25" s="258"/>
      <c r="J25" s="258"/>
      <c r="K25" s="258"/>
      <c r="L25" s="258"/>
      <c r="M25" s="258"/>
      <c r="N25" s="258"/>
      <c r="O25" s="258"/>
      <c r="P25" s="258"/>
      <c r="Q25" s="258"/>
      <c r="R25" s="258"/>
      <c r="S25" s="258"/>
      <c r="T25" s="258"/>
      <c r="U25" s="258"/>
      <c r="V25" s="258"/>
      <c r="W25" s="258"/>
      <c r="X25" s="258"/>
      <c r="Y25" s="258"/>
      <c r="Z25" s="258"/>
      <c r="AA25" s="258"/>
      <c r="AB25" s="258"/>
      <c r="AC25" s="258"/>
      <c r="AD25" s="258"/>
      <c r="AE25" s="258"/>
    </row>
    <row r="26" spans="2:31">
      <c r="B26" s="243" t="s">
        <v>3</v>
      </c>
      <c r="C26" s="243"/>
      <c r="D26" s="243"/>
      <c r="E26" s="243"/>
      <c r="F26" s="243"/>
      <c r="G26" s="243"/>
      <c r="H26" s="243"/>
      <c r="I26" s="243"/>
      <c r="J26" s="243"/>
      <c r="K26" s="243"/>
      <c r="L26" s="243"/>
      <c r="M26" s="243"/>
      <c r="N26" s="243"/>
      <c r="O26" s="243"/>
      <c r="P26" s="243"/>
      <c r="Q26" s="243"/>
      <c r="R26" s="243"/>
      <c r="S26" s="243"/>
      <c r="T26" s="243"/>
      <c r="U26" s="243"/>
      <c r="V26" s="243"/>
      <c r="W26" s="243"/>
      <c r="X26" s="243"/>
      <c r="Y26" s="243"/>
      <c r="Z26" s="243"/>
      <c r="AA26" s="243"/>
      <c r="AB26" s="243"/>
      <c r="AC26" s="243"/>
      <c r="AD26" s="243"/>
      <c r="AE26" s="243"/>
    </row>
    <row r="27" spans="2:31">
      <c r="B27" s="243"/>
      <c r="C27" s="243"/>
      <c r="D27" s="243"/>
      <c r="E27" s="243"/>
      <c r="F27" s="243"/>
      <c r="G27" s="243"/>
      <c r="H27" s="243"/>
      <c r="I27" s="243"/>
      <c r="J27" s="243"/>
      <c r="K27" s="243"/>
      <c r="L27" s="243"/>
      <c r="M27" s="243"/>
      <c r="N27" s="243"/>
      <c r="O27" s="243"/>
      <c r="P27" s="243"/>
      <c r="Q27" s="243"/>
      <c r="R27" s="243"/>
      <c r="S27" s="243"/>
      <c r="T27" s="243"/>
      <c r="U27" s="243"/>
      <c r="V27" s="243"/>
      <c r="W27" s="243"/>
      <c r="X27" s="243"/>
      <c r="Y27" s="243"/>
      <c r="Z27" s="243"/>
      <c r="AA27" s="243"/>
      <c r="AB27" s="243"/>
      <c r="AC27" s="243"/>
      <c r="AD27" s="243"/>
      <c r="AE27" s="243"/>
    </row>
    <row r="29" spans="2:31">
      <c r="F29" s="236" t="s">
        <v>4</v>
      </c>
      <c r="G29" s="236"/>
      <c r="H29" s="236"/>
      <c r="I29" s="236"/>
      <c r="J29" s="236"/>
      <c r="K29" s="236"/>
      <c r="O29" s="237" t="s">
        <v>5</v>
      </c>
      <c r="P29" s="236"/>
      <c r="Q29" s="236"/>
      <c r="R29" s="236"/>
      <c r="V29" s="238" t="s">
        <v>6</v>
      </c>
      <c r="W29" s="239"/>
      <c r="X29" s="239"/>
      <c r="Y29" s="239"/>
      <c r="Z29" s="239"/>
      <c r="AA29" s="239"/>
    </row>
    <row r="30" spans="2:31">
      <c r="F30" s="240">
        <v>45362</v>
      </c>
      <c r="G30" s="241"/>
      <c r="H30" s="241"/>
      <c r="I30" s="241"/>
      <c r="J30" s="241"/>
      <c r="K30" s="241"/>
      <c r="L30" s="38"/>
      <c r="N30" s="240">
        <v>45433</v>
      </c>
      <c r="O30" s="241"/>
      <c r="P30" s="241"/>
      <c r="Q30" s="241"/>
      <c r="R30" s="241"/>
      <c r="S30" s="242"/>
      <c r="V30" s="240"/>
      <c r="W30" s="241"/>
      <c r="X30" s="241"/>
      <c r="Y30" s="241"/>
      <c r="Z30" s="241"/>
      <c r="AA30" s="241"/>
      <c r="AB30" s="38"/>
    </row>
    <row r="31" spans="2:31" ht="15.75" customHeight="1">
      <c r="F31" s="221" t="s">
        <v>7</v>
      </c>
      <c r="G31" s="222"/>
      <c r="H31" s="222"/>
      <c r="I31" s="222"/>
      <c r="J31" s="222"/>
      <c r="K31" s="222"/>
      <c r="L31" s="39"/>
      <c r="N31" s="227" t="s">
        <v>8</v>
      </c>
      <c r="O31" s="228"/>
      <c r="P31" s="228"/>
      <c r="Q31" s="228"/>
      <c r="R31" s="228"/>
      <c r="S31" s="229"/>
      <c r="V31" s="221"/>
      <c r="W31" s="222"/>
      <c r="X31" s="222"/>
      <c r="Y31" s="222"/>
      <c r="Z31" s="222"/>
      <c r="AA31" s="222"/>
      <c r="AB31" s="39"/>
    </row>
    <row r="32" spans="2:31">
      <c r="F32" s="223"/>
      <c r="G32" s="224"/>
      <c r="H32" s="224"/>
      <c r="I32" s="224"/>
      <c r="J32" s="224"/>
      <c r="K32" s="224"/>
      <c r="L32" s="39"/>
      <c r="N32" s="230"/>
      <c r="O32" s="231"/>
      <c r="P32" s="231"/>
      <c r="Q32" s="231"/>
      <c r="R32" s="231"/>
      <c r="S32" s="232"/>
      <c r="V32" s="223"/>
      <c r="W32" s="224"/>
      <c r="X32" s="224"/>
      <c r="Y32" s="224"/>
      <c r="Z32" s="224"/>
      <c r="AA32" s="224"/>
      <c r="AB32" s="39"/>
    </row>
    <row r="33" spans="6:28">
      <c r="F33" s="223"/>
      <c r="G33" s="224"/>
      <c r="H33" s="224"/>
      <c r="I33" s="224"/>
      <c r="J33" s="224"/>
      <c r="K33" s="224"/>
      <c r="L33" s="39"/>
      <c r="N33" s="230"/>
      <c r="O33" s="231"/>
      <c r="P33" s="231"/>
      <c r="Q33" s="231"/>
      <c r="R33" s="231"/>
      <c r="S33" s="232"/>
      <c r="V33" s="223"/>
      <c r="W33" s="224"/>
      <c r="X33" s="224"/>
      <c r="Y33" s="224"/>
      <c r="Z33" s="224"/>
      <c r="AA33" s="224"/>
      <c r="AB33" s="39"/>
    </row>
    <row r="34" spans="6:28">
      <c r="F34" s="223"/>
      <c r="G34" s="224"/>
      <c r="H34" s="224"/>
      <c r="I34" s="224"/>
      <c r="J34" s="224"/>
      <c r="K34" s="224"/>
      <c r="L34" s="39"/>
      <c r="N34" s="230"/>
      <c r="O34" s="231"/>
      <c r="P34" s="231"/>
      <c r="Q34" s="231"/>
      <c r="R34" s="231"/>
      <c r="S34" s="232"/>
      <c r="V34" s="223"/>
      <c r="W34" s="224"/>
      <c r="X34" s="224"/>
      <c r="Y34" s="224"/>
      <c r="Z34" s="224"/>
      <c r="AA34" s="224"/>
      <c r="AB34" s="39"/>
    </row>
    <row r="35" spans="6:28">
      <c r="F35" s="225"/>
      <c r="G35" s="226"/>
      <c r="H35" s="226"/>
      <c r="I35" s="226"/>
      <c r="J35" s="226"/>
      <c r="K35" s="226"/>
      <c r="L35" s="39"/>
      <c r="N35" s="233"/>
      <c r="O35" s="234"/>
      <c r="P35" s="234"/>
      <c r="Q35" s="234"/>
      <c r="R35" s="234"/>
      <c r="S35" s="235"/>
      <c r="V35" s="225"/>
      <c r="W35" s="226"/>
      <c r="X35" s="226"/>
      <c r="Y35" s="226"/>
      <c r="Z35" s="226"/>
      <c r="AA35" s="226"/>
      <c r="AB35" s="39"/>
    </row>
  </sheetData>
  <mergeCells count="15">
    <mergeCell ref="B26:AE27"/>
    <mergeCell ref="J4:L5"/>
    <mergeCell ref="B10:AE13"/>
    <mergeCell ref="B14:AE16"/>
    <mergeCell ref="B22:AE23"/>
    <mergeCell ref="B24:AE25"/>
    <mergeCell ref="F31:K35"/>
    <mergeCell ref="N31:S35"/>
    <mergeCell ref="V31:AA35"/>
    <mergeCell ref="F29:K29"/>
    <mergeCell ref="O29:R29"/>
    <mergeCell ref="V29:AA29"/>
    <mergeCell ref="F30:K30"/>
    <mergeCell ref="N30:S30"/>
    <mergeCell ref="V30:AA30"/>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30"/>
  <sheetViews>
    <sheetView showGridLines="0" workbookViewId="0">
      <pane ySplit="5" topLeftCell="A20" activePane="bottomLeft" state="frozen"/>
      <selection pane="bottomLeft" activeCell="T20" sqref="T20:AY20"/>
    </sheetView>
  </sheetViews>
  <sheetFormatPr defaultColWidth="2.375" defaultRowHeight="15" customHeight="1"/>
  <cols>
    <col min="1" max="16384" width="2.375" style="5"/>
  </cols>
  <sheetData>
    <row r="1" spans="1:67" s="6" customFormat="1" ht="14.1" customHeight="1" thickBot="1">
      <c r="A1" s="293" t="s">
        <v>9</v>
      </c>
      <c r="B1" s="294"/>
      <c r="C1" s="294"/>
      <c r="D1" s="294"/>
      <c r="E1" s="295"/>
      <c r="F1" s="169" t="str">
        <f>表紙!B10</f>
        <v>会計システム刷新プロジェクト（LIBRA）</v>
      </c>
      <c r="G1" s="170"/>
      <c r="H1" s="170"/>
      <c r="I1" s="170"/>
      <c r="J1" s="170"/>
      <c r="K1" s="170"/>
      <c r="L1" s="170"/>
      <c r="M1" s="170"/>
      <c r="N1" s="170"/>
      <c r="O1" s="170"/>
      <c r="P1" s="170"/>
      <c r="Q1" s="170"/>
      <c r="R1" s="170"/>
      <c r="S1" s="170"/>
      <c r="T1" s="170"/>
      <c r="U1" s="170"/>
      <c r="V1" s="171"/>
      <c r="W1" s="166" t="s">
        <v>10</v>
      </c>
      <c r="X1" s="167"/>
      <c r="Y1" s="167"/>
      <c r="Z1" s="167"/>
      <c r="AA1" s="167"/>
      <c r="AB1" s="167"/>
      <c r="AC1" s="167"/>
      <c r="AD1" s="167"/>
      <c r="AE1" s="167"/>
      <c r="AF1" s="167"/>
      <c r="AG1" s="167"/>
      <c r="AH1" s="167"/>
      <c r="AI1" s="167"/>
      <c r="AJ1" s="167"/>
      <c r="AK1" s="167"/>
      <c r="AL1" s="167"/>
      <c r="AM1" s="167"/>
      <c r="AN1" s="167"/>
      <c r="AO1" s="167"/>
      <c r="AP1" s="167"/>
      <c r="AQ1" s="168"/>
      <c r="AR1" s="166" t="s">
        <v>11</v>
      </c>
      <c r="AS1" s="167"/>
      <c r="AT1" s="167"/>
      <c r="AU1" s="167"/>
      <c r="AV1" s="167"/>
      <c r="AW1" s="167"/>
      <c r="AX1" s="167"/>
      <c r="AY1" s="167"/>
      <c r="AZ1" s="168"/>
      <c r="BA1" s="166" t="s">
        <v>12</v>
      </c>
      <c r="BB1" s="167"/>
      <c r="BC1" s="167"/>
      <c r="BD1" s="167"/>
      <c r="BE1" s="167"/>
      <c r="BF1" s="167"/>
      <c r="BG1" s="167"/>
      <c r="BH1" s="168"/>
      <c r="BI1" s="5"/>
      <c r="BJ1" s="5"/>
      <c r="BK1" s="5"/>
      <c r="BL1" s="5"/>
      <c r="BM1" s="5"/>
      <c r="BN1" s="5"/>
      <c r="BO1" s="5"/>
    </row>
    <row r="2" spans="1:67" s="6" customFormat="1" ht="14.1" customHeight="1">
      <c r="A2" s="303" t="s">
        <v>13</v>
      </c>
      <c r="B2" s="304"/>
      <c r="C2" s="304"/>
      <c r="D2" s="304"/>
      <c r="E2" s="305"/>
      <c r="F2" s="155" t="str">
        <f>表紙!B14</f>
        <v>ToBe業務フロー（4.債務）</v>
      </c>
      <c r="G2" s="156"/>
      <c r="H2" s="156"/>
      <c r="I2" s="156"/>
      <c r="J2" s="156"/>
      <c r="K2" s="156"/>
      <c r="L2" s="156"/>
      <c r="M2" s="156"/>
      <c r="N2" s="156"/>
      <c r="O2" s="156"/>
      <c r="P2" s="156"/>
      <c r="Q2" s="156"/>
      <c r="R2" s="156"/>
      <c r="S2" s="156"/>
      <c r="T2" s="156"/>
      <c r="U2" s="156"/>
      <c r="V2" s="157"/>
      <c r="W2" s="309" t="e">
        <f ca="1">MID(CELL("filename",$A$1),FIND("]",CELL("filename",$A$1))+1,31)</f>
        <v>#VALUE!</v>
      </c>
      <c r="X2" s="310"/>
      <c r="Y2" s="310"/>
      <c r="Z2" s="310"/>
      <c r="AA2" s="310"/>
      <c r="AB2" s="310"/>
      <c r="AC2" s="310"/>
      <c r="AD2" s="310"/>
      <c r="AE2" s="310"/>
      <c r="AF2" s="310"/>
      <c r="AG2" s="310"/>
      <c r="AH2" s="310"/>
      <c r="AI2" s="310"/>
      <c r="AJ2" s="310"/>
      <c r="AK2" s="310"/>
      <c r="AL2" s="310"/>
      <c r="AM2" s="310"/>
      <c r="AN2" s="310"/>
      <c r="AO2" s="310"/>
      <c r="AP2" s="310"/>
      <c r="AQ2" s="311"/>
      <c r="AR2" s="161" t="s">
        <v>14</v>
      </c>
      <c r="AS2" s="162"/>
      <c r="AT2" s="163">
        <f>A6</f>
        <v>45362</v>
      </c>
      <c r="AU2" s="164"/>
      <c r="AV2" s="164"/>
      <c r="AW2" s="164"/>
      <c r="AX2" s="164"/>
      <c r="AY2" s="164"/>
      <c r="AZ2" s="165"/>
      <c r="BA2" s="138" t="str">
        <f>AZ6</f>
        <v>JBS秋信</v>
      </c>
      <c r="BB2" s="139"/>
      <c r="BC2" s="139"/>
      <c r="BD2" s="139"/>
      <c r="BE2" s="139"/>
      <c r="BF2" s="139"/>
      <c r="BG2" s="139"/>
      <c r="BH2" s="140"/>
      <c r="BI2" s="5"/>
      <c r="BJ2" s="5"/>
      <c r="BK2" s="5"/>
      <c r="BL2" s="5"/>
      <c r="BM2" s="5"/>
      <c r="BN2" s="5"/>
      <c r="BO2" s="5"/>
    </row>
    <row r="3" spans="1:67" s="6" customFormat="1" ht="14.1" customHeight="1" thickBot="1">
      <c r="A3" s="306"/>
      <c r="B3" s="307"/>
      <c r="C3" s="307"/>
      <c r="D3" s="307"/>
      <c r="E3" s="308"/>
      <c r="F3" s="158"/>
      <c r="G3" s="159"/>
      <c r="H3" s="159"/>
      <c r="I3" s="159"/>
      <c r="J3" s="159"/>
      <c r="K3" s="159"/>
      <c r="L3" s="159"/>
      <c r="M3" s="159"/>
      <c r="N3" s="159"/>
      <c r="O3" s="159"/>
      <c r="P3" s="159"/>
      <c r="Q3" s="159"/>
      <c r="R3" s="159"/>
      <c r="S3" s="159"/>
      <c r="T3" s="159"/>
      <c r="U3" s="159"/>
      <c r="V3" s="160"/>
      <c r="W3" s="312"/>
      <c r="X3" s="313"/>
      <c r="Y3" s="313"/>
      <c r="Z3" s="313"/>
      <c r="AA3" s="313"/>
      <c r="AB3" s="313"/>
      <c r="AC3" s="313"/>
      <c r="AD3" s="313"/>
      <c r="AE3" s="313"/>
      <c r="AF3" s="313"/>
      <c r="AG3" s="313"/>
      <c r="AH3" s="313"/>
      <c r="AI3" s="313"/>
      <c r="AJ3" s="313"/>
      <c r="AK3" s="313"/>
      <c r="AL3" s="313"/>
      <c r="AM3" s="313"/>
      <c r="AN3" s="313"/>
      <c r="AO3" s="313"/>
      <c r="AP3" s="313"/>
      <c r="AQ3" s="314"/>
      <c r="AR3" s="141" t="s">
        <v>15</v>
      </c>
      <c r="AS3" s="142"/>
      <c r="AT3" s="143" cm="1">
        <f t="array" aca="1" ref="AT3" ca="1">IF(OR(COUNTA(A:E)=3),"",INDIRECT("A"&amp;COUNTA(A:E)+2))</f>
        <v>45890</v>
      </c>
      <c r="AU3" s="144"/>
      <c r="AV3" s="144"/>
      <c r="AW3" s="144"/>
      <c r="AX3" s="144"/>
      <c r="AY3" s="144"/>
      <c r="AZ3" s="145"/>
      <c r="BA3" s="146" t="str" cm="1">
        <f t="array" aca="1" ref="BA3" ca="1">IF(COUNTA(AZ5:BD100008)=1,"",INDIRECT("変更履歴!AZ"&amp;COUNTA(AZ5:BD100008)+4))</f>
        <v>JBS秋信</v>
      </c>
      <c r="BB3" s="147"/>
      <c r="BC3" s="147"/>
      <c r="BD3" s="147"/>
      <c r="BE3" s="147"/>
      <c r="BF3" s="147"/>
      <c r="BG3" s="147"/>
      <c r="BH3" s="148"/>
      <c r="BI3" s="5"/>
      <c r="BJ3" s="5"/>
      <c r="BK3" s="5"/>
      <c r="BL3" s="5"/>
      <c r="BM3" s="5"/>
      <c r="BN3" s="5"/>
      <c r="BO3" s="5"/>
    </row>
    <row r="4" spans="1:67" ht="15" customHeight="1" thickBo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row>
    <row r="5" spans="1:67" ht="15" customHeight="1" thickBot="1">
      <c r="A5" s="302" t="s">
        <v>16</v>
      </c>
      <c r="B5" s="302"/>
      <c r="C5" s="302"/>
      <c r="D5" s="302"/>
      <c r="E5" s="302"/>
      <c r="F5" s="302" t="s">
        <v>17</v>
      </c>
      <c r="G5" s="302"/>
      <c r="H5" s="302"/>
      <c r="I5" s="302"/>
      <c r="J5" s="302"/>
      <c r="K5" s="302"/>
      <c r="L5" s="302"/>
      <c r="M5" s="302"/>
      <c r="N5" s="302"/>
      <c r="O5" s="302"/>
      <c r="P5" s="302"/>
      <c r="Q5" s="302"/>
      <c r="R5" s="302"/>
      <c r="S5" s="302"/>
      <c r="T5" s="302" t="s">
        <v>18</v>
      </c>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2"/>
      <c r="AV5" s="302"/>
      <c r="AW5" s="302"/>
      <c r="AX5" s="302"/>
      <c r="AY5" s="302"/>
      <c r="AZ5" s="302" t="s">
        <v>19</v>
      </c>
      <c r="BA5" s="302"/>
      <c r="BB5" s="302"/>
      <c r="BC5" s="302"/>
      <c r="BD5" s="302"/>
      <c r="BE5" s="302" t="s">
        <v>20</v>
      </c>
      <c r="BF5" s="302"/>
      <c r="BG5" s="302"/>
      <c r="BH5" s="302"/>
    </row>
    <row r="6" spans="1:67" ht="15" customHeight="1">
      <c r="A6" s="296">
        <v>45362</v>
      </c>
      <c r="B6" s="296"/>
      <c r="C6" s="296"/>
      <c r="D6" s="296"/>
      <c r="E6" s="296"/>
      <c r="F6" s="297" t="s">
        <v>21</v>
      </c>
      <c r="G6" s="297"/>
      <c r="H6" s="297"/>
      <c r="I6" s="297"/>
      <c r="J6" s="297"/>
      <c r="K6" s="297"/>
      <c r="L6" s="297"/>
      <c r="M6" s="297"/>
      <c r="N6" s="297"/>
      <c r="O6" s="297"/>
      <c r="P6" s="297"/>
      <c r="Q6" s="297"/>
      <c r="R6" s="297"/>
      <c r="S6" s="297"/>
      <c r="T6" s="298" t="s">
        <v>22</v>
      </c>
      <c r="U6" s="298"/>
      <c r="V6" s="298"/>
      <c r="W6" s="298"/>
      <c r="X6" s="298"/>
      <c r="Y6" s="298"/>
      <c r="Z6" s="298"/>
      <c r="AA6" s="298"/>
      <c r="AB6" s="298"/>
      <c r="AC6" s="298"/>
      <c r="AD6" s="298"/>
      <c r="AE6" s="298"/>
      <c r="AF6" s="298"/>
      <c r="AG6" s="298"/>
      <c r="AH6" s="298"/>
      <c r="AI6" s="298"/>
      <c r="AJ6" s="298"/>
      <c r="AK6" s="298"/>
      <c r="AL6" s="298"/>
      <c r="AM6" s="298"/>
      <c r="AN6" s="298"/>
      <c r="AO6" s="298"/>
      <c r="AP6" s="298"/>
      <c r="AQ6" s="298"/>
      <c r="AR6" s="298"/>
      <c r="AS6" s="298"/>
      <c r="AT6" s="298"/>
      <c r="AU6" s="298"/>
      <c r="AV6" s="298"/>
      <c r="AW6" s="298"/>
      <c r="AX6" s="298"/>
      <c r="AY6" s="298"/>
      <c r="AZ6" s="299" t="s">
        <v>23</v>
      </c>
      <c r="BA6" s="299"/>
      <c r="BB6" s="299"/>
      <c r="BC6" s="299"/>
      <c r="BD6" s="299"/>
      <c r="BE6" s="300" t="s">
        <v>24</v>
      </c>
      <c r="BF6" s="301"/>
      <c r="BG6" s="301"/>
      <c r="BH6" s="301"/>
    </row>
    <row r="7" spans="1:67" ht="15" customHeight="1">
      <c r="A7" s="277">
        <v>45433</v>
      </c>
      <c r="B7" s="277"/>
      <c r="C7" s="277"/>
      <c r="D7" s="277"/>
      <c r="E7" s="277"/>
      <c r="F7" s="278" t="s">
        <v>25</v>
      </c>
      <c r="G7" s="278"/>
      <c r="H7" s="278"/>
      <c r="I7" s="278"/>
      <c r="J7" s="278"/>
      <c r="K7" s="278"/>
      <c r="L7" s="278"/>
      <c r="M7" s="278"/>
      <c r="N7" s="278"/>
      <c r="O7" s="278"/>
      <c r="P7" s="278"/>
      <c r="Q7" s="278"/>
      <c r="R7" s="278"/>
      <c r="S7" s="278"/>
      <c r="T7" s="272" t="s">
        <v>26</v>
      </c>
      <c r="U7" s="272"/>
      <c r="V7" s="272"/>
      <c r="W7" s="272"/>
      <c r="X7" s="272"/>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91" t="s">
        <v>23</v>
      </c>
      <c r="BA7" s="291"/>
      <c r="BB7" s="291"/>
      <c r="BC7" s="291"/>
      <c r="BD7" s="291"/>
      <c r="BE7" s="276" t="s">
        <v>27</v>
      </c>
      <c r="BF7" s="276"/>
      <c r="BG7" s="276"/>
      <c r="BH7" s="276"/>
    </row>
    <row r="8" spans="1:67" ht="48" customHeight="1">
      <c r="A8" s="277">
        <v>45649</v>
      </c>
      <c r="B8" s="277"/>
      <c r="C8" s="277"/>
      <c r="D8" s="277"/>
      <c r="E8" s="277"/>
      <c r="F8" s="292" t="s">
        <v>28</v>
      </c>
      <c r="G8" s="278"/>
      <c r="H8" s="278"/>
      <c r="I8" s="278"/>
      <c r="J8" s="278"/>
      <c r="K8" s="278"/>
      <c r="L8" s="278"/>
      <c r="M8" s="278"/>
      <c r="N8" s="278"/>
      <c r="O8" s="278"/>
      <c r="P8" s="278"/>
      <c r="Q8" s="278"/>
      <c r="R8" s="278"/>
      <c r="S8" s="278"/>
      <c r="T8" s="287" t="s">
        <v>29</v>
      </c>
      <c r="U8" s="272"/>
      <c r="V8" s="272"/>
      <c r="W8" s="272"/>
      <c r="X8" s="272"/>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91" t="s">
        <v>23</v>
      </c>
      <c r="BA8" s="291"/>
      <c r="BB8" s="291"/>
      <c r="BC8" s="291"/>
      <c r="BD8" s="291"/>
      <c r="BE8" s="276" t="s">
        <v>30</v>
      </c>
      <c r="BF8" s="276"/>
      <c r="BG8" s="276"/>
      <c r="BH8" s="276"/>
    </row>
    <row r="9" spans="1:67" ht="13.5">
      <c r="A9" s="277">
        <v>45740</v>
      </c>
      <c r="B9" s="277"/>
      <c r="C9" s="277"/>
      <c r="D9" s="277"/>
      <c r="E9" s="277"/>
      <c r="F9" s="278" t="s">
        <v>31</v>
      </c>
      <c r="G9" s="278"/>
      <c r="H9" s="278"/>
      <c r="I9" s="278"/>
      <c r="J9" s="278"/>
      <c r="K9" s="278"/>
      <c r="L9" s="278"/>
      <c r="M9" s="278"/>
      <c r="N9" s="278"/>
      <c r="O9" s="278"/>
      <c r="P9" s="278"/>
      <c r="Q9" s="278"/>
      <c r="R9" s="278"/>
      <c r="S9" s="278"/>
      <c r="T9" s="287" t="s">
        <v>32</v>
      </c>
      <c r="U9" s="272"/>
      <c r="V9" s="272"/>
      <c r="W9" s="272"/>
      <c r="X9" s="272"/>
      <c r="Y9" s="272"/>
      <c r="Z9" s="272"/>
      <c r="AA9" s="272"/>
      <c r="AB9" s="272"/>
      <c r="AC9" s="272"/>
      <c r="AD9" s="272"/>
      <c r="AE9" s="272"/>
      <c r="AF9" s="272"/>
      <c r="AG9" s="272"/>
      <c r="AH9" s="272"/>
      <c r="AI9" s="272"/>
      <c r="AJ9" s="272"/>
      <c r="AK9" s="272"/>
      <c r="AL9" s="272"/>
      <c r="AM9" s="272"/>
      <c r="AN9" s="272"/>
      <c r="AO9" s="272"/>
      <c r="AP9" s="272"/>
      <c r="AQ9" s="272"/>
      <c r="AR9" s="272"/>
      <c r="AS9" s="272"/>
      <c r="AT9" s="272"/>
      <c r="AU9" s="272"/>
      <c r="AV9" s="272"/>
      <c r="AW9" s="272"/>
      <c r="AX9" s="272"/>
      <c r="AY9" s="272"/>
      <c r="AZ9" s="291" t="s">
        <v>23</v>
      </c>
      <c r="BA9" s="291"/>
      <c r="BB9" s="291"/>
      <c r="BC9" s="291"/>
      <c r="BD9" s="291"/>
      <c r="BE9" s="276" t="s">
        <v>33</v>
      </c>
      <c r="BF9" s="276"/>
      <c r="BG9" s="276"/>
      <c r="BH9" s="276"/>
    </row>
    <row r="10" spans="1:67" ht="42.95" customHeight="1">
      <c r="A10" s="277">
        <v>45740</v>
      </c>
      <c r="B10" s="277"/>
      <c r="C10" s="277"/>
      <c r="D10" s="277"/>
      <c r="E10" s="277"/>
      <c r="F10" s="278" t="s">
        <v>34</v>
      </c>
      <c r="G10" s="278"/>
      <c r="H10" s="278"/>
      <c r="I10" s="278"/>
      <c r="J10" s="278"/>
      <c r="K10" s="278"/>
      <c r="L10" s="278"/>
      <c r="M10" s="278"/>
      <c r="N10" s="278"/>
      <c r="O10" s="278"/>
      <c r="P10" s="278"/>
      <c r="Q10" s="278"/>
      <c r="R10" s="278"/>
      <c r="S10" s="278"/>
      <c r="T10" s="287" t="s">
        <v>35</v>
      </c>
      <c r="U10" s="272"/>
      <c r="V10" s="272"/>
      <c r="W10" s="272"/>
      <c r="X10" s="272"/>
      <c r="Y10" s="272"/>
      <c r="Z10" s="272"/>
      <c r="AA10" s="272"/>
      <c r="AB10" s="272"/>
      <c r="AC10" s="272"/>
      <c r="AD10" s="272"/>
      <c r="AE10" s="272"/>
      <c r="AF10" s="272"/>
      <c r="AG10" s="272"/>
      <c r="AH10" s="272"/>
      <c r="AI10" s="272"/>
      <c r="AJ10" s="272"/>
      <c r="AK10" s="272"/>
      <c r="AL10" s="272"/>
      <c r="AM10" s="272"/>
      <c r="AN10" s="272"/>
      <c r="AO10" s="272"/>
      <c r="AP10" s="272"/>
      <c r="AQ10" s="272"/>
      <c r="AR10" s="272"/>
      <c r="AS10" s="272"/>
      <c r="AT10" s="272"/>
      <c r="AU10" s="272"/>
      <c r="AV10" s="272"/>
      <c r="AW10" s="272"/>
      <c r="AX10" s="272"/>
      <c r="AY10" s="272"/>
      <c r="AZ10" s="273" t="s">
        <v>23</v>
      </c>
      <c r="BA10" s="274"/>
      <c r="BB10" s="274"/>
      <c r="BC10" s="274"/>
      <c r="BD10" s="275"/>
      <c r="BE10" s="276" t="s">
        <v>33</v>
      </c>
      <c r="BF10" s="276"/>
      <c r="BG10" s="276"/>
      <c r="BH10" s="276"/>
    </row>
    <row r="11" spans="1:67" ht="15" customHeight="1">
      <c r="A11" s="277">
        <v>45740</v>
      </c>
      <c r="B11" s="277"/>
      <c r="C11" s="277"/>
      <c r="D11" s="277"/>
      <c r="E11" s="277"/>
      <c r="F11" s="278" t="s">
        <v>34</v>
      </c>
      <c r="G11" s="278"/>
      <c r="H11" s="278"/>
      <c r="I11" s="278"/>
      <c r="J11" s="278"/>
      <c r="K11" s="278"/>
      <c r="L11" s="278"/>
      <c r="M11" s="278"/>
      <c r="N11" s="278"/>
      <c r="O11" s="278"/>
      <c r="P11" s="278"/>
      <c r="Q11" s="278"/>
      <c r="R11" s="278"/>
      <c r="S11" s="278"/>
      <c r="T11" s="272" t="s">
        <v>36</v>
      </c>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3" t="s">
        <v>23</v>
      </c>
      <c r="BA11" s="274"/>
      <c r="BB11" s="274"/>
      <c r="BC11" s="274"/>
      <c r="BD11" s="275"/>
      <c r="BE11" s="276" t="s">
        <v>33</v>
      </c>
      <c r="BF11" s="276"/>
      <c r="BG11" s="276"/>
      <c r="BH11" s="276"/>
    </row>
    <row r="12" spans="1:67" ht="15" customHeight="1">
      <c r="A12" s="277">
        <v>45740</v>
      </c>
      <c r="B12" s="277"/>
      <c r="C12" s="277"/>
      <c r="D12" s="277"/>
      <c r="E12" s="277"/>
      <c r="F12" s="278" t="s">
        <v>34</v>
      </c>
      <c r="G12" s="278"/>
      <c r="H12" s="278"/>
      <c r="I12" s="278"/>
      <c r="J12" s="278"/>
      <c r="K12" s="278"/>
      <c r="L12" s="278"/>
      <c r="M12" s="278"/>
      <c r="N12" s="278"/>
      <c r="O12" s="278"/>
      <c r="P12" s="278"/>
      <c r="Q12" s="278"/>
      <c r="R12" s="278"/>
      <c r="S12" s="278"/>
      <c r="T12" s="272" t="s">
        <v>37</v>
      </c>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3" t="s">
        <v>23</v>
      </c>
      <c r="BA12" s="274"/>
      <c r="BB12" s="274"/>
      <c r="BC12" s="274"/>
      <c r="BD12" s="275"/>
      <c r="BE12" s="276" t="s">
        <v>33</v>
      </c>
      <c r="BF12" s="276"/>
      <c r="BG12" s="276"/>
      <c r="BH12" s="276"/>
    </row>
    <row r="13" spans="1:67" ht="15" customHeight="1">
      <c r="A13" s="269">
        <v>45740</v>
      </c>
      <c r="B13" s="270"/>
      <c r="C13" s="270"/>
      <c r="D13" s="270"/>
      <c r="E13" s="271"/>
      <c r="F13" s="260" t="s">
        <v>38</v>
      </c>
      <c r="G13" s="261"/>
      <c r="H13" s="261"/>
      <c r="I13" s="261"/>
      <c r="J13" s="261"/>
      <c r="K13" s="261"/>
      <c r="L13" s="261"/>
      <c r="M13" s="261"/>
      <c r="N13" s="261"/>
      <c r="O13" s="261"/>
      <c r="P13" s="261"/>
      <c r="Q13" s="261"/>
      <c r="R13" s="261"/>
      <c r="S13" s="262"/>
      <c r="T13" s="272" t="s">
        <v>39</v>
      </c>
      <c r="U13" s="272"/>
      <c r="V13" s="272"/>
      <c r="W13" s="272"/>
      <c r="X13" s="272"/>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3" t="s">
        <v>23</v>
      </c>
      <c r="BA13" s="274"/>
      <c r="BB13" s="274"/>
      <c r="BC13" s="274"/>
      <c r="BD13" s="275"/>
      <c r="BE13" s="276" t="s">
        <v>33</v>
      </c>
      <c r="BF13" s="276"/>
      <c r="BG13" s="276"/>
      <c r="BH13" s="276"/>
    </row>
    <row r="14" spans="1:67" ht="15" customHeight="1">
      <c r="A14" s="269">
        <v>45740</v>
      </c>
      <c r="B14" s="270"/>
      <c r="C14" s="270"/>
      <c r="D14" s="270"/>
      <c r="E14" s="271"/>
      <c r="F14" s="260" t="s">
        <v>38</v>
      </c>
      <c r="G14" s="261"/>
      <c r="H14" s="261"/>
      <c r="I14" s="261"/>
      <c r="J14" s="261"/>
      <c r="K14" s="261"/>
      <c r="L14" s="261"/>
      <c r="M14" s="261"/>
      <c r="N14" s="261"/>
      <c r="O14" s="261"/>
      <c r="P14" s="261"/>
      <c r="Q14" s="261"/>
      <c r="R14" s="261"/>
      <c r="S14" s="262"/>
      <c r="T14" s="288" t="s">
        <v>40</v>
      </c>
      <c r="U14" s="289"/>
      <c r="V14" s="289"/>
      <c r="W14" s="289"/>
      <c r="X14" s="289"/>
      <c r="Y14" s="289"/>
      <c r="Z14" s="289"/>
      <c r="AA14" s="289"/>
      <c r="AB14" s="289"/>
      <c r="AC14" s="289"/>
      <c r="AD14" s="289"/>
      <c r="AE14" s="289"/>
      <c r="AF14" s="289"/>
      <c r="AG14" s="289"/>
      <c r="AH14" s="289"/>
      <c r="AI14" s="289"/>
      <c r="AJ14" s="289"/>
      <c r="AK14" s="289"/>
      <c r="AL14" s="289"/>
      <c r="AM14" s="289"/>
      <c r="AN14" s="289"/>
      <c r="AO14" s="289"/>
      <c r="AP14" s="289"/>
      <c r="AQ14" s="289"/>
      <c r="AR14" s="289"/>
      <c r="AS14" s="289"/>
      <c r="AT14" s="289"/>
      <c r="AU14" s="289"/>
      <c r="AV14" s="289"/>
      <c r="AW14" s="289"/>
      <c r="AX14" s="289"/>
      <c r="AY14" s="290"/>
      <c r="AZ14" s="273" t="s">
        <v>23</v>
      </c>
      <c r="BA14" s="274"/>
      <c r="BB14" s="274"/>
      <c r="BC14" s="274"/>
      <c r="BD14" s="275"/>
      <c r="BE14" s="276" t="s">
        <v>33</v>
      </c>
      <c r="BF14" s="276"/>
      <c r="BG14" s="276"/>
      <c r="BH14" s="276"/>
    </row>
    <row r="15" spans="1:67" ht="15" customHeight="1">
      <c r="A15" s="269">
        <v>45740</v>
      </c>
      <c r="B15" s="270"/>
      <c r="C15" s="270"/>
      <c r="D15" s="270"/>
      <c r="E15" s="271"/>
      <c r="F15" s="260" t="s">
        <v>38</v>
      </c>
      <c r="G15" s="261"/>
      <c r="H15" s="261"/>
      <c r="I15" s="261"/>
      <c r="J15" s="261"/>
      <c r="K15" s="261"/>
      <c r="L15" s="261"/>
      <c r="M15" s="261"/>
      <c r="N15" s="261"/>
      <c r="O15" s="261"/>
      <c r="P15" s="261"/>
      <c r="Q15" s="261"/>
      <c r="R15" s="261"/>
      <c r="S15" s="262"/>
      <c r="T15" s="288" t="s">
        <v>41</v>
      </c>
      <c r="U15" s="289"/>
      <c r="V15" s="289"/>
      <c r="W15" s="289"/>
      <c r="X15" s="289"/>
      <c r="Y15" s="289"/>
      <c r="Z15" s="289"/>
      <c r="AA15" s="289"/>
      <c r="AB15" s="289"/>
      <c r="AC15" s="289"/>
      <c r="AD15" s="289"/>
      <c r="AE15" s="289"/>
      <c r="AF15" s="289"/>
      <c r="AG15" s="289"/>
      <c r="AH15" s="289"/>
      <c r="AI15" s="289"/>
      <c r="AJ15" s="289"/>
      <c r="AK15" s="289"/>
      <c r="AL15" s="289"/>
      <c r="AM15" s="289"/>
      <c r="AN15" s="289"/>
      <c r="AO15" s="289"/>
      <c r="AP15" s="289"/>
      <c r="AQ15" s="289"/>
      <c r="AR15" s="289"/>
      <c r="AS15" s="289"/>
      <c r="AT15" s="289"/>
      <c r="AU15" s="289"/>
      <c r="AV15" s="289"/>
      <c r="AW15" s="289"/>
      <c r="AX15" s="289"/>
      <c r="AY15" s="290"/>
      <c r="AZ15" s="273" t="s">
        <v>23</v>
      </c>
      <c r="BA15" s="274"/>
      <c r="BB15" s="274"/>
      <c r="BC15" s="274"/>
      <c r="BD15" s="275"/>
      <c r="BE15" s="276" t="s">
        <v>33</v>
      </c>
      <c r="BF15" s="276"/>
      <c r="BG15" s="276"/>
      <c r="BH15" s="276"/>
    </row>
    <row r="16" spans="1:67" ht="15" customHeight="1">
      <c r="A16" s="269">
        <v>45740</v>
      </c>
      <c r="B16" s="270"/>
      <c r="C16" s="270"/>
      <c r="D16" s="270"/>
      <c r="E16" s="271"/>
      <c r="F16" s="260" t="s">
        <v>42</v>
      </c>
      <c r="G16" s="261"/>
      <c r="H16" s="261"/>
      <c r="I16" s="261"/>
      <c r="J16" s="261"/>
      <c r="K16" s="261"/>
      <c r="L16" s="261"/>
      <c r="M16" s="261"/>
      <c r="N16" s="261"/>
      <c r="O16" s="261"/>
      <c r="P16" s="261"/>
      <c r="Q16" s="261"/>
      <c r="R16" s="261"/>
      <c r="S16" s="262"/>
      <c r="T16" s="288" t="s">
        <v>43</v>
      </c>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9"/>
      <c r="AS16" s="289"/>
      <c r="AT16" s="289"/>
      <c r="AU16" s="289"/>
      <c r="AV16" s="289"/>
      <c r="AW16" s="289"/>
      <c r="AX16" s="289"/>
      <c r="AY16" s="290"/>
      <c r="AZ16" s="273" t="s">
        <v>23</v>
      </c>
      <c r="BA16" s="274"/>
      <c r="BB16" s="274"/>
      <c r="BC16" s="274"/>
      <c r="BD16" s="275"/>
      <c r="BE16" s="276" t="s">
        <v>33</v>
      </c>
      <c r="BF16" s="276"/>
      <c r="BG16" s="276"/>
      <c r="BH16" s="276"/>
    </row>
    <row r="17" spans="1:67" ht="15" customHeight="1">
      <c r="A17" s="269">
        <v>45754</v>
      </c>
      <c r="B17" s="270"/>
      <c r="C17" s="270"/>
      <c r="D17" s="270"/>
      <c r="E17" s="271"/>
      <c r="F17" s="260" t="s">
        <v>38</v>
      </c>
      <c r="G17" s="261"/>
      <c r="H17" s="261"/>
      <c r="I17" s="261"/>
      <c r="J17" s="261"/>
      <c r="K17" s="261"/>
      <c r="L17" s="261"/>
      <c r="M17" s="261"/>
      <c r="N17" s="261"/>
      <c r="O17" s="261"/>
      <c r="P17" s="261"/>
      <c r="Q17" s="261"/>
      <c r="R17" s="261"/>
      <c r="S17" s="262"/>
      <c r="T17" s="272" t="s">
        <v>44</v>
      </c>
      <c r="U17" s="272"/>
      <c r="V17" s="272"/>
      <c r="W17" s="272"/>
      <c r="X17" s="272"/>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3" t="s">
        <v>23</v>
      </c>
      <c r="BA17" s="274"/>
      <c r="BB17" s="274"/>
      <c r="BC17" s="274"/>
      <c r="BD17" s="275"/>
      <c r="BE17" s="276" t="s">
        <v>45</v>
      </c>
      <c r="BF17" s="276"/>
      <c r="BG17" s="276"/>
      <c r="BH17" s="276"/>
    </row>
    <row r="18" spans="1:67" ht="30.95" customHeight="1">
      <c r="A18" s="269">
        <v>45754</v>
      </c>
      <c r="B18" s="270"/>
      <c r="C18" s="270"/>
      <c r="D18" s="270"/>
      <c r="E18" s="271"/>
      <c r="F18" s="278" t="s">
        <v>46</v>
      </c>
      <c r="G18" s="278"/>
      <c r="H18" s="278"/>
      <c r="I18" s="278"/>
      <c r="J18" s="278"/>
      <c r="K18" s="278"/>
      <c r="L18" s="278"/>
      <c r="M18" s="278"/>
      <c r="N18" s="278"/>
      <c r="O18" s="278"/>
      <c r="P18" s="278"/>
      <c r="Q18" s="278"/>
      <c r="R18" s="278"/>
      <c r="S18" s="278"/>
      <c r="T18" s="287" t="s">
        <v>47</v>
      </c>
      <c r="U18" s="272"/>
      <c r="V18" s="272"/>
      <c r="W18" s="272"/>
      <c r="X18" s="272"/>
      <c r="Y18" s="272"/>
      <c r="Z18" s="272"/>
      <c r="AA18" s="272"/>
      <c r="AB18" s="272"/>
      <c r="AC18" s="272"/>
      <c r="AD18" s="272"/>
      <c r="AE18" s="272"/>
      <c r="AF18" s="272"/>
      <c r="AG18" s="272"/>
      <c r="AH18" s="272"/>
      <c r="AI18" s="272"/>
      <c r="AJ18" s="272"/>
      <c r="AK18" s="272"/>
      <c r="AL18" s="272"/>
      <c r="AM18" s="272"/>
      <c r="AN18" s="272"/>
      <c r="AO18" s="272"/>
      <c r="AP18" s="272"/>
      <c r="AQ18" s="272"/>
      <c r="AR18" s="272"/>
      <c r="AS18" s="272"/>
      <c r="AT18" s="272"/>
      <c r="AU18" s="272"/>
      <c r="AV18" s="272"/>
      <c r="AW18" s="272"/>
      <c r="AX18" s="272"/>
      <c r="AY18" s="272"/>
      <c r="AZ18" s="273" t="s">
        <v>23</v>
      </c>
      <c r="BA18" s="274"/>
      <c r="BB18" s="274"/>
      <c r="BC18" s="274"/>
      <c r="BD18" s="275"/>
      <c r="BE18" s="276" t="s">
        <v>45</v>
      </c>
      <c r="BF18" s="276"/>
      <c r="BG18" s="276"/>
      <c r="BH18" s="276"/>
    </row>
    <row r="19" spans="1:67" ht="15" customHeight="1">
      <c r="A19" s="269">
        <v>45755</v>
      </c>
      <c r="B19" s="270"/>
      <c r="C19" s="270"/>
      <c r="D19" s="270"/>
      <c r="E19" s="271"/>
      <c r="F19" s="260" t="s">
        <v>38</v>
      </c>
      <c r="G19" s="261"/>
      <c r="H19" s="261"/>
      <c r="I19" s="261"/>
      <c r="J19" s="261"/>
      <c r="K19" s="261"/>
      <c r="L19" s="261"/>
      <c r="M19" s="261"/>
      <c r="N19" s="261"/>
      <c r="O19" s="261"/>
      <c r="P19" s="261"/>
      <c r="Q19" s="261"/>
      <c r="R19" s="261"/>
      <c r="S19" s="262"/>
      <c r="T19" s="272" t="s">
        <v>48</v>
      </c>
      <c r="U19" s="272"/>
      <c r="V19" s="272"/>
      <c r="W19" s="272"/>
      <c r="X19" s="272"/>
      <c r="Y19" s="272"/>
      <c r="Z19" s="272"/>
      <c r="AA19" s="272"/>
      <c r="AB19" s="272"/>
      <c r="AC19" s="272"/>
      <c r="AD19" s="272"/>
      <c r="AE19" s="272"/>
      <c r="AF19" s="272"/>
      <c r="AG19" s="272"/>
      <c r="AH19" s="272"/>
      <c r="AI19" s="272"/>
      <c r="AJ19" s="272"/>
      <c r="AK19" s="272"/>
      <c r="AL19" s="272"/>
      <c r="AM19" s="272"/>
      <c r="AN19" s="272"/>
      <c r="AO19" s="272"/>
      <c r="AP19" s="272"/>
      <c r="AQ19" s="272"/>
      <c r="AR19" s="272"/>
      <c r="AS19" s="272"/>
      <c r="AT19" s="272"/>
      <c r="AU19" s="272"/>
      <c r="AV19" s="272"/>
      <c r="AW19" s="272"/>
      <c r="AX19" s="272"/>
      <c r="AY19" s="272"/>
      <c r="AZ19" s="273" t="s">
        <v>23</v>
      </c>
      <c r="BA19" s="274"/>
      <c r="BB19" s="274"/>
      <c r="BC19" s="274"/>
      <c r="BD19" s="275"/>
      <c r="BE19" s="276" t="s">
        <v>49</v>
      </c>
      <c r="BF19" s="276"/>
      <c r="BG19" s="276"/>
      <c r="BH19" s="276"/>
    </row>
    <row r="20" spans="1:67" ht="15" customHeight="1">
      <c r="A20" s="277">
        <v>45790</v>
      </c>
      <c r="B20" s="277"/>
      <c r="C20" s="277"/>
      <c r="D20" s="277"/>
      <c r="E20" s="277"/>
      <c r="F20" s="278" t="s">
        <v>50</v>
      </c>
      <c r="G20" s="278"/>
      <c r="H20" s="278"/>
      <c r="I20" s="278"/>
      <c r="J20" s="278"/>
      <c r="K20" s="278"/>
      <c r="L20" s="278"/>
      <c r="M20" s="278"/>
      <c r="N20" s="278"/>
      <c r="O20" s="278"/>
      <c r="P20" s="278"/>
      <c r="Q20" s="278"/>
      <c r="R20" s="278"/>
      <c r="S20" s="278"/>
      <c r="T20" s="272" t="s">
        <v>51</v>
      </c>
      <c r="U20" s="272"/>
      <c r="V20" s="272"/>
      <c r="W20" s="272"/>
      <c r="X20" s="272"/>
      <c r="Y20" s="272"/>
      <c r="Z20" s="272"/>
      <c r="AA20" s="272"/>
      <c r="AB20" s="272"/>
      <c r="AC20" s="272"/>
      <c r="AD20" s="272"/>
      <c r="AE20" s="272"/>
      <c r="AF20" s="272"/>
      <c r="AG20" s="272"/>
      <c r="AH20" s="272"/>
      <c r="AI20" s="272"/>
      <c r="AJ20" s="272"/>
      <c r="AK20" s="272"/>
      <c r="AL20" s="272"/>
      <c r="AM20" s="272"/>
      <c r="AN20" s="272"/>
      <c r="AO20" s="272"/>
      <c r="AP20" s="272"/>
      <c r="AQ20" s="272"/>
      <c r="AR20" s="272"/>
      <c r="AS20" s="272"/>
      <c r="AT20" s="272"/>
      <c r="AU20" s="272"/>
      <c r="AV20" s="272"/>
      <c r="AW20" s="272"/>
      <c r="AX20" s="272"/>
      <c r="AY20" s="272"/>
      <c r="AZ20" s="273" t="s">
        <v>23</v>
      </c>
      <c r="BA20" s="274"/>
      <c r="BB20" s="274"/>
      <c r="BC20" s="274"/>
      <c r="BD20" s="275"/>
      <c r="BE20" s="276" t="s">
        <v>52</v>
      </c>
      <c r="BF20" s="276"/>
      <c r="BG20" s="276"/>
      <c r="BH20" s="276"/>
    </row>
    <row r="21" spans="1:67" ht="15" customHeight="1">
      <c r="A21" s="277">
        <v>45797</v>
      </c>
      <c r="B21" s="277"/>
      <c r="C21" s="277"/>
      <c r="D21" s="277"/>
      <c r="E21" s="277"/>
      <c r="F21" s="260" t="s">
        <v>38</v>
      </c>
      <c r="G21" s="261"/>
      <c r="H21" s="261"/>
      <c r="I21" s="261"/>
      <c r="J21" s="261"/>
      <c r="K21" s="261"/>
      <c r="L21" s="261"/>
      <c r="M21" s="261"/>
      <c r="N21" s="261"/>
      <c r="O21" s="261"/>
      <c r="P21" s="261"/>
      <c r="Q21" s="261"/>
      <c r="R21" s="261"/>
      <c r="S21" s="262"/>
      <c r="T21" s="272" t="s">
        <v>53</v>
      </c>
      <c r="U21" s="272"/>
      <c r="V21" s="272"/>
      <c r="W21" s="272"/>
      <c r="X21" s="272"/>
      <c r="Y21" s="272"/>
      <c r="Z21" s="272"/>
      <c r="AA21" s="272"/>
      <c r="AB21" s="272"/>
      <c r="AC21" s="272"/>
      <c r="AD21" s="272"/>
      <c r="AE21" s="272"/>
      <c r="AF21" s="272"/>
      <c r="AG21" s="272"/>
      <c r="AH21" s="272"/>
      <c r="AI21" s="272"/>
      <c r="AJ21" s="272"/>
      <c r="AK21" s="272"/>
      <c r="AL21" s="272"/>
      <c r="AM21" s="272"/>
      <c r="AN21" s="272"/>
      <c r="AO21" s="272"/>
      <c r="AP21" s="272"/>
      <c r="AQ21" s="272"/>
      <c r="AR21" s="272"/>
      <c r="AS21" s="272"/>
      <c r="AT21" s="272"/>
      <c r="AU21" s="272"/>
      <c r="AV21" s="272"/>
      <c r="AW21" s="272"/>
      <c r="AX21" s="272"/>
      <c r="AY21" s="272"/>
      <c r="AZ21" s="273" t="s">
        <v>23</v>
      </c>
      <c r="BA21" s="274"/>
      <c r="BB21" s="274"/>
      <c r="BC21" s="274"/>
      <c r="BD21" s="275"/>
      <c r="BE21" s="276" t="s">
        <v>54</v>
      </c>
      <c r="BF21" s="276"/>
      <c r="BG21" s="276"/>
      <c r="BH21" s="276"/>
    </row>
    <row r="22" spans="1:67" ht="15" customHeight="1">
      <c r="A22" s="277">
        <v>45840</v>
      </c>
      <c r="B22" s="277"/>
      <c r="C22" s="277"/>
      <c r="D22" s="277"/>
      <c r="E22" s="277"/>
      <c r="F22" s="260" t="s">
        <v>55</v>
      </c>
      <c r="G22" s="261"/>
      <c r="H22" s="261"/>
      <c r="I22" s="261"/>
      <c r="J22" s="261"/>
      <c r="K22" s="261"/>
      <c r="L22" s="261"/>
      <c r="M22" s="261"/>
      <c r="N22" s="261"/>
      <c r="O22" s="261"/>
      <c r="P22" s="261"/>
      <c r="Q22" s="261"/>
      <c r="R22" s="261"/>
      <c r="S22" s="262"/>
      <c r="T22" s="272" t="s">
        <v>56</v>
      </c>
      <c r="U22" s="272"/>
      <c r="V22" s="272"/>
      <c r="W22" s="272"/>
      <c r="X22" s="272"/>
      <c r="Y22" s="272"/>
      <c r="Z22" s="272"/>
      <c r="AA22" s="272"/>
      <c r="AB22" s="272"/>
      <c r="AC22" s="272"/>
      <c r="AD22" s="272"/>
      <c r="AE22" s="272"/>
      <c r="AF22" s="272"/>
      <c r="AG22" s="272"/>
      <c r="AH22" s="272"/>
      <c r="AI22" s="272"/>
      <c r="AJ22" s="272"/>
      <c r="AK22" s="272"/>
      <c r="AL22" s="272"/>
      <c r="AM22" s="272"/>
      <c r="AN22" s="272"/>
      <c r="AO22" s="272"/>
      <c r="AP22" s="272"/>
      <c r="AQ22" s="272"/>
      <c r="AR22" s="272"/>
      <c r="AS22" s="272"/>
      <c r="AT22" s="272"/>
      <c r="AU22" s="272"/>
      <c r="AV22" s="272"/>
      <c r="AW22" s="272"/>
      <c r="AX22" s="272"/>
      <c r="AY22" s="272"/>
      <c r="AZ22" s="273" t="s">
        <v>23</v>
      </c>
      <c r="BA22" s="274"/>
      <c r="BB22" s="274"/>
      <c r="BC22" s="274"/>
      <c r="BD22" s="275"/>
      <c r="BE22" s="276" t="s">
        <v>57</v>
      </c>
      <c r="BF22" s="276"/>
      <c r="BG22" s="276"/>
      <c r="BH22" s="276"/>
    </row>
    <row r="23" spans="1:67" ht="15" customHeight="1">
      <c r="A23" s="277">
        <v>45840</v>
      </c>
      <c r="B23" s="277"/>
      <c r="C23" s="277"/>
      <c r="D23" s="277"/>
      <c r="E23" s="277"/>
      <c r="F23" s="260" t="s">
        <v>58</v>
      </c>
      <c r="G23" s="261"/>
      <c r="H23" s="261"/>
      <c r="I23" s="261"/>
      <c r="J23" s="261"/>
      <c r="K23" s="261"/>
      <c r="L23" s="261"/>
      <c r="M23" s="261"/>
      <c r="N23" s="261"/>
      <c r="O23" s="261"/>
      <c r="P23" s="261"/>
      <c r="Q23" s="261"/>
      <c r="R23" s="261"/>
      <c r="S23" s="262"/>
      <c r="T23" s="272" t="s">
        <v>59</v>
      </c>
      <c r="U23" s="272"/>
      <c r="V23" s="272"/>
      <c r="W23" s="272"/>
      <c r="X23" s="272"/>
      <c r="Y23" s="272"/>
      <c r="Z23" s="272"/>
      <c r="AA23" s="272"/>
      <c r="AB23" s="272"/>
      <c r="AC23" s="272"/>
      <c r="AD23" s="272"/>
      <c r="AE23" s="272"/>
      <c r="AF23" s="272"/>
      <c r="AG23" s="272"/>
      <c r="AH23" s="272"/>
      <c r="AI23" s="272"/>
      <c r="AJ23" s="272"/>
      <c r="AK23" s="272"/>
      <c r="AL23" s="272"/>
      <c r="AM23" s="272"/>
      <c r="AN23" s="272"/>
      <c r="AO23" s="272"/>
      <c r="AP23" s="272"/>
      <c r="AQ23" s="272"/>
      <c r="AR23" s="272"/>
      <c r="AS23" s="272"/>
      <c r="AT23" s="272"/>
      <c r="AU23" s="272"/>
      <c r="AV23" s="272"/>
      <c r="AW23" s="272"/>
      <c r="AX23" s="272"/>
      <c r="AY23" s="272"/>
      <c r="AZ23" s="273" t="s">
        <v>23</v>
      </c>
      <c r="BA23" s="274"/>
      <c r="BB23" s="274"/>
      <c r="BC23" s="274"/>
      <c r="BD23" s="275"/>
      <c r="BE23" s="276" t="s">
        <v>57</v>
      </c>
      <c r="BF23" s="276"/>
      <c r="BG23" s="276"/>
      <c r="BH23" s="276"/>
    </row>
    <row r="24" spans="1:67" ht="15" customHeight="1">
      <c r="A24" s="277">
        <v>45840</v>
      </c>
      <c r="B24" s="277"/>
      <c r="C24" s="277"/>
      <c r="D24" s="277"/>
      <c r="E24" s="277"/>
      <c r="F24" s="260" t="s">
        <v>60</v>
      </c>
      <c r="G24" s="261"/>
      <c r="H24" s="261"/>
      <c r="I24" s="261"/>
      <c r="J24" s="261"/>
      <c r="K24" s="261"/>
      <c r="L24" s="261"/>
      <c r="M24" s="261"/>
      <c r="N24" s="261"/>
      <c r="O24" s="261"/>
      <c r="P24" s="261"/>
      <c r="Q24" s="261"/>
      <c r="R24" s="261"/>
      <c r="S24" s="262"/>
      <c r="T24" s="272" t="s">
        <v>61</v>
      </c>
      <c r="U24" s="272"/>
      <c r="V24" s="272"/>
      <c r="W24" s="272"/>
      <c r="X24" s="272"/>
      <c r="Y24" s="272"/>
      <c r="Z24" s="272"/>
      <c r="AA24" s="272"/>
      <c r="AB24" s="272"/>
      <c r="AC24" s="272"/>
      <c r="AD24" s="272"/>
      <c r="AE24" s="272"/>
      <c r="AF24" s="272"/>
      <c r="AG24" s="272"/>
      <c r="AH24" s="272"/>
      <c r="AI24" s="272"/>
      <c r="AJ24" s="272"/>
      <c r="AK24" s="272"/>
      <c r="AL24" s="272"/>
      <c r="AM24" s="272"/>
      <c r="AN24" s="272"/>
      <c r="AO24" s="272"/>
      <c r="AP24" s="272"/>
      <c r="AQ24" s="272"/>
      <c r="AR24" s="272"/>
      <c r="AS24" s="272"/>
      <c r="AT24" s="272"/>
      <c r="AU24" s="272"/>
      <c r="AV24" s="272"/>
      <c r="AW24" s="272"/>
      <c r="AX24" s="272"/>
      <c r="AY24" s="272"/>
      <c r="AZ24" s="273" t="s">
        <v>23</v>
      </c>
      <c r="BA24" s="274"/>
      <c r="BB24" s="274"/>
      <c r="BC24" s="274"/>
      <c r="BD24" s="275"/>
      <c r="BE24" s="276" t="s">
        <v>57</v>
      </c>
      <c r="BF24" s="276"/>
      <c r="BG24" s="276"/>
      <c r="BH24" s="276"/>
    </row>
    <row r="25" spans="1:67" ht="15" customHeight="1">
      <c r="A25" s="277">
        <v>45840</v>
      </c>
      <c r="B25" s="277"/>
      <c r="C25" s="277"/>
      <c r="D25" s="277"/>
      <c r="E25" s="277"/>
      <c r="F25" s="260" t="s">
        <v>62</v>
      </c>
      <c r="G25" s="261"/>
      <c r="H25" s="261"/>
      <c r="I25" s="261"/>
      <c r="J25" s="261"/>
      <c r="K25" s="261"/>
      <c r="L25" s="261"/>
      <c r="M25" s="261"/>
      <c r="N25" s="261"/>
      <c r="O25" s="261"/>
      <c r="P25" s="261"/>
      <c r="Q25" s="261"/>
      <c r="R25" s="261"/>
      <c r="S25" s="262"/>
      <c r="T25" s="272" t="s">
        <v>63</v>
      </c>
      <c r="U25" s="272"/>
      <c r="V25" s="272"/>
      <c r="W25" s="272"/>
      <c r="X25" s="272"/>
      <c r="Y25" s="272"/>
      <c r="Z25" s="272"/>
      <c r="AA25" s="272"/>
      <c r="AB25" s="272"/>
      <c r="AC25" s="272"/>
      <c r="AD25" s="272"/>
      <c r="AE25" s="272"/>
      <c r="AF25" s="272"/>
      <c r="AG25" s="272"/>
      <c r="AH25" s="272"/>
      <c r="AI25" s="272"/>
      <c r="AJ25" s="272"/>
      <c r="AK25" s="272"/>
      <c r="AL25" s="272"/>
      <c r="AM25" s="272"/>
      <c r="AN25" s="272"/>
      <c r="AO25" s="272"/>
      <c r="AP25" s="272"/>
      <c r="AQ25" s="272"/>
      <c r="AR25" s="272"/>
      <c r="AS25" s="272"/>
      <c r="AT25" s="272"/>
      <c r="AU25" s="272"/>
      <c r="AV25" s="272"/>
      <c r="AW25" s="272"/>
      <c r="AX25" s="272"/>
      <c r="AY25" s="272"/>
      <c r="AZ25" s="273" t="s">
        <v>23</v>
      </c>
      <c r="BA25" s="274"/>
      <c r="BB25" s="274"/>
      <c r="BC25" s="274"/>
      <c r="BD25" s="275"/>
      <c r="BE25" s="276" t="s">
        <v>57</v>
      </c>
      <c r="BF25" s="276"/>
      <c r="BG25" s="276"/>
      <c r="BH25" s="276"/>
    </row>
    <row r="26" spans="1:67" ht="15" customHeight="1">
      <c r="A26" s="277">
        <v>45840</v>
      </c>
      <c r="B26" s="277"/>
      <c r="C26" s="277"/>
      <c r="D26" s="277"/>
      <c r="E26" s="277"/>
      <c r="F26" s="278" t="s">
        <v>50</v>
      </c>
      <c r="G26" s="278"/>
      <c r="H26" s="278"/>
      <c r="I26" s="278"/>
      <c r="J26" s="278"/>
      <c r="K26" s="278"/>
      <c r="L26" s="278"/>
      <c r="M26" s="278"/>
      <c r="N26" s="278"/>
      <c r="O26" s="278"/>
      <c r="P26" s="278"/>
      <c r="Q26" s="278"/>
      <c r="R26" s="278"/>
      <c r="S26" s="278"/>
      <c r="T26" s="272" t="s">
        <v>64</v>
      </c>
      <c r="U26" s="272"/>
      <c r="V26" s="272"/>
      <c r="W26" s="272"/>
      <c r="X26" s="272"/>
      <c r="Y26" s="272"/>
      <c r="Z26" s="272"/>
      <c r="AA26" s="272"/>
      <c r="AB26" s="272"/>
      <c r="AC26" s="272"/>
      <c r="AD26" s="272"/>
      <c r="AE26" s="272"/>
      <c r="AF26" s="272"/>
      <c r="AG26" s="272"/>
      <c r="AH26" s="272"/>
      <c r="AI26" s="272"/>
      <c r="AJ26" s="272"/>
      <c r="AK26" s="272"/>
      <c r="AL26" s="272"/>
      <c r="AM26" s="272"/>
      <c r="AN26" s="272"/>
      <c r="AO26" s="272"/>
      <c r="AP26" s="272"/>
      <c r="AQ26" s="272"/>
      <c r="AR26" s="272"/>
      <c r="AS26" s="272"/>
      <c r="AT26" s="272"/>
      <c r="AU26" s="272"/>
      <c r="AV26" s="272"/>
      <c r="AW26" s="272"/>
      <c r="AX26" s="272"/>
      <c r="AY26" s="272"/>
      <c r="AZ26" s="273" t="s">
        <v>23</v>
      </c>
      <c r="BA26" s="274"/>
      <c r="BB26" s="274"/>
      <c r="BC26" s="274"/>
      <c r="BD26" s="275"/>
      <c r="BE26" s="276" t="s">
        <v>57</v>
      </c>
      <c r="BF26" s="276"/>
      <c r="BG26" s="276"/>
      <c r="BH26" s="276"/>
    </row>
    <row r="27" spans="1:67" ht="36" customHeight="1">
      <c r="A27" s="277">
        <v>45862</v>
      </c>
      <c r="B27" s="277"/>
      <c r="C27" s="277"/>
      <c r="D27" s="277"/>
      <c r="E27" s="277"/>
      <c r="F27" s="278" t="s">
        <v>50</v>
      </c>
      <c r="G27" s="278"/>
      <c r="H27" s="278"/>
      <c r="I27" s="278"/>
      <c r="J27" s="278"/>
      <c r="K27" s="278"/>
      <c r="L27" s="278"/>
      <c r="M27" s="278"/>
      <c r="N27" s="278"/>
      <c r="O27" s="278"/>
      <c r="P27" s="278"/>
      <c r="Q27" s="278"/>
      <c r="R27" s="278"/>
      <c r="S27" s="278"/>
      <c r="T27" s="287" t="s">
        <v>65</v>
      </c>
      <c r="U27" s="272"/>
      <c r="V27" s="272"/>
      <c r="W27" s="272"/>
      <c r="X27" s="272"/>
      <c r="Y27" s="272"/>
      <c r="Z27" s="272"/>
      <c r="AA27" s="272"/>
      <c r="AB27" s="272"/>
      <c r="AC27" s="272"/>
      <c r="AD27" s="272"/>
      <c r="AE27" s="272"/>
      <c r="AF27" s="272"/>
      <c r="AG27" s="272"/>
      <c r="AH27" s="272"/>
      <c r="AI27" s="272"/>
      <c r="AJ27" s="272"/>
      <c r="AK27" s="272"/>
      <c r="AL27" s="272"/>
      <c r="AM27" s="272"/>
      <c r="AN27" s="272"/>
      <c r="AO27" s="272"/>
      <c r="AP27" s="272"/>
      <c r="AQ27" s="272"/>
      <c r="AR27" s="272"/>
      <c r="AS27" s="272"/>
      <c r="AT27" s="272"/>
      <c r="AU27" s="272"/>
      <c r="AV27" s="272"/>
      <c r="AW27" s="272"/>
      <c r="AX27" s="272"/>
      <c r="AY27" s="272"/>
      <c r="AZ27" s="273" t="s">
        <v>66</v>
      </c>
      <c r="BA27" s="274"/>
      <c r="BB27" s="274"/>
      <c r="BC27" s="274"/>
      <c r="BD27" s="275"/>
      <c r="BE27" s="276" t="s">
        <v>57</v>
      </c>
      <c r="BF27" s="276"/>
      <c r="BG27" s="276"/>
      <c r="BH27" s="276"/>
    </row>
    <row r="28" spans="1:67" ht="36" customHeight="1">
      <c r="A28" s="259">
        <v>45877</v>
      </c>
      <c r="B28" s="259"/>
      <c r="C28" s="259"/>
      <c r="D28" s="259"/>
      <c r="E28" s="259"/>
      <c r="F28" s="279" t="s">
        <v>55</v>
      </c>
      <c r="G28" s="280"/>
      <c r="H28" s="280"/>
      <c r="I28" s="280"/>
      <c r="J28" s="280"/>
      <c r="K28" s="280"/>
      <c r="L28" s="280"/>
      <c r="M28" s="280"/>
      <c r="N28" s="280"/>
      <c r="O28" s="280"/>
      <c r="P28" s="280"/>
      <c r="Q28" s="280"/>
      <c r="R28" s="280"/>
      <c r="S28" s="281"/>
      <c r="T28" s="263" t="s">
        <v>67</v>
      </c>
      <c r="U28" s="264"/>
      <c r="V28" s="264"/>
      <c r="W28" s="264"/>
      <c r="X28" s="264"/>
      <c r="Y28" s="264"/>
      <c r="Z28" s="264"/>
      <c r="AA28" s="264"/>
      <c r="AB28" s="264"/>
      <c r="AC28" s="264"/>
      <c r="AD28" s="264"/>
      <c r="AE28" s="264"/>
      <c r="AF28" s="264"/>
      <c r="AG28" s="264"/>
      <c r="AH28" s="264"/>
      <c r="AI28" s="264"/>
      <c r="AJ28" s="264"/>
      <c r="AK28" s="264"/>
      <c r="AL28" s="264"/>
      <c r="AM28" s="264"/>
      <c r="AN28" s="264"/>
      <c r="AO28" s="264"/>
      <c r="AP28" s="264"/>
      <c r="AQ28" s="264"/>
      <c r="AR28" s="264"/>
      <c r="AS28" s="264"/>
      <c r="AT28" s="264"/>
      <c r="AU28" s="264"/>
      <c r="AV28" s="264"/>
      <c r="AW28" s="264"/>
      <c r="AX28" s="264"/>
      <c r="AY28" s="264"/>
      <c r="AZ28" s="265" t="s">
        <v>23</v>
      </c>
      <c r="BA28" s="266"/>
      <c r="BB28" s="266"/>
      <c r="BC28" s="266"/>
      <c r="BD28" s="267"/>
      <c r="BE28" s="268" t="s">
        <v>68</v>
      </c>
      <c r="BF28" s="268"/>
      <c r="BG28" s="268"/>
      <c r="BH28" s="268"/>
      <c r="BI28" s="137"/>
      <c r="BJ28" s="137"/>
      <c r="BK28" s="137"/>
      <c r="BL28" s="137"/>
      <c r="BM28" s="137"/>
      <c r="BN28" s="137"/>
      <c r="BO28" s="137"/>
    </row>
    <row r="29" spans="1:67" ht="36" customHeight="1">
      <c r="A29" s="259">
        <v>45890</v>
      </c>
      <c r="B29" s="259"/>
      <c r="C29" s="259"/>
      <c r="D29" s="259"/>
      <c r="E29" s="259"/>
      <c r="F29" s="260" t="s">
        <v>58</v>
      </c>
      <c r="G29" s="261"/>
      <c r="H29" s="261"/>
      <c r="I29" s="261"/>
      <c r="J29" s="261"/>
      <c r="K29" s="261"/>
      <c r="L29" s="261"/>
      <c r="M29" s="261"/>
      <c r="N29" s="261"/>
      <c r="O29" s="261"/>
      <c r="P29" s="261"/>
      <c r="Q29" s="261"/>
      <c r="R29" s="261"/>
      <c r="S29" s="262"/>
      <c r="T29" s="263" t="s">
        <v>69</v>
      </c>
      <c r="U29" s="264"/>
      <c r="V29" s="264"/>
      <c r="W29" s="264"/>
      <c r="X29" s="264"/>
      <c r="Y29" s="264"/>
      <c r="Z29" s="264"/>
      <c r="AA29" s="264"/>
      <c r="AB29" s="264"/>
      <c r="AC29" s="264"/>
      <c r="AD29" s="264"/>
      <c r="AE29" s="264"/>
      <c r="AF29" s="264"/>
      <c r="AG29" s="264"/>
      <c r="AH29" s="264"/>
      <c r="AI29" s="264"/>
      <c r="AJ29" s="264"/>
      <c r="AK29" s="264"/>
      <c r="AL29" s="264"/>
      <c r="AM29" s="264"/>
      <c r="AN29" s="264"/>
      <c r="AO29" s="264"/>
      <c r="AP29" s="264"/>
      <c r="AQ29" s="264"/>
      <c r="AR29" s="264"/>
      <c r="AS29" s="264"/>
      <c r="AT29" s="264"/>
      <c r="AU29" s="264"/>
      <c r="AV29" s="264"/>
      <c r="AW29" s="264"/>
      <c r="AX29" s="264"/>
      <c r="AY29" s="264"/>
      <c r="AZ29" s="265" t="s">
        <v>23</v>
      </c>
      <c r="BA29" s="266"/>
      <c r="BB29" s="266"/>
      <c r="BC29" s="266"/>
      <c r="BD29" s="267"/>
      <c r="BE29" s="268" t="s">
        <v>70</v>
      </c>
      <c r="BF29" s="268"/>
      <c r="BG29" s="268"/>
      <c r="BH29" s="268"/>
      <c r="BI29" s="137"/>
      <c r="BJ29" s="137"/>
      <c r="BK29" s="137"/>
      <c r="BL29" s="137"/>
      <c r="BM29" s="137"/>
      <c r="BN29" s="137"/>
      <c r="BO29" s="137"/>
    </row>
    <row r="30" spans="1:67" ht="15" customHeight="1" thickBot="1">
      <c r="A30" s="282"/>
      <c r="B30" s="282"/>
      <c r="C30" s="282"/>
      <c r="D30" s="282"/>
      <c r="E30" s="282"/>
      <c r="F30" s="283"/>
      <c r="G30" s="283"/>
      <c r="H30" s="283"/>
      <c r="I30" s="283"/>
      <c r="J30" s="283"/>
      <c r="K30" s="283"/>
      <c r="L30" s="283"/>
      <c r="M30" s="283"/>
      <c r="N30" s="283"/>
      <c r="O30" s="283"/>
      <c r="P30" s="283"/>
      <c r="Q30" s="283"/>
      <c r="R30" s="283"/>
      <c r="S30" s="283"/>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5"/>
      <c r="BA30" s="285"/>
      <c r="BB30" s="285"/>
      <c r="BC30" s="285"/>
      <c r="BD30" s="285"/>
      <c r="BE30" s="286"/>
      <c r="BF30" s="286"/>
      <c r="BG30" s="286"/>
      <c r="BH30" s="286"/>
    </row>
  </sheetData>
  <mergeCells count="144">
    <mergeCell ref="AZ28:BD28"/>
    <mergeCell ref="BE28:BH28"/>
    <mergeCell ref="AZ26:BD26"/>
    <mergeCell ref="BE26:BH26"/>
    <mergeCell ref="A27:E27"/>
    <mergeCell ref="F27:S27"/>
    <mergeCell ref="T27:AY27"/>
    <mergeCell ref="AZ27:BD27"/>
    <mergeCell ref="BE27:BH27"/>
    <mergeCell ref="A26:E26"/>
    <mergeCell ref="F26:S26"/>
    <mergeCell ref="T26:AY26"/>
    <mergeCell ref="A1:E1"/>
    <mergeCell ref="F1:V1"/>
    <mergeCell ref="W1:AQ1"/>
    <mergeCell ref="AR1:AZ1"/>
    <mergeCell ref="BA1:BH1"/>
    <mergeCell ref="A6:E6"/>
    <mergeCell ref="F6:S6"/>
    <mergeCell ref="T6:AY6"/>
    <mergeCell ref="AZ6:BD6"/>
    <mergeCell ref="BE6:BH6"/>
    <mergeCell ref="BA2:BH2"/>
    <mergeCell ref="AR3:AS3"/>
    <mergeCell ref="AT3:AZ3"/>
    <mergeCell ref="BA3:BH3"/>
    <mergeCell ref="A5:E5"/>
    <mergeCell ref="F5:S5"/>
    <mergeCell ref="T5:AY5"/>
    <mergeCell ref="AZ5:BD5"/>
    <mergeCell ref="BE5:BH5"/>
    <mergeCell ref="A2:E3"/>
    <mergeCell ref="F2:V3"/>
    <mergeCell ref="W2:AQ3"/>
    <mergeCell ref="AR2:AS2"/>
    <mergeCell ref="AT2:AZ2"/>
    <mergeCell ref="A8:E8"/>
    <mergeCell ref="F8:S8"/>
    <mergeCell ref="T8:AY8"/>
    <mergeCell ref="AZ8:BD8"/>
    <mergeCell ref="BE8:BH8"/>
    <mergeCell ref="A7:E7"/>
    <mergeCell ref="F7:S7"/>
    <mergeCell ref="T7:AY7"/>
    <mergeCell ref="AZ7:BD7"/>
    <mergeCell ref="BE7:BH7"/>
    <mergeCell ref="A10:E10"/>
    <mergeCell ref="F10:S10"/>
    <mergeCell ref="T10:AY10"/>
    <mergeCell ref="AZ10:BD10"/>
    <mergeCell ref="BE10:BH10"/>
    <mergeCell ref="A9:E9"/>
    <mergeCell ref="F9:S9"/>
    <mergeCell ref="T9:AY9"/>
    <mergeCell ref="AZ9:BD9"/>
    <mergeCell ref="BE9:BH9"/>
    <mergeCell ref="A12:E12"/>
    <mergeCell ref="F12:S12"/>
    <mergeCell ref="T12:AY12"/>
    <mergeCell ref="AZ12:BD12"/>
    <mergeCell ref="BE12:BH12"/>
    <mergeCell ref="A11:E11"/>
    <mergeCell ref="F11:S11"/>
    <mergeCell ref="T11:AY11"/>
    <mergeCell ref="AZ11:BD11"/>
    <mergeCell ref="BE11:BH11"/>
    <mergeCell ref="A14:E14"/>
    <mergeCell ref="F14:S14"/>
    <mergeCell ref="T14:AY14"/>
    <mergeCell ref="AZ14:BD14"/>
    <mergeCell ref="BE14:BH14"/>
    <mergeCell ref="A13:E13"/>
    <mergeCell ref="F13:S13"/>
    <mergeCell ref="T13:AY13"/>
    <mergeCell ref="AZ13:BD13"/>
    <mergeCell ref="BE13:BH13"/>
    <mergeCell ref="A16:E16"/>
    <mergeCell ref="F16:S16"/>
    <mergeCell ref="T16:AY16"/>
    <mergeCell ref="AZ16:BD16"/>
    <mergeCell ref="BE16:BH16"/>
    <mergeCell ref="A15:E15"/>
    <mergeCell ref="F15:S15"/>
    <mergeCell ref="T15:AY15"/>
    <mergeCell ref="AZ15:BD15"/>
    <mergeCell ref="BE15:BH15"/>
    <mergeCell ref="A18:E18"/>
    <mergeCell ref="F18:S18"/>
    <mergeCell ref="T18:AY18"/>
    <mergeCell ref="AZ18:BD18"/>
    <mergeCell ref="BE18:BH18"/>
    <mergeCell ref="A17:E17"/>
    <mergeCell ref="F17:S17"/>
    <mergeCell ref="T17:AY17"/>
    <mergeCell ref="AZ17:BD17"/>
    <mergeCell ref="BE17:BH17"/>
    <mergeCell ref="A30:E30"/>
    <mergeCell ref="F30:S30"/>
    <mergeCell ref="T30:AY30"/>
    <mergeCell ref="AZ30:BD30"/>
    <mergeCell ref="BE30:BH30"/>
    <mergeCell ref="A21:E21"/>
    <mergeCell ref="F21:S21"/>
    <mergeCell ref="T21:AY21"/>
    <mergeCell ref="AZ21:BD21"/>
    <mergeCell ref="BE21:BH21"/>
    <mergeCell ref="A22:E22"/>
    <mergeCell ref="F22:S22"/>
    <mergeCell ref="T22:AY22"/>
    <mergeCell ref="AZ22:BD22"/>
    <mergeCell ref="BE22:BH22"/>
    <mergeCell ref="A23:E23"/>
    <mergeCell ref="F23:S23"/>
    <mergeCell ref="T23:AY23"/>
    <mergeCell ref="AZ23:BD23"/>
    <mergeCell ref="BE23:BH23"/>
    <mergeCell ref="A25:E25"/>
    <mergeCell ref="F25:S25"/>
    <mergeCell ref="T25:AY25"/>
    <mergeCell ref="AZ25:BD25"/>
    <mergeCell ref="A29:E29"/>
    <mergeCell ref="F29:S29"/>
    <mergeCell ref="T29:AY29"/>
    <mergeCell ref="AZ29:BD29"/>
    <mergeCell ref="BE29:BH29"/>
    <mergeCell ref="A19:E19"/>
    <mergeCell ref="F19:S19"/>
    <mergeCell ref="T19:AY19"/>
    <mergeCell ref="AZ19:BD19"/>
    <mergeCell ref="BE19:BH19"/>
    <mergeCell ref="A20:E20"/>
    <mergeCell ref="F20:S20"/>
    <mergeCell ref="T20:AY20"/>
    <mergeCell ref="AZ20:BD20"/>
    <mergeCell ref="BE20:BH20"/>
    <mergeCell ref="BE25:BH25"/>
    <mergeCell ref="A24:E24"/>
    <mergeCell ref="F24:S24"/>
    <mergeCell ref="T24:AY24"/>
    <mergeCell ref="AZ24:BD24"/>
    <mergeCell ref="BE24:BH24"/>
    <mergeCell ref="A28:E28"/>
    <mergeCell ref="F28:S28"/>
    <mergeCell ref="T28:AY28"/>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A72"/>
  <sheetViews>
    <sheetView showGridLines="0" zoomScaleNormal="100" workbookViewId="0">
      <selection sqref="A1:E1"/>
    </sheetView>
  </sheetViews>
  <sheetFormatPr defaultColWidth="2.375" defaultRowHeight="13.5"/>
  <cols>
    <col min="1" max="5" width="2.375" style="8"/>
    <col min="6" max="10" width="2.375" style="8" customWidth="1"/>
    <col min="11" max="49" width="2.375" style="8"/>
    <col min="50" max="50" width="2.375" style="8" customWidth="1"/>
    <col min="51" max="16384" width="2.375" style="8"/>
  </cols>
  <sheetData>
    <row r="1" spans="1:48" ht="14.1" customHeight="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48" ht="14.1" customHeight="1">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48" ht="14.1" customHeight="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4" spans="1:48">
      <c r="A4" s="27"/>
      <c r="AV4" s="9"/>
    </row>
    <row r="5" spans="1:48">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48" s="11" customFormat="1">
      <c r="A6" s="40" t="s">
        <v>72</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41"/>
    </row>
    <row r="7" spans="1:48" s="11" customFormat="1">
      <c r="A7" s="28"/>
      <c r="B7" s="12"/>
      <c r="C7" s="12"/>
      <c r="D7" s="12"/>
      <c r="E7" s="12"/>
      <c r="F7" s="12"/>
      <c r="G7" s="12"/>
      <c r="H7" s="12"/>
      <c r="I7" s="12"/>
      <c r="J7" s="12"/>
      <c r="K7" s="12"/>
      <c r="L7" s="12"/>
      <c r="M7" s="12"/>
      <c r="N7" s="12"/>
      <c r="O7" s="12"/>
      <c r="P7" s="12"/>
      <c r="Q7" s="12"/>
      <c r="R7" s="12"/>
      <c r="S7" s="12"/>
      <c r="T7" s="12"/>
      <c r="U7" s="12"/>
      <c r="V7" s="12"/>
      <c r="W7" s="12"/>
      <c r="X7" s="12"/>
      <c r="Y7" s="12"/>
      <c r="Z7" s="12"/>
      <c r="AA7" s="12"/>
      <c r="AB7" s="12"/>
      <c r="AV7" s="13"/>
    </row>
    <row r="8" spans="1:48" s="11" customFormat="1">
      <c r="A8" s="28"/>
      <c r="B8" s="12"/>
      <c r="C8" s="12"/>
      <c r="D8" s="12"/>
      <c r="E8" s="12"/>
      <c r="F8" s="12"/>
      <c r="G8" s="12"/>
      <c r="H8" s="12"/>
      <c r="I8" s="12"/>
      <c r="J8" s="12"/>
      <c r="K8" s="12"/>
      <c r="L8" s="12"/>
      <c r="M8" s="12"/>
      <c r="N8" s="12"/>
      <c r="O8" s="12"/>
      <c r="P8" s="12"/>
      <c r="Q8" s="12"/>
      <c r="R8" s="12"/>
      <c r="S8" s="12"/>
      <c r="T8" s="12"/>
      <c r="U8" s="12"/>
      <c r="V8" s="12"/>
      <c r="W8" s="12"/>
      <c r="X8" s="12"/>
      <c r="Y8" s="12"/>
      <c r="Z8" s="12"/>
      <c r="AA8" s="12"/>
      <c r="AB8" s="12"/>
      <c r="AV8" s="13"/>
    </row>
    <row r="9" spans="1:48" s="11" customFormat="1">
      <c r="A9" s="28"/>
      <c r="B9" s="12"/>
      <c r="C9" s="12"/>
      <c r="D9" s="12"/>
      <c r="E9" s="12"/>
      <c r="F9" s="12"/>
      <c r="G9" s="12"/>
      <c r="H9" s="12"/>
      <c r="I9" s="12"/>
      <c r="J9" s="12"/>
      <c r="K9" s="12"/>
      <c r="L9" s="12"/>
      <c r="M9" s="12"/>
      <c r="N9" s="12"/>
      <c r="O9" s="12"/>
      <c r="P9" s="12"/>
      <c r="Q9" s="12"/>
      <c r="R9" s="12"/>
      <c r="S9" s="12"/>
      <c r="T9" s="12"/>
      <c r="U9" s="12"/>
      <c r="V9" s="12"/>
      <c r="W9" s="12"/>
      <c r="X9" s="12"/>
      <c r="Y9" s="12"/>
      <c r="Z9" s="12"/>
      <c r="AA9" s="12"/>
      <c r="AB9" s="12"/>
      <c r="AV9" s="13"/>
    </row>
    <row r="10" spans="1:48" s="11" customFormat="1">
      <c r="A10" s="28"/>
      <c r="B10" s="12"/>
      <c r="C10" s="12"/>
      <c r="D10" s="12"/>
      <c r="E10" s="12"/>
      <c r="F10" s="12"/>
      <c r="H10" t="s">
        <v>73</v>
      </c>
      <c r="I10" t="s">
        <v>74</v>
      </c>
      <c r="J10" s="12"/>
      <c r="K10" s="12"/>
      <c r="L10" s="12"/>
      <c r="M10" s="12"/>
      <c r="N10" s="12"/>
      <c r="O10" s="12"/>
      <c r="P10" s="12"/>
      <c r="Q10" s="12"/>
      <c r="R10" s="12"/>
      <c r="S10" s="12"/>
      <c r="T10" s="12"/>
      <c r="U10" s="12"/>
      <c r="V10" s="12"/>
      <c r="W10" s="12"/>
      <c r="X10" s="12"/>
      <c r="Y10" s="12"/>
      <c r="Z10" s="12"/>
      <c r="AA10" s="12"/>
      <c r="AC10" t="s">
        <v>73</v>
      </c>
      <c r="AD10" t="s">
        <v>75</v>
      </c>
      <c r="AV10" s="13"/>
    </row>
    <row r="11" spans="1:48" s="11" customFormat="1">
      <c r="A11" s="28"/>
      <c r="B11" s="12"/>
      <c r="C11" s="12"/>
      <c r="D11" s="12"/>
      <c r="E11" s="12"/>
      <c r="F11" s="12"/>
      <c r="H11" s="12"/>
      <c r="I11" s="12"/>
      <c r="J11" s="12"/>
      <c r="K11" s="12"/>
      <c r="L11" s="12"/>
      <c r="M11" s="12"/>
      <c r="N11" s="12"/>
      <c r="O11" s="12"/>
      <c r="P11" s="12"/>
      <c r="Q11" s="12"/>
      <c r="R11" s="12"/>
      <c r="S11" s="12"/>
      <c r="T11" s="12"/>
      <c r="U11" s="12"/>
      <c r="V11" s="12"/>
      <c r="W11" s="12"/>
      <c r="X11" s="12"/>
      <c r="Y11" s="12"/>
      <c r="Z11" s="12"/>
      <c r="AA11" s="12"/>
      <c r="AC11" s="12"/>
      <c r="AV11" s="13"/>
    </row>
    <row r="12" spans="1:48" s="11" customFormat="1">
      <c r="A12" s="28"/>
      <c r="B12" s="12"/>
      <c r="C12" s="12"/>
      <c r="D12" s="12"/>
      <c r="E12" s="12"/>
      <c r="F12" s="12"/>
      <c r="H12" s="12"/>
      <c r="I12" s="12"/>
      <c r="J12" s="12"/>
      <c r="K12" s="12"/>
      <c r="L12" s="12"/>
      <c r="M12" s="12"/>
      <c r="N12" s="12"/>
      <c r="O12" s="12"/>
      <c r="P12" s="12"/>
      <c r="Q12" s="12"/>
      <c r="R12" s="12"/>
      <c r="S12" s="12"/>
      <c r="T12" s="12"/>
      <c r="U12" s="12"/>
      <c r="V12" s="12"/>
      <c r="W12" s="12"/>
      <c r="X12" s="12"/>
      <c r="Y12" s="12"/>
      <c r="Z12" s="12"/>
      <c r="AA12" s="12"/>
      <c r="AC12" s="12"/>
      <c r="AV12" s="13"/>
    </row>
    <row r="13" spans="1:48" s="11" customFormat="1">
      <c r="A13" s="28"/>
      <c r="B13" s="12"/>
      <c r="C13" s="12"/>
      <c r="D13" s="12"/>
      <c r="E13" s="12"/>
      <c r="F13" s="12"/>
      <c r="H13" s="12"/>
      <c r="I13" s="12"/>
      <c r="J13" s="12"/>
      <c r="K13" s="12"/>
      <c r="L13" s="12"/>
      <c r="M13" s="12"/>
      <c r="N13" s="12"/>
      <c r="O13" s="12"/>
      <c r="P13" s="12"/>
      <c r="Q13" s="12"/>
      <c r="R13" s="12"/>
      <c r="S13" s="12"/>
      <c r="T13" s="12"/>
      <c r="U13" s="12"/>
      <c r="V13" s="12"/>
      <c r="W13" s="12"/>
      <c r="X13" s="12"/>
      <c r="Y13" s="12"/>
      <c r="Z13" s="12"/>
      <c r="AA13" s="12"/>
      <c r="AC13" s="12"/>
      <c r="AV13" s="13"/>
    </row>
    <row r="14" spans="1:48" s="11" customFormat="1">
      <c r="A14" s="28"/>
      <c r="B14" s="12"/>
      <c r="C14" s="12"/>
      <c r="D14" s="12"/>
      <c r="E14" s="12"/>
      <c r="F14" s="12"/>
      <c r="H14" s="12"/>
      <c r="I14" s="12"/>
      <c r="J14" s="12"/>
      <c r="K14" s="12"/>
      <c r="L14" s="12"/>
      <c r="M14" s="12"/>
      <c r="N14" s="12"/>
      <c r="O14" s="12"/>
      <c r="P14" s="12"/>
      <c r="Q14" s="12"/>
      <c r="R14" s="12"/>
      <c r="S14" s="12"/>
      <c r="T14" s="12"/>
      <c r="U14" s="12"/>
      <c r="V14" s="12"/>
      <c r="W14" s="12"/>
      <c r="X14" s="12"/>
      <c r="Y14" s="12"/>
      <c r="Z14" s="12"/>
      <c r="AV14" s="13"/>
    </row>
    <row r="15" spans="1:48" s="11" customFormat="1">
      <c r="A15" s="28"/>
      <c r="B15" s="12"/>
      <c r="C15" s="12"/>
      <c r="D15" s="12"/>
      <c r="E15" s="12"/>
      <c r="F15" s="12"/>
      <c r="H15" t="s">
        <v>73</v>
      </c>
      <c r="I15" t="s">
        <v>76</v>
      </c>
      <c r="J15" s="12"/>
      <c r="K15" s="12"/>
      <c r="L15" s="12"/>
      <c r="M15" s="12"/>
      <c r="N15" s="12"/>
      <c r="O15" s="12"/>
      <c r="P15" s="12"/>
      <c r="Q15" s="12"/>
      <c r="R15" s="12"/>
      <c r="S15" s="12"/>
      <c r="T15" s="12"/>
      <c r="U15" s="12"/>
      <c r="V15" s="12"/>
      <c r="W15" s="12"/>
      <c r="X15" s="12"/>
      <c r="Y15" s="12"/>
      <c r="Z15" s="12"/>
      <c r="AA15"/>
      <c r="AC15" t="s">
        <v>73</v>
      </c>
      <c r="AD15" t="s">
        <v>77</v>
      </c>
      <c r="AV15" s="13"/>
    </row>
    <row r="16" spans="1:48" s="11" customFormat="1">
      <c r="A16" s="28"/>
      <c r="B16" s="12"/>
      <c r="C16" s="12"/>
      <c r="D16" s="12"/>
      <c r="E16" s="12"/>
      <c r="F16" s="12"/>
      <c r="H16" s="12"/>
      <c r="I16"/>
      <c r="J16" s="12"/>
      <c r="K16" s="12"/>
      <c r="L16" s="12"/>
      <c r="M16" s="12"/>
      <c r="N16" s="12"/>
      <c r="O16" s="12"/>
      <c r="P16" s="12"/>
      <c r="Q16" s="12"/>
      <c r="R16" s="12"/>
      <c r="S16" s="12"/>
      <c r="T16" s="12"/>
      <c r="U16" s="12"/>
      <c r="V16" s="12"/>
      <c r="W16" s="12"/>
      <c r="X16" s="12"/>
      <c r="Y16" s="12"/>
      <c r="Z16" s="12"/>
      <c r="AA16"/>
      <c r="AV16" s="13"/>
    </row>
    <row r="17" spans="1:48" s="11" customFormat="1">
      <c r="A17" s="28"/>
      <c r="B17" s="12"/>
      <c r="C17" s="12"/>
      <c r="D17" s="12"/>
      <c r="E17" s="12"/>
      <c r="F17" s="12"/>
      <c r="H17" s="12"/>
      <c r="I17"/>
      <c r="J17" s="12"/>
      <c r="K17" s="12"/>
      <c r="L17" s="12"/>
      <c r="M17" s="12"/>
      <c r="N17" s="12"/>
      <c r="O17" s="12"/>
      <c r="P17" s="12"/>
      <c r="Q17" s="12"/>
      <c r="R17" s="12"/>
      <c r="S17" s="12"/>
      <c r="T17" s="12"/>
      <c r="U17" s="12"/>
      <c r="V17" s="12"/>
      <c r="W17" s="12"/>
      <c r="X17" s="12"/>
      <c r="Y17" s="12"/>
      <c r="Z17" s="12"/>
      <c r="AA17"/>
      <c r="AC17"/>
      <c r="AV17" s="13"/>
    </row>
    <row r="18" spans="1:48" s="11" customFormat="1">
      <c r="A18" s="28"/>
      <c r="B18" s="12"/>
      <c r="C18" s="12"/>
      <c r="D18" s="12"/>
      <c r="E18" s="12"/>
      <c r="F18" s="12"/>
      <c r="H18" s="12"/>
      <c r="I18"/>
      <c r="J18" s="12"/>
      <c r="K18" s="12"/>
      <c r="L18" s="12"/>
      <c r="M18" s="12"/>
      <c r="N18" s="12"/>
      <c r="O18" s="12"/>
      <c r="P18" s="12"/>
      <c r="Q18" s="12"/>
      <c r="R18" s="12"/>
      <c r="S18" s="12"/>
      <c r="T18" s="12"/>
      <c r="U18" s="12"/>
      <c r="V18" s="12"/>
      <c r="W18" s="12"/>
      <c r="X18" s="12"/>
      <c r="Y18" s="12"/>
      <c r="Z18" s="12"/>
      <c r="AV18" s="13"/>
    </row>
    <row r="19" spans="1:48" s="11" customFormat="1">
      <c r="A19" s="28"/>
      <c r="B19" s="12"/>
      <c r="C19" s="12"/>
      <c r="D19" s="12"/>
      <c r="E19" s="12"/>
      <c r="F19" s="12"/>
      <c r="K19" s="12"/>
      <c r="L19" s="12"/>
      <c r="M19" s="12"/>
      <c r="N19" s="12"/>
      <c r="O19" s="12"/>
      <c r="P19" s="12"/>
      <c r="Q19" s="12"/>
      <c r="R19" s="12"/>
      <c r="S19" s="12"/>
      <c r="T19" s="12"/>
      <c r="U19" s="12"/>
      <c r="V19" s="12"/>
      <c r="W19" s="12"/>
      <c r="X19" s="12"/>
      <c r="Y19" s="12"/>
      <c r="Z19" s="12"/>
      <c r="AA19"/>
      <c r="AV19" s="13"/>
    </row>
    <row r="20" spans="1:48" s="11" customFormat="1">
      <c r="A20" s="28"/>
      <c r="C20" s="12"/>
      <c r="D20" s="12"/>
      <c r="E20" s="12"/>
      <c r="F20" s="12"/>
      <c r="H20" t="s">
        <v>73</v>
      </c>
      <c r="I20" t="s">
        <v>78</v>
      </c>
      <c r="J20" s="12"/>
      <c r="K20" s="12"/>
      <c r="L20" s="12"/>
      <c r="M20" s="12"/>
      <c r="N20" s="12"/>
      <c r="O20" s="12"/>
      <c r="P20" s="12"/>
      <c r="Q20" s="12"/>
      <c r="R20" s="12"/>
      <c r="S20" s="12"/>
      <c r="T20" s="12"/>
      <c r="U20" s="12"/>
      <c r="V20" s="12"/>
      <c r="W20" s="12"/>
      <c r="X20" s="12"/>
      <c r="Y20" s="12"/>
      <c r="Z20" s="12"/>
      <c r="AA20"/>
      <c r="AC20" t="s">
        <v>73</v>
      </c>
      <c r="AD20" t="s">
        <v>79</v>
      </c>
      <c r="AV20" s="13"/>
    </row>
    <row r="21" spans="1:48" s="11" customFormat="1">
      <c r="A21" s="28"/>
      <c r="B21" s="12"/>
      <c r="C21" s="12"/>
      <c r="D21" s="12"/>
      <c r="E21" s="12"/>
      <c r="F21" s="12"/>
      <c r="H21" s="12"/>
      <c r="I21"/>
      <c r="J21" s="12"/>
      <c r="K21" s="12"/>
      <c r="L21" s="12"/>
      <c r="M21" s="12"/>
      <c r="N21" s="12"/>
      <c r="O21" s="12"/>
      <c r="P21" s="12"/>
      <c r="Q21" s="12"/>
      <c r="R21" s="12"/>
      <c r="S21" s="12"/>
      <c r="T21" s="12"/>
      <c r="U21" s="12"/>
      <c r="V21" s="12"/>
      <c r="W21" s="12"/>
      <c r="X21" s="12"/>
      <c r="Y21" s="12"/>
      <c r="Z21" s="12"/>
      <c r="AA21"/>
      <c r="AC21"/>
      <c r="AV21" s="13"/>
    </row>
    <row r="22" spans="1:48" s="11" customFormat="1">
      <c r="A22" s="28"/>
      <c r="B22" s="12"/>
      <c r="C22" s="12"/>
      <c r="D22" s="12"/>
      <c r="E22" s="12"/>
      <c r="F22" s="12"/>
      <c r="H22" s="12"/>
      <c r="I22"/>
      <c r="J22" s="12"/>
      <c r="K22" s="12"/>
      <c r="L22" s="12"/>
      <c r="M22" s="12"/>
      <c r="N22" s="12"/>
      <c r="O22" s="12"/>
      <c r="P22" s="12"/>
      <c r="Q22" s="12"/>
      <c r="R22" s="12"/>
      <c r="S22" s="12"/>
      <c r="T22" s="12"/>
      <c r="U22" s="12"/>
      <c r="V22" s="12"/>
      <c r="W22" s="12"/>
      <c r="X22" s="12"/>
      <c r="Y22" s="12"/>
      <c r="Z22" s="12"/>
      <c r="AV22" s="13"/>
    </row>
    <row r="23" spans="1:48" s="11" customFormat="1">
      <c r="A23" s="28"/>
      <c r="B23" s="12"/>
      <c r="C23" s="12"/>
      <c r="D23" s="12"/>
      <c r="E23" s="12"/>
      <c r="F23" s="12"/>
      <c r="J23" s="12"/>
      <c r="K23" s="12"/>
      <c r="L23" s="12"/>
      <c r="M23" s="12"/>
      <c r="N23" s="12"/>
      <c r="O23" s="12"/>
      <c r="P23" s="12"/>
      <c r="Q23" s="12"/>
      <c r="R23" s="12"/>
      <c r="S23" s="12"/>
      <c r="T23" s="12"/>
      <c r="U23" s="12"/>
      <c r="V23" s="12"/>
      <c r="W23" s="12"/>
      <c r="X23" s="12"/>
      <c r="Y23" s="12"/>
      <c r="Z23" s="12"/>
      <c r="AA23"/>
      <c r="AC23"/>
      <c r="AV23" s="13"/>
    </row>
    <row r="24" spans="1:48" s="11" customFormat="1">
      <c r="A24" s="28"/>
      <c r="B24" s="12"/>
      <c r="C24" s="12"/>
      <c r="D24" s="12"/>
      <c r="E24" s="12"/>
      <c r="F24" s="12"/>
      <c r="J24" s="12"/>
      <c r="K24" s="12"/>
      <c r="L24" s="12"/>
      <c r="M24" s="12"/>
      <c r="N24" s="12"/>
      <c r="O24" s="12"/>
      <c r="P24" s="12"/>
      <c r="Q24" s="12"/>
      <c r="R24" s="12"/>
      <c r="S24" s="12"/>
      <c r="T24" s="12"/>
      <c r="U24" s="12"/>
      <c r="V24" s="12"/>
      <c r="W24" s="12"/>
      <c r="X24" s="12"/>
      <c r="Y24" s="12"/>
      <c r="Z24" s="12"/>
      <c r="AA24"/>
      <c r="AV24" s="13"/>
    </row>
    <row r="25" spans="1:48" s="11" customFormat="1">
      <c r="A25" s="28"/>
      <c r="B25" s="12"/>
      <c r="C25" s="12"/>
      <c r="D25" s="12"/>
      <c r="E25" s="12"/>
      <c r="F25" s="12"/>
      <c r="H25" t="s">
        <v>73</v>
      </c>
      <c r="I25" t="s">
        <v>80</v>
      </c>
      <c r="J25" s="12"/>
      <c r="K25" s="12"/>
      <c r="L25" s="12"/>
      <c r="M25" s="12"/>
      <c r="N25" s="12"/>
      <c r="O25" s="12"/>
      <c r="P25" s="12"/>
      <c r="Q25" s="12"/>
      <c r="R25" s="12"/>
      <c r="S25" s="12"/>
      <c r="T25" s="12"/>
      <c r="U25" s="12"/>
      <c r="V25" s="12"/>
      <c r="W25" s="12"/>
      <c r="X25" s="12"/>
      <c r="Y25" s="12"/>
      <c r="Z25" s="12"/>
      <c r="AC25" s="11" t="s">
        <v>73</v>
      </c>
      <c r="AD25" s="11" t="s">
        <v>81</v>
      </c>
      <c r="AV25" s="13"/>
    </row>
    <row r="26" spans="1:48" s="11" customFormat="1">
      <c r="A26" s="28"/>
      <c r="B26" s="12"/>
      <c r="C26" s="12"/>
      <c r="D26" s="12"/>
      <c r="E26" s="12"/>
      <c r="F26" s="12"/>
      <c r="H26" s="12"/>
      <c r="J26" s="12"/>
      <c r="K26" s="12"/>
      <c r="L26" s="12"/>
      <c r="M26" s="12"/>
      <c r="N26" s="12"/>
      <c r="O26" s="12"/>
      <c r="P26" s="12"/>
      <c r="Q26" s="12"/>
      <c r="R26" s="12"/>
      <c r="S26" s="12"/>
      <c r="T26" s="12"/>
      <c r="U26" s="12"/>
      <c r="V26" s="12"/>
      <c r="W26" s="12"/>
      <c r="X26" s="12"/>
      <c r="Y26" s="12"/>
      <c r="Z26" s="12"/>
      <c r="AA26"/>
      <c r="AC26"/>
      <c r="AV26" s="13"/>
    </row>
    <row r="27" spans="1:48" s="11" customFormat="1">
      <c r="A27" s="28"/>
      <c r="B27" s="12"/>
      <c r="C27" s="12"/>
      <c r="D27" s="12"/>
      <c r="E27" s="12"/>
      <c r="F27" s="12"/>
      <c r="J27" s="12"/>
      <c r="K27" s="12"/>
      <c r="L27" s="12"/>
      <c r="M27" s="12"/>
      <c r="N27" s="12"/>
      <c r="O27" s="12"/>
      <c r="P27" s="12"/>
      <c r="Q27" s="12"/>
      <c r="R27" s="12"/>
      <c r="S27" s="12"/>
      <c r="T27" s="12"/>
      <c r="U27" s="12"/>
      <c r="V27" s="12"/>
      <c r="W27" s="12"/>
      <c r="X27" s="12"/>
      <c r="Y27" s="12"/>
      <c r="Z27" s="12"/>
      <c r="AA27"/>
      <c r="AC27"/>
      <c r="AV27" s="13"/>
    </row>
    <row r="28" spans="1:48" s="11" customFormat="1">
      <c r="A28" s="28"/>
      <c r="B28" s="12"/>
      <c r="C28" s="12"/>
      <c r="D28" s="12"/>
      <c r="E28" s="12"/>
      <c r="F28" s="12"/>
      <c r="H28" s="12"/>
      <c r="I28"/>
      <c r="J28" s="12"/>
      <c r="K28" s="12"/>
      <c r="L28" s="12"/>
      <c r="M28" s="12"/>
      <c r="N28" s="12"/>
      <c r="O28" s="12"/>
      <c r="P28" s="12"/>
      <c r="Q28" s="12"/>
      <c r="R28" s="12"/>
      <c r="S28" s="12"/>
      <c r="T28" s="12"/>
      <c r="U28" s="12"/>
      <c r="V28" s="12"/>
      <c r="W28" s="12"/>
      <c r="X28" s="12"/>
      <c r="Y28" s="12"/>
      <c r="Z28" s="12"/>
      <c r="AV28" s="13"/>
    </row>
    <row r="29" spans="1:48" s="11" customFormat="1">
      <c r="A29" s="28"/>
      <c r="B29" s="12"/>
      <c r="C29" s="12"/>
      <c r="D29" s="12"/>
      <c r="E29" s="12"/>
      <c r="F29" s="12"/>
      <c r="H29" s="12"/>
      <c r="I29"/>
      <c r="J29" s="12"/>
      <c r="K29" s="12"/>
      <c r="L29" s="12"/>
      <c r="M29" s="12"/>
      <c r="N29" s="12"/>
      <c r="O29" s="12"/>
      <c r="P29" s="12"/>
      <c r="Q29" s="12"/>
      <c r="R29" s="12"/>
      <c r="S29" s="12"/>
      <c r="T29" s="12"/>
      <c r="U29" s="12"/>
      <c r="V29" s="12"/>
      <c r="W29" s="12"/>
      <c r="X29" s="12"/>
      <c r="Y29" s="12"/>
      <c r="Z29" s="12"/>
      <c r="AV29" s="13"/>
    </row>
    <row r="30" spans="1:48" s="11" customFormat="1">
      <c r="A30" s="28"/>
      <c r="C30" s="12"/>
      <c r="D30" s="12"/>
      <c r="E30" s="12"/>
      <c r="F30" s="12"/>
      <c r="H30" t="s">
        <v>73</v>
      </c>
      <c r="I30" t="s">
        <v>82</v>
      </c>
      <c r="J30" s="12"/>
      <c r="K30" s="12"/>
      <c r="L30" s="12"/>
      <c r="M30" s="12"/>
      <c r="N30" s="12"/>
      <c r="O30" s="12"/>
      <c r="P30" s="12"/>
      <c r="Q30" s="12"/>
      <c r="R30" s="12"/>
      <c r="S30" s="12"/>
      <c r="T30" s="12"/>
      <c r="U30" s="12"/>
      <c r="V30" s="12"/>
      <c r="W30" s="12"/>
      <c r="X30" s="12"/>
      <c r="Y30" s="12"/>
      <c r="Z30" s="12"/>
      <c r="AA30"/>
      <c r="AC30" t="s">
        <v>73</v>
      </c>
      <c r="AD30" t="s">
        <v>83</v>
      </c>
      <c r="AV30" s="13"/>
    </row>
    <row r="31" spans="1:48" s="11" customFormat="1">
      <c r="A31" s="28"/>
      <c r="C31" s="12"/>
      <c r="D31" s="12"/>
      <c r="E31" s="12"/>
      <c r="F31" s="12"/>
      <c r="H31" s="12"/>
      <c r="I31"/>
      <c r="J31" s="12"/>
      <c r="K31" s="12"/>
      <c r="L31" s="12"/>
      <c r="M31" s="12"/>
      <c r="N31" s="12"/>
      <c r="O31" s="12"/>
      <c r="P31" s="12"/>
      <c r="Q31" s="12"/>
      <c r="R31" s="12"/>
      <c r="S31" s="12"/>
      <c r="T31" s="12"/>
      <c r="U31" s="12"/>
      <c r="V31" s="12"/>
      <c r="W31" s="12"/>
      <c r="X31" s="12"/>
      <c r="Y31" s="12"/>
      <c r="Z31" s="12"/>
      <c r="AA31"/>
      <c r="AC31"/>
      <c r="AV31" s="13"/>
    </row>
    <row r="32" spans="1:48">
      <c r="A32" s="27"/>
      <c r="I32"/>
      <c r="AA32"/>
      <c r="AC32"/>
      <c r="AV32" s="14"/>
    </row>
    <row r="33" spans="1:53">
      <c r="A33" s="27"/>
      <c r="AA33"/>
      <c r="AC33"/>
      <c r="AV33" s="14"/>
    </row>
    <row r="34" spans="1:53">
      <c r="A34" s="27"/>
      <c r="AC34"/>
      <c r="AD34"/>
      <c r="AV34" s="14"/>
    </row>
    <row r="35" spans="1:53">
      <c r="A35" s="27"/>
      <c r="H35" t="s">
        <v>73</v>
      </c>
      <c r="I35" t="s">
        <v>84</v>
      </c>
      <c r="AA35"/>
      <c r="AC35" t="s">
        <v>73</v>
      </c>
      <c r="AD35" t="s">
        <v>85</v>
      </c>
      <c r="AV35" s="14"/>
    </row>
    <row r="36" spans="1:53">
      <c r="A36" s="27"/>
      <c r="AA36"/>
      <c r="AC36"/>
      <c r="AV36" s="14"/>
    </row>
    <row r="37" spans="1:53">
      <c r="A37" s="27"/>
      <c r="AA37"/>
      <c r="AC37"/>
      <c r="AV37" s="14"/>
    </row>
    <row r="38" spans="1:53">
      <c r="A38" s="27"/>
      <c r="AA38"/>
      <c r="AC38"/>
      <c r="AV38" s="14"/>
    </row>
    <row r="39" spans="1:53">
      <c r="A39" s="55"/>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5"/>
    </row>
    <row r="40" spans="1:53" s="11" customFormat="1">
      <c r="A40" s="40" t="s">
        <v>72</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41"/>
    </row>
    <row r="41" spans="1:53">
      <c r="A41" s="27"/>
      <c r="AV41" s="14"/>
    </row>
    <row r="42" spans="1:53">
      <c r="A42" s="27"/>
      <c r="AV42" s="14"/>
      <c r="AY42" s="11"/>
      <c r="AZ42" s="11"/>
      <c r="BA42" s="11"/>
    </row>
    <row r="43" spans="1:53">
      <c r="A43" s="27"/>
      <c r="B43" s="321" t="s">
        <v>86</v>
      </c>
      <c r="C43" s="322"/>
      <c r="D43" s="322"/>
      <c r="E43" s="322"/>
      <c r="F43" s="322"/>
      <c r="G43" s="322"/>
      <c r="H43" s="322"/>
      <c r="J43" s="8" t="s">
        <v>73</v>
      </c>
      <c r="K43" s="8" t="s">
        <v>87</v>
      </c>
      <c r="AV43" s="14"/>
      <c r="AY43" s="11"/>
      <c r="AZ43" s="11"/>
      <c r="BA43" s="11"/>
    </row>
    <row r="44" spans="1:53">
      <c r="A44" s="27"/>
      <c r="B44" s="322"/>
      <c r="C44" s="322"/>
      <c r="D44" s="322"/>
      <c r="E44" s="322"/>
      <c r="F44" s="322"/>
      <c r="G44" s="322"/>
      <c r="H44" s="322"/>
      <c r="K44" s="8" t="s">
        <v>88</v>
      </c>
      <c r="AV44" s="14"/>
    </row>
    <row r="45" spans="1:53">
      <c r="A45" s="27"/>
      <c r="AV45" s="14"/>
    </row>
    <row r="46" spans="1:53">
      <c r="A46" s="27"/>
      <c r="B46" s="197" t="s">
        <v>86</v>
      </c>
      <c r="C46" s="198"/>
      <c r="D46" s="198"/>
      <c r="E46" s="198"/>
      <c r="F46" s="198"/>
      <c r="G46" s="198"/>
      <c r="H46" s="198"/>
      <c r="I46" s="198"/>
      <c r="J46" s="198"/>
      <c r="K46" s="198"/>
      <c r="L46" s="198"/>
      <c r="M46" s="198"/>
      <c r="N46" s="198"/>
      <c r="O46" s="199"/>
      <c r="AV46" s="14"/>
    </row>
    <row r="47" spans="1:53">
      <c r="A47" s="27"/>
      <c r="B47" s="197" t="s">
        <v>89</v>
      </c>
      <c r="C47" s="198"/>
      <c r="D47" s="198"/>
      <c r="E47" s="198"/>
      <c r="F47" s="198"/>
      <c r="G47" s="198"/>
      <c r="H47" s="199"/>
      <c r="I47" s="197" t="s">
        <v>90</v>
      </c>
      <c r="J47" s="198"/>
      <c r="K47" s="198"/>
      <c r="L47" s="198"/>
      <c r="M47" s="198"/>
      <c r="N47" s="198"/>
      <c r="O47" s="199"/>
      <c r="AV47" s="14"/>
    </row>
    <row r="48" spans="1:53">
      <c r="A48" s="27"/>
      <c r="AV48" s="14"/>
    </row>
    <row r="49" spans="1:48">
      <c r="A49" s="27"/>
      <c r="AV49" s="14"/>
    </row>
    <row r="50" spans="1:48">
      <c r="A50" s="27"/>
      <c r="B50" s="315" t="s">
        <v>91</v>
      </c>
      <c r="C50" s="316"/>
      <c r="D50" s="316"/>
      <c r="E50" s="316"/>
      <c r="F50" s="316"/>
      <c r="G50" s="316"/>
      <c r="H50" s="317"/>
      <c r="J50" s="8" t="s">
        <v>73</v>
      </c>
      <c r="K50" s="8" t="s">
        <v>92</v>
      </c>
      <c r="AV50" s="14"/>
    </row>
    <row r="51" spans="1:48">
      <c r="A51" s="27"/>
      <c r="B51" s="318"/>
      <c r="C51" s="319"/>
      <c r="D51" s="319"/>
      <c r="E51" s="319"/>
      <c r="F51" s="319"/>
      <c r="G51" s="319"/>
      <c r="H51" s="320"/>
      <c r="K51" s="8" t="s">
        <v>93</v>
      </c>
      <c r="AV51" s="14"/>
    </row>
    <row r="52" spans="1:48">
      <c r="A52" s="27"/>
      <c r="AV52" s="14"/>
    </row>
    <row r="53" spans="1:48">
      <c r="A53" s="27"/>
      <c r="AV53" s="14"/>
    </row>
    <row r="54" spans="1:48">
      <c r="A54" s="27"/>
      <c r="B54" s="202" t="s">
        <v>83</v>
      </c>
      <c r="C54" s="203"/>
      <c r="D54" s="203"/>
      <c r="E54" s="203"/>
      <c r="F54" s="203"/>
      <c r="G54" s="203"/>
      <c r="H54" s="204"/>
      <c r="J54" s="8" t="s">
        <v>73</v>
      </c>
      <c r="K54" s="8" t="s">
        <v>94</v>
      </c>
      <c r="AV54" s="14"/>
    </row>
    <row r="55" spans="1:48">
      <c r="A55" s="27"/>
      <c r="B55" s="202" t="s">
        <v>95</v>
      </c>
      <c r="C55" s="203"/>
      <c r="D55" s="203"/>
      <c r="E55" s="203"/>
      <c r="F55" s="203"/>
      <c r="G55" s="203"/>
      <c r="H55" s="204"/>
      <c r="K55" s="8" t="s">
        <v>96</v>
      </c>
      <c r="AV55" s="14"/>
    </row>
    <row r="56" spans="1:48">
      <c r="A56" s="27"/>
      <c r="K56" s="8" t="s">
        <v>97</v>
      </c>
      <c r="AV56" s="14"/>
    </row>
    <row r="57" spans="1:48">
      <c r="A57" s="27"/>
      <c r="AV57" s="14"/>
    </row>
    <row r="58" spans="1:48">
      <c r="A58" s="27"/>
      <c r="B58" s="202" t="s">
        <v>83</v>
      </c>
      <c r="C58" s="203"/>
      <c r="D58" s="203"/>
      <c r="E58" s="203"/>
      <c r="F58" s="203"/>
      <c r="G58" s="203"/>
      <c r="H58" s="203"/>
      <c r="I58" s="203"/>
      <c r="J58" s="203"/>
      <c r="K58" s="203"/>
      <c r="L58" s="203"/>
      <c r="M58" s="203"/>
      <c r="N58" s="203"/>
      <c r="O58" s="203"/>
      <c r="P58" s="203"/>
      <c r="Q58" s="203"/>
      <c r="R58" s="203"/>
      <c r="S58" s="203"/>
      <c r="T58" s="203"/>
      <c r="U58" s="203"/>
      <c r="V58" s="204"/>
      <c r="AV58" s="14"/>
    </row>
    <row r="59" spans="1:48">
      <c r="A59" s="27"/>
      <c r="B59" s="202" t="s">
        <v>98</v>
      </c>
      <c r="C59" s="203"/>
      <c r="D59" s="203"/>
      <c r="E59" s="203"/>
      <c r="F59" s="203"/>
      <c r="G59" s="203"/>
      <c r="H59" s="204"/>
      <c r="I59" s="202" t="s">
        <v>99</v>
      </c>
      <c r="J59" s="203"/>
      <c r="K59" s="203"/>
      <c r="L59" s="203"/>
      <c r="M59" s="203"/>
      <c r="N59" s="203"/>
      <c r="O59" s="204"/>
      <c r="P59" s="202" t="s">
        <v>100</v>
      </c>
      <c r="Q59" s="203"/>
      <c r="R59" s="203"/>
      <c r="S59" s="203"/>
      <c r="T59" s="203"/>
      <c r="U59" s="203"/>
      <c r="V59" s="204"/>
      <c r="AV59" s="14"/>
    </row>
    <row r="60" spans="1:48">
      <c r="A60" s="27"/>
      <c r="AV60" s="14"/>
    </row>
    <row r="61" spans="1:48">
      <c r="A61" s="27"/>
      <c r="AV61" s="14"/>
    </row>
    <row r="62" spans="1:48">
      <c r="A62" s="27"/>
      <c r="B62" s="201" t="s">
        <v>101</v>
      </c>
      <c r="C62" s="201"/>
      <c r="D62" s="201"/>
      <c r="E62" s="201"/>
      <c r="F62" s="201"/>
      <c r="G62" s="201"/>
      <c r="H62" s="201"/>
      <c r="I62" s="201"/>
      <c r="J62" s="201"/>
      <c r="K62" s="201"/>
      <c r="L62" s="201"/>
      <c r="M62" s="201"/>
      <c r="N62" s="201"/>
      <c r="O62" s="201"/>
      <c r="P62" s="201"/>
      <c r="Q62" s="201"/>
      <c r="S62" s="8" t="s">
        <v>73</v>
      </c>
      <c r="T62" s="8" t="s">
        <v>102</v>
      </c>
      <c r="AV62" s="14"/>
    </row>
    <row r="63" spans="1:48">
      <c r="A63" s="27"/>
      <c r="B63" s="201"/>
      <c r="C63" s="201"/>
      <c r="D63" s="201"/>
      <c r="E63" s="201"/>
      <c r="F63" s="201"/>
      <c r="G63" s="201"/>
      <c r="H63" s="201"/>
      <c r="I63" s="201"/>
      <c r="J63" s="201"/>
      <c r="K63" s="201"/>
      <c r="L63" s="201"/>
      <c r="M63" s="201"/>
      <c r="N63" s="201"/>
      <c r="O63" s="201"/>
      <c r="P63" s="201"/>
      <c r="Q63" s="201"/>
      <c r="AV63" s="14"/>
    </row>
    <row r="64" spans="1:48">
      <c r="A64" s="27"/>
      <c r="AV64" s="14"/>
    </row>
    <row r="65" spans="1:48">
      <c r="A65" s="27"/>
      <c r="AV65" s="14"/>
    </row>
    <row r="66" spans="1:48">
      <c r="A66" s="27"/>
      <c r="B66" s="200" t="s">
        <v>103</v>
      </c>
      <c r="C66" s="201"/>
      <c r="D66" s="201"/>
      <c r="E66" s="201"/>
      <c r="F66" s="201"/>
      <c r="J66" s="8" t="s">
        <v>73</v>
      </c>
      <c r="K66" s="8" t="s">
        <v>104</v>
      </c>
      <c r="AV66" s="14"/>
    </row>
    <row r="67" spans="1:48">
      <c r="A67" s="27"/>
      <c r="B67" s="201"/>
      <c r="C67" s="201"/>
      <c r="D67" s="201"/>
      <c r="E67" s="201"/>
      <c r="F67" s="201"/>
      <c r="AV67" s="14"/>
    </row>
    <row r="68" spans="1:48">
      <c r="A68" s="27"/>
      <c r="AV68" s="14"/>
    </row>
    <row r="69" spans="1:48">
      <c r="A69" s="27"/>
      <c r="AV69" s="14"/>
    </row>
    <row r="70" spans="1:48">
      <c r="A70" s="27"/>
      <c r="B70" s="42" t="s">
        <v>105</v>
      </c>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I70" s="8" t="s">
        <v>73</v>
      </c>
      <c r="AJ70" s="8" t="s">
        <v>106</v>
      </c>
      <c r="AV70" s="14"/>
    </row>
    <row r="71" spans="1:48">
      <c r="A71" s="27"/>
      <c r="AV71" s="14"/>
    </row>
    <row r="72" spans="1:48">
      <c r="A72" s="55"/>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5"/>
    </row>
  </sheetData>
  <mergeCells count="27">
    <mergeCell ref="B66:F67"/>
    <mergeCell ref="B55:H55"/>
    <mergeCell ref="B59:H59"/>
    <mergeCell ref="I59:O59"/>
    <mergeCell ref="P59:V59"/>
    <mergeCell ref="B62:Q63"/>
    <mergeCell ref="B58:V58"/>
    <mergeCell ref="B50:H51"/>
    <mergeCell ref="B54:H54"/>
    <mergeCell ref="A1:E1"/>
    <mergeCell ref="F1:U1"/>
    <mergeCell ref="B46:O46"/>
    <mergeCell ref="A2:E3"/>
    <mergeCell ref="F2:U3"/>
    <mergeCell ref="B43:H44"/>
    <mergeCell ref="V1:AI1"/>
    <mergeCell ref="AJ1:AP1"/>
    <mergeCell ref="AQ1:AV1"/>
    <mergeCell ref="B47:H47"/>
    <mergeCell ref="I47:O47"/>
    <mergeCell ref="V2:AI3"/>
    <mergeCell ref="AJ2:AK2"/>
    <mergeCell ref="AQ2:AV2"/>
    <mergeCell ref="AJ3:AK3"/>
    <mergeCell ref="AL3:AP3"/>
    <mergeCell ref="AQ3:AV3"/>
    <mergeCell ref="AL2:AP2"/>
  </mergeCells>
  <phoneticPr fontId="2"/>
  <pageMargins left="0.7" right="0.7" top="0.75" bottom="0.75" header="0.3" footer="0.3"/>
  <pageSetup paperSize="9" scale="69" fitToHeight="0"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65CEF-725A-4B7D-A710-B0B34FD8F195}">
  <sheetPr codeName="Sheet7">
    <pageSetUpPr autoPageBreaks="0"/>
  </sheetPr>
  <dimension ref="A1:CT103"/>
  <sheetViews>
    <sheetView showGridLines="0" zoomScaleNormal="100" workbookViewId="0">
      <pane ySplit="9" topLeftCell="A10" activePane="bottomLeft" state="frozen"/>
      <selection pane="bottomLeft" sqref="A1:E1"/>
      <selection sqref="A1:E1"/>
    </sheetView>
  </sheetViews>
  <sheetFormatPr defaultColWidth="2.375" defaultRowHeight="13.5"/>
  <cols>
    <col min="1" max="5" width="2.375" style="8"/>
    <col min="6" max="10" width="2.375" style="8" customWidth="1"/>
    <col min="11" max="16384" width="2.375" style="8"/>
  </cols>
  <sheetData>
    <row r="1" spans="1:96"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96">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96"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4" spans="1:96" s="11" customFormat="1">
      <c r="A4" s="28"/>
      <c r="B4" s="12"/>
      <c r="C4" s="12"/>
      <c r="D4" s="12"/>
      <c r="E4" s="12"/>
      <c r="F4" s="12"/>
      <c r="G4" s="12"/>
      <c r="H4" s="12"/>
    </row>
    <row r="5" spans="1:96">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row>
    <row r="6" spans="1:96"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41"/>
    </row>
    <row r="7" spans="1:96" s="11" customFormat="1">
      <c r="A7" s="28"/>
      <c r="CA7" s="113"/>
    </row>
    <row r="8" spans="1:96" s="11" customFormat="1" ht="15.75" customHeight="1">
      <c r="A8" s="28"/>
      <c r="B8" s="330" t="s">
        <v>107</v>
      </c>
      <c r="C8" s="330"/>
      <c r="D8" s="330"/>
      <c r="E8" s="330"/>
      <c r="F8" s="330"/>
      <c r="G8" s="330"/>
      <c r="H8" s="330"/>
      <c r="I8" s="331" t="s">
        <v>108</v>
      </c>
      <c r="J8" s="332"/>
      <c r="K8" s="332"/>
      <c r="L8" s="332"/>
      <c r="M8" s="332"/>
      <c r="N8" s="332"/>
      <c r="O8" s="333"/>
      <c r="P8" s="331" t="s">
        <v>109</v>
      </c>
      <c r="Q8" s="332"/>
      <c r="R8" s="332"/>
      <c r="S8" s="332"/>
      <c r="T8" s="332"/>
      <c r="U8" s="332"/>
      <c r="V8" s="333"/>
      <c r="W8" s="331" t="s">
        <v>110</v>
      </c>
      <c r="X8" s="332"/>
      <c r="Y8" s="332"/>
      <c r="Z8" s="332"/>
      <c r="AA8" s="332"/>
      <c r="AB8" s="332"/>
      <c r="AC8" s="333"/>
      <c r="AD8" s="331" t="s">
        <v>111</v>
      </c>
      <c r="AE8" s="332"/>
      <c r="AF8" s="332"/>
      <c r="AG8" s="332"/>
      <c r="AH8" s="332"/>
      <c r="AI8" s="332"/>
      <c r="AJ8" s="333"/>
      <c r="AK8" s="332" t="s">
        <v>112</v>
      </c>
      <c r="AL8" s="332"/>
      <c r="AM8" s="332"/>
      <c r="AN8" s="332"/>
      <c r="AO8" s="332"/>
      <c r="AP8" s="332"/>
      <c r="AQ8" s="333"/>
      <c r="AR8" s="202" t="s">
        <v>83</v>
      </c>
      <c r="AS8" s="203"/>
      <c r="AT8" s="203"/>
      <c r="AU8" s="203"/>
      <c r="AV8" s="203"/>
      <c r="AW8" s="203"/>
      <c r="AX8" s="203"/>
      <c r="AY8" s="203"/>
      <c r="AZ8" s="203"/>
      <c r="BA8" s="203"/>
      <c r="BB8" s="203"/>
      <c r="BC8" s="203"/>
      <c r="BD8" s="203"/>
      <c r="BE8" s="204"/>
      <c r="BF8" s="201" t="s">
        <v>101</v>
      </c>
      <c r="BG8" s="201"/>
      <c r="BH8" s="201"/>
      <c r="BI8" s="201"/>
      <c r="BJ8" s="201"/>
      <c r="BK8" s="201"/>
      <c r="BL8" s="201"/>
      <c r="BM8" s="201"/>
      <c r="BN8" s="201"/>
      <c r="BO8" s="201"/>
      <c r="BP8" s="201"/>
      <c r="BQ8" s="201"/>
      <c r="BR8" s="201"/>
      <c r="BS8" s="201"/>
      <c r="BT8" s="201"/>
      <c r="BU8" s="201"/>
      <c r="BV8" s="200" t="s">
        <v>103</v>
      </c>
      <c r="BW8" s="201"/>
      <c r="BX8" s="201"/>
      <c r="BY8" s="201"/>
      <c r="BZ8" s="201"/>
      <c r="CA8" s="13"/>
      <c r="CC8" s="185" t="s">
        <v>113</v>
      </c>
      <c r="CD8" s="186"/>
      <c r="CE8" s="186"/>
      <c r="CF8" s="186"/>
      <c r="CG8" s="188" t="s">
        <v>114</v>
      </c>
      <c r="CH8" s="189"/>
      <c r="CI8" s="189"/>
      <c r="CJ8" s="189"/>
      <c r="CK8" s="189"/>
      <c r="CL8" s="189"/>
      <c r="CM8" s="189"/>
      <c r="CN8" s="189"/>
      <c r="CO8" s="189"/>
      <c r="CP8" s="189"/>
      <c r="CQ8" s="189"/>
      <c r="CR8" s="190"/>
    </row>
    <row r="9" spans="1:96" s="11" customFormat="1" ht="13.5" customHeight="1">
      <c r="A9" s="28"/>
      <c r="B9" s="330"/>
      <c r="C9" s="330"/>
      <c r="D9" s="330"/>
      <c r="E9" s="330"/>
      <c r="F9" s="330"/>
      <c r="G9" s="330"/>
      <c r="H9" s="330"/>
      <c r="I9" s="334"/>
      <c r="J9" s="335"/>
      <c r="K9" s="335"/>
      <c r="L9" s="335"/>
      <c r="M9" s="335"/>
      <c r="N9" s="335"/>
      <c r="O9" s="336"/>
      <c r="P9" s="334"/>
      <c r="Q9" s="335"/>
      <c r="R9" s="335"/>
      <c r="S9" s="335"/>
      <c r="T9" s="335"/>
      <c r="U9" s="335"/>
      <c r="V9" s="336"/>
      <c r="W9" s="334"/>
      <c r="X9" s="335"/>
      <c r="Y9" s="335"/>
      <c r="Z9" s="335"/>
      <c r="AA9" s="335"/>
      <c r="AB9" s="335"/>
      <c r="AC9" s="336"/>
      <c r="AD9" s="334"/>
      <c r="AE9" s="335"/>
      <c r="AF9" s="335"/>
      <c r="AG9" s="335"/>
      <c r="AH9" s="335"/>
      <c r="AI9" s="335"/>
      <c r="AJ9" s="336"/>
      <c r="AK9" s="335"/>
      <c r="AL9" s="335"/>
      <c r="AM9" s="335"/>
      <c r="AN9" s="335"/>
      <c r="AO9" s="335"/>
      <c r="AP9" s="335"/>
      <c r="AQ9" s="336"/>
      <c r="AR9" s="202" t="s">
        <v>98</v>
      </c>
      <c r="AS9" s="203"/>
      <c r="AT9" s="203"/>
      <c r="AU9" s="203"/>
      <c r="AV9" s="203"/>
      <c r="AW9" s="203"/>
      <c r="AX9" s="203"/>
      <c r="AY9" s="202" t="s">
        <v>100</v>
      </c>
      <c r="AZ9" s="203"/>
      <c r="BA9" s="203"/>
      <c r="BB9" s="203"/>
      <c r="BC9" s="203"/>
      <c r="BD9" s="203"/>
      <c r="BE9" s="204"/>
      <c r="BF9" s="201"/>
      <c r="BG9" s="201"/>
      <c r="BH9" s="201"/>
      <c r="BI9" s="201"/>
      <c r="BJ9" s="201"/>
      <c r="BK9" s="201"/>
      <c r="BL9" s="201"/>
      <c r="BM9" s="201"/>
      <c r="BN9" s="201"/>
      <c r="BO9" s="201"/>
      <c r="BP9" s="201"/>
      <c r="BQ9" s="201"/>
      <c r="BR9" s="201"/>
      <c r="BS9" s="201"/>
      <c r="BT9" s="201"/>
      <c r="BU9" s="201"/>
      <c r="BV9" s="201"/>
      <c r="BW9" s="201"/>
      <c r="BX9" s="201"/>
      <c r="BY9" s="201"/>
      <c r="BZ9" s="201"/>
      <c r="CA9" s="13"/>
      <c r="CC9" s="187"/>
      <c r="CD9" s="187"/>
      <c r="CE9" s="187"/>
      <c r="CF9" s="187"/>
      <c r="CG9" s="191"/>
      <c r="CH9" s="192"/>
      <c r="CI9" s="192"/>
      <c r="CJ9" s="192"/>
      <c r="CK9" s="192"/>
      <c r="CL9" s="192"/>
      <c r="CM9" s="192"/>
      <c r="CN9" s="192"/>
      <c r="CO9" s="192"/>
      <c r="CP9" s="192"/>
      <c r="CQ9" s="192"/>
      <c r="CR9" s="193"/>
    </row>
    <row r="10" spans="1:96" s="11" customFormat="1">
      <c r="A10" s="28"/>
      <c r="B10" s="42" t="s">
        <v>115</v>
      </c>
      <c r="C10" s="57"/>
      <c r="D10" s="57"/>
      <c r="E10" s="57"/>
      <c r="F10" s="57"/>
      <c r="G10" s="57"/>
      <c r="H10" s="57"/>
      <c r="I10" s="57"/>
      <c r="J10" s="57"/>
      <c r="K10" s="57"/>
      <c r="L10" s="57"/>
      <c r="M10" s="57"/>
      <c r="N10" s="57"/>
      <c r="O10" s="57"/>
      <c r="P10" s="57"/>
      <c r="Q10" s="57"/>
      <c r="R10" s="57"/>
      <c r="S10" s="57"/>
      <c r="T10" s="57"/>
      <c r="U10" s="57"/>
      <c r="V10" s="57"/>
      <c r="W10" s="54"/>
      <c r="X10" s="57"/>
      <c r="Y10" s="57"/>
      <c r="Z10" s="57"/>
      <c r="AA10" s="57"/>
      <c r="AB10" s="57"/>
      <c r="AC10" s="57"/>
      <c r="AD10" s="57"/>
      <c r="AE10" s="57"/>
      <c r="AF10" s="57"/>
      <c r="AG10" s="57"/>
      <c r="AH10" s="57"/>
      <c r="AI10" s="57"/>
      <c r="AJ10" s="43"/>
      <c r="AK10" s="57"/>
      <c r="AL10" s="57"/>
      <c r="AM10" s="57"/>
      <c r="AN10" s="57"/>
      <c r="AO10" s="57"/>
      <c r="AP10" s="57"/>
      <c r="AQ10" s="57"/>
      <c r="AR10" s="54"/>
      <c r="AS10" s="57"/>
      <c r="AT10" s="57"/>
      <c r="AU10" s="57"/>
      <c r="AV10" s="57"/>
      <c r="AW10" s="57"/>
      <c r="AX10" s="57"/>
      <c r="AY10" s="26"/>
      <c r="AZ10" s="26"/>
      <c r="BA10" s="26"/>
      <c r="BB10" s="26"/>
      <c r="BC10" s="26"/>
      <c r="BD10" s="26"/>
      <c r="BE10" s="26"/>
      <c r="BF10" s="54"/>
      <c r="BG10" s="57"/>
      <c r="BH10" s="57"/>
      <c r="BI10" s="57"/>
      <c r="BJ10" s="57"/>
      <c r="BK10" s="57"/>
      <c r="BL10" s="57"/>
      <c r="BM10" s="57"/>
      <c r="BN10" s="57"/>
      <c r="BO10" s="57"/>
      <c r="BP10" s="57"/>
      <c r="BQ10" s="57"/>
      <c r="BR10" s="57"/>
      <c r="BS10" s="57"/>
      <c r="BT10" s="57"/>
      <c r="BU10" s="43"/>
      <c r="BV10" s="92"/>
      <c r="BW10" s="92"/>
      <c r="BX10" s="92"/>
      <c r="BY10" s="92"/>
      <c r="BZ10" s="92"/>
      <c r="CA10" s="13"/>
      <c r="CC10" s="59"/>
      <c r="CD10" s="60"/>
      <c r="CE10" s="60"/>
      <c r="CF10" s="60"/>
      <c r="CG10" s="59"/>
      <c r="CH10" s="60"/>
      <c r="CI10" s="60"/>
      <c r="CJ10" s="60"/>
      <c r="CK10" s="60"/>
      <c r="CL10" s="60"/>
      <c r="CM10" s="60"/>
      <c r="CN10" s="60"/>
      <c r="CO10" s="60"/>
      <c r="CP10" s="60"/>
      <c r="CQ10" s="60"/>
      <c r="CR10" s="61"/>
    </row>
    <row r="11" spans="1:96" s="11" customFormat="1">
      <c r="A11" s="28"/>
      <c r="B11" s="27"/>
      <c r="C11" s="8"/>
      <c r="D11" s="8"/>
      <c r="E11" s="8"/>
      <c r="F11" s="8"/>
      <c r="G11" s="8"/>
      <c r="H11" s="8"/>
      <c r="I11" s="51"/>
      <c r="J11" s="8"/>
      <c r="K11" s="8"/>
      <c r="L11" s="8"/>
      <c r="M11" s="8"/>
      <c r="N11" s="8"/>
      <c r="O11" s="8"/>
      <c r="P11" s="27"/>
      <c r="Q11" s="8"/>
      <c r="R11" s="8"/>
      <c r="S11" s="8"/>
      <c r="T11" s="8"/>
      <c r="U11" s="8"/>
      <c r="V11" s="8"/>
      <c r="W11" s="51"/>
      <c r="X11" s="52"/>
      <c r="Y11" s="52"/>
      <c r="Z11" s="52"/>
      <c r="AA11" s="52"/>
      <c r="AB11" s="52"/>
      <c r="AC11" s="53"/>
      <c r="AD11" s="8"/>
      <c r="AE11" s="8"/>
      <c r="AF11" s="8"/>
      <c r="AG11" s="8"/>
      <c r="AH11" s="8"/>
      <c r="AI11" s="8"/>
      <c r="AJ11" s="14"/>
      <c r="AK11" s="8"/>
      <c r="AL11" s="8"/>
      <c r="AM11" s="8"/>
      <c r="AN11" s="8"/>
      <c r="AO11" s="8"/>
      <c r="AP11" s="8"/>
      <c r="AQ11" s="8"/>
      <c r="AR11" s="27"/>
      <c r="AS11" s="8"/>
      <c r="AT11" s="8"/>
      <c r="AU11" s="8"/>
      <c r="AV11" s="8"/>
      <c r="AW11" s="8"/>
      <c r="AX11" s="8"/>
      <c r="AY11" s="47"/>
      <c r="AZ11" s="45"/>
      <c r="BA11" s="45"/>
      <c r="BB11" s="45"/>
      <c r="BC11" s="45"/>
      <c r="BD11" s="45"/>
      <c r="BE11" s="46"/>
      <c r="BF11" s="37"/>
      <c r="BG11" s="8"/>
      <c r="BH11" s="17"/>
      <c r="BI11" s="8"/>
      <c r="BJ11" s="8"/>
      <c r="BK11" s="8"/>
      <c r="BL11" s="8"/>
      <c r="BM11" s="8"/>
      <c r="BN11" s="8"/>
      <c r="BO11" s="8"/>
      <c r="BP11" s="8"/>
      <c r="BQ11" s="8"/>
      <c r="BR11" s="8"/>
      <c r="BS11" s="8"/>
      <c r="BT11" s="8"/>
      <c r="BU11" s="14"/>
      <c r="BV11" s="51"/>
      <c r="BW11" s="52"/>
      <c r="BX11" s="52"/>
      <c r="BY11" s="52"/>
      <c r="BZ11" s="53"/>
      <c r="CA11" s="13"/>
      <c r="CC11" s="62"/>
      <c r="CG11" s="62"/>
      <c r="CR11" s="63"/>
    </row>
    <row r="12" spans="1:96" s="11" customFormat="1">
      <c r="A12" s="28"/>
      <c r="B12" s="27"/>
      <c r="C12" s="8"/>
      <c r="D12" s="8"/>
      <c r="E12" s="8"/>
      <c r="F12" s="8"/>
      <c r="G12" s="8"/>
      <c r="H12" s="8"/>
      <c r="I12" s="27"/>
      <c r="J12" s="8"/>
      <c r="K12" s="8"/>
      <c r="L12" s="8"/>
      <c r="M12" s="8"/>
      <c r="N12" s="8"/>
      <c r="O12" s="8"/>
      <c r="P12" s="27"/>
      <c r="Q12" s="8"/>
      <c r="R12" s="8"/>
      <c r="S12" s="8"/>
      <c r="T12" s="8"/>
      <c r="U12" s="8"/>
      <c r="V12" s="8"/>
      <c r="W12" s="27"/>
      <c r="X12" s="8"/>
      <c r="Y12" s="8"/>
      <c r="Z12" s="8"/>
      <c r="AA12" s="8"/>
      <c r="AB12" s="8"/>
      <c r="AC12" s="14"/>
      <c r="AD12" s="8"/>
      <c r="AE12" s="8"/>
      <c r="AF12" s="8"/>
      <c r="AG12" s="8"/>
      <c r="AH12" s="8"/>
      <c r="AI12" s="8"/>
      <c r="AJ12" s="14"/>
      <c r="AK12" s="8"/>
      <c r="AL12" s="8"/>
      <c r="AM12" s="8"/>
      <c r="AN12" s="8"/>
      <c r="AO12" s="8"/>
      <c r="AP12" s="8"/>
      <c r="AQ12" s="8"/>
      <c r="AR12" s="27"/>
      <c r="AS12" s="8"/>
      <c r="AT12" s="8"/>
      <c r="AU12" s="8"/>
      <c r="AV12" s="8"/>
      <c r="AW12" s="8"/>
      <c r="AX12" s="8"/>
      <c r="AY12" s="31"/>
      <c r="AZ12" s="24"/>
      <c r="BA12" s="24"/>
      <c r="BB12" s="24"/>
      <c r="BC12" s="24"/>
      <c r="BD12" s="24"/>
      <c r="BE12" s="23"/>
      <c r="BF12" s="27"/>
      <c r="BG12"/>
      <c r="BH12"/>
      <c r="BI12" s="8"/>
      <c r="BJ12" s="8"/>
      <c r="BK12" s="8"/>
      <c r="BL12" s="8"/>
      <c r="BM12" s="8"/>
      <c r="BN12" s="8"/>
      <c r="BO12" s="8"/>
      <c r="BP12" s="8"/>
      <c r="BQ12" s="8"/>
      <c r="BR12" s="8"/>
      <c r="BS12" s="8"/>
      <c r="BT12" s="8"/>
      <c r="BU12" s="14"/>
      <c r="BV12" s="27"/>
      <c r="BW12" s="8"/>
      <c r="BX12" s="8"/>
      <c r="BY12" s="8"/>
      <c r="BZ12" s="14"/>
      <c r="CA12" s="13"/>
      <c r="CC12" s="62"/>
      <c r="CG12" s="62"/>
      <c r="CR12" s="63"/>
    </row>
    <row r="13" spans="1:96" s="11" customFormat="1">
      <c r="A13" s="28"/>
      <c r="B13" s="27"/>
      <c r="C13" s="8"/>
      <c r="D13" s="8"/>
      <c r="E13" s="8"/>
      <c r="F13" s="8"/>
      <c r="G13" s="8"/>
      <c r="H13" s="8"/>
      <c r="I13" s="27"/>
      <c r="J13" s="8"/>
      <c r="K13" s="8"/>
      <c r="L13" s="8"/>
      <c r="M13" s="8"/>
      <c r="N13" s="8"/>
      <c r="O13" s="8"/>
      <c r="P13" s="27"/>
      <c r="Q13" s="8"/>
      <c r="R13" s="8"/>
      <c r="S13" s="8"/>
      <c r="T13" s="8"/>
      <c r="U13" s="8"/>
      <c r="V13" s="8"/>
      <c r="W13" s="27"/>
      <c r="X13" s="8"/>
      <c r="Y13" s="8"/>
      <c r="Z13" s="8"/>
      <c r="AA13" s="8"/>
      <c r="AB13" s="8"/>
      <c r="AC13" s="14"/>
      <c r="AD13" s="8"/>
      <c r="AE13" s="8"/>
      <c r="AF13" s="8"/>
      <c r="AG13" s="8"/>
      <c r="AH13" s="8"/>
      <c r="AI13" s="8"/>
      <c r="AJ13" s="14"/>
      <c r="AK13" s="8"/>
      <c r="AL13" s="8"/>
      <c r="AM13" s="8"/>
      <c r="AN13" s="8"/>
      <c r="AO13" s="8"/>
      <c r="AP13" s="8"/>
      <c r="AQ13" s="8"/>
      <c r="AR13" s="27"/>
      <c r="AS13" s="8"/>
      <c r="AT13" s="8"/>
      <c r="AU13" s="8"/>
      <c r="AV13" s="8"/>
      <c r="AW13" s="8"/>
      <c r="AX13" s="8"/>
      <c r="AY13" s="31"/>
      <c r="AZ13" s="24"/>
      <c r="BA13" s="24"/>
      <c r="BB13" s="24"/>
      <c r="BC13" s="24"/>
      <c r="BD13" s="24"/>
      <c r="BE13" s="23"/>
      <c r="BF13" s="27"/>
      <c r="BG13" s="8"/>
      <c r="BH13" s="8"/>
      <c r="BI13" s="8"/>
      <c r="BJ13" s="8"/>
      <c r="BK13" s="8"/>
      <c r="BL13" s="8"/>
      <c r="BM13" s="8"/>
      <c r="BN13" s="8"/>
      <c r="BO13" s="8"/>
      <c r="BP13" s="8"/>
      <c r="BQ13" s="8"/>
      <c r="BR13" s="8"/>
      <c r="BS13" s="8"/>
      <c r="BT13" s="8"/>
      <c r="BU13" s="14"/>
      <c r="BV13" s="27"/>
      <c r="BW13" s="8"/>
      <c r="BX13" s="8"/>
      <c r="BY13" s="8"/>
      <c r="BZ13" s="14"/>
      <c r="CA13" s="13"/>
      <c r="CC13" s="62"/>
      <c r="CG13" s="62"/>
      <c r="CR13" s="63"/>
    </row>
    <row r="14" spans="1:96" s="11" customFormat="1">
      <c r="A14" s="28"/>
      <c r="B14" s="27"/>
      <c r="C14" s="8"/>
      <c r="D14" s="8"/>
      <c r="E14" s="8"/>
      <c r="F14" s="8"/>
      <c r="G14" s="8"/>
      <c r="H14" s="8"/>
      <c r="I14" s="27"/>
      <c r="J14" s="8"/>
      <c r="K14" s="8"/>
      <c r="L14" s="8"/>
      <c r="M14" s="8"/>
      <c r="N14" s="8"/>
      <c r="O14" s="8"/>
      <c r="P14" s="27"/>
      <c r="Q14" s="8"/>
      <c r="R14" s="8"/>
      <c r="S14" s="8"/>
      <c r="T14" s="8"/>
      <c r="U14" s="8"/>
      <c r="V14" s="8"/>
      <c r="W14" s="27"/>
      <c r="X14" s="8"/>
      <c r="Y14" s="8"/>
      <c r="Z14" s="8"/>
      <c r="AA14" s="8"/>
      <c r="AB14" s="8"/>
      <c r="AC14" s="14"/>
      <c r="AD14" s="8"/>
      <c r="AE14" s="8"/>
      <c r="AF14" s="8"/>
      <c r="AG14" s="8"/>
      <c r="AH14" s="8"/>
      <c r="AI14" s="8"/>
      <c r="AJ14" s="14"/>
      <c r="AK14" s="8"/>
      <c r="AL14" s="8"/>
      <c r="AM14" s="8"/>
      <c r="AN14" s="8"/>
      <c r="AO14" s="8"/>
      <c r="AP14" s="8"/>
      <c r="AQ14" s="8"/>
      <c r="AR14" s="27"/>
      <c r="AS14" s="8"/>
      <c r="AT14" s="8"/>
      <c r="AU14" s="8"/>
      <c r="AV14" s="8"/>
      <c r="AW14" s="8"/>
      <c r="AX14" s="8"/>
      <c r="AY14" s="31"/>
      <c r="AZ14" s="24"/>
      <c r="BA14" s="24"/>
      <c r="BB14" s="24"/>
      <c r="BC14" s="24"/>
      <c r="BD14" s="24"/>
      <c r="BE14" s="23"/>
      <c r="BF14" s="27"/>
      <c r="BG14" s="8"/>
      <c r="BH14" s="17"/>
      <c r="BI14" s="8"/>
      <c r="BJ14" s="8"/>
      <c r="BK14" s="8"/>
      <c r="BL14" s="8"/>
      <c r="BM14" s="8"/>
      <c r="BN14" s="8"/>
      <c r="BO14" s="8"/>
      <c r="BP14" s="8"/>
      <c r="BQ14" s="8"/>
      <c r="BR14" s="8"/>
      <c r="BS14" s="8"/>
      <c r="BT14" s="8"/>
      <c r="BU14" s="14"/>
      <c r="BV14" s="27"/>
      <c r="BW14" s="8"/>
      <c r="BX14" s="8"/>
      <c r="BY14" s="8"/>
      <c r="BZ14" s="14"/>
      <c r="CA14" s="13"/>
      <c r="CC14" s="62"/>
      <c r="CG14" s="62"/>
      <c r="CR14" s="63"/>
    </row>
    <row r="15" spans="1:96" s="11" customFormat="1">
      <c r="A15" s="28"/>
      <c r="B15" s="27"/>
      <c r="C15" s="8"/>
      <c r="D15" s="8"/>
      <c r="E15" s="8"/>
      <c r="F15" s="8"/>
      <c r="G15" s="8"/>
      <c r="H15" s="8"/>
      <c r="I15" s="27"/>
      <c r="J15" s="8"/>
      <c r="K15" s="8"/>
      <c r="L15" s="8"/>
      <c r="M15" s="8"/>
      <c r="N15" s="8"/>
      <c r="O15" s="8"/>
      <c r="P15" s="27"/>
      <c r="Q15" s="8"/>
      <c r="R15" s="8"/>
      <c r="S15" s="8"/>
      <c r="T15" s="8"/>
      <c r="U15" s="8"/>
      <c r="V15" s="8"/>
      <c r="W15" s="27"/>
      <c r="X15" s="8"/>
      <c r="Y15" s="8"/>
      <c r="Z15" s="8"/>
      <c r="AA15" s="8"/>
      <c r="AB15" s="8"/>
      <c r="AC15" s="14"/>
      <c r="AD15" s="8"/>
      <c r="AE15" s="8"/>
      <c r="AF15" s="8"/>
      <c r="AG15" s="8"/>
      <c r="AH15" s="8"/>
      <c r="AI15" s="8"/>
      <c r="AJ15" s="14"/>
      <c r="AK15" s="8"/>
      <c r="AL15" s="8"/>
      <c r="AM15" s="8"/>
      <c r="AN15" s="8"/>
      <c r="AO15" s="8"/>
      <c r="AP15" s="8"/>
      <c r="AQ15" s="8"/>
      <c r="AR15" s="27"/>
      <c r="AS15" s="8"/>
      <c r="AT15" s="8"/>
      <c r="AU15" s="8"/>
      <c r="AV15" s="8"/>
      <c r="AW15" s="8"/>
      <c r="AX15" s="8"/>
      <c r="AY15" s="31"/>
      <c r="AZ15" s="24"/>
      <c r="BA15" s="24"/>
      <c r="BB15" s="24"/>
      <c r="BC15" s="24"/>
      <c r="BD15" s="24"/>
      <c r="BE15" s="23"/>
      <c r="BF15" s="27"/>
      <c r="BG15" s="20"/>
      <c r="BH15" s="18"/>
      <c r="BI15" s="8"/>
      <c r="BJ15" s="8"/>
      <c r="BK15" s="8"/>
      <c r="BL15" s="8"/>
      <c r="BM15" s="8"/>
      <c r="BN15" s="8"/>
      <c r="BO15" s="8"/>
      <c r="BP15" s="8"/>
      <c r="BQ15" s="8"/>
      <c r="BR15" s="8"/>
      <c r="BS15" s="8"/>
      <c r="BT15" s="8"/>
      <c r="BU15" s="14"/>
      <c r="BV15" s="27"/>
      <c r="BW15" s="8"/>
      <c r="BX15" s="8"/>
      <c r="BY15" s="8"/>
      <c r="BZ15" s="14"/>
      <c r="CA15" s="13"/>
      <c r="CC15" s="62"/>
      <c r="CG15" s="62"/>
      <c r="CR15" s="63"/>
    </row>
    <row r="16" spans="1:96" s="11" customFormat="1">
      <c r="A16" s="28"/>
      <c r="B16" s="27"/>
      <c r="C16" s="8"/>
      <c r="D16" s="8"/>
      <c r="E16" s="8"/>
      <c r="F16" s="8"/>
      <c r="G16" s="8"/>
      <c r="H16" s="8"/>
      <c r="I16" s="27"/>
      <c r="J16" s="8"/>
      <c r="K16" s="8"/>
      <c r="L16" s="8"/>
      <c r="M16" s="8"/>
      <c r="N16" s="8"/>
      <c r="O16" s="8"/>
      <c r="P16" s="27"/>
      <c r="Q16" s="8"/>
      <c r="R16" s="8"/>
      <c r="S16" s="8"/>
      <c r="T16" s="8"/>
      <c r="U16" s="8"/>
      <c r="V16" s="8"/>
      <c r="W16" s="27"/>
      <c r="X16" s="8"/>
      <c r="Y16" s="8"/>
      <c r="Z16" s="8"/>
      <c r="AA16" s="8"/>
      <c r="AB16" s="8"/>
      <c r="AC16" s="14"/>
      <c r="AD16" s="8"/>
      <c r="AE16" s="8"/>
      <c r="AF16" s="8"/>
      <c r="AG16" s="8"/>
      <c r="AH16" s="8"/>
      <c r="AI16" s="8"/>
      <c r="AJ16" s="14"/>
      <c r="AK16" s="8"/>
      <c r="AL16" s="8"/>
      <c r="AM16" s="8"/>
      <c r="AN16" s="8"/>
      <c r="AO16" s="8"/>
      <c r="AP16" s="8"/>
      <c r="AQ16" s="8"/>
      <c r="AR16" s="27"/>
      <c r="AS16" s="8"/>
      <c r="AT16" s="8"/>
      <c r="AU16" s="8"/>
      <c r="AV16" s="8"/>
      <c r="AW16" s="8"/>
      <c r="AX16" s="8"/>
      <c r="AY16" s="33"/>
      <c r="AZ16"/>
      <c r="BA16"/>
      <c r="BB16"/>
      <c r="BC16"/>
      <c r="BD16"/>
      <c r="BE16" s="22"/>
      <c r="BF16" s="27"/>
      <c r="BG16" s="21"/>
      <c r="BH16" s="19"/>
      <c r="BI16" s="8"/>
      <c r="BJ16" s="8"/>
      <c r="BK16" s="8"/>
      <c r="BL16" s="8"/>
      <c r="BM16" s="8"/>
      <c r="BN16" s="8"/>
      <c r="BO16" s="8"/>
      <c r="BP16" s="8"/>
      <c r="BQ16" s="8"/>
      <c r="BR16" s="8"/>
      <c r="BS16" s="8"/>
      <c r="BT16" s="8"/>
      <c r="BU16" s="14"/>
      <c r="BV16" s="27"/>
      <c r="BW16" s="8"/>
      <c r="BX16" s="8"/>
      <c r="BY16" s="8"/>
      <c r="BZ16" s="14"/>
      <c r="CA16" s="13"/>
      <c r="CC16" s="62"/>
      <c r="CG16" s="62"/>
      <c r="CR16" s="63"/>
    </row>
    <row r="17" spans="1:98" s="11" customFormat="1">
      <c r="A17" s="28"/>
      <c r="B17" s="27"/>
      <c r="C17" s="8"/>
      <c r="D17" s="8"/>
      <c r="E17" s="8"/>
      <c r="F17" s="8"/>
      <c r="G17" s="8"/>
      <c r="H17" s="8"/>
      <c r="I17" s="27"/>
      <c r="J17" s="8"/>
      <c r="K17" s="8"/>
      <c r="L17" s="8"/>
      <c r="M17" s="8"/>
      <c r="N17" s="8"/>
      <c r="O17" s="8"/>
      <c r="P17" s="27"/>
      <c r="Q17" s="8"/>
      <c r="R17" s="8"/>
      <c r="S17" s="8"/>
      <c r="T17" s="8"/>
      <c r="U17" s="8"/>
      <c r="V17" s="8"/>
      <c r="W17" s="27"/>
      <c r="X17" s="8"/>
      <c r="Y17" s="8"/>
      <c r="Z17" s="8"/>
      <c r="AA17" s="8"/>
      <c r="AB17" s="8"/>
      <c r="AC17" s="14"/>
      <c r="AD17" s="8"/>
      <c r="AE17" s="8"/>
      <c r="AF17" s="8"/>
      <c r="AG17" s="8"/>
      <c r="AH17" s="8"/>
      <c r="AI17" s="8"/>
      <c r="AJ17" s="14"/>
      <c r="AK17" s="8"/>
      <c r="AL17" s="8"/>
      <c r="AM17" s="8"/>
      <c r="AN17" s="8"/>
      <c r="AO17" s="8"/>
      <c r="AP17" s="8"/>
      <c r="AQ17" s="8"/>
      <c r="AR17" s="27"/>
      <c r="AS17" s="8"/>
      <c r="AT17" s="8"/>
      <c r="AU17" s="8"/>
      <c r="AV17" s="8"/>
      <c r="AW17" s="8"/>
      <c r="AX17" s="8"/>
      <c r="AY17" s="34"/>
      <c r="BE17" s="13"/>
      <c r="BF17" s="27"/>
      <c r="BG17" s="8"/>
      <c r="BH17" s="8"/>
      <c r="BI17" s="8"/>
      <c r="BJ17" s="8"/>
      <c r="BK17" s="8"/>
      <c r="BL17" s="8"/>
      <c r="BM17" s="8"/>
      <c r="BN17" s="8"/>
      <c r="BO17" s="8"/>
      <c r="BP17" s="8"/>
      <c r="BQ17" s="8"/>
      <c r="BR17" s="8"/>
      <c r="BS17" s="8"/>
      <c r="BT17" s="8"/>
      <c r="BU17" s="14"/>
      <c r="BV17" s="27"/>
      <c r="BW17" s="8"/>
      <c r="BX17" s="8"/>
      <c r="BY17" s="8"/>
      <c r="BZ17" s="14"/>
      <c r="CA17" s="13"/>
      <c r="CC17" s="62"/>
      <c r="CG17" s="62"/>
      <c r="CR17" s="63"/>
    </row>
    <row r="18" spans="1:98" s="11" customFormat="1">
      <c r="A18" s="28"/>
      <c r="B18" s="27"/>
      <c r="C18" s="8"/>
      <c r="D18" s="8"/>
      <c r="E18" s="8"/>
      <c r="F18" s="8"/>
      <c r="G18" s="8"/>
      <c r="H18" s="8"/>
      <c r="I18" s="27"/>
      <c r="J18" s="8"/>
      <c r="K18" s="8"/>
      <c r="L18" s="8"/>
      <c r="M18" s="8"/>
      <c r="N18" s="8"/>
      <c r="O18" s="8"/>
      <c r="P18" s="27"/>
      <c r="Q18" s="8"/>
      <c r="R18" s="8"/>
      <c r="S18" s="8"/>
      <c r="T18" s="8"/>
      <c r="U18" s="8"/>
      <c r="V18" s="8"/>
      <c r="W18" s="27"/>
      <c r="X18" s="8"/>
      <c r="Y18" s="8"/>
      <c r="Z18" s="8"/>
      <c r="AA18" s="8"/>
      <c r="AB18" s="8"/>
      <c r="AC18" s="14"/>
      <c r="AD18" s="8"/>
      <c r="AE18" s="8"/>
      <c r="AF18" s="8"/>
      <c r="AG18" s="8"/>
      <c r="AH18" s="8"/>
      <c r="AI18" s="8"/>
      <c r="AJ18" s="14"/>
      <c r="AK18" s="8"/>
      <c r="AL18" s="8"/>
      <c r="AM18" s="8"/>
      <c r="AN18" s="8"/>
      <c r="AO18" s="8"/>
      <c r="AP18" s="8"/>
      <c r="AQ18" s="8"/>
      <c r="AR18" s="27"/>
      <c r="AS18" s="8"/>
      <c r="AT18" s="8"/>
      <c r="AU18" s="8"/>
      <c r="AV18" s="8"/>
      <c r="AW18" s="8"/>
      <c r="AX18" s="8"/>
      <c r="AY18" s="27"/>
      <c r="AZ18" s="8"/>
      <c r="BA18" s="8"/>
      <c r="BB18" s="8"/>
      <c r="BC18" s="8"/>
      <c r="BD18" s="8"/>
      <c r="BE18" s="14"/>
      <c r="BF18" s="27"/>
      <c r="BG18" s="20"/>
      <c r="BH18"/>
      <c r="BI18"/>
      <c r="BJ18" s="8"/>
      <c r="BK18" s="8"/>
      <c r="BL18" s="8"/>
      <c r="BM18" s="8"/>
      <c r="BN18" s="8"/>
      <c r="BO18" s="8"/>
      <c r="BP18" s="8"/>
      <c r="BQ18" s="8"/>
      <c r="BR18" s="8"/>
      <c r="BS18" s="8"/>
      <c r="BT18" s="8"/>
      <c r="BU18" s="14"/>
      <c r="BV18" s="27"/>
      <c r="BW18" s="8"/>
      <c r="BX18" s="8"/>
      <c r="BY18" s="8"/>
      <c r="BZ18" s="14"/>
      <c r="CA18" s="13"/>
      <c r="CC18" s="62"/>
      <c r="CG18" s="62"/>
      <c r="CR18" s="63"/>
    </row>
    <row r="19" spans="1:98" s="11" customFormat="1">
      <c r="A19" s="28"/>
      <c r="B19" s="27"/>
      <c r="C19" s="8"/>
      <c r="D19" s="8"/>
      <c r="E19" s="8"/>
      <c r="F19" s="8"/>
      <c r="G19" s="8"/>
      <c r="H19" s="8"/>
      <c r="I19" s="27"/>
      <c r="J19" s="8"/>
      <c r="K19" s="8"/>
      <c r="L19" s="8"/>
      <c r="M19" s="8"/>
      <c r="N19" s="8"/>
      <c r="O19" s="8"/>
      <c r="P19" s="27"/>
      <c r="Q19" s="8"/>
      <c r="R19" s="8"/>
      <c r="S19" s="8"/>
      <c r="T19" s="8"/>
      <c r="U19" s="8"/>
      <c r="V19" s="8"/>
      <c r="W19" s="27"/>
      <c r="X19" s="8"/>
      <c r="Y19" s="8"/>
      <c r="Z19" s="8"/>
      <c r="AA19" s="8"/>
      <c r="AB19" s="8"/>
      <c r="AC19" s="14"/>
      <c r="AD19" s="8"/>
      <c r="AE19" s="8"/>
      <c r="AF19" s="8"/>
      <c r="AG19" s="8"/>
      <c r="AH19" s="8"/>
      <c r="AI19" s="8"/>
      <c r="AJ19" s="14"/>
      <c r="AK19" s="8"/>
      <c r="AL19" s="8"/>
      <c r="AM19" s="8"/>
      <c r="AN19" s="8"/>
      <c r="AO19" s="8"/>
      <c r="AP19" s="8"/>
      <c r="AQ19" s="8"/>
      <c r="AR19" s="27"/>
      <c r="AS19" s="8"/>
      <c r="AT19" s="8"/>
      <c r="AU19" s="8"/>
      <c r="AV19" s="8"/>
      <c r="AW19" s="8"/>
      <c r="AX19" s="8"/>
      <c r="AY19" s="27"/>
      <c r="AZ19" s="8"/>
      <c r="BA19" s="8"/>
      <c r="BB19" s="8"/>
      <c r="BC19" s="8"/>
      <c r="BD19" s="8"/>
      <c r="BE19" s="14"/>
      <c r="BF19" s="27"/>
      <c r="BG19" s="20" t="s">
        <v>116</v>
      </c>
      <c r="BH19" s="18"/>
      <c r="BI19" s="8"/>
      <c r="BJ19" s="8"/>
      <c r="BK19" s="8"/>
      <c r="BL19" s="8"/>
      <c r="BM19" s="8"/>
      <c r="BN19" s="8"/>
      <c r="BO19" s="8"/>
      <c r="BP19" s="8"/>
      <c r="BQ19" s="8"/>
      <c r="BR19" s="8"/>
      <c r="BS19" s="8"/>
      <c r="BT19" s="8"/>
      <c r="BU19" s="14"/>
      <c r="BV19" s="27"/>
      <c r="BW19" s="8"/>
      <c r="BX19" s="8"/>
      <c r="BY19" s="8"/>
      <c r="BZ19" s="14"/>
      <c r="CA19" s="13"/>
      <c r="CC19" s="64"/>
      <c r="CD19" s="8"/>
      <c r="CE19" s="8"/>
      <c r="CF19" s="8"/>
      <c r="CG19" s="64"/>
      <c r="CH19" s="8"/>
      <c r="CI19" s="8"/>
      <c r="CJ19" s="8"/>
      <c r="CK19" s="8"/>
      <c r="CL19" s="8"/>
      <c r="CM19" s="8"/>
      <c r="CN19" s="8"/>
      <c r="CO19" s="8"/>
      <c r="CP19" s="8"/>
      <c r="CQ19" s="8"/>
      <c r="CR19" s="65"/>
    </row>
    <row r="20" spans="1:98" s="11" customFormat="1">
      <c r="A20" s="28"/>
      <c r="B20" s="27"/>
      <c r="C20" s="8"/>
      <c r="D20" s="8"/>
      <c r="E20" s="8"/>
      <c r="F20" s="8"/>
      <c r="G20" s="8"/>
      <c r="H20" s="8"/>
      <c r="I20" s="27"/>
      <c r="J20" s="8"/>
      <c r="K20" s="8"/>
      <c r="L20" s="8"/>
      <c r="M20" s="8"/>
      <c r="N20" s="8"/>
      <c r="O20" s="8"/>
      <c r="P20" s="27"/>
      <c r="Q20" s="8"/>
      <c r="R20" s="8"/>
      <c r="S20" s="8"/>
      <c r="T20" s="8"/>
      <c r="U20" s="8"/>
      <c r="V20" s="8"/>
      <c r="W20" s="27"/>
      <c r="X20" s="8"/>
      <c r="Y20" s="8"/>
      <c r="Z20" s="8"/>
      <c r="AA20" s="8"/>
      <c r="AB20" s="8"/>
      <c r="AC20" s="14"/>
      <c r="AD20" s="8"/>
      <c r="AE20" s="8"/>
      <c r="AF20" s="8"/>
      <c r="AG20" s="8"/>
      <c r="AH20" s="8"/>
      <c r="AI20" s="8"/>
      <c r="AJ20" s="14"/>
      <c r="AK20" s="8"/>
      <c r="AL20" s="8"/>
      <c r="AM20" s="8"/>
      <c r="AN20" s="8"/>
      <c r="AO20" s="8"/>
      <c r="AP20" s="8"/>
      <c r="AQ20" s="8"/>
      <c r="AR20" s="27"/>
      <c r="AS20" s="8"/>
      <c r="AT20" s="8"/>
      <c r="AU20" s="8"/>
      <c r="AV20" s="8"/>
      <c r="AW20" s="8"/>
      <c r="AX20" s="8"/>
      <c r="AY20" s="27"/>
      <c r="AZ20" s="8"/>
      <c r="BA20" s="8"/>
      <c r="BB20" s="8"/>
      <c r="BC20" s="8"/>
      <c r="BD20" s="8"/>
      <c r="BE20" s="14"/>
      <c r="BF20" s="27"/>
      <c r="BG20" s="21"/>
      <c r="BH20" s="19" t="s">
        <v>117</v>
      </c>
      <c r="BI20" s="8"/>
      <c r="BJ20" s="8"/>
      <c r="BK20" s="8"/>
      <c r="BL20" s="8"/>
      <c r="BM20" s="8"/>
      <c r="BN20" s="8"/>
      <c r="BO20" s="8"/>
      <c r="BP20" s="8"/>
      <c r="BQ20" s="8"/>
      <c r="BR20" s="8"/>
      <c r="BS20" s="8"/>
      <c r="BT20" s="8"/>
      <c r="BU20" s="14"/>
      <c r="BV20" s="27"/>
      <c r="BW20" s="8"/>
      <c r="BX20" s="8"/>
      <c r="BY20" s="8"/>
      <c r="BZ20" s="14"/>
      <c r="CA20" s="13"/>
      <c r="CC20" s="64"/>
      <c r="CD20" s="8"/>
      <c r="CE20" s="8"/>
      <c r="CF20" s="8"/>
      <c r="CG20" s="64"/>
      <c r="CH20" s="8"/>
      <c r="CI20" s="8"/>
      <c r="CJ20" s="8"/>
      <c r="CK20" s="8"/>
      <c r="CL20" s="8"/>
      <c r="CM20" s="8"/>
      <c r="CN20" s="8"/>
      <c r="CO20" s="8"/>
      <c r="CP20" s="8"/>
      <c r="CQ20" s="8"/>
      <c r="CR20" s="65"/>
      <c r="CT20" s="11" t="s">
        <v>118</v>
      </c>
    </row>
    <row r="21" spans="1:98" s="11" customFormat="1">
      <c r="A21" s="28"/>
      <c r="B21" s="27"/>
      <c r="C21" s="8"/>
      <c r="D21" s="8"/>
      <c r="E21" s="8"/>
      <c r="F21" s="8"/>
      <c r="G21" s="8"/>
      <c r="H21" s="8"/>
      <c r="I21" s="27"/>
      <c r="J21" s="8"/>
      <c r="K21" s="8"/>
      <c r="L21" s="8"/>
      <c r="M21" s="8"/>
      <c r="N21" s="8"/>
      <c r="O21" s="8"/>
      <c r="P21" s="27"/>
      <c r="Q21" s="8"/>
      <c r="R21" s="8"/>
      <c r="S21" s="8"/>
      <c r="T21" s="8"/>
      <c r="U21" s="8"/>
      <c r="V21" s="8"/>
      <c r="W21" s="27"/>
      <c r="X21" s="8"/>
      <c r="Y21" s="8"/>
      <c r="Z21" s="8"/>
      <c r="AA21" s="8"/>
      <c r="AB21" s="8"/>
      <c r="AC21" s="14"/>
      <c r="AD21" s="8"/>
      <c r="AE21" s="8"/>
      <c r="AF21" s="8"/>
      <c r="AG21" s="8"/>
      <c r="AH21" s="8"/>
      <c r="AI21" s="8"/>
      <c r="AJ21" s="14"/>
      <c r="AK21" s="8"/>
      <c r="AL21" s="8"/>
      <c r="AM21" s="8"/>
      <c r="AN21" s="8"/>
      <c r="AO21" s="8"/>
      <c r="AP21" s="8"/>
      <c r="AQ21" s="8"/>
      <c r="AR21" s="27"/>
      <c r="AS21" s="8"/>
      <c r="AT21" s="8"/>
      <c r="AU21" s="8"/>
      <c r="AV21" s="8"/>
      <c r="AW21" s="8"/>
      <c r="AX21" s="8"/>
      <c r="AY21" s="27"/>
      <c r="AZ21" s="8"/>
      <c r="BA21" s="8"/>
      <c r="BB21" s="8"/>
      <c r="BC21" s="8"/>
      <c r="BD21" s="8"/>
      <c r="BE21" s="14"/>
      <c r="BF21" s="27"/>
      <c r="BG21" s="8"/>
      <c r="BH21" s="8"/>
      <c r="BI21" s="8"/>
      <c r="BJ21" s="8"/>
      <c r="BK21" s="8"/>
      <c r="BL21" s="8"/>
      <c r="BM21" s="8"/>
      <c r="BN21" s="8"/>
      <c r="BO21" s="8"/>
      <c r="BP21" s="8"/>
      <c r="BQ21" s="8"/>
      <c r="BR21" s="8"/>
      <c r="BS21" s="8"/>
      <c r="BT21" s="8"/>
      <c r="BU21" s="14"/>
      <c r="BV21" s="27"/>
      <c r="BW21" s="8"/>
      <c r="BX21" s="8"/>
      <c r="BY21" s="8"/>
      <c r="BZ21" s="14"/>
      <c r="CA21" s="13"/>
      <c r="CC21" s="64"/>
      <c r="CD21" s="8"/>
      <c r="CE21" s="8"/>
      <c r="CF21" s="8"/>
      <c r="CG21" s="64"/>
      <c r="CH21" s="8"/>
      <c r="CI21" s="8"/>
      <c r="CJ21" s="8"/>
      <c r="CK21" s="8"/>
      <c r="CL21" s="8"/>
      <c r="CM21" s="8"/>
      <c r="CN21" s="8"/>
      <c r="CO21" s="8"/>
      <c r="CP21" s="8"/>
      <c r="CQ21" s="8"/>
      <c r="CR21" s="65"/>
      <c r="CT21" s="11" t="s">
        <v>119</v>
      </c>
    </row>
    <row r="22" spans="1:98" s="11" customFormat="1">
      <c r="A22" s="28"/>
      <c r="B22" s="27"/>
      <c r="C22" s="8"/>
      <c r="D22" s="8"/>
      <c r="E22" s="8"/>
      <c r="F22" s="8"/>
      <c r="G22" s="8"/>
      <c r="H22" s="8"/>
      <c r="I22" s="27"/>
      <c r="J22" s="8"/>
      <c r="K22" s="8"/>
      <c r="L22" s="8"/>
      <c r="M22" s="8"/>
      <c r="N22" s="8"/>
      <c r="O22" s="8"/>
      <c r="P22" s="27"/>
      <c r="Q22" s="8"/>
      <c r="R22" s="8"/>
      <c r="S22" s="8"/>
      <c r="T22" s="8"/>
      <c r="U22" s="8"/>
      <c r="V22" s="8"/>
      <c r="W22" s="27"/>
      <c r="X22" s="8"/>
      <c r="Y22" s="8"/>
      <c r="Z22" s="8"/>
      <c r="AA22" s="8"/>
      <c r="AB22" s="8"/>
      <c r="AC22" s="14"/>
      <c r="AD22" s="8"/>
      <c r="AE22" s="8"/>
      <c r="AF22" s="8"/>
      <c r="AG22" s="8"/>
      <c r="AH22" s="8"/>
      <c r="AI22" s="8"/>
      <c r="AJ22" s="14"/>
      <c r="AK22" s="8"/>
      <c r="AL22" s="8"/>
      <c r="AM22" s="8"/>
      <c r="AN22" s="8"/>
      <c r="AO22" s="8"/>
      <c r="AP22" s="8"/>
      <c r="AQ22" s="8"/>
      <c r="AR22" s="27"/>
      <c r="AS22" s="8"/>
      <c r="AT22" s="8"/>
      <c r="AU22" s="8"/>
      <c r="AV22" s="8"/>
      <c r="AW22" s="8"/>
      <c r="AX22" s="8"/>
      <c r="AY22" s="27"/>
      <c r="AZ22" s="8"/>
      <c r="BA22" s="8"/>
      <c r="BB22" s="8"/>
      <c r="BC22" s="8"/>
      <c r="BD22" s="8"/>
      <c r="BE22" s="14"/>
      <c r="BF22" s="27"/>
      <c r="BG22" s="8"/>
      <c r="BH22" s="8"/>
      <c r="BI22" s="8"/>
      <c r="BJ22" s="8"/>
      <c r="BK22" s="8"/>
      <c r="BL22" s="8"/>
      <c r="BM22" s="8"/>
      <c r="BN22" s="8"/>
      <c r="BO22" s="8"/>
      <c r="BP22" s="8"/>
      <c r="BQ22" s="8"/>
      <c r="BR22" s="8"/>
      <c r="BS22" s="8"/>
      <c r="BT22" s="8"/>
      <c r="BU22" s="14"/>
      <c r="BV22" s="27"/>
      <c r="BW22" s="8"/>
      <c r="BX22" s="8"/>
      <c r="BY22" s="8"/>
      <c r="BZ22" s="14"/>
      <c r="CA22" s="13"/>
      <c r="CC22" s="64"/>
      <c r="CD22" s="8"/>
      <c r="CE22" s="8"/>
      <c r="CF22" s="8"/>
      <c r="CG22" s="64"/>
      <c r="CH22" s="8"/>
      <c r="CI22" s="8"/>
      <c r="CJ22" s="8"/>
      <c r="CK22" s="8"/>
      <c r="CL22" s="8"/>
      <c r="CM22" s="8"/>
      <c r="CN22" s="8"/>
      <c r="CO22" s="8"/>
      <c r="CP22" s="8"/>
      <c r="CQ22" s="8"/>
      <c r="CR22" s="65"/>
    </row>
    <row r="23" spans="1:98">
      <c r="A23" s="27"/>
      <c r="B23" s="27"/>
      <c r="I23" s="27"/>
      <c r="P23" s="27"/>
      <c r="W23" s="27"/>
      <c r="AC23" s="14"/>
      <c r="AJ23" s="14"/>
      <c r="AR23" s="27"/>
      <c r="AY23" s="27"/>
      <c r="BE23" s="14"/>
      <c r="BF23" s="27"/>
      <c r="BU23" s="14"/>
      <c r="BV23" s="27"/>
      <c r="BZ23" s="14"/>
      <c r="CA23" s="13"/>
      <c r="CC23" s="64"/>
      <c r="CG23" s="64"/>
      <c r="CR23" s="65"/>
    </row>
    <row r="24" spans="1:98">
      <c r="A24" s="27"/>
      <c r="B24" s="27"/>
      <c r="I24" s="27"/>
      <c r="P24" s="27"/>
      <c r="W24" s="27"/>
      <c r="AC24" s="14"/>
      <c r="AJ24" s="14"/>
      <c r="AR24" s="27"/>
      <c r="AY24" s="27"/>
      <c r="BE24" s="14"/>
      <c r="BF24" s="27"/>
      <c r="BU24" s="14"/>
      <c r="BV24" s="27"/>
      <c r="BZ24" s="14"/>
      <c r="CA24" s="13"/>
      <c r="CC24" s="64"/>
      <c r="CG24" s="64"/>
      <c r="CR24" s="65"/>
    </row>
    <row r="25" spans="1:98">
      <c r="A25" s="27"/>
      <c r="B25" s="27"/>
      <c r="I25" s="27"/>
      <c r="P25" s="27"/>
      <c r="W25" s="27"/>
      <c r="AC25" s="14"/>
      <c r="AJ25" s="14"/>
      <c r="AR25" s="27"/>
      <c r="AY25" s="27"/>
      <c r="BE25" s="14"/>
      <c r="BF25" s="27"/>
      <c r="BU25" s="14"/>
      <c r="BV25" s="27"/>
      <c r="BZ25" s="14"/>
      <c r="CA25" s="13"/>
      <c r="CC25" s="64"/>
      <c r="CG25" s="64"/>
      <c r="CR25" s="65"/>
    </row>
    <row r="26" spans="1:98">
      <c r="A26" s="27"/>
      <c r="B26" s="27"/>
      <c r="I26" s="27"/>
      <c r="P26" s="27"/>
      <c r="W26" s="27"/>
      <c r="AC26" s="14"/>
      <c r="AJ26" s="14"/>
      <c r="AR26" s="27"/>
      <c r="AY26" s="27"/>
      <c r="BE26" s="14"/>
      <c r="BF26" s="27"/>
      <c r="BG26" s="16" t="s">
        <v>120</v>
      </c>
      <c r="BU26" s="14"/>
      <c r="BV26" s="27"/>
      <c r="BZ26" s="14"/>
      <c r="CA26" s="13"/>
      <c r="CC26" s="64"/>
      <c r="CG26" s="64"/>
      <c r="CR26" s="65"/>
    </row>
    <row r="27" spans="1:98">
      <c r="A27" s="27"/>
      <c r="B27" s="27"/>
      <c r="I27" s="27"/>
      <c r="P27" s="27"/>
      <c r="W27" s="27"/>
      <c r="AC27" s="14"/>
      <c r="AJ27" s="14"/>
      <c r="AR27" s="27"/>
      <c r="AY27" s="27"/>
      <c r="BE27" s="14"/>
      <c r="BF27" s="27"/>
      <c r="BG27" s="16"/>
      <c r="BH27" s="8" t="s">
        <v>121</v>
      </c>
      <c r="BU27" s="14"/>
      <c r="BV27" s="27"/>
      <c r="BZ27" s="14"/>
      <c r="CA27" s="13"/>
      <c r="CC27" s="64"/>
      <c r="CG27" s="64"/>
      <c r="CR27" s="65"/>
    </row>
    <row r="28" spans="1:98">
      <c r="A28" s="27"/>
      <c r="B28" s="27"/>
      <c r="I28" s="27"/>
      <c r="P28" s="27"/>
      <c r="W28" s="27"/>
      <c r="AC28" s="14"/>
      <c r="AJ28" s="14"/>
      <c r="AR28" s="27"/>
      <c r="AY28" s="27"/>
      <c r="BE28" s="14"/>
      <c r="BF28" s="27"/>
      <c r="BU28" s="14"/>
      <c r="BV28" s="27"/>
      <c r="BZ28" s="14"/>
      <c r="CA28" s="13"/>
      <c r="CC28" s="64"/>
      <c r="CG28" s="64"/>
      <c r="CR28" s="65"/>
    </row>
    <row r="29" spans="1:98">
      <c r="A29" s="27"/>
      <c r="B29" s="27"/>
      <c r="I29" s="27"/>
      <c r="P29" s="27"/>
      <c r="W29" s="27"/>
      <c r="AC29" s="14"/>
      <c r="AJ29" s="14"/>
      <c r="AR29" s="27"/>
      <c r="AY29" s="27"/>
      <c r="BE29" s="14"/>
      <c r="BF29" s="27"/>
      <c r="BG29" s="16"/>
      <c r="BU29" s="14"/>
      <c r="BV29" s="27"/>
      <c r="BZ29" s="14"/>
      <c r="CA29" s="13"/>
      <c r="CC29" s="64"/>
      <c r="CG29" s="64"/>
      <c r="CR29" s="65"/>
    </row>
    <row r="30" spans="1:98">
      <c r="A30" s="27"/>
      <c r="B30" s="27"/>
      <c r="I30" s="27"/>
      <c r="P30" s="27"/>
      <c r="W30" s="27"/>
      <c r="AC30" s="14"/>
      <c r="AJ30" s="14"/>
      <c r="AR30" s="27"/>
      <c r="AY30" s="27"/>
      <c r="BE30" s="14"/>
      <c r="BF30" s="27"/>
      <c r="BU30" s="14"/>
      <c r="BV30" s="27"/>
      <c r="BZ30" s="14"/>
      <c r="CA30" s="13"/>
      <c r="CC30" s="64"/>
      <c r="CG30" s="64"/>
      <c r="CR30" s="65"/>
    </row>
    <row r="31" spans="1:98" ht="13.5" customHeight="1">
      <c r="A31" s="27"/>
      <c r="B31" s="27"/>
      <c r="I31" s="27"/>
      <c r="P31" s="27"/>
      <c r="W31" s="27"/>
      <c r="AC31" s="14"/>
      <c r="AJ31" s="14"/>
      <c r="AR31" s="27"/>
      <c r="AY31" s="27"/>
      <c r="BE31" s="14"/>
      <c r="BF31" s="27"/>
      <c r="BG31" s="16" t="s">
        <v>122</v>
      </c>
      <c r="BU31" s="14"/>
      <c r="BV31" s="27"/>
      <c r="BZ31" s="14"/>
      <c r="CA31" s="13"/>
      <c r="CC31" s="64"/>
      <c r="CG31" s="64"/>
      <c r="CH31" s="323" t="s">
        <v>123</v>
      </c>
      <c r="CI31" s="323"/>
      <c r="CJ31" s="323"/>
      <c r="CK31" s="323"/>
      <c r="CL31" s="323"/>
      <c r="CM31" s="323"/>
      <c r="CN31" s="323"/>
      <c r="CO31" s="323"/>
      <c r="CP31" s="323"/>
      <c r="CR31" s="65"/>
    </row>
    <row r="32" spans="1:98" ht="13.5" customHeight="1">
      <c r="A32" s="27"/>
      <c r="B32" s="27"/>
      <c r="I32" s="27"/>
      <c r="P32" s="27"/>
      <c r="W32" s="27"/>
      <c r="AC32" s="14"/>
      <c r="AJ32" s="14"/>
      <c r="AR32" s="27"/>
      <c r="AY32" s="27"/>
      <c r="BE32" s="14"/>
      <c r="BF32" s="27"/>
      <c r="BG32" s="16"/>
      <c r="BH32" s="8" t="s">
        <v>124</v>
      </c>
      <c r="BU32" s="14"/>
      <c r="BV32" s="27"/>
      <c r="BZ32" s="14"/>
      <c r="CA32" s="14"/>
      <c r="CC32" s="324" t="s">
        <v>125</v>
      </c>
      <c r="CD32" s="325"/>
      <c r="CE32" s="325"/>
      <c r="CF32" s="326"/>
      <c r="CG32" s="64"/>
      <c r="CH32" s="323"/>
      <c r="CI32" s="323"/>
      <c r="CJ32" s="323"/>
      <c r="CK32" s="323"/>
      <c r="CL32" s="323"/>
      <c r="CM32" s="323"/>
      <c r="CN32" s="323"/>
      <c r="CO32" s="323"/>
      <c r="CP32" s="323"/>
      <c r="CR32" s="65"/>
    </row>
    <row r="33" spans="1:96" ht="13.5" customHeight="1">
      <c r="A33" s="27"/>
      <c r="B33" s="27"/>
      <c r="I33" s="27"/>
      <c r="P33" s="27"/>
      <c r="W33" s="27"/>
      <c r="AC33" s="14"/>
      <c r="AJ33" s="14"/>
      <c r="AR33" s="27"/>
      <c r="AY33" s="27"/>
      <c r="BE33" s="14"/>
      <c r="BF33" s="27"/>
      <c r="BH33" s="8" t="s">
        <v>126</v>
      </c>
      <c r="BU33" s="14"/>
      <c r="BV33" s="27"/>
      <c r="BZ33" s="14"/>
      <c r="CA33" s="14"/>
      <c r="CC33" s="324"/>
      <c r="CD33" s="325"/>
      <c r="CE33" s="325"/>
      <c r="CF33" s="326"/>
      <c r="CG33" s="64"/>
      <c r="CH33" s="323"/>
      <c r="CI33" s="323"/>
      <c r="CJ33" s="323"/>
      <c r="CK33" s="323"/>
      <c r="CL33" s="323"/>
      <c r="CM33" s="323"/>
      <c r="CN33" s="323"/>
      <c r="CO33" s="323"/>
      <c r="CP33" s="323"/>
      <c r="CR33" s="65"/>
    </row>
    <row r="34" spans="1:96" ht="13.5" customHeight="1">
      <c r="A34" s="27"/>
      <c r="B34" s="27"/>
      <c r="I34" s="27"/>
      <c r="P34" s="27"/>
      <c r="W34" s="27"/>
      <c r="AC34" s="14"/>
      <c r="AJ34" s="14"/>
      <c r="AR34" s="27"/>
      <c r="AY34" s="27"/>
      <c r="BE34" s="14"/>
      <c r="BF34" s="27"/>
      <c r="BH34" s="8" t="s">
        <v>127</v>
      </c>
      <c r="BU34" s="14"/>
      <c r="BV34" s="27"/>
      <c r="BZ34" s="14"/>
      <c r="CA34" s="14"/>
      <c r="CC34" s="324"/>
      <c r="CD34" s="325"/>
      <c r="CE34" s="325"/>
      <c r="CF34" s="326"/>
      <c r="CG34" s="64"/>
      <c r="CH34" s="323"/>
      <c r="CI34" s="323"/>
      <c r="CJ34" s="323"/>
      <c r="CK34" s="323"/>
      <c r="CL34" s="323"/>
      <c r="CM34" s="323"/>
      <c r="CN34" s="323"/>
      <c r="CO34" s="323"/>
      <c r="CP34" s="323"/>
      <c r="CR34" s="65"/>
    </row>
    <row r="35" spans="1:96" ht="13.5" customHeight="1">
      <c r="A35" s="27"/>
      <c r="B35" s="27"/>
      <c r="I35" s="27"/>
      <c r="P35" s="27"/>
      <c r="W35" s="27"/>
      <c r="AC35" s="14"/>
      <c r="AJ35" s="14"/>
      <c r="AR35" s="27"/>
      <c r="AY35" s="27"/>
      <c r="BE35" s="14"/>
      <c r="BF35" s="27"/>
      <c r="BH35" s="72" t="s">
        <v>128</v>
      </c>
      <c r="BI35" s="73"/>
      <c r="BJ35" s="73"/>
      <c r="BK35" s="73"/>
      <c r="BL35" s="73"/>
      <c r="BM35" s="73"/>
      <c r="BN35" s="73"/>
      <c r="BO35" s="73"/>
      <c r="BP35" s="73"/>
      <c r="BQ35" s="75"/>
      <c r="BU35" s="14"/>
      <c r="BV35" s="27"/>
      <c r="BZ35" s="14"/>
      <c r="CA35" s="14"/>
      <c r="CC35" s="324"/>
      <c r="CD35" s="325"/>
      <c r="CE35" s="325"/>
      <c r="CF35" s="326"/>
      <c r="CG35" s="64"/>
      <c r="CH35" s="323"/>
      <c r="CI35" s="323"/>
      <c r="CJ35" s="323"/>
      <c r="CK35" s="323"/>
      <c r="CL35" s="323"/>
      <c r="CM35" s="323"/>
      <c r="CN35" s="323"/>
      <c r="CO35" s="323"/>
      <c r="CP35" s="323"/>
      <c r="CR35" s="65"/>
    </row>
    <row r="36" spans="1:96" ht="13.5" customHeight="1">
      <c r="A36" s="27"/>
      <c r="B36" s="27"/>
      <c r="I36" s="27"/>
      <c r="P36" s="27"/>
      <c r="W36" s="27"/>
      <c r="AC36" s="14"/>
      <c r="AJ36" s="14"/>
      <c r="AR36" s="27"/>
      <c r="AY36" s="27"/>
      <c r="BE36" s="14"/>
      <c r="BF36" s="27"/>
      <c r="BH36" s="51" t="s">
        <v>129</v>
      </c>
      <c r="BI36" s="52"/>
      <c r="BJ36" s="52"/>
      <c r="BK36" s="53"/>
      <c r="BL36" s="8" t="s">
        <v>130</v>
      </c>
      <c r="BQ36" s="14"/>
      <c r="BU36" s="14"/>
      <c r="BV36" s="27"/>
      <c r="BZ36" s="14"/>
      <c r="CA36" s="14"/>
      <c r="CC36" s="324"/>
      <c r="CD36" s="325"/>
      <c r="CE36" s="325"/>
      <c r="CF36" s="326"/>
      <c r="CG36" s="64"/>
      <c r="CH36" s="323"/>
      <c r="CI36" s="323"/>
      <c r="CJ36" s="323"/>
      <c r="CK36" s="323"/>
      <c r="CL36" s="323"/>
      <c r="CM36" s="323"/>
      <c r="CN36" s="323"/>
      <c r="CO36" s="323"/>
      <c r="CP36" s="323"/>
      <c r="CR36" s="65"/>
    </row>
    <row r="37" spans="1:96">
      <c r="A37" s="27"/>
      <c r="B37" s="27"/>
      <c r="I37" s="27"/>
      <c r="P37" s="27"/>
      <c r="W37" s="27"/>
      <c r="AC37" s="14"/>
      <c r="AJ37" s="14"/>
      <c r="AR37" s="27"/>
      <c r="AY37" s="27"/>
      <c r="BE37" s="14"/>
      <c r="BF37" s="27"/>
      <c r="BH37" s="27" t="s">
        <v>131</v>
      </c>
      <c r="BK37" s="14"/>
      <c r="BL37" s="8" t="s">
        <v>132</v>
      </c>
      <c r="BQ37" s="14"/>
      <c r="BU37" s="14"/>
      <c r="BV37" s="27"/>
      <c r="BZ37" s="14"/>
      <c r="CA37" s="14"/>
      <c r="CC37" s="324"/>
      <c r="CD37" s="325"/>
      <c r="CE37" s="325"/>
      <c r="CF37" s="326"/>
      <c r="CG37" s="64"/>
      <c r="CH37" s="323"/>
      <c r="CI37" s="323"/>
      <c r="CJ37" s="323"/>
      <c r="CK37" s="323"/>
      <c r="CL37" s="323"/>
      <c r="CM37" s="323"/>
      <c r="CN37" s="323"/>
      <c r="CO37" s="323"/>
      <c r="CP37" s="323"/>
      <c r="CR37" s="65"/>
    </row>
    <row r="38" spans="1:96" ht="13.5" customHeight="1">
      <c r="A38" s="27"/>
      <c r="B38" s="27"/>
      <c r="I38" s="27"/>
      <c r="P38" s="27"/>
      <c r="W38" s="27"/>
      <c r="AC38" s="14"/>
      <c r="AJ38" s="14"/>
      <c r="AR38" s="27"/>
      <c r="AY38" s="27"/>
      <c r="BE38" s="14"/>
      <c r="BF38" s="27"/>
      <c r="BH38" s="27" t="s">
        <v>133</v>
      </c>
      <c r="BK38" s="14"/>
      <c r="BL38" s="8" t="s">
        <v>134</v>
      </c>
      <c r="BQ38" s="14"/>
      <c r="BU38" s="14"/>
      <c r="BV38" s="27"/>
      <c r="BZ38" s="14"/>
      <c r="CA38" s="14"/>
      <c r="CC38" s="324"/>
      <c r="CD38" s="325"/>
      <c r="CE38" s="325"/>
      <c r="CF38" s="326"/>
      <c r="CG38" s="64"/>
      <c r="CH38" s="323"/>
      <c r="CI38" s="323"/>
      <c r="CJ38" s="323"/>
      <c r="CK38" s="323"/>
      <c r="CL38" s="323"/>
      <c r="CM38" s="323"/>
      <c r="CN38" s="323"/>
      <c r="CO38" s="323"/>
      <c r="CP38" s="323"/>
      <c r="CR38" s="65"/>
    </row>
    <row r="39" spans="1:96" ht="13.5" customHeight="1">
      <c r="A39" s="27"/>
      <c r="B39" s="27"/>
      <c r="I39" s="27"/>
      <c r="P39" s="27"/>
      <c r="W39" s="27"/>
      <c r="AC39" s="14"/>
      <c r="AJ39" s="14"/>
      <c r="AR39" s="27"/>
      <c r="AY39" s="27"/>
      <c r="BE39" s="14"/>
      <c r="BF39" s="27"/>
      <c r="BH39" s="27" t="s">
        <v>135</v>
      </c>
      <c r="BK39" s="14"/>
      <c r="BL39" s="8" t="s">
        <v>136</v>
      </c>
      <c r="BQ39" s="14"/>
      <c r="BU39" s="14"/>
      <c r="BV39" s="27"/>
      <c r="BZ39" s="14"/>
      <c r="CA39" s="14"/>
      <c r="CC39" s="324"/>
      <c r="CD39" s="325"/>
      <c r="CE39" s="325"/>
      <c r="CF39" s="326"/>
      <c r="CG39" s="64"/>
      <c r="CH39" s="323"/>
      <c r="CI39" s="323"/>
      <c r="CJ39" s="323"/>
      <c r="CK39" s="323"/>
      <c r="CL39" s="323"/>
      <c r="CM39" s="323"/>
      <c r="CN39" s="323"/>
      <c r="CO39" s="323"/>
      <c r="CP39" s="323"/>
      <c r="CR39" s="65"/>
    </row>
    <row r="40" spans="1:96" ht="13.5" customHeight="1">
      <c r="A40" s="27"/>
      <c r="B40" s="27"/>
      <c r="I40" s="27"/>
      <c r="P40" s="27"/>
      <c r="W40" s="27"/>
      <c r="AC40" s="14"/>
      <c r="AJ40" s="14"/>
      <c r="AR40" s="27"/>
      <c r="AY40" s="27"/>
      <c r="BE40" s="14"/>
      <c r="BF40" s="27"/>
      <c r="BH40" s="55" t="s">
        <v>135</v>
      </c>
      <c r="BI40" s="10"/>
      <c r="BJ40" s="10"/>
      <c r="BK40" s="15"/>
      <c r="BL40" s="10" t="s">
        <v>137</v>
      </c>
      <c r="BM40" s="10"/>
      <c r="BN40" s="10"/>
      <c r="BO40" s="10"/>
      <c r="BP40" s="10"/>
      <c r="BQ40" s="15"/>
      <c r="BU40" s="14"/>
      <c r="BV40" s="27"/>
      <c r="BZ40" s="14"/>
      <c r="CA40" s="14"/>
      <c r="CC40" s="324"/>
      <c r="CD40" s="325"/>
      <c r="CE40" s="325"/>
      <c r="CF40" s="326"/>
      <c r="CG40" s="64"/>
      <c r="CH40" s="323"/>
      <c r="CI40" s="323"/>
      <c r="CJ40" s="323"/>
      <c r="CK40" s="323"/>
      <c r="CL40" s="323"/>
      <c r="CM40" s="323"/>
      <c r="CN40" s="323"/>
      <c r="CO40" s="323"/>
      <c r="CP40" s="323"/>
      <c r="CR40" s="65"/>
    </row>
    <row r="41" spans="1:96" ht="13.5" customHeight="1">
      <c r="A41" s="27"/>
      <c r="B41" s="27"/>
      <c r="I41" s="27"/>
      <c r="P41" s="27"/>
      <c r="W41" s="27"/>
      <c r="AC41" s="14"/>
      <c r="AJ41" s="14"/>
      <c r="AR41" s="27"/>
      <c r="AY41" s="27"/>
      <c r="BE41" s="14"/>
      <c r="BF41" s="27"/>
      <c r="BU41" s="14"/>
      <c r="BV41" s="27"/>
      <c r="BZ41" s="14"/>
      <c r="CA41" s="14"/>
      <c r="CC41" s="324"/>
      <c r="CD41" s="325"/>
      <c r="CE41" s="325"/>
      <c r="CF41" s="326"/>
      <c r="CG41" s="64"/>
      <c r="CH41" s="323"/>
      <c r="CI41" s="323"/>
      <c r="CJ41" s="323"/>
      <c r="CK41" s="323"/>
      <c r="CL41" s="323"/>
      <c r="CM41" s="323"/>
      <c r="CN41" s="323"/>
      <c r="CO41" s="323"/>
      <c r="CP41" s="323"/>
      <c r="CR41" s="65"/>
    </row>
    <row r="42" spans="1:96" ht="13.5" customHeight="1">
      <c r="A42" s="27"/>
      <c r="B42" s="27"/>
      <c r="I42" s="27"/>
      <c r="P42" s="27"/>
      <c r="W42" s="27"/>
      <c r="AC42" s="14"/>
      <c r="AJ42" s="14"/>
      <c r="AR42" s="27"/>
      <c r="AY42" s="27"/>
      <c r="BE42" s="14"/>
      <c r="BF42" s="27"/>
      <c r="BU42" s="14"/>
      <c r="BV42" s="27"/>
      <c r="BZ42" s="14"/>
      <c r="CA42" s="14"/>
      <c r="CC42" s="324"/>
      <c r="CD42" s="325"/>
      <c r="CE42" s="325"/>
      <c r="CF42" s="326"/>
      <c r="CG42" s="64"/>
      <c r="CH42" s="323"/>
      <c r="CI42" s="323"/>
      <c r="CJ42" s="323"/>
      <c r="CK42" s="323"/>
      <c r="CL42" s="323"/>
      <c r="CM42" s="323"/>
      <c r="CN42" s="323"/>
      <c r="CO42" s="323"/>
      <c r="CP42" s="323"/>
      <c r="CR42" s="65"/>
    </row>
    <row r="43" spans="1:96" ht="13.5" customHeight="1">
      <c r="A43" s="27"/>
      <c r="B43" s="27"/>
      <c r="I43" s="27"/>
      <c r="P43" s="27"/>
      <c r="W43" s="27"/>
      <c r="AC43" s="14"/>
      <c r="AJ43" s="14"/>
      <c r="AR43" s="27"/>
      <c r="AY43" s="27"/>
      <c r="BE43" s="14"/>
      <c r="BF43" s="27"/>
      <c r="BU43" s="14"/>
      <c r="BV43" s="27"/>
      <c r="BZ43" s="14"/>
      <c r="CA43" s="14"/>
      <c r="CC43" s="324"/>
      <c r="CD43" s="325"/>
      <c r="CE43" s="325"/>
      <c r="CF43" s="326"/>
      <c r="CG43" s="64"/>
      <c r="CH43" s="323"/>
      <c r="CI43" s="323"/>
      <c r="CJ43" s="323"/>
      <c r="CK43" s="323"/>
      <c r="CL43" s="323"/>
      <c r="CM43" s="323"/>
      <c r="CN43" s="323"/>
      <c r="CO43" s="323"/>
      <c r="CP43" s="323"/>
      <c r="CR43" s="65"/>
    </row>
    <row r="44" spans="1:96" ht="13.5" customHeight="1">
      <c r="A44" s="27"/>
      <c r="B44" s="27"/>
      <c r="I44" s="27"/>
      <c r="P44" s="27"/>
      <c r="W44" s="27"/>
      <c r="AC44" s="14"/>
      <c r="AJ44" s="14"/>
      <c r="AR44" s="27"/>
      <c r="AY44" s="27"/>
      <c r="BE44" s="14"/>
      <c r="BF44" s="27"/>
      <c r="BG44" s="8" t="s">
        <v>138</v>
      </c>
      <c r="BH44" s="8" t="s">
        <v>139</v>
      </c>
      <c r="BU44" s="14"/>
      <c r="BV44" s="27"/>
      <c r="BZ44" s="14"/>
      <c r="CA44" s="14"/>
      <c r="CC44" s="324"/>
      <c r="CD44" s="325"/>
      <c r="CE44" s="325"/>
      <c r="CF44" s="326"/>
      <c r="CG44" s="64"/>
      <c r="CH44" s="323"/>
      <c r="CI44" s="323"/>
      <c r="CJ44" s="323"/>
      <c r="CK44" s="323"/>
      <c r="CL44" s="323"/>
      <c r="CM44" s="323"/>
      <c r="CN44" s="323"/>
      <c r="CO44" s="323"/>
      <c r="CP44" s="323"/>
      <c r="CR44" s="65"/>
    </row>
    <row r="45" spans="1:96" ht="13.5" customHeight="1">
      <c r="A45" s="27"/>
      <c r="B45" s="27"/>
      <c r="I45" s="27"/>
      <c r="P45" s="27"/>
      <c r="W45" s="27"/>
      <c r="AC45" s="14"/>
      <c r="AJ45" s="14"/>
      <c r="AR45" s="27"/>
      <c r="AY45" s="27"/>
      <c r="BE45" s="14"/>
      <c r="BF45" s="27"/>
      <c r="BH45" s="8" t="s">
        <v>140</v>
      </c>
      <c r="BN45" s="8" t="s">
        <v>141</v>
      </c>
      <c r="BO45" s="8" t="s">
        <v>142</v>
      </c>
      <c r="BU45" s="14"/>
      <c r="BV45" s="27"/>
      <c r="BZ45" s="14"/>
      <c r="CA45" s="14"/>
      <c r="CC45" s="324"/>
      <c r="CD45" s="325"/>
      <c r="CE45" s="325"/>
      <c r="CF45" s="326"/>
      <c r="CG45" s="64"/>
      <c r="CH45" s="323"/>
      <c r="CI45" s="323"/>
      <c r="CJ45" s="323"/>
      <c r="CK45" s="323"/>
      <c r="CL45" s="323"/>
      <c r="CM45" s="323"/>
      <c r="CN45" s="323"/>
      <c r="CO45" s="323"/>
      <c r="CP45" s="323"/>
      <c r="CR45" s="65"/>
    </row>
    <row r="46" spans="1:96" ht="13.5" customHeight="1">
      <c r="A46" s="27"/>
      <c r="B46" s="27"/>
      <c r="I46" s="27"/>
      <c r="P46" s="27"/>
      <c r="W46" s="27"/>
      <c r="AC46" s="14"/>
      <c r="AJ46" s="14"/>
      <c r="AR46" s="27"/>
      <c r="AY46" s="27"/>
      <c r="BE46" s="14"/>
      <c r="BF46" s="27"/>
      <c r="BH46" s="8" t="s">
        <v>143</v>
      </c>
      <c r="BN46" s="8" t="s">
        <v>141</v>
      </c>
      <c r="BO46" s="8" t="s">
        <v>144</v>
      </c>
      <c r="BU46" s="14"/>
      <c r="BV46" s="27"/>
      <c r="BZ46" s="14"/>
      <c r="CA46" s="14"/>
      <c r="CC46" s="324"/>
      <c r="CD46" s="325"/>
      <c r="CE46" s="325"/>
      <c r="CF46" s="326"/>
      <c r="CG46" s="64"/>
      <c r="CH46" s="323"/>
      <c r="CI46" s="323"/>
      <c r="CJ46" s="323"/>
      <c r="CK46" s="323"/>
      <c r="CL46" s="323"/>
      <c r="CM46" s="323"/>
      <c r="CN46" s="323"/>
      <c r="CO46" s="323"/>
      <c r="CP46" s="323"/>
      <c r="CR46" s="65"/>
    </row>
    <row r="47" spans="1:96" ht="13.5" customHeight="1">
      <c r="A47" s="27"/>
      <c r="B47" s="27"/>
      <c r="I47" s="27"/>
      <c r="P47" s="27"/>
      <c r="W47" s="27"/>
      <c r="AC47" s="14"/>
      <c r="AJ47" s="14"/>
      <c r="AR47" s="27"/>
      <c r="AY47" s="27"/>
      <c r="BE47" s="14"/>
      <c r="BF47" s="27"/>
      <c r="BH47" s="8" t="s">
        <v>145</v>
      </c>
      <c r="BN47" s="8" t="s">
        <v>141</v>
      </c>
      <c r="BO47" s="8" t="s">
        <v>144</v>
      </c>
      <c r="BU47" s="14"/>
      <c r="BV47" s="27"/>
      <c r="BZ47" s="14"/>
      <c r="CA47" s="14"/>
      <c r="CC47" s="324"/>
      <c r="CD47" s="325"/>
      <c r="CE47" s="325"/>
      <c r="CF47" s="326"/>
      <c r="CG47" s="64"/>
      <c r="CH47" s="323"/>
      <c r="CI47" s="323"/>
      <c r="CJ47" s="323"/>
      <c r="CK47" s="323"/>
      <c r="CL47" s="323"/>
      <c r="CM47" s="323"/>
      <c r="CN47" s="323"/>
      <c r="CO47" s="323"/>
      <c r="CP47" s="323"/>
      <c r="CR47" s="65"/>
    </row>
    <row r="48" spans="1:96" ht="13.5" customHeight="1">
      <c r="A48" s="27"/>
      <c r="B48" s="27"/>
      <c r="I48" s="27"/>
      <c r="P48" s="27"/>
      <c r="W48" s="27"/>
      <c r="AC48" s="14"/>
      <c r="AJ48" s="14"/>
      <c r="AR48" s="27"/>
      <c r="AY48" s="27"/>
      <c r="BE48" s="14"/>
      <c r="BF48" s="27"/>
      <c r="BH48" s="8" t="s">
        <v>146</v>
      </c>
      <c r="BN48" s="8" t="s">
        <v>141</v>
      </c>
      <c r="BO48" s="8" t="s">
        <v>147</v>
      </c>
      <c r="BU48" s="14"/>
      <c r="BV48" s="27"/>
      <c r="BZ48" s="14"/>
      <c r="CA48" s="14"/>
      <c r="CC48" s="324"/>
      <c r="CD48" s="325"/>
      <c r="CE48" s="325"/>
      <c r="CF48" s="326"/>
      <c r="CG48" s="64"/>
      <c r="CH48" s="323"/>
      <c r="CI48" s="323"/>
      <c r="CJ48" s="323"/>
      <c r="CK48" s="323"/>
      <c r="CL48" s="323"/>
      <c r="CM48" s="323"/>
      <c r="CN48" s="323"/>
      <c r="CO48" s="323"/>
      <c r="CP48" s="323"/>
      <c r="CR48" s="65"/>
    </row>
    <row r="49" spans="1:96" ht="13.5" customHeight="1">
      <c r="A49" s="27"/>
      <c r="B49" s="27"/>
      <c r="I49" s="27"/>
      <c r="P49" s="27"/>
      <c r="W49" s="27"/>
      <c r="AC49" s="14"/>
      <c r="AJ49" s="14"/>
      <c r="AR49" s="27"/>
      <c r="AY49" s="27"/>
      <c r="BE49" s="14"/>
      <c r="BF49" s="27"/>
      <c r="BH49" s="8" t="s">
        <v>148</v>
      </c>
      <c r="BN49" s="8" t="s">
        <v>141</v>
      </c>
      <c r="BO49" s="8" t="s">
        <v>149</v>
      </c>
      <c r="BU49" s="14"/>
      <c r="BV49" s="27"/>
      <c r="BZ49" s="14"/>
      <c r="CA49" s="14"/>
      <c r="CC49" s="324"/>
      <c r="CD49" s="325"/>
      <c r="CE49" s="325"/>
      <c r="CF49" s="326"/>
      <c r="CG49" s="64"/>
      <c r="CH49" s="323"/>
      <c r="CI49" s="323"/>
      <c r="CJ49" s="323"/>
      <c r="CK49" s="323"/>
      <c r="CL49" s="323"/>
      <c r="CM49" s="323"/>
      <c r="CN49" s="323"/>
      <c r="CO49" s="323"/>
      <c r="CP49" s="323"/>
      <c r="CR49" s="65"/>
    </row>
    <row r="50" spans="1:96" ht="13.5" customHeight="1">
      <c r="A50" s="27"/>
      <c r="B50" s="27"/>
      <c r="I50" s="27"/>
      <c r="P50" s="27"/>
      <c r="W50" s="27"/>
      <c r="AC50" s="14"/>
      <c r="AJ50" s="14"/>
      <c r="AR50" s="27"/>
      <c r="AY50" s="27"/>
      <c r="BE50" s="14"/>
      <c r="BF50" s="27"/>
      <c r="BH50" s="8" t="s">
        <v>150</v>
      </c>
      <c r="BN50" s="8" t="s">
        <v>141</v>
      </c>
      <c r="BO50" s="8" t="s">
        <v>151</v>
      </c>
      <c r="BU50" s="14"/>
      <c r="BV50" s="27"/>
      <c r="BZ50" s="14"/>
      <c r="CA50" s="14"/>
      <c r="CC50" s="324"/>
      <c r="CD50" s="325"/>
      <c r="CE50" s="325"/>
      <c r="CF50" s="326"/>
      <c r="CG50" s="64"/>
      <c r="CH50" s="323"/>
      <c r="CI50" s="323"/>
      <c r="CJ50" s="323"/>
      <c r="CK50" s="323"/>
      <c r="CL50" s="323"/>
      <c r="CM50" s="323"/>
      <c r="CN50" s="323"/>
      <c r="CO50" s="323"/>
      <c r="CP50" s="323"/>
      <c r="CR50" s="65"/>
    </row>
    <row r="51" spans="1:96" ht="13.5" customHeight="1">
      <c r="A51" s="27"/>
      <c r="B51" s="27"/>
      <c r="I51" s="27"/>
      <c r="P51" s="27"/>
      <c r="W51" s="27"/>
      <c r="AC51" s="14"/>
      <c r="AJ51" s="14"/>
      <c r="AR51" s="27"/>
      <c r="AY51" s="27"/>
      <c r="BE51" s="14"/>
      <c r="BF51" s="27"/>
      <c r="BH51" s="8" t="s">
        <v>152</v>
      </c>
      <c r="BN51" s="8" t="s">
        <v>141</v>
      </c>
      <c r="BO51" s="8" t="s">
        <v>153</v>
      </c>
      <c r="BU51" s="14"/>
      <c r="BV51" s="27"/>
      <c r="BZ51" s="14"/>
      <c r="CA51" s="14"/>
      <c r="CC51" s="324"/>
      <c r="CD51" s="325"/>
      <c r="CE51" s="325"/>
      <c r="CF51" s="326"/>
      <c r="CG51" s="64"/>
      <c r="CH51" s="323"/>
      <c r="CI51" s="323"/>
      <c r="CJ51" s="323"/>
      <c r="CK51" s="323"/>
      <c r="CL51" s="323"/>
      <c r="CM51" s="323"/>
      <c r="CN51" s="323"/>
      <c r="CO51" s="323"/>
      <c r="CP51" s="323"/>
      <c r="CR51" s="65"/>
    </row>
    <row r="52" spans="1:96" ht="13.5" customHeight="1">
      <c r="A52" s="27"/>
      <c r="B52" s="27"/>
      <c r="I52" s="27"/>
      <c r="P52" s="27"/>
      <c r="W52" s="27"/>
      <c r="AC52" s="14"/>
      <c r="AJ52" s="14"/>
      <c r="AR52" s="27"/>
      <c r="AY52" s="27"/>
      <c r="BE52" s="14"/>
      <c r="BF52" s="27"/>
      <c r="BU52" s="14"/>
      <c r="BV52" s="27"/>
      <c r="BZ52" s="14"/>
      <c r="CA52" s="14"/>
      <c r="CC52" s="324"/>
      <c r="CD52" s="325"/>
      <c r="CE52" s="325"/>
      <c r="CF52" s="326"/>
      <c r="CG52" s="64"/>
      <c r="CH52" s="323"/>
      <c r="CI52" s="323"/>
      <c r="CJ52" s="323"/>
      <c r="CK52" s="323"/>
      <c r="CL52" s="323"/>
      <c r="CM52" s="323"/>
      <c r="CN52" s="323"/>
      <c r="CO52" s="323"/>
      <c r="CP52" s="323"/>
      <c r="CR52" s="65"/>
    </row>
    <row r="53" spans="1:96" ht="13.5" customHeight="1">
      <c r="A53" s="27"/>
      <c r="B53" s="27"/>
      <c r="I53" s="27"/>
      <c r="P53" s="27"/>
      <c r="W53" s="27"/>
      <c r="AC53" s="14"/>
      <c r="AJ53" s="14"/>
      <c r="AR53" s="27"/>
      <c r="AY53" s="27"/>
      <c r="BE53" s="14"/>
      <c r="BF53" s="27"/>
      <c r="BU53" s="14"/>
      <c r="BV53" s="27"/>
      <c r="BZ53" s="14"/>
      <c r="CA53" s="14"/>
      <c r="CC53" s="324"/>
      <c r="CD53" s="325"/>
      <c r="CE53" s="325"/>
      <c r="CF53" s="326"/>
      <c r="CG53" s="64"/>
      <c r="CH53" s="323"/>
      <c r="CI53" s="323"/>
      <c r="CJ53" s="323"/>
      <c r="CK53" s="323"/>
      <c r="CL53" s="323"/>
      <c r="CM53" s="323"/>
      <c r="CN53" s="323"/>
      <c r="CO53" s="323"/>
      <c r="CP53" s="323"/>
      <c r="CR53" s="65"/>
    </row>
    <row r="54" spans="1:96" ht="13.5" customHeight="1">
      <c r="A54" s="27"/>
      <c r="B54" s="27"/>
      <c r="I54" s="27"/>
      <c r="P54" s="27"/>
      <c r="W54" s="27"/>
      <c r="AC54" s="14"/>
      <c r="AJ54" s="14"/>
      <c r="AR54" s="27"/>
      <c r="AY54" s="27"/>
      <c r="BE54" s="14"/>
      <c r="BF54" s="27"/>
      <c r="BG54" s="8" t="s">
        <v>138</v>
      </c>
      <c r="BH54" s="8" t="s">
        <v>154</v>
      </c>
      <c r="BU54" s="14"/>
      <c r="BV54" s="27"/>
      <c r="BZ54" s="14"/>
      <c r="CA54" s="14"/>
      <c r="CC54" s="324"/>
      <c r="CD54" s="325"/>
      <c r="CE54" s="325"/>
      <c r="CF54" s="326"/>
      <c r="CG54" s="64"/>
      <c r="CH54" s="323"/>
      <c r="CI54" s="323"/>
      <c r="CJ54" s="323"/>
      <c r="CK54" s="323"/>
      <c r="CL54" s="323"/>
      <c r="CM54" s="323"/>
      <c r="CN54" s="323"/>
      <c r="CO54" s="323"/>
      <c r="CP54" s="323"/>
      <c r="CR54" s="65"/>
    </row>
    <row r="55" spans="1:96" ht="13.5" customHeight="1">
      <c r="A55" s="27"/>
      <c r="B55" s="27"/>
      <c r="I55" s="27"/>
      <c r="P55" s="27"/>
      <c r="W55" s="27"/>
      <c r="AC55" s="14"/>
      <c r="AJ55" s="14"/>
      <c r="AR55" s="27"/>
      <c r="AY55" s="27"/>
      <c r="BE55" s="14"/>
      <c r="BF55" s="27"/>
      <c r="BG55" s="8" t="s">
        <v>138</v>
      </c>
      <c r="BH55" s="8" t="s">
        <v>155</v>
      </c>
      <c r="BU55" s="14"/>
      <c r="BV55" s="27"/>
      <c r="BZ55" s="14"/>
      <c r="CA55" s="14"/>
      <c r="CC55" s="324"/>
      <c r="CD55" s="325"/>
      <c r="CE55" s="325"/>
      <c r="CF55" s="326"/>
      <c r="CG55" s="64"/>
      <c r="CH55" s="323"/>
      <c r="CI55" s="323"/>
      <c r="CJ55" s="323"/>
      <c r="CK55" s="323"/>
      <c r="CL55" s="323"/>
      <c r="CM55" s="323"/>
      <c r="CN55" s="323"/>
      <c r="CO55" s="323"/>
      <c r="CP55" s="323"/>
      <c r="CR55" s="65"/>
    </row>
    <row r="56" spans="1:96" ht="13.5" customHeight="1">
      <c r="A56" s="27"/>
      <c r="B56" s="27"/>
      <c r="I56" s="27"/>
      <c r="P56" s="27"/>
      <c r="W56" s="27"/>
      <c r="AC56" s="14"/>
      <c r="AJ56" s="14"/>
      <c r="AR56" s="27"/>
      <c r="AY56" s="27"/>
      <c r="BE56" s="14"/>
      <c r="BF56" s="27"/>
      <c r="BH56" s="8" t="s">
        <v>156</v>
      </c>
      <c r="BJ56" s="11"/>
      <c r="BU56" s="14"/>
      <c r="BV56" s="27"/>
      <c r="BZ56" s="14"/>
      <c r="CA56" s="14"/>
      <c r="CC56" s="324"/>
      <c r="CD56" s="325"/>
      <c r="CE56" s="325"/>
      <c r="CF56" s="326"/>
      <c r="CG56" s="64"/>
      <c r="CH56" s="323"/>
      <c r="CI56" s="323"/>
      <c r="CJ56" s="323"/>
      <c r="CK56" s="323"/>
      <c r="CL56" s="323"/>
      <c r="CM56" s="323"/>
      <c r="CN56" s="323"/>
      <c r="CO56" s="323"/>
      <c r="CP56" s="323"/>
      <c r="CR56" s="65"/>
    </row>
    <row r="57" spans="1:96" ht="13.5" customHeight="1">
      <c r="A57" s="27"/>
      <c r="B57" s="27"/>
      <c r="I57" s="27"/>
      <c r="P57" s="27"/>
      <c r="W57" s="27"/>
      <c r="AC57" s="14"/>
      <c r="AJ57" s="14"/>
      <c r="AR57" s="27"/>
      <c r="AY57" s="27"/>
      <c r="BE57" s="14"/>
      <c r="BF57" s="27"/>
      <c r="BG57" s="8" t="s">
        <v>138</v>
      </c>
      <c r="BH57" s="8" t="s">
        <v>157</v>
      </c>
      <c r="BI57" s="11"/>
      <c r="BU57" s="14"/>
      <c r="BV57" s="27"/>
      <c r="BZ57" s="14"/>
      <c r="CA57" s="14"/>
      <c r="CC57" s="324"/>
      <c r="CD57" s="325"/>
      <c r="CE57" s="325"/>
      <c r="CF57" s="326"/>
      <c r="CG57" s="64"/>
      <c r="CH57" s="323"/>
      <c r="CI57" s="323"/>
      <c r="CJ57" s="323"/>
      <c r="CK57" s="323"/>
      <c r="CL57" s="323"/>
      <c r="CM57" s="323"/>
      <c r="CN57" s="323"/>
      <c r="CO57" s="323"/>
      <c r="CP57" s="323"/>
      <c r="CR57" s="65"/>
    </row>
    <row r="58" spans="1:96" ht="13.5" customHeight="1">
      <c r="A58" s="27"/>
      <c r="B58" s="27"/>
      <c r="I58" s="27"/>
      <c r="P58" s="27"/>
      <c r="W58" s="27"/>
      <c r="AC58" s="14"/>
      <c r="AJ58" s="14"/>
      <c r="AR58" s="27"/>
      <c r="AY58" s="27"/>
      <c r="BE58" s="14"/>
      <c r="BF58" s="27"/>
      <c r="BH58" s="8" t="s">
        <v>158</v>
      </c>
      <c r="BU58" s="14"/>
      <c r="BV58" s="27"/>
      <c r="BZ58" s="14"/>
      <c r="CA58" s="14"/>
      <c r="CC58" s="324"/>
      <c r="CD58" s="325"/>
      <c r="CE58" s="325"/>
      <c r="CF58" s="326"/>
      <c r="CG58" s="64"/>
      <c r="CH58" s="323"/>
      <c r="CI58" s="323"/>
      <c r="CJ58" s="323"/>
      <c r="CK58" s="323"/>
      <c r="CL58" s="323"/>
      <c r="CM58" s="323"/>
      <c r="CN58" s="323"/>
      <c r="CO58" s="323"/>
      <c r="CP58" s="323"/>
      <c r="CR58" s="65"/>
    </row>
    <row r="59" spans="1:96" ht="13.5" customHeight="1">
      <c r="A59" s="27"/>
      <c r="B59" s="27"/>
      <c r="I59" s="27"/>
      <c r="P59" s="27"/>
      <c r="W59" s="27"/>
      <c r="AC59" s="14"/>
      <c r="AJ59" s="14"/>
      <c r="AR59" s="27"/>
      <c r="AY59" s="27"/>
      <c r="BE59" s="14"/>
      <c r="BF59" s="27"/>
      <c r="BG59" s="8" t="s">
        <v>138</v>
      </c>
      <c r="BH59" s="8" t="s">
        <v>159</v>
      </c>
      <c r="BU59" s="14"/>
      <c r="BV59" s="27"/>
      <c r="BZ59" s="14"/>
      <c r="CA59" s="14"/>
      <c r="CC59" s="324"/>
      <c r="CD59" s="325"/>
      <c r="CE59" s="325"/>
      <c r="CF59" s="326"/>
      <c r="CG59" s="64"/>
      <c r="CH59" s="323"/>
      <c r="CI59" s="323"/>
      <c r="CJ59" s="323"/>
      <c r="CK59" s="323"/>
      <c r="CL59" s="323"/>
      <c r="CM59" s="323"/>
      <c r="CN59" s="323"/>
      <c r="CO59" s="323"/>
      <c r="CP59" s="323"/>
      <c r="CR59" s="65"/>
    </row>
    <row r="60" spans="1:96" ht="13.5" customHeight="1">
      <c r="A60" s="27"/>
      <c r="B60" s="27"/>
      <c r="I60" s="27"/>
      <c r="P60" s="27"/>
      <c r="W60" s="27"/>
      <c r="AC60" s="14"/>
      <c r="AJ60" s="14"/>
      <c r="AR60" s="27"/>
      <c r="AY60" s="27"/>
      <c r="BE60" s="14"/>
      <c r="BF60" s="27"/>
      <c r="BU60" s="14"/>
      <c r="BV60" s="27"/>
      <c r="BZ60" s="14"/>
      <c r="CA60" s="14"/>
      <c r="CC60" s="324"/>
      <c r="CD60" s="325"/>
      <c r="CE60" s="325"/>
      <c r="CF60" s="326"/>
      <c r="CG60" s="64"/>
      <c r="CH60" s="323"/>
      <c r="CI60" s="323"/>
      <c r="CJ60" s="323"/>
      <c r="CK60" s="323"/>
      <c r="CL60" s="323"/>
      <c r="CM60" s="323"/>
      <c r="CN60" s="323"/>
      <c r="CO60" s="323"/>
      <c r="CP60" s="323"/>
      <c r="CR60" s="65"/>
    </row>
    <row r="61" spans="1:96" ht="13.5" customHeight="1">
      <c r="A61" s="27"/>
      <c r="B61" s="27"/>
      <c r="I61" s="27"/>
      <c r="P61" s="27"/>
      <c r="W61" s="27"/>
      <c r="AC61" s="14"/>
      <c r="AJ61" s="14"/>
      <c r="AR61" s="27"/>
      <c r="AY61" s="27"/>
      <c r="BE61" s="14"/>
      <c r="BF61" s="27"/>
      <c r="BU61" s="14"/>
      <c r="BV61" s="27"/>
      <c r="BZ61" s="14"/>
      <c r="CA61" s="14"/>
      <c r="CC61" s="324"/>
      <c r="CD61" s="325"/>
      <c r="CE61" s="325"/>
      <c r="CF61" s="326"/>
      <c r="CG61" s="64"/>
      <c r="CH61" s="323"/>
      <c r="CI61" s="323"/>
      <c r="CJ61" s="323"/>
      <c r="CK61" s="323"/>
      <c r="CL61" s="323"/>
      <c r="CM61" s="323"/>
      <c r="CN61" s="323"/>
      <c r="CO61" s="323"/>
      <c r="CP61" s="323"/>
      <c r="CR61" s="65"/>
    </row>
    <row r="62" spans="1:96" ht="13.5" customHeight="1">
      <c r="A62" s="27"/>
      <c r="B62" s="27"/>
      <c r="I62" s="27"/>
      <c r="P62" s="27"/>
      <c r="W62" s="27"/>
      <c r="AC62" s="14"/>
      <c r="AJ62" s="14"/>
      <c r="AR62" s="27"/>
      <c r="AY62" s="27"/>
      <c r="BE62" s="14"/>
      <c r="BF62" s="27"/>
      <c r="BU62" s="14"/>
      <c r="BV62" s="27"/>
      <c r="BZ62" s="14"/>
      <c r="CA62" s="14"/>
      <c r="CC62" s="324"/>
      <c r="CD62" s="325"/>
      <c r="CE62" s="325"/>
      <c r="CF62" s="326"/>
      <c r="CG62" s="64"/>
      <c r="CH62" s="323"/>
      <c r="CI62" s="323"/>
      <c r="CJ62" s="323"/>
      <c r="CK62" s="323"/>
      <c r="CL62" s="323"/>
      <c r="CM62" s="323"/>
      <c r="CN62" s="323"/>
      <c r="CO62" s="323"/>
      <c r="CP62" s="323"/>
      <c r="CR62" s="65"/>
    </row>
    <row r="63" spans="1:96" ht="13.5" customHeight="1">
      <c r="A63" s="27"/>
      <c r="B63" s="27"/>
      <c r="I63" s="27"/>
      <c r="P63" s="27"/>
      <c r="W63" s="27"/>
      <c r="AC63" s="14"/>
      <c r="AJ63" s="14"/>
      <c r="AR63" s="27"/>
      <c r="AY63" s="27"/>
      <c r="BE63" s="14"/>
      <c r="BF63" s="27"/>
      <c r="BU63" s="14"/>
      <c r="BV63" s="27" t="s">
        <v>160</v>
      </c>
      <c r="BZ63" s="14"/>
      <c r="CA63" s="14"/>
      <c r="CC63" s="324"/>
      <c r="CD63" s="325"/>
      <c r="CE63" s="325"/>
      <c r="CF63" s="326"/>
      <c r="CG63" s="64"/>
      <c r="CH63" s="323"/>
      <c r="CI63" s="323"/>
      <c r="CJ63" s="323"/>
      <c r="CK63" s="323"/>
      <c r="CL63" s="323"/>
      <c r="CM63" s="323"/>
      <c r="CN63" s="323"/>
      <c r="CO63" s="323"/>
      <c r="CP63" s="323"/>
      <c r="CR63" s="65"/>
    </row>
    <row r="64" spans="1:96" ht="13.5" customHeight="1">
      <c r="A64" s="27"/>
      <c r="B64" s="27"/>
      <c r="I64" s="27"/>
      <c r="P64" s="27"/>
      <c r="W64" s="27"/>
      <c r="AC64" s="14"/>
      <c r="AJ64" s="14"/>
      <c r="AR64" s="27"/>
      <c r="AY64" s="27"/>
      <c r="BE64" s="14"/>
      <c r="BF64" s="27"/>
      <c r="BU64" s="14"/>
      <c r="BV64" s="27"/>
      <c r="BZ64" s="14"/>
      <c r="CA64" s="14"/>
      <c r="CC64" s="324"/>
      <c r="CD64" s="325"/>
      <c r="CE64" s="325"/>
      <c r="CF64" s="326"/>
      <c r="CG64" s="64"/>
      <c r="CH64" s="323"/>
      <c r="CI64" s="323"/>
      <c r="CJ64" s="323"/>
      <c r="CK64" s="323"/>
      <c r="CL64" s="323"/>
      <c r="CM64" s="323"/>
      <c r="CN64" s="323"/>
      <c r="CO64" s="323"/>
      <c r="CP64" s="323"/>
      <c r="CR64" s="65"/>
    </row>
    <row r="65" spans="1:96" ht="13.5" customHeight="1">
      <c r="A65" s="27"/>
      <c r="B65" s="27"/>
      <c r="I65" s="27"/>
      <c r="P65" s="27"/>
      <c r="W65" s="27"/>
      <c r="AC65" s="14"/>
      <c r="AJ65" s="14"/>
      <c r="AR65" s="27"/>
      <c r="AY65" s="27"/>
      <c r="BE65" s="14"/>
      <c r="BF65" s="27"/>
      <c r="BG65" s="11" t="s">
        <v>161</v>
      </c>
      <c r="BU65" s="14"/>
      <c r="BV65" s="27"/>
      <c r="BZ65" s="14"/>
      <c r="CA65" s="14"/>
      <c r="CC65" s="324"/>
      <c r="CD65" s="325"/>
      <c r="CE65" s="325"/>
      <c r="CF65" s="326"/>
      <c r="CG65" s="64"/>
      <c r="CH65" s="323"/>
      <c r="CI65" s="323"/>
      <c r="CJ65" s="323"/>
      <c r="CK65" s="323"/>
      <c r="CL65" s="323"/>
      <c r="CM65" s="323"/>
      <c r="CN65" s="323"/>
      <c r="CO65" s="323"/>
      <c r="CP65" s="323"/>
      <c r="CR65" s="65"/>
    </row>
    <row r="66" spans="1:96" ht="13.5" customHeight="1">
      <c r="A66" s="27"/>
      <c r="B66" s="27"/>
      <c r="I66" s="27"/>
      <c r="P66" s="27"/>
      <c r="W66" s="27"/>
      <c r="AC66" s="14"/>
      <c r="AJ66" s="14"/>
      <c r="AR66" s="27"/>
      <c r="AY66" s="27"/>
      <c r="BE66" s="14"/>
      <c r="BF66" s="27"/>
      <c r="BG66" s="8" t="s">
        <v>138</v>
      </c>
      <c r="BH66" s="8" t="s">
        <v>162</v>
      </c>
      <c r="BU66" s="14"/>
      <c r="BV66" s="27"/>
      <c r="BZ66" s="14"/>
      <c r="CA66" s="14"/>
      <c r="CC66" s="324"/>
      <c r="CD66" s="325"/>
      <c r="CE66" s="325"/>
      <c r="CF66" s="326"/>
      <c r="CG66" s="64"/>
      <c r="CH66" s="323"/>
      <c r="CI66" s="323"/>
      <c r="CJ66" s="323"/>
      <c r="CK66" s="323"/>
      <c r="CL66" s="323"/>
      <c r="CM66" s="323"/>
      <c r="CN66" s="323"/>
      <c r="CO66" s="323"/>
      <c r="CP66" s="323"/>
      <c r="CR66" s="65"/>
    </row>
    <row r="67" spans="1:96" ht="13.5" customHeight="1">
      <c r="A67" s="27"/>
      <c r="B67" s="27"/>
      <c r="I67" s="27"/>
      <c r="P67" s="27"/>
      <c r="W67" s="27"/>
      <c r="AC67" s="14"/>
      <c r="AJ67" s="14"/>
      <c r="AR67" s="27"/>
      <c r="AY67" s="27"/>
      <c r="BE67" s="14"/>
      <c r="BF67" s="27"/>
      <c r="BH67" s="76" t="s">
        <v>163</v>
      </c>
      <c r="BU67" s="14"/>
      <c r="BV67" s="27"/>
      <c r="BZ67" s="14"/>
      <c r="CA67" s="14"/>
      <c r="CC67" s="324"/>
      <c r="CD67" s="325"/>
      <c r="CE67" s="325"/>
      <c r="CF67" s="326"/>
      <c r="CG67" s="64"/>
      <c r="CH67" s="323"/>
      <c r="CI67" s="323"/>
      <c r="CJ67" s="323"/>
      <c r="CK67" s="323"/>
      <c r="CL67" s="323"/>
      <c r="CM67" s="323"/>
      <c r="CN67" s="323"/>
      <c r="CO67" s="323"/>
      <c r="CP67" s="323"/>
      <c r="CR67" s="65"/>
    </row>
    <row r="68" spans="1:96" ht="13.5" customHeight="1">
      <c r="A68" s="27"/>
      <c r="B68" s="27"/>
      <c r="I68" s="27"/>
      <c r="P68" s="27"/>
      <c r="W68" s="27"/>
      <c r="AC68" s="14"/>
      <c r="AJ68" s="14"/>
      <c r="AR68" s="27"/>
      <c r="AY68" s="27"/>
      <c r="BE68" s="14"/>
      <c r="BF68" s="27"/>
      <c r="BG68" s="8" t="s">
        <v>138</v>
      </c>
      <c r="BH68" s="76" t="s">
        <v>164</v>
      </c>
      <c r="BI68" s="11"/>
      <c r="BU68" s="14"/>
      <c r="BV68" s="27"/>
      <c r="BZ68" s="14"/>
      <c r="CA68" s="14"/>
      <c r="CC68" s="324"/>
      <c r="CD68" s="325"/>
      <c r="CE68" s="325"/>
      <c r="CF68" s="326"/>
      <c r="CG68" s="64"/>
      <c r="CH68" s="323"/>
      <c r="CI68" s="323"/>
      <c r="CJ68" s="323"/>
      <c r="CK68" s="323"/>
      <c r="CL68" s="323"/>
      <c r="CM68" s="323"/>
      <c r="CN68" s="323"/>
      <c r="CO68" s="323"/>
      <c r="CP68" s="323"/>
      <c r="CR68" s="65"/>
    </row>
    <row r="69" spans="1:96">
      <c r="A69" s="27"/>
      <c r="B69" s="27"/>
      <c r="I69" s="27"/>
      <c r="P69" s="27"/>
      <c r="W69" s="27"/>
      <c r="AC69" s="14"/>
      <c r="AJ69" s="14"/>
      <c r="AR69" s="27"/>
      <c r="AY69" s="27"/>
      <c r="BE69" s="14"/>
      <c r="BF69" s="27"/>
      <c r="BH69" s="8" t="s">
        <v>165</v>
      </c>
      <c r="BU69" s="14"/>
      <c r="BV69" s="27"/>
      <c r="BZ69" s="14"/>
      <c r="CA69" s="14"/>
      <c r="CC69" s="324"/>
      <c r="CD69" s="325"/>
      <c r="CE69" s="325"/>
      <c r="CF69" s="326"/>
      <c r="CG69" s="64"/>
      <c r="CH69" s="323"/>
      <c r="CI69" s="323"/>
      <c r="CJ69" s="323"/>
      <c r="CK69" s="323"/>
      <c r="CL69" s="323"/>
      <c r="CM69" s="323"/>
      <c r="CN69" s="323"/>
      <c r="CO69" s="323"/>
      <c r="CP69" s="323"/>
      <c r="CR69" s="65"/>
    </row>
    <row r="70" spans="1:96" ht="13.5" customHeight="1">
      <c r="A70" s="27"/>
      <c r="B70" s="27"/>
      <c r="I70" s="27"/>
      <c r="P70" s="27"/>
      <c r="W70" s="27"/>
      <c r="AC70" s="14"/>
      <c r="AJ70" s="14"/>
      <c r="AR70" s="27"/>
      <c r="AY70" s="27"/>
      <c r="BE70" s="14"/>
      <c r="BF70" s="27"/>
      <c r="BU70" s="14"/>
      <c r="BV70" s="27"/>
      <c r="BZ70" s="14"/>
      <c r="CA70" s="14"/>
      <c r="CC70" s="324"/>
      <c r="CD70" s="325"/>
      <c r="CE70" s="325"/>
      <c r="CF70" s="326"/>
      <c r="CG70" s="64"/>
      <c r="CH70" s="323"/>
      <c r="CI70" s="323"/>
      <c r="CJ70" s="323"/>
      <c r="CK70" s="323"/>
      <c r="CL70" s="323"/>
      <c r="CM70" s="323"/>
      <c r="CN70" s="323"/>
      <c r="CO70" s="323"/>
      <c r="CP70" s="323"/>
      <c r="CR70" s="65"/>
    </row>
    <row r="71" spans="1:96" ht="13.5" customHeight="1">
      <c r="A71" s="27"/>
      <c r="B71" s="27"/>
      <c r="I71" s="27"/>
      <c r="P71" s="27"/>
      <c r="W71" s="27"/>
      <c r="AC71" s="14"/>
      <c r="AJ71" s="14"/>
      <c r="AR71" s="27"/>
      <c r="AY71" s="27"/>
      <c r="BE71" s="14"/>
      <c r="BF71" s="27"/>
      <c r="BU71" s="14"/>
      <c r="BV71" s="27"/>
      <c r="BZ71" s="14"/>
      <c r="CA71" s="14"/>
      <c r="CC71" s="324"/>
      <c r="CD71" s="325"/>
      <c r="CE71" s="325"/>
      <c r="CF71" s="326"/>
      <c r="CG71" s="64"/>
      <c r="CH71" s="323"/>
      <c r="CI71" s="323"/>
      <c r="CJ71" s="323"/>
      <c r="CK71" s="323"/>
      <c r="CL71" s="323"/>
      <c r="CM71" s="323"/>
      <c r="CN71" s="323"/>
      <c r="CO71" s="323"/>
      <c r="CP71" s="323"/>
      <c r="CR71" s="65"/>
    </row>
    <row r="72" spans="1:96" ht="13.5" customHeight="1">
      <c r="A72" s="27"/>
      <c r="B72" s="27"/>
      <c r="I72" s="27"/>
      <c r="P72" s="27"/>
      <c r="W72" s="27"/>
      <c r="AC72" s="14"/>
      <c r="AJ72" s="14"/>
      <c r="AR72" s="27"/>
      <c r="AY72" s="27"/>
      <c r="BE72" s="14"/>
      <c r="BF72" s="27"/>
      <c r="BU72" s="14"/>
      <c r="BV72" s="27"/>
      <c r="BZ72" s="14"/>
      <c r="CA72" s="14"/>
      <c r="CC72" s="324"/>
      <c r="CD72" s="325"/>
      <c r="CE72" s="325"/>
      <c r="CF72" s="326"/>
      <c r="CG72" s="64"/>
      <c r="CH72" s="323"/>
      <c r="CI72" s="323"/>
      <c r="CJ72" s="323"/>
      <c r="CK72" s="323"/>
      <c r="CL72" s="323"/>
      <c r="CM72" s="323"/>
      <c r="CN72" s="323"/>
      <c r="CO72" s="323"/>
      <c r="CP72" s="323"/>
      <c r="CR72" s="65"/>
    </row>
    <row r="73" spans="1:96" ht="13.5" customHeight="1">
      <c r="A73" s="27"/>
      <c r="B73" s="27"/>
      <c r="I73" s="27"/>
      <c r="P73" s="27"/>
      <c r="W73" s="27"/>
      <c r="AC73" s="14"/>
      <c r="AJ73" s="14"/>
      <c r="AR73" s="27"/>
      <c r="AY73" s="27"/>
      <c r="BE73" s="14"/>
      <c r="BF73" s="27"/>
      <c r="BU73" s="14"/>
      <c r="BV73" s="27"/>
      <c r="BZ73" s="14"/>
      <c r="CA73" s="14"/>
      <c r="CC73" s="324"/>
      <c r="CD73" s="325"/>
      <c r="CE73" s="325"/>
      <c r="CF73" s="326"/>
      <c r="CG73" s="64"/>
      <c r="CH73" s="323"/>
      <c r="CI73" s="323"/>
      <c r="CJ73" s="323"/>
      <c r="CK73" s="323"/>
      <c r="CL73" s="323"/>
      <c r="CM73" s="323"/>
      <c r="CN73" s="323"/>
      <c r="CO73" s="323"/>
      <c r="CP73" s="323"/>
      <c r="CR73" s="65"/>
    </row>
    <row r="74" spans="1:96" ht="13.5" customHeight="1">
      <c r="A74" s="27"/>
      <c r="B74" s="27"/>
      <c r="I74" s="27"/>
      <c r="P74" s="27"/>
      <c r="W74" s="27"/>
      <c r="AC74" s="14"/>
      <c r="AJ74" s="14"/>
      <c r="AR74" s="27"/>
      <c r="AY74" s="27"/>
      <c r="BE74" s="14"/>
      <c r="BF74" s="27"/>
      <c r="BU74" s="14"/>
      <c r="BV74" s="27"/>
      <c r="BZ74" s="14"/>
      <c r="CA74" s="14"/>
      <c r="CC74" s="324"/>
      <c r="CD74" s="325"/>
      <c r="CE74" s="325"/>
      <c r="CF74" s="326"/>
      <c r="CG74" s="64"/>
      <c r="CH74" s="323"/>
      <c r="CI74" s="323"/>
      <c r="CJ74" s="323"/>
      <c r="CK74" s="323"/>
      <c r="CL74" s="323"/>
      <c r="CM74" s="323"/>
      <c r="CN74" s="323"/>
      <c r="CO74" s="323"/>
      <c r="CP74" s="323"/>
      <c r="CR74" s="65"/>
    </row>
    <row r="75" spans="1:96" ht="13.5" customHeight="1">
      <c r="A75" s="27"/>
      <c r="B75" s="27"/>
      <c r="I75" s="27"/>
      <c r="P75" s="27"/>
      <c r="W75" s="27"/>
      <c r="AC75" s="14"/>
      <c r="AJ75" s="14"/>
      <c r="AR75" s="27"/>
      <c r="AY75" s="27"/>
      <c r="BE75" s="14"/>
      <c r="BF75" s="27"/>
      <c r="BU75" s="14"/>
      <c r="BV75" s="27"/>
      <c r="BZ75" s="14"/>
      <c r="CA75" s="14"/>
      <c r="CC75" s="324"/>
      <c r="CD75" s="325"/>
      <c r="CE75" s="325"/>
      <c r="CF75" s="326"/>
      <c r="CG75" s="64"/>
      <c r="CH75" s="323"/>
      <c r="CI75" s="323"/>
      <c r="CJ75" s="323"/>
      <c r="CK75" s="323"/>
      <c r="CL75" s="323"/>
      <c r="CM75" s="323"/>
      <c r="CN75" s="323"/>
      <c r="CO75" s="323"/>
      <c r="CP75" s="323"/>
      <c r="CR75" s="65"/>
    </row>
    <row r="76" spans="1:96" ht="13.5" customHeight="1">
      <c r="A76" s="27"/>
      <c r="B76" s="27"/>
      <c r="I76" s="27"/>
      <c r="P76" s="27"/>
      <c r="W76" s="27"/>
      <c r="AC76" s="14"/>
      <c r="AJ76" s="14"/>
      <c r="AR76" s="27"/>
      <c r="AY76" s="27"/>
      <c r="BE76" s="14"/>
      <c r="BF76" s="27"/>
      <c r="BU76" s="14"/>
      <c r="BV76" s="27"/>
      <c r="BZ76" s="14"/>
      <c r="CA76" s="14"/>
      <c r="CC76" s="324"/>
      <c r="CD76" s="325"/>
      <c r="CE76" s="325"/>
      <c r="CF76" s="326"/>
      <c r="CG76" s="64"/>
      <c r="CH76" s="323"/>
      <c r="CI76" s="323"/>
      <c r="CJ76" s="323"/>
      <c r="CK76" s="323"/>
      <c r="CL76" s="323"/>
      <c r="CM76" s="323"/>
      <c r="CN76" s="323"/>
      <c r="CO76" s="323"/>
      <c r="CP76" s="323"/>
      <c r="CR76" s="65"/>
    </row>
    <row r="77" spans="1:96" ht="13.5" customHeight="1">
      <c r="A77" s="27"/>
      <c r="B77" s="27"/>
      <c r="I77" s="27"/>
      <c r="P77" s="27"/>
      <c r="W77" s="27"/>
      <c r="AC77" s="14"/>
      <c r="AJ77" s="14"/>
      <c r="AR77" s="27"/>
      <c r="AY77" s="27"/>
      <c r="BE77" s="14"/>
      <c r="BF77" s="27"/>
      <c r="BU77" s="14"/>
      <c r="BV77" s="27"/>
      <c r="BZ77" s="14"/>
      <c r="CA77" s="14"/>
      <c r="CC77" s="324"/>
      <c r="CD77" s="325"/>
      <c r="CE77" s="325"/>
      <c r="CF77" s="326"/>
      <c r="CG77" s="64"/>
      <c r="CH77" s="323"/>
      <c r="CI77" s="323"/>
      <c r="CJ77" s="323"/>
      <c r="CK77" s="323"/>
      <c r="CL77" s="323"/>
      <c r="CM77" s="323"/>
      <c r="CN77" s="323"/>
      <c r="CO77" s="323"/>
      <c r="CP77" s="323"/>
      <c r="CR77" s="65"/>
    </row>
    <row r="78" spans="1:96" ht="13.5" customHeight="1">
      <c r="A78" s="27"/>
      <c r="B78" s="27"/>
      <c r="I78" s="27"/>
      <c r="P78" s="27"/>
      <c r="W78" s="27"/>
      <c r="AC78" s="14"/>
      <c r="AJ78" s="14"/>
      <c r="AR78" s="27"/>
      <c r="AY78" s="27"/>
      <c r="BE78" s="14"/>
      <c r="BF78" s="27"/>
      <c r="BG78" s="16" t="s">
        <v>166</v>
      </c>
      <c r="BU78" s="14"/>
      <c r="BV78" s="27"/>
      <c r="BZ78" s="14"/>
      <c r="CA78" s="14"/>
      <c r="CC78" s="324"/>
      <c r="CD78" s="325"/>
      <c r="CE78" s="325"/>
      <c r="CF78" s="326"/>
      <c r="CG78" s="64"/>
      <c r="CH78" s="323"/>
      <c r="CI78" s="323"/>
      <c r="CJ78" s="323"/>
      <c r="CK78" s="323"/>
      <c r="CL78" s="323"/>
      <c r="CM78" s="323"/>
      <c r="CN78" s="323"/>
      <c r="CO78" s="323"/>
      <c r="CP78" s="323"/>
      <c r="CR78" s="65"/>
    </row>
    <row r="79" spans="1:96" ht="13.5" customHeight="1">
      <c r="A79" s="27"/>
      <c r="B79" s="27"/>
      <c r="I79" s="27"/>
      <c r="P79" s="27"/>
      <c r="W79" s="27"/>
      <c r="AC79" s="14"/>
      <c r="AJ79" s="14"/>
      <c r="AR79" s="27"/>
      <c r="AY79" s="27"/>
      <c r="BE79" s="14"/>
      <c r="BF79" s="27"/>
      <c r="BG79" s="16"/>
      <c r="BH79" s="8" t="s">
        <v>167</v>
      </c>
      <c r="BU79" s="14"/>
      <c r="BV79" s="27"/>
      <c r="BZ79" s="14"/>
      <c r="CA79" s="14"/>
      <c r="CC79" s="324"/>
      <c r="CD79" s="325"/>
      <c r="CE79" s="325"/>
      <c r="CF79" s="326"/>
      <c r="CG79" s="64"/>
      <c r="CH79" s="323"/>
      <c r="CI79" s="323"/>
      <c r="CJ79" s="323"/>
      <c r="CK79" s="323"/>
      <c r="CL79" s="323"/>
      <c r="CM79" s="323"/>
      <c r="CN79" s="323"/>
      <c r="CO79" s="323"/>
      <c r="CP79" s="323"/>
      <c r="CR79" s="65"/>
    </row>
    <row r="80" spans="1:96" ht="13.5" customHeight="1">
      <c r="A80" s="27"/>
      <c r="B80" s="27"/>
      <c r="I80" s="27"/>
      <c r="P80" s="27"/>
      <c r="W80" s="27"/>
      <c r="AC80" s="14"/>
      <c r="AJ80" s="14"/>
      <c r="AR80" s="27"/>
      <c r="AY80" s="27"/>
      <c r="BE80" s="14"/>
      <c r="BF80" s="27"/>
      <c r="BH80" s="8" t="s">
        <v>168</v>
      </c>
      <c r="BU80" s="14"/>
      <c r="BV80" s="27"/>
      <c r="BZ80" s="14"/>
      <c r="CA80" s="14"/>
      <c r="CC80" s="324"/>
      <c r="CD80" s="325"/>
      <c r="CE80" s="325"/>
      <c r="CF80" s="326"/>
      <c r="CG80" s="64"/>
      <c r="CH80" s="323"/>
      <c r="CI80" s="323"/>
      <c r="CJ80" s="323"/>
      <c r="CK80" s="323"/>
      <c r="CL80" s="323"/>
      <c r="CM80" s="323"/>
      <c r="CN80" s="323"/>
      <c r="CO80" s="323"/>
      <c r="CP80" s="323"/>
      <c r="CR80" s="65"/>
    </row>
    <row r="81" spans="1:96" ht="13.5" customHeight="1">
      <c r="A81" s="27"/>
      <c r="B81" s="27"/>
      <c r="I81" s="27"/>
      <c r="P81" s="27"/>
      <c r="W81" s="27"/>
      <c r="AC81" s="14"/>
      <c r="AJ81" s="14"/>
      <c r="AR81" s="27"/>
      <c r="AY81" s="27"/>
      <c r="BE81" s="14"/>
      <c r="BF81" s="27"/>
      <c r="BH81" s="8" t="s">
        <v>169</v>
      </c>
      <c r="BU81" s="14"/>
      <c r="BV81" s="27"/>
      <c r="BZ81" s="14"/>
      <c r="CA81" s="14"/>
      <c r="CC81" s="324"/>
      <c r="CD81" s="325"/>
      <c r="CE81" s="325"/>
      <c r="CF81" s="326"/>
      <c r="CG81" s="64"/>
      <c r="CH81" s="323"/>
      <c r="CI81" s="323"/>
      <c r="CJ81" s="323"/>
      <c r="CK81" s="323"/>
      <c r="CL81" s="323"/>
      <c r="CM81" s="323"/>
      <c r="CN81" s="323"/>
      <c r="CO81" s="323"/>
      <c r="CP81" s="323"/>
      <c r="CR81" s="65"/>
    </row>
    <row r="82" spans="1:96" ht="13.5" customHeight="1">
      <c r="A82" s="27"/>
      <c r="B82" s="27"/>
      <c r="I82" s="27"/>
      <c r="P82" s="27"/>
      <c r="W82" s="27"/>
      <c r="AC82" s="14"/>
      <c r="AJ82" s="14"/>
      <c r="AR82" s="27"/>
      <c r="AY82" s="27"/>
      <c r="BE82" s="14"/>
      <c r="BF82" s="27"/>
      <c r="BU82" s="14"/>
      <c r="BV82" s="27"/>
      <c r="BZ82" s="14"/>
      <c r="CA82" s="14"/>
      <c r="CC82" s="324"/>
      <c r="CD82" s="325"/>
      <c r="CE82" s="325"/>
      <c r="CF82" s="326"/>
      <c r="CG82" s="64"/>
      <c r="CH82" s="323"/>
      <c r="CI82" s="323"/>
      <c r="CJ82" s="323"/>
      <c r="CK82" s="323"/>
      <c r="CL82" s="323"/>
      <c r="CM82" s="323"/>
      <c r="CN82" s="323"/>
      <c r="CO82" s="323"/>
      <c r="CP82" s="323"/>
      <c r="CR82" s="65"/>
    </row>
    <row r="83" spans="1:96" ht="13.5" customHeight="1">
      <c r="A83" s="27"/>
      <c r="B83" s="27"/>
      <c r="I83" s="27"/>
      <c r="P83" s="27"/>
      <c r="W83" s="27"/>
      <c r="AC83" s="14"/>
      <c r="AJ83" s="14"/>
      <c r="AR83" s="27"/>
      <c r="AY83" s="27"/>
      <c r="BE83" s="14"/>
      <c r="BF83" s="27"/>
      <c r="BG83" s="16" t="s">
        <v>170</v>
      </c>
      <c r="BU83" s="14"/>
      <c r="BV83" s="27"/>
      <c r="BZ83" s="14"/>
      <c r="CA83" s="14"/>
      <c r="CC83" s="324"/>
      <c r="CD83" s="325"/>
      <c r="CE83" s="325"/>
      <c r="CF83" s="326"/>
      <c r="CG83" s="64"/>
      <c r="CH83" s="323"/>
      <c r="CI83" s="323"/>
      <c r="CJ83" s="323"/>
      <c r="CK83" s="323"/>
      <c r="CL83" s="323"/>
      <c r="CM83" s="323"/>
      <c r="CN83" s="323"/>
      <c r="CO83" s="323"/>
      <c r="CP83" s="323"/>
      <c r="CR83" s="65"/>
    </row>
    <row r="84" spans="1:96" ht="13.5" customHeight="1">
      <c r="A84" s="27"/>
      <c r="B84" s="27"/>
      <c r="I84" s="27"/>
      <c r="P84" s="27"/>
      <c r="W84" s="27"/>
      <c r="AC84" s="14"/>
      <c r="AJ84" s="14"/>
      <c r="AR84" s="27"/>
      <c r="AY84" s="27"/>
      <c r="BE84" s="14"/>
      <c r="BF84" s="27"/>
      <c r="BG84" s="16"/>
      <c r="BH84" s="8" t="s">
        <v>167</v>
      </c>
      <c r="BU84" s="14"/>
      <c r="BV84" s="27"/>
      <c r="BZ84" s="14"/>
      <c r="CA84" s="14"/>
      <c r="CC84" s="324"/>
      <c r="CD84" s="325"/>
      <c r="CE84" s="325"/>
      <c r="CF84" s="326"/>
      <c r="CG84" s="64"/>
      <c r="CH84" s="323"/>
      <c r="CI84" s="323"/>
      <c r="CJ84" s="323"/>
      <c r="CK84" s="323"/>
      <c r="CL84" s="323"/>
      <c r="CM84" s="323"/>
      <c r="CN84" s="323"/>
      <c r="CO84" s="323"/>
      <c r="CP84" s="323"/>
      <c r="CR84" s="65"/>
    </row>
    <row r="85" spans="1:96" ht="13.5" customHeight="1">
      <c r="A85" s="27"/>
      <c r="B85" s="27"/>
      <c r="I85" s="27"/>
      <c r="P85" s="27"/>
      <c r="W85" s="27"/>
      <c r="AC85" s="14"/>
      <c r="AJ85" s="14"/>
      <c r="AR85" s="27"/>
      <c r="AY85" s="27"/>
      <c r="BE85" s="14"/>
      <c r="BF85" s="27"/>
      <c r="BH85" s="8" t="s">
        <v>171</v>
      </c>
      <c r="BU85" s="14"/>
      <c r="BV85" s="27"/>
      <c r="BZ85" s="14"/>
      <c r="CA85" s="14"/>
      <c r="CC85" s="324"/>
      <c r="CD85" s="325"/>
      <c r="CE85" s="325"/>
      <c r="CF85" s="326"/>
      <c r="CG85" s="64"/>
      <c r="CH85" s="323"/>
      <c r="CI85" s="323"/>
      <c r="CJ85" s="323"/>
      <c r="CK85" s="323"/>
      <c r="CL85" s="323"/>
      <c r="CM85" s="323"/>
      <c r="CN85" s="323"/>
      <c r="CO85" s="323"/>
      <c r="CP85" s="323"/>
      <c r="CR85" s="65"/>
    </row>
    <row r="86" spans="1:96" ht="13.5" customHeight="1">
      <c r="A86" s="27"/>
      <c r="B86" s="27"/>
      <c r="I86" s="27"/>
      <c r="P86" s="27"/>
      <c r="W86" s="27"/>
      <c r="AC86" s="14"/>
      <c r="AJ86" s="14"/>
      <c r="AR86" s="27"/>
      <c r="AY86" s="27"/>
      <c r="BE86" s="14"/>
      <c r="BF86" s="27"/>
      <c r="BU86" s="14"/>
      <c r="BV86" s="27"/>
      <c r="BZ86" s="14"/>
      <c r="CA86" s="14"/>
      <c r="CC86" s="324"/>
      <c r="CD86" s="325"/>
      <c r="CE86" s="325"/>
      <c r="CF86" s="326"/>
      <c r="CG86" s="64"/>
      <c r="CH86" s="323"/>
      <c r="CI86" s="323"/>
      <c r="CJ86" s="323"/>
      <c r="CK86" s="323"/>
      <c r="CL86" s="323"/>
      <c r="CM86" s="323"/>
      <c r="CN86" s="323"/>
      <c r="CO86" s="323"/>
      <c r="CP86" s="323"/>
      <c r="CR86" s="65"/>
    </row>
    <row r="87" spans="1:96" ht="13.5" customHeight="1">
      <c r="A87" s="27"/>
      <c r="B87" s="27"/>
      <c r="I87" s="27"/>
      <c r="P87" s="27"/>
      <c r="W87" s="27"/>
      <c r="AC87" s="14"/>
      <c r="AJ87" s="14"/>
      <c r="AR87" s="27"/>
      <c r="AY87" s="27"/>
      <c r="BE87" s="14"/>
      <c r="BF87" s="27"/>
      <c r="BU87" s="14"/>
      <c r="BV87" s="27"/>
      <c r="BZ87" s="14"/>
      <c r="CA87" s="14"/>
      <c r="CC87" s="324"/>
      <c r="CD87" s="325"/>
      <c r="CE87" s="325"/>
      <c r="CF87" s="326"/>
      <c r="CG87" s="64"/>
      <c r="CH87" s="323"/>
      <c r="CI87" s="323"/>
      <c r="CJ87" s="323"/>
      <c r="CK87" s="323"/>
      <c r="CL87" s="323"/>
      <c r="CM87" s="323"/>
      <c r="CN87" s="323"/>
      <c r="CO87" s="323"/>
      <c r="CP87" s="323"/>
      <c r="CR87" s="65"/>
    </row>
    <row r="88" spans="1:96" ht="13.5" customHeight="1">
      <c r="A88" s="27"/>
      <c r="B88" s="27"/>
      <c r="I88" s="27"/>
      <c r="P88" s="27"/>
      <c r="W88" s="27"/>
      <c r="AC88" s="14"/>
      <c r="AJ88" s="14"/>
      <c r="AR88" s="27"/>
      <c r="AY88" s="27"/>
      <c r="BE88" s="14"/>
      <c r="BF88" s="27"/>
      <c r="BU88" s="14"/>
      <c r="BV88" s="27"/>
      <c r="BZ88" s="14"/>
      <c r="CA88" s="14"/>
      <c r="CC88" s="324"/>
      <c r="CD88" s="325"/>
      <c r="CE88" s="325"/>
      <c r="CF88" s="326"/>
      <c r="CG88" s="64"/>
      <c r="CH88" s="323"/>
      <c r="CI88" s="323"/>
      <c r="CJ88" s="323"/>
      <c r="CK88" s="323"/>
      <c r="CL88" s="323"/>
      <c r="CM88" s="323"/>
      <c r="CN88" s="323"/>
      <c r="CO88" s="323"/>
      <c r="CP88" s="323"/>
      <c r="CR88" s="65"/>
    </row>
    <row r="89" spans="1:96" ht="13.5" customHeight="1">
      <c r="A89" s="27"/>
      <c r="B89" s="27"/>
      <c r="I89" s="27"/>
      <c r="P89" s="27"/>
      <c r="W89" s="27"/>
      <c r="AC89" s="14"/>
      <c r="AJ89" s="14"/>
      <c r="AR89" s="27"/>
      <c r="AY89" s="27"/>
      <c r="BE89" s="14"/>
      <c r="BF89" s="27"/>
      <c r="BU89" s="14"/>
      <c r="BV89" s="27"/>
      <c r="BZ89" s="14"/>
      <c r="CA89" s="14"/>
      <c r="CC89" s="324"/>
      <c r="CD89" s="325"/>
      <c r="CE89" s="325"/>
      <c r="CF89" s="326"/>
      <c r="CG89" s="64"/>
      <c r="CH89" s="323"/>
      <c r="CI89" s="323"/>
      <c r="CJ89" s="323"/>
      <c r="CK89" s="323"/>
      <c r="CL89" s="323"/>
      <c r="CM89" s="323"/>
      <c r="CN89" s="323"/>
      <c r="CO89" s="323"/>
      <c r="CP89" s="323"/>
      <c r="CR89" s="65"/>
    </row>
    <row r="90" spans="1:96" ht="13.5" customHeight="1">
      <c r="A90" s="27"/>
      <c r="B90" s="27"/>
      <c r="I90" s="27"/>
      <c r="P90" s="27"/>
      <c r="W90" s="27"/>
      <c r="AC90" s="14"/>
      <c r="AJ90" s="14"/>
      <c r="AR90" s="27"/>
      <c r="AY90" s="27"/>
      <c r="BE90" s="14"/>
      <c r="BF90" s="27"/>
      <c r="BU90" s="14"/>
      <c r="BV90" s="27"/>
      <c r="BZ90" s="14"/>
      <c r="CA90" s="14"/>
      <c r="CC90" s="324"/>
      <c r="CD90" s="325"/>
      <c r="CE90" s="325"/>
      <c r="CF90" s="326"/>
      <c r="CG90" s="64"/>
      <c r="CH90" s="323"/>
      <c r="CI90" s="323"/>
      <c r="CJ90" s="323"/>
      <c r="CK90" s="323"/>
      <c r="CL90" s="323"/>
      <c r="CM90" s="323"/>
      <c r="CN90" s="323"/>
      <c r="CO90" s="323"/>
      <c r="CP90" s="323"/>
      <c r="CR90" s="65"/>
    </row>
    <row r="91" spans="1:96" ht="13.5" customHeight="1">
      <c r="A91" s="27"/>
      <c r="B91" s="27"/>
      <c r="I91" s="27"/>
      <c r="P91" s="27"/>
      <c r="W91" s="27"/>
      <c r="AC91" s="14"/>
      <c r="AJ91" s="14"/>
      <c r="AR91" s="27"/>
      <c r="AY91" s="27"/>
      <c r="BE91" s="14"/>
      <c r="BF91" s="27"/>
      <c r="BU91" s="14"/>
      <c r="BV91" s="27"/>
      <c r="BZ91" s="14"/>
      <c r="CA91" s="14"/>
      <c r="CC91" s="324"/>
      <c r="CD91" s="325"/>
      <c r="CE91" s="325"/>
      <c r="CF91" s="326"/>
      <c r="CG91" s="64"/>
      <c r="CH91" s="323"/>
      <c r="CI91" s="323"/>
      <c r="CJ91" s="323"/>
      <c r="CK91" s="323"/>
      <c r="CL91" s="323"/>
      <c r="CM91" s="323"/>
      <c r="CN91" s="323"/>
      <c r="CO91" s="323"/>
      <c r="CP91" s="323"/>
      <c r="CR91" s="65"/>
    </row>
    <row r="92" spans="1:96" ht="13.5" customHeight="1">
      <c r="A92" s="27"/>
      <c r="B92" s="27"/>
      <c r="I92" s="27"/>
      <c r="P92" s="27"/>
      <c r="W92" s="27"/>
      <c r="AC92" s="14"/>
      <c r="AJ92" s="14"/>
      <c r="AR92" s="27"/>
      <c r="AY92" s="27"/>
      <c r="BE92" s="14"/>
      <c r="BF92" s="27"/>
      <c r="BU92" s="14"/>
      <c r="BV92" s="27"/>
      <c r="BZ92" s="14"/>
      <c r="CA92" s="14"/>
      <c r="CC92" s="324"/>
      <c r="CD92" s="325"/>
      <c r="CE92" s="325"/>
      <c r="CF92" s="326"/>
      <c r="CG92" s="64"/>
      <c r="CH92" s="323"/>
      <c r="CI92" s="323"/>
      <c r="CJ92" s="323"/>
      <c r="CK92" s="323"/>
      <c r="CL92" s="323"/>
      <c r="CM92" s="323"/>
      <c r="CN92" s="323"/>
      <c r="CO92" s="323"/>
      <c r="CP92" s="323"/>
      <c r="CR92" s="65"/>
    </row>
    <row r="93" spans="1:96" ht="13.5" customHeight="1">
      <c r="A93" s="27"/>
      <c r="B93" s="27"/>
      <c r="I93" s="27"/>
      <c r="P93" s="27"/>
      <c r="W93" s="27"/>
      <c r="AC93" s="14"/>
      <c r="AJ93" s="14"/>
      <c r="AR93" s="27"/>
      <c r="AY93" s="27"/>
      <c r="BE93" s="14"/>
      <c r="BF93" s="27"/>
      <c r="BU93" s="14"/>
      <c r="BV93" s="27"/>
      <c r="BZ93" s="14"/>
      <c r="CA93" s="14"/>
      <c r="CC93" s="324"/>
      <c r="CD93" s="325"/>
      <c r="CE93" s="325"/>
      <c r="CF93" s="326"/>
      <c r="CG93" s="64"/>
      <c r="CH93" s="323"/>
      <c r="CI93" s="323"/>
      <c r="CJ93" s="323"/>
      <c r="CK93" s="323"/>
      <c r="CL93" s="323"/>
      <c r="CM93" s="323"/>
      <c r="CN93" s="323"/>
      <c r="CO93" s="323"/>
      <c r="CP93" s="323"/>
      <c r="CR93" s="65"/>
    </row>
    <row r="94" spans="1:96" ht="13.5" customHeight="1">
      <c r="A94" s="27"/>
      <c r="B94" s="27"/>
      <c r="I94" s="27"/>
      <c r="P94" s="27"/>
      <c r="W94" s="27"/>
      <c r="AC94" s="14"/>
      <c r="AJ94" s="14"/>
      <c r="AR94" s="27"/>
      <c r="AY94" s="27"/>
      <c r="BE94" s="14"/>
      <c r="BF94" s="27"/>
      <c r="BU94" s="14"/>
      <c r="BV94" s="27"/>
      <c r="BZ94" s="14"/>
      <c r="CA94" s="14"/>
      <c r="CC94" s="324"/>
      <c r="CD94" s="325"/>
      <c r="CE94" s="325"/>
      <c r="CF94" s="326"/>
      <c r="CG94" s="64"/>
      <c r="CH94" s="323"/>
      <c r="CI94" s="323"/>
      <c r="CJ94" s="323"/>
      <c r="CK94" s="323"/>
      <c r="CL94" s="323"/>
      <c r="CM94" s="323"/>
      <c r="CN94" s="323"/>
      <c r="CO94" s="323"/>
      <c r="CP94" s="323"/>
      <c r="CR94" s="65"/>
    </row>
    <row r="95" spans="1:96" ht="13.5" customHeight="1">
      <c r="A95" s="27"/>
      <c r="B95" s="27"/>
      <c r="I95" s="27"/>
      <c r="P95" s="27"/>
      <c r="W95" s="27"/>
      <c r="AC95" s="14"/>
      <c r="AJ95" s="14"/>
      <c r="AR95" s="27"/>
      <c r="AY95" s="27"/>
      <c r="BE95" s="14"/>
      <c r="BF95" s="27"/>
      <c r="BU95" s="14"/>
      <c r="BV95" s="27"/>
      <c r="BZ95" s="14"/>
      <c r="CA95" s="14"/>
      <c r="CC95" s="324"/>
      <c r="CD95" s="325"/>
      <c r="CE95" s="325"/>
      <c r="CF95" s="326"/>
      <c r="CG95" s="64"/>
      <c r="CH95" s="323"/>
      <c r="CI95" s="323"/>
      <c r="CJ95" s="323"/>
      <c r="CK95" s="323"/>
      <c r="CL95" s="323"/>
      <c r="CM95" s="323"/>
      <c r="CN95" s="323"/>
      <c r="CO95" s="323"/>
      <c r="CP95" s="323"/>
      <c r="CR95" s="65"/>
    </row>
    <row r="96" spans="1:96" ht="13.5" customHeight="1">
      <c r="A96" s="27"/>
      <c r="B96" s="27"/>
      <c r="I96" s="27"/>
      <c r="P96" s="27"/>
      <c r="W96" s="27"/>
      <c r="AC96" s="14"/>
      <c r="AJ96" s="14"/>
      <c r="AR96" s="27"/>
      <c r="AY96" s="27"/>
      <c r="BE96" s="14"/>
      <c r="BF96" s="27"/>
      <c r="BU96" s="14"/>
      <c r="BV96" s="27"/>
      <c r="BZ96" s="14"/>
      <c r="CA96" s="14"/>
      <c r="CC96" s="324"/>
      <c r="CD96" s="325"/>
      <c r="CE96" s="325"/>
      <c r="CF96" s="326"/>
      <c r="CG96" s="64"/>
      <c r="CH96" s="323"/>
      <c r="CI96" s="323"/>
      <c r="CJ96" s="323"/>
      <c r="CK96" s="323"/>
      <c r="CL96" s="323"/>
      <c r="CM96" s="323"/>
      <c r="CN96" s="323"/>
      <c r="CO96" s="323"/>
      <c r="CP96" s="323"/>
      <c r="CR96" s="65"/>
    </row>
    <row r="97" spans="1:96">
      <c r="A97" s="27"/>
      <c r="B97" s="27"/>
      <c r="I97" s="27"/>
      <c r="P97" s="27"/>
      <c r="W97" s="27"/>
      <c r="AC97" s="14"/>
      <c r="AJ97" s="14"/>
      <c r="AR97" s="27"/>
      <c r="AY97" s="27"/>
      <c r="BE97" s="14"/>
      <c r="BF97" s="27"/>
      <c r="BU97" s="14"/>
      <c r="BV97" s="27"/>
      <c r="BZ97" s="14"/>
      <c r="CA97" s="14"/>
      <c r="CC97" s="324"/>
      <c r="CD97" s="325"/>
      <c r="CE97" s="325"/>
      <c r="CF97" s="326"/>
      <c r="CG97" s="64"/>
      <c r="CH97" s="323"/>
      <c r="CI97" s="323"/>
      <c r="CJ97" s="323"/>
      <c r="CK97" s="323"/>
      <c r="CL97" s="323"/>
      <c r="CM97" s="323"/>
      <c r="CN97" s="323"/>
      <c r="CO97" s="323"/>
      <c r="CP97" s="323"/>
      <c r="CR97" s="65"/>
    </row>
    <row r="98" spans="1:96" ht="13.5" customHeight="1">
      <c r="A98" s="27"/>
      <c r="B98" s="27"/>
      <c r="I98" s="27"/>
      <c r="P98" s="27"/>
      <c r="W98" s="27"/>
      <c r="AC98" s="14"/>
      <c r="AJ98" s="14"/>
      <c r="AR98" s="27"/>
      <c r="AY98" s="27"/>
      <c r="BE98" s="14"/>
      <c r="BF98" s="27"/>
      <c r="BU98" s="14"/>
      <c r="BV98" s="27"/>
      <c r="BZ98" s="14"/>
      <c r="CA98" s="14"/>
      <c r="CC98" s="324"/>
      <c r="CD98" s="325"/>
      <c r="CE98" s="325"/>
      <c r="CF98" s="326"/>
      <c r="CG98" s="64"/>
      <c r="CH98" s="323"/>
      <c r="CI98" s="323"/>
      <c r="CJ98" s="323"/>
      <c r="CK98" s="323"/>
      <c r="CL98" s="323"/>
      <c r="CM98" s="323"/>
      <c r="CN98" s="323"/>
      <c r="CO98" s="323"/>
      <c r="CP98" s="323"/>
      <c r="CR98" s="65"/>
    </row>
    <row r="99" spans="1:96" ht="13.5" customHeight="1">
      <c r="A99" s="27"/>
      <c r="B99" s="27"/>
      <c r="I99" s="27"/>
      <c r="P99" s="27"/>
      <c r="W99" s="27"/>
      <c r="AC99" s="14"/>
      <c r="AJ99" s="14"/>
      <c r="AR99" s="27"/>
      <c r="AY99" s="27"/>
      <c r="BE99" s="14"/>
      <c r="BF99" s="27"/>
      <c r="BU99" s="14"/>
      <c r="BV99" s="27"/>
      <c r="BZ99" s="14"/>
      <c r="CA99" s="14"/>
      <c r="CC99" s="324"/>
      <c r="CD99" s="325"/>
      <c r="CE99" s="325"/>
      <c r="CF99" s="326"/>
      <c r="CG99" s="64"/>
      <c r="CH99" s="323"/>
      <c r="CI99" s="323"/>
      <c r="CJ99" s="323"/>
      <c r="CK99" s="323"/>
      <c r="CL99" s="323"/>
      <c r="CM99" s="323"/>
      <c r="CN99" s="323"/>
      <c r="CO99" s="323"/>
      <c r="CP99" s="323"/>
      <c r="CR99" s="65"/>
    </row>
    <row r="100" spans="1:96">
      <c r="A100" s="27"/>
      <c r="B100" s="27"/>
      <c r="I100" s="27"/>
      <c r="P100" s="27"/>
      <c r="W100" s="27"/>
      <c r="AC100" s="14"/>
      <c r="AJ100" s="14"/>
      <c r="AR100" s="27"/>
      <c r="AY100" s="27"/>
      <c r="BE100" s="14"/>
      <c r="BF100" s="27"/>
      <c r="BU100" s="14"/>
      <c r="BV100" s="27"/>
      <c r="BZ100" s="14"/>
      <c r="CA100" s="14"/>
      <c r="CC100" s="324"/>
      <c r="CD100" s="325"/>
      <c r="CE100" s="325"/>
      <c r="CF100" s="326"/>
      <c r="CG100" s="64"/>
      <c r="CH100" s="323"/>
      <c r="CI100" s="323"/>
      <c r="CJ100" s="323"/>
      <c r="CK100" s="323"/>
      <c r="CL100" s="323"/>
      <c r="CM100" s="323"/>
      <c r="CN100" s="323"/>
      <c r="CO100" s="323"/>
      <c r="CP100" s="323"/>
      <c r="CR100" s="65"/>
    </row>
    <row r="101" spans="1:96" ht="13.5" customHeight="1">
      <c r="A101" s="27"/>
      <c r="B101" s="55"/>
      <c r="C101" s="10"/>
      <c r="D101" s="10"/>
      <c r="E101" s="10"/>
      <c r="F101" s="10"/>
      <c r="G101" s="10"/>
      <c r="H101" s="10"/>
      <c r="I101" s="55"/>
      <c r="J101" s="10"/>
      <c r="K101" s="10"/>
      <c r="L101" s="10"/>
      <c r="M101" s="10"/>
      <c r="N101" s="10"/>
      <c r="O101" s="10"/>
      <c r="P101" s="55"/>
      <c r="Q101" s="10"/>
      <c r="R101" s="10"/>
      <c r="S101" s="10"/>
      <c r="T101" s="10"/>
      <c r="U101" s="10"/>
      <c r="V101" s="10"/>
      <c r="W101" s="55"/>
      <c r="X101" s="10"/>
      <c r="Y101" s="10"/>
      <c r="Z101" s="10"/>
      <c r="AA101" s="10"/>
      <c r="AB101" s="10"/>
      <c r="AC101" s="15"/>
      <c r="AD101" s="10"/>
      <c r="AE101" s="10"/>
      <c r="AF101" s="10"/>
      <c r="AG101" s="10"/>
      <c r="AH101" s="10"/>
      <c r="AI101" s="10"/>
      <c r="AJ101" s="15"/>
      <c r="AK101" s="10"/>
      <c r="AL101" s="10"/>
      <c r="AM101" s="10"/>
      <c r="AN101" s="10"/>
      <c r="AO101" s="10"/>
      <c r="AP101" s="10"/>
      <c r="AQ101" s="10"/>
      <c r="AR101" s="55"/>
      <c r="AS101" s="10"/>
      <c r="AT101" s="10"/>
      <c r="AU101" s="10"/>
      <c r="AV101" s="10"/>
      <c r="AW101" s="10"/>
      <c r="AX101" s="10"/>
      <c r="AY101" s="55"/>
      <c r="AZ101" s="10"/>
      <c r="BA101" s="10"/>
      <c r="BB101" s="10"/>
      <c r="BC101" s="10"/>
      <c r="BD101" s="10"/>
      <c r="BE101" s="10"/>
      <c r="BF101" s="55"/>
      <c r="BG101" s="10"/>
      <c r="BH101" s="10"/>
      <c r="BI101" s="10"/>
      <c r="BJ101" s="10"/>
      <c r="BK101" s="10"/>
      <c r="BL101" s="10"/>
      <c r="BM101" s="10"/>
      <c r="BN101" s="10"/>
      <c r="BO101" s="10"/>
      <c r="BP101" s="10"/>
      <c r="BQ101" s="10"/>
      <c r="BR101" s="10"/>
      <c r="BS101" s="10"/>
      <c r="BT101" s="10"/>
      <c r="BU101" s="15"/>
      <c r="BV101" s="55"/>
      <c r="BW101" s="10"/>
      <c r="BX101" s="10"/>
      <c r="BY101" s="10"/>
      <c r="BZ101" s="15"/>
      <c r="CA101" s="14"/>
      <c r="CC101" s="327"/>
      <c r="CD101" s="328"/>
      <c r="CE101" s="328"/>
      <c r="CF101" s="329"/>
      <c r="CG101" s="66"/>
      <c r="CH101" s="67"/>
      <c r="CI101" s="67"/>
      <c r="CJ101" s="67"/>
      <c r="CK101" s="67"/>
      <c r="CL101" s="67"/>
      <c r="CM101" s="67"/>
      <c r="CN101" s="67"/>
      <c r="CO101" s="67"/>
      <c r="CP101" s="67"/>
      <c r="CQ101" s="67"/>
      <c r="CR101" s="68"/>
    </row>
    <row r="102" spans="1:96">
      <c r="A102" s="27"/>
      <c r="CA102" s="14"/>
    </row>
    <row r="103" spans="1:96" ht="13.5" customHeight="1">
      <c r="A103" s="55"/>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5"/>
    </row>
  </sheetData>
  <mergeCells count="29">
    <mergeCell ref="B8:H9"/>
    <mergeCell ref="I8:O9"/>
    <mergeCell ref="P8:V9"/>
    <mergeCell ref="W8:AC9"/>
    <mergeCell ref="AR8:BE8"/>
    <mergeCell ref="AD8:AJ9"/>
    <mergeCell ref="AK8:AQ9"/>
    <mergeCell ref="AR9:AX9"/>
    <mergeCell ref="AY9:BE9"/>
    <mergeCell ref="BV8:BZ9"/>
    <mergeCell ref="AQ2:AV2"/>
    <mergeCell ref="AQ3:AV3"/>
    <mergeCell ref="CH31:CP100"/>
    <mergeCell ref="CC32:CF101"/>
    <mergeCell ref="BF8:BU9"/>
    <mergeCell ref="CC8:CF9"/>
    <mergeCell ref="CG8:CR9"/>
    <mergeCell ref="A1:E1"/>
    <mergeCell ref="F1:U1"/>
    <mergeCell ref="V1:AI1"/>
    <mergeCell ref="AJ1:AP1"/>
    <mergeCell ref="AQ1:AV1"/>
    <mergeCell ref="A2:E3"/>
    <mergeCell ref="F2:U3"/>
    <mergeCell ref="V2:AI3"/>
    <mergeCell ref="AJ2:AK2"/>
    <mergeCell ref="AL2:AP2"/>
    <mergeCell ref="AJ3:AK3"/>
    <mergeCell ref="AL3:AP3"/>
  </mergeCells>
  <phoneticPr fontId="2"/>
  <pageMargins left="0.7" right="0.7" top="0.75" bottom="0.75" header="0.3" footer="0.3"/>
  <pageSetup paperSize="9" scale="69" fitToHeight="0" orientation="portrait"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371B6-A34C-4C00-AB15-AF7D93C38697}">
  <sheetPr codeName="Sheet8"/>
  <dimension ref="A1:BW82"/>
  <sheetViews>
    <sheetView showGridLines="0" zoomScaleNormal="100" workbookViewId="0">
      <pane ySplit="9" topLeftCell="A10" activePane="bottomLeft" state="frozen"/>
      <selection pane="bottomLeft" sqref="A1:E1"/>
      <selection sqref="A1:E1"/>
    </sheetView>
  </sheetViews>
  <sheetFormatPr defaultColWidth="2.375" defaultRowHeight="13.5"/>
  <cols>
    <col min="1" max="35" width="2.375" style="8"/>
    <col min="36" max="36" width="2.375" style="8" customWidth="1"/>
    <col min="37" max="16384" width="2.375" style="8"/>
  </cols>
  <sheetData>
    <row r="1" spans="1:75"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75">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75"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5" spans="1:75">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75"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row>
    <row r="7" spans="1:75" s="11" customFormat="1">
      <c r="A7" s="28"/>
      <c r="BF7" s="13"/>
    </row>
    <row r="8" spans="1:75" s="11" customFormat="1" ht="15.75" customHeight="1">
      <c r="A8" s="28"/>
      <c r="B8" s="197" t="s">
        <v>172</v>
      </c>
      <c r="C8" s="198"/>
      <c r="D8" s="198"/>
      <c r="E8" s="198"/>
      <c r="F8" s="198"/>
      <c r="G8" s="198"/>
      <c r="H8" s="198"/>
      <c r="I8" s="198"/>
      <c r="J8" s="198"/>
      <c r="K8" s="198"/>
      <c r="L8" s="198"/>
      <c r="M8" s="198"/>
      <c r="N8" s="198"/>
      <c r="O8" s="199"/>
      <c r="P8" s="197" t="s">
        <v>173</v>
      </c>
      <c r="Q8" s="198"/>
      <c r="R8" s="198"/>
      <c r="S8" s="198"/>
      <c r="T8" s="198"/>
      <c r="U8" s="198"/>
      <c r="V8" s="199"/>
      <c r="W8" s="202" t="s">
        <v>83</v>
      </c>
      <c r="X8" s="203"/>
      <c r="Y8" s="203"/>
      <c r="Z8" s="203"/>
      <c r="AA8" s="203"/>
      <c r="AB8" s="203"/>
      <c r="AC8" s="204"/>
      <c r="AD8" s="203"/>
      <c r="AE8" s="203"/>
      <c r="AF8" s="203"/>
      <c r="AG8" s="203"/>
      <c r="AH8" s="203"/>
      <c r="AI8" s="203"/>
      <c r="AJ8" s="204"/>
      <c r="AK8" s="343" t="s">
        <v>101</v>
      </c>
      <c r="AL8" s="344"/>
      <c r="AM8" s="344"/>
      <c r="AN8" s="344"/>
      <c r="AO8" s="344"/>
      <c r="AP8" s="344"/>
      <c r="AQ8" s="344"/>
      <c r="AR8" s="344"/>
      <c r="AS8" s="344"/>
      <c r="AT8" s="344"/>
      <c r="AU8" s="344"/>
      <c r="AV8" s="344"/>
      <c r="AW8" s="344"/>
      <c r="AX8" s="344"/>
      <c r="AY8" s="344"/>
      <c r="AZ8" s="345"/>
      <c r="BA8" s="361" t="s">
        <v>103</v>
      </c>
      <c r="BB8" s="362"/>
      <c r="BC8" s="362"/>
      <c r="BD8" s="362"/>
      <c r="BE8" s="363"/>
      <c r="BF8" s="13"/>
      <c r="BH8" s="355" t="s">
        <v>113</v>
      </c>
      <c r="BI8" s="356"/>
      <c r="BJ8" s="356"/>
      <c r="BK8" s="357"/>
      <c r="BL8" s="349" t="s">
        <v>114</v>
      </c>
      <c r="BM8" s="350"/>
      <c r="BN8" s="350"/>
      <c r="BO8" s="350"/>
      <c r="BP8" s="350"/>
      <c r="BQ8" s="350"/>
      <c r="BR8" s="350"/>
      <c r="BS8" s="350"/>
      <c r="BT8" s="350"/>
      <c r="BU8" s="350"/>
      <c r="BV8" s="350"/>
      <c r="BW8" s="351"/>
    </row>
    <row r="9" spans="1:75" s="11" customFormat="1" ht="13.5" customHeight="1">
      <c r="A9" s="28"/>
      <c r="B9" s="197" t="s">
        <v>89</v>
      </c>
      <c r="C9" s="198"/>
      <c r="D9" s="198"/>
      <c r="E9" s="198"/>
      <c r="F9" s="198"/>
      <c r="G9" s="198"/>
      <c r="H9" s="199"/>
      <c r="I9" s="197" t="s">
        <v>90</v>
      </c>
      <c r="J9" s="198"/>
      <c r="K9" s="198"/>
      <c r="L9" s="198"/>
      <c r="M9" s="198"/>
      <c r="N9" s="198"/>
      <c r="O9" s="199"/>
      <c r="P9" s="197" t="s">
        <v>89</v>
      </c>
      <c r="Q9" s="198"/>
      <c r="R9" s="198"/>
      <c r="S9" s="198"/>
      <c r="T9" s="198"/>
      <c r="U9" s="198"/>
      <c r="V9" s="199"/>
      <c r="W9" s="202" t="s">
        <v>98</v>
      </c>
      <c r="X9" s="203"/>
      <c r="Y9" s="203"/>
      <c r="Z9" s="203"/>
      <c r="AA9" s="203"/>
      <c r="AB9" s="203"/>
      <c r="AC9" s="204"/>
      <c r="AD9" s="202" t="s">
        <v>100</v>
      </c>
      <c r="AE9" s="203"/>
      <c r="AF9" s="203"/>
      <c r="AG9" s="203"/>
      <c r="AH9" s="203"/>
      <c r="AI9" s="203"/>
      <c r="AJ9" s="204"/>
      <c r="AK9" s="346"/>
      <c r="AL9" s="347"/>
      <c r="AM9" s="347"/>
      <c r="AN9" s="347"/>
      <c r="AO9" s="347"/>
      <c r="AP9" s="347"/>
      <c r="AQ9" s="347"/>
      <c r="AR9" s="347"/>
      <c r="AS9" s="347"/>
      <c r="AT9" s="347"/>
      <c r="AU9" s="347"/>
      <c r="AV9" s="347"/>
      <c r="AW9" s="347"/>
      <c r="AX9" s="347"/>
      <c r="AY9" s="347"/>
      <c r="AZ9" s="348"/>
      <c r="BA9" s="364"/>
      <c r="BB9" s="365"/>
      <c r="BC9" s="365"/>
      <c r="BD9" s="365"/>
      <c r="BE9" s="366"/>
      <c r="BF9" s="13"/>
      <c r="BH9" s="358"/>
      <c r="BI9" s="359"/>
      <c r="BJ9" s="359"/>
      <c r="BK9" s="360"/>
      <c r="BL9" s="352"/>
      <c r="BM9" s="353"/>
      <c r="BN9" s="353"/>
      <c r="BO9" s="353"/>
      <c r="BP9" s="353"/>
      <c r="BQ9" s="353"/>
      <c r="BR9" s="353"/>
      <c r="BS9" s="353"/>
      <c r="BT9" s="353"/>
      <c r="BU9" s="353"/>
      <c r="BV9" s="353"/>
      <c r="BW9" s="354"/>
    </row>
    <row r="10" spans="1:75" s="11" customFormat="1" ht="13.5" customHeight="1">
      <c r="A10" s="28"/>
      <c r="B10" s="36" t="s">
        <v>174</v>
      </c>
      <c r="C10" s="26"/>
      <c r="D10" s="26"/>
      <c r="E10" s="26"/>
      <c r="F10" s="26"/>
      <c r="G10" s="26"/>
      <c r="H10" s="26"/>
      <c r="I10" s="26"/>
      <c r="J10" s="26"/>
      <c r="K10" s="26"/>
      <c r="L10" s="26"/>
      <c r="M10" s="26"/>
      <c r="N10" s="26"/>
      <c r="O10" s="26"/>
      <c r="P10" s="3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13"/>
      <c r="BH10" s="62"/>
      <c r="BL10" s="214"/>
      <c r="BM10" s="215"/>
      <c r="BN10" s="215"/>
      <c r="BO10" s="215"/>
      <c r="BP10" s="215"/>
      <c r="BQ10" s="215"/>
      <c r="BR10" s="215"/>
      <c r="BS10" s="215"/>
      <c r="BT10" s="215"/>
      <c r="BU10" s="215"/>
      <c r="BV10" s="215"/>
      <c r="BW10" s="216"/>
    </row>
    <row r="11" spans="1:75" s="11" customFormat="1" ht="13.5" customHeight="1">
      <c r="A11" s="28"/>
      <c r="B11" s="47"/>
      <c r="C11" s="45"/>
      <c r="D11" s="45"/>
      <c r="E11" s="45"/>
      <c r="F11" s="45"/>
      <c r="G11" s="45"/>
      <c r="H11" s="45"/>
      <c r="I11" s="47"/>
      <c r="J11" s="45"/>
      <c r="K11" s="45"/>
      <c r="L11" s="45"/>
      <c r="M11" s="45"/>
      <c r="N11" s="45"/>
      <c r="O11" s="45"/>
      <c r="P11" s="47"/>
      <c r="Q11" s="45"/>
      <c r="R11" s="45"/>
      <c r="S11" s="45"/>
      <c r="T11" s="45"/>
      <c r="U11" s="45"/>
      <c r="V11" s="45"/>
      <c r="W11" s="47"/>
      <c r="X11" s="45"/>
      <c r="Y11" s="45"/>
      <c r="Z11" s="45"/>
      <c r="AA11" s="45"/>
      <c r="AB11" s="45"/>
      <c r="AC11" s="46"/>
      <c r="AD11" s="47"/>
      <c r="AE11" s="45"/>
      <c r="AF11" s="45"/>
      <c r="AG11" s="45"/>
      <c r="AH11" s="45"/>
      <c r="AI11" s="45"/>
      <c r="AJ11" s="46"/>
      <c r="AK11" s="45"/>
      <c r="AL11" s="45"/>
      <c r="AM11" s="45"/>
      <c r="AN11" s="45"/>
      <c r="AO11" s="45"/>
      <c r="AP11" s="45"/>
      <c r="AQ11" s="45"/>
      <c r="AR11" s="45"/>
      <c r="AS11" s="45"/>
      <c r="AT11" s="45"/>
      <c r="AU11" s="45"/>
      <c r="AV11" s="45"/>
      <c r="AW11" s="45"/>
      <c r="AX11" s="45"/>
      <c r="AY11" s="45"/>
      <c r="AZ11" s="45"/>
      <c r="BA11" s="47"/>
      <c r="BB11" s="45"/>
      <c r="BC11" s="45"/>
      <c r="BD11" s="45"/>
      <c r="BE11" s="46"/>
      <c r="BF11" s="13"/>
      <c r="BH11" s="62"/>
      <c r="BL11" s="214"/>
      <c r="BM11" s="215"/>
      <c r="BN11" s="215"/>
      <c r="BO11" s="215"/>
      <c r="BP11" s="215"/>
      <c r="BQ11" s="215"/>
      <c r="BR11" s="215"/>
      <c r="BS11" s="215"/>
      <c r="BT11" s="215"/>
      <c r="BU11" s="215"/>
      <c r="BV11" s="215"/>
      <c r="BW11" s="216"/>
    </row>
    <row r="12" spans="1:75" s="11" customFormat="1" ht="13.5" customHeight="1">
      <c r="A12" s="28"/>
      <c r="B12" s="31"/>
      <c r="C12" s="24"/>
      <c r="D12" s="24"/>
      <c r="E12" s="24"/>
      <c r="F12" s="24"/>
      <c r="G12" s="24"/>
      <c r="H12" s="24"/>
      <c r="I12" s="31"/>
      <c r="J12" s="24"/>
      <c r="K12" s="24"/>
      <c r="L12" s="24"/>
      <c r="M12" s="24"/>
      <c r="N12" s="24"/>
      <c r="O12" s="24"/>
      <c r="P12" s="31"/>
      <c r="Q12" s="24"/>
      <c r="R12" s="24"/>
      <c r="S12" s="24"/>
      <c r="T12" s="24"/>
      <c r="U12" s="24"/>
      <c r="V12" s="24"/>
      <c r="W12" s="31"/>
      <c r="X12" s="24"/>
      <c r="Y12" s="24"/>
      <c r="Z12" s="24"/>
      <c r="AA12" s="24"/>
      <c r="AB12" s="24"/>
      <c r="AC12" s="23"/>
      <c r="AD12" s="31"/>
      <c r="AE12" s="24"/>
      <c r="AF12" s="24"/>
      <c r="AG12" s="24"/>
      <c r="AH12" s="24"/>
      <c r="AI12" s="24"/>
      <c r="AJ12" s="23"/>
      <c r="AK12" s="24"/>
      <c r="AL12" s="24"/>
      <c r="AM12" s="24"/>
      <c r="AN12" s="24"/>
      <c r="AO12" s="24"/>
      <c r="AP12" s="24"/>
      <c r="AQ12" s="24"/>
      <c r="AR12" s="24"/>
      <c r="AS12" s="24"/>
      <c r="AT12" s="24"/>
      <c r="AU12" s="24"/>
      <c r="AV12" s="24"/>
      <c r="AW12" s="24"/>
      <c r="AX12" s="24"/>
      <c r="AY12" s="24"/>
      <c r="AZ12" s="24"/>
      <c r="BA12" s="31"/>
      <c r="BB12" s="24"/>
      <c r="BC12" s="24"/>
      <c r="BD12" s="24"/>
      <c r="BE12" s="23"/>
      <c r="BF12" s="13"/>
      <c r="BH12" s="337" t="s">
        <v>175</v>
      </c>
      <c r="BI12" s="338"/>
      <c r="BJ12" s="338"/>
      <c r="BK12" s="339"/>
      <c r="BL12" s="214"/>
      <c r="BM12" s="215"/>
      <c r="BN12" s="215"/>
      <c r="BO12" s="215"/>
      <c r="BP12" s="215"/>
      <c r="BQ12" s="215"/>
      <c r="BR12" s="215"/>
      <c r="BS12" s="215"/>
      <c r="BT12" s="215"/>
      <c r="BU12" s="215"/>
      <c r="BV12" s="215"/>
      <c r="BW12" s="216"/>
    </row>
    <row r="13" spans="1:75" s="11" customFormat="1" ht="13.5" customHeight="1">
      <c r="A13" s="28"/>
      <c r="B13" s="31"/>
      <c r="C13" s="24"/>
      <c r="D13" s="24"/>
      <c r="E13" s="24"/>
      <c r="F13" s="24"/>
      <c r="G13" s="24"/>
      <c r="H13" s="24"/>
      <c r="I13" s="31"/>
      <c r="J13" s="24"/>
      <c r="K13" s="24"/>
      <c r="L13" s="24"/>
      <c r="M13" s="24"/>
      <c r="N13" s="24"/>
      <c r="O13" s="24"/>
      <c r="P13" s="31"/>
      <c r="Q13" s="24"/>
      <c r="R13" s="24"/>
      <c r="S13" s="24"/>
      <c r="T13" s="24"/>
      <c r="U13" s="24"/>
      <c r="V13" s="24"/>
      <c r="W13" s="31"/>
      <c r="X13" s="24"/>
      <c r="Y13" s="24"/>
      <c r="Z13" s="24"/>
      <c r="AA13" s="24"/>
      <c r="AB13" s="24"/>
      <c r="AC13" s="23"/>
      <c r="AD13" s="31"/>
      <c r="AE13" s="24"/>
      <c r="AF13" s="24"/>
      <c r="AG13" s="24"/>
      <c r="AH13" s="24"/>
      <c r="AI13" s="24"/>
      <c r="AJ13" s="23"/>
      <c r="AK13" s="24"/>
      <c r="AL13" s="24"/>
      <c r="AM13" s="24"/>
      <c r="AN13" s="24"/>
      <c r="AO13" s="24"/>
      <c r="AP13" s="24"/>
      <c r="AQ13" s="24"/>
      <c r="AR13" s="24"/>
      <c r="AS13" s="24"/>
      <c r="AT13" s="24"/>
      <c r="AU13" s="24"/>
      <c r="AV13" s="24"/>
      <c r="AW13" s="24"/>
      <c r="AX13" s="24"/>
      <c r="AY13" s="24"/>
      <c r="AZ13" s="24"/>
      <c r="BA13" s="31"/>
      <c r="BB13" s="24"/>
      <c r="BC13" s="24"/>
      <c r="BD13" s="24"/>
      <c r="BE13" s="23"/>
      <c r="BF13" s="13"/>
      <c r="BH13" s="337"/>
      <c r="BI13" s="338"/>
      <c r="BJ13" s="338"/>
      <c r="BK13" s="339"/>
      <c r="BL13" s="214"/>
      <c r="BM13" s="215"/>
      <c r="BN13" s="215"/>
      <c r="BO13" s="215"/>
      <c r="BP13" s="215"/>
      <c r="BQ13" s="215"/>
      <c r="BR13" s="215"/>
      <c r="BS13" s="215"/>
      <c r="BT13" s="215"/>
      <c r="BU13" s="215"/>
      <c r="BV13" s="215"/>
      <c r="BW13" s="216"/>
    </row>
    <row r="14" spans="1:75" s="11" customFormat="1" ht="13.5" customHeight="1">
      <c r="A14" s="28"/>
      <c r="B14" s="31"/>
      <c r="C14" s="24"/>
      <c r="D14" s="24"/>
      <c r="E14" s="24"/>
      <c r="F14" s="24"/>
      <c r="G14" s="24"/>
      <c r="H14" s="24"/>
      <c r="I14" s="31"/>
      <c r="J14" s="24"/>
      <c r="K14" s="24"/>
      <c r="L14" s="24"/>
      <c r="M14" s="24"/>
      <c r="N14" s="24"/>
      <c r="O14" s="24"/>
      <c r="P14" s="31"/>
      <c r="Q14" s="24"/>
      <c r="R14" s="24"/>
      <c r="S14" s="24"/>
      <c r="T14" s="24"/>
      <c r="U14" s="24"/>
      <c r="V14" s="24"/>
      <c r="W14" s="31"/>
      <c r="X14" s="24"/>
      <c r="Y14" s="24"/>
      <c r="Z14" s="24"/>
      <c r="AA14" s="24"/>
      <c r="AB14" s="24"/>
      <c r="AC14" s="23"/>
      <c r="AD14" s="31"/>
      <c r="AE14" s="24"/>
      <c r="AF14" s="24"/>
      <c r="AG14" s="24"/>
      <c r="AH14" s="24"/>
      <c r="AI14" s="24"/>
      <c r="AJ14" s="23"/>
      <c r="AK14" s="24"/>
      <c r="AL14" s="24"/>
      <c r="AM14" s="24"/>
      <c r="AN14" s="24"/>
      <c r="AO14" s="24"/>
      <c r="AP14" s="24"/>
      <c r="AQ14" s="24"/>
      <c r="AR14" s="24"/>
      <c r="AS14" s="24"/>
      <c r="AT14" s="24"/>
      <c r="AU14" s="24"/>
      <c r="AV14" s="24"/>
      <c r="AW14" s="24"/>
      <c r="AX14" s="24"/>
      <c r="AY14" s="24"/>
      <c r="AZ14" s="24"/>
      <c r="BA14" s="31"/>
      <c r="BB14" s="24"/>
      <c r="BC14" s="24"/>
      <c r="BD14" s="24"/>
      <c r="BE14" s="23"/>
      <c r="BF14" s="13"/>
      <c r="BH14" s="337"/>
      <c r="BI14" s="338"/>
      <c r="BJ14" s="338"/>
      <c r="BK14" s="339"/>
      <c r="BL14" s="214"/>
      <c r="BM14" s="215"/>
      <c r="BN14" s="215"/>
      <c r="BO14" s="215"/>
      <c r="BP14" s="215"/>
      <c r="BQ14" s="215"/>
      <c r="BR14" s="215"/>
      <c r="BS14" s="215"/>
      <c r="BT14" s="215"/>
      <c r="BU14" s="215"/>
      <c r="BV14" s="215"/>
      <c r="BW14" s="216"/>
    </row>
    <row r="15" spans="1:75" s="11" customFormat="1" ht="13.5" customHeight="1">
      <c r="A15" s="28"/>
      <c r="B15" s="31"/>
      <c r="C15" s="24"/>
      <c r="D15" s="24"/>
      <c r="E15" s="24"/>
      <c r="F15" s="24"/>
      <c r="G15" s="24"/>
      <c r="H15" s="24"/>
      <c r="I15" s="31"/>
      <c r="J15" s="24"/>
      <c r="K15" s="24"/>
      <c r="L15" s="24"/>
      <c r="M15" s="24"/>
      <c r="N15" s="24"/>
      <c r="O15" s="24"/>
      <c r="P15" s="31"/>
      <c r="Q15" s="24"/>
      <c r="R15" s="24"/>
      <c r="S15" s="24"/>
      <c r="T15" s="24"/>
      <c r="U15" s="24"/>
      <c r="V15" s="24"/>
      <c r="W15" s="31"/>
      <c r="X15" s="24"/>
      <c r="Y15" s="24"/>
      <c r="Z15" s="24"/>
      <c r="AA15" s="24"/>
      <c r="AB15" s="24"/>
      <c r="AC15" s="23"/>
      <c r="AD15" s="31"/>
      <c r="AE15" s="24"/>
      <c r="AF15" s="24"/>
      <c r="AG15" s="24"/>
      <c r="AH15" s="24"/>
      <c r="AI15" s="24"/>
      <c r="AJ15" s="23"/>
      <c r="AK15" s="24"/>
      <c r="AL15" s="24"/>
      <c r="AM15" s="24"/>
      <c r="AN15" s="24"/>
      <c r="AO15" s="24"/>
      <c r="AP15" s="24"/>
      <c r="AQ15" s="24"/>
      <c r="AR15" s="24"/>
      <c r="AS15" s="24"/>
      <c r="AT15" s="24"/>
      <c r="AU15" s="24"/>
      <c r="AV15" s="24"/>
      <c r="AW15" s="24"/>
      <c r="AX15" s="24"/>
      <c r="AY15" s="24"/>
      <c r="AZ15" s="24"/>
      <c r="BA15" s="31"/>
      <c r="BB15" s="24"/>
      <c r="BC15" s="24"/>
      <c r="BD15" s="24"/>
      <c r="BE15" s="23"/>
      <c r="BF15" s="13"/>
      <c r="BH15" s="337"/>
      <c r="BI15" s="338"/>
      <c r="BJ15" s="338"/>
      <c r="BK15" s="339"/>
      <c r="BL15" s="214"/>
      <c r="BM15" s="215"/>
      <c r="BN15" s="215"/>
      <c r="BO15" s="215"/>
      <c r="BP15" s="215"/>
      <c r="BQ15" s="215"/>
      <c r="BR15" s="215"/>
      <c r="BS15" s="215"/>
      <c r="BT15" s="215"/>
      <c r="BU15" s="215"/>
      <c r="BV15" s="215"/>
      <c r="BW15" s="216"/>
    </row>
    <row r="16" spans="1:75" s="11" customFormat="1" ht="13.5" customHeight="1">
      <c r="A16" s="28"/>
      <c r="B16" s="31"/>
      <c r="C16" s="24"/>
      <c r="D16" s="24"/>
      <c r="E16" s="24"/>
      <c r="F16" s="24"/>
      <c r="G16" s="24"/>
      <c r="H16" s="24"/>
      <c r="I16" s="31"/>
      <c r="J16" s="24"/>
      <c r="K16" s="24"/>
      <c r="L16" s="24"/>
      <c r="M16" s="24"/>
      <c r="N16" s="24"/>
      <c r="O16" s="24"/>
      <c r="P16" s="31"/>
      <c r="Q16" s="24"/>
      <c r="R16" s="24"/>
      <c r="S16" s="24"/>
      <c r="T16" s="24"/>
      <c r="U16" s="24"/>
      <c r="V16" s="24"/>
      <c r="W16" s="31"/>
      <c r="X16" s="24"/>
      <c r="Y16" s="24"/>
      <c r="Z16" s="24"/>
      <c r="AA16" s="24"/>
      <c r="AB16" s="24"/>
      <c r="AC16" s="23"/>
      <c r="AD16" s="31"/>
      <c r="AE16" s="24"/>
      <c r="AF16" s="24"/>
      <c r="AG16" s="24"/>
      <c r="AH16" s="24"/>
      <c r="AI16" s="24"/>
      <c r="AJ16" s="23"/>
      <c r="AK16" s="24"/>
      <c r="AO16" s="8"/>
      <c r="AP16" s="8"/>
      <c r="AQ16" s="24"/>
      <c r="AR16" s="24"/>
      <c r="AS16" s="24"/>
      <c r="AT16" s="24"/>
      <c r="AU16" s="24"/>
      <c r="AV16" s="24"/>
      <c r="AW16" s="24"/>
      <c r="AX16" s="24"/>
      <c r="AY16" s="24"/>
      <c r="AZ16" s="24"/>
      <c r="BA16" s="31"/>
      <c r="BB16" s="24"/>
      <c r="BC16" s="24"/>
      <c r="BD16" s="24"/>
      <c r="BE16" s="23"/>
      <c r="BF16" s="13"/>
      <c r="BH16" s="62"/>
      <c r="BL16" s="214"/>
      <c r="BM16" s="215"/>
      <c r="BN16" s="215"/>
      <c r="BO16" s="215"/>
      <c r="BP16" s="215"/>
      <c r="BQ16" s="215"/>
      <c r="BR16" s="215"/>
      <c r="BS16" s="215"/>
      <c r="BT16" s="215"/>
      <c r="BU16" s="215"/>
      <c r="BV16" s="215"/>
      <c r="BW16" s="216"/>
    </row>
    <row r="17" spans="1:75" s="11" customFormat="1" ht="13.5" customHeight="1">
      <c r="A17" s="28"/>
      <c r="B17" s="31"/>
      <c r="C17" s="24"/>
      <c r="D17" s="24"/>
      <c r="E17" s="24"/>
      <c r="F17" s="24"/>
      <c r="G17" s="24"/>
      <c r="H17" s="24"/>
      <c r="I17" s="31"/>
      <c r="J17" s="24"/>
      <c r="K17" s="24"/>
      <c r="L17" s="24"/>
      <c r="M17" s="24"/>
      <c r="N17" s="24"/>
      <c r="O17" s="24"/>
      <c r="P17" s="31"/>
      <c r="Q17" s="24"/>
      <c r="R17" s="24"/>
      <c r="S17" s="24"/>
      <c r="T17" s="24"/>
      <c r="U17" s="24"/>
      <c r="V17" s="24"/>
      <c r="W17" s="31"/>
      <c r="X17" s="24"/>
      <c r="Y17" s="24"/>
      <c r="Z17" s="24"/>
      <c r="AA17" s="24"/>
      <c r="AB17" s="24"/>
      <c r="AC17" s="23"/>
      <c r="AD17" s="31"/>
      <c r="AE17" s="24"/>
      <c r="AF17" s="24"/>
      <c r="AG17" s="24"/>
      <c r="AH17" s="24"/>
      <c r="AI17" s="24"/>
      <c r="AJ17" s="23"/>
      <c r="AK17" s="24"/>
      <c r="AL17" s="25"/>
      <c r="AN17" s="8"/>
      <c r="AO17" s="8"/>
      <c r="AP17" s="8"/>
      <c r="AQ17" s="24"/>
      <c r="AR17" s="24"/>
      <c r="AS17" s="24"/>
      <c r="AT17" s="24"/>
      <c r="AU17" s="24"/>
      <c r="AV17" s="24"/>
      <c r="AW17" s="24"/>
      <c r="AX17" s="24"/>
      <c r="AY17" s="24"/>
      <c r="AZ17" s="24"/>
      <c r="BA17" s="31"/>
      <c r="BB17" s="24"/>
      <c r="BC17" s="24"/>
      <c r="BD17" s="24"/>
      <c r="BE17" s="23"/>
      <c r="BF17" s="13"/>
      <c r="BH17" s="62"/>
      <c r="BL17" s="214"/>
      <c r="BM17" s="215"/>
      <c r="BN17" s="215"/>
      <c r="BO17" s="215"/>
      <c r="BP17" s="215"/>
      <c r="BQ17" s="215"/>
      <c r="BR17" s="215"/>
      <c r="BS17" s="215"/>
      <c r="BT17" s="215"/>
      <c r="BU17" s="215"/>
      <c r="BV17" s="215"/>
      <c r="BW17" s="216"/>
    </row>
    <row r="18" spans="1:75" s="11" customFormat="1" ht="13.5" customHeight="1">
      <c r="A18" s="28"/>
      <c r="B18" s="31"/>
      <c r="C18" s="24"/>
      <c r="D18" s="24"/>
      <c r="E18" s="24"/>
      <c r="F18" s="24"/>
      <c r="G18" s="24"/>
      <c r="H18" s="24"/>
      <c r="I18" s="31"/>
      <c r="J18" s="24"/>
      <c r="K18" s="24"/>
      <c r="L18" s="24"/>
      <c r="M18" s="24"/>
      <c r="N18" s="24"/>
      <c r="O18" s="24"/>
      <c r="P18" s="31"/>
      <c r="Q18" s="24"/>
      <c r="R18" s="24"/>
      <c r="S18" s="24"/>
      <c r="T18" s="24"/>
      <c r="U18" s="24"/>
      <c r="V18" s="24"/>
      <c r="W18" s="31"/>
      <c r="X18" s="24"/>
      <c r="Y18" s="24"/>
      <c r="Z18" s="24"/>
      <c r="AA18" s="24"/>
      <c r="AB18" s="24"/>
      <c r="AC18" s="23"/>
      <c r="AD18" s="31"/>
      <c r="AE18" s="24"/>
      <c r="AF18" s="24"/>
      <c r="AG18" s="24"/>
      <c r="AH18" s="24"/>
      <c r="AI18" s="24"/>
      <c r="AJ18" s="23"/>
      <c r="AK18" s="24"/>
      <c r="AL18" s="8"/>
      <c r="AM18" s="8"/>
      <c r="AN18" s="8"/>
      <c r="AO18" s="8"/>
      <c r="AP18" s="8"/>
      <c r="AQ18" s="24"/>
      <c r="AR18" s="24"/>
      <c r="AS18" s="24"/>
      <c r="AT18" s="24"/>
      <c r="AU18" s="24"/>
      <c r="AV18" s="24"/>
      <c r="AW18" s="24"/>
      <c r="AX18" s="24"/>
      <c r="AY18" s="24"/>
      <c r="AZ18" s="24"/>
      <c r="BA18" s="31"/>
      <c r="BB18" s="24"/>
      <c r="BC18" s="24"/>
      <c r="BD18" s="24"/>
      <c r="BE18" s="23"/>
      <c r="BF18" s="13"/>
      <c r="BH18" s="62"/>
      <c r="BL18" s="214"/>
      <c r="BM18" s="215"/>
      <c r="BN18" s="215"/>
      <c r="BO18" s="215"/>
      <c r="BP18" s="215"/>
      <c r="BQ18" s="215"/>
      <c r="BR18" s="215"/>
      <c r="BS18" s="215"/>
      <c r="BT18" s="215"/>
      <c r="BU18" s="215"/>
      <c r="BV18" s="215"/>
      <c r="BW18" s="216"/>
    </row>
    <row r="19" spans="1:75" s="11" customFormat="1" ht="13.5" customHeight="1">
      <c r="A19" s="28"/>
      <c r="B19" s="31"/>
      <c r="C19" s="24"/>
      <c r="D19" s="24"/>
      <c r="E19" s="24"/>
      <c r="F19" s="24"/>
      <c r="G19" s="24"/>
      <c r="H19" s="24"/>
      <c r="I19" s="31"/>
      <c r="J19" s="24"/>
      <c r="K19" s="24"/>
      <c r="L19" s="24"/>
      <c r="M19" s="24"/>
      <c r="N19" s="24"/>
      <c r="O19" s="24"/>
      <c r="P19" s="31"/>
      <c r="Q19" s="24"/>
      <c r="R19" s="24"/>
      <c r="S19" s="24"/>
      <c r="T19" s="24"/>
      <c r="U19" s="24"/>
      <c r="V19" s="24"/>
      <c r="W19" s="31"/>
      <c r="X19" s="24"/>
      <c r="Y19" s="24"/>
      <c r="Z19" s="24"/>
      <c r="AA19" s="24"/>
      <c r="AB19" s="24"/>
      <c r="AC19" s="23"/>
      <c r="AD19" s="31"/>
      <c r="AE19" s="24"/>
      <c r="AF19" s="24"/>
      <c r="AG19" s="24"/>
      <c r="AH19" s="24"/>
      <c r="AI19" s="24"/>
      <c r="AJ19" s="23"/>
      <c r="AK19" s="24"/>
      <c r="AL19" s="8"/>
      <c r="AM19" s="8"/>
      <c r="AN19" s="8"/>
      <c r="AO19" s="8"/>
      <c r="AP19" s="8"/>
      <c r="AQ19" s="24"/>
      <c r="AR19" s="24"/>
      <c r="AS19" s="24"/>
      <c r="AT19" s="24"/>
      <c r="AU19" s="24"/>
      <c r="AV19" s="24"/>
      <c r="AW19" s="24"/>
      <c r="AX19" s="24"/>
      <c r="AY19" s="24"/>
      <c r="AZ19" s="24"/>
      <c r="BA19" s="31"/>
      <c r="BB19" s="24"/>
      <c r="BC19" s="24"/>
      <c r="BD19" s="24"/>
      <c r="BE19" s="23"/>
      <c r="BF19" s="13"/>
      <c r="BH19" s="62"/>
      <c r="BL19" s="214"/>
      <c r="BM19" s="215"/>
      <c r="BN19" s="215"/>
      <c r="BO19" s="215"/>
      <c r="BP19" s="215"/>
      <c r="BQ19" s="215"/>
      <c r="BR19" s="215"/>
      <c r="BS19" s="215"/>
      <c r="BT19" s="215"/>
      <c r="BU19" s="215"/>
      <c r="BV19" s="215"/>
      <c r="BW19" s="216"/>
    </row>
    <row r="20" spans="1:75" s="11" customFormat="1" ht="13.5" customHeight="1">
      <c r="A20" s="28"/>
      <c r="B20" s="31"/>
      <c r="C20" s="24"/>
      <c r="D20" s="24"/>
      <c r="E20" s="24"/>
      <c r="F20" s="24"/>
      <c r="G20" s="24"/>
      <c r="H20" s="24"/>
      <c r="I20" s="31"/>
      <c r="J20" s="24"/>
      <c r="K20" s="24"/>
      <c r="L20" s="24"/>
      <c r="M20" s="24"/>
      <c r="N20" s="24"/>
      <c r="O20" s="24"/>
      <c r="P20" s="31"/>
      <c r="Q20" s="24"/>
      <c r="R20" s="24"/>
      <c r="S20" s="24"/>
      <c r="T20" s="24"/>
      <c r="U20" s="24"/>
      <c r="V20" s="24"/>
      <c r="W20" s="31"/>
      <c r="X20" s="24"/>
      <c r="Y20" s="24"/>
      <c r="Z20" s="24"/>
      <c r="AA20" s="24"/>
      <c r="AB20" s="24"/>
      <c r="AC20" s="23"/>
      <c r="AD20" s="31"/>
      <c r="AE20" s="24"/>
      <c r="AF20" s="24"/>
      <c r="AG20" s="24"/>
      <c r="AH20" s="24"/>
      <c r="AI20" s="24"/>
      <c r="AJ20" s="23"/>
      <c r="AK20" s="24"/>
      <c r="AL20" s="8"/>
      <c r="AM20" s="8"/>
      <c r="AN20" s="8"/>
      <c r="AO20" s="8"/>
      <c r="AP20" s="8"/>
      <c r="AQ20" s="24"/>
      <c r="AR20" s="24"/>
      <c r="AS20" s="24"/>
      <c r="AT20" s="24"/>
      <c r="AU20" s="24"/>
      <c r="AV20" s="24"/>
      <c r="AW20" s="24"/>
      <c r="AX20" s="24"/>
      <c r="AY20" s="24"/>
      <c r="AZ20" s="24"/>
      <c r="BA20" s="31"/>
      <c r="BB20" s="24"/>
      <c r="BC20" s="24"/>
      <c r="BD20" s="24"/>
      <c r="BE20" s="23"/>
      <c r="BF20" s="13"/>
      <c r="BH20" s="62"/>
      <c r="BL20" s="214"/>
      <c r="BM20" s="215"/>
      <c r="BN20" s="215"/>
      <c r="BO20" s="215"/>
      <c r="BP20" s="215"/>
      <c r="BQ20" s="215"/>
      <c r="BR20" s="215"/>
      <c r="BS20" s="215"/>
      <c r="BT20" s="215"/>
      <c r="BU20" s="215"/>
      <c r="BV20" s="215"/>
      <c r="BW20" s="216"/>
    </row>
    <row r="21" spans="1:75" s="11" customFormat="1" ht="13.5" customHeight="1">
      <c r="A21" s="28"/>
      <c r="B21" s="31"/>
      <c r="C21" s="24"/>
      <c r="D21" s="24"/>
      <c r="E21" s="24"/>
      <c r="F21" s="24"/>
      <c r="G21" s="24"/>
      <c r="H21" s="24"/>
      <c r="I21" s="31"/>
      <c r="J21" s="24"/>
      <c r="K21" s="24"/>
      <c r="L21" s="24"/>
      <c r="M21" s="24"/>
      <c r="N21" s="24"/>
      <c r="O21" s="24"/>
      <c r="P21" s="31"/>
      <c r="Q21" s="24"/>
      <c r="R21" s="24"/>
      <c r="S21" s="24"/>
      <c r="T21" s="24"/>
      <c r="U21" s="24"/>
      <c r="V21" s="24"/>
      <c r="W21" s="31"/>
      <c r="X21" s="24"/>
      <c r="Y21" s="24"/>
      <c r="Z21" s="24"/>
      <c r="AA21" s="24"/>
      <c r="AB21" s="24"/>
      <c r="AC21" s="23"/>
      <c r="AD21" s="31"/>
      <c r="AE21" s="24"/>
      <c r="AF21" s="24"/>
      <c r="AG21" s="24"/>
      <c r="AH21" s="24"/>
      <c r="AI21" s="24"/>
      <c r="AJ21" s="23"/>
      <c r="AK21" s="24"/>
      <c r="AL21" s="8"/>
      <c r="AM21" s="8"/>
      <c r="AN21" s="8"/>
      <c r="AO21" s="8"/>
      <c r="AP21" s="8"/>
      <c r="AQ21" s="24"/>
      <c r="AR21" s="24"/>
      <c r="AS21" s="24"/>
      <c r="AT21" s="24"/>
      <c r="AU21" s="24"/>
      <c r="AV21" s="24"/>
      <c r="AW21" s="24"/>
      <c r="AX21" s="24"/>
      <c r="AY21" s="24"/>
      <c r="AZ21" s="24"/>
      <c r="BA21" s="31"/>
      <c r="BB21" s="24"/>
      <c r="BC21" s="24"/>
      <c r="BD21" s="24"/>
      <c r="BE21" s="23"/>
      <c r="BF21" s="13"/>
      <c r="BH21" s="62"/>
      <c r="BL21" s="214"/>
      <c r="BM21" s="215"/>
      <c r="BN21" s="215"/>
      <c r="BO21" s="215"/>
      <c r="BP21" s="215"/>
      <c r="BQ21" s="215"/>
      <c r="BR21" s="215"/>
      <c r="BS21" s="215"/>
      <c r="BT21" s="215"/>
      <c r="BU21" s="215"/>
      <c r="BV21" s="215"/>
      <c r="BW21" s="216"/>
    </row>
    <row r="22" spans="1:75" s="11" customFormat="1" ht="13.5" customHeight="1">
      <c r="A22" s="28"/>
      <c r="B22" s="31"/>
      <c r="C22" s="24"/>
      <c r="D22" s="24"/>
      <c r="E22" s="24"/>
      <c r="F22" s="24"/>
      <c r="G22" s="24"/>
      <c r="H22" s="24"/>
      <c r="I22" s="31"/>
      <c r="J22" s="24"/>
      <c r="K22" s="24"/>
      <c r="L22" s="24"/>
      <c r="M22" s="24"/>
      <c r="N22" s="24"/>
      <c r="O22" s="24"/>
      <c r="P22" s="31"/>
      <c r="Q22" s="24"/>
      <c r="R22" s="24"/>
      <c r="S22" s="24"/>
      <c r="T22" s="24"/>
      <c r="U22" s="24"/>
      <c r="V22" s="24"/>
      <c r="W22" s="31"/>
      <c r="X22" s="24"/>
      <c r="Y22" s="24"/>
      <c r="Z22" s="24"/>
      <c r="AA22" s="24"/>
      <c r="AB22" s="24"/>
      <c r="AC22" s="23"/>
      <c r="AD22" s="31"/>
      <c r="AE22" s="24"/>
      <c r="AF22" s="24"/>
      <c r="AG22" s="24"/>
      <c r="AH22" s="24"/>
      <c r="AI22" s="24"/>
      <c r="AJ22" s="23"/>
      <c r="AK22" s="24"/>
      <c r="AL22" s="8"/>
      <c r="AM22" s="8"/>
      <c r="AN22" s="8"/>
      <c r="AO22" s="8"/>
      <c r="AP22" s="8"/>
      <c r="AQ22" s="24"/>
      <c r="AR22" s="24"/>
      <c r="AS22" s="24"/>
      <c r="AT22" s="24"/>
      <c r="AU22" s="24"/>
      <c r="AV22" s="24"/>
      <c r="AW22" s="24"/>
      <c r="AX22" s="24"/>
      <c r="AY22" s="24"/>
      <c r="AZ22" s="24"/>
      <c r="BA22" s="31"/>
      <c r="BB22" s="24"/>
      <c r="BC22" s="24"/>
      <c r="BD22" s="24"/>
      <c r="BE22" s="23"/>
      <c r="BF22" s="13"/>
      <c r="BH22" s="62"/>
      <c r="BL22" s="214"/>
      <c r="BM22" s="215"/>
      <c r="BN22" s="215"/>
      <c r="BO22" s="215"/>
      <c r="BP22" s="215"/>
      <c r="BQ22" s="215"/>
      <c r="BR22" s="215"/>
      <c r="BS22" s="215"/>
      <c r="BT22" s="215"/>
      <c r="BU22" s="215"/>
      <c r="BV22" s="215"/>
      <c r="BW22" s="216"/>
    </row>
    <row r="23" spans="1:75" s="11" customFormat="1" ht="13.5" customHeight="1">
      <c r="A23" s="28"/>
      <c r="B23" s="31"/>
      <c r="C23" s="24"/>
      <c r="D23" s="24"/>
      <c r="E23" s="24"/>
      <c r="F23" s="24"/>
      <c r="G23" s="24"/>
      <c r="H23" s="24"/>
      <c r="I23" s="31"/>
      <c r="J23" s="24"/>
      <c r="K23" s="24"/>
      <c r="L23" s="24"/>
      <c r="M23" s="24"/>
      <c r="N23" s="24"/>
      <c r="O23" s="24"/>
      <c r="P23" s="31"/>
      <c r="Q23" s="24"/>
      <c r="R23" s="24"/>
      <c r="S23" s="24"/>
      <c r="T23" s="24"/>
      <c r="U23" s="24"/>
      <c r="V23" s="24"/>
      <c r="W23" s="31"/>
      <c r="X23" s="24"/>
      <c r="Y23" s="24"/>
      <c r="Z23" s="24"/>
      <c r="AA23" s="24"/>
      <c r="AB23" s="24"/>
      <c r="AC23" s="23"/>
      <c r="AD23" s="31"/>
      <c r="AE23" s="24"/>
      <c r="AF23" s="24"/>
      <c r="AG23" s="24"/>
      <c r="AH23" s="24"/>
      <c r="AI23" s="24"/>
      <c r="AJ23" s="23"/>
      <c r="AK23" s="24"/>
      <c r="AL23" s="16" t="s">
        <v>176</v>
      </c>
      <c r="AM23" s="8"/>
      <c r="AN23" s="8"/>
      <c r="AO23" s="8"/>
      <c r="AP23" s="8"/>
      <c r="AQ23" s="24"/>
      <c r="AR23" s="24"/>
      <c r="AS23" s="24"/>
      <c r="AT23" s="24"/>
      <c r="AU23" s="24"/>
      <c r="AV23" s="24"/>
      <c r="AW23" s="24"/>
      <c r="AX23" s="24"/>
      <c r="AY23" s="24"/>
      <c r="AZ23" s="24"/>
      <c r="BA23" s="31"/>
      <c r="BB23" s="24"/>
      <c r="BC23" s="24"/>
      <c r="BD23" s="24"/>
      <c r="BE23" s="23"/>
      <c r="BF23" s="13"/>
      <c r="BH23" s="62"/>
      <c r="BL23" s="214"/>
      <c r="BM23" s="215"/>
      <c r="BN23" s="215"/>
      <c r="BO23" s="215"/>
      <c r="BP23" s="215"/>
      <c r="BQ23" s="215"/>
      <c r="BR23" s="215"/>
      <c r="BS23" s="215"/>
      <c r="BT23" s="215"/>
      <c r="BU23" s="215"/>
      <c r="BV23" s="215"/>
      <c r="BW23" s="216"/>
    </row>
    <row r="24" spans="1:75" s="11" customFormat="1" ht="13.5" customHeight="1">
      <c r="A24" s="28"/>
      <c r="B24" s="31"/>
      <c r="C24" s="24"/>
      <c r="D24" s="24"/>
      <c r="E24" s="24"/>
      <c r="F24" s="24"/>
      <c r="G24" s="24"/>
      <c r="H24" s="24"/>
      <c r="I24" s="31"/>
      <c r="J24" s="24"/>
      <c r="K24" s="24"/>
      <c r="L24" s="24"/>
      <c r="M24" s="24"/>
      <c r="N24" s="24"/>
      <c r="O24" s="24"/>
      <c r="P24" s="31"/>
      <c r="Q24" s="24"/>
      <c r="R24" s="24"/>
      <c r="S24" s="24"/>
      <c r="T24" s="24"/>
      <c r="U24" s="24"/>
      <c r="V24" s="24"/>
      <c r="W24" s="31"/>
      <c r="X24" s="24"/>
      <c r="Y24" s="24"/>
      <c r="Z24" s="24"/>
      <c r="AA24" s="24"/>
      <c r="AB24" s="24"/>
      <c r="AC24" s="23"/>
      <c r="AD24" s="31"/>
      <c r="AE24" s="24"/>
      <c r="AF24" s="24"/>
      <c r="AG24" s="24"/>
      <c r="AH24" s="24"/>
      <c r="AI24" s="24"/>
      <c r="AJ24" s="23"/>
      <c r="AK24" s="24"/>
      <c r="AL24" s="8"/>
      <c r="AM24" s="8" t="s">
        <v>177</v>
      </c>
      <c r="AN24" s="8"/>
      <c r="AO24" s="8"/>
      <c r="AP24" s="24"/>
      <c r="AQ24" s="24"/>
      <c r="AR24" s="24"/>
      <c r="AS24" s="24"/>
      <c r="AT24" s="24"/>
      <c r="AU24" s="24"/>
      <c r="AV24" s="24"/>
      <c r="AW24" s="24"/>
      <c r="AX24" s="24"/>
      <c r="AY24" s="24"/>
      <c r="AZ24" s="24"/>
      <c r="BA24" s="31"/>
      <c r="BB24" s="24"/>
      <c r="BC24" s="24"/>
      <c r="BD24" s="24"/>
      <c r="BE24" s="23"/>
      <c r="BF24" s="13"/>
      <c r="BH24" s="62"/>
      <c r="BL24" s="214"/>
      <c r="BM24" s="215"/>
      <c r="BN24" s="215"/>
      <c r="BO24" s="215"/>
      <c r="BP24" s="215"/>
      <c r="BQ24" s="215"/>
      <c r="BR24" s="215"/>
      <c r="BS24" s="215"/>
      <c r="BT24" s="215"/>
      <c r="BU24" s="215"/>
      <c r="BV24" s="215"/>
      <c r="BW24" s="216"/>
    </row>
    <row r="25" spans="1:75" s="11" customFormat="1" ht="13.5" customHeight="1">
      <c r="A25" s="28"/>
      <c r="B25" s="31"/>
      <c r="C25" s="24"/>
      <c r="D25" s="24"/>
      <c r="E25" s="24"/>
      <c r="F25" s="24"/>
      <c r="G25" s="24"/>
      <c r="H25" s="24"/>
      <c r="I25" s="31"/>
      <c r="J25" s="24"/>
      <c r="K25" s="24"/>
      <c r="L25" s="24"/>
      <c r="M25" s="24"/>
      <c r="N25" s="24"/>
      <c r="O25" s="24"/>
      <c r="P25" s="31"/>
      <c r="Q25" s="24"/>
      <c r="R25" s="24"/>
      <c r="S25" s="24"/>
      <c r="T25" s="24"/>
      <c r="U25" s="24"/>
      <c r="V25" s="24"/>
      <c r="W25" s="31"/>
      <c r="X25" s="24"/>
      <c r="Y25" s="24"/>
      <c r="Z25" s="24"/>
      <c r="AA25" s="24"/>
      <c r="AB25" s="24"/>
      <c r="AC25" s="23"/>
      <c r="AD25" s="31"/>
      <c r="AE25" s="24"/>
      <c r="AF25" s="24"/>
      <c r="AG25" s="24"/>
      <c r="AH25" s="24"/>
      <c r="AI25" s="24"/>
      <c r="AJ25" s="23"/>
      <c r="AK25" s="24"/>
      <c r="AL25" s="8"/>
      <c r="AM25" s="8" t="s">
        <v>178</v>
      </c>
      <c r="AN25" s="8"/>
      <c r="AO25" s="8"/>
      <c r="AP25" s="24"/>
      <c r="AQ25" s="24"/>
      <c r="AR25" s="24"/>
      <c r="AS25" s="24"/>
      <c r="AT25" s="24"/>
      <c r="AU25" s="24"/>
      <c r="AV25" s="24"/>
      <c r="AW25" s="24"/>
      <c r="AX25" s="24"/>
      <c r="AY25" s="24"/>
      <c r="AZ25" s="24"/>
      <c r="BA25" s="31"/>
      <c r="BB25" s="24"/>
      <c r="BC25" s="24"/>
      <c r="BD25" s="24"/>
      <c r="BE25" s="23"/>
      <c r="BF25" s="13"/>
      <c r="BH25" s="62"/>
      <c r="BL25" s="214"/>
      <c r="BM25" s="215"/>
      <c r="BN25" s="215"/>
      <c r="BO25" s="215"/>
      <c r="BP25" s="215"/>
      <c r="BQ25" s="215"/>
      <c r="BR25" s="215"/>
      <c r="BS25" s="215"/>
      <c r="BT25" s="215"/>
      <c r="BU25" s="215"/>
      <c r="BV25" s="215"/>
      <c r="BW25" s="216"/>
    </row>
    <row r="26" spans="1:75" s="11" customFormat="1" ht="13.5" customHeight="1">
      <c r="A26" s="28"/>
      <c r="B26" s="31"/>
      <c r="C26" s="24"/>
      <c r="D26" s="24"/>
      <c r="E26" s="24"/>
      <c r="F26" s="24"/>
      <c r="G26" s="24"/>
      <c r="H26" s="24"/>
      <c r="I26" s="31"/>
      <c r="J26" s="24"/>
      <c r="K26" s="24"/>
      <c r="L26" s="24"/>
      <c r="M26" s="24"/>
      <c r="N26" s="24"/>
      <c r="O26" s="24"/>
      <c r="P26" s="31"/>
      <c r="Q26" s="24"/>
      <c r="R26" s="24"/>
      <c r="S26" s="24"/>
      <c r="T26" s="24"/>
      <c r="U26" s="24"/>
      <c r="V26" s="24"/>
      <c r="W26" s="31"/>
      <c r="X26" s="24"/>
      <c r="Y26" s="24"/>
      <c r="Z26" s="24"/>
      <c r="AA26" s="24"/>
      <c r="AB26" s="24"/>
      <c r="AC26" s="23"/>
      <c r="AD26" s="31"/>
      <c r="AE26" s="24"/>
      <c r="AF26" s="24"/>
      <c r="AG26" s="24"/>
      <c r="AH26" s="24"/>
      <c r="AI26" s="24"/>
      <c r="AJ26" s="23"/>
      <c r="AK26" s="24"/>
      <c r="AL26" s="24"/>
      <c r="AM26" s="48" t="s">
        <v>128</v>
      </c>
      <c r="AN26" s="49"/>
      <c r="AO26" s="49"/>
      <c r="AP26" s="49"/>
      <c r="AQ26" s="49"/>
      <c r="AR26" s="49"/>
      <c r="AS26" s="49"/>
      <c r="AT26" s="50"/>
      <c r="AU26" s="24"/>
      <c r="AV26" s="24"/>
      <c r="AW26" s="24"/>
      <c r="AX26" s="24"/>
      <c r="AY26" s="24"/>
      <c r="AZ26" s="24"/>
      <c r="BA26" s="31"/>
      <c r="BB26" s="24"/>
      <c r="BC26" s="24"/>
      <c r="BD26" s="24"/>
      <c r="BE26" s="23"/>
      <c r="BF26" s="13"/>
      <c r="BH26" s="62"/>
      <c r="BL26" s="214"/>
      <c r="BM26" s="215"/>
      <c r="BN26" s="215"/>
      <c r="BO26" s="215"/>
      <c r="BP26" s="215"/>
      <c r="BQ26" s="215"/>
      <c r="BR26" s="215"/>
      <c r="BS26" s="215"/>
      <c r="BT26" s="215"/>
      <c r="BU26" s="215"/>
      <c r="BV26" s="215"/>
      <c r="BW26" s="216"/>
    </row>
    <row r="27" spans="1:75" s="11" customFormat="1" ht="13.5" customHeight="1">
      <c r="A27" s="28"/>
      <c r="B27" s="31"/>
      <c r="C27" s="24"/>
      <c r="D27" s="24"/>
      <c r="E27" s="24"/>
      <c r="F27" s="24"/>
      <c r="G27" s="24"/>
      <c r="H27" s="24"/>
      <c r="I27" s="31"/>
      <c r="J27" s="24"/>
      <c r="K27" s="24"/>
      <c r="L27" s="24"/>
      <c r="M27" s="24"/>
      <c r="N27" s="24"/>
      <c r="O27" s="24"/>
      <c r="P27" s="31"/>
      <c r="Q27" s="24"/>
      <c r="R27" s="24"/>
      <c r="S27" s="24"/>
      <c r="T27" s="24"/>
      <c r="U27" s="24"/>
      <c r="V27" s="24"/>
      <c r="W27" s="31"/>
      <c r="X27" s="24"/>
      <c r="Y27" s="24"/>
      <c r="Z27" s="24"/>
      <c r="AA27" s="24"/>
      <c r="AB27" s="24"/>
      <c r="AC27" s="23"/>
      <c r="AD27" s="31"/>
      <c r="AE27" s="24"/>
      <c r="AF27" s="24"/>
      <c r="AG27" s="24"/>
      <c r="AH27" s="24"/>
      <c r="AI27" s="24"/>
      <c r="AJ27" s="23"/>
      <c r="AK27" s="24"/>
      <c r="AL27" s="24"/>
      <c r="AM27" s="79" t="s">
        <v>179</v>
      </c>
      <c r="AN27" s="58"/>
      <c r="AO27" s="58"/>
      <c r="AP27" s="74"/>
      <c r="AQ27" s="79" t="s">
        <v>132</v>
      </c>
      <c r="AR27" s="58"/>
      <c r="AS27" s="58"/>
      <c r="AT27" s="74"/>
      <c r="AU27" s="24"/>
      <c r="AV27" s="24"/>
      <c r="AW27" s="24"/>
      <c r="AX27" s="24"/>
      <c r="AY27" s="24"/>
      <c r="AZ27" s="24"/>
      <c r="BA27" s="31"/>
      <c r="BB27" s="24"/>
      <c r="BC27" s="24"/>
      <c r="BD27" s="24"/>
      <c r="BE27" s="23"/>
      <c r="BF27" s="13"/>
      <c r="BH27" s="62"/>
      <c r="BL27" s="214"/>
      <c r="BM27" s="215"/>
      <c r="BN27" s="215"/>
      <c r="BO27" s="215"/>
      <c r="BP27" s="215"/>
      <c r="BQ27" s="215"/>
      <c r="BR27" s="215"/>
      <c r="BS27" s="215"/>
      <c r="BT27" s="215"/>
      <c r="BU27" s="215"/>
      <c r="BV27" s="215"/>
      <c r="BW27" s="216"/>
    </row>
    <row r="28" spans="1:75" s="11" customFormat="1" ht="13.5" customHeight="1">
      <c r="A28" s="28"/>
      <c r="B28" s="31"/>
      <c r="C28" s="24"/>
      <c r="D28" s="24"/>
      <c r="E28" s="24"/>
      <c r="F28" s="24"/>
      <c r="G28" s="24"/>
      <c r="H28" s="24"/>
      <c r="I28" s="31"/>
      <c r="J28" s="24"/>
      <c r="K28" s="24"/>
      <c r="L28" s="24"/>
      <c r="M28" s="24"/>
      <c r="N28" s="24"/>
      <c r="O28" s="24"/>
      <c r="P28" s="31"/>
      <c r="Q28" s="24"/>
      <c r="R28" s="24"/>
      <c r="S28" s="24"/>
      <c r="T28" s="24"/>
      <c r="U28" s="24"/>
      <c r="V28" s="24"/>
      <c r="W28" s="31"/>
      <c r="X28" s="24"/>
      <c r="Y28" s="24"/>
      <c r="Z28" s="24"/>
      <c r="AA28" s="24"/>
      <c r="AB28" s="24"/>
      <c r="AC28" s="23"/>
      <c r="AD28" s="31"/>
      <c r="AE28" s="24"/>
      <c r="AF28" s="24"/>
      <c r="AG28" s="24"/>
      <c r="AH28" s="24"/>
      <c r="AI28" s="24"/>
      <c r="AJ28" s="23"/>
      <c r="AK28" s="24"/>
      <c r="AL28" s="24"/>
      <c r="AM28" s="24"/>
      <c r="AN28" s="24"/>
      <c r="AO28" s="24"/>
      <c r="AP28" s="24"/>
      <c r="AQ28" s="24"/>
      <c r="AR28" s="24"/>
      <c r="AS28" s="24"/>
      <c r="AT28" s="24"/>
      <c r="AU28" s="24"/>
      <c r="AV28" s="24"/>
      <c r="AW28" s="24"/>
      <c r="AX28" s="24"/>
      <c r="AY28" s="24"/>
      <c r="AZ28" s="24"/>
      <c r="BA28" s="31"/>
      <c r="BB28" s="24"/>
      <c r="BC28" s="24"/>
      <c r="BD28" s="24"/>
      <c r="BE28" s="23"/>
      <c r="BF28" s="13"/>
      <c r="BH28" s="62"/>
      <c r="BL28" s="214"/>
      <c r="BM28" s="215"/>
      <c r="BN28" s="215"/>
      <c r="BO28" s="215"/>
      <c r="BP28" s="215"/>
      <c r="BQ28" s="215"/>
      <c r="BR28" s="215"/>
      <c r="BS28" s="215"/>
      <c r="BT28" s="215"/>
      <c r="BU28" s="215"/>
      <c r="BV28" s="215"/>
      <c r="BW28" s="216"/>
    </row>
    <row r="29" spans="1:75" s="11" customFormat="1" ht="13.5" customHeight="1">
      <c r="A29" s="28"/>
      <c r="B29" s="33"/>
      <c r="C29"/>
      <c r="D29"/>
      <c r="E29"/>
      <c r="F29"/>
      <c r="G29"/>
      <c r="H29"/>
      <c r="I29" s="33"/>
      <c r="J29"/>
      <c r="K29"/>
      <c r="L29"/>
      <c r="M29"/>
      <c r="N29"/>
      <c r="O29"/>
      <c r="P29" s="33"/>
      <c r="Q29"/>
      <c r="R29"/>
      <c r="S29"/>
      <c r="T29"/>
      <c r="U29"/>
      <c r="V29"/>
      <c r="W29" s="33"/>
      <c r="X29"/>
      <c r="Y29"/>
      <c r="Z29"/>
      <c r="AA29"/>
      <c r="AB29"/>
      <c r="AC29" s="22"/>
      <c r="AD29" s="33"/>
      <c r="AE29"/>
      <c r="AF29"/>
      <c r="AG29"/>
      <c r="AH29"/>
      <c r="AI29"/>
      <c r="AJ29" s="22"/>
      <c r="BA29" s="34"/>
      <c r="BE29" s="13"/>
      <c r="BF29" s="13"/>
      <c r="BH29" s="62"/>
      <c r="BL29" s="214"/>
      <c r="BM29" s="215"/>
      <c r="BN29" s="215"/>
      <c r="BO29" s="215"/>
      <c r="BP29" s="215"/>
      <c r="BQ29" s="215"/>
      <c r="BR29" s="215"/>
      <c r="BS29" s="215"/>
      <c r="BT29" s="215"/>
      <c r="BU29" s="215"/>
      <c r="BV29" s="215"/>
      <c r="BW29" s="216"/>
    </row>
    <row r="30" spans="1:75" s="11" customFormat="1">
      <c r="A30" s="28"/>
      <c r="B30" s="34"/>
      <c r="I30" s="34"/>
      <c r="P30" s="34"/>
      <c r="W30" s="34"/>
      <c r="AC30" s="13"/>
      <c r="AD30" s="34"/>
      <c r="AJ30" s="13"/>
      <c r="AL30" s="25"/>
      <c r="AN30" s="8"/>
      <c r="AO30" s="8"/>
      <c r="BA30" s="27" t="s">
        <v>160</v>
      </c>
      <c r="BE30" s="13"/>
      <c r="BF30" s="13"/>
      <c r="BH30" s="62"/>
      <c r="BL30" s="214"/>
      <c r="BM30" s="215"/>
      <c r="BN30" s="215"/>
      <c r="BO30" s="215"/>
      <c r="BP30" s="215"/>
      <c r="BQ30" s="215"/>
      <c r="BR30" s="215"/>
      <c r="BS30" s="215"/>
      <c r="BT30" s="215"/>
      <c r="BU30" s="215"/>
      <c r="BV30" s="215"/>
      <c r="BW30" s="216"/>
    </row>
    <row r="31" spans="1:75" ht="49.5" customHeight="1">
      <c r="A31" s="27"/>
      <c r="B31" s="27"/>
      <c r="I31" s="27"/>
      <c r="P31" s="27"/>
      <c r="W31" s="27"/>
      <c r="AC31" s="14"/>
      <c r="AD31" s="27"/>
      <c r="AJ31" s="14"/>
      <c r="BA31" s="27"/>
      <c r="BE31" s="14"/>
      <c r="BF31" s="14"/>
      <c r="BH31" s="64"/>
      <c r="BL31" s="214"/>
      <c r="BM31" s="215"/>
      <c r="BN31" s="215"/>
      <c r="BO31" s="215"/>
      <c r="BP31" s="215"/>
      <c r="BQ31" s="215"/>
      <c r="BR31" s="215"/>
      <c r="BS31" s="215"/>
      <c r="BT31" s="215"/>
      <c r="BU31" s="215"/>
      <c r="BV31" s="215"/>
      <c r="BW31" s="216"/>
    </row>
    <row r="32" spans="1:75" ht="74.099999999999994" customHeight="1">
      <c r="A32" s="27"/>
      <c r="B32" s="27"/>
      <c r="I32" s="27"/>
      <c r="P32" s="27"/>
      <c r="W32" s="27"/>
      <c r="AC32" s="14"/>
      <c r="AD32" s="27"/>
      <c r="AJ32" s="14"/>
      <c r="BA32" s="27"/>
      <c r="BE32" s="14"/>
      <c r="BF32" s="14"/>
      <c r="BH32" s="64"/>
      <c r="BL32" s="340" t="s">
        <v>180</v>
      </c>
      <c r="BM32" s="341"/>
      <c r="BN32" s="341"/>
      <c r="BO32" s="341"/>
      <c r="BP32" s="341"/>
      <c r="BQ32" s="341"/>
      <c r="BR32" s="341"/>
      <c r="BS32" s="341"/>
      <c r="BT32" s="341"/>
      <c r="BU32" s="341"/>
      <c r="BV32" s="341"/>
      <c r="BW32" s="342"/>
    </row>
    <row r="33" spans="1:75">
      <c r="A33" s="27"/>
      <c r="B33" s="27"/>
      <c r="I33" s="27"/>
      <c r="P33" s="27"/>
      <c r="W33" s="27"/>
      <c r="AC33" s="14"/>
      <c r="AD33" s="27"/>
      <c r="AJ33" s="14"/>
      <c r="AL33" s="11"/>
      <c r="AM33" s="11"/>
      <c r="AN33" s="11"/>
      <c r="AO33" s="11"/>
      <c r="BA33" s="27"/>
      <c r="BE33" s="14"/>
      <c r="BF33" s="14"/>
      <c r="BH33" s="64"/>
      <c r="BL33" s="64"/>
      <c r="BW33" s="65"/>
    </row>
    <row r="34" spans="1:75">
      <c r="A34" s="27"/>
      <c r="B34" s="27"/>
      <c r="I34" s="27"/>
      <c r="P34" s="27"/>
      <c r="W34" s="27"/>
      <c r="AC34" s="14"/>
      <c r="AD34" s="27"/>
      <c r="AJ34" s="14"/>
      <c r="BA34" s="27"/>
      <c r="BE34" s="14"/>
      <c r="BF34" s="14"/>
      <c r="BH34" s="64"/>
      <c r="BL34" s="64"/>
      <c r="BW34" s="65"/>
    </row>
    <row r="35" spans="1:75">
      <c r="A35" s="27"/>
      <c r="B35" s="27"/>
      <c r="I35" s="27"/>
      <c r="P35" s="27"/>
      <c r="W35" s="27"/>
      <c r="AC35" s="14"/>
      <c r="AD35" s="27"/>
      <c r="AJ35" s="14"/>
      <c r="AL35" s="86"/>
      <c r="BA35" s="27"/>
      <c r="BE35" s="14"/>
      <c r="BF35" s="14"/>
      <c r="BH35" s="64"/>
      <c r="BL35" s="64"/>
      <c r="BW35" s="65"/>
    </row>
    <row r="36" spans="1:75">
      <c r="A36" s="27"/>
      <c r="B36" s="27"/>
      <c r="I36" s="27"/>
      <c r="P36" s="27"/>
      <c r="W36" s="27"/>
      <c r="AC36" s="14"/>
      <c r="AD36" s="27"/>
      <c r="AJ36" s="14"/>
      <c r="BA36" s="27"/>
      <c r="BE36" s="14"/>
      <c r="BF36" s="14"/>
      <c r="BH36" s="64"/>
      <c r="BL36" s="64"/>
      <c r="BW36" s="65"/>
    </row>
    <row r="37" spans="1:75">
      <c r="A37" s="27"/>
      <c r="B37" s="27"/>
      <c r="I37" s="27"/>
      <c r="P37" s="27"/>
      <c r="W37" s="27"/>
      <c r="AC37" s="14"/>
      <c r="AD37" s="27"/>
      <c r="AJ37" s="14"/>
      <c r="BA37" s="27"/>
      <c r="BE37" s="14"/>
      <c r="BF37" s="14"/>
      <c r="BH37" s="64"/>
      <c r="BL37" s="64"/>
      <c r="BW37" s="65"/>
    </row>
    <row r="38" spans="1:75" s="11" customFormat="1" ht="13.5" customHeight="1">
      <c r="A38" s="28"/>
      <c r="B38" s="36" t="s">
        <v>181</v>
      </c>
      <c r="C38" s="26"/>
      <c r="D38" s="26"/>
      <c r="E38" s="26"/>
      <c r="F38" s="26"/>
      <c r="G38" s="26"/>
      <c r="H38" s="26"/>
      <c r="I38" s="26"/>
      <c r="J38" s="26"/>
      <c r="K38" s="26"/>
      <c r="L38" s="26"/>
      <c r="M38" s="26"/>
      <c r="N38" s="26"/>
      <c r="O38" s="26"/>
      <c r="P38" s="3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13"/>
      <c r="BH38" s="62"/>
      <c r="BL38" s="64"/>
      <c r="BM38" s="8"/>
      <c r="BN38" s="8"/>
      <c r="BO38" s="8"/>
      <c r="BP38" s="8"/>
      <c r="BQ38" s="8"/>
      <c r="BR38" s="8"/>
      <c r="BS38" s="8"/>
      <c r="BT38" s="8"/>
      <c r="BU38" s="8"/>
      <c r="BV38" s="8"/>
      <c r="BW38" s="65"/>
    </row>
    <row r="39" spans="1:75">
      <c r="A39" s="27"/>
      <c r="B39" s="27"/>
      <c r="I39" s="27"/>
      <c r="P39" s="27"/>
      <c r="W39" s="27"/>
      <c r="AC39" s="14"/>
      <c r="AD39" s="27"/>
      <c r="AJ39" s="14"/>
      <c r="BA39" s="27"/>
      <c r="BE39" s="14"/>
      <c r="BF39" s="14"/>
      <c r="BH39" s="64"/>
      <c r="BL39" s="64"/>
      <c r="BW39" s="65"/>
    </row>
    <row r="40" spans="1:75">
      <c r="A40" s="27"/>
      <c r="B40" s="27"/>
      <c r="I40" s="27"/>
      <c r="P40" s="27"/>
      <c r="W40" s="27"/>
      <c r="AC40" s="14"/>
      <c r="AD40" s="27"/>
      <c r="AJ40" s="14"/>
      <c r="BA40" s="27"/>
      <c r="BE40" s="14"/>
      <c r="BF40" s="14"/>
      <c r="BH40" s="64"/>
      <c r="BL40" s="64"/>
      <c r="BW40" s="65"/>
    </row>
    <row r="41" spans="1:75">
      <c r="A41" s="27"/>
      <c r="B41" s="27"/>
      <c r="I41" s="27"/>
      <c r="P41" s="27"/>
      <c r="W41" s="27"/>
      <c r="AC41" s="14"/>
      <c r="AD41" s="27"/>
      <c r="AJ41" s="14"/>
      <c r="BA41" s="27"/>
      <c r="BE41" s="14"/>
      <c r="BF41" s="14"/>
      <c r="BH41" s="64"/>
      <c r="BL41" s="64"/>
      <c r="BW41" s="65"/>
    </row>
    <row r="42" spans="1:75">
      <c r="A42" s="27"/>
      <c r="B42" s="27"/>
      <c r="I42" s="27"/>
      <c r="P42" s="27"/>
      <c r="W42" s="27"/>
      <c r="AC42" s="14"/>
      <c r="AD42" s="27"/>
      <c r="AJ42" s="14"/>
      <c r="BA42" s="27"/>
      <c r="BE42" s="14"/>
      <c r="BF42" s="14"/>
      <c r="BH42" s="64"/>
      <c r="BL42" s="64"/>
      <c r="BW42" s="65"/>
    </row>
    <row r="43" spans="1:75">
      <c r="A43" s="27"/>
      <c r="B43" s="27"/>
      <c r="I43" s="27"/>
      <c r="P43" s="27"/>
      <c r="W43" s="27"/>
      <c r="AC43" s="14"/>
      <c r="AD43" s="27"/>
      <c r="AJ43" s="14"/>
      <c r="BA43" s="27"/>
      <c r="BE43" s="14"/>
      <c r="BF43" s="14"/>
      <c r="BH43" s="64"/>
      <c r="BL43" s="64"/>
      <c r="BW43" s="65"/>
    </row>
    <row r="44" spans="1:75">
      <c r="A44" s="27"/>
      <c r="B44" s="27"/>
      <c r="I44" s="27"/>
      <c r="P44" s="27"/>
      <c r="W44" s="27"/>
      <c r="AC44" s="14"/>
      <c r="AD44" s="27"/>
      <c r="AJ44" s="14"/>
      <c r="BA44" s="27"/>
      <c r="BE44" s="14"/>
      <c r="BF44" s="14"/>
      <c r="BH44" s="64"/>
      <c r="BL44" s="64"/>
      <c r="BW44" s="65"/>
    </row>
    <row r="45" spans="1:75">
      <c r="A45" s="27"/>
      <c r="B45" s="27"/>
      <c r="I45" s="27"/>
      <c r="P45" s="27"/>
      <c r="W45" s="27"/>
      <c r="AC45" s="14"/>
      <c r="AD45" s="27"/>
      <c r="AJ45" s="14"/>
      <c r="BA45" s="27"/>
      <c r="BE45" s="14"/>
      <c r="BF45" s="14"/>
      <c r="BH45" s="64"/>
      <c r="BL45" s="64"/>
      <c r="BW45" s="65"/>
    </row>
    <row r="46" spans="1:75">
      <c r="A46" s="27"/>
      <c r="B46" s="27"/>
      <c r="I46" s="27"/>
      <c r="P46" s="27"/>
      <c r="W46" s="27"/>
      <c r="AC46" s="14"/>
      <c r="AD46" s="27"/>
      <c r="AJ46" s="14"/>
      <c r="BA46" s="27"/>
      <c r="BE46" s="14"/>
      <c r="BF46" s="14"/>
      <c r="BH46" s="64"/>
      <c r="BL46" s="64"/>
      <c r="BW46" s="65"/>
    </row>
    <row r="47" spans="1:75">
      <c r="A47" s="27"/>
      <c r="B47" s="27"/>
      <c r="I47" s="27"/>
      <c r="P47" s="27"/>
      <c r="W47" s="27"/>
      <c r="AC47" s="14"/>
      <c r="AD47" s="27"/>
      <c r="AJ47" s="14"/>
      <c r="BA47" s="27"/>
      <c r="BE47" s="14"/>
      <c r="BF47" s="14"/>
      <c r="BH47" s="64"/>
      <c r="BL47" s="64"/>
      <c r="BW47" s="65"/>
    </row>
    <row r="48" spans="1:75">
      <c r="A48" s="27"/>
      <c r="B48" s="27"/>
      <c r="I48" s="27"/>
      <c r="P48" s="27"/>
      <c r="W48" s="27"/>
      <c r="AC48" s="14"/>
      <c r="AD48" s="27"/>
      <c r="AJ48" s="14"/>
      <c r="BA48" s="27"/>
      <c r="BE48" s="14"/>
      <c r="BF48" s="14"/>
      <c r="BH48" s="64"/>
      <c r="BL48" s="64"/>
      <c r="BW48" s="65"/>
    </row>
    <row r="49" spans="1:75">
      <c r="A49" s="27"/>
      <c r="B49" s="27"/>
      <c r="I49" s="27"/>
      <c r="P49" s="27"/>
      <c r="W49" s="27"/>
      <c r="AC49" s="14"/>
      <c r="AD49" s="27"/>
      <c r="AJ49" s="14"/>
      <c r="AL49" s="16" t="s">
        <v>182</v>
      </c>
      <c r="BA49" s="27"/>
      <c r="BE49" s="14"/>
      <c r="BF49" s="14"/>
      <c r="BH49" s="64"/>
      <c r="BL49" s="64"/>
      <c r="BW49" s="65"/>
    </row>
    <row r="50" spans="1:75">
      <c r="A50" s="27"/>
      <c r="B50" s="27"/>
      <c r="I50" s="27"/>
      <c r="P50" s="27"/>
      <c r="W50" s="27"/>
      <c r="AC50" s="14"/>
      <c r="AD50" s="27"/>
      <c r="AJ50" s="14"/>
      <c r="AM50" s="8" t="s">
        <v>183</v>
      </c>
      <c r="BA50" s="27"/>
      <c r="BE50" s="14"/>
      <c r="BF50" s="14"/>
      <c r="BH50" s="64"/>
      <c r="BL50" s="64"/>
      <c r="BW50" s="65"/>
    </row>
    <row r="51" spans="1:75">
      <c r="A51" s="27"/>
      <c r="B51" s="27"/>
      <c r="I51" s="27"/>
      <c r="P51" s="27"/>
      <c r="W51" s="27"/>
      <c r="AC51" s="14"/>
      <c r="AD51" s="27"/>
      <c r="AJ51" s="14"/>
      <c r="AM51" s="8" t="s">
        <v>184</v>
      </c>
      <c r="BA51" s="27"/>
      <c r="BE51" s="14"/>
      <c r="BF51" s="14"/>
      <c r="BH51" s="64"/>
      <c r="BL51" s="64"/>
      <c r="BW51" s="65"/>
    </row>
    <row r="52" spans="1:75">
      <c r="A52" s="27"/>
      <c r="B52" s="27"/>
      <c r="I52" s="27"/>
      <c r="P52" s="27"/>
      <c r="W52" s="27"/>
      <c r="AC52" s="14"/>
      <c r="AD52" s="27"/>
      <c r="AJ52" s="14"/>
      <c r="BA52" s="27"/>
      <c r="BE52" s="14"/>
      <c r="BF52" s="14"/>
      <c r="BH52" s="64"/>
      <c r="BL52" s="64"/>
      <c r="BW52" s="65"/>
    </row>
    <row r="53" spans="1:75">
      <c r="A53" s="27"/>
      <c r="B53" s="27"/>
      <c r="I53" s="27"/>
      <c r="P53" s="27"/>
      <c r="W53" s="27"/>
      <c r="AC53" s="14"/>
      <c r="AD53" s="27"/>
      <c r="AJ53" s="14"/>
      <c r="BA53" s="27"/>
      <c r="BE53" s="14"/>
      <c r="BF53" s="14"/>
      <c r="BH53" s="64"/>
      <c r="BL53" s="64"/>
      <c r="BW53" s="65"/>
    </row>
    <row r="54" spans="1:75">
      <c r="A54" s="27"/>
      <c r="B54" s="27"/>
      <c r="I54" s="27"/>
      <c r="P54" s="27"/>
      <c r="W54" s="27"/>
      <c r="AC54" s="14"/>
      <c r="AD54" s="27"/>
      <c r="AJ54" s="14"/>
      <c r="BA54" s="27"/>
      <c r="BE54" s="14"/>
      <c r="BF54" s="14"/>
      <c r="BH54" s="64"/>
      <c r="BL54" s="64"/>
      <c r="BW54" s="65"/>
    </row>
    <row r="55" spans="1:75">
      <c r="A55" s="27"/>
      <c r="B55" s="27"/>
      <c r="I55" s="27"/>
      <c r="P55" s="27"/>
      <c r="W55" s="27"/>
      <c r="AC55" s="14"/>
      <c r="AD55" s="27"/>
      <c r="AJ55" s="14"/>
      <c r="BA55" s="27"/>
      <c r="BE55" s="14"/>
      <c r="BF55" s="14"/>
      <c r="BH55" s="64"/>
      <c r="BL55" s="64"/>
      <c r="BW55" s="65"/>
    </row>
    <row r="56" spans="1:75">
      <c r="A56" s="27"/>
      <c r="B56" s="27"/>
      <c r="I56" s="27"/>
      <c r="P56" s="27"/>
      <c r="W56" s="27"/>
      <c r="AC56" s="14"/>
      <c r="AD56" s="27"/>
      <c r="AJ56" s="14"/>
      <c r="AL56" s="16" t="s">
        <v>185</v>
      </c>
      <c r="BA56" s="27"/>
      <c r="BE56" s="14"/>
      <c r="BF56" s="14"/>
      <c r="BH56" s="64"/>
      <c r="BL56" s="64"/>
      <c r="BW56" s="65"/>
    </row>
    <row r="57" spans="1:75">
      <c r="A57" s="27"/>
      <c r="B57" s="27"/>
      <c r="I57" s="27"/>
      <c r="P57" s="27"/>
      <c r="W57" s="27"/>
      <c r="AC57" s="14"/>
      <c r="AD57" s="27"/>
      <c r="AJ57" s="14"/>
      <c r="AM57" s="8" t="s">
        <v>186</v>
      </c>
      <c r="BA57" s="27"/>
      <c r="BE57" s="14"/>
      <c r="BF57" s="14"/>
      <c r="BH57" s="64"/>
      <c r="BL57" s="64"/>
      <c r="BW57" s="65"/>
    </row>
    <row r="58" spans="1:75">
      <c r="A58" s="27"/>
      <c r="B58" s="27"/>
      <c r="I58" s="27"/>
      <c r="P58" s="27"/>
      <c r="W58" s="27"/>
      <c r="AC58" s="14"/>
      <c r="AD58" s="27"/>
      <c r="AJ58" s="14"/>
      <c r="AM58" s="8" t="s">
        <v>187</v>
      </c>
      <c r="BA58" s="27"/>
      <c r="BE58" s="14"/>
      <c r="BF58" s="14"/>
      <c r="BH58" s="64"/>
      <c r="BL58" s="64"/>
      <c r="BW58" s="65"/>
    </row>
    <row r="59" spans="1:75">
      <c r="A59" s="27"/>
      <c r="B59" s="27"/>
      <c r="I59" s="27"/>
      <c r="P59" s="27"/>
      <c r="W59" s="27"/>
      <c r="AC59" s="14"/>
      <c r="AD59" s="27"/>
      <c r="AJ59" s="14"/>
      <c r="AM59" s="48" t="s">
        <v>128</v>
      </c>
      <c r="AN59" s="49"/>
      <c r="AO59" s="49"/>
      <c r="AP59" s="49"/>
      <c r="AQ59" s="49"/>
      <c r="AR59" s="49"/>
      <c r="AS59" s="49"/>
      <c r="AT59" s="50"/>
      <c r="BA59" s="27"/>
      <c r="BE59" s="14"/>
      <c r="BF59" s="14"/>
      <c r="BH59" s="64"/>
      <c r="BL59" s="64"/>
      <c r="BW59" s="65"/>
    </row>
    <row r="60" spans="1:75">
      <c r="A60" s="27"/>
      <c r="B60" s="27"/>
      <c r="I60" s="27"/>
      <c r="P60" s="27"/>
      <c r="W60" s="27"/>
      <c r="AC60" s="14"/>
      <c r="AD60" s="27"/>
      <c r="AJ60" s="14"/>
      <c r="AM60" s="79" t="s">
        <v>131</v>
      </c>
      <c r="AN60" s="58"/>
      <c r="AO60" s="58"/>
      <c r="AP60" s="74"/>
      <c r="AQ60" s="79" t="s">
        <v>188</v>
      </c>
      <c r="AR60" s="58"/>
      <c r="AS60" s="58"/>
      <c r="AT60" s="74"/>
      <c r="BA60" s="27"/>
      <c r="BE60" s="14"/>
      <c r="BF60" s="14"/>
      <c r="BH60" s="64"/>
      <c r="BL60" s="64"/>
      <c r="BW60" s="65"/>
    </row>
    <row r="61" spans="1:75">
      <c r="A61" s="27"/>
      <c r="B61" s="27"/>
      <c r="I61" s="27"/>
      <c r="P61" s="27"/>
      <c r="W61" s="27"/>
      <c r="AC61" s="14"/>
      <c r="AD61" s="27"/>
      <c r="AJ61" s="14"/>
      <c r="BA61" s="27"/>
      <c r="BE61" s="14"/>
      <c r="BF61" s="14"/>
      <c r="BH61" s="64"/>
      <c r="BL61" s="64"/>
      <c r="BW61" s="65"/>
    </row>
    <row r="62" spans="1:75">
      <c r="A62" s="27"/>
      <c r="B62" s="27"/>
      <c r="I62" s="27"/>
      <c r="P62" s="27"/>
      <c r="W62" s="27"/>
      <c r="AC62" s="14"/>
      <c r="AD62" s="27"/>
      <c r="AJ62" s="14"/>
      <c r="BA62" s="27"/>
      <c r="BE62" s="14"/>
      <c r="BF62" s="14"/>
      <c r="BH62" s="64"/>
      <c r="BL62" s="64"/>
      <c r="BW62" s="65"/>
    </row>
    <row r="63" spans="1:75">
      <c r="A63" s="27"/>
      <c r="B63" s="27"/>
      <c r="I63" s="27"/>
      <c r="P63" s="27"/>
      <c r="W63" s="27"/>
      <c r="AC63" s="14"/>
      <c r="AD63" s="27"/>
      <c r="AJ63" s="14"/>
      <c r="BA63" s="27"/>
      <c r="BE63" s="14"/>
      <c r="BF63" s="14"/>
      <c r="BH63" s="64"/>
      <c r="BL63" s="64"/>
      <c r="BW63" s="65"/>
    </row>
    <row r="64" spans="1:75">
      <c r="A64" s="27"/>
      <c r="B64" s="27"/>
      <c r="I64" s="27"/>
      <c r="P64" s="27"/>
      <c r="W64" s="27"/>
      <c r="AC64" s="14"/>
      <c r="AD64" s="27"/>
      <c r="AJ64" s="14"/>
      <c r="AL64" s="16" t="s">
        <v>189</v>
      </c>
      <c r="BA64" s="27"/>
      <c r="BE64" s="14"/>
      <c r="BF64" s="14"/>
      <c r="BH64" s="64"/>
      <c r="BL64" s="64"/>
      <c r="BW64" s="65"/>
    </row>
    <row r="65" spans="1:75">
      <c r="A65" s="27"/>
      <c r="B65" s="27"/>
      <c r="I65" s="27"/>
      <c r="P65" s="27"/>
      <c r="W65" s="27"/>
      <c r="AC65" s="14"/>
      <c r="AD65" s="27"/>
      <c r="AJ65" s="14"/>
      <c r="AM65" s="8" t="s">
        <v>190</v>
      </c>
      <c r="BA65" s="27"/>
      <c r="BE65" s="14"/>
      <c r="BF65" s="14"/>
      <c r="BH65" s="64"/>
      <c r="BL65" s="64"/>
      <c r="BW65" s="65"/>
    </row>
    <row r="66" spans="1:75">
      <c r="A66" s="27"/>
      <c r="B66" s="27"/>
      <c r="I66" s="27"/>
      <c r="P66" s="27"/>
      <c r="W66" s="27"/>
      <c r="AC66" s="14"/>
      <c r="AD66" s="27"/>
      <c r="AJ66" s="14"/>
      <c r="AM66" s="8" t="s">
        <v>191</v>
      </c>
      <c r="BA66" s="27"/>
      <c r="BE66" s="14"/>
      <c r="BF66" s="14"/>
      <c r="BH66" s="64"/>
      <c r="BL66" s="64"/>
      <c r="BW66" s="65"/>
    </row>
    <row r="67" spans="1:75">
      <c r="A67" s="27"/>
      <c r="B67" s="27"/>
      <c r="I67" s="27"/>
      <c r="P67" s="27"/>
      <c r="W67" s="27"/>
      <c r="AC67" s="14"/>
      <c r="AD67" s="27"/>
      <c r="AJ67" s="14"/>
      <c r="BA67" s="27"/>
      <c r="BE67" s="14"/>
      <c r="BF67" s="14"/>
      <c r="BH67" s="64"/>
      <c r="BL67" s="64"/>
      <c r="BW67" s="65"/>
    </row>
    <row r="68" spans="1:75">
      <c r="A68" s="27"/>
      <c r="B68" s="27"/>
      <c r="I68" s="27"/>
      <c r="P68" s="27"/>
      <c r="W68" s="27"/>
      <c r="AC68" s="14"/>
      <c r="AD68" s="27"/>
      <c r="AJ68" s="14"/>
      <c r="BA68" s="27"/>
      <c r="BE68" s="14"/>
      <c r="BF68" s="14"/>
      <c r="BH68" s="64"/>
      <c r="BL68" s="64"/>
      <c r="BW68" s="65"/>
    </row>
    <row r="69" spans="1:75">
      <c r="A69" s="27"/>
      <c r="B69" s="27"/>
      <c r="I69" s="27"/>
      <c r="P69" s="27"/>
      <c r="W69" s="27"/>
      <c r="AC69" s="14"/>
      <c r="AD69" s="27"/>
      <c r="AJ69" s="14"/>
      <c r="BA69" s="27"/>
      <c r="BE69" s="14"/>
      <c r="BF69" s="14"/>
      <c r="BH69" s="64"/>
      <c r="BL69" s="64"/>
      <c r="BW69" s="65"/>
    </row>
    <row r="70" spans="1:75">
      <c r="A70" s="27"/>
      <c r="B70" s="27"/>
      <c r="I70" s="27"/>
      <c r="P70" s="27"/>
      <c r="W70" s="27"/>
      <c r="AC70" s="14"/>
      <c r="AD70" s="27"/>
      <c r="AJ70" s="14"/>
      <c r="BA70" s="27"/>
      <c r="BE70" s="14"/>
      <c r="BF70" s="14"/>
      <c r="BH70" s="64"/>
      <c r="BL70" s="64"/>
      <c r="BW70" s="65"/>
    </row>
    <row r="71" spans="1:75">
      <c r="A71" s="27"/>
      <c r="B71" s="27"/>
      <c r="I71" s="27"/>
      <c r="P71" s="27"/>
      <c r="W71" s="27"/>
      <c r="AC71" s="14"/>
      <c r="AD71" s="27"/>
      <c r="AJ71" s="14"/>
      <c r="BA71" s="27"/>
      <c r="BE71" s="14"/>
      <c r="BF71" s="14"/>
      <c r="BH71" s="64"/>
      <c r="BL71" s="64"/>
      <c r="BW71" s="65"/>
    </row>
    <row r="72" spans="1:75">
      <c r="A72" s="27"/>
      <c r="B72" s="27"/>
      <c r="I72" s="27"/>
      <c r="P72" s="27"/>
      <c r="W72" s="27"/>
      <c r="AC72" s="14"/>
      <c r="AD72" s="27"/>
      <c r="AJ72" s="14"/>
      <c r="BA72" s="27"/>
      <c r="BE72" s="14"/>
      <c r="BF72" s="14"/>
      <c r="BH72" s="64"/>
      <c r="BL72" s="64"/>
      <c r="BW72" s="65"/>
    </row>
    <row r="73" spans="1:75">
      <c r="A73" s="27"/>
      <c r="B73" s="27"/>
      <c r="I73" s="27"/>
      <c r="P73" s="27"/>
      <c r="W73" s="27"/>
      <c r="AC73" s="14"/>
      <c r="AD73" s="27"/>
      <c r="AJ73" s="14"/>
      <c r="BA73" s="27"/>
      <c r="BE73" s="14"/>
      <c r="BF73" s="14"/>
      <c r="BH73" s="64"/>
      <c r="BL73" s="64"/>
      <c r="BW73" s="65"/>
    </row>
    <row r="74" spans="1:75">
      <c r="A74" s="27"/>
      <c r="B74" s="27"/>
      <c r="I74" s="27"/>
      <c r="P74" s="27"/>
      <c r="W74" s="27"/>
      <c r="AC74" s="14"/>
      <c r="AD74" s="27"/>
      <c r="AJ74" s="14"/>
      <c r="BA74" s="27"/>
      <c r="BE74" s="14"/>
      <c r="BF74" s="14"/>
      <c r="BH74" s="64"/>
      <c r="BL74" s="64"/>
      <c r="BW74" s="65"/>
    </row>
    <row r="75" spans="1:75">
      <c r="A75" s="27"/>
      <c r="B75" s="27"/>
      <c r="I75" s="27"/>
      <c r="P75" s="27"/>
      <c r="W75" s="27"/>
      <c r="AC75" s="14"/>
      <c r="AD75" s="27"/>
      <c r="AJ75" s="14"/>
      <c r="BA75" s="27"/>
      <c r="BE75" s="14"/>
      <c r="BF75" s="14"/>
      <c r="BH75" s="64"/>
      <c r="BL75" s="64"/>
      <c r="BW75" s="65"/>
    </row>
    <row r="76" spans="1:75">
      <c r="A76" s="27"/>
      <c r="B76" s="27"/>
      <c r="I76" s="27"/>
      <c r="P76" s="27"/>
      <c r="W76" s="27"/>
      <c r="AC76" s="14"/>
      <c r="AD76" s="27"/>
      <c r="AJ76" s="14"/>
      <c r="BA76" s="27"/>
      <c r="BE76" s="14"/>
      <c r="BF76" s="14"/>
      <c r="BH76" s="64"/>
      <c r="BL76" s="64"/>
      <c r="BW76" s="65"/>
    </row>
    <row r="77" spans="1:75">
      <c r="A77" s="27"/>
      <c r="B77" s="27"/>
      <c r="I77" s="27"/>
      <c r="P77" s="27"/>
      <c r="W77" s="27"/>
      <c r="AC77" s="14"/>
      <c r="AD77" s="27"/>
      <c r="AJ77" s="14"/>
      <c r="BA77" s="27"/>
      <c r="BE77" s="14"/>
      <c r="BF77" s="14"/>
      <c r="BH77" s="64"/>
      <c r="BL77" s="64"/>
      <c r="BW77" s="65"/>
    </row>
    <row r="78" spans="1:75">
      <c r="A78" s="27"/>
      <c r="B78" s="27"/>
      <c r="I78" s="27"/>
      <c r="P78" s="27"/>
      <c r="W78" s="27"/>
      <c r="AC78" s="14"/>
      <c r="AD78" s="27"/>
      <c r="AJ78" s="14"/>
      <c r="BA78" s="27"/>
      <c r="BE78" s="14"/>
      <c r="BF78" s="14"/>
      <c r="BH78" s="64"/>
      <c r="BL78" s="64"/>
      <c r="BW78" s="65"/>
    </row>
    <row r="79" spans="1:75">
      <c r="A79" s="27"/>
      <c r="B79" s="27"/>
      <c r="I79" s="27"/>
      <c r="P79" s="27"/>
      <c r="W79" s="27"/>
      <c r="AC79" s="14"/>
      <c r="AD79" s="27"/>
      <c r="AJ79" s="14"/>
      <c r="BA79" s="27"/>
      <c r="BE79" s="14"/>
      <c r="BF79" s="14"/>
      <c r="BH79" s="64"/>
      <c r="BL79" s="64"/>
      <c r="BW79" s="65"/>
    </row>
    <row r="80" spans="1:75">
      <c r="A80" s="27"/>
      <c r="B80" s="55"/>
      <c r="C80" s="10"/>
      <c r="D80" s="10"/>
      <c r="E80" s="10"/>
      <c r="F80" s="10"/>
      <c r="G80" s="10"/>
      <c r="H80" s="10"/>
      <c r="I80" s="55"/>
      <c r="J80" s="10"/>
      <c r="K80" s="10"/>
      <c r="L80" s="10"/>
      <c r="M80" s="10"/>
      <c r="N80" s="10"/>
      <c r="O80" s="10"/>
      <c r="P80" s="55"/>
      <c r="Q80" s="10"/>
      <c r="R80" s="10"/>
      <c r="S80" s="10"/>
      <c r="T80" s="10"/>
      <c r="U80" s="10"/>
      <c r="V80" s="10"/>
      <c r="W80" s="55"/>
      <c r="X80" s="10"/>
      <c r="Y80" s="10"/>
      <c r="Z80" s="10"/>
      <c r="AA80" s="10"/>
      <c r="AB80" s="10"/>
      <c r="AC80" s="15"/>
      <c r="AD80" s="55"/>
      <c r="AE80" s="10"/>
      <c r="AF80" s="10"/>
      <c r="AG80" s="10"/>
      <c r="AH80" s="10"/>
      <c r="AI80" s="10"/>
      <c r="AJ80" s="15"/>
      <c r="AK80" s="10"/>
      <c r="AL80" s="10"/>
      <c r="AM80" s="10"/>
      <c r="AN80" s="10"/>
      <c r="AO80" s="10"/>
      <c r="AP80" s="10"/>
      <c r="AQ80" s="10"/>
      <c r="AR80" s="10"/>
      <c r="AS80" s="10"/>
      <c r="AT80" s="10"/>
      <c r="AU80" s="10"/>
      <c r="AV80" s="10"/>
      <c r="AW80" s="10"/>
      <c r="AX80" s="10"/>
      <c r="AY80" s="10"/>
      <c r="AZ80" s="10"/>
      <c r="BA80" s="55"/>
      <c r="BB80" s="10"/>
      <c r="BC80" s="10"/>
      <c r="BD80" s="10"/>
      <c r="BE80" s="15"/>
      <c r="BF80" s="14"/>
      <c r="BH80" s="66"/>
      <c r="BI80" s="67"/>
      <c r="BJ80" s="67"/>
      <c r="BK80" s="67"/>
      <c r="BL80" s="66"/>
      <c r="BM80" s="67"/>
      <c r="BN80" s="67"/>
      <c r="BO80" s="67"/>
      <c r="BP80" s="67"/>
      <c r="BQ80" s="67"/>
      <c r="BR80" s="67"/>
      <c r="BS80" s="67"/>
      <c r="BT80" s="67"/>
      <c r="BU80" s="67"/>
      <c r="BV80" s="67"/>
      <c r="BW80" s="68"/>
    </row>
    <row r="81" spans="1:58">
      <c r="A81" s="27"/>
      <c r="BF81" s="14"/>
    </row>
    <row r="82" spans="1:58">
      <c r="A82" s="55"/>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5"/>
    </row>
  </sheetData>
  <mergeCells count="29">
    <mergeCell ref="A1:E1"/>
    <mergeCell ref="F1:U1"/>
    <mergeCell ref="V1:AI1"/>
    <mergeCell ref="AJ1:AP1"/>
    <mergeCell ref="AQ1:AV1"/>
    <mergeCell ref="AQ2:AV2"/>
    <mergeCell ref="AQ3:AV3"/>
    <mergeCell ref="B9:H9"/>
    <mergeCell ref="I9:O9"/>
    <mergeCell ref="W9:AC9"/>
    <mergeCell ref="A2:E3"/>
    <mergeCell ref="F2:U3"/>
    <mergeCell ref="V2:AI3"/>
    <mergeCell ref="AJ2:AK2"/>
    <mergeCell ref="AL2:AP2"/>
    <mergeCell ref="AJ3:AK3"/>
    <mergeCell ref="AL3:AP3"/>
    <mergeCell ref="P9:V9"/>
    <mergeCell ref="P8:V8"/>
    <mergeCell ref="BL10:BW31"/>
    <mergeCell ref="BH12:BK15"/>
    <mergeCell ref="BL32:BW32"/>
    <mergeCell ref="B8:O8"/>
    <mergeCell ref="W8:AJ8"/>
    <mergeCell ref="AD9:AJ9"/>
    <mergeCell ref="AK8:AZ9"/>
    <mergeCell ref="BL8:BW9"/>
    <mergeCell ref="BH8:BK9"/>
    <mergeCell ref="BA8:BE9"/>
  </mergeCells>
  <phoneticPr fontId="2"/>
  <pageMargins left="0.7" right="0.7" top="0.75" bottom="0.75" header="0.3" footer="0.3"/>
  <pageSetup paperSize="9" scale="69" fitToHeight="0" orientation="portrait"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EDC3-BAD4-4637-BC95-A880BAE59FF8}">
  <sheetPr codeName="Sheet9"/>
  <dimension ref="A1:BW50"/>
  <sheetViews>
    <sheetView showGridLines="0" zoomScaleNormal="100" workbookViewId="0">
      <pane ySplit="9" topLeftCell="A10" activePane="bottomLeft" state="frozen"/>
      <selection pane="bottomLeft" sqref="A1:E1"/>
      <selection activeCell="AL157" sqref="AL157"/>
    </sheetView>
  </sheetViews>
  <sheetFormatPr defaultColWidth="2.375" defaultRowHeight="13.5"/>
  <cols>
    <col min="1" max="5" width="2.375" style="8"/>
    <col min="6" max="10" width="2.375" style="8" customWidth="1"/>
    <col min="11" max="56" width="2.375" style="8"/>
    <col min="57" max="57" width="2.375" style="8" customWidth="1"/>
    <col min="58" max="16384" width="2.375" style="8"/>
  </cols>
  <sheetData>
    <row r="1" spans="1:75"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75">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75"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4" spans="1:75">
      <c r="A4" s="27"/>
    </row>
    <row r="5" spans="1:75">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row>
    <row r="6" spans="1:75"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34"/>
    </row>
    <row r="7" spans="1:75" s="11" customFormat="1">
      <c r="A7" s="28"/>
      <c r="B7" s="12"/>
      <c r="C7" s="12"/>
      <c r="D7" s="12"/>
      <c r="E7" s="12"/>
      <c r="F7" s="12"/>
      <c r="G7" s="12"/>
      <c r="H7" s="12"/>
      <c r="I7" s="12"/>
      <c r="J7" s="12"/>
      <c r="K7" s="12"/>
      <c r="L7" s="12"/>
      <c r="M7" s="12"/>
      <c r="N7" s="12"/>
      <c r="BF7" s="13"/>
    </row>
    <row r="8" spans="1:75" s="11" customFormat="1" ht="16.5" customHeight="1">
      <c r="A8" s="28"/>
      <c r="B8" s="197" t="s">
        <v>192</v>
      </c>
      <c r="C8" s="198"/>
      <c r="D8" s="198"/>
      <c r="E8" s="198"/>
      <c r="F8" s="198"/>
      <c r="G8" s="198"/>
      <c r="H8" s="198"/>
      <c r="I8" s="198"/>
      <c r="J8" s="198"/>
      <c r="K8" s="198"/>
      <c r="L8" s="198"/>
      <c r="M8" s="198"/>
      <c r="N8" s="198"/>
      <c r="O8" s="199"/>
      <c r="P8" s="197" t="s">
        <v>172</v>
      </c>
      <c r="Q8" s="198"/>
      <c r="R8" s="198"/>
      <c r="S8" s="198"/>
      <c r="T8" s="198"/>
      <c r="U8" s="198"/>
      <c r="V8" s="199"/>
      <c r="W8" s="202" t="s">
        <v>83</v>
      </c>
      <c r="X8" s="203"/>
      <c r="Y8" s="203"/>
      <c r="Z8" s="203"/>
      <c r="AA8" s="203"/>
      <c r="AB8" s="203"/>
      <c r="AC8" s="204"/>
      <c r="AD8" s="203"/>
      <c r="AE8" s="203"/>
      <c r="AF8" s="203"/>
      <c r="AG8" s="203"/>
      <c r="AH8" s="203"/>
      <c r="AI8" s="203"/>
      <c r="AJ8" s="204"/>
      <c r="AK8" s="201" t="s">
        <v>101</v>
      </c>
      <c r="AL8" s="201"/>
      <c r="AM8" s="201"/>
      <c r="AN8" s="201"/>
      <c r="AO8" s="201"/>
      <c r="AP8" s="201"/>
      <c r="AQ8" s="201"/>
      <c r="AR8" s="201"/>
      <c r="AS8" s="201"/>
      <c r="AT8" s="201"/>
      <c r="AU8" s="201"/>
      <c r="AV8" s="201"/>
      <c r="AW8" s="201"/>
      <c r="AX8" s="201"/>
      <c r="AY8" s="201"/>
      <c r="AZ8" s="201"/>
      <c r="BA8" s="200" t="s">
        <v>103</v>
      </c>
      <c r="BB8" s="201"/>
      <c r="BC8" s="201"/>
      <c r="BD8" s="201"/>
      <c r="BE8" s="201"/>
      <c r="BF8" s="13"/>
      <c r="BH8" s="185" t="s">
        <v>113</v>
      </c>
      <c r="BI8" s="186"/>
      <c r="BJ8" s="186"/>
      <c r="BK8" s="186"/>
      <c r="BL8" s="188" t="s">
        <v>114</v>
      </c>
      <c r="BM8" s="189"/>
      <c r="BN8" s="189"/>
      <c r="BO8" s="189"/>
      <c r="BP8" s="189"/>
      <c r="BQ8" s="189"/>
      <c r="BR8" s="189"/>
      <c r="BS8" s="189"/>
      <c r="BT8" s="189"/>
      <c r="BU8" s="189"/>
      <c r="BV8" s="189"/>
      <c r="BW8" s="190"/>
    </row>
    <row r="9" spans="1:75" s="11" customFormat="1" ht="13.5" customHeight="1">
      <c r="A9" s="28"/>
      <c r="B9" s="197" t="s">
        <v>89</v>
      </c>
      <c r="C9" s="198"/>
      <c r="D9" s="198"/>
      <c r="E9" s="198"/>
      <c r="F9" s="198"/>
      <c r="G9" s="198"/>
      <c r="H9" s="199"/>
      <c r="I9" s="197" t="s">
        <v>90</v>
      </c>
      <c r="J9" s="198"/>
      <c r="K9" s="198"/>
      <c r="L9" s="198"/>
      <c r="M9" s="198"/>
      <c r="N9" s="198"/>
      <c r="O9" s="199"/>
      <c r="P9" s="197" t="s">
        <v>89</v>
      </c>
      <c r="Q9" s="198"/>
      <c r="R9" s="198"/>
      <c r="S9" s="198"/>
      <c r="T9" s="198"/>
      <c r="U9" s="198"/>
      <c r="V9" s="199"/>
      <c r="W9" s="202" t="s">
        <v>98</v>
      </c>
      <c r="X9" s="203"/>
      <c r="Y9" s="203"/>
      <c r="Z9" s="203"/>
      <c r="AA9" s="203"/>
      <c r="AB9" s="203"/>
      <c r="AC9" s="204"/>
      <c r="AD9" s="202" t="s">
        <v>100</v>
      </c>
      <c r="AE9" s="203"/>
      <c r="AF9" s="203"/>
      <c r="AG9" s="203"/>
      <c r="AH9" s="203"/>
      <c r="AI9" s="203"/>
      <c r="AJ9" s="204"/>
      <c r="AK9" s="201"/>
      <c r="AL9" s="201"/>
      <c r="AM9" s="201"/>
      <c r="AN9" s="201"/>
      <c r="AO9" s="201"/>
      <c r="AP9" s="201"/>
      <c r="AQ9" s="201"/>
      <c r="AR9" s="201"/>
      <c r="AS9" s="201"/>
      <c r="AT9" s="201"/>
      <c r="AU9" s="201"/>
      <c r="AV9" s="201"/>
      <c r="AW9" s="201"/>
      <c r="AX9" s="201"/>
      <c r="AY9" s="201"/>
      <c r="AZ9" s="201"/>
      <c r="BA9" s="201"/>
      <c r="BB9" s="201"/>
      <c r="BC9" s="201"/>
      <c r="BD9" s="201"/>
      <c r="BE9" s="201"/>
      <c r="BF9" s="13"/>
      <c r="BH9" s="187"/>
      <c r="BI9" s="187"/>
      <c r="BJ9" s="187"/>
      <c r="BK9" s="187"/>
      <c r="BL9" s="191"/>
      <c r="BM9" s="192"/>
      <c r="BN9" s="192"/>
      <c r="BO9" s="192"/>
      <c r="BP9" s="192"/>
      <c r="BQ9" s="192"/>
      <c r="BR9" s="192"/>
      <c r="BS9" s="192"/>
      <c r="BT9" s="192"/>
      <c r="BU9" s="192"/>
      <c r="BV9" s="192"/>
      <c r="BW9" s="193"/>
    </row>
    <row r="10" spans="1:75" s="11" customFormat="1">
      <c r="A10" s="28"/>
      <c r="B10" s="29" t="s">
        <v>193</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13"/>
      <c r="BH10" s="59"/>
      <c r="BI10" s="60"/>
      <c r="BJ10" s="60"/>
      <c r="BK10" s="60"/>
      <c r="BL10" s="59"/>
      <c r="BM10" s="60"/>
      <c r="BN10" s="60"/>
      <c r="BO10" s="60"/>
      <c r="BP10" s="60"/>
      <c r="BQ10" s="60"/>
      <c r="BR10" s="60"/>
      <c r="BS10" s="60"/>
      <c r="BT10" s="60"/>
      <c r="BU10" s="60"/>
      <c r="BV10" s="60"/>
      <c r="BW10" s="61"/>
    </row>
    <row r="11" spans="1:75" s="11" customFormat="1">
      <c r="A11" s="28"/>
      <c r="B11" s="44"/>
      <c r="C11" s="45"/>
      <c r="D11" s="45"/>
      <c r="E11" s="45"/>
      <c r="F11" s="45"/>
      <c r="G11" s="45"/>
      <c r="H11" s="46"/>
      <c r="I11" s="47"/>
      <c r="J11" s="45"/>
      <c r="K11" s="45"/>
      <c r="L11" s="45"/>
      <c r="M11" s="45"/>
      <c r="N11" s="45"/>
      <c r="O11" s="45"/>
      <c r="P11" s="47"/>
      <c r="Q11" s="45"/>
      <c r="R11" s="45"/>
      <c r="S11" s="45"/>
      <c r="T11" s="45"/>
      <c r="U11" s="45"/>
      <c r="V11" s="46"/>
      <c r="W11" s="45"/>
      <c r="X11" s="45"/>
      <c r="Y11" s="45"/>
      <c r="Z11" s="45"/>
      <c r="AA11" s="45"/>
      <c r="AB11" s="45"/>
      <c r="AC11" s="46"/>
      <c r="AD11" s="45"/>
      <c r="AE11" s="45"/>
      <c r="AF11" s="45"/>
      <c r="AG11" s="45"/>
      <c r="AH11" s="45"/>
      <c r="AI11" s="45"/>
      <c r="AJ11" s="45"/>
      <c r="AK11" s="47"/>
      <c r="AL11" s="45"/>
      <c r="AM11" s="45"/>
      <c r="AN11" s="45"/>
      <c r="AO11" s="45"/>
      <c r="AP11" s="45"/>
      <c r="AQ11" s="45"/>
      <c r="AR11" s="45"/>
      <c r="AS11" s="45"/>
      <c r="AT11" s="45"/>
      <c r="AU11" s="45"/>
      <c r="AV11" s="45"/>
      <c r="AW11" s="45"/>
      <c r="AX11" s="45"/>
      <c r="AY11" s="45"/>
      <c r="AZ11" s="45"/>
      <c r="BA11" s="47"/>
      <c r="BB11" s="45"/>
      <c r="BC11" s="45"/>
      <c r="BD11" s="45"/>
      <c r="BE11" s="46"/>
      <c r="BF11" s="13"/>
      <c r="BH11" s="62"/>
      <c r="BL11" s="62"/>
      <c r="BW11" s="63"/>
    </row>
    <row r="12" spans="1:75" s="11" customFormat="1">
      <c r="A12" s="28"/>
      <c r="B12" s="30"/>
      <c r="C12" s="24"/>
      <c r="D12" s="24"/>
      <c r="E12" s="24"/>
      <c r="F12" s="24"/>
      <c r="G12" s="24"/>
      <c r="H12" s="23"/>
      <c r="I12" s="31"/>
      <c r="J12" s="24"/>
      <c r="K12" s="24"/>
      <c r="L12" s="24"/>
      <c r="M12" s="24"/>
      <c r="N12" s="24"/>
      <c r="O12" s="24"/>
      <c r="P12" s="31"/>
      <c r="Q12" s="24"/>
      <c r="R12" s="24"/>
      <c r="S12" s="24"/>
      <c r="T12" s="24"/>
      <c r="U12" s="24"/>
      <c r="V12" s="23"/>
      <c r="W12" s="24"/>
      <c r="X12" s="24"/>
      <c r="Y12" s="24"/>
      <c r="Z12" s="24"/>
      <c r="AA12" s="24"/>
      <c r="AB12" s="24"/>
      <c r="AC12" s="23"/>
      <c r="AD12" s="24"/>
      <c r="AE12" s="24"/>
      <c r="AF12" s="24"/>
      <c r="AG12" s="24"/>
      <c r="AH12" s="24"/>
      <c r="AI12" s="24"/>
      <c r="AJ12" s="24"/>
      <c r="AK12" s="31"/>
      <c r="AL12" s="24"/>
      <c r="AM12" s="24"/>
      <c r="AN12" s="24"/>
      <c r="AO12" s="24"/>
      <c r="AP12" s="24"/>
      <c r="AQ12" s="24"/>
      <c r="AR12" s="24"/>
      <c r="AS12" s="24"/>
      <c r="AT12" s="24"/>
      <c r="AU12" s="24"/>
      <c r="AV12" s="24"/>
      <c r="AW12" s="24"/>
      <c r="AX12" s="24"/>
      <c r="AY12" s="24"/>
      <c r="AZ12" s="24"/>
      <c r="BA12" s="31"/>
      <c r="BB12" s="24"/>
      <c r="BC12" s="24"/>
      <c r="BD12" s="24"/>
      <c r="BE12" s="23"/>
      <c r="BF12" s="13"/>
      <c r="BH12" s="62"/>
      <c r="BL12" s="62"/>
      <c r="BW12" s="63"/>
    </row>
    <row r="13" spans="1:75" s="11" customFormat="1">
      <c r="A13" s="28"/>
      <c r="B13" s="30"/>
      <c r="C13" s="24"/>
      <c r="D13" s="24"/>
      <c r="E13" s="24"/>
      <c r="F13" s="24"/>
      <c r="G13" s="24"/>
      <c r="H13" s="23"/>
      <c r="I13" s="31"/>
      <c r="J13" s="24"/>
      <c r="K13" s="24"/>
      <c r="L13" s="24"/>
      <c r="M13" s="24"/>
      <c r="N13" s="24"/>
      <c r="O13" s="24"/>
      <c r="P13" s="31"/>
      <c r="Q13" s="24"/>
      <c r="R13" s="24"/>
      <c r="S13" s="24"/>
      <c r="T13" s="24"/>
      <c r="U13" s="24"/>
      <c r="V13" s="23"/>
      <c r="W13" s="24"/>
      <c r="X13" s="24"/>
      <c r="Y13" s="24"/>
      <c r="Z13" s="24"/>
      <c r="AA13" s="24"/>
      <c r="AB13" s="24"/>
      <c r="AC13" s="23"/>
      <c r="AD13" s="24"/>
      <c r="AE13" s="24"/>
      <c r="AF13" s="24"/>
      <c r="AG13" s="24"/>
      <c r="AH13" s="24"/>
      <c r="AI13" s="24"/>
      <c r="AJ13" s="24"/>
      <c r="AK13" s="31"/>
      <c r="AL13" s="24"/>
      <c r="AM13" s="24"/>
      <c r="AN13" s="24"/>
      <c r="AO13" s="24"/>
      <c r="AP13" s="24"/>
      <c r="AQ13" s="24"/>
      <c r="AR13" s="24"/>
      <c r="AS13" s="24"/>
      <c r="AT13" s="24"/>
      <c r="AU13" s="24"/>
      <c r="AV13" s="24"/>
      <c r="AW13" s="24"/>
      <c r="AX13" s="24"/>
      <c r="AY13" s="24"/>
      <c r="AZ13" s="24"/>
      <c r="BA13" s="31"/>
      <c r="BB13" s="24"/>
      <c r="BC13" s="24"/>
      <c r="BD13" s="24"/>
      <c r="BE13" s="23"/>
      <c r="BF13" s="13"/>
      <c r="BH13" s="62"/>
      <c r="BL13" s="62"/>
      <c r="BW13" s="63"/>
    </row>
    <row r="14" spans="1:75" s="11" customFormat="1">
      <c r="A14" s="28"/>
      <c r="B14" s="30"/>
      <c r="C14" s="24"/>
      <c r="D14" s="24"/>
      <c r="E14" s="24"/>
      <c r="F14" s="24"/>
      <c r="G14" s="24"/>
      <c r="H14" s="23"/>
      <c r="I14" s="31"/>
      <c r="J14" s="24"/>
      <c r="K14" s="24"/>
      <c r="L14" s="24"/>
      <c r="M14" s="24"/>
      <c r="N14" s="24"/>
      <c r="O14" s="24"/>
      <c r="P14" s="31"/>
      <c r="Q14" s="24"/>
      <c r="R14" s="24"/>
      <c r="S14" s="24"/>
      <c r="T14" s="24"/>
      <c r="U14" s="24"/>
      <c r="V14" s="23"/>
      <c r="W14" s="24"/>
      <c r="X14" s="24"/>
      <c r="Y14" s="24"/>
      <c r="Z14" s="24"/>
      <c r="AA14" s="24"/>
      <c r="AB14" s="24"/>
      <c r="AC14" s="23"/>
      <c r="AD14" s="24"/>
      <c r="AE14" s="24"/>
      <c r="AF14" s="24"/>
      <c r="AG14" s="24"/>
      <c r="AH14" s="24"/>
      <c r="AI14" s="24"/>
      <c r="AJ14" s="24"/>
      <c r="AK14" s="31"/>
      <c r="AL14" s="24"/>
      <c r="AM14" s="24"/>
      <c r="AN14" s="24"/>
      <c r="AO14" s="24"/>
      <c r="AP14" s="24"/>
      <c r="AQ14" s="24"/>
      <c r="AR14" s="24"/>
      <c r="AS14" s="24"/>
      <c r="AT14" s="24"/>
      <c r="AU14" s="24"/>
      <c r="AV14" s="24"/>
      <c r="AW14" s="24"/>
      <c r="AX14" s="24"/>
      <c r="AY14" s="24"/>
      <c r="AZ14" s="24"/>
      <c r="BA14" s="31"/>
      <c r="BB14" s="24"/>
      <c r="BC14" s="24"/>
      <c r="BD14" s="24"/>
      <c r="BE14" s="23"/>
      <c r="BF14" s="13"/>
      <c r="BH14" s="62"/>
      <c r="BL14" s="62"/>
      <c r="BW14" s="63"/>
    </row>
    <row r="15" spans="1:75" s="11" customFormat="1" ht="13.5" customHeight="1">
      <c r="A15" s="28"/>
      <c r="B15" s="32"/>
      <c r="C15" s="12"/>
      <c r="D15" s="12"/>
      <c r="E15" s="12"/>
      <c r="F15" s="12"/>
      <c r="G15" s="12"/>
      <c r="H15" s="22"/>
      <c r="I15" s="32"/>
      <c r="J15" s="12"/>
      <c r="K15" s="12"/>
      <c r="L15" s="12"/>
      <c r="M15"/>
      <c r="N15"/>
      <c r="O15"/>
      <c r="P15" s="33"/>
      <c r="Q15"/>
      <c r="R15"/>
      <c r="S15"/>
      <c r="T15"/>
      <c r="U15"/>
      <c r="V15" s="22"/>
      <c r="W15"/>
      <c r="X15"/>
      <c r="Y15"/>
      <c r="Z15"/>
      <c r="AA15"/>
      <c r="AB15"/>
      <c r="AC15" s="22"/>
      <c r="AD15"/>
      <c r="AE15"/>
      <c r="AF15"/>
      <c r="AG15"/>
      <c r="AH15"/>
      <c r="AI15"/>
      <c r="AJ15"/>
      <c r="AK15" s="34"/>
      <c r="BA15" s="34"/>
      <c r="BE15" s="13"/>
      <c r="BF15" s="13"/>
      <c r="BH15" s="62"/>
      <c r="BL15" s="62"/>
      <c r="BW15" s="63"/>
    </row>
    <row r="16" spans="1:75" s="11" customFormat="1">
      <c r="A16" s="28"/>
      <c r="B16" s="32"/>
      <c r="C16" s="12"/>
      <c r="D16" s="12"/>
      <c r="E16" s="12"/>
      <c r="F16" s="12"/>
      <c r="G16" s="12"/>
      <c r="H16" s="22"/>
      <c r="I16" s="32"/>
      <c r="J16" s="12"/>
      <c r="K16" s="12"/>
      <c r="L16" s="12"/>
      <c r="M16"/>
      <c r="N16"/>
      <c r="P16" s="34"/>
      <c r="V16" s="13"/>
      <c r="AC16" s="13"/>
      <c r="AJ16" s="13"/>
      <c r="AL16" s="25" t="s">
        <v>194</v>
      </c>
      <c r="BA16" s="34"/>
      <c r="BE16" s="13"/>
      <c r="BF16" s="13"/>
      <c r="BH16" s="62"/>
      <c r="BL16" s="62"/>
      <c r="BW16" s="63"/>
    </row>
    <row r="17" spans="1:75">
      <c r="A17" s="27"/>
      <c r="B17" s="27"/>
      <c r="H17" s="14"/>
      <c r="P17" s="27"/>
      <c r="V17" s="14"/>
      <c r="AC17" s="14"/>
      <c r="AK17" s="27"/>
      <c r="AL17" s="11"/>
      <c r="AM17" s="8" t="s">
        <v>195</v>
      </c>
      <c r="AN17" s="11"/>
      <c r="AO17" s="11"/>
      <c r="BA17" s="27"/>
      <c r="BE17" s="14"/>
      <c r="BF17" s="14"/>
      <c r="BH17" s="34"/>
      <c r="BI17" s="11"/>
      <c r="BJ17" s="11"/>
      <c r="BK17" s="11"/>
      <c r="BL17" s="34"/>
      <c r="BM17" s="11"/>
      <c r="BN17" s="11"/>
      <c r="BO17" s="11"/>
      <c r="BP17" s="11"/>
      <c r="BQ17" s="11"/>
      <c r="BR17" s="11"/>
      <c r="BS17" s="11"/>
      <c r="BT17" s="11"/>
      <c r="BU17" s="11"/>
      <c r="BV17" s="11"/>
      <c r="BW17" s="13"/>
    </row>
    <row r="18" spans="1:75">
      <c r="A18" s="27"/>
      <c r="B18" s="27"/>
      <c r="H18" s="14"/>
      <c r="I18" s="27"/>
      <c r="P18" s="27"/>
      <c r="V18" s="14"/>
      <c r="AC18" s="14"/>
      <c r="AK18" s="27"/>
      <c r="AL18" s="11"/>
      <c r="AM18" s="48" t="s">
        <v>128</v>
      </c>
      <c r="AN18" s="49"/>
      <c r="AO18" s="49"/>
      <c r="AP18" s="49"/>
      <c r="AQ18" s="49"/>
      <c r="AR18" s="49"/>
      <c r="AS18" s="49"/>
      <c r="AT18" s="49"/>
      <c r="AU18" s="49"/>
      <c r="AV18" s="49"/>
      <c r="AW18" s="49"/>
      <c r="AX18" s="50"/>
      <c r="BA18" s="27"/>
      <c r="BE18" s="14"/>
      <c r="BF18" s="14"/>
      <c r="BH18" s="27"/>
      <c r="BL18" s="27"/>
      <c r="BW18" s="14"/>
    </row>
    <row r="19" spans="1:75">
      <c r="A19" s="27"/>
      <c r="B19" s="27"/>
      <c r="H19" s="14"/>
      <c r="I19" s="27"/>
      <c r="P19" s="27"/>
      <c r="V19" s="14"/>
      <c r="AC19" s="14"/>
      <c r="AK19" s="27"/>
      <c r="AL19" s="11"/>
      <c r="AM19" s="51" t="s">
        <v>196</v>
      </c>
      <c r="AN19" s="52"/>
      <c r="AO19" s="52"/>
      <c r="AP19" s="52"/>
      <c r="AQ19" s="82"/>
      <c r="AR19" s="53"/>
      <c r="AS19" s="51"/>
      <c r="AT19" s="52"/>
      <c r="AU19" s="52"/>
      <c r="AV19" s="52"/>
      <c r="AW19" s="52"/>
      <c r="AX19" s="53"/>
      <c r="BA19" s="27"/>
      <c r="BE19" s="14"/>
      <c r="BF19" s="14"/>
      <c r="BH19" s="27"/>
      <c r="BL19" s="27"/>
      <c r="BW19" s="14"/>
    </row>
    <row r="20" spans="1:75">
      <c r="A20" s="27"/>
      <c r="B20" s="27"/>
      <c r="H20" s="14"/>
      <c r="I20" s="27"/>
      <c r="P20" s="27"/>
      <c r="V20" s="14"/>
      <c r="AC20" s="14"/>
      <c r="AK20" s="27"/>
      <c r="AL20" s="11"/>
      <c r="AM20" s="27" t="s">
        <v>131</v>
      </c>
      <c r="AR20" s="14"/>
      <c r="AS20" s="34" t="s">
        <v>197</v>
      </c>
      <c r="AX20" s="14"/>
      <c r="BA20" s="27"/>
      <c r="BE20" s="14"/>
      <c r="BF20" s="14"/>
      <c r="BH20" s="27"/>
      <c r="BL20" s="27"/>
      <c r="BW20" s="14"/>
    </row>
    <row r="21" spans="1:75">
      <c r="A21" s="27"/>
      <c r="B21" s="27"/>
      <c r="H21" s="14"/>
      <c r="I21" s="27"/>
      <c r="P21" s="27"/>
      <c r="V21" s="14"/>
      <c r="AC21" s="14"/>
      <c r="AK21" s="27"/>
      <c r="AL21" s="11"/>
      <c r="AM21" s="55" t="s">
        <v>198</v>
      </c>
      <c r="AN21" s="10"/>
      <c r="AO21" s="10"/>
      <c r="AP21" s="10"/>
      <c r="AQ21" s="10"/>
      <c r="AR21" s="15"/>
      <c r="AS21" s="55"/>
      <c r="AT21" s="10"/>
      <c r="AU21" s="10"/>
      <c r="AV21" s="10"/>
      <c r="AW21" s="10"/>
      <c r="AX21" s="15"/>
      <c r="BA21" s="27"/>
      <c r="BE21" s="14"/>
      <c r="BF21" s="14"/>
      <c r="BH21" s="27"/>
      <c r="BL21" s="27"/>
      <c r="BW21" s="14"/>
    </row>
    <row r="22" spans="1:75">
      <c r="A22" s="27"/>
      <c r="B22" s="27"/>
      <c r="H22" s="14"/>
      <c r="I22" s="27"/>
      <c r="P22" s="27"/>
      <c r="V22" s="14"/>
      <c r="AC22" s="14"/>
      <c r="AK22" s="27"/>
      <c r="AM22" s="51" t="s">
        <v>199</v>
      </c>
      <c r="AN22" s="52"/>
      <c r="AO22" s="52"/>
      <c r="AP22" s="52"/>
      <c r="AQ22" s="52"/>
      <c r="AR22" s="53"/>
      <c r="AS22" s="51"/>
      <c r="AT22" s="52"/>
      <c r="AU22" s="52"/>
      <c r="AV22" s="52"/>
      <c r="AW22" s="52"/>
      <c r="AX22" s="53"/>
      <c r="BA22" s="27"/>
      <c r="BE22" s="14"/>
      <c r="BF22" s="14"/>
      <c r="BH22" s="27"/>
      <c r="BL22" s="27"/>
      <c r="BW22" s="14"/>
    </row>
    <row r="23" spans="1:75">
      <c r="A23" s="27"/>
      <c r="B23" s="27"/>
      <c r="H23" s="14"/>
      <c r="I23" s="27"/>
      <c r="P23" s="27"/>
      <c r="V23" s="14"/>
      <c r="AC23" s="14"/>
      <c r="AK23" s="27"/>
      <c r="AM23" s="55" t="s">
        <v>200</v>
      </c>
      <c r="AN23" s="10"/>
      <c r="AO23" s="10"/>
      <c r="AP23" s="10"/>
      <c r="AQ23" s="10"/>
      <c r="AR23" s="15"/>
      <c r="AS23" s="81" t="s">
        <v>197</v>
      </c>
      <c r="AT23" s="10"/>
      <c r="AU23" s="10"/>
      <c r="AV23" s="10"/>
      <c r="AW23" s="10"/>
      <c r="AX23" s="15"/>
      <c r="BA23" s="27"/>
      <c r="BE23" s="14"/>
      <c r="BF23" s="14"/>
      <c r="BH23" s="27"/>
      <c r="BL23" s="27"/>
      <c r="BW23" s="14"/>
    </row>
    <row r="24" spans="1:75">
      <c r="A24" s="27"/>
      <c r="B24" s="27"/>
      <c r="H24" s="14"/>
      <c r="I24" s="27"/>
      <c r="P24" s="27"/>
      <c r="V24" s="14"/>
      <c r="AC24" s="14"/>
      <c r="AK24" s="27"/>
      <c r="AM24" s="27" t="s">
        <v>201</v>
      </c>
      <c r="AR24" s="14"/>
      <c r="AS24" s="27"/>
      <c r="AX24" s="14"/>
      <c r="BA24" s="27"/>
      <c r="BE24" s="14"/>
      <c r="BF24" s="14"/>
      <c r="BH24" s="27"/>
      <c r="BL24" s="27"/>
      <c r="BW24" s="14"/>
    </row>
    <row r="25" spans="1:75">
      <c r="A25" s="27"/>
      <c r="B25" s="27"/>
      <c r="H25" s="14"/>
      <c r="I25" s="27"/>
      <c r="P25" s="27"/>
      <c r="V25" s="14"/>
      <c r="AC25" s="14"/>
      <c r="AK25" s="27"/>
      <c r="AM25" s="55" t="s">
        <v>200</v>
      </c>
      <c r="AN25" s="10"/>
      <c r="AO25" s="10"/>
      <c r="AP25" s="10"/>
      <c r="AQ25" s="10"/>
      <c r="AR25" s="15"/>
      <c r="AS25" s="81" t="s">
        <v>202</v>
      </c>
      <c r="AT25" s="10"/>
      <c r="AU25" s="10"/>
      <c r="AV25" s="10"/>
      <c r="AW25" s="10"/>
      <c r="AX25" s="15"/>
      <c r="BA25" s="27"/>
      <c r="BE25" s="14"/>
      <c r="BF25" s="14"/>
      <c r="BH25" s="27"/>
      <c r="BL25" s="27"/>
      <c r="BW25" s="14"/>
    </row>
    <row r="26" spans="1:75">
      <c r="A26" s="27"/>
      <c r="B26" s="27"/>
      <c r="H26" s="14"/>
      <c r="I26" s="27"/>
      <c r="P26" s="27"/>
      <c r="V26" s="14"/>
      <c r="AC26" s="14"/>
      <c r="AK26" s="27"/>
      <c r="BA26" s="27"/>
      <c r="BE26" s="14"/>
      <c r="BF26" s="14"/>
      <c r="BH26" s="27"/>
      <c r="BL26" s="27"/>
      <c r="BW26" s="14"/>
    </row>
    <row r="27" spans="1:75">
      <c r="A27" s="27"/>
      <c r="B27" s="27"/>
      <c r="H27" s="14"/>
      <c r="P27" s="27"/>
      <c r="V27" s="14"/>
      <c r="AC27" s="14"/>
      <c r="AK27" s="27"/>
      <c r="AM27" s="8" t="s">
        <v>138</v>
      </c>
      <c r="AN27" s="8" t="s">
        <v>203</v>
      </c>
      <c r="BA27" s="27"/>
      <c r="BE27" s="14"/>
      <c r="BF27" s="14"/>
      <c r="BH27" s="27"/>
      <c r="BL27" s="27"/>
      <c r="BW27" s="14"/>
    </row>
    <row r="28" spans="1:75">
      <c r="A28" s="27"/>
      <c r="B28" s="27"/>
      <c r="H28" s="14"/>
      <c r="P28" s="27"/>
      <c r="V28" s="14"/>
      <c r="AC28" s="14"/>
      <c r="AK28" s="27"/>
      <c r="AM28" s="72" t="s">
        <v>128</v>
      </c>
      <c r="AN28" s="49"/>
      <c r="AO28" s="49"/>
      <c r="AP28" s="49"/>
      <c r="AQ28" s="49"/>
      <c r="AR28" s="49"/>
      <c r="AS28" s="49"/>
      <c r="AT28" s="49"/>
      <c r="AU28" s="49"/>
      <c r="AV28" s="49"/>
      <c r="AW28" s="49"/>
      <c r="AX28" s="50"/>
      <c r="BA28" s="27"/>
      <c r="BE28" s="14"/>
      <c r="BF28" s="14"/>
      <c r="BH28" s="27"/>
      <c r="BL28" s="27"/>
      <c r="BW28" s="14"/>
    </row>
    <row r="29" spans="1:75">
      <c r="A29" s="27"/>
      <c r="B29" s="27"/>
      <c r="H29" s="14"/>
      <c r="P29" s="27"/>
      <c r="V29" s="14"/>
      <c r="AC29" s="14"/>
      <c r="AK29" s="27"/>
      <c r="AM29" s="80" t="s">
        <v>131</v>
      </c>
      <c r="AN29" s="58"/>
      <c r="AO29" s="58"/>
      <c r="AP29" s="58"/>
      <c r="AQ29" s="83"/>
      <c r="AR29" s="74"/>
      <c r="AS29" s="79" t="s">
        <v>204</v>
      </c>
      <c r="AT29" s="58"/>
      <c r="AU29" s="58"/>
      <c r="AV29" s="58"/>
      <c r="AW29" s="58"/>
      <c r="AX29" s="74"/>
      <c r="BA29" s="27"/>
      <c r="BE29" s="14"/>
      <c r="BF29" s="14"/>
      <c r="BH29" s="27"/>
      <c r="BL29" s="27"/>
      <c r="BW29" s="14"/>
    </row>
    <row r="30" spans="1:75">
      <c r="A30" s="27"/>
      <c r="B30" s="27"/>
      <c r="H30" s="14"/>
      <c r="P30" s="27"/>
      <c r="V30" s="14"/>
      <c r="AC30" s="14"/>
      <c r="AK30" s="27"/>
      <c r="BA30" s="27"/>
      <c r="BE30" s="14"/>
      <c r="BF30" s="14"/>
      <c r="BH30" s="27"/>
      <c r="BL30" s="27"/>
      <c r="BW30" s="14"/>
    </row>
    <row r="31" spans="1:75">
      <c r="A31" s="27"/>
      <c r="B31" s="27"/>
      <c r="H31" s="14"/>
      <c r="I31" s="27"/>
      <c r="P31" s="27"/>
      <c r="V31" s="14"/>
      <c r="AC31" s="14"/>
      <c r="AK31" s="27"/>
      <c r="BA31" s="27" t="s">
        <v>160</v>
      </c>
      <c r="BE31" s="14"/>
      <c r="BF31" s="14"/>
      <c r="BH31" s="27"/>
      <c r="BL31" s="27"/>
      <c r="BW31" s="14"/>
    </row>
    <row r="32" spans="1:75">
      <c r="A32" s="27"/>
      <c r="B32" s="27"/>
      <c r="H32" s="14"/>
      <c r="I32" s="27"/>
      <c r="P32" s="27"/>
      <c r="V32" s="14"/>
      <c r="AC32" s="14"/>
      <c r="AK32" s="27"/>
      <c r="BA32" s="27"/>
      <c r="BE32" s="14"/>
      <c r="BF32" s="14"/>
      <c r="BH32" s="27"/>
      <c r="BL32" s="27"/>
      <c r="BW32" s="14"/>
    </row>
    <row r="33" spans="1:75">
      <c r="A33" s="27"/>
      <c r="B33" s="27"/>
      <c r="H33" s="14"/>
      <c r="I33" s="27"/>
      <c r="P33" s="27"/>
      <c r="V33" s="14"/>
      <c r="AC33" s="14"/>
      <c r="AK33" s="27"/>
      <c r="BA33" s="27"/>
      <c r="BE33" s="14"/>
      <c r="BF33" s="14"/>
      <c r="BH33" s="27"/>
      <c r="BL33" s="27"/>
      <c r="BW33" s="14"/>
    </row>
    <row r="34" spans="1:75">
      <c r="A34" s="27"/>
      <c r="B34" s="27"/>
      <c r="H34" s="14"/>
      <c r="I34" s="27"/>
      <c r="P34" s="27"/>
      <c r="V34" s="14"/>
      <c r="AC34" s="14"/>
      <c r="AK34" s="27"/>
      <c r="BA34" s="27"/>
      <c r="BE34" s="14"/>
      <c r="BF34" s="14"/>
      <c r="BH34" s="27"/>
      <c r="BL34" s="27"/>
      <c r="BW34" s="14"/>
    </row>
    <row r="35" spans="1:75" ht="94.5" customHeight="1">
      <c r="A35" s="27"/>
      <c r="B35" s="27"/>
      <c r="H35" s="14"/>
      <c r="I35" s="27"/>
      <c r="P35" s="27"/>
      <c r="V35" s="14"/>
      <c r="AC35" s="14"/>
      <c r="AK35" s="27"/>
      <c r="BA35" s="27"/>
      <c r="BE35" s="14"/>
      <c r="BF35" s="14"/>
      <c r="BH35" s="367" t="s">
        <v>205</v>
      </c>
      <c r="BI35" s="325"/>
      <c r="BJ35" s="325"/>
      <c r="BK35" s="325"/>
      <c r="BL35" s="367" t="s">
        <v>206</v>
      </c>
      <c r="BM35" s="325"/>
      <c r="BN35" s="325"/>
      <c r="BO35" s="325"/>
      <c r="BP35" s="325"/>
      <c r="BQ35" s="325"/>
      <c r="BR35" s="325"/>
      <c r="BS35" s="325"/>
      <c r="BT35" s="325"/>
      <c r="BU35" s="325"/>
      <c r="BV35" s="325"/>
      <c r="BW35" s="373"/>
    </row>
    <row r="36" spans="1:75" ht="13.5" customHeight="1">
      <c r="A36" s="27"/>
      <c r="B36" s="27"/>
      <c r="H36" s="14"/>
      <c r="I36" s="27"/>
      <c r="P36" s="27"/>
      <c r="V36" s="14"/>
      <c r="AC36" s="14"/>
      <c r="AK36" s="27"/>
      <c r="BA36" s="27"/>
      <c r="BE36" s="14"/>
      <c r="BF36" s="14"/>
      <c r="BH36" s="111"/>
      <c r="BI36" s="110"/>
      <c r="BJ36" s="110"/>
      <c r="BK36" s="110"/>
      <c r="BL36" s="111"/>
      <c r="BM36" s="110"/>
      <c r="BN36" s="110"/>
      <c r="BO36" s="110"/>
      <c r="BP36" s="110"/>
      <c r="BQ36" s="110"/>
      <c r="BR36" s="110"/>
      <c r="BS36" s="110"/>
      <c r="BT36" s="110"/>
      <c r="BU36" s="110"/>
      <c r="BV36" s="110"/>
      <c r="BW36" s="112"/>
    </row>
    <row r="37" spans="1:75" ht="13.5" customHeight="1">
      <c r="A37" s="27"/>
      <c r="B37" s="27"/>
      <c r="H37" s="14"/>
      <c r="I37" s="27"/>
      <c r="P37" s="27"/>
      <c r="V37" s="14"/>
      <c r="AC37" s="14"/>
      <c r="AK37" s="27"/>
      <c r="AL37" s="25" t="s">
        <v>207</v>
      </c>
      <c r="AM37" s="11"/>
      <c r="AN37" s="11"/>
      <c r="AO37" s="11"/>
      <c r="AP37" s="11"/>
      <c r="BA37" s="27"/>
      <c r="BE37" s="14"/>
      <c r="BF37" s="14"/>
      <c r="BH37" s="111"/>
      <c r="BI37" s="110"/>
      <c r="BJ37" s="110"/>
      <c r="BK37" s="110"/>
      <c r="BL37" s="111"/>
      <c r="BM37" s="110"/>
      <c r="BN37" s="110"/>
      <c r="BO37" s="110"/>
      <c r="BP37" s="110"/>
      <c r="BQ37" s="110"/>
      <c r="BR37" s="110"/>
      <c r="BS37" s="110"/>
      <c r="BT37" s="110"/>
      <c r="BU37" s="110"/>
      <c r="BV37" s="110"/>
      <c r="BW37" s="112"/>
    </row>
    <row r="38" spans="1:75" ht="13.5" customHeight="1">
      <c r="A38" s="27"/>
      <c r="B38" s="27"/>
      <c r="H38" s="14"/>
      <c r="I38" s="27"/>
      <c r="P38" s="27"/>
      <c r="V38" s="14"/>
      <c r="AC38" s="14"/>
      <c r="AK38" s="27"/>
      <c r="AL38" s="11"/>
      <c r="AM38" s="8" t="s">
        <v>208</v>
      </c>
      <c r="AN38" s="11"/>
      <c r="AO38" s="11"/>
      <c r="BA38" s="27"/>
      <c r="BE38" s="14"/>
      <c r="BF38" s="14"/>
      <c r="BH38" s="111"/>
      <c r="BI38" s="110"/>
      <c r="BJ38" s="110"/>
      <c r="BK38" s="110"/>
      <c r="BL38" s="111"/>
      <c r="BM38" s="110"/>
      <c r="BN38" s="110"/>
      <c r="BO38" s="110"/>
      <c r="BP38" s="110"/>
      <c r="BQ38" s="110"/>
      <c r="BR38" s="110"/>
      <c r="BS38" s="110"/>
      <c r="BT38" s="110"/>
      <c r="BU38" s="110"/>
      <c r="BV38" s="110"/>
      <c r="BW38" s="112"/>
    </row>
    <row r="39" spans="1:75" ht="13.5" customHeight="1">
      <c r="A39" s="27"/>
      <c r="B39" s="27"/>
      <c r="H39" s="14"/>
      <c r="I39" s="27"/>
      <c r="P39" s="27"/>
      <c r="V39" s="14"/>
      <c r="AC39" s="14"/>
      <c r="AK39" s="27"/>
      <c r="AL39" s="11"/>
      <c r="AM39" s="8" t="s">
        <v>209</v>
      </c>
      <c r="AN39" s="11"/>
      <c r="AO39" s="11"/>
      <c r="BA39" s="27"/>
      <c r="BE39" s="14"/>
      <c r="BF39" s="14"/>
      <c r="BH39" s="111"/>
      <c r="BI39" s="110"/>
      <c r="BJ39" s="110"/>
      <c r="BK39" s="110"/>
      <c r="BL39" s="111"/>
      <c r="BM39" s="110"/>
      <c r="BN39" s="110"/>
      <c r="BO39" s="110"/>
      <c r="BP39" s="110"/>
      <c r="BQ39" s="110"/>
      <c r="BR39" s="110"/>
      <c r="BS39" s="110"/>
      <c r="BT39" s="110"/>
      <c r="BU39" s="110"/>
      <c r="BV39" s="110"/>
      <c r="BW39" s="112"/>
    </row>
    <row r="40" spans="1:75" ht="13.5" customHeight="1">
      <c r="A40" s="27"/>
      <c r="B40" s="27"/>
      <c r="H40" s="14"/>
      <c r="I40" s="27"/>
      <c r="P40" s="27"/>
      <c r="V40" s="14"/>
      <c r="AC40" s="14"/>
      <c r="AK40" s="27"/>
      <c r="AM40" s="8" t="s">
        <v>210</v>
      </c>
      <c r="BA40" s="27"/>
      <c r="BE40" s="14"/>
      <c r="BF40" s="14"/>
      <c r="BH40" s="111"/>
      <c r="BI40" s="110"/>
      <c r="BJ40" s="110"/>
      <c r="BK40" s="110"/>
      <c r="BL40" s="111"/>
      <c r="BM40" s="110"/>
      <c r="BN40" s="110"/>
      <c r="BO40" s="110"/>
      <c r="BP40" s="110"/>
      <c r="BQ40" s="110"/>
      <c r="BR40" s="110"/>
      <c r="BS40" s="110"/>
      <c r="BT40" s="110"/>
      <c r="BU40" s="110"/>
      <c r="BV40" s="110"/>
      <c r="BW40" s="112"/>
    </row>
    <row r="41" spans="1:75" ht="13.5" customHeight="1">
      <c r="A41" s="27"/>
      <c r="B41" s="27"/>
      <c r="H41" s="14"/>
      <c r="I41" s="27"/>
      <c r="P41" s="27"/>
      <c r="V41" s="14"/>
      <c r="AC41" s="14"/>
      <c r="AK41" s="27"/>
      <c r="BA41" s="27"/>
      <c r="BE41" s="14"/>
      <c r="BF41" s="14"/>
      <c r="BH41" s="111"/>
      <c r="BI41" s="110"/>
      <c r="BJ41" s="110"/>
      <c r="BK41" s="110"/>
      <c r="BL41" s="111"/>
      <c r="BM41" s="110"/>
      <c r="BN41" s="110"/>
      <c r="BO41" s="110"/>
      <c r="BP41" s="110"/>
      <c r="BQ41" s="110"/>
      <c r="BR41" s="110"/>
      <c r="BS41" s="110"/>
      <c r="BT41" s="110"/>
      <c r="BU41" s="110"/>
      <c r="BV41" s="110"/>
      <c r="BW41" s="112"/>
    </row>
    <row r="42" spans="1:75" ht="13.5" customHeight="1">
      <c r="A42" s="27"/>
      <c r="B42" s="27"/>
      <c r="H42" s="14"/>
      <c r="I42" s="27"/>
      <c r="P42" s="27"/>
      <c r="V42" s="14"/>
      <c r="AC42" s="14"/>
      <c r="AK42" s="27"/>
      <c r="BA42" s="27"/>
      <c r="BE42" s="14"/>
      <c r="BF42" s="14"/>
      <c r="BH42" s="111"/>
      <c r="BI42" s="110"/>
      <c r="BJ42" s="110"/>
      <c r="BK42" s="110"/>
      <c r="BL42" s="111"/>
      <c r="BM42" s="110"/>
      <c r="BN42" s="110"/>
      <c r="BO42" s="110"/>
      <c r="BP42" s="110"/>
      <c r="BQ42" s="110"/>
      <c r="BR42" s="110"/>
      <c r="BS42" s="110"/>
      <c r="BT42" s="110"/>
      <c r="BU42" s="110"/>
      <c r="BV42" s="110"/>
      <c r="BW42" s="112"/>
    </row>
    <row r="43" spans="1:75" ht="13.5" customHeight="1">
      <c r="A43" s="27"/>
      <c r="B43" s="27"/>
      <c r="H43" s="14"/>
      <c r="I43" s="27"/>
      <c r="P43" s="27"/>
      <c r="V43" s="14"/>
      <c r="AC43" s="14"/>
      <c r="AK43" s="27"/>
      <c r="BA43" s="27"/>
      <c r="BE43" s="14"/>
      <c r="BF43" s="14"/>
      <c r="BH43" s="111"/>
      <c r="BI43" s="110"/>
      <c r="BJ43" s="110"/>
      <c r="BK43" s="110"/>
      <c r="BL43" s="111"/>
      <c r="BM43" s="110"/>
      <c r="BN43" s="110"/>
      <c r="BO43" s="110"/>
      <c r="BP43" s="110"/>
      <c r="BQ43" s="110"/>
      <c r="BR43" s="110"/>
      <c r="BS43" s="110"/>
      <c r="BT43" s="110"/>
      <c r="BU43" s="110"/>
      <c r="BV43" s="110"/>
      <c r="BW43" s="112"/>
    </row>
    <row r="44" spans="1:75" ht="13.5" customHeight="1">
      <c r="A44" s="27"/>
      <c r="B44" s="27"/>
      <c r="H44" s="14"/>
      <c r="I44" s="27"/>
      <c r="P44" s="27"/>
      <c r="V44" s="14"/>
      <c r="AC44" s="14"/>
      <c r="AK44" s="27"/>
      <c r="BA44" s="27"/>
      <c r="BE44" s="14"/>
      <c r="BF44" s="14"/>
      <c r="BH44" s="111"/>
      <c r="BI44" s="110"/>
      <c r="BJ44" s="110"/>
      <c r="BK44" s="110"/>
      <c r="BL44" s="111"/>
      <c r="BM44" s="110"/>
      <c r="BN44" s="110"/>
      <c r="BO44" s="110"/>
      <c r="BP44" s="110"/>
      <c r="BQ44" s="110"/>
      <c r="BR44" s="110"/>
      <c r="BS44" s="110"/>
      <c r="BT44" s="110"/>
      <c r="BU44" s="110"/>
      <c r="BV44" s="110"/>
      <c r="BW44" s="112"/>
    </row>
    <row r="45" spans="1:75" ht="13.5" customHeight="1">
      <c r="A45" s="27"/>
      <c r="B45" s="27"/>
      <c r="H45" s="14"/>
      <c r="I45" s="27"/>
      <c r="P45" s="27"/>
      <c r="V45" s="14"/>
      <c r="AC45" s="14"/>
      <c r="AK45" s="27"/>
      <c r="BA45" s="27"/>
      <c r="BE45" s="14"/>
      <c r="BF45" s="14"/>
      <c r="BH45" s="27"/>
      <c r="BL45" s="71"/>
      <c r="BW45" s="14"/>
    </row>
    <row r="46" spans="1:75" ht="13.5" customHeight="1">
      <c r="A46" s="27"/>
      <c r="B46" s="27"/>
      <c r="H46" s="14"/>
      <c r="I46" s="27"/>
      <c r="P46" s="27"/>
      <c r="V46" s="14"/>
      <c r="AC46" s="14"/>
      <c r="AK46" s="27"/>
      <c r="BA46" s="27"/>
      <c r="BE46" s="14"/>
      <c r="BF46" s="14"/>
      <c r="BH46" s="367" t="s">
        <v>211</v>
      </c>
      <c r="BI46" s="325"/>
      <c r="BJ46" s="325"/>
      <c r="BK46" s="325"/>
      <c r="BL46" s="370" t="s">
        <v>212</v>
      </c>
      <c r="BM46" s="371"/>
      <c r="BN46" s="371"/>
      <c r="BO46" s="371"/>
      <c r="BP46" s="371"/>
      <c r="BQ46" s="371"/>
      <c r="BR46" s="371"/>
      <c r="BS46" s="371"/>
      <c r="BT46" s="371"/>
      <c r="BU46" s="371"/>
      <c r="BV46" s="371"/>
      <c r="BW46" s="372"/>
    </row>
    <row r="47" spans="1:75">
      <c r="A47" s="27"/>
      <c r="B47" s="27"/>
      <c r="H47" s="14"/>
      <c r="I47" s="27"/>
      <c r="P47" s="27"/>
      <c r="V47" s="14"/>
      <c r="AC47" s="14"/>
      <c r="AK47" s="27"/>
      <c r="AL47" s="16"/>
      <c r="BA47" s="27"/>
      <c r="BE47" s="14"/>
      <c r="BF47" s="14"/>
      <c r="BH47" s="367"/>
      <c r="BI47" s="325"/>
      <c r="BJ47" s="325"/>
      <c r="BK47" s="325"/>
      <c r="BL47" s="370" t="s">
        <v>213</v>
      </c>
      <c r="BM47" s="371"/>
      <c r="BN47" s="371"/>
      <c r="BO47" s="371"/>
      <c r="BP47" s="371"/>
      <c r="BQ47" s="371"/>
      <c r="BR47" s="371"/>
      <c r="BS47" s="371"/>
      <c r="BT47" s="371"/>
      <c r="BU47" s="371"/>
      <c r="BV47" s="371"/>
      <c r="BW47" s="372"/>
    </row>
    <row r="48" spans="1:75" ht="14.45" customHeight="1">
      <c r="A48" s="27"/>
      <c r="B48" s="55"/>
      <c r="C48" s="10"/>
      <c r="D48" s="10"/>
      <c r="E48" s="10"/>
      <c r="F48" s="10"/>
      <c r="G48" s="10"/>
      <c r="H48" s="15"/>
      <c r="I48" s="55"/>
      <c r="J48" s="10"/>
      <c r="K48" s="10"/>
      <c r="L48" s="10"/>
      <c r="M48" s="10"/>
      <c r="N48" s="10"/>
      <c r="O48" s="10"/>
      <c r="P48" s="55"/>
      <c r="Q48" s="10"/>
      <c r="R48" s="10"/>
      <c r="S48" s="10"/>
      <c r="T48" s="10"/>
      <c r="U48" s="10"/>
      <c r="V48" s="15"/>
      <c r="W48" s="10"/>
      <c r="X48" s="10"/>
      <c r="Y48" s="10"/>
      <c r="Z48" s="10"/>
      <c r="AA48" s="10"/>
      <c r="AB48" s="10"/>
      <c r="AC48" s="15"/>
      <c r="AD48" s="10"/>
      <c r="AE48" s="10"/>
      <c r="AF48" s="10"/>
      <c r="AG48" s="10"/>
      <c r="AH48" s="10"/>
      <c r="AI48" s="10"/>
      <c r="AJ48" s="10"/>
      <c r="AK48" s="55"/>
      <c r="AL48" s="10"/>
      <c r="AM48" s="10"/>
      <c r="AN48" s="10"/>
      <c r="AO48" s="10"/>
      <c r="AP48" s="10"/>
      <c r="AQ48" s="10"/>
      <c r="AR48" s="10"/>
      <c r="AS48" s="10"/>
      <c r="AT48" s="10"/>
      <c r="AU48" s="10"/>
      <c r="AV48" s="10"/>
      <c r="AW48" s="10"/>
      <c r="AX48" s="10"/>
      <c r="AY48" s="10"/>
      <c r="AZ48" s="10"/>
      <c r="BA48" s="55"/>
      <c r="BB48" s="10"/>
      <c r="BC48" s="10"/>
      <c r="BD48" s="10"/>
      <c r="BE48" s="15"/>
      <c r="BF48" s="14"/>
      <c r="BH48" s="368"/>
      <c r="BI48" s="369"/>
      <c r="BJ48" s="369"/>
      <c r="BK48" s="369"/>
      <c r="BL48" s="55"/>
      <c r="BM48" s="10"/>
      <c r="BN48" s="10"/>
      <c r="BO48" s="10"/>
      <c r="BP48" s="10"/>
      <c r="BQ48" s="10"/>
      <c r="BR48" s="10"/>
      <c r="BS48" s="10"/>
      <c r="BT48" s="10"/>
      <c r="BU48" s="10"/>
      <c r="BV48" s="10"/>
      <c r="BW48" s="15"/>
    </row>
    <row r="49" spans="1:58">
      <c r="A49" s="27"/>
      <c r="BF49" s="14"/>
    </row>
    <row r="50" spans="1:58">
      <c r="A50" s="55"/>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5"/>
    </row>
  </sheetData>
  <mergeCells count="31">
    <mergeCell ref="A1:E1"/>
    <mergeCell ref="F1:U1"/>
    <mergeCell ref="A2:E3"/>
    <mergeCell ref="F2:U3"/>
    <mergeCell ref="V2:AI3"/>
    <mergeCell ref="BA8:BE9"/>
    <mergeCell ref="W8:AJ8"/>
    <mergeCell ref="AD9:AJ9"/>
    <mergeCell ref="AQ1:AV1"/>
    <mergeCell ref="AQ2:AV2"/>
    <mergeCell ref="AQ3:AV3"/>
    <mergeCell ref="V1:AI1"/>
    <mergeCell ref="AJ1:AP1"/>
    <mergeCell ref="AJ2:AK2"/>
    <mergeCell ref="AL2:AP2"/>
    <mergeCell ref="AJ3:AK3"/>
    <mergeCell ref="AL3:AP3"/>
    <mergeCell ref="AK8:AZ9"/>
    <mergeCell ref="B8:O8"/>
    <mergeCell ref="B9:H9"/>
    <mergeCell ref="I9:O9"/>
    <mergeCell ref="W9:AC9"/>
    <mergeCell ref="P8:V8"/>
    <mergeCell ref="P9:V9"/>
    <mergeCell ref="BH46:BK48"/>
    <mergeCell ref="BL46:BW46"/>
    <mergeCell ref="BL47:BW47"/>
    <mergeCell ref="BL8:BW9"/>
    <mergeCell ref="BH35:BK35"/>
    <mergeCell ref="BL35:BW35"/>
    <mergeCell ref="BH8:BK9"/>
  </mergeCells>
  <phoneticPr fontId="2"/>
  <pageMargins left="0.7" right="0.7" top="0.75" bottom="0.75" header="0.3" footer="0.3"/>
  <pageSetup paperSize="9" scale="6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B730-284D-4CA5-BA69-3816A75743FA}">
  <sheetPr codeName="Sheet16"/>
  <dimension ref="A1:BG78"/>
  <sheetViews>
    <sheetView showGridLines="0" zoomScaleNormal="100" workbookViewId="0">
      <pane ySplit="9" topLeftCell="A58" activePane="bottomLeft" state="frozen"/>
      <selection pane="bottomLeft" sqref="A1:E1"/>
      <selection activeCell="AL157" sqref="AL157"/>
    </sheetView>
  </sheetViews>
  <sheetFormatPr defaultColWidth="2.375" defaultRowHeight="13.5"/>
  <cols>
    <col min="1" max="1" width="2.375" style="8" customWidth="1"/>
    <col min="2" max="35" width="2.375" style="8"/>
    <col min="36" max="36" width="2.375" style="8" customWidth="1"/>
    <col min="37" max="16384" width="2.375" style="8"/>
  </cols>
  <sheetData>
    <row r="1" spans="1:59"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59">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59"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4" spans="1:59">
      <c r="A4" s="27"/>
      <c r="AO4" s="9"/>
    </row>
    <row r="5" spans="1:59">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row>
    <row r="6" spans="1:59"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BA6" s="8"/>
      <c r="BB6" s="8"/>
      <c r="BC6" s="8"/>
      <c r="BD6" s="8"/>
      <c r="BE6" s="8"/>
      <c r="BF6" s="8"/>
      <c r="BG6" s="8"/>
    </row>
    <row r="7" spans="1:59" s="11" customFormat="1">
      <c r="A7" s="28"/>
      <c r="AY7" s="13"/>
    </row>
    <row r="8" spans="1:59" s="11" customFormat="1" ht="15.75" customHeight="1">
      <c r="A8" s="28"/>
      <c r="B8" s="197" t="s">
        <v>172</v>
      </c>
      <c r="C8" s="198"/>
      <c r="D8" s="198"/>
      <c r="E8" s="198"/>
      <c r="F8" s="198"/>
      <c r="G8" s="198"/>
      <c r="H8" s="198"/>
      <c r="I8" s="198"/>
      <c r="J8" s="198"/>
      <c r="K8" s="198"/>
      <c r="L8" s="198"/>
      <c r="M8" s="198"/>
      <c r="N8" s="198"/>
      <c r="O8" s="199"/>
      <c r="P8" s="202" t="s">
        <v>83</v>
      </c>
      <c r="Q8" s="203"/>
      <c r="R8" s="203"/>
      <c r="S8" s="203"/>
      <c r="T8" s="203"/>
      <c r="U8" s="203"/>
      <c r="V8" s="204"/>
      <c r="W8" s="203"/>
      <c r="X8" s="203"/>
      <c r="Y8" s="203"/>
      <c r="Z8" s="203"/>
      <c r="AA8" s="203"/>
      <c r="AB8" s="203"/>
      <c r="AC8" s="204"/>
      <c r="AD8" s="201" t="s">
        <v>101</v>
      </c>
      <c r="AE8" s="201"/>
      <c r="AF8" s="201"/>
      <c r="AG8" s="201"/>
      <c r="AH8" s="201"/>
      <c r="AI8" s="201"/>
      <c r="AJ8" s="201"/>
      <c r="AK8" s="201"/>
      <c r="AL8" s="201"/>
      <c r="AM8" s="201"/>
      <c r="AN8" s="201"/>
      <c r="AO8" s="201"/>
      <c r="AP8" s="201"/>
      <c r="AQ8" s="201"/>
      <c r="AR8" s="201"/>
      <c r="AS8" s="201"/>
      <c r="AT8" s="200" t="s">
        <v>103</v>
      </c>
      <c r="AU8" s="201"/>
      <c r="AV8" s="201"/>
      <c r="AW8" s="201"/>
      <c r="AX8" s="201"/>
      <c r="AY8" s="13"/>
    </row>
    <row r="9" spans="1:59" s="11" customFormat="1" ht="13.5" customHeight="1">
      <c r="A9" s="28"/>
      <c r="B9" s="197" t="s">
        <v>89</v>
      </c>
      <c r="C9" s="198"/>
      <c r="D9" s="198"/>
      <c r="E9" s="198"/>
      <c r="F9" s="198"/>
      <c r="G9" s="198"/>
      <c r="H9" s="199"/>
      <c r="I9" s="197" t="s">
        <v>90</v>
      </c>
      <c r="J9" s="198"/>
      <c r="K9" s="198"/>
      <c r="L9" s="198"/>
      <c r="M9" s="198"/>
      <c r="N9" s="198"/>
      <c r="O9" s="198"/>
      <c r="P9" s="202" t="s">
        <v>98</v>
      </c>
      <c r="Q9" s="203"/>
      <c r="R9" s="203"/>
      <c r="S9" s="203"/>
      <c r="T9" s="203"/>
      <c r="U9" s="203"/>
      <c r="V9" s="204"/>
      <c r="W9" s="202" t="s">
        <v>100</v>
      </c>
      <c r="X9" s="203"/>
      <c r="Y9" s="203"/>
      <c r="Z9" s="203"/>
      <c r="AA9" s="203"/>
      <c r="AB9" s="203"/>
      <c r="AC9" s="204"/>
      <c r="AD9" s="201"/>
      <c r="AE9" s="201"/>
      <c r="AF9" s="201"/>
      <c r="AG9" s="201"/>
      <c r="AH9" s="201"/>
      <c r="AI9" s="201"/>
      <c r="AJ9" s="201"/>
      <c r="AK9" s="201"/>
      <c r="AL9" s="201"/>
      <c r="AM9" s="201"/>
      <c r="AN9" s="201"/>
      <c r="AO9" s="201"/>
      <c r="AP9" s="201"/>
      <c r="AQ9" s="201"/>
      <c r="AR9" s="201"/>
      <c r="AS9" s="201"/>
      <c r="AT9" s="201"/>
      <c r="AU9" s="201"/>
      <c r="AV9" s="201"/>
      <c r="AW9" s="201"/>
      <c r="AX9" s="201"/>
      <c r="AY9" s="13"/>
    </row>
    <row r="10" spans="1:59" s="11" customFormat="1" ht="13.5" customHeight="1">
      <c r="A10" s="28"/>
      <c r="B10" s="88" t="s">
        <v>214</v>
      </c>
      <c r="C10" s="77"/>
      <c r="D10" s="77"/>
      <c r="E10" s="77"/>
      <c r="F10" s="77"/>
      <c r="G10" s="77"/>
      <c r="H10" s="78"/>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13"/>
    </row>
    <row r="11" spans="1:59" s="11" customFormat="1" ht="13.5" customHeight="1">
      <c r="A11" s="28"/>
      <c r="B11" s="47"/>
      <c r="C11" s="45"/>
      <c r="D11" s="45"/>
      <c r="E11" s="45"/>
      <c r="F11" s="45"/>
      <c r="G11" s="45"/>
      <c r="H11" s="46"/>
      <c r="I11" s="45"/>
      <c r="J11" s="45"/>
      <c r="K11" s="45"/>
      <c r="L11" s="45"/>
      <c r="M11" s="45"/>
      <c r="N11" s="45"/>
      <c r="O11" s="45"/>
      <c r="P11" s="47"/>
      <c r="Q11" s="45"/>
      <c r="R11" s="45"/>
      <c r="S11" s="45"/>
      <c r="T11" s="45"/>
      <c r="U11" s="45"/>
      <c r="V11" s="46"/>
      <c r="W11" s="47"/>
      <c r="X11" s="45"/>
      <c r="Y11" s="45"/>
      <c r="Z11" s="45"/>
      <c r="AA11" s="45"/>
      <c r="AB11" s="45"/>
      <c r="AC11" s="46"/>
      <c r="AD11" s="45"/>
      <c r="AE11" s="45"/>
      <c r="AF11" s="45"/>
      <c r="AG11" s="45"/>
      <c r="AH11" s="45"/>
      <c r="AI11" s="45"/>
      <c r="AJ11" s="45"/>
      <c r="AK11" s="45"/>
      <c r="AL11" s="45"/>
      <c r="AM11" s="45"/>
      <c r="AN11" s="45"/>
      <c r="AO11" s="45"/>
      <c r="AP11" s="45"/>
      <c r="AQ11" s="45"/>
      <c r="AR11" s="45"/>
      <c r="AS11" s="45"/>
      <c r="AT11" s="47"/>
      <c r="AU11" s="45"/>
      <c r="AV11" s="45"/>
      <c r="AW11" s="45"/>
      <c r="AX11" s="46"/>
      <c r="AY11" s="13"/>
    </row>
    <row r="12" spans="1:59" s="11" customFormat="1" ht="13.5" customHeight="1">
      <c r="A12" s="28"/>
      <c r="B12" s="31"/>
      <c r="C12" s="24"/>
      <c r="D12" s="24"/>
      <c r="E12" s="24"/>
      <c r="F12" s="24"/>
      <c r="G12" s="24"/>
      <c r="H12" s="23"/>
      <c r="I12" s="24"/>
      <c r="J12" s="24"/>
      <c r="K12" s="24"/>
      <c r="L12" s="24"/>
      <c r="M12" s="24"/>
      <c r="N12" s="24"/>
      <c r="O12" s="24"/>
      <c r="P12" s="31"/>
      <c r="Q12" s="24"/>
      <c r="R12" s="24"/>
      <c r="S12" s="24"/>
      <c r="T12" s="24"/>
      <c r="U12" s="24"/>
      <c r="V12" s="23"/>
      <c r="W12" s="31"/>
      <c r="X12" s="24"/>
      <c r="Y12" s="24"/>
      <c r="Z12" s="24"/>
      <c r="AA12" s="24"/>
      <c r="AB12" s="24"/>
      <c r="AC12" s="23"/>
      <c r="AD12" s="24"/>
      <c r="AE12" s="24"/>
      <c r="AF12" s="24"/>
      <c r="AG12" s="24"/>
      <c r="AH12" s="24"/>
      <c r="AI12" s="24"/>
      <c r="AJ12" s="24"/>
      <c r="AK12" s="24"/>
      <c r="AL12" s="24"/>
      <c r="AM12" s="24"/>
      <c r="AN12" s="24"/>
      <c r="AO12" s="24"/>
      <c r="AP12" s="24"/>
      <c r="AQ12" s="24"/>
      <c r="AR12" s="24"/>
      <c r="AS12" s="24"/>
      <c r="AT12" s="31"/>
      <c r="AU12" s="24"/>
      <c r="AV12" s="24"/>
      <c r="AW12" s="24"/>
      <c r="AX12" s="23"/>
      <c r="AY12" s="13"/>
    </row>
    <row r="13" spans="1:59" s="11" customFormat="1" ht="13.5" customHeight="1">
      <c r="A13" s="28"/>
      <c r="B13" s="31"/>
      <c r="C13" s="24"/>
      <c r="D13" s="24"/>
      <c r="E13" s="24"/>
      <c r="F13" s="24"/>
      <c r="G13" s="24"/>
      <c r="H13" s="23"/>
      <c r="I13" s="24"/>
      <c r="J13" s="24"/>
      <c r="K13" s="24"/>
      <c r="L13" s="24"/>
      <c r="M13" s="24"/>
      <c r="N13" s="24"/>
      <c r="O13" s="24"/>
      <c r="P13" s="31"/>
      <c r="Q13" s="24"/>
      <c r="R13" s="24"/>
      <c r="S13" s="24"/>
      <c r="T13" s="24"/>
      <c r="U13" s="24"/>
      <c r="V13" s="23"/>
      <c r="W13" s="31"/>
      <c r="X13" s="24"/>
      <c r="Y13" s="24"/>
      <c r="Z13" s="24"/>
      <c r="AA13" s="24"/>
      <c r="AB13" s="24"/>
      <c r="AC13" s="23"/>
      <c r="AD13" s="24"/>
      <c r="AE13" s="24"/>
      <c r="AF13" s="24"/>
      <c r="AG13" s="24"/>
      <c r="AH13" s="24"/>
      <c r="AI13" s="24"/>
      <c r="AJ13" s="24"/>
      <c r="AK13" s="24"/>
      <c r="AL13" s="24"/>
      <c r="AM13" s="24"/>
      <c r="AN13" s="24"/>
      <c r="AO13" s="24"/>
      <c r="AP13" s="24"/>
      <c r="AQ13" s="24"/>
      <c r="AR13" s="24"/>
      <c r="AS13" s="24"/>
      <c r="AT13" s="31"/>
      <c r="AU13" s="24"/>
      <c r="AV13" s="24"/>
      <c r="AW13" s="24"/>
      <c r="AX13" s="23"/>
      <c r="AY13" s="13"/>
    </row>
    <row r="14" spans="1:59" s="11" customFormat="1" ht="13.5" customHeight="1">
      <c r="A14" s="28"/>
      <c r="B14" s="31"/>
      <c r="C14" s="24"/>
      <c r="D14" s="24"/>
      <c r="E14" s="24"/>
      <c r="F14" s="24"/>
      <c r="G14" s="24"/>
      <c r="H14" s="23"/>
      <c r="I14" s="24"/>
      <c r="J14" s="24"/>
      <c r="K14" s="24"/>
      <c r="L14" s="24"/>
      <c r="M14" s="24"/>
      <c r="N14" s="24"/>
      <c r="O14" s="24"/>
      <c r="P14" s="31"/>
      <c r="Q14" s="24"/>
      <c r="R14" s="24"/>
      <c r="S14" s="24"/>
      <c r="T14" s="24"/>
      <c r="U14" s="24"/>
      <c r="V14" s="23"/>
      <c r="W14" s="31"/>
      <c r="X14" s="24"/>
      <c r="Y14" s="24"/>
      <c r="Z14" s="24"/>
      <c r="AA14" s="24"/>
      <c r="AB14" s="24"/>
      <c r="AC14" s="23"/>
      <c r="AD14" s="24"/>
      <c r="AE14" s="24"/>
      <c r="AF14" s="24"/>
      <c r="AG14" s="24"/>
      <c r="AH14" s="24"/>
      <c r="AI14" s="24"/>
      <c r="AJ14" s="24"/>
      <c r="AK14" s="24"/>
      <c r="AL14" s="24"/>
      <c r="AM14" s="24"/>
      <c r="AN14" s="24"/>
      <c r="AO14" s="24"/>
      <c r="AP14" s="24"/>
      <c r="AQ14" s="24"/>
      <c r="AR14" s="24"/>
      <c r="AS14" s="24"/>
      <c r="AT14" s="31"/>
      <c r="AU14" s="24"/>
      <c r="AV14" s="24"/>
      <c r="AW14" s="24"/>
      <c r="AX14" s="23"/>
      <c r="AY14" s="13"/>
    </row>
    <row r="15" spans="1:59" s="11" customFormat="1" ht="13.5" customHeight="1">
      <c r="A15" s="28"/>
      <c r="B15" s="31"/>
      <c r="C15" s="24"/>
      <c r="D15" s="24"/>
      <c r="E15" s="24"/>
      <c r="F15" s="24"/>
      <c r="G15" s="24"/>
      <c r="H15" s="23"/>
      <c r="I15" s="24"/>
      <c r="J15" s="24"/>
      <c r="K15" s="24"/>
      <c r="L15" s="24"/>
      <c r="M15" s="24"/>
      <c r="N15" s="24"/>
      <c r="O15" s="24"/>
      <c r="P15" s="31"/>
      <c r="Q15" s="24"/>
      <c r="R15" s="24"/>
      <c r="S15" s="24"/>
      <c r="T15" s="24"/>
      <c r="U15" s="24"/>
      <c r="V15" s="23"/>
      <c r="W15" s="31"/>
      <c r="X15" s="24"/>
      <c r="Y15" s="24"/>
      <c r="Z15" s="24"/>
      <c r="AA15" s="24"/>
      <c r="AB15" s="24"/>
      <c r="AC15" s="23"/>
      <c r="AD15" s="24"/>
      <c r="AE15" s="24"/>
      <c r="AF15" s="24"/>
      <c r="AG15" s="24"/>
      <c r="AH15" s="24"/>
      <c r="AI15" s="24"/>
      <c r="AJ15" s="24"/>
      <c r="AK15" s="24"/>
      <c r="AL15" s="24"/>
      <c r="AM15" s="24"/>
      <c r="AN15" s="24"/>
      <c r="AO15" s="24"/>
      <c r="AP15" s="24"/>
      <c r="AQ15" s="24"/>
      <c r="AR15" s="24"/>
      <c r="AS15" s="24"/>
      <c r="AT15" s="31"/>
      <c r="AU15" s="24"/>
      <c r="AV15" s="24"/>
      <c r="AW15" s="24"/>
      <c r="AX15" s="23"/>
      <c r="AY15" s="13"/>
    </row>
    <row r="16" spans="1:59" s="11" customFormat="1" ht="13.5" customHeight="1">
      <c r="A16" s="28"/>
      <c r="B16" s="31"/>
      <c r="C16" s="24"/>
      <c r="D16" s="24"/>
      <c r="E16" s="24"/>
      <c r="F16" s="24"/>
      <c r="G16" s="24"/>
      <c r="H16" s="23"/>
      <c r="I16" s="24"/>
      <c r="J16" s="24"/>
      <c r="K16" s="24"/>
      <c r="L16" s="24"/>
      <c r="M16" s="24"/>
      <c r="N16" s="24"/>
      <c r="O16" s="24"/>
      <c r="P16" s="31"/>
      <c r="Q16" s="24"/>
      <c r="R16" s="24"/>
      <c r="S16" s="24"/>
      <c r="T16" s="24"/>
      <c r="U16" s="24"/>
      <c r="V16" s="23"/>
      <c r="W16" s="31"/>
      <c r="X16" s="24"/>
      <c r="Y16" s="24"/>
      <c r="Z16" s="24"/>
      <c r="AA16" s="24"/>
      <c r="AB16" s="24"/>
      <c r="AC16" s="23"/>
      <c r="AD16" s="24"/>
      <c r="AE16" s="24"/>
      <c r="AF16" s="24"/>
      <c r="AG16" s="24"/>
      <c r="AH16" s="24"/>
      <c r="AI16" s="24"/>
      <c r="AJ16" s="24"/>
      <c r="AK16" s="24"/>
      <c r="AL16" s="24"/>
      <c r="AM16" s="24"/>
      <c r="AN16" s="24"/>
      <c r="AO16" s="24"/>
      <c r="AP16" s="24"/>
      <c r="AQ16" s="24"/>
      <c r="AR16" s="24"/>
      <c r="AS16" s="24"/>
      <c r="AT16" s="31"/>
      <c r="AU16" s="24"/>
      <c r="AV16" s="24"/>
      <c r="AW16" s="24"/>
      <c r="AX16" s="23"/>
      <c r="AY16" s="13"/>
    </row>
    <row r="17" spans="1:51" s="11" customFormat="1" ht="13.5" customHeight="1">
      <c r="A17" s="28"/>
      <c r="B17" s="31"/>
      <c r="C17" s="24"/>
      <c r="D17" s="24"/>
      <c r="E17" s="24"/>
      <c r="F17" s="24"/>
      <c r="G17" s="24"/>
      <c r="H17" s="23"/>
      <c r="I17" s="24"/>
      <c r="J17" s="24"/>
      <c r="K17" s="24"/>
      <c r="L17" s="24"/>
      <c r="M17" s="24"/>
      <c r="N17" s="24"/>
      <c r="O17" s="24"/>
      <c r="P17" s="31"/>
      <c r="Q17" s="24"/>
      <c r="R17" s="24"/>
      <c r="S17" s="24"/>
      <c r="T17" s="24"/>
      <c r="U17" s="24"/>
      <c r="V17" s="23"/>
      <c r="W17" s="31"/>
      <c r="X17" s="24"/>
      <c r="Y17" s="24"/>
      <c r="Z17" s="24"/>
      <c r="AA17" s="24"/>
      <c r="AB17" s="24"/>
      <c r="AC17" s="23"/>
      <c r="AD17" s="24"/>
      <c r="AE17" s="24"/>
      <c r="AF17" s="24"/>
      <c r="AG17" s="24"/>
      <c r="AH17" s="24"/>
      <c r="AI17" s="24"/>
      <c r="AJ17" s="24"/>
      <c r="AK17" s="24"/>
      <c r="AL17" s="24"/>
      <c r="AM17" s="24"/>
      <c r="AN17" s="24"/>
      <c r="AO17" s="24"/>
      <c r="AP17" s="24"/>
      <c r="AQ17" s="24"/>
      <c r="AR17" s="24"/>
      <c r="AS17" s="24"/>
      <c r="AT17" s="31"/>
      <c r="AU17" s="24"/>
      <c r="AV17" s="24"/>
      <c r="AW17" s="24"/>
      <c r="AX17" s="23"/>
      <c r="AY17" s="13"/>
    </row>
    <row r="18" spans="1:51" s="11" customFormat="1" ht="13.5" customHeight="1">
      <c r="A18" s="28"/>
      <c r="B18" s="31"/>
      <c r="C18" s="24"/>
      <c r="D18" s="24"/>
      <c r="E18" s="24"/>
      <c r="F18" s="24"/>
      <c r="G18" s="24"/>
      <c r="H18" s="23"/>
      <c r="I18" s="24"/>
      <c r="J18" s="24"/>
      <c r="K18" s="24"/>
      <c r="L18" s="24"/>
      <c r="M18" s="24"/>
      <c r="N18" s="24"/>
      <c r="O18" s="24"/>
      <c r="P18" s="31"/>
      <c r="Q18" s="24"/>
      <c r="R18" s="24"/>
      <c r="S18" s="24"/>
      <c r="T18" s="24"/>
      <c r="U18" s="24"/>
      <c r="V18" s="23"/>
      <c r="W18" s="31"/>
      <c r="X18" s="24"/>
      <c r="Y18" s="24"/>
      <c r="Z18" s="24"/>
      <c r="AA18" s="24"/>
      <c r="AB18" s="24"/>
      <c r="AC18" s="23"/>
      <c r="AD18" s="24"/>
      <c r="AE18" s="24"/>
      <c r="AF18" s="24"/>
      <c r="AG18" s="24"/>
      <c r="AH18" s="24"/>
      <c r="AI18" s="24"/>
      <c r="AJ18" s="24"/>
      <c r="AK18" s="24"/>
      <c r="AL18" s="24"/>
      <c r="AM18" s="24"/>
      <c r="AN18" s="24"/>
      <c r="AO18" s="24"/>
      <c r="AP18" s="24"/>
      <c r="AQ18" s="24"/>
      <c r="AR18" s="24"/>
      <c r="AS18" s="24"/>
      <c r="AT18" s="31"/>
      <c r="AU18" s="24"/>
      <c r="AV18" s="24"/>
      <c r="AW18" s="24"/>
      <c r="AX18" s="23"/>
      <c r="AY18" s="13"/>
    </row>
    <row r="19" spans="1:51" s="11" customFormat="1" ht="13.5" customHeight="1">
      <c r="A19" s="28"/>
      <c r="B19" s="31"/>
      <c r="C19" s="24"/>
      <c r="D19" s="24"/>
      <c r="E19" s="24"/>
      <c r="F19" s="24"/>
      <c r="G19" s="24"/>
      <c r="H19" s="23"/>
      <c r="I19" s="24"/>
      <c r="J19" s="24"/>
      <c r="K19" s="24"/>
      <c r="L19" s="24"/>
      <c r="M19" s="24"/>
      <c r="N19" s="24"/>
      <c r="O19" s="24"/>
      <c r="P19" s="31"/>
      <c r="Q19" s="24"/>
      <c r="R19" s="24"/>
      <c r="S19" s="24"/>
      <c r="T19" s="24"/>
      <c r="U19" s="24"/>
      <c r="V19" s="23"/>
      <c r="W19" s="31"/>
      <c r="X19" s="24"/>
      <c r="Y19" s="24"/>
      <c r="Z19" s="24"/>
      <c r="AA19" s="24"/>
      <c r="AB19" s="24"/>
      <c r="AC19" s="23"/>
      <c r="AD19" s="24"/>
      <c r="AE19" s="24"/>
      <c r="AF19" s="24"/>
      <c r="AG19" s="24"/>
      <c r="AH19" s="24"/>
      <c r="AI19" s="24"/>
      <c r="AJ19" s="24"/>
      <c r="AK19" s="24"/>
      <c r="AL19" s="24"/>
      <c r="AM19" s="24"/>
      <c r="AN19" s="24"/>
      <c r="AO19" s="24"/>
      <c r="AP19" s="24"/>
      <c r="AQ19" s="24"/>
      <c r="AR19" s="24"/>
      <c r="AS19" s="24"/>
      <c r="AT19" s="31"/>
      <c r="AU19" s="24"/>
      <c r="AV19" s="24"/>
      <c r="AW19" s="24"/>
      <c r="AX19" s="23"/>
      <c r="AY19" s="13"/>
    </row>
    <row r="20" spans="1:51" s="11" customFormat="1" ht="13.5" customHeight="1">
      <c r="A20" s="28"/>
      <c r="B20" s="31"/>
      <c r="C20" s="24"/>
      <c r="D20" s="24"/>
      <c r="E20" s="24"/>
      <c r="F20" s="24"/>
      <c r="G20" s="24"/>
      <c r="H20" s="23"/>
      <c r="I20" s="24"/>
      <c r="J20" s="24"/>
      <c r="K20" s="24"/>
      <c r="L20" s="24"/>
      <c r="M20" s="24"/>
      <c r="N20" s="24"/>
      <c r="O20" s="24"/>
      <c r="P20" s="31"/>
      <c r="Q20" s="24"/>
      <c r="R20" s="24"/>
      <c r="S20" s="24"/>
      <c r="T20" s="24"/>
      <c r="U20" s="24"/>
      <c r="V20" s="23"/>
      <c r="W20" s="31"/>
      <c r="X20" s="24"/>
      <c r="Y20" s="24"/>
      <c r="Z20" s="24"/>
      <c r="AA20" s="24"/>
      <c r="AB20" s="24"/>
      <c r="AC20" s="23"/>
      <c r="AD20" s="24"/>
      <c r="AE20" s="25" t="s">
        <v>215</v>
      </c>
      <c r="AH20" s="8"/>
      <c r="AI20" s="24"/>
      <c r="AJ20" s="24"/>
      <c r="AK20" s="24"/>
      <c r="AL20" s="24"/>
      <c r="AM20" s="24"/>
      <c r="AN20" s="24"/>
      <c r="AO20" s="24"/>
      <c r="AP20" s="24"/>
      <c r="AQ20" s="24"/>
      <c r="AR20" s="24"/>
      <c r="AS20" s="24"/>
      <c r="AT20" s="31"/>
      <c r="AU20" s="24"/>
      <c r="AV20" s="24"/>
      <c r="AW20" s="24"/>
      <c r="AX20" s="23"/>
      <c r="AY20" s="13"/>
    </row>
    <row r="21" spans="1:51" s="11" customFormat="1" ht="13.5" customHeight="1">
      <c r="A21" s="28"/>
      <c r="B21" s="31"/>
      <c r="C21" s="24"/>
      <c r="D21" s="24"/>
      <c r="E21" s="24"/>
      <c r="F21" s="24"/>
      <c r="G21" s="24"/>
      <c r="H21" s="23"/>
      <c r="I21" s="24"/>
      <c r="J21" s="24"/>
      <c r="K21" s="24"/>
      <c r="L21" s="24"/>
      <c r="M21" s="24"/>
      <c r="N21" s="24"/>
      <c r="O21" s="24"/>
      <c r="P21" s="31"/>
      <c r="Q21" s="24"/>
      <c r="R21" s="24"/>
      <c r="S21" s="24"/>
      <c r="T21" s="24"/>
      <c r="U21" s="24"/>
      <c r="V21" s="23"/>
      <c r="W21" s="31"/>
      <c r="X21" s="24"/>
      <c r="Y21" s="24"/>
      <c r="Z21" s="24"/>
      <c r="AA21" s="24"/>
      <c r="AB21" s="24"/>
      <c r="AC21" s="23"/>
      <c r="AD21" s="24"/>
      <c r="AF21" s="8" t="s">
        <v>216</v>
      </c>
      <c r="AH21" s="8"/>
      <c r="AI21" s="24"/>
      <c r="AJ21" s="24"/>
      <c r="AK21" s="24"/>
      <c r="AL21" s="24"/>
      <c r="AM21" s="24"/>
      <c r="AN21" s="24"/>
      <c r="AO21" s="24"/>
      <c r="AP21" s="24"/>
      <c r="AQ21" s="24"/>
      <c r="AR21" s="24"/>
      <c r="AS21" s="24"/>
      <c r="AT21" s="109" t="s">
        <v>217</v>
      </c>
      <c r="AU21" s="24"/>
      <c r="AV21" s="24"/>
      <c r="AW21" s="24"/>
      <c r="AX21" s="23"/>
      <c r="AY21" s="13"/>
    </row>
    <row r="22" spans="1:51" s="11" customFormat="1" ht="13.5" customHeight="1">
      <c r="A22" s="28"/>
      <c r="B22" s="31"/>
      <c r="C22" s="24"/>
      <c r="D22" s="24"/>
      <c r="E22" s="24"/>
      <c r="F22" s="24"/>
      <c r="G22" s="24"/>
      <c r="H22" s="23"/>
      <c r="I22" s="24"/>
      <c r="J22" s="24"/>
      <c r="K22" s="24"/>
      <c r="L22" s="24"/>
      <c r="M22" s="24"/>
      <c r="N22" s="24"/>
      <c r="O22" s="24"/>
      <c r="P22" s="31"/>
      <c r="Q22" s="24"/>
      <c r="R22" s="24"/>
      <c r="S22" s="24"/>
      <c r="T22" s="24"/>
      <c r="U22" s="24"/>
      <c r="V22" s="23"/>
      <c r="W22" s="31"/>
      <c r="X22" s="24"/>
      <c r="Y22" s="24"/>
      <c r="Z22" s="24"/>
      <c r="AA22" s="24"/>
      <c r="AB22" s="24"/>
      <c r="AC22" s="23"/>
      <c r="AD22" s="24"/>
      <c r="AE22" s="24"/>
      <c r="AF22" s="91" t="s">
        <v>218</v>
      </c>
      <c r="AG22" s="24"/>
      <c r="AH22" s="24"/>
      <c r="AI22" s="24"/>
      <c r="AJ22" s="24"/>
      <c r="AK22" s="24"/>
      <c r="AL22" s="24"/>
      <c r="AM22" s="24"/>
      <c r="AN22" s="24"/>
      <c r="AO22" s="24"/>
      <c r="AP22" s="24"/>
      <c r="AQ22" s="24"/>
      <c r="AR22" s="24"/>
      <c r="AS22" s="24"/>
      <c r="AT22" s="114" t="s">
        <v>219</v>
      </c>
      <c r="AU22" s="24"/>
      <c r="AV22" s="24"/>
      <c r="AW22" s="24"/>
      <c r="AX22" s="23"/>
      <c r="AY22" s="13"/>
    </row>
    <row r="23" spans="1:51" s="11" customFormat="1" ht="13.5" customHeight="1">
      <c r="A23" s="28"/>
      <c r="B23" s="31"/>
      <c r="C23" s="24"/>
      <c r="D23" s="24"/>
      <c r="E23" s="24"/>
      <c r="F23" s="24"/>
      <c r="G23" s="24"/>
      <c r="H23" s="23"/>
      <c r="I23" s="24"/>
      <c r="J23" s="24"/>
      <c r="K23" s="24"/>
      <c r="L23" s="24"/>
      <c r="M23" s="24"/>
      <c r="N23" s="24"/>
      <c r="O23" s="24"/>
      <c r="P23" s="31"/>
      <c r="Q23" s="24"/>
      <c r="R23" s="24"/>
      <c r="S23" s="24"/>
      <c r="T23" s="24"/>
      <c r="U23" s="24"/>
      <c r="V23" s="23"/>
      <c r="W23" s="31"/>
      <c r="X23" s="24"/>
      <c r="Y23" s="24"/>
      <c r="Z23" s="24"/>
      <c r="AA23" s="24"/>
      <c r="AB23" s="24"/>
      <c r="AC23" s="23"/>
      <c r="AD23" s="24"/>
      <c r="AE23" s="24"/>
      <c r="AF23" s="91" t="s">
        <v>220</v>
      </c>
      <c r="AG23" s="24"/>
      <c r="AH23" s="24"/>
      <c r="AI23" s="24"/>
      <c r="AJ23" s="24"/>
      <c r="AK23" s="24"/>
      <c r="AL23" s="24"/>
      <c r="AM23" s="24"/>
      <c r="AN23" s="24"/>
      <c r="AO23" s="24"/>
      <c r="AP23" s="24"/>
      <c r="AQ23" s="24"/>
      <c r="AR23" s="24"/>
      <c r="AS23" s="24"/>
      <c r="AT23" s="31"/>
      <c r="AU23" s="24"/>
      <c r="AV23" s="24"/>
      <c r="AW23" s="24"/>
      <c r="AX23" s="23"/>
      <c r="AY23" s="13"/>
    </row>
    <row r="24" spans="1:51" s="11" customFormat="1" ht="13.5" customHeight="1">
      <c r="A24" s="28"/>
      <c r="B24" s="31"/>
      <c r="C24" s="24"/>
      <c r="D24" s="24"/>
      <c r="E24" s="24"/>
      <c r="F24" s="24"/>
      <c r="G24" s="24"/>
      <c r="H24" s="23"/>
      <c r="I24" s="24"/>
      <c r="J24" s="24"/>
      <c r="K24" s="24"/>
      <c r="L24" s="24"/>
      <c r="M24" s="24"/>
      <c r="N24" s="24"/>
      <c r="O24" s="24"/>
      <c r="P24" s="31"/>
      <c r="Q24" s="24"/>
      <c r="R24" s="24"/>
      <c r="S24" s="24"/>
      <c r="T24" s="24"/>
      <c r="U24" s="24"/>
      <c r="V24" s="23"/>
      <c r="W24" s="31"/>
      <c r="X24" s="24"/>
      <c r="Y24" s="24"/>
      <c r="Z24" s="24"/>
      <c r="AA24" s="24"/>
      <c r="AB24" s="24"/>
      <c r="AC24" s="23"/>
      <c r="AD24" s="24"/>
      <c r="AE24" s="24"/>
      <c r="AF24" s="91" t="s">
        <v>138</v>
      </c>
      <c r="AG24" s="91" t="s">
        <v>221</v>
      </c>
      <c r="AH24" s="24"/>
      <c r="AI24" s="24"/>
      <c r="AJ24" s="24"/>
      <c r="AK24" s="24"/>
      <c r="AL24" s="24"/>
      <c r="AM24" s="24"/>
      <c r="AN24" s="24"/>
      <c r="AO24" s="24"/>
      <c r="AP24" s="24"/>
      <c r="AQ24" s="24"/>
      <c r="AR24" s="24"/>
      <c r="AS24" s="24"/>
      <c r="AT24" s="31"/>
      <c r="AU24" s="24"/>
      <c r="AV24" s="24"/>
      <c r="AW24" s="24"/>
      <c r="AX24" s="23"/>
      <c r="AY24" s="13"/>
    </row>
    <row r="25" spans="1:51" s="11" customFormat="1" ht="13.5" customHeight="1">
      <c r="A25" s="28"/>
      <c r="B25" s="31"/>
      <c r="C25" s="24"/>
      <c r="D25" s="24"/>
      <c r="E25" s="24"/>
      <c r="F25" s="24"/>
      <c r="G25" s="24"/>
      <c r="H25" s="23"/>
      <c r="I25" s="24"/>
      <c r="J25" s="24"/>
      <c r="K25" s="24"/>
      <c r="L25" s="24"/>
      <c r="M25" s="24"/>
      <c r="N25" s="24"/>
      <c r="O25" s="24"/>
      <c r="P25" s="31"/>
      <c r="Q25" s="24"/>
      <c r="R25" s="24"/>
      <c r="S25" s="24"/>
      <c r="T25" s="24"/>
      <c r="U25" s="24"/>
      <c r="V25" s="23"/>
      <c r="W25" s="31"/>
      <c r="X25" s="24"/>
      <c r="Y25" s="24"/>
      <c r="Z25" s="24"/>
      <c r="AA25" s="24"/>
      <c r="AB25" s="24"/>
      <c r="AC25" s="23"/>
      <c r="AD25" s="24"/>
      <c r="AE25" s="24"/>
      <c r="AF25" s="24"/>
      <c r="AG25" s="91" t="s">
        <v>222</v>
      </c>
      <c r="AH25" s="24"/>
      <c r="AI25" s="24"/>
      <c r="AJ25" s="24"/>
      <c r="AK25" s="24"/>
      <c r="AL25" s="24"/>
      <c r="AM25" s="24"/>
      <c r="AN25" s="24"/>
      <c r="AO25" s="24"/>
      <c r="AP25" s="24"/>
      <c r="AQ25" s="24"/>
      <c r="AR25" s="24"/>
      <c r="AS25" s="24"/>
      <c r="AT25" s="31"/>
      <c r="AU25" s="24"/>
      <c r="AV25" s="24"/>
      <c r="AW25" s="24"/>
      <c r="AX25" s="23"/>
      <c r="AY25" s="13"/>
    </row>
    <row r="26" spans="1:51" s="11" customFormat="1" ht="13.5" customHeight="1">
      <c r="A26" s="28"/>
      <c r="B26" s="31"/>
      <c r="C26" s="24"/>
      <c r="D26" s="24"/>
      <c r="E26" s="24"/>
      <c r="F26" s="24"/>
      <c r="G26" s="24"/>
      <c r="H26" s="23"/>
      <c r="I26" s="24"/>
      <c r="J26" s="24"/>
      <c r="K26" s="24"/>
      <c r="L26" s="24"/>
      <c r="M26" s="24"/>
      <c r="N26" s="24"/>
      <c r="O26" s="24"/>
      <c r="P26" s="31"/>
      <c r="Q26" s="24"/>
      <c r="R26" s="24"/>
      <c r="S26" s="24"/>
      <c r="T26" s="24"/>
      <c r="U26" s="24"/>
      <c r="V26" s="23"/>
      <c r="W26" s="31"/>
      <c r="X26" s="24"/>
      <c r="Y26" s="24"/>
      <c r="Z26" s="24"/>
      <c r="AA26" s="24"/>
      <c r="AB26" s="24"/>
      <c r="AC26" s="23"/>
      <c r="AD26" s="24"/>
      <c r="AE26" s="24"/>
      <c r="AF26" s="91" t="s">
        <v>138</v>
      </c>
      <c r="AG26" s="91" t="s">
        <v>223</v>
      </c>
      <c r="AH26" s="24"/>
      <c r="AI26" s="24"/>
      <c r="AJ26" s="24"/>
      <c r="AK26" s="24"/>
      <c r="AL26" s="24"/>
      <c r="AM26" s="24"/>
      <c r="AN26" s="24"/>
      <c r="AO26" s="24"/>
      <c r="AP26" s="24"/>
      <c r="AQ26" s="24"/>
      <c r="AR26" s="24"/>
      <c r="AS26" s="24"/>
      <c r="AT26" s="31"/>
      <c r="AU26" s="24"/>
      <c r="AV26" s="24"/>
      <c r="AW26" s="24"/>
      <c r="AX26" s="23"/>
      <c r="AY26" s="13"/>
    </row>
    <row r="27" spans="1:51" s="11" customFormat="1" ht="13.5" customHeight="1">
      <c r="A27" s="28"/>
      <c r="B27" s="31"/>
      <c r="C27" s="24"/>
      <c r="D27" s="24"/>
      <c r="E27" s="24"/>
      <c r="F27" s="24"/>
      <c r="G27" s="24"/>
      <c r="H27" s="23"/>
      <c r="I27" s="24"/>
      <c r="J27" s="24"/>
      <c r="K27" s="24"/>
      <c r="L27" s="24"/>
      <c r="M27" s="24"/>
      <c r="N27" s="24"/>
      <c r="O27" s="24"/>
      <c r="P27" s="31"/>
      <c r="Q27" s="24"/>
      <c r="R27" s="24"/>
      <c r="S27" s="24"/>
      <c r="T27" s="24"/>
      <c r="U27" s="24"/>
      <c r="V27" s="23"/>
      <c r="W27" s="31"/>
      <c r="X27" s="24"/>
      <c r="Y27" s="24"/>
      <c r="Z27" s="24"/>
      <c r="AA27" s="24"/>
      <c r="AB27" s="24"/>
      <c r="AC27" s="23"/>
      <c r="AD27" s="24"/>
      <c r="AE27" s="24"/>
      <c r="AF27" s="24"/>
      <c r="AG27" s="91" t="s">
        <v>224</v>
      </c>
      <c r="AH27" s="24"/>
      <c r="AI27" s="24"/>
      <c r="AJ27" s="24"/>
      <c r="AK27" s="24"/>
      <c r="AL27" s="24"/>
      <c r="AM27" s="24"/>
      <c r="AN27" s="24"/>
      <c r="AO27" s="24"/>
      <c r="AP27" s="24"/>
      <c r="AQ27" s="24"/>
      <c r="AR27" s="24"/>
      <c r="AS27" s="24"/>
      <c r="AT27" s="31"/>
      <c r="AU27" s="24"/>
      <c r="AV27" s="24"/>
      <c r="AW27" s="24"/>
      <c r="AX27" s="23"/>
      <c r="AY27" s="13"/>
    </row>
    <row r="28" spans="1:51" s="11" customFormat="1" ht="13.5" customHeight="1">
      <c r="A28" s="28"/>
      <c r="B28" s="31"/>
      <c r="C28" s="24"/>
      <c r="D28" s="24"/>
      <c r="E28" s="24"/>
      <c r="F28" s="24"/>
      <c r="G28" s="24"/>
      <c r="H28" s="23"/>
      <c r="I28" s="24"/>
      <c r="J28" s="24"/>
      <c r="K28" s="24"/>
      <c r="L28" s="24"/>
      <c r="M28" s="24"/>
      <c r="N28" s="24"/>
      <c r="O28" s="24"/>
      <c r="P28" s="31"/>
      <c r="Q28" s="24"/>
      <c r="R28" s="24"/>
      <c r="S28" s="24"/>
      <c r="T28" s="24"/>
      <c r="U28" s="24"/>
      <c r="V28" s="23"/>
      <c r="W28" s="31"/>
      <c r="X28" s="24"/>
      <c r="Y28" s="24"/>
      <c r="Z28" s="24"/>
      <c r="AA28" s="24"/>
      <c r="AB28" s="24"/>
      <c r="AC28" s="23"/>
      <c r="AD28" s="24"/>
      <c r="AE28" s="24"/>
      <c r="AF28" s="24"/>
      <c r="AG28" s="91" t="s">
        <v>225</v>
      </c>
      <c r="AH28" s="91" t="s">
        <v>226</v>
      </c>
      <c r="AI28" s="24"/>
      <c r="AJ28" s="24"/>
      <c r="AK28" s="24"/>
      <c r="AL28" s="24"/>
      <c r="AM28" s="24"/>
      <c r="AN28" s="24"/>
      <c r="AO28" s="24"/>
      <c r="AP28" s="24"/>
      <c r="AQ28" s="24"/>
      <c r="AR28" s="24"/>
      <c r="AS28" s="24"/>
      <c r="AT28" s="31"/>
      <c r="AU28" s="24"/>
      <c r="AV28" s="24"/>
      <c r="AW28" s="24"/>
      <c r="AX28" s="23"/>
      <c r="AY28" s="13"/>
    </row>
    <row r="29" spans="1:51" s="11" customFormat="1" ht="13.5" customHeight="1">
      <c r="A29" s="28"/>
      <c r="B29" s="31"/>
      <c r="C29" s="24"/>
      <c r="D29" s="24"/>
      <c r="E29" s="24"/>
      <c r="F29" s="24"/>
      <c r="G29" s="24"/>
      <c r="H29" s="23"/>
      <c r="I29" s="24"/>
      <c r="J29" s="24"/>
      <c r="K29" s="24"/>
      <c r="L29" s="24"/>
      <c r="M29" s="24"/>
      <c r="N29" s="24"/>
      <c r="O29" s="24"/>
      <c r="P29" s="31"/>
      <c r="Q29" s="24"/>
      <c r="R29" s="24"/>
      <c r="S29" s="24"/>
      <c r="T29" s="24"/>
      <c r="U29" s="24"/>
      <c r="V29" s="23"/>
      <c r="W29" s="31"/>
      <c r="X29" s="24"/>
      <c r="Y29" s="24"/>
      <c r="Z29" s="24"/>
      <c r="AA29" s="24"/>
      <c r="AB29" s="24"/>
      <c r="AC29" s="23"/>
      <c r="AD29" s="24"/>
      <c r="AE29" s="24"/>
      <c r="AF29" s="24"/>
      <c r="AG29" s="91" t="s">
        <v>225</v>
      </c>
      <c r="AH29" s="91" t="s">
        <v>227</v>
      </c>
      <c r="AI29" s="24"/>
      <c r="AJ29" s="24"/>
      <c r="AK29" s="24"/>
      <c r="AL29" s="24"/>
      <c r="AM29" s="24"/>
      <c r="AN29" s="24"/>
      <c r="AO29" s="24"/>
      <c r="AP29" s="24"/>
      <c r="AQ29" s="24"/>
      <c r="AR29" s="24"/>
      <c r="AS29" s="24"/>
      <c r="AT29" s="31"/>
      <c r="AU29" s="24"/>
      <c r="AV29" s="24"/>
      <c r="AW29" s="24"/>
      <c r="AX29" s="23"/>
      <c r="AY29" s="13"/>
    </row>
    <row r="30" spans="1:51" s="11" customFormat="1" ht="13.5" customHeight="1">
      <c r="A30" s="28"/>
      <c r="B30" s="31"/>
      <c r="C30" s="24"/>
      <c r="D30" s="24"/>
      <c r="E30" s="24"/>
      <c r="F30" s="24"/>
      <c r="G30" s="24"/>
      <c r="H30" s="23"/>
      <c r="I30" s="24"/>
      <c r="J30" s="24"/>
      <c r="K30" s="24"/>
      <c r="L30" s="24"/>
      <c r="M30" s="24"/>
      <c r="N30" s="24"/>
      <c r="O30" s="24"/>
      <c r="P30" s="31"/>
      <c r="Q30" s="24"/>
      <c r="R30" s="24"/>
      <c r="S30" s="24"/>
      <c r="T30" s="24"/>
      <c r="U30" s="24"/>
      <c r="V30" s="23"/>
      <c r="W30" s="31"/>
      <c r="X30" s="24"/>
      <c r="Y30" s="24"/>
      <c r="Z30" s="24"/>
      <c r="AA30" s="24"/>
      <c r="AB30" s="24"/>
      <c r="AC30" s="23"/>
      <c r="AD30" s="24"/>
      <c r="AE30" s="24"/>
      <c r="AF30" s="24"/>
      <c r="AG30" s="91" t="s">
        <v>225</v>
      </c>
      <c r="AH30" s="91" t="s">
        <v>228</v>
      </c>
      <c r="AI30" s="24"/>
      <c r="AJ30" s="24"/>
      <c r="AK30" s="24"/>
      <c r="AL30" s="24"/>
      <c r="AM30" s="24"/>
      <c r="AN30" s="24"/>
      <c r="AO30" s="24"/>
      <c r="AP30" s="24"/>
      <c r="AQ30" s="24"/>
      <c r="AR30" s="24"/>
      <c r="AS30" s="24"/>
      <c r="AT30" s="31"/>
      <c r="AU30" s="24"/>
      <c r="AV30" s="24"/>
      <c r="AW30" s="24"/>
      <c r="AX30" s="23"/>
      <c r="AY30" s="13"/>
    </row>
    <row r="31" spans="1:51" s="11" customFormat="1" ht="13.5" customHeight="1">
      <c r="A31" s="28"/>
      <c r="B31" s="31"/>
      <c r="C31" s="24"/>
      <c r="D31" s="24"/>
      <c r="E31" s="24"/>
      <c r="F31" s="24"/>
      <c r="G31" s="24"/>
      <c r="H31" s="23"/>
      <c r="I31" s="24"/>
      <c r="J31" s="24"/>
      <c r="K31" s="24"/>
      <c r="L31" s="24"/>
      <c r="M31" s="24"/>
      <c r="N31" s="24"/>
      <c r="O31" s="24"/>
      <c r="P31" s="31"/>
      <c r="Q31" s="24"/>
      <c r="R31" s="24"/>
      <c r="S31" s="24"/>
      <c r="T31" s="24"/>
      <c r="U31" s="24"/>
      <c r="V31" s="23"/>
      <c r="W31" s="31"/>
      <c r="X31" s="24"/>
      <c r="Y31" s="24"/>
      <c r="Z31" s="24"/>
      <c r="AA31" s="24"/>
      <c r="AB31" s="24"/>
      <c r="AC31" s="23"/>
      <c r="AD31" s="24"/>
      <c r="AE31" s="24"/>
      <c r="AF31" s="24"/>
      <c r="AG31" s="24"/>
      <c r="AH31" s="24"/>
      <c r="AI31" s="24"/>
      <c r="AJ31" s="24"/>
      <c r="AK31" s="24"/>
      <c r="AL31" s="24"/>
      <c r="AM31" s="24"/>
      <c r="AN31" s="24"/>
      <c r="AO31" s="24"/>
      <c r="AP31" s="24"/>
      <c r="AQ31" s="24"/>
      <c r="AR31" s="24"/>
      <c r="AS31" s="24"/>
      <c r="AT31" s="31"/>
      <c r="AU31" s="24"/>
      <c r="AV31" s="24"/>
      <c r="AW31" s="24"/>
      <c r="AX31" s="23"/>
      <c r="AY31" s="13"/>
    </row>
    <row r="32" spans="1:51" s="11" customFormat="1" ht="13.5" customHeight="1">
      <c r="A32" s="28"/>
      <c r="B32" s="31"/>
      <c r="C32" s="24"/>
      <c r="D32" s="24"/>
      <c r="E32" s="24"/>
      <c r="F32" s="24"/>
      <c r="G32" s="24"/>
      <c r="H32" s="23"/>
      <c r="I32" s="24"/>
      <c r="J32" s="24"/>
      <c r="K32" s="24"/>
      <c r="L32" s="24"/>
      <c r="M32" s="24"/>
      <c r="N32" s="24"/>
      <c r="O32" s="24"/>
      <c r="P32" s="31"/>
      <c r="Q32" s="24"/>
      <c r="R32" s="24"/>
      <c r="S32" s="24"/>
      <c r="T32" s="24"/>
      <c r="U32" s="24"/>
      <c r="V32" s="23"/>
      <c r="W32" s="31"/>
      <c r="X32" s="24"/>
      <c r="Y32" s="24"/>
      <c r="Z32" s="24"/>
      <c r="AA32" s="24"/>
      <c r="AB32" s="24"/>
      <c r="AC32" s="23"/>
      <c r="AD32" s="24"/>
      <c r="AE32" s="24"/>
      <c r="AF32" s="24"/>
      <c r="AG32" s="24"/>
      <c r="AH32" s="24"/>
      <c r="AI32" s="24"/>
      <c r="AJ32" s="24"/>
      <c r="AK32" s="24"/>
      <c r="AL32" s="24"/>
      <c r="AM32" s="24"/>
      <c r="AN32" s="24"/>
      <c r="AO32" s="24"/>
      <c r="AP32" s="24"/>
      <c r="AQ32" s="24"/>
      <c r="AR32" s="24"/>
      <c r="AS32" s="24"/>
      <c r="AT32" s="31"/>
      <c r="AU32" s="24"/>
      <c r="AV32" s="24"/>
      <c r="AW32" s="24"/>
      <c r="AX32" s="23"/>
      <c r="AY32" s="13"/>
    </row>
    <row r="33" spans="1:51" s="11" customFormat="1" ht="13.5" customHeight="1">
      <c r="A33" s="28"/>
      <c r="B33" s="31"/>
      <c r="C33" s="24"/>
      <c r="D33" s="24"/>
      <c r="E33" s="24"/>
      <c r="F33" s="24"/>
      <c r="G33" s="24"/>
      <c r="H33" s="23"/>
      <c r="I33" s="24"/>
      <c r="J33" s="24"/>
      <c r="K33" s="24"/>
      <c r="L33" s="24"/>
      <c r="M33" s="24"/>
      <c r="N33" s="24"/>
      <c r="O33" s="24"/>
      <c r="P33" s="31"/>
      <c r="Q33" s="24"/>
      <c r="R33" s="24"/>
      <c r="S33" s="24"/>
      <c r="T33" s="24"/>
      <c r="U33" s="24"/>
      <c r="V33" s="23"/>
      <c r="W33" s="31"/>
      <c r="X33" s="24"/>
      <c r="Y33" s="24"/>
      <c r="Z33" s="24"/>
      <c r="AA33" s="24"/>
      <c r="AB33" s="24"/>
      <c r="AC33" s="23"/>
      <c r="AD33" s="24"/>
      <c r="AE33" s="24"/>
      <c r="AF33" s="24"/>
      <c r="AG33" s="24"/>
      <c r="AH33" s="24"/>
      <c r="AI33" s="24"/>
      <c r="AJ33" s="24"/>
      <c r="AK33" s="24"/>
      <c r="AL33" s="24"/>
      <c r="AM33" s="24"/>
      <c r="AN33" s="24"/>
      <c r="AO33" s="24"/>
      <c r="AP33" s="24"/>
      <c r="AQ33" s="24"/>
      <c r="AR33" s="24"/>
      <c r="AS33" s="24"/>
      <c r="AT33" s="31"/>
      <c r="AU33" s="24"/>
      <c r="AV33" s="24"/>
      <c r="AW33" s="24"/>
      <c r="AX33" s="23"/>
      <c r="AY33" s="13"/>
    </row>
    <row r="34" spans="1:51" s="11" customFormat="1" ht="13.5" customHeight="1">
      <c r="A34" s="28"/>
      <c r="B34" s="31"/>
      <c r="C34" s="24"/>
      <c r="D34" s="24"/>
      <c r="E34" s="24"/>
      <c r="F34" s="24"/>
      <c r="G34" s="24"/>
      <c r="H34" s="23"/>
      <c r="I34" s="24"/>
      <c r="J34" s="24"/>
      <c r="K34" s="24"/>
      <c r="L34" s="24"/>
      <c r="M34" s="24"/>
      <c r="N34" s="24"/>
      <c r="O34" s="24"/>
      <c r="P34" s="31"/>
      <c r="Q34" s="24"/>
      <c r="R34" s="24"/>
      <c r="S34" s="24"/>
      <c r="T34" s="24"/>
      <c r="U34" s="24"/>
      <c r="V34" s="23"/>
      <c r="W34" s="31"/>
      <c r="X34" s="24"/>
      <c r="Y34" s="24"/>
      <c r="Z34" s="24"/>
      <c r="AA34" s="24"/>
      <c r="AB34" s="24"/>
      <c r="AC34" s="23"/>
      <c r="AD34" s="24"/>
      <c r="AE34" s="24"/>
      <c r="AF34" s="24"/>
      <c r="AG34" s="24"/>
      <c r="AH34" s="24"/>
      <c r="AI34" s="24"/>
      <c r="AJ34" s="24"/>
      <c r="AK34" s="24"/>
      <c r="AL34" s="24"/>
      <c r="AM34" s="24"/>
      <c r="AN34" s="24"/>
      <c r="AO34" s="24"/>
      <c r="AP34" s="24"/>
      <c r="AQ34" s="24"/>
      <c r="AR34" s="24"/>
      <c r="AS34" s="24"/>
      <c r="AT34" s="31"/>
      <c r="AU34" s="24"/>
      <c r="AV34" s="24"/>
      <c r="AW34" s="24"/>
      <c r="AX34" s="23"/>
      <c r="AY34" s="13"/>
    </row>
    <row r="35" spans="1:51" s="11" customFormat="1" ht="13.5" customHeight="1">
      <c r="A35" s="28"/>
      <c r="B35" s="88" t="s">
        <v>229</v>
      </c>
      <c r="C35" s="77"/>
      <c r="D35" s="77"/>
      <c r="E35" s="77"/>
      <c r="F35" s="77"/>
      <c r="G35" s="77"/>
      <c r="H35" s="78"/>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13"/>
    </row>
    <row r="36" spans="1:51" s="11" customFormat="1" ht="13.5" customHeight="1">
      <c r="A36" s="28"/>
      <c r="B36" s="31"/>
      <c r="C36" s="24"/>
      <c r="D36" s="24"/>
      <c r="E36" s="24"/>
      <c r="F36" s="24"/>
      <c r="G36" s="24"/>
      <c r="H36" s="23"/>
      <c r="I36" s="24"/>
      <c r="J36" s="24"/>
      <c r="K36" s="24"/>
      <c r="L36" s="24"/>
      <c r="M36" s="24"/>
      <c r="N36" s="24"/>
      <c r="O36" s="24"/>
      <c r="P36" s="31"/>
      <c r="Q36" s="24"/>
      <c r="R36" s="24"/>
      <c r="S36" s="24"/>
      <c r="T36" s="24"/>
      <c r="U36" s="24"/>
      <c r="V36" s="23"/>
      <c r="W36" s="31"/>
      <c r="X36" s="24"/>
      <c r="Y36" s="24"/>
      <c r="Z36" s="24"/>
      <c r="AA36" s="24"/>
      <c r="AB36" s="24"/>
      <c r="AC36" s="23"/>
      <c r="AD36" s="24"/>
      <c r="AE36" s="24"/>
      <c r="AF36" s="24"/>
      <c r="AG36" s="24"/>
      <c r="AH36" s="24"/>
      <c r="AI36" s="24"/>
      <c r="AJ36" s="24"/>
      <c r="AK36" s="24"/>
      <c r="AL36" s="24"/>
      <c r="AM36" s="24"/>
      <c r="AN36" s="24"/>
      <c r="AO36" s="24"/>
      <c r="AP36" s="24"/>
      <c r="AQ36" s="24"/>
      <c r="AR36" s="24"/>
      <c r="AS36" s="24"/>
      <c r="AT36" s="31"/>
      <c r="AU36" s="24"/>
      <c r="AV36" s="24"/>
      <c r="AW36" s="24"/>
      <c r="AX36" s="23"/>
      <c r="AY36" s="13"/>
    </row>
    <row r="37" spans="1:51" s="11" customFormat="1" ht="13.5" customHeight="1">
      <c r="A37" s="28"/>
      <c r="B37" s="31"/>
      <c r="C37" s="24"/>
      <c r="D37" s="24"/>
      <c r="E37" s="24"/>
      <c r="F37" s="24"/>
      <c r="G37" s="24"/>
      <c r="H37" s="23"/>
      <c r="I37" s="24"/>
      <c r="J37" s="24"/>
      <c r="K37" s="24"/>
      <c r="L37" s="24"/>
      <c r="M37" s="24"/>
      <c r="N37" s="24"/>
      <c r="O37" s="24"/>
      <c r="P37" s="31"/>
      <c r="Q37" s="24"/>
      <c r="R37" s="24"/>
      <c r="S37" s="24"/>
      <c r="T37" s="24"/>
      <c r="U37" s="24"/>
      <c r="V37" s="23"/>
      <c r="W37" s="31"/>
      <c r="X37" s="24"/>
      <c r="Y37" s="24"/>
      <c r="Z37" s="24"/>
      <c r="AA37" s="24"/>
      <c r="AB37" s="24"/>
      <c r="AC37" s="23"/>
      <c r="AD37" s="24"/>
      <c r="AE37" s="24"/>
      <c r="AF37" s="24"/>
      <c r="AG37" s="24"/>
      <c r="AH37" s="24"/>
      <c r="AI37" s="24"/>
      <c r="AJ37" s="24"/>
      <c r="AK37" s="24"/>
      <c r="AL37" s="24"/>
      <c r="AM37" s="24"/>
      <c r="AN37" s="24"/>
      <c r="AO37" s="24"/>
      <c r="AP37" s="24"/>
      <c r="AQ37" s="24"/>
      <c r="AR37" s="24"/>
      <c r="AS37" s="24"/>
      <c r="AT37" s="31"/>
      <c r="AU37" s="24"/>
      <c r="AV37" s="24"/>
      <c r="AW37" s="24"/>
      <c r="AX37" s="23"/>
      <c r="AY37" s="13"/>
    </row>
    <row r="38" spans="1:51" s="11" customFormat="1" ht="13.5" customHeight="1">
      <c r="A38" s="28"/>
      <c r="B38" s="31"/>
      <c r="C38" s="24"/>
      <c r="D38" s="24"/>
      <c r="E38" s="24"/>
      <c r="F38" s="24"/>
      <c r="G38" s="24"/>
      <c r="H38" s="23"/>
      <c r="I38" s="24"/>
      <c r="J38" s="24"/>
      <c r="K38" s="24"/>
      <c r="L38" s="24"/>
      <c r="M38" s="24"/>
      <c r="N38" s="24"/>
      <c r="O38" s="24"/>
      <c r="P38" s="31"/>
      <c r="Q38" s="24"/>
      <c r="R38" s="24"/>
      <c r="S38" s="24"/>
      <c r="T38" s="24"/>
      <c r="U38" s="24"/>
      <c r="V38" s="23"/>
      <c r="W38" s="31"/>
      <c r="X38" s="24"/>
      <c r="Y38" s="24"/>
      <c r="Z38" s="24"/>
      <c r="AA38" s="24"/>
      <c r="AB38" s="24"/>
      <c r="AC38" s="23"/>
      <c r="AD38" s="24"/>
      <c r="AE38" s="24"/>
      <c r="AF38" s="24"/>
      <c r="AG38" s="24"/>
      <c r="AH38" s="24"/>
      <c r="AI38" s="24"/>
      <c r="AJ38" s="24"/>
      <c r="AK38" s="24"/>
      <c r="AL38" s="24"/>
      <c r="AM38" s="24"/>
      <c r="AN38" s="24"/>
      <c r="AO38" s="24"/>
      <c r="AP38" s="24"/>
      <c r="AQ38" s="24"/>
      <c r="AR38" s="24"/>
      <c r="AS38" s="24"/>
      <c r="AT38" s="31"/>
      <c r="AU38" s="24"/>
      <c r="AV38" s="24"/>
      <c r="AW38" s="24"/>
      <c r="AX38" s="23"/>
      <c r="AY38" s="13"/>
    </row>
    <row r="39" spans="1:51" s="11" customFormat="1" ht="13.5" customHeight="1">
      <c r="A39" s="28"/>
      <c r="B39" s="31"/>
      <c r="C39" s="24"/>
      <c r="D39" s="24"/>
      <c r="E39" s="24"/>
      <c r="F39" s="24"/>
      <c r="G39" s="24"/>
      <c r="H39" s="23"/>
      <c r="I39" s="24"/>
      <c r="J39" s="24"/>
      <c r="K39" s="24"/>
      <c r="L39" s="24"/>
      <c r="M39" s="24"/>
      <c r="N39" s="24"/>
      <c r="O39" s="24"/>
      <c r="P39" s="31"/>
      <c r="Q39" s="24"/>
      <c r="R39" s="24"/>
      <c r="S39" s="24"/>
      <c r="T39" s="24"/>
      <c r="U39" s="24"/>
      <c r="V39" s="23"/>
      <c r="W39" s="31"/>
      <c r="X39" s="24"/>
      <c r="Y39" s="24"/>
      <c r="Z39" s="24"/>
      <c r="AA39" s="24"/>
      <c r="AB39" s="24"/>
      <c r="AC39" s="23"/>
      <c r="AD39" s="24"/>
      <c r="AE39" s="24"/>
      <c r="AF39" s="24"/>
      <c r="AG39" s="24"/>
      <c r="AH39" s="24"/>
      <c r="AI39" s="24"/>
      <c r="AJ39" s="24"/>
      <c r="AK39" s="24"/>
      <c r="AL39" s="24"/>
      <c r="AM39" s="24"/>
      <c r="AN39" s="24"/>
      <c r="AO39" s="24"/>
      <c r="AP39" s="24"/>
      <c r="AQ39" s="24"/>
      <c r="AR39" s="24"/>
      <c r="AS39" s="24"/>
      <c r="AT39" s="31"/>
      <c r="AU39" s="24"/>
      <c r="AV39" s="24"/>
      <c r="AW39" s="24"/>
      <c r="AX39" s="23"/>
      <c r="AY39" s="13"/>
    </row>
    <row r="40" spans="1:51" s="11" customFormat="1" ht="13.5" customHeight="1">
      <c r="A40" s="28"/>
      <c r="B40" s="31"/>
      <c r="C40" s="24"/>
      <c r="D40" s="24"/>
      <c r="E40" s="24"/>
      <c r="F40" s="24"/>
      <c r="G40" s="24"/>
      <c r="H40" s="23"/>
      <c r="I40" s="24"/>
      <c r="J40" s="24"/>
      <c r="K40" s="24"/>
      <c r="L40" s="24"/>
      <c r="M40" s="24"/>
      <c r="N40" s="24"/>
      <c r="O40" s="24"/>
      <c r="P40" s="31"/>
      <c r="Q40" s="24"/>
      <c r="R40" s="24"/>
      <c r="S40" s="24"/>
      <c r="T40" s="24"/>
      <c r="U40" s="24"/>
      <c r="V40" s="23"/>
      <c r="W40" s="31"/>
      <c r="X40" s="24"/>
      <c r="Y40" s="24"/>
      <c r="Z40" s="24"/>
      <c r="AA40" s="24"/>
      <c r="AB40" s="24"/>
      <c r="AC40" s="23"/>
      <c r="AD40" s="24"/>
      <c r="AE40" s="24"/>
      <c r="AF40" s="24"/>
      <c r="AG40" s="24"/>
      <c r="AH40" s="24"/>
      <c r="AI40" s="24"/>
      <c r="AJ40" s="24"/>
      <c r="AK40" s="24"/>
      <c r="AL40" s="24"/>
      <c r="AM40" s="24"/>
      <c r="AN40" s="24"/>
      <c r="AO40" s="24"/>
      <c r="AP40" s="24"/>
      <c r="AQ40" s="24"/>
      <c r="AR40" s="24"/>
      <c r="AS40" s="24"/>
      <c r="AT40" s="31"/>
      <c r="AU40" s="24"/>
      <c r="AV40" s="24"/>
      <c r="AW40" s="24"/>
      <c r="AX40" s="23"/>
      <c r="AY40" s="13"/>
    </row>
    <row r="41" spans="1:51" s="11" customFormat="1" ht="13.5" customHeight="1">
      <c r="A41" s="28"/>
      <c r="B41" s="31"/>
      <c r="C41" s="24"/>
      <c r="D41" s="24"/>
      <c r="E41" s="24"/>
      <c r="F41" s="24"/>
      <c r="G41" s="24"/>
      <c r="H41" s="23"/>
      <c r="I41" s="24"/>
      <c r="J41" s="24"/>
      <c r="K41" s="24"/>
      <c r="L41" s="24"/>
      <c r="M41" s="24"/>
      <c r="N41" s="24"/>
      <c r="O41" s="24"/>
      <c r="P41" s="31"/>
      <c r="Q41" s="24"/>
      <c r="R41" s="24"/>
      <c r="S41" s="24"/>
      <c r="T41" s="24"/>
      <c r="U41" s="24"/>
      <c r="V41" s="23"/>
      <c r="W41" s="31"/>
      <c r="X41" s="24"/>
      <c r="Y41" s="24"/>
      <c r="Z41" s="24"/>
      <c r="AA41" s="24"/>
      <c r="AB41" s="24"/>
      <c r="AC41" s="23"/>
      <c r="AD41" s="24"/>
      <c r="AE41" s="24"/>
      <c r="AF41" s="24"/>
      <c r="AG41" s="24"/>
      <c r="AH41" s="24"/>
      <c r="AI41" s="24"/>
      <c r="AJ41" s="24"/>
      <c r="AK41" s="24"/>
      <c r="AL41" s="24"/>
      <c r="AM41" s="24"/>
      <c r="AN41" s="24"/>
      <c r="AO41" s="24"/>
      <c r="AP41" s="24"/>
      <c r="AQ41" s="24"/>
      <c r="AR41" s="24"/>
      <c r="AS41" s="24"/>
      <c r="AT41" s="31"/>
      <c r="AU41" s="24"/>
      <c r="AV41" s="24"/>
      <c r="AW41" s="24"/>
      <c r="AX41" s="23"/>
      <c r="AY41" s="13"/>
    </row>
    <row r="42" spans="1:51" s="11" customFormat="1" ht="13.5" customHeight="1">
      <c r="A42" s="28"/>
      <c r="B42" s="31"/>
      <c r="C42" s="24"/>
      <c r="D42" s="24"/>
      <c r="E42" s="24"/>
      <c r="F42" s="24"/>
      <c r="G42" s="24"/>
      <c r="H42" s="23"/>
      <c r="I42" s="24"/>
      <c r="J42" s="24"/>
      <c r="K42" s="24"/>
      <c r="L42" s="24"/>
      <c r="M42" s="24"/>
      <c r="N42" s="24"/>
      <c r="O42" s="24"/>
      <c r="P42" s="31"/>
      <c r="Q42" s="24"/>
      <c r="R42" s="24"/>
      <c r="S42" s="24"/>
      <c r="T42" s="24"/>
      <c r="U42" s="24"/>
      <c r="V42" s="23"/>
      <c r="W42" s="31"/>
      <c r="X42" s="24"/>
      <c r="Y42" s="24"/>
      <c r="Z42" s="24"/>
      <c r="AA42" s="24"/>
      <c r="AB42" s="24"/>
      <c r="AC42" s="23"/>
      <c r="AD42" s="24"/>
      <c r="AE42" s="24"/>
      <c r="AF42" s="24"/>
      <c r="AG42" s="24"/>
      <c r="AH42" s="24"/>
      <c r="AI42" s="24"/>
      <c r="AJ42" s="24"/>
      <c r="AK42" s="24"/>
      <c r="AL42" s="24"/>
      <c r="AM42" s="24"/>
      <c r="AN42" s="24"/>
      <c r="AO42" s="24"/>
      <c r="AP42" s="24"/>
      <c r="AQ42" s="24"/>
      <c r="AR42" s="24"/>
      <c r="AS42" s="24"/>
      <c r="AT42" s="31"/>
      <c r="AU42" s="24"/>
      <c r="AV42" s="24"/>
      <c r="AW42" s="24"/>
      <c r="AX42" s="23"/>
      <c r="AY42" s="13"/>
    </row>
    <row r="43" spans="1:51" s="11" customFormat="1" ht="13.5" customHeight="1">
      <c r="A43" s="28"/>
      <c r="B43" s="31"/>
      <c r="C43" s="24"/>
      <c r="D43" s="24"/>
      <c r="E43" s="24"/>
      <c r="F43" s="24"/>
      <c r="G43" s="24"/>
      <c r="H43" s="23"/>
      <c r="I43" s="24"/>
      <c r="J43" s="24"/>
      <c r="K43" s="24"/>
      <c r="L43" s="24"/>
      <c r="M43" s="24"/>
      <c r="N43" s="24"/>
      <c r="O43" s="24"/>
      <c r="P43" s="31"/>
      <c r="Q43" s="24"/>
      <c r="R43" s="24"/>
      <c r="S43" s="24"/>
      <c r="T43" s="24"/>
      <c r="U43" s="24"/>
      <c r="V43" s="23"/>
      <c r="W43" s="31"/>
      <c r="X43" s="24"/>
      <c r="Y43" s="24"/>
      <c r="Z43" s="24"/>
      <c r="AA43" s="24"/>
      <c r="AB43" s="24"/>
      <c r="AC43" s="23"/>
      <c r="AD43" s="24"/>
      <c r="AE43" s="24"/>
      <c r="AF43" s="24"/>
      <c r="AG43" s="24"/>
      <c r="AH43" s="24"/>
      <c r="AI43" s="24"/>
      <c r="AJ43" s="24"/>
      <c r="AK43" s="24"/>
      <c r="AL43" s="24"/>
      <c r="AM43" s="24"/>
      <c r="AN43" s="24"/>
      <c r="AO43" s="24"/>
      <c r="AP43" s="24"/>
      <c r="AQ43" s="24"/>
      <c r="AR43" s="24"/>
      <c r="AS43" s="24"/>
      <c r="AT43" s="31"/>
      <c r="AU43" s="24"/>
      <c r="AV43" s="24"/>
      <c r="AW43" s="24"/>
      <c r="AX43" s="23"/>
      <c r="AY43" s="13"/>
    </row>
    <row r="44" spans="1:51" s="11" customFormat="1" ht="13.5" customHeight="1">
      <c r="A44" s="28"/>
      <c r="B44" s="31"/>
      <c r="C44" s="24"/>
      <c r="D44" s="24"/>
      <c r="E44" s="24"/>
      <c r="F44" s="24"/>
      <c r="G44" s="24"/>
      <c r="H44" s="23"/>
      <c r="I44" s="24"/>
      <c r="J44" s="24"/>
      <c r="K44" s="24"/>
      <c r="L44" s="24"/>
      <c r="M44" s="24"/>
      <c r="N44" s="24"/>
      <c r="O44" s="24"/>
      <c r="P44" s="31"/>
      <c r="Q44" s="24"/>
      <c r="R44" s="24"/>
      <c r="S44" s="24"/>
      <c r="T44" s="24"/>
      <c r="U44" s="24"/>
      <c r="V44" s="23"/>
      <c r="W44" s="31"/>
      <c r="X44" s="24"/>
      <c r="Y44" s="24"/>
      <c r="Z44" s="24"/>
      <c r="AA44" s="24"/>
      <c r="AB44" s="24"/>
      <c r="AC44" s="23"/>
      <c r="AD44" s="24"/>
      <c r="AE44" s="24"/>
      <c r="AF44" s="24"/>
      <c r="AG44" s="24"/>
      <c r="AH44" s="24"/>
      <c r="AI44" s="24"/>
      <c r="AJ44" s="24"/>
      <c r="AK44" s="24"/>
      <c r="AL44" s="24"/>
      <c r="AM44" s="24"/>
      <c r="AN44" s="24"/>
      <c r="AO44" s="24"/>
      <c r="AP44" s="24"/>
      <c r="AQ44" s="24"/>
      <c r="AR44" s="24"/>
      <c r="AS44" s="24"/>
      <c r="AT44" s="31"/>
      <c r="AU44" s="24"/>
      <c r="AV44" s="24"/>
      <c r="AW44" s="24"/>
      <c r="AX44" s="23"/>
      <c r="AY44" s="13"/>
    </row>
    <row r="45" spans="1:51" s="11" customFormat="1" ht="13.5" customHeight="1">
      <c r="A45" s="28"/>
      <c r="B45" s="31"/>
      <c r="C45" s="24"/>
      <c r="D45" s="24"/>
      <c r="E45" s="24"/>
      <c r="F45" s="24"/>
      <c r="G45" s="24"/>
      <c r="H45" s="23"/>
      <c r="I45" s="24"/>
      <c r="J45" s="24"/>
      <c r="K45" s="24"/>
      <c r="L45" s="24"/>
      <c r="M45" s="24"/>
      <c r="N45" s="24"/>
      <c r="O45" s="24"/>
      <c r="P45" s="31"/>
      <c r="Q45" s="24"/>
      <c r="R45" s="24"/>
      <c r="S45" s="24"/>
      <c r="T45" s="24"/>
      <c r="U45" s="24"/>
      <c r="V45" s="23"/>
      <c r="W45" s="31"/>
      <c r="X45" s="24"/>
      <c r="Y45" s="24"/>
      <c r="Z45" s="24"/>
      <c r="AA45" s="24"/>
      <c r="AB45" s="24"/>
      <c r="AC45" s="23"/>
      <c r="AD45" s="24"/>
      <c r="AE45" s="25" t="s">
        <v>230</v>
      </c>
      <c r="AH45" s="8"/>
      <c r="AI45" s="24"/>
      <c r="AJ45" s="24"/>
      <c r="AK45" s="24"/>
      <c r="AL45" s="24"/>
      <c r="AM45" s="24"/>
      <c r="AN45" s="24"/>
      <c r="AO45" s="24"/>
      <c r="AP45" s="24"/>
      <c r="AQ45" s="24"/>
      <c r="AR45" s="24"/>
      <c r="AS45" s="24"/>
      <c r="AT45" s="31"/>
      <c r="AU45" s="24"/>
      <c r="AV45" s="24"/>
      <c r="AW45" s="24"/>
      <c r="AX45" s="23"/>
      <c r="AY45" s="13"/>
    </row>
    <row r="46" spans="1:51" s="11" customFormat="1" ht="13.5" customHeight="1">
      <c r="A46" s="28"/>
      <c r="B46" s="31"/>
      <c r="C46" s="24"/>
      <c r="D46" s="24"/>
      <c r="E46" s="24"/>
      <c r="F46" s="24"/>
      <c r="G46" s="24"/>
      <c r="H46" s="23"/>
      <c r="I46" s="24"/>
      <c r="J46" s="24"/>
      <c r="K46" s="24"/>
      <c r="L46" s="24"/>
      <c r="M46" s="24"/>
      <c r="N46" s="24"/>
      <c r="O46" s="24"/>
      <c r="P46" s="31"/>
      <c r="Q46" s="24"/>
      <c r="R46" s="24"/>
      <c r="S46" s="24"/>
      <c r="T46" s="24"/>
      <c r="U46" s="24"/>
      <c r="V46" s="23"/>
      <c r="W46" s="31"/>
      <c r="X46" s="24"/>
      <c r="Y46" s="24"/>
      <c r="Z46" s="24"/>
      <c r="AA46" s="24"/>
      <c r="AB46" s="24"/>
      <c r="AC46" s="23"/>
      <c r="AD46" s="24"/>
      <c r="AF46" s="8" t="s">
        <v>231</v>
      </c>
      <c r="AH46" s="8"/>
      <c r="AI46" s="24"/>
      <c r="AJ46" s="24"/>
      <c r="AK46" s="24"/>
      <c r="AL46" s="24"/>
      <c r="AM46" s="24"/>
      <c r="AN46" s="24"/>
      <c r="AO46" s="24"/>
      <c r="AP46" s="24"/>
      <c r="AQ46" s="24"/>
      <c r="AR46" s="24"/>
      <c r="AS46" s="24"/>
      <c r="AT46" s="109" t="s">
        <v>217</v>
      </c>
      <c r="AU46" s="24"/>
      <c r="AV46" s="24"/>
      <c r="AW46" s="24"/>
      <c r="AX46" s="23"/>
      <c r="AY46" s="13"/>
    </row>
    <row r="47" spans="1:51" s="11" customFormat="1" ht="13.5" customHeight="1">
      <c r="A47" s="28"/>
      <c r="B47" s="31"/>
      <c r="C47" s="24"/>
      <c r="D47" s="24"/>
      <c r="E47" s="24"/>
      <c r="F47" s="24"/>
      <c r="G47" s="24"/>
      <c r="H47" s="23"/>
      <c r="I47" s="24"/>
      <c r="J47" s="24"/>
      <c r="K47" s="24"/>
      <c r="L47" s="24"/>
      <c r="M47" s="24"/>
      <c r="N47" s="24"/>
      <c r="O47" s="24"/>
      <c r="P47" s="31"/>
      <c r="Q47" s="24"/>
      <c r="R47" s="24"/>
      <c r="S47" s="24"/>
      <c r="T47" s="24"/>
      <c r="U47" s="24"/>
      <c r="V47" s="23"/>
      <c r="W47" s="31"/>
      <c r="X47" s="24"/>
      <c r="Y47" s="24"/>
      <c r="Z47" s="24"/>
      <c r="AA47" s="24"/>
      <c r="AB47" s="24"/>
      <c r="AC47" s="23"/>
      <c r="AD47" s="24"/>
      <c r="AE47" s="24"/>
      <c r="AF47" s="91" t="s">
        <v>232</v>
      </c>
      <c r="AG47" s="24"/>
      <c r="AH47" s="24"/>
      <c r="AI47" s="24"/>
      <c r="AJ47" s="24"/>
      <c r="AK47" s="24"/>
      <c r="AL47" s="24"/>
      <c r="AM47" s="24"/>
      <c r="AN47" s="24"/>
      <c r="AO47" s="24"/>
      <c r="AP47" s="24"/>
      <c r="AQ47" s="24"/>
      <c r="AR47" s="24"/>
      <c r="AS47" s="24"/>
      <c r="AT47" s="114" t="s">
        <v>219</v>
      </c>
      <c r="AU47" s="24"/>
      <c r="AV47" s="24"/>
      <c r="AW47" s="24"/>
      <c r="AX47" s="23"/>
      <c r="AY47" s="13"/>
    </row>
    <row r="48" spans="1:51" s="11" customFormat="1" ht="13.5" customHeight="1">
      <c r="A48" s="28"/>
      <c r="B48" s="31"/>
      <c r="C48" s="24"/>
      <c r="D48" s="24"/>
      <c r="E48" s="24"/>
      <c r="F48" s="24"/>
      <c r="G48" s="24"/>
      <c r="H48" s="23"/>
      <c r="I48" s="24"/>
      <c r="J48" s="24"/>
      <c r="K48" s="24"/>
      <c r="L48" s="24"/>
      <c r="M48" s="24"/>
      <c r="N48" s="24"/>
      <c r="O48" s="24"/>
      <c r="P48" s="31"/>
      <c r="Q48" s="24"/>
      <c r="R48" s="24"/>
      <c r="S48" s="24"/>
      <c r="T48" s="24"/>
      <c r="U48" s="24"/>
      <c r="V48" s="23"/>
      <c r="W48" s="31"/>
      <c r="X48" s="24"/>
      <c r="Y48" s="24"/>
      <c r="Z48" s="24"/>
      <c r="AA48" s="24"/>
      <c r="AB48" s="24"/>
      <c r="AC48" s="23"/>
      <c r="AD48" s="24"/>
      <c r="AE48" s="24"/>
      <c r="AF48" s="91" t="s">
        <v>138</v>
      </c>
      <c r="AG48" s="91" t="s">
        <v>233</v>
      </c>
      <c r="AH48" s="24"/>
      <c r="AI48" s="24"/>
      <c r="AJ48" s="24"/>
      <c r="AK48" s="24"/>
      <c r="AL48" s="24"/>
      <c r="AM48" s="24"/>
      <c r="AN48" s="24"/>
      <c r="AO48" s="24"/>
      <c r="AP48" s="24"/>
      <c r="AQ48" s="24"/>
      <c r="AR48" s="24"/>
      <c r="AS48" s="24"/>
      <c r="AT48" s="31"/>
      <c r="AU48" s="24"/>
      <c r="AV48" s="24"/>
      <c r="AW48" s="24"/>
      <c r="AX48" s="23"/>
      <c r="AY48" s="13"/>
    </row>
    <row r="49" spans="1:51" s="11" customFormat="1" ht="13.5" customHeight="1">
      <c r="A49" s="28"/>
      <c r="B49" s="31"/>
      <c r="C49" s="24"/>
      <c r="D49" s="24"/>
      <c r="E49" s="24"/>
      <c r="F49" s="24"/>
      <c r="G49" s="24"/>
      <c r="H49" s="23"/>
      <c r="I49" s="24"/>
      <c r="J49" s="24"/>
      <c r="K49" s="24"/>
      <c r="L49" s="24"/>
      <c r="M49" s="24"/>
      <c r="N49" s="24"/>
      <c r="O49" s="24"/>
      <c r="P49" s="31"/>
      <c r="Q49" s="24"/>
      <c r="R49" s="24"/>
      <c r="S49" s="24"/>
      <c r="T49" s="24"/>
      <c r="U49" s="24"/>
      <c r="V49" s="23"/>
      <c r="W49" s="31"/>
      <c r="X49" s="24"/>
      <c r="Y49" s="24"/>
      <c r="Z49" s="24"/>
      <c r="AA49" s="24"/>
      <c r="AB49" s="24"/>
      <c r="AC49" s="23"/>
      <c r="AD49" s="24"/>
      <c r="AE49" s="24"/>
      <c r="AF49" s="24"/>
      <c r="AG49" s="91" t="s">
        <v>234</v>
      </c>
      <c r="AH49" s="24"/>
      <c r="AI49" s="24"/>
      <c r="AJ49" s="24"/>
      <c r="AK49" s="24"/>
      <c r="AL49" s="24"/>
      <c r="AM49" s="24"/>
      <c r="AN49" s="24"/>
      <c r="AO49" s="24"/>
      <c r="AP49" s="24"/>
      <c r="AQ49" s="24"/>
      <c r="AR49" s="24"/>
      <c r="AS49" s="24"/>
      <c r="AT49" s="31"/>
      <c r="AU49" s="24"/>
      <c r="AV49" s="24"/>
      <c r="AW49" s="24"/>
      <c r="AX49" s="23"/>
      <c r="AY49" s="13"/>
    </row>
    <row r="50" spans="1:51" s="11" customFormat="1" ht="13.5" customHeight="1">
      <c r="A50" s="28"/>
      <c r="B50" s="31"/>
      <c r="C50" s="24"/>
      <c r="D50" s="24"/>
      <c r="E50" s="24"/>
      <c r="F50" s="24"/>
      <c r="G50" s="24"/>
      <c r="H50" s="23"/>
      <c r="I50" s="24"/>
      <c r="J50" s="24"/>
      <c r="K50" s="24"/>
      <c r="L50" s="24"/>
      <c r="M50" s="24"/>
      <c r="N50" s="24"/>
      <c r="O50" s="24"/>
      <c r="P50" s="31"/>
      <c r="Q50" s="24"/>
      <c r="R50" s="24"/>
      <c r="S50" s="24"/>
      <c r="T50" s="24"/>
      <c r="U50" s="24"/>
      <c r="V50" s="23"/>
      <c r="W50" s="31"/>
      <c r="X50" s="24"/>
      <c r="Y50" s="24"/>
      <c r="Z50" s="24"/>
      <c r="AA50" s="24"/>
      <c r="AB50" s="24"/>
      <c r="AC50" s="23"/>
      <c r="AD50" s="24"/>
      <c r="AE50" s="24"/>
      <c r="AF50" s="91" t="s">
        <v>138</v>
      </c>
      <c r="AG50" s="90" t="s">
        <v>235</v>
      </c>
      <c r="AH50" s="24"/>
      <c r="AI50" s="24"/>
      <c r="AJ50" s="24"/>
      <c r="AK50" s="24"/>
      <c r="AL50" s="24"/>
      <c r="AM50" s="24"/>
      <c r="AN50" s="24"/>
      <c r="AO50" s="24"/>
      <c r="AP50" s="24"/>
      <c r="AQ50" s="24"/>
      <c r="AR50" s="24"/>
      <c r="AS50" s="24"/>
      <c r="AT50" s="31"/>
      <c r="AU50" s="24"/>
      <c r="AV50" s="24"/>
      <c r="AW50" s="24"/>
      <c r="AX50" s="23"/>
      <c r="AY50" s="13"/>
    </row>
    <row r="51" spans="1:51" s="11" customFormat="1" ht="13.5" customHeight="1">
      <c r="A51" s="28"/>
      <c r="B51" s="31"/>
      <c r="C51" s="24"/>
      <c r="D51" s="24"/>
      <c r="E51" s="24"/>
      <c r="F51" s="24"/>
      <c r="G51" s="24"/>
      <c r="H51" s="23"/>
      <c r="I51" s="24"/>
      <c r="J51" s="24"/>
      <c r="K51" s="24"/>
      <c r="L51" s="24"/>
      <c r="M51" s="24"/>
      <c r="N51" s="24"/>
      <c r="O51" s="24"/>
      <c r="P51" s="31"/>
      <c r="Q51" s="24"/>
      <c r="R51" s="24"/>
      <c r="S51" s="24"/>
      <c r="T51" s="24"/>
      <c r="U51" s="24"/>
      <c r="V51" s="23"/>
      <c r="W51" s="31"/>
      <c r="X51" s="24"/>
      <c r="Y51" s="24"/>
      <c r="Z51" s="24"/>
      <c r="AA51" s="24"/>
      <c r="AB51" s="24"/>
      <c r="AC51" s="23"/>
      <c r="AD51" s="24"/>
      <c r="AE51" s="24"/>
      <c r="AF51" s="24"/>
      <c r="AG51" s="90" t="s">
        <v>236</v>
      </c>
      <c r="AH51" s="24"/>
      <c r="AI51" s="24"/>
      <c r="AJ51" s="24"/>
      <c r="AK51" s="24"/>
      <c r="AL51" s="24"/>
      <c r="AM51" s="24"/>
      <c r="AN51" s="24"/>
      <c r="AO51" s="24"/>
      <c r="AP51" s="24"/>
      <c r="AQ51" s="24"/>
      <c r="AR51" s="24"/>
      <c r="AS51" s="24"/>
      <c r="AT51" s="31"/>
      <c r="AU51" s="24"/>
      <c r="AV51" s="24"/>
      <c r="AW51" s="24"/>
      <c r="AX51" s="23"/>
      <c r="AY51" s="13"/>
    </row>
    <row r="52" spans="1:51" s="11" customFormat="1" ht="13.5" customHeight="1">
      <c r="A52" s="28"/>
      <c r="B52" s="31"/>
      <c r="C52" s="24"/>
      <c r="D52" s="24"/>
      <c r="E52" s="24"/>
      <c r="F52" s="24"/>
      <c r="G52" s="24"/>
      <c r="H52" s="23"/>
      <c r="I52" s="24"/>
      <c r="J52" s="24"/>
      <c r="K52" s="24"/>
      <c r="L52" s="24"/>
      <c r="M52" s="24"/>
      <c r="N52" s="24"/>
      <c r="O52" s="24"/>
      <c r="P52" s="31"/>
      <c r="Q52" s="24"/>
      <c r="R52" s="24"/>
      <c r="S52" s="24"/>
      <c r="T52" s="24"/>
      <c r="U52" s="24"/>
      <c r="V52" s="23"/>
      <c r="W52" s="31"/>
      <c r="X52" s="24"/>
      <c r="Y52" s="24"/>
      <c r="Z52" s="24"/>
      <c r="AA52" s="24"/>
      <c r="AB52" s="24"/>
      <c r="AC52" s="23"/>
      <c r="AD52" s="24"/>
      <c r="AE52" s="24"/>
      <c r="AF52" s="24"/>
      <c r="AG52" s="24"/>
      <c r="AH52" s="24"/>
      <c r="AI52" s="24"/>
      <c r="AJ52" s="24"/>
      <c r="AK52" s="24"/>
      <c r="AL52" s="24"/>
      <c r="AM52" s="24"/>
      <c r="AN52" s="24"/>
      <c r="AO52" s="24"/>
      <c r="AP52" s="24"/>
      <c r="AQ52" s="24"/>
      <c r="AR52" s="24"/>
      <c r="AS52" s="24"/>
      <c r="AT52" s="31"/>
      <c r="AU52" s="24"/>
      <c r="AV52" s="24"/>
      <c r="AW52" s="24"/>
      <c r="AX52" s="23"/>
      <c r="AY52" s="13"/>
    </row>
    <row r="53" spans="1:51" s="11" customFormat="1" ht="13.5" customHeight="1">
      <c r="A53" s="28"/>
      <c r="B53" s="31"/>
      <c r="C53" s="24"/>
      <c r="D53" s="24"/>
      <c r="E53" s="24"/>
      <c r="F53" s="24"/>
      <c r="G53" s="24"/>
      <c r="H53" s="23"/>
      <c r="I53" s="24"/>
      <c r="J53" s="24"/>
      <c r="K53" s="24"/>
      <c r="L53" s="24"/>
      <c r="M53" s="24"/>
      <c r="N53" s="24"/>
      <c r="O53" s="24"/>
      <c r="P53" s="31"/>
      <c r="Q53" s="24"/>
      <c r="R53" s="24"/>
      <c r="S53" s="24"/>
      <c r="T53" s="24"/>
      <c r="U53" s="24"/>
      <c r="V53" s="23"/>
      <c r="W53" s="31"/>
      <c r="X53" s="24"/>
      <c r="Y53" s="24"/>
      <c r="Z53" s="24"/>
      <c r="AA53" s="24"/>
      <c r="AB53" s="24"/>
      <c r="AC53" s="23"/>
      <c r="AD53" s="24"/>
      <c r="AE53" s="24"/>
      <c r="AF53" s="24"/>
      <c r="AG53" s="24"/>
      <c r="AH53" s="24"/>
      <c r="AI53" s="24"/>
      <c r="AJ53" s="24"/>
      <c r="AK53" s="24"/>
      <c r="AL53" s="24"/>
      <c r="AM53" s="24"/>
      <c r="AN53" s="24"/>
      <c r="AO53" s="24"/>
      <c r="AP53" s="24"/>
      <c r="AQ53" s="24"/>
      <c r="AR53" s="24"/>
      <c r="AS53" s="24"/>
      <c r="AT53" s="31"/>
      <c r="AU53" s="24"/>
      <c r="AV53" s="24"/>
      <c r="AW53" s="24"/>
      <c r="AX53" s="23"/>
      <c r="AY53" s="13"/>
    </row>
    <row r="54" spans="1:51" s="11" customFormat="1" ht="13.5" customHeight="1">
      <c r="A54" s="28"/>
      <c r="B54" s="31"/>
      <c r="C54" s="24"/>
      <c r="D54" s="24"/>
      <c r="E54" s="24"/>
      <c r="F54" s="24"/>
      <c r="G54" s="24"/>
      <c r="H54" s="23"/>
      <c r="I54" s="24"/>
      <c r="J54" s="24"/>
      <c r="K54" s="24"/>
      <c r="L54" s="24"/>
      <c r="M54" s="24"/>
      <c r="N54" s="24"/>
      <c r="O54" s="24"/>
      <c r="P54" s="31"/>
      <c r="Q54" s="24"/>
      <c r="R54" s="24"/>
      <c r="S54" s="24"/>
      <c r="T54" s="24"/>
      <c r="U54" s="24"/>
      <c r="V54" s="23"/>
      <c r="W54" s="31"/>
      <c r="X54" s="24"/>
      <c r="Y54" s="24"/>
      <c r="Z54" s="24"/>
      <c r="AA54" s="24"/>
      <c r="AB54" s="24"/>
      <c r="AC54" s="23"/>
      <c r="AD54" s="24"/>
      <c r="AE54" s="24"/>
      <c r="AF54" s="24"/>
      <c r="AG54" s="24"/>
      <c r="AH54" s="24"/>
      <c r="AI54" s="24"/>
      <c r="AJ54" s="24"/>
      <c r="AK54" s="24"/>
      <c r="AL54" s="24"/>
      <c r="AM54" s="24"/>
      <c r="AN54" s="24"/>
      <c r="AO54" s="24"/>
      <c r="AP54" s="24"/>
      <c r="AQ54" s="24"/>
      <c r="AR54" s="24"/>
      <c r="AS54" s="24"/>
      <c r="AT54" s="31"/>
      <c r="AU54" s="24"/>
      <c r="AV54" s="24"/>
      <c r="AW54" s="24"/>
      <c r="AX54" s="23"/>
      <c r="AY54" s="13"/>
    </row>
    <row r="55" spans="1:51">
      <c r="A55" s="27"/>
      <c r="B55" s="55"/>
      <c r="C55" s="10"/>
      <c r="D55" s="10"/>
      <c r="E55" s="10"/>
      <c r="F55" s="10"/>
      <c r="G55" s="10"/>
      <c r="H55" s="10"/>
      <c r="I55" s="55"/>
      <c r="J55" s="10"/>
      <c r="K55" s="10"/>
      <c r="L55" s="10"/>
      <c r="M55" s="10"/>
      <c r="N55" s="10"/>
      <c r="O55" s="10"/>
      <c r="P55" s="55"/>
      <c r="Q55" s="10"/>
      <c r="R55" s="10"/>
      <c r="S55" s="10"/>
      <c r="T55" s="10"/>
      <c r="U55" s="10"/>
      <c r="V55" s="15"/>
      <c r="W55" s="55"/>
      <c r="X55" s="10"/>
      <c r="Y55" s="10"/>
      <c r="Z55" s="10"/>
      <c r="AA55" s="10"/>
      <c r="AB55" s="10"/>
      <c r="AC55" s="15"/>
      <c r="AD55" s="10"/>
      <c r="AE55" s="10"/>
      <c r="AF55" s="10"/>
      <c r="AG55" s="10"/>
      <c r="AH55" s="10"/>
      <c r="AI55" s="10"/>
      <c r="AJ55" s="10"/>
      <c r="AK55" s="10"/>
      <c r="AL55" s="10"/>
      <c r="AM55" s="10"/>
      <c r="AN55" s="10"/>
      <c r="AO55" s="10"/>
      <c r="AP55" s="10"/>
      <c r="AQ55" s="10"/>
      <c r="AR55" s="10"/>
      <c r="AS55" s="10"/>
      <c r="AT55" s="55"/>
      <c r="AU55" s="10"/>
      <c r="AV55" s="10"/>
      <c r="AW55" s="10"/>
      <c r="AX55" s="15"/>
      <c r="AY55" s="14"/>
    </row>
    <row r="56" spans="1:51" s="11" customFormat="1" ht="13.5" customHeight="1">
      <c r="A56" s="28"/>
      <c r="B56" s="88" t="s">
        <v>237</v>
      </c>
      <c r="C56" s="77"/>
      <c r="D56" s="77"/>
      <c r="E56" s="77"/>
      <c r="F56" s="77"/>
      <c r="G56" s="77"/>
      <c r="H56" s="78"/>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13"/>
    </row>
    <row r="57" spans="1:51" s="11" customFormat="1" ht="13.5" customHeight="1">
      <c r="A57" s="28"/>
      <c r="B57" s="31"/>
      <c r="C57" s="24"/>
      <c r="D57" s="24"/>
      <c r="E57" s="24"/>
      <c r="F57" s="24"/>
      <c r="G57" s="24"/>
      <c r="H57" s="23"/>
      <c r="I57" s="24"/>
      <c r="J57" s="24"/>
      <c r="K57" s="24"/>
      <c r="L57" s="24"/>
      <c r="M57" s="24"/>
      <c r="N57" s="24"/>
      <c r="O57" s="24"/>
      <c r="P57" s="31"/>
      <c r="Q57" s="24"/>
      <c r="R57" s="24"/>
      <c r="S57" s="24"/>
      <c r="T57" s="24"/>
      <c r="U57" s="24"/>
      <c r="V57" s="23"/>
      <c r="W57" s="31"/>
      <c r="X57" s="24"/>
      <c r="Y57" s="24"/>
      <c r="Z57" s="24"/>
      <c r="AA57" s="24"/>
      <c r="AB57" s="24"/>
      <c r="AC57" s="23"/>
      <c r="AD57" s="24"/>
      <c r="AE57" s="24"/>
      <c r="AF57" s="24"/>
      <c r="AG57" s="24"/>
      <c r="AH57" s="24"/>
      <c r="AI57" s="24"/>
      <c r="AJ57" s="24"/>
      <c r="AK57" s="24"/>
      <c r="AL57" s="24"/>
      <c r="AM57" s="24"/>
      <c r="AN57" s="24"/>
      <c r="AO57" s="24"/>
      <c r="AP57" s="24"/>
      <c r="AQ57" s="24"/>
      <c r="AR57" s="24"/>
      <c r="AS57" s="24"/>
      <c r="AT57" s="31"/>
      <c r="AU57" s="24"/>
      <c r="AV57" s="24"/>
      <c r="AW57" s="24"/>
      <c r="AX57" s="23"/>
      <c r="AY57" s="13"/>
    </row>
    <row r="58" spans="1:51" s="11" customFormat="1" ht="13.5" customHeight="1">
      <c r="A58" s="28"/>
      <c r="B58" s="31"/>
      <c r="C58" s="24"/>
      <c r="D58" s="24"/>
      <c r="E58" s="24"/>
      <c r="F58" s="24"/>
      <c r="G58" s="24"/>
      <c r="H58" s="23"/>
      <c r="I58" s="24"/>
      <c r="J58" s="24"/>
      <c r="K58" s="24"/>
      <c r="L58" s="24"/>
      <c r="M58" s="24"/>
      <c r="N58" s="24"/>
      <c r="O58" s="24"/>
      <c r="P58" s="31"/>
      <c r="Q58" s="24"/>
      <c r="R58" s="24"/>
      <c r="S58" s="24"/>
      <c r="T58" s="24"/>
      <c r="U58" s="24"/>
      <c r="V58" s="23"/>
      <c r="W58" s="31"/>
      <c r="X58" s="24"/>
      <c r="Y58" s="24"/>
      <c r="Z58" s="24"/>
      <c r="AA58" s="24"/>
      <c r="AB58" s="24"/>
      <c r="AC58" s="23"/>
      <c r="AD58" s="24"/>
      <c r="AE58" s="24"/>
      <c r="AF58" s="24"/>
      <c r="AG58" s="24"/>
      <c r="AH58" s="24"/>
      <c r="AI58" s="24"/>
      <c r="AJ58" s="24"/>
      <c r="AK58" s="24"/>
      <c r="AL58" s="24"/>
      <c r="AM58" s="24"/>
      <c r="AN58" s="24"/>
      <c r="AO58" s="24"/>
      <c r="AP58" s="24"/>
      <c r="AQ58" s="24"/>
      <c r="AR58" s="24"/>
      <c r="AS58" s="24"/>
      <c r="AT58" s="31"/>
      <c r="AU58" s="24"/>
      <c r="AV58" s="24"/>
      <c r="AW58" s="24"/>
      <c r="AX58" s="23"/>
      <c r="AY58" s="13"/>
    </row>
    <row r="59" spans="1:51" s="11" customFormat="1" ht="13.5" customHeight="1">
      <c r="A59" s="28"/>
      <c r="B59" s="31"/>
      <c r="C59" s="24"/>
      <c r="D59" s="24"/>
      <c r="E59" s="24"/>
      <c r="F59" s="24"/>
      <c r="G59" s="24"/>
      <c r="H59" s="23"/>
      <c r="I59" s="24"/>
      <c r="J59" s="24"/>
      <c r="K59" s="24"/>
      <c r="L59" s="24"/>
      <c r="M59" s="24"/>
      <c r="N59" s="24"/>
      <c r="O59" s="24"/>
      <c r="P59" s="31"/>
      <c r="Q59" s="24"/>
      <c r="R59" s="24"/>
      <c r="S59" s="24"/>
      <c r="T59" s="24"/>
      <c r="U59" s="24"/>
      <c r="V59" s="23"/>
      <c r="W59" s="31"/>
      <c r="X59" s="24"/>
      <c r="Y59" s="24"/>
      <c r="Z59" s="24"/>
      <c r="AA59" s="24"/>
      <c r="AB59" s="24"/>
      <c r="AC59" s="23"/>
      <c r="AD59" s="24"/>
      <c r="AE59" s="24"/>
      <c r="AF59" s="24"/>
      <c r="AG59" s="24"/>
      <c r="AH59" s="24"/>
      <c r="AI59" s="24"/>
      <c r="AJ59" s="24"/>
      <c r="AK59" s="24"/>
      <c r="AL59" s="24"/>
      <c r="AM59" s="24"/>
      <c r="AN59" s="24"/>
      <c r="AO59" s="24"/>
      <c r="AP59" s="24"/>
      <c r="AQ59" s="24"/>
      <c r="AR59" s="24"/>
      <c r="AS59" s="24"/>
      <c r="AT59" s="31"/>
      <c r="AU59" s="24"/>
      <c r="AV59" s="24"/>
      <c r="AW59" s="24"/>
      <c r="AX59" s="23"/>
      <c r="AY59" s="13"/>
    </row>
    <row r="60" spans="1:51" s="11" customFormat="1" ht="13.5" customHeight="1">
      <c r="A60" s="28"/>
      <c r="B60" s="31"/>
      <c r="C60" s="24"/>
      <c r="D60" s="24"/>
      <c r="E60" s="24"/>
      <c r="F60" s="24"/>
      <c r="G60" s="24"/>
      <c r="H60" s="23"/>
      <c r="I60" s="24"/>
      <c r="J60" s="24"/>
      <c r="K60" s="24"/>
      <c r="L60" s="24"/>
      <c r="M60" s="24"/>
      <c r="N60" s="24"/>
      <c r="O60" s="24"/>
      <c r="P60" s="31"/>
      <c r="Q60" s="24"/>
      <c r="R60" s="24"/>
      <c r="S60" s="24"/>
      <c r="T60" s="24"/>
      <c r="U60" s="24"/>
      <c r="V60" s="23"/>
      <c r="W60" s="31"/>
      <c r="X60" s="24"/>
      <c r="Y60" s="24"/>
      <c r="Z60" s="24"/>
      <c r="AA60" s="24"/>
      <c r="AB60" s="24"/>
      <c r="AC60" s="23"/>
      <c r="AD60" s="24"/>
      <c r="AE60" s="24"/>
      <c r="AF60" s="24"/>
      <c r="AG60" s="24"/>
      <c r="AH60" s="24"/>
      <c r="AI60" s="24"/>
      <c r="AJ60" s="24"/>
      <c r="AK60" s="24"/>
      <c r="AL60" s="24"/>
      <c r="AM60" s="24"/>
      <c r="AN60" s="24"/>
      <c r="AO60" s="24"/>
      <c r="AP60" s="24"/>
      <c r="AQ60" s="24"/>
      <c r="AR60" s="24"/>
      <c r="AS60" s="24"/>
      <c r="AT60" s="31"/>
      <c r="AU60" s="24"/>
      <c r="AV60" s="24"/>
      <c r="AW60" s="24"/>
      <c r="AX60" s="23"/>
      <c r="AY60" s="13"/>
    </row>
    <row r="61" spans="1:51" s="11" customFormat="1" ht="13.5" customHeight="1">
      <c r="A61" s="28"/>
      <c r="B61" s="31"/>
      <c r="C61" s="24"/>
      <c r="D61" s="24"/>
      <c r="E61" s="24"/>
      <c r="F61" s="24"/>
      <c r="G61" s="24"/>
      <c r="H61" s="23"/>
      <c r="I61" s="24"/>
      <c r="J61" s="24"/>
      <c r="K61" s="24"/>
      <c r="L61" s="24"/>
      <c r="M61" s="24"/>
      <c r="N61" s="24"/>
      <c r="O61" s="24"/>
      <c r="P61" s="31"/>
      <c r="Q61" s="24"/>
      <c r="R61" s="24"/>
      <c r="S61" s="24"/>
      <c r="T61" s="24"/>
      <c r="U61" s="24"/>
      <c r="V61" s="23"/>
      <c r="W61" s="31"/>
      <c r="X61" s="24"/>
      <c r="Y61" s="24"/>
      <c r="Z61" s="24"/>
      <c r="AA61" s="24"/>
      <c r="AB61" s="24"/>
      <c r="AC61" s="23"/>
      <c r="AD61" s="24"/>
      <c r="AE61" s="24"/>
      <c r="AF61" s="24"/>
      <c r="AG61" s="24"/>
      <c r="AH61" s="24"/>
      <c r="AI61" s="24"/>
      <c r="AJ61" s="24"/>
      <c r="AK61" s="24"/>
      <c r="AL61" s="24"/>
      <c r="AM61" s="24"/>
      <c r="AN61" s="24"/>
      <c r="AO61" s="24"/>
      <c r="AP61" s="24"/>
      <c r="AQ61" s="24"/>
      <c r="AR61" s="24"/>
      <c r="AS61" s="24"/>
      <c r="AT61" s="31"/>
      <c r="AU61" s="24"/>
      <c r="AV61" s="24"/>
      <c r="AW61" s="24"/>
      <c r="AX61" s="23"/>
      <c r="AY61" s="13"/>
    </row>
    <row r="62" spans="1:51" s="11" customFormat="1" ht="13.5" customHeight="1">
      <c r="A62" s="28"/>
      <c r="B62" s="31"/>
      <c r="C62" s="24"/>
      <c r="D62" s="24"/>
      <c r="E62" s="24"/>
      <c r="F62" s="24"/>
      <c r="G62" s="24"/>
      <c r="H62" s="23"/>
      <c r="I62" s="24"/>
      <c r="J62" s="24"/>
      <c r="K62" s="24"/>
      <c r="L62" s="24"/>
      <c r="M62" s="24"/>
      <c r="N62" s="24"/>
      <c r="O62" s="24"/>
      <c r="P62" s="31"/>
      <c r="Q62" s="24"/>
      <c r="R62" s="24"/>
      <c r="S62" s="24"/>
      <c r="T62" s="24"/>
      <c r="U62" s="24"/>
      <c r="V62" s="23"/>
      <c r="W62" s="31"/>
      <c r="X62" s="24"/>
      <c r="Y62" s="24"/>
      <c r="Z62" s="24"/>
      <c r="AA62" s="24"/>
      <c r="AB62" s="24"/>
      <c r="AC62" s="23"/>
      <c r="AD62" s="24"/>
      <c r="AE62" s="24"/>
      <c r="AF62" s="24"/>
      <c r="AG62" s="24"/>
      <c r="AH62" s="24"/>
      <c r="AI62" s="24"/>
      <c r="AJ62" s="24"/>
      <c r="AK62" s="24"/>
      <c r="AL62" s="24"/>
      <c r="AM62" s="24"/>
      <c r="AN62" s="24"/>
      <c r="AO62" s="24"/>
      <c r="AP62" s="24"/>
      <c r="AQ62" s="24"/>
      <c r="AR62" s="24"/>
      <c r="AS62" s="24"/>
      <c r="AT62" s="31"/>
      <c r="AU62" s="24"/>
      <c r="AV62" s="24"/>
      <c r="AW62" s="24"/>
      <c r="AX62" s="23"/>
      <c r="AY62" s="13"/>
    </row>
    <row r="63" spans="1:51" s="11" customFormat="1" ht="13.5" customHeight="1">
      <c r="A63" s="28"/>
      <c r="B63" s="31"/>
      <c r="C63" s="24"/>
      <c r="D63" s="24"/>
      <c r="E63" s="24"/>
      <c r="F63" s="24"/>
      <c r="G63" s="24"/>
      <c r="H63" s="23"/>
      <c r="I63" s="24"/>
      <c r="J63" s="24"/>
      <c r="K63" s="24"/>
      <c r="L63" s="24"/>
      <c r="M63" s="24"/>
      <c r="N63" s="24"/>
      <c r="O63" s="24"/>
      <c r="P63" s="31"/>
      <c r="Q63" s="24"/>
      <c r="R63" s="24"/>
      <c r="S63" s="24"/>
      <c r="T63" s="24"/>
      <c r="U63" s="24"/>
      <c r="V63" s="23"/>
      <c r="W63" s="31"/>
      <c r="X63" s="24"/>
      <c r="Y63" s="24"/>
      <c r="Z63" s="24"/>
      <c r="AA63" s="24"/>
      <c r="AB63" s="24"/>
      <c r="AC63" s="23"/>
      <c r="AD63" s="24"/>
      <c r="AE63" s="24"/>
      <c r="AF63" s="24"/>
      <c r="AG63" s="24"/>
      <c r="AH63" s="24"/>
      <c r="AI63" s="24"/>
      <c r="AJ63" s="24"/>
      <c r="AK63" s="24"/>
      <c r="AL63" s="24"/>
      <c r="AM63" s="24"/>
      <c r="AN63" s="24"/>
      <c r="AO63" s="24"/>
      <c r="AP63" s="24"/>
      <c r="AQ63" s="24"/>
      <c r="AR63" s="24"/>
      <c r="AS63" s="24"/>
      <c r="AT63" s="31"/>
      <c r="AU63" s="24"/>
      <c r="AV63" s="24"/>
      <c r="AW63" s="24"/>
      <c r="AX63" s="23"/>
      <c r="AY63" s="13"/>
    </row>
    <row r="64" spans="1:51" s="11" customFormat="1" ht="13.5" customHeight="1">
      <c r="A64" s="28"/>
      <c r="B64" s="31"/>
      <c r="C64" s="24"/>
      <c r="D64" s="24"/>
      <c r="E64" s="24"/>
      <c r="F64" s="24"/>
      <c r="G64" s="24"/>
      <c r="H64" s="23"/>
      <c r="I64" s="24"/>
      <c r="J64" s="24"/>
      <c r="K64" s="24"/>
      <c r="L64" s="24"/>
      <c r="M64" s="24"/>
      <c r="N64" s="24"/>
      <c r="O64" s="24"/>
      <c r="P64" s="31"/>
      <c r="Q64" s="24"/>
      <c r="R64" s="24"/>
      <c r="S64" s="24"/>
      <c r="T64" s="24"/>
      <c r="U64" s="24"/>
      <c r="V64" s="23"/>
      <c r="W64" s="31"/>
      <c r="X64" s="24"/>
      <c r="Y64" s="24"/>
      <c r="Z64" s="24"/>
      <c r="AA64" s="24"/>
      <c r="AB64" s="24"/>
      <c r="AC64" s="23"/>
      <c r="AD64" s="24"/>
      <c r="AE64" s="24"/>
      <c r="AF64" s="24"/>
      <c r="AG64" s="24"/>
      <c r="AH64" s="24"/>
      <c r="AI64" s="24"/>
      <c r="AJ64" s="24"/>
      <c r="AK64" s="24"/>
      <c r="AL64" s="24"/>
      <c r="AM64" s="24"/>
      <c r="AN64" s="24"/>
      <c r="AO64" s="24"/>
      <c r="AP64" s="24"/>
      <c r="AQ64" s="24"/>
      <c r="AR64" s="24"/>
      <c r="AS64" s="24"/>
      <c r="AT64" s="31"/>
      <c r="AU64" s="24"/>
      <c r="AV64" s="24"/>
      <c r="AW64" s="24"/>
      <c r="AX64" s="23"/>
      <c r="AY64" s="13"/>
    </row>
    <row r="65" spans="1:51" s="11" customFormat="1" ht="13.5" customHeight="1">
      <c r="A65" s="28"/>
      <c r="B65" s="31"/>
      <c r="C65" s="24"/>
      <c r="D65" s="24"/>
      <c r="E65" s="24"/>
      <c r="F65" s="24"/>
      <c r="G65" s="24"/>
      <c r="H65" s="23"/>
      <c r="I65" s="24"/>
      <c r="J65" s="24"/>
      <c r="K65" s="24"/>
      <c r="L65" s="24"/>
      <c r="M65" s="24"/>
      <c r="N65" s="24"/>
      <c r="O65" s="24"/>
      <c r="P65" s="31"/>
      <c r="Q65" s="24"/>
      <c r="R65" s="24"/>
      <c r="S65" s="24"/>
      <c r="T65" s="24"/>
      <c r="U65" s="24"/>
      <c r="V65" s="23"/>
      <c r="W65" s="31"/>
      <c r="X65" s="24"/>
      <c r="Y65" s="24"/>
      <c r="Z65" s="24"/>
      <c r="AA65" s="24"/>
      <c r="AB65" s="24"/>
      <c r="AC65" s="23"/>
      <c r="AD65" s="24"/>
      <c r="AE65" s="24"/>
      <c r="AF65" s="24"/>
      <c r="AG65" s="24"/>
      <c r="AH65" s="24"/>
      <c r="AI65" s="24"/>
      <c r="AJ65" s="24"/>
      <c r="AK65" s="24"/>
      <c r="AL65" s="24"/>
      <c r="AM65" s="24"/>
      <c r="AN65" s="24"/>
      <c r="AO65" s="24"/>
      <c r="AP65" s="24"/>
      <c r="AQ65" s="24"/>
      <c r="AR65" s="24"/>
      <c r="AS65" s="24"/>
      <c r="AT65" s="31"/>
      <c r="AU65" s="24"/>
      <c r="AV65" s="24"/>
      <c r="AW65" s="24"/>
      <c r="AX65" s="23"/>
      <c r="AY65" s="13"/>
    </row>
    <row r="66" spans="1:51" s="11" customFormat="1" ht="13.5" customHeight="1">
      <c r="A66" s="28"/>
      <c r="B66" s="31"/>
      <c r="C66" s="24"/>
      <c r="D66" s="24"/>
      <c r="E66" s="24"/>
      <c r="F66" s="24"/>
      <c r="G66" s="24"/>
      <c r="H66" s="23"/>
      <c r="I66" s="24"/>
      <c r="J66" s="24"/>
      <c r="K66" s="24"/>
      <c r="L66" s="24"/>
      <c r="M66" s="24"/>
      <c r="N66" s="24"/>
      <c r="O66" s="24"/>
      <c r="P66" s="31"/>
      <c r="Q66" s="24"/>
      <c r="R66" s="24"/>
      <c r="S66" s="24"/>
      <c r="T66" s="24"/>
      <c r="U66" s="24"/>
      <c r="V66" s="23"/>
      <c r="W66" s="31"/>
      <c r="X66" s="24"/>
      <c r="Y66" s="24"/>
      <c r="Z66" s="24"/>
      <c r="AA66" s="24"/>
      <c r="AB66" s="24"/>
      <c r="AC66" s="23"/>
      <c r="AD66" s="24"/>
      <c r="AE66" s="25" t="s">
        <v>238</v>
      </c>
      <c r="AH66" s="8"/>
      <c r="AI66" s="24"/>
      <c r="AJ66" s="24"/>
      <c r="AK66" s="24"/>
      <c r="AL66" s="24"/>
      <c r="AM66" s="24"/>
      <c r="AN66" s="24"/>
      <c r="AO66" s="24"/>
      <c r="AP66" s="24"/>
      <c r="AQ66" s="24"/>
      <c r="AR66" s="24"/>
      <c r="AS66" s="24"/>
      <c r="AT66" s="31"/>
      <c r="AU66" s="24"/>
      <c r="AV66" s="24"/>
      <c r="AW66" s="24"/>
      <c r="AX66" s="23"/>
      <c r="AY66" s="13"/>
    </row>
    <row r="67" spans="1:51" s="11" customFormat="1" ht="13.5" customHeight="1">
      <c r="A67" s="28"/>
      <c r="B67" s="31"/>
      <c r="C67" s="24"/>
      <c r="D67" s="24"/>
      <c r="E67" s="24"/>
      <c r="F67" s="24"/>
      <c r="G67" s="24"/>
      <c r="H67" s="23"/>
      <c r="I67" s="24"/>
      <c r="J67" s="24"/>
      <c r="K67" s="24"/>
      <c r="L67" s="24"/>
      <c r="M67" s="24"/>
      <c r="N67" s="24"/>
      <c r="O67" s="24"/>
      <c r="P67" s="31"/>
      <c r="Q67" s="24"/>
      <c r="R67" s="24"/>
      <c r="S67" s="24"/>
      <c r="T67" s="24"/>
      <c r="U67" s="24"/>
      <c r="V67" s="23"/>
      <c r="W67" s="31"/>
      <c r="X67" s="24"/>
      <c r="Y67" s="24"/>
      <c r="Z67" s="24"/>
      <c r="AA67" s="24"/>
      <c r="AB67" s="24"/>
      <c r="AC67" s="23"/>
      <c r="AD67" s="24"/>
      <c r="AF67" s="8" t="s">
        <v>231</v>
      </c>
      <c r="AH67" s="8"/>
      <c r="AI67" s="24"/>
      <c r="AJ67" s="24"/>
      <c r="AK67" s="24"/>
      <c r="AL67" s="24"/>
      <c r="AM67" s="24"/>
      <c r="AN67" s="24"/>
      <c r="AO67" s="24"/>
      <c r="AP67" s="24"/>
      <c r="AQ67" s="24"/>
      <c r="AR67" s="24"/>
      <c r="AS67" s="24"/>
      <c r="AT67" s="31"/>
      <c r="AU67" s="24"/>
      <c r="AV67" s="24"/>
      <c r="AW67" s="24"/>
      <c r="AX67" s="23"/>
      <c r="AY67" s="13"/>
    </row>
    <row r="68" spans="1:51" s="11" customFormat="1" ht="13.5" customHeight="1">
      <c r="A68" s="28"/>
      <c r="B68" s="31"/>
      <c r="C68" s="24"/>
      <c r="D68" s="24"/>
      <c r="E68" s="24"/>
      <c r="F68" s="24"/>
      <c r="G68" s="24"/>
      <c r="H68" s="23"/>
      <c r="I68" s="24"/>
      <c r="J68" s="24"/>
      <c r="K68" s="24"/>
      <c r="L68" s="24"/>
      <c r="M68" s="24"/>
      <c r="N68" s="24"/>
      <c r="O68" s="24"/>
      <c r="P68" s="31"/>
      <c r="Q68" s="24"/>
      <c r="R68" s="24"/>
      <c r="S68" s="24"/>
      <c r="T68" s="24"/>
      <c r="U68" s="24"/>
      <c r="V68" s="23"/>
      <c r="W68" s="31"/>
      <c r="X68" s="24"/>
      <c r="Y68" s="24"/>
      <c r="Z68" s="24"/>
      <c r="AA68" s="24"/>
      <c r="AB68" s="24"/>
      <c r="AC68" s="23"/>
      <c r="AD68" s="24"/>
      <c r="AE68" s="24"/>
      <c r="AF68" s="91" t="s">
        <v>239</v>
      </c>
      <c r="AG68" s="24"/>
      <c r="AH68" s="24"/>
      <c r="AI68" s="24"/>
      <c r="AJ68" s="24"/>
      <c r="AK68" s="24"/>
      <c r="AL68" s="24"/>
      <c r="AM68" s="24"/>
      <c r="AN68" s="24"/>
      <c r="AO68" s="24"/>
      <c r="AP68" s="24"/>
      <c r="AQ68" s="24"/>
      <c r="AR68" s="24"/>
      <c r="AS68" s="24"/>
      <c r="AT68" s="31"/>
      <c r="AU68" s="24"/>
      <c r="AV68" s="24"/>
      <c r="AW68" s="24"/>
      <c r="AX68" s="23"/>
      <c r="AY68" s="13"/>
    </row>
    <row r="69" spans="1:51" s="11" customFormat="1" ht="13.5" customHeight="1">
      <c r="A69" s="28"/>
      <c r="B69" s="31"/>
      <c r="C69" s="24"/>
      <c r="D69" s="24"/>
      <c r="E69" s="24"/>
      <c r="F69" s="24"/>
      <c r="G69" s="24"/>
      <c r="H69" s="23"/>
      <c r="I69" s="24"/>
      <c r="J69" s="24"/>
      <c r="K69" s="24"/>
      <c r="L69" s="24"/>
      <c r="M69" s="24"/>
      <c r="N69" s="24"/>
      <c r="O69" s="24"/>
      <c r="P69" s="31"/>
      <c r="Q69" s="24"/>
      <c r="R69" s="24"/>
      <c r="S69" s="24"/>
      <c r="T69" s="24"/>
      <c r="U69" s="24"/>
      <c r="V69" s="23"/>
      <c r="W69" s="31"/>
      <c r="X69" s="24"/>
      <c r="Y69" s="24"/>
      <c r="Z69" s="24"/>
      <c r="AA69" s="24"/>
      <c r="AB69" s="24"/>
      <c r="AC69" s="23"/>
      <c r="AD69" s="24"/>
      <c r="AE69" s="24"/>
      <c r="AF69" s="11" t="s">
        <v>240</v>
      </c>
      <c r="AL69" s="24"/>
      <c r="AM69" s="24"/>
      <c r="AN69" s="24"/>
      <c r="AO69" s="24"/>
      <c r="AP69" s="24"/>
      <c r="AQ69" s="24"/>
      <c r="AR69" s="24"/>
      <c r="AS69" s="24"/>
      <c r="AT69" s="31"/>
      <c r="AU69" s="24"/>
      <c r="AV69" s="24"/>
      <c r="AW69" s="24"/>
      <c r="AX69" s="23"/>
      <c r="AY69" s="13"/>
    </row>
    <row r="70" spans="1:51" s="11" customFormat="1" ht="13.5" customHeight="1">
      <c r="A70" s="28"/>
      <c r="B70" s="31"/>
      <c r="C70" s="24"/>
      <c r="D70" s="24"/>
      <c r="E70" s="24"/>
      <c r="F70" s="24"/>
      <c r="G70" s="24"/>
      <c r="H70" s="23"/>
      <c r="I70" s="24"/>
      <c r="J70" s="24"/>
      <c r="K70" s="24"/>
      <c r="L70" s="24"/>
      <c r="M70" s="24"/>
      <c r="N70" s="24"/>
      <c r="O70" s="24"/>
      <c r="P70" s="31"/>
      <c r="Q70" s="24"/>
      <c r="R70" s="24"/>
      <c r="S70" s="24"/>
      <c r="T70" s="24"/>
      <c r="U70" s="24"/>
      <c r="V70" s="23"/>
      <c r="W70" s="31"/>
      <c r="X70" s="24"/>
      <c r="Y70" s="24"/>
      <c r="Z70" s="24"/>
      <c r="AA70" s="24"/>
      <c r="AB70" s="24"/>
      <c r="AC70" s="23"/>
      <c r="AD70" s="24"/>
      <c r="AE70" s="24"/>
      <c r="AF70" s="91" t="s">
        <v>138</v>
      </c>
      <c r="AG70" s="91" t="s">
        <v>241</v>
      </c>
      <c r="AL70" s="24"/>
      <c r="AM70" s="24"/>
      <c r="AN70" s="24"/>
      <c r="AO70" s="24"/>
      <c r="AP70" s="24"/>
      <c r="AQ70" s="24"/>
      <c r="AR70" s="24"/>
      <c r="AS70" s="24"/>
      <c r="AT70" s="31"/>
      <c r="AU70" s="24"/>
      <c r="AV70" s="24"/>
      <c r="AW70" s="24"/>
      <c r="AX70" s="23"/>
      <c r="AY70" s="13"/>
    </row>
    <row r="71" spans="1:51" s="11" customFormat="1" ht="13.5" customHeight="1">
      <c r="A71" s="28"/>
      <c r="B71" s="31"/>
      <c r="C71" s="24"/>
      <c r="D71" s="24"/>
      <c r="E71" s="24"/>
      <c r="F71" s="24"/>
      <c r="G71" s="24"/>
      <c r="H71" s="23"/>
      <c r="I71" s="24"/>
      <c r="J71" s="24"/>
      <c r="K71" s="24"/>
      <c r="L71" s="24"/>
      <c r="M71" s="24"/>
      <c r="N71" s="24"/>
      <c r="O71" s="24"/>
      <c r="P71" s="31"/>
      <c r="Q71" s="24"/>
      <c r="R71" s="24"/>
      <c r="S71" s="24"/>
      <c r="T71" s="24"/>
      <c r="U71" s="24"/>
      <c r="V71" s="23"/>
      <c r="W71" s="31"/>
      <c r="X71" s="24"/>
      <c r="Y71" s="24"/>
      <c r="Z71" s="24"/>
      <c r="AA71" s="24"/>
      <c r="AB71" s="24"/>
      <c r="AC71" s="23"/>
      <c r="AD71" s="24"/>
      <c r="AE71" s="24"/>
      <c r="AF71" s="24"/>
      <c r="AG71" s="91" t="s">
        <v>242</v>
      </c>
      <c r="AH71" s="24"/>
      <c r="AI71" s="24"/>
      <c r="AJ71" s="24"/>
      <c r="AK71" s="24"/>
      <c r="AL71" s="24"/>
      <c r="AM71" s="24"/>
      <c r="AN71" s="24"/>
      <c r="AO71" s="24"/>
      <c r="AP71" s="24"/>
      <c r="AQ71" s="24"/>
      <c r="AR71" s="24"/>
      <c r="AS71" s="24"/>
      <c r="AT71" s="31"/>
      <c r="AU71" s="24"/>
      <c r="AV71" s="24"/>
      <c r="AW71" s="24"/>
      <c r="AX71" s="23"/>
      <c r="AY71" s="13"/>
    </row>
    <row r="72" spans="1:51" s="11" customFormat="1" ht="13.5" customHeight="1">
      <c r="A72" s="28"/>
      <c r="B72" s="31"/>
      <c r="C72" s="24"/>
      <c r="D72" s="24"/>
      <c r="E72" s="24"/>
      <c r="F72" s="24"/>
      <c r="G72" s="24"/>
      <c r="H72" s="23"/>
      <c r="I72" s="24"/>
      <c r="J72" s="24"/>
      <c r="K72" s="24"/>
      <c r="L72" s="24"/>
      <c r="M72" s="24"/>
      <c r="N72" s="24"/>
      <c r="O72" s="24"/>
      <c r="P72" s="31"/>
      <c r="Q72" s="24"/>
      <c r="R72" s="24"/>
      <c r="S72" s="24"/>
      <c r="T72" s="24"/>
      <c r="U72" s="24"/>
      <c r="V72" s="23"/>
      <c r="W72" s="31"/>
      <c r="X72" s="24"/>
      <c r="Y72" s="24"/>
      <c r="Z72" s="24"/>
      <c r="AA72" s="24"/>
      <c r="AB72" s="24"/>
      <c r="AC72" s="23"/>
      <c r="AD72" s="24"/>
      <c r="AE72" s="24"/>
      <c r="AF72" s="91" t="s">
        <v>138</v>
      </c>
      <c r="AG72" s="90" t="s">
        <v>235</v>
      </c>
      <c r="AH72" s="24"/>
      <c r="AI72" s="24"/>
      <c r="AJ72" s="24"/>
      <c r="AK72" s="24"/>
      <c r="AL72" s="24"/>
      <c r="AM72" s="24"/>
      <c r="AN72" s="24"/>
      <c r="AO72" s="24"/>
      <c r="AP72" s="24"/>
      <c r="AQ72" s="24"/>
      <c r="AR72" s="24"/>
      <c r="AS72" s="24"/>
      <c r="AT72" s="31"/>
      <c r="AU72" s="24"/>
      <c r="AV72" s="24"/>
      <c r="AW72" s="24"/>
      <c r="AX72" s="23"/>
      <c r="AY72" s="13"/>
    </row>
    <row r="73" spans="1:51" s="11" customFormat="1" ht="13.5" customHeight="1">
      <c r="A73" s="28"/>
      <c r="B73" s="31"/>
      <c r="C73" s="24"/>
      <c r="D73" s="24"/>
      <c r="E73" s="24"/>
      <c r="F73" s="24"/>
      <c r="G73" s="24"/>
      <c r="H73" s="23"/>
      <c r="I73" s="24"/>
      <c r="J73" s="24"/>
      <c r="K73" s="24"/>
      <c r="L73" s="24"/>
      <c r="M73" s="24"/>
      <c r="N73" s="24"/>
      <c r="O73" s="24"/>
      <c r="P73" s="31"/>
      <c r="Q73" s="24"/>
      <c r="R73" s="24"/>
      <c r="S73" s="24"/>
      <c r="T73" s="24"/>
      <c r="U73" s="24"/>
      <c r="V73" s="23"/>
      <c r="W73" s="31"/>
      <c r="X73" s="24"/>
      <c r="Y73" s="24"/>
      <c r="Z73" s="24"/>
      <c r="AA73" s="24"/>
      <c r="AB73" s="24"/>
      <c r="AC73" s="23"/>
      <c r="AD73" s="24"/>
      <c r="AE73" s="24"/>
      <c r="AF73" s="24"/>
      <c r="AG73" s="90" t="s">
        <v>236</v>
      </c>
      <c r="AH73" s="24"/>
      <c r="AI73" s="24"/>
      <c r="AJ73" s="24"/>
      <c r="AK73" s="24"/>
      <c r="AL73" s="24"/>
      <c r="AM73" s="24"/>
      <c r="AN73" s="24"/>
      <c r="AO73" s="24"/>
      <c r="AP73" s="24"/>
      <c r="AQ73" s="24"/>
      <c r="AR73" s="24"/>
      <c r="AS73" s="24"/>
      <c r="AT73" s="31"/>
      <c r="AU73" s="24"/>
      <c r="AV73" s="24"/>
      <c r="AW73" s="24"/>
      <c r="AX73" s="23"/>
      <c r="AY73" s="13"/>
    </row>
    <row r="74" spans="1:51" s="11" customFormat="1" ht="13.5" customHeight="1">
      <c r="A74" s="28"/>
      <c r="B74" s="31"/>
      <c r="C74" s="24"/>
      <c r="D74" s="24"/>
      <c r="E74" s="24"/>
      <c r="F74" s="24"/>
      <c r="G74" s="24"/>
      <c r="H74" s="23"/>
      <c r="I74" s="24"/>
      <c r="J74" s="24"/>
      <c r="K74" s="24"/>
      <c r="L74" s="24"/>
      <c r="M74" s="24"/>
      <c r="N74" s="24"/>
      <c r="O74" s="24"/>
      <c r="P74" s="31"/>
      <c r="Q74" s="24"/>
      <c r="R74" s="24"/>
      <c r="S74" s="24"/>
      <c r="T74" s="24"/>
      <c r="U74" s="24"/>
      <c r="V74" s="23"/>
      <c r="W74" s="31"/>
      <c r="X74" s="24"/>
      <c r="Y74" s="24"/>
      <c r="Z74" s="24"/>
      <c r="AA74" s="24"/>
      <c r="AB74" s="24"/>
      <c r="AC74" s="23"/>
      <c r="AD74" s="24"/>
      <c r="AE74" s="24"/>
      <c r="AF74" s="24"/>
      <c r="AG74" s="90"/>
      <c r="AH74" s="24"/>
      <c r="AI74" s="24"/>
      <c r="AJ74" s="24"/>
      <c r="AK74" s="24"/>
      <c r="AL74" s="24"/>
      <c r="AM74" s="24"/>
      <c r="AN74" s="24"/>
      <c r="AO74" s="24"/>
      <c r="AP74" s="24"/>
      <c r="AQ74" s="24"/>
      <c r="AR74" s="24"/>
      <c r="AS74" s="24"/>
      <c r="AT74" s="31"/>
      <c r="AU74" s="24"/>
      <c r="AV74" s="24"/>
      <c r="AW74" s="24"/>
      <c r="AX74" s="23"/>
      <c r="AY74" s="13"/>
    </row>
    <row r="75" spans="1:51" s="11" customFormat="1" ht="13.5" customHeight="1">
      <c r="A75" s="28"/>
      <c r="B75" s="31"/>
      <c r="C75" s="24"/>
      <c r="D75" s="24"/>
      <c r="E75" s="24"/>
      <c r="F75" s="24"/>
      <c r="G75" s="24"/>
      <c r="H75" s="23"/>
      <c r="I75" s="24"/>
      <c r="J75" s="24"/>
      <c r="K75" s="24"/>
      <c r="L75" s="24"/>
      <c r="M75" s="24"/>
      <c r="N75" s="24"/>
      <c r="O75" s="24"/>
      <c r="P75" s="31"/>
      <c r="Q75" s="24"/>
      <c r="R75" s="24"/>
      <c r="S75" s="24"/>
      <c r="T75" s="24"/>
      <c r="U75" s="24"/>
      <c r="V75" s="23"/>
      <c r="W75" s="31"/>
      <c r="X75" s="24"/>
      <c r="Y75" s="24"/>
      <c r="Z75" s="24"/>
      <c r="AA75" s="24"/>
      <c r="AB75" s="24"/>
      <c r="AC75" s="23"/>
      <c r="AD75" s="24"/>
      <c r="AE75" s="24"/>
      <c r="AF75" s="24"/>
      <c r="AG75" s="24"/>
      <c r="AH75" s="24"/>
      <c r="AI75" s="24"/>
      <c r="AJ75" s="24"/>
      <c r="AK75" s="24"/>
      <c r="AL75" s="24"/>
      <c r="AM75" s="24"/>
      <c r="AN75" s="24"/>
      <c r="AO75" s="24"/>
      <c r="AP75" s="24"/>
      <c r="AQ75" s="24"/>
      <c r="AR75" s="24"/>
      <c r="AS75" s="24"/>
      <c r="AT75" s="31"/>
      <c r="AU75" s="24"/>
      <c r="AV75" s="24"/>
      <c r="AW75" s="24"/>
      <c r="AX75" s="23"/>
      <c r="AY75" s="13"/>
    </row>
    <row r="76" spans="1:51">
      <c r="A76" s="27"/>
      <c r="B76" s="55"/>
      <c r="C76" s="10"/>
      <c r="D76" s="10"/>
      <c r="E76" s="10"/>
      <c r="F76" s="10"/>
      <c r="G76" s="10"/>
      <c r="H76" s="10"/>
      <c r="I76" s="55"/>
      <c r="J76" s="10"/>
      <c r="K76" s="10"/>
      <c r="L76" s="10"/>
      <c r="M76" s="10"/>
      <c r="N76" s="10"/>
      <c r="O76" s="10"/>
      <c r="P76" s="55"/>
      <c r="Q76" s="10"/>
      <c r="R76" s="10"/>
      <c r="S76" s="10"/>
      <c r="T76" s="10"/>
      <c r="U76" s="10"/>
      <c r="V76" s="15"/>
      <c r="W76" s="55"/>
      <c r="X76" s="10"/>
      <c r="Y76" s="10"/>
      <c r="Z76" s="10"/>
      <c r="AA76" s="10"/>
      <c r="AB76" s="10"/>
      <c r="AC76" s="15"/>
      <c r="AD76" s="10"/>
      <c r="AE76" s="10"/>
      <c r="AF76" s="10"/>
      <c r="AG76" s="10"/>
      <c r="AH76" s="10"/>
      <c r="AI76" s="10"/>
      <c r="AJ76" s="10"/>
      <c r="AK76" s="10"/>
      <c r="AL76" s="10"/>
      <c r="AM76" s="10"/>
      <c r="AN76" s="10"/>
      <c r="AO76" s="10"/>
      <c r="AP76" s="10"/>
      <c r="AQ76" s="10"/>
      <c r="AR76" s="10"/>
      <c r="AS76" s="10"/>
      <c r="AT76" s="55"/>
      <c r="AU76" s="10"/>
      <c r="AV76" s="10"/>
      <c r="AW76" s="10"/>
      <c r="AX76" s="15"/>
      <c r="AY76" s="14"/>
    </row>
    <row r="77" spans="1:51">
      <c r="AY77" s="14"/>
    </row>
    <row r="78" spans="1:5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5"/>
    </row>
  </sheetData>
  <mergeCells count="22">
    <mergeCell ref="AT8:AX9"/>
    <mergeCell ref="B9:H9"/>
    <mergeCell ref="I9:O9"/>
    <mergeCell ref="P9:V9"/>
    <mergeCell ref="W9:AC9"/>
    <mergeCell ref="B8:O8"/>
    <mergeCell ref="P8:AC8"/>
    <mergeCell ref="AD8:AS9"/>
    <mergeCell ref="AQ3:AV3"/>
    <mergeCell ref="A1:E1"/>
    <mergeCell ref="F1:U1"/>
    <mergeCell ref="V1:AI1"/>
    <mergeCell ref="AJ1:AP1"/>
    <mergeCell ref="AQ1:AV1"/>
    <mergeCell ref="A2:E3"/>
    <mergeCell ref="F2:U3"/>
    <mergeCell ref="V2:AI3"/>
    <mergeCell ref="AJ2:AK2"/>
    <mergeCell ref="AL2:AP2"/>
    <mergeCell ref="AQ2:AV2"/>
    <mergeCell ref="AJ3:AK3"/>
    <mergeCell ref="AL3:AP3"/>
  </mergeCells>
  <phoneticPr fontId="2"/>
  <pageMargins left="0.7" right="0.7" top="0.75" bottom="0.75" header="0.3" footer="0.3"/>
  <pageSetup paperSize="9" scale="69" fitToHeight="0" orientation="portrait"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645FD-909F-4C58-A58E-D00092A7A7CB}">
  <sheetPr codeName="Sheet12"/>
  <dimension ref="A1:CE226"/>
  <sheetViews>
    <sheetView showGridLines="0" zoomScale="80" zoomScaleNormal="80" workbookViewId="0">
      <pane ySplit="9" topLeftCell="A10" activePane="bottomLeft" state="frozen"/>
      <selection pane="bottomLeft" sqref="A1:E1"/>
      <selection activeCell="AL157" sqref="AL157"/>
    </sheetView>
  </sheetViews>
  <sheetFormatPr defaultColWidth="2.375" defaultRowHeight="13.5"/>
  <cols>
    <col min="1" max="1" width="2.375" style="8" customWidth="1"/>
    <col min="2" max="42" width="2.375" style="8"/>
    <col min="43" max="43" width="2.375" style="8" customWidth="1"/>
    <col min="44" max="45" width="2.375" style="8"/>
    <col min="46" max="46" width="2.375" style="8" bestFit="1" customWidth="1"/>
    <col min="47" max="47" width="13" style="8" bestFit="1" customWidth="1"/>
    <col min="48" max="66" width="2.375" style="8"/>
    <col min="67" max="67" width="4" style="8" bestFit="1" customWidth="1"/>
    <col min="68" max="70" width="2.375" style="8"/>
    <col min="71" max="71" width="10" style="8" bestFit="1" customWidth="1"/>
    <col min="72" max="16384" width="2.375" style="8"/>
  </cols>
  <sheetData>
    <row r="1" spans="1:82"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82">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82"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4" spans="1:82">
      <c r="A4" s="27"/>
      <c r="AO4" s="9"/>
    </row>
    <row r="5" spans="1:82">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row>
    <row r="6" spans="1:82"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41"/>
    </row>
    <row r="7" spans="1:82" s="11" customFormat="1">
      <c r="A7" s="28"/>
      <c r="BM7" s="13"/>
    </row>
    <row r="8" spans="1:82" s="11" customFormat="1" ht="15.75" customHeight="1">
      <c r="A8" s="28"/>
      <c r="B8" s="197" t="s">
        <v>172</v>
      </c>
      <c r="C8" s="198"/>
      <c r="D8" s="198"/>
      <c r="E8" s="198"/>
      <c r="F8" s="198"/>
      <c r="G8" s="198"/>
      <c r="H8" s="198"/>
      <c r="I8" s="198"/>
      <c r="J8" s="198"/>
      <c r="K8" s="198"/>
      <c r="L8" s="198"/>
      <c r="M8" s="198"/>
      <c r="N8" s="198"/>
      <c r="O8" s="199"/>
      <c r="P8" s="331" t="s">
        <v>243</v>
      </c>
      <c r="Q8" s="332"/>
      <c r="R8" s="332"/>
      <c r="S8" s="332"/>
      <c r="T8" s="332"/>
      <c r="U8" s="332"/>
      <c r="V8" s="333"/>
      <c r="W8" s="331" t="s">
        <v>173</v>
      </c>
      <c r="X8" s="332"/>
      <c r="Y8" s="332"/>
      <c r="Z8" s="332"/>
      <c r="AA8" s="332"/>
      <c r="AB8" s="332"/>
      <c r="AC8" s="333"/>
      <c r="AD8" s="202" t="s">
        <v>83</v>
      </c>
      <c r="AE8" s="203"/>
      <c r="AF8" s="203"/>
      <c r="AG8" s="203"/>
      <c r="AH8" s="203"/>
      <c r="AI8" s="203"/>
      <c r="AJ8" s="204"/>
      <c r="AK8" s="203"/>
      <c r="AL8" s="203"/>
      <c r="AM8" s="203"/>
      <c r="AN8" s="203"/>
      <c r="AO8" s="203"/>
      <c r="AP8" s="203"/>
      <c r="AQ8" s="204"/>
      <c r="AR8" s="201" t="s">
        <v>101</v>
      </c>
      <c r="AS8" s="201"/>
      <c r="AT8" s="201"/>
      <c r="AU8" s="201"/>
      <c r="AV8" s="201"/>
      <c r="AW8" s="201"/>
      <c r="AX8" s="201"/>
      <c r="AY8" s="201"/>
      <c r="AZ8" s="201"/>
      <c r="BA8" s="201"/>
      <c r="BB8" s="201"/>
      <c r="BC8" s="201"/>
      <c r="BD8" s="201"/>
      <c r="BE8" s="201"/>
      <c r="BF8" s="201"/>
      <c r="BG8" s="201"/>
      <c r="BH8" s="200" t="s">
        <v>103</v>
      </c>
      <c r="BI8" s="201"/>
      <c r="BJ8" s="201"/>
      <c r="BK8" s="201"/>
      <c r="BL8" s="201"/>
      <c r="BM8" s="13"/>
      <c r="BO8" s="185" t="s">
        <v>113</v>
      </c>
      <c r="BP8" s="186"/>
      <c r="BQ8" s="186"/>
      <c r="BR8" s="186"/>
      <c r="BS8" s="188" t="s">
        <v>114</v>
      </c>
      <c r="BT8" s="189"/>
      <c r="BU8" s="189"/>
      <c r="BV8" s="189"/>
      <c r="BW8" s="189"/>
      <c r="BX8" s="189"/>
      <c r="BY8" s="189"/>
      <c r="BZ8" s="189"/>
      <c r="CA8" s="189"/>
      <c r="CB8" s="189"/>
      <c r="CC8" s="189"/>
      <c r="CD8" s="190"/>
    </row>
    <row r="9" spans="1:82" s="11" customFormat="1" ht="13.5" customHeight="1">
      <c r="A9" s="28"/>
      <c r="B9" s="197" t="s">
        <v>89</v>
      </c>
      <c r="C9" s="198"/>
      <c r="D9" s="198"/>
      <c r="E9" s="198"/>
      <c r="F9" s="198"/>
      <c r="G9" s="198"/>
      <c r="H9" s="199"/>
      <c r="I9" s="197" t="s">
        <v>90</v>
      </c>
      <c r="J9" s="198"/>
      <c r="K9" s="198"/>
      <c r="L9" s="198"/>
      <c r="M9" s="198"/>
      <c r="N9" s="198"/>
      <c r="O9" s="198"/>
      <c r="P9" s="334"/>
      <c r="Q9" s="335"/>
      <c r="R9" s="335"/>
      <c r="S9" s="335"/>
      <c r="T9" s="335"/>
      <c r="U9" s="335"/>
      <c r="V9" s="336"/>
      <c r="W9" s="334"/>
      <c r="X9" s="335"/>
      <c r="Y9" s="335"/>
      <c r="Z9" s="335"/>
      <c r="AA9" s="335"/>
      <c r="AB9" s="335"/>
      <c r="AC9" s="336"/>
      <c r="AD9" s="202" t="s">
        <v>98</v>
      </c>
      <c r="AE9" s="203"/>
      <c r="AF9" s="203"/>
      <c r="AG9" s="203"/>
      <c r="AH9" s="203"/>
      <c r="AI9" s="203"/>
      <c r="AJ9" s="204"/>
      <c r="AK9" s="202" t="s">
        <v>100</v>
      </c>
      <c r="AL9" s="203"/>
      <c r="AM9" s="203"/>
      <c r="AN9" s="203"/>
      <c r="AO9" s="203"/>
      <c r="AP9" s="203"/>
      <c r="AQ9" s="204"/>
      <c r="AR9" s="201"/>
      <c r="AS9" s="201"/>
      <c r="AT9" s="201"/>
      <c r="AU9" s="201"/>
      <c r="AV9" s="201"/>
      <c r="AW9" s="201"/>
      <c r="AX9" s="201"/>
      <c r="AY9" s="201"/>
      <c r="AZ9" s="201"/>
      <c r="BA9" s="201"/>
      <c r="BB9" s="201"/>
      <c r="BC9" s="201"/>
      <c r="BD9" s="201"/>
      <c r="BE9" s="201"/>
      <c r="BF9" s="201"/>
      <c r="BG9" s="201"/>
      <c r="BH9" s="201"/>
      <c r="BI9" s="201"/>
      <c r="BJ9" s="201"/>
      <c r="BK9" s="201"/>
      <c r="BL9" s="201"/>
      <c r="BM9" s="13"/>
      <c r="BO9" s="187"/>
      <c r="BP9" s="187"/>
      <c r="BQ9" s="187"/>
      <c r="BR9" s="187"/>
      <c r="BS9" s="191"/>
      <c r="BT9" s="192"/>
      <c r="BU9" s="192"/>
      <c r="BV9" s="192"/>
      <c r="BW9" s="192"/>
      <c r="BX9" s="192"/>
      <c r="BY9" s="192"/>
      <c r="BZ9" s="192"/>
      <c r="CA9" s="192"/>
      <c r="CB9" s="192"/>
      <c r="CC9" s="192"/>
      <c r="CD9" s="193"/>
    </row>
    <row r="10" spans="1:82" s="11" customFormat="1" ht="13.5" customHeight="1">
      <c r="A10" s="28"/>
      <c r="B10" s="88" t="s">
        <v>244</v>
      </c>
      <c r="C10" s="77"/>
      <c r="D10" s="77"/>
      <c r="E10" s="77"/>
      <c r="F10" s="77"/>
      <c r="G10" s="77"/>
      <c r="H10" s="78"/>
      <c r="I10" s="26"/>
      <c r="J10" s="26"/>
      <c r="K10" s="26"/>
      <c r="L10" s="26"/>
      <c r="M10" s="26"/>
      <c r="N10" s="26"/>
      <c r="O10" s="26"/>
      <c r="P10" s="35"/>
      <c r="Q10" s="26"/>
      <c r="R10" s="26"/>
      <c r="S10" s="26"/>
      <c r="T10" s="26"/>
      <c r="U10" s="26"/>
      <c r="V10" s="26"/>
      <c r="W10" s="35"/>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13"/>
      <c r="BO10" s="59"/>
      <c r="BP10" s="60"/>
      <c r="BQ10" s="60"/>
      <c r="BR10" s="60"/>
      <c r="BS10" s="97"/>
      <c r="BT10" s="98"/>
      <c r="BU10" s="98"/>
      <c r="BV10" s="98"/>
      <c r="BW10" s="98"/>
      <c r="BX10" s="98"/>
      <c r="BY10" s="98"/>
      <c r="BZ10" s="98"/>
      <c r="CA10" s="98"/>
      <c r="CB10" s="98"/>
      <c r="CC10" s="98"/>
      <c r="CD10" s="99"/>
    </row>
    <row r="11" spans="1:82" s="11" customFormat="1" ht="13.5" customHeight="1">
      <c r="A11" s="28"/>
      <c r="B11" s="47"/>
      <c r="C11" s="45"/>
      <c r="D11" s="45"/>
      <c r="E11" s="45"/>
      <c r="F11" s="45"/>
      <c r="G11" s="45"/>
      <c r="H11" s="46"/>
      <c r="I11" s="45"/>
      <c r="J11" s="45"/>
      <c r="K11" s="45"/>
      <c r="L11" s="45"/>
      <c r="M11" s="45"/>
      <c r="N11" s="45"/>
      <c r="O11" s="45"/>
      <c r="P11" s="47"/>
      <c r="Q11" s="45"/>
      <c r="R11" s="45"/>
      <c r="S11" s="45"/>
      <c r="T11" s="45"/>
      <c r="U11" s="45"/>
      <c r="V11" s="45"/>
      <c r="W11" s="47"/>
      <c r="X11" s="45"/>
      <c r="Y11" s="45"/>
      <c r="Z11" s="45"/>
      <c r="AA11" s="45"/>
      <c r="AB11" s="45"/>
      <c r="AC11" s="45"/>
      <c r="AD11" s="47"/>
      <c r="AE11" s="45"/>
      <c r="AF11" s="45"/>
      <c r="AG11" s="45"/>
      <c r="AH11" s="45"/>
      <c r="AI11" s="45"/>
      <c r="AJ11" s="46"/>
      <c r="AK11" s="47"/>
      <c r="AL11" s="45"/>
      <c r="AM11" s="45"/>
      <c r="AN11" s="45"/>
      <c r="AO11" s="45"/>
      <c r="AP11" s="45"/>
      <c r="AQ11" s="46"/>
      <c r="AR11" s="45"/>
      <c r="AS11" s="45"/>
      <c r="AT11" s="45"/>
      <c r="AU11" s="45"/>
      <c r="AV11" s="45"/>
      <c r="AW11" s="45"/>
      <c r="AX11" s="45"/>
      <c r="AY11" s="45"/>
      <c r="AZ11" s="45"/>
      <c r="BA11" s="45"/>
      <c r="BB11" s="45"/>
      <c r="BC11" s="45"/>
      <c r="BD11" s="45"/>
      <c r="BE11" s="45"/>
      <c r="BF11" s="45"/>
      <c r="BG11" s="45"/>
      <c r="BH11" s="47"/>
      <c r="BI11" s="45"/>
      <c r="BJ11" s="45"/>
      <c r="BK11" s="45"/>
      <c r="BL11" s="46"/>
      <c r="BM11" s="13"/>
      <c r="BO11" s="62"/>
      <c r="BS11" s="100"/>
      <c r="BT11" s="101"/>
      <c r="BU11" s="101"/>
      <c r="BV11" s="101"/>
      <c r="BW11" s="101"/>
      <c r="BX11" s="101"/>
      <c r="BY11" s="101"/>
      <c r="BZ11" s="101"/>
      <c r="CA11" s="101"/>
      <c r="CB11" s="101"/>
      <c r="CC11" s="101"/>
      <c r="CD11" s="102"/>
    </row>
    <row r="12" spans="1:82" s="11" customFormat="1" ht="13.5" customHeight="1">
      <c r="A12" s="28"/>
      <c r="B12" s="31"/>
      <c r="C12" s="24"/>
      <c r="D12" s="24"/>
      <c r="E12" s="24"/>
      <c r="F12" s="24"/>
      <c r="G12" s="24"/>
      <c r="H12" s="23"/>
      <c r="I12" s="24"/>
      <c r="J12" s="24"/>
      <c r="K12" s="24"/>
      <c r="L12" s="24"/>
      <c r="M12" s="24"/>
      <c r="N12" s="24"/>
      <c r="O12" s="24"/>
      <c r="P12" s="31"/>
      <c r="Q12" s="24"/>
      <c r="R12" s="24"/>
      <c r="S12" s="24"/>
      <c r="T12" s="24"/>
      <c r="U12" s="24"/>
      <c r="V12" s="24"/>
      <c r="W12" s="31"/>
      <c r="X12" s="24"/>
      <c r="Y12" s="24"/>
      <c r="Z12" s="24"/>
      <c r="AA12" s="24"/>
      <c r="AB12" s="24"/>
      <c r="AC12" s="24"/>
      <c r="AD12" s="31"/>
      <c r="AE12" s="24"/>
      <c r="AF12" s="24"/>
      <c r="AG12" s="24"/>
      <c r="AH12" s="24"/>
      <c r="AI12" s="24"/>
      <c r="AJ12" s="23"/>
      <c r="AK12" s="31"/>
      <c r="AL12" s="24"/>
      <c r="AM12" s="24"/>
      <c r="AN12" s="24"/>
      <c r="AO12" s="24"/>
      <c r="AP12" s="24"/>
      <c r="AQ12" s="23"/>
      <c r="AR12" s="24"/>
      <c r="AS12" s="24"/>
      <c r="AT12" s="24"/>
      <c r="AU12" s="24"/>
      <c r="AV12" s="24"/>
      <c r="AW12" s="24"/>
      <c r="AX12" s="24"/>
      <c r="AY12" s="24"/>
      <c r="AZ12" s="24"/>
      <c r="BA12" s="24"/>
      <c r="BB12" s="24"/>
      <c r="BC12" s="24"/>
      <c r="BD12" s="24"/>
      <c r="BE12" s="24"/>
      <c r="BF12" s="24"/>
      <c r="BG12" s="24"/>
      <c r="BH12" s="31"/>
      <c r="BI12" s="24"/>
      <c r="BJ12" s="24"/>
      <c r="BK12" s="24"/>
      <c r="BL12" s="23"/>
      <c r="BM12" s="13"/>
      <c r="BO12" s="62"/>
      <c r="BS12" s="100"/>
      <c r="BT12" s="101"/>
      <c r="BU12" s="101"/>
      <c r="BV12" s="101"/>
      <c r="BW12" s="101"/>
      <c r="BX12" s="101"/>
      <c r="BY12" s="101"/>
      <c r="BZ12" s="101"/>
      <c r="CA12" s="101"/>
      <c r="CB12" s="101"/>
      <c r="CC12" s="101"/>
      <c r="CD12" s="102"/>
    </row>
    <row r="13" spans="1:82" s="11" customFormat="1" ht="13.5" customHeight="1">
      <c r="A13" s="28"/>
      <c r="B13" s="31"/>
      <c r="C13" s="24"/>
      <c r="D13" s="24"/>
      <c r="E13" s="24"/>
      <c r="F13" s="24"/>
      <c r="G13" s="24"/>
      <c r="H13" s="23"/>
      <c r="I13" s="24"/>
      <c r="J13" s="24"/>
      <c r="K13" s="24"/>
      <c r="L13" s="24"/>
      <c r="M13" s="24"/>
      <c r="N13" s="24"/>
      <c r="O13" s="24"/>
      <c r="P13" s="31"/>
      <c r="Q13" s="24"/>
      <c r="R13" s="24"/>
      <c r="S13" s="24"/>
      <c r="T13" s="24"/>
      <c r="U13" s="24"/>
      <c r="V13" s="24"/>
      <c r="W13" s="31"/>
      <c r="X13" s="24"/>
      <c r="Y13" s="24"/>
      <c r="Z13" s="24"/>
      <c r="AA13" s="24"/>
      <c r="AB13" s="24"/>
      <c r="AC13" s="24"/>
      <c r="AD13" s="31"/>
      <c r="AE13" s="24"/>
      <c r="AF13" s="24"/>
      <c r="AG13" s="24"/>
      <c r="AH13" s="24"/>
      <c r="AI13" s="24"/>
      <c r="AJ13" s="23"/>
      <c r="AK13" s="31"/>
      <c r="AL13" s="24"/>
      <c r="AM13" s="24"/>
      <c r="AN13" s="24"/>
      <c r="AO13" s="24"/>
      <c r="AP13" s="24"/>
      <c r="AQ13" s="23"/>
      <c r="AR13" s="24"/>
      <c r="AS13" s="24"/>
      <c r="AT13" s="24"/>
      <c r="AU13" s="24"/>
      <c r="AV13" s="24"/>
      <c r="AW13" s="24"/>
      <c r="AX13" s="24"/>
      <c r="AY13" s="24"/>
      <c r="AZ13" s="24"/>
      <c r="BA13" s="24"/>
      <c r="BB13" s="24"/>
      <c r="BC13" s="24"/>
      <c r="BD13" s="24"/>
      <c r="BE13" s="24"/>
      <c r="BF13" s="24"/>
      <c r="BG13" s="24"/>
      <c r="BH13" s="31"/>
      <c r="BI13" s="24"/>
      <c r="BJ13" s="24"/>
      <c r="BK13" s="24"/>
      <c r="BL13" s="23"/>
      <c r="BM13" s="13"/>
      <c r="BO13" s="62"/>
      <c r="BS13" s="100"/>
      <c r="BT13" s="101"/>
      <c r="BU13" s="101"/>
      <c r="BV13" s="101"/>
      <c r="BW13" s="101"/>
      <c r="BX13" s="101"/>
      <c r="BY13" s="101"/>
      <c r="BZ13" s="101"/>
      <c r="CA13" s="101"/>
      <c r="CB13" s="101"/>
      <c r="CC13" s="101"/>
      <c r="CD13" s="102"/>
    </row>
    <row r="14" spans="1:82" s="11" customFormat="1" ht="13.5" customHeight="1">
      <c r="A14" s="28"/>
      <c r="B14" s="31"/>
      <c r="C14" s="24"/>
      <c r="D14" s="24"/>
      <c r="E14" s="24"/>
      <c r="F14" s="24"/>
      <c r="G14" s="24"/>
      <c r="H14" s="23"/>
      <c r="I14" s="24"/>
      <c r="J14" s="24"/>
      <c r="K14" s="24"/>
      <c r="L14" s="24"/>
      <c r="M14" s="24"/>
      <c r="N14" s="24"/>
      <c r="O14" s="24"/>
      <c r="P14" s="31"/>
      <c r="Q14" s="24"/>
      <c r="R14" s="24"/>
      <c r="S14" s="24"/>
      <c r="T14" s="24"/>
      <c r="U14" s="24"/>
      <c r="V14" s="24"/>
      <c r="W14" s="31"/>
      <c r="X14" s="24"/>
      <c r="Y14" s="24"/>
      <c r="Z14" s="24"/>
      <c r="AA14" s="24"/>
      <c r="AB14" s="24"/>
      <c r="AC14" s="24"/>
      <c r="AD14" s="31"/>
      <c r="AE14" s="24"/>
      <c r="AF14" s="24"/>
      <c r="AG14" s="24"/>
      <c r="AH14" s="24"/>
      <c r="AI14" s="24"/>
      <c r="AJ14" s="23"/>
      <c r="AK14" s="31"/>
      <c r="AL14" s="24"/>
      <c r="AM14" s="24"/>
      <c r="AN14" s="24"/>
      <c r="AO14" s="24"/>
      <c r="AP14" s="24"/>
      <c r="AQ14" s="23"/>
      <c r="AR14" s="24"/>
      <c r="AS14" s="24"/>
      <c r="AT14" s="24"/>
      <c r="AU14" s="24"/>
      <c r="AV14" s="24"/>
      <c r="AW14" s="24"/>
      <c r="AX14" s="24"/>
      <c r="AY14" s="24"/>
      <c r="AZ14" s="24"/>
      <c r="BA14" s="24"/>
      <c r="BB14" s="24"/>
      <c r="BC14" s="24"/>
      <c r="BD14" s="24"/>
      <c r="BE14" s="24"/>
      <c r="BF14" s="24"/>
      <c r="BG14" s="24"/>
      <c r="BH14" s="31"/>
      <c r="BI14" s="24"/>
      <c r="BJ14" s="24"/>
      <c r="BK14" s="24"/>
      <c r="BL14" s="23"/>
      <c r="BM14" s="13"/>
      <c r="BO14" s="62"/>
      <c r="BS14" s="100"/>
      <c r="BT14" s="101"/>
      <c r="BU14" s="101"/>
      <c r="BV14" s="101"/>
      <c r="BW14" s="101"/>
      <c r="BX14" s="101"/>
      <c r="BY14" s="101"/>
      <c r="BZ14" s="101"/>
      <c r="CA14" s="101"/>
      <c r="CB14" s="101"/>
      <c r="CC14" s="101"/>
      <c r="CD14" s="102"/>
    </row>
    <row r="15" spans="1:82" s="11" customFormat="1" ht="13.5" customHeight="1">
      <c r="A15" s="28"/>
      <c r="B15" s="31"/>
      <c r="C15" s="24"/>
      <c r="D15" s="24"/>
      <c r="E15" s="24"/>
      <c r="F15" s="24"/>
      <c r="G15" s="24"/>
      <c r="H15" s="23"/>
      <c r="I15" s="24"/>
      <c r="J15" s="24"/>
      <c r="K15" s="24"/>
      <c r="L15" s="24"/>
      <c r="M15" s="24"/>
      <c r="N15" s="24"/>
      <c r="O15" s="24"/>
      <c r="P15" s="31"/>
      <c r="Q15" s="24"/>
      <c r="R15" s="24"/>
      <c r="S15" s="24"/>
      <c r="T15" s="24"/>
      <c r="U15" s="24"/>
      <c r="V15" s="24"/>
      <c r="W15" s="31"/>
      <c r="X15" s="24"/>
      <c r="Y15" s="24"/>
      <c r="Z15" s="24"/>
      <c r="AA15" s="24"/>
      <c r="AB15" s="24"/>
      <c r="AC15" s="24"/>
      <c r="AD15" s="31"/>
      <c r="AE15" s="24"/>
      <c r="AF15" s="24"/>
      <c r="AG15" s="24"/>
      <c r="AH15" s="24"/>
      <c r="AI15" s="24"/>
      <c r="AJ15" s="23"/>
      <c r="AK15" s="31"/>
      <c r="AL15" s="24"/>
      <c r="AM15" s="24"/>
      <c r="AN15" s="24"/>
      <c r="AO15" s="24"/>
      <c r="AP15" s="24"/>
      <c r="AQ15" s="23"/>
      <c r="AR15" s="24"/>
      <c r="AS15" s="24"/>
      <c r="AT15" s="24"/>
      <c r="AU15" s="24"/>
      <c r="AV15" s="24"/>
      <c r="AW15" s="24"/>
      <c r="AX15" s="24"/>
      <c r="AY15" s="24"/>
      <c r="AZ15" s="24"/>
      <c r="BA15" s="24"/>
      <c r="BB15" s="24"/>
      <c r="BC15" s="24"/>
      <c r="BD15" s="24"/>
      <c r="BE15" s="24"/>
      <c r="BF15" s="24"/>
      <c r="BG15" s="24"/>
      <c r="BH15" s="31"/>
      <c r="BI15" s="24"/>
      <c r="BJ15" s="24"/>
      <c r="BK15" s="24"/>
      <c r="BL15" s="23"/>
      <c r="BM15" s="13"/>
      <c r="BO15" s="62"/>
      <c r="BS15" s="100"/>
      <c r="BT15" s="101"/>
      <c r="BU15" s="101"/>
      <c r="BV15" s="101"/>
      <c r="BW15" s="101"/>
      <c r="BX15" s="101"/>
      <c r="BY15" s="101"/>
      <c r="BZ15" s="101"/>
      <c r="CA15" s="101"/>
      <c r="CB15" s="101"/>
      <c r="CC15" s="101"/>
      <c r="CD15" s="102"/>
    </row>
    <row r="16" spans="1:82" s="11" customFormat="1" ht="13.5" customHeight="1">
      <c r="A16" s="28"/>
      <c r="B16" s="31"/>
      <c r="C16" s="24"/>
      <c r="D16" s="24"/>
      <c r="E16" s="24"/>
      <c r="F16" s="24"/>
      <c r="G16" s="24"/>
      <c r="H16" s="23"/>
      <c r="I16" s="24"/>
      <c r="J16" s="24"/>
      <c r="K16" s="24"/>
      <c r="L16" s="24"/>
      <c r="M16" s="24"/>
      <c r="N16" s="24"/>
      <c r="O16" s="24"/>
      <c r="P16" s="31"/>
      <c r="Q16" s="24"/>
      <c r="R16" s="24"/>
      <c r="S16" s="24"/>
      <c r="T16" s="24"/>
      <c r="U16" s="24"/>
      <c r="V16" s="24"/>
      <c r="W16" s="31"/>
      <c r="X16" s="24"/>
      <c r="Y16" s="24"/>
      <c r="Z16" s="24"/>
      <c r="AA16" s="24"/>
      <c r="AB16" s="24"/>
      <c r="AC16" s="24"/>
      <c r="AD16" s="31"/>
      <c r="AE16" s="24"/>
      <c r="AF16" s="24"/>
      <c r="AG16" s="24"/>
      <c r="AH16" s="24"/>
      <c r="AI16" s="24"/>
      <c r="AJ16" s="23"/>
      <c r="AK16" s="31"/>
      <c r="AL16" s="24"/>
      <c r="AM16" s="24"/>
      <c r="AN16" s="24"/>
      <c r="AO16" s="24"/>
      <c r="AP16" s="24"/>
      <c r="AQ16" s="23"/>
      <c r="AR16" s="24"/>
      <c r="AV16" s="8"/>
      <c r="AW16" s="8"/>
      <c r="AX16" s="24"/>
      <c r="AY16" s="24"/>
      <c r="AZ16" s="24"/>
      <c r="BA16" s="24"/>
      <c r="BB16" s="24"/>
      <c r="BC16" s="24"/>
      <c r="BD16" s="24"/>
      <c r="BE16" s="24"/>
      <c r="BF16" s="24"/>
      <c r="BG16" s="24"/>
      <c r="BH16" s="31"/>
      <c r="BI16" s="24"/>
      <c r="BJ16" s="24"/>
      <c r="BK16" s="24"/>
      <c r="BL16" s="23"/>
      <c r="BM16" s="13"/>
      <c r="BO16" s="62"/>
      <c r="BS16" s="100"/>
      <c r="BT16" s="101"/>
      <c r="BU16" s="101"/>
      <c r="BV16" s="101"/>
      <c r="BW16" s="101"/>
      <c r="BX16" s="101"/>
      <c r="BY16" s="101"/>
      <c r="BZ16" s="101"/>
      <c r="CA16" s="101"/>
      <c r="CB16" s="101"/>
      <c r="CC16" s="101"/>
      <c r="CD16" s="102"/>
    </row>
    <row r="17" spans="1:82" s="11" customFormat="1" ht="13.5" customHeight="1">
      <c r="A17" s="28"/>
      <c r="B17" s="31"/>
      <c r="C17" s="24"/>
      <c r="D17" s="24"/>
      <c r="E17" s="24"/>
      <c r="F17" s="24"/>
      <c r="G17" s="24"/>
      <c r="H17" s="23"/>
      <c r="I17" s="24"/>
      <c r="J17" s="24"/>
      <c r="K17" s="24"/>
      <c r="L17" s="24"/>
      <c r="M17" s="24"/>
      <c r="N17" s="24"/>
      <c r="O17" s="24"/>
      <c r="P17" s="31"/>
      <c r="Q17" s="24"/>
      <c r="R17" s="24"/>
      <c r="S17" s="24"/>
      <c r="T17" s="24"/>
      <c r="U17" s="24"/>
      <c r="V17" s="24"/>
      <c r="W17" s="31"/>
      <c r="X17" s="24"/>
      <c r="Y17" s="24"/>
      <c r="Z17" s="24"/>
      <c r="AA17" s="24"/>
      <c r="AB17" s="24"/>
      <c r="AC17" s="24"/>
      <c r="AD17" s="31"/>
      <c r="AE17" s="24"/>
      <c r="AF17" s="24"/>
      <c r="AG17" s="24"/>
      <c r="AH17" s="24"/>
      <c r="AI17" s="24"/>
      <c r="AJ17" s="23"/>
      <c r="AK17" s="31"/>
      <c r="AL17" s="24"/>
      <c r="AM17" s="24"/>
      <c r="AN17" s="24"/>
      <c r="AO17" s="24"/>
      <c r="AP17" s="24"/>
      <c r="AQ17" s="23"/>
      <c r="AR17" s="24"/>
      <c r="AS17" s="25"/>
      <c r="AU17" s="8"/>
      <c r="AV17" s="8"/>
      <c r="AW17" s="8"/>
      <c r="AX17" s="24"/>
      <c r="AY17" s="24"/>
      <c r="AZ17" s="24"/>
      <c r="BA17" s="24"/>
      <c r="BB17" s="24"/>
      <c r="BC17" s="24"/>
      <c r="BD17" s="24"/>
      <c r="BE17" s="24"/>
      <c r="BF17" s="24"/>
      <c r="BG17" s="24"/>
      <c r="BH17" s="27" t="s">
        <v>160</v>
      </c>
      <c r="BI17" s="24"/>
      <c r="BJ17" s="24"/>
      <c r="BK17" s="24"/>
      <c r="BL17" s="23"/>
      <c r="BM17" s="13"/>
      <c r="BO17" s="175"/>
      <c r="BP17" s="374"/>
      <c r="BQ17" s="374"/>
      <c r="BR17" s="375"/>
      <c r="BS17" s="100"/>
      <c r="BT17" s="101"/>
      <c r="BU17" s="101"/>
      <c r="BV17" s="101"/>
      <c r="BW17" s="101"/>
      <c r="BX17" s="101"/>
      <c r="BY17" s="101"/>
      <c r="BZ17" s="101"/>
      <c r="CA17" s="101"/>
      <c r="CB17" s="101"/>
      <c r="CC17" s="101"/>
      <c r="CD17" s="102"/>
    </row>
    <row r="18" spans="1:82" s="11" customFormat="1" ht="13.5" customHeight="1">
      <c r="A18" s="28"/>
      <c r="B18" s="31"/>
      <c r="C18" s="24"/>
      <c r="D18" s="24"/>
      <c r="E18" s="24"/>
      <c r="F18" s="24"/>
      <c r="G18" s="24"/>
      <c r="H18" s="23"/>
      <c r="I18" s="24"/>
      <c r="J18" s="24"/>
      <c r="K18" s="24"/>
      <c r="L18" s="24"/>
      <c r="M18" s="24"/>
      <c r="N18" s="24"/>
      <c r="O18" s="24"/>
      <c r="P18" s="31"/>
      <c r="Q18" s="24"/>
      <c r="R18" s="24"/>
      <c r="S18" s="24"/>
      <c r="T18" s="24"/>
      <c r="U18" s="24"/>
      <c r="V18" s="24"/>
      <c r="W18" s="31"/>
      <c r="X18" s="24"/>
      <c r="Y18" s="24"/>
      <c r="Z18" s="24"/>
      <c r="AA18" s="24"/>
      <c r="AB18" s="24"/>
      <c r="AC18" s="24"/>
      <c r="AD18" s="31"/>
      <c r="AE18" s="24"/>
      <c r="AF18" s="24"/>
      <c r="AG18" s="24"/>
      <c r="AH18" s="24"/>
      <c r="AI18" s="24"/>
      <c r="AJ18" s="23"/>
      <c r="AK18" s="31"/>
      <c r="AL18" s="24"/>
      <c r="AM18" s="24"/>
      <c r="AN18" s="24"/>
      <c r="AO18" s="24"/>
      <c r="AP18" s="24"/>
      <c r="AQ18" s="23"/>
      <c r="AR18" s="24"/>
      <c r="AS18" s="25" t="s">
        <v>245</v>
      </c>
      <c r="AV18" s="8"/>
      <c r="AW18" s="24"/>
      <c r="AX18" s="24"/>
      <c r="AY18" s="24"/>
      <c r="AZ18" s="24"/>
      <c r="BA18" s="24"/>
      <c r="BB18" s="24"/>
      <c r="BC18" s="24"/>
      <c r="BD18" s="24"/>
      <c r="BE18" s="24"/>
      <c r="BF18" s="24"/>
      <c r="BG18" s="24"/>
      <c r="BH18" s="31"/>
      <c r="BI18" s="24"/>
      <c r="BJ18" s="24"/>
      <c r="BK18" s="24"/>
      <c r="BL18" s="23"/>
      <c r="BM18" s="13"/>
      <c r="BO18" s="376"/>
      <c r="BP18" s="374"/>
      <c r="BQ18" s="374"/>
      <c r="BR18" s="375"/>
      <c r="BS18" s="100"/>
      <c r="BT18" s="101"/>
      <c r="BU18" s="101"/>
      <c r="BV18" s="101"/>
      <c r="BW18" s="101"/>
      <c r="BX18" s="101"/>
      <c r="BY18" s="101"/>
      <c r="BZ18" s="101"/>
      <c r="CA18" s="101"/>
      <c r="CB18" s="101"/>
      <c r="CC18" s="101"/>
      <c r="CD18" s="102"/>
    </row>
    <row r="19" spans="1:82" s="11" customFormat="1" ht="13.5" customHeight="1">
      <c r="A19" s="28"/>
      <c r="B19" s="31"/>
      <c r="C19" s="24"/>
      <c r="D19" s="24"/>
      <c r="E19" s="24"/>
      <c r="F19" s="24"/>
      <c r="G19" s="24"/>
      <c r="H19" s="23"/>
      <c r="I19" s="24"/>
      <c r="J19" s="24"/>
      <c r="K19" s="24"/>
      <c r="L19" s="24"/>
      <c r="M19" s="24"/>
      <c r="N19" s="24"/>
      <c r="O19" s="24"/>
      <c r="P19" s="31"/>
      <c r="Q19" s="24"/>
      <c r="R19" s="24"/>
      <c r="S19" s="24"/>
      <c r="T19" s="24"/>
      <c r="U19" s="24"/>
      <c r="V19" s="24"/>
      <c r="W19" s="31"/>
      <c r="X19" s="24"/>
      <c r="Y19" s="24"/>
      <c r="Z19" s="24"/>
      <c r="AA19" s="24"/>
      <c r="AB19" s="24"/>
      <c r="AC19" s="24"/>
      <c r="AD19" s="31"/>
      <c r="AE19" s="24"/>
      <c r="AF19" s="24"/>
      <c r="AG19" s="24"/>
      <c r="AH19" s="24"/>
      <c r="AI19" s="24"/>
      <c r="AJ19" s="23"/>
      <c r="AK19" s="31"/>
      <c r="AL19" s="24"/>
      <c r="AM19" s="24"/>
      <c r="AN19" s="24"/>
      <c r="AO19" s="24"/>
      <c r="AP19" s="24"/>
      <c r="AQ19" s="23"/>
      <c r="AR19" s="24"/>
      <c r="AT19" s="8" t="s">
        <v>246</v>
      </c>
      <c r="AV19" s="8"/>
      <c r="AW19" s="24"/>
      <c r="AX19" s="24"/>
      <c r="AY19" s="24"/>
      <c r="AZ19" s="24"/>
      <c r="BA19" s="24"/>
      <c r="BB19" s="24"/>
      <c r="BC19" s="24"/>
      <c r="BD19" s="24"/>
      <c r="BE19" s="24"/>
      <c r="BF19" s="24"/>
      <c r="BG19" s="24"/>
      <c r="BH19" s="31"/>
      <c r="BI19" s="24"/>
      <c r="BJ19" s="24"/>
      <c r="BK19" s="24"/>
      <c r="BL19" s="23"/>
      <c r="BM19" s="13"/>
      <c r="BO19" s="376"/>
      <c r="BP19" s="374"/>
      <c r="BQ19" s="374"/>
      <c r="BR19" s="375"/>
      <c r="BS19" s="100"/>
      <c r="BT19" s="101"/>
      <c r="BU19" s="101"/>
      <c r="BV19" s="101"/>
      <c r="BW19" s="101"/>
      <c r="BX19" s="101"/>
      <c r="BY19" s="101"/>
      <c r="BZ19" s="101"/>
      <c r="CA19" s="101"/>
      <c r="CB19" s="101"/>
      <c r="CC19" s="101"/>
      <c r="CD19" s="102"/>
    </row>
    <row r="20" spans="1:82" s="11" customFormat="1" ht="13.5" customHeight="1">
      <c r="A20" s="28"/>
      <c r="B20" s="31"/>
      <c r="C20" s="24"/>
      <c r="D20" s="24"/>
      <c r="E20" s="24"/>
      <c r="F20" s="24"/>
      <c r="G20" s="24"/>
      <c r="H20" s="23"/>
      <c r="I20" s="24"/>
      <c r="J20" s="24"/>
      <c r="K20" s="24"/>
      <c r="L20" s="24"/>
      <c r="M20" s="24"/>
      <c r="N20" s="24"/>
      <c r="O20" s="24"/>
      <c r="P20" s="31"/>
      <c r="Q20" s="24"/>
      <c r="R20" s="24"/>
      <c r="S20" s="24"/>
      <c r="T20" s="24"/>
      <c r="U20" s="24"/>
      <c r="V20" s="24"/>
      <c r="W20" s="31"/>
      <c r="X20" s="24"/>
      <c r="Y20" s="24"/>
      <c r="Z20" s="24"/>
      <c r="AA20" s="24"/>
      <c r="AB20" s="24"/>
      <c r="AC20" s="24"/>
      <c r="AD20" s="31"/>
      <c r="AE20" s="24"/>
      <c r="AF20" s="24"/>
      <c r="AG20" s="24"/>
      <c r="AH20" s="24"/>
      <c r="AI20" s="24"/>
      <c r="AJ20" s="23"/>
      <c r="AK20" s="31"/>
      <c r="AL20" s="24"/>
      <c r="AM20" s="24"/>
      <c r="AN20" s="24"/>
      <c r="AO20" s="24"/>
      <c r="AP20" s="24"/>
      <c r="AQ20" s="23"/>
      <c r="AR20" s="24"/>
      <c r="AS20" s="24"/>
      <c r="AT20" s="90" t="s">
        <v>247</v>
      </c>
      <c r="AU20" s="24"/>
      <c r="AV20" s="24"/>
      <c r="AW20" s="24"/>
      <c r="AX20" s="24"/>
      <c r="AY20" s="24"/>
      <c r="AZ20" s="24"/>
      <c r="BA20" s="24"/>
      <c r="BB20" s="24"/>
      <c r="BC20" s="24"/>
      <c r="BD20" s="24"/>
      <c r="BE20" s="24"/>
      <c r="BF20" s="24"/>
      <c r="BG20" s="24"/>
      <c r="BH20" s="31"/>
      <c r="BI20" s="24"/>
      <c r="BJ20" s="24"/>
      <c r="BK20" s="24"/>
      <c r="BL20" s="23"/>
      <c r="BM20" s="13"/>
      <c r="BO20" s="376"/>
      <c r="BP20" s="374"/>
      <c r="BQ20" s="374"/>
      <c r="BR20" s="375"/>
      <c r="BS20" s="100"/>
      <c r="BT20" s="101"/>
      <c r="BU20" s="101"/>
      <c r="BV20" s="101"/>
      <c r="BW20" s="101"/>
      <c r="BX20" s="101"/>
      <c r="BY20" s="101"/>
      <c r="BZ20" s="101"/>
      <c r="CA20" s="101"/>
      <c r="CB20" s="101"/>
      <c r="CC20" s="101"/>
      <c r="CD20" s="102"/>
    </row>
    <row r="21" spans="1:82" s="11" customFormat="1" ht="13.5" customHeight="1">
      <c r="A21" s="28"/>
      <c r="B21" s="31"/>
      <c r="C21" s="24"/>
      <c r="D21" s="24"/>
      <c r="E21" s="24"/>
      <c r="F21" s="24"/>
      <c r="G21" s="24"/>
      <c r="H21" s="23"/>
      <c r="I21" s="24"/>
      <c r="J21" s="24"/>
      <c r="K21" s="24"/>
      <c r="L21" s="24"/>
      <c r="M21" s="24"/>
      <c r="N21" s="24"/>
      <c r="O21" s="24"/>
      <c r="P21" s="31"/>
      <c r="Q21" s="24"/>
      <c r="R21" s="24"/>
      <c r="S21" s="24"/>
      <c r="T21" s="24"/>
      <c r="U21" s="24"/>
      <c r="V21" s="24"/>
      <c r="W21" s="31"/>
      <c r="X21" s="24"/>
      <c r="Y21" s="24"/>
      <c r="Z21" s="24"/>
      <c r="AA21" s="24"/>
      <c r="AB21" s="24"/>
      <c r="AC21" s="24"/>
      <c r="AD21" s="31"/>
      <c r="AE21" s="24"/>
      <c r="AF21" s="24"/>
      <c r="AG21" s="24"/>
      <c r="AH21" s="24"/>
      <c r="AI21" s="24"/>
      <c r="AJ21" s="23"/>
      <c r="AK21" s="31"/>
      <c r="AL21" s="24"/>
      <c r="AM21" s="24"/>
      <c r="AN21" s="24"/>
      <c r="AO21" s="24"/>
      <c r="AP21" s="24"/>
      <c r="AQ21" s="23"/>
      <c r="AR21" s="24"/>
      <c r="AS21" s="24"/>
      <c r="AT21" s="48" t="s">
        <v>128</v>
      </c>
      <c r="AU21" s="49"/>
      <c r="AV21" s="49"/>
      <c r="AW21" s="49"/>
      <c r="AX21" s="49"/>
      <c r="AY21" s="49"/>
      <c r="AZ21" s="49"/>
      <c r="BA21" s="50"/>
      <c r="BB21" s="24"/>
      <c r="BC21" s="24"/>
      <c r="BD21" s="24"/>
      <c r="BE21" s="24"/>
      <c r="BF21" s="24"/>
      <c r="BG21" s="24"/>
      <c r="BH21" s="31"/>
      <c r="BI21" s="24"/>
      <c r="BJ21" s="24"/>
      <c r="BK21" s="24"/>
      <c r="BL21" s="23"/>
      <c r="BM21" s="13"/>
      <c r="BO21" s="376"/>
      <c r="BP21" s="374"/>
      <c r="BQ21" s="374"/>
      <c r="BR21" s="375"/>
      <c r="BS21" s="100"/>
      <c r="BT21" s="101"/>
      <c r="BU21" s="101"/>
      <c r="BV21" s="101"/>
      <c r="BW21" s="101"/>
      <c r="BX21" s="101"/>
      <c r="BY21" s="101"/>
      <c r="BZ21" s="101"/>
      <c r="CA21" s="101"/>
      <c r="CB21" s="101"/>
      <c r="CC21" s="101"/>
      <c r="CD21" s="102"/>
    </row>
    <row r="22" spans="1:82" s="11" customFormat="1" ht="13.5" customHeight="1">
      <c r="A22" s="28"/>
      <c r="B22" s="31"/>
      <c r="C22" s="24"/>
      <c r="D22" s="24"/>
      <c r="E22" s="24"/>
      <c r="F22" s="24"/>
      <c r="G22" s="24"/>
      <c r="H22" s="23"/>
      <c r="I22" s="24"/>
      <c r="J22" s="24"/>
      <c r="K22" s="24"/>
      <c r="L22" s="24"/>
      <c r="M22" s="24"/>
      <c r="N22" s="24"/>
      <c r="O22" s="24"/>
      <c r="P22" s="31"/>
      <c r="Q22" s="24"/>
      <c r="R22" s="24"/>
      <c r="S22" s="24"/>
      <c r="T22" s="24"/>
      <c r="U22" s="24"/>
      <c r="V22" s="24"/>
      <c r="W22" s="31"/>
      <c r="X22" s="24"/>
      <c r="Y22" s="24"/>
      <c r="Z22" s="24"/>
      <c r="AA22" s="24"/>
      <c r="AB22" s="24"/>
      <c r="AC22" s="24"/>
      <c r="AD22" s="31"/>
      <c r="AE22" s="24"/>
      <c r="AF22" s="24"/>
      <c r="AG22" s="24"/>
      <c r="AH22" s="24"/>
      <c r="AI22" s="24"/>
      <c r="AJ22" s="23"/>
      <c r="AK22" s="31"/>
      <c r="AL22" s="24"/>
      <c r="AM22" s="24"/>
      <c r="AN22" s="24"/>
      <c r="AO22" s="24"/>
      <c r="AP22" s="24"/>
      <c r="AQ22" s="23"/>
      <c r="AR22" s="24"/>
      <c r="AS22" s="24"/>
      <c r="AT22" s="79" t="s">
        <v>248</v>
      </c>
      <c r="AU22" s="58"/>
      <c r="AV22" s="58"/>
      <c r="AW22" s="74"/>
      <c r="AX22" s="79" t="s">
        <v>249</v>
      </c>
      <c r="AY22" s="58"/>
      <c r="AZ22" s="58"/>
      <c r="BA22" s="74"/>
      <c r="BB22" s="24"/>
      <c r="BC22" s="24"/>
      <c r="BD22" s="24"/>
      <c r="BE22" s="24"/>
      <c r="BF22" s="24"/>
      <c r="BG22" s="24"/>
      <c r="BH22" s="31"/>
      <c r="BI22" s="24"/>
      <c r="BJ22" s="24"/>
      <c r="BK22" s="24"/>
      <c r="BL22" s="23"/>
      <c r="BM22" s="13"/>
      <c r="BO22" s="376"/>
      <c r="BP22" s="374"/>
      <c r="BQ22" s="374"/>
      <c r="BR22" s="375"/>
      <c r="BS22" s="103"/>
      <c r="BT22" s="104"/>
      <c r="BU22" s="104"/>
      <c r="BV22" s="104"/>
      <c r="BW22" s="104"/>
      <c r="BX22" s="104"/>
      <c r="BY22" s="104"/>
      <c r="BZ22" s="104"/>
      <c r="CA22" s="104"/>
      <c r="CB22" s="104"/>
      <c r="CC22" s="104"/>
      <c r="CD22" s="105"/>
    </row>
    <row r="23" spans="1:82" s="11" customFormat="1" ht="13.5" customHeight="1">
      <c r="A23" s="28"/>
      <c r="B23" s="31"/>
      <c r="C23" s="24"/>
      <c r="D23" s="24"/>
      <c r="E23" s="24"/>
      <c r="F23" s="24"/>
      <c r="G23" s="24"/>
      <c r="H23" s="23"/>
      <c r="I23" s="24"/>
      <c r="J23" s="24"/>
      <c r="K23" s="24"/>
      <c r="L23" s="24"/>
      <c r="M23" s="24"/>
      <c r="N23" s="24"/>
      <c r="O23" s="24"/>
      <c r="P23" s="31"/>
      <c r="Q23" s="24"/>
      <c r="R23" s="24"/>
      <c r="S23" s="24"/>
      <c r="T23" s="24"/>
      <c r="U23" s="24"/>
      <c r="V23" s="24"/>
      <c r="W23" s="31"/>
      <c r="X23" s="24"/>
      <c r="Y23" s="24"/>
      <c r="Z23" s="24"/>
      <c r="AA23" s="24"/>
      <c r="AB23" s="24"/>
      <c r="AC23" s="24"/>
      <c r="AD23" s="31"/>
      <c r="AE23" s="24"/>
      <c r="AF23" s="24"/>
      <c r="AG23" s="24"/>
      <c r="AH23" s="24"/>
      <c r="AI23" s="24"/>
      <c r="AJ23" s="23"/>
      <c r="AK23" s="31"/>
      <c r="AL23" s="24"/>
      <c r="AM23" s="24"/>
      <c r="AN23" s="24"/>
      <c r="AO23" s="24"/>
      <c r="AP23" s="24"/>
      <c r="AQ23" s="23"/>
      <c r="AR23" s="24"/>
      <c r="AS23" s="24"/>
      <c r="AT23" s="115"/>
      <c r="AU23" s="115"/>
      <c r="AV23" s="24"/>
      <c r="AW23" s="24"/>
      <c r="AX23" s="24"/>
      <c r="AY23" s="24"/>
      <c r="AZ23" s="24"/>
      <c r="BA23" s="24"/>
      <c r="BB23" s="24"/>
      <c r="BC23" s="24"/>
      <c r="BD23" s="24"/>
      <c r="BE23" s="24"/>
      <c r="BF23" s="24"/>
      <c r="BG23" s="24"/>
      <c r="BH23" s="31"/>
      <c r="BI23" s="24"/>
      <c r="BJ23" s="24"/>
      <c r="BK23" s="24"/>
      <c r="BL23" s="23"/>
      <c r="BM23" s="13"/>
      <c r="BO23" s="62"/>
      <c r="BS23" s="103"/>
      <c r="BT23" s="104"/>
      <c r="BU23" s="104"/>
      <c r="BV23" s="104"/>
      <c r="BW23" s="104"/>
      <c r="BX23" s="104"/>
      <c r="BY23" s="104"/>
      <c r="BZ23" s="104"/>
      <c r="CA23" s="104"/>
      <c r="CB23" s="104"/>
      <c r="CC23" s="104"/>
      <c r="CD23" s="105"/>
    </row>
    <row r="24" spans="1:82" s="11" customFormat="1" ht="13.5" customHeight="1">
      <c r="A24" s="28"/>
      <c r="B24" s="31"/>
      <c r="C24" s="24"/>
      <c r="D24" s="24"/>
      <c r="E24" s="24"/>
      <c r="F24" s="24"/>
      <c r="G24" s="24"/>
      <c r="H24" s="23"/>
      <c r="I24" s="24"/>
      <c r="J24" s="24"/>
      <c r="K24" s="24"/>
      <c r="L24" s="24"/>
      <c r="M24" s="24"/>
      <c r="N24" s="24"/>
      <c r="O24" s="24"/>
      <c r="P24" s="31"/>
      <c r="Q24" s="24"/>
      <c r="R24" s="24"/>
      <c r="S24" s="24"/>
      <c r="T24" s="24"/>
      <c r="U24" s="24"/>
      <c r="V24" s="24"/>
      <c r="W24" s="31"/>
      <c r="X24" s="24"/>
      <c r="Y24" s="24"/>
      <c r="Z24" s="24"/>
      <c r="AA24" s="24"/>
      <c r="AB24" s="24"/>
      <c r="AC24" s="24"/>
      <c r="AD24" s="31"/>
      <c r="AE24" s="24"/>
      <c r="AF24" s="24"/>
      <c r="AG24" s="24"/>
      <c r="AH24" s="24"/>
      <c r="AI24" s="24"/>
      <c r="AJ24" s="23"/>
      <c r="AK24" s="31"/>
      <c r="AL24" s="24"/>
      <c r="AM24" s="24"/>
      <c r="AN24" s="24"/>
      <c r="AO24" s="24"/>
      <c r="AP24" s="24"/>
      <c r="AQ24" s="23"/>
      <c r="AR24" s="24"/>
      <c r="AS24" s="24"/>
      <c r="AT24" s="24"/>
      <c r="AU24" s="24"/>
      <c r="AV24" s="24"/>
      <c r="AW24" s="24"/>
      <c r="AX24" s="24"/>
      <c r="AY24" s="24"/>
      <c r="AZ24" s="24"/>
      <c r="BA24" s="24"/>
      <c r="BB24" s="24"/>
      <c r="BC24" s="24"/>
      <c r="BD24" s="24"/>
      <c r="BE24" s="24"/>
      <c r="BF24" s="24"/>
      <c r="BG24" s="24"/>
      <c r="BH24" s="31"/>
      <c r="BI24" s="24"/>
      <c r="BJ24" s="24"/>
      <c r="BK24" s="24"/>
      <c r="BL24" s="23"/>
      <c r="BM24" s="13"/>
      <c r="BO24" s="62"/>
      <c r="BS24" s="103"/>
      <c r="BT24" s="104"/>
      <c r="BU24" s="104"/>
      <c r="BV24" s="104"/>
      <c r="BW24" s="104"/>
      <c r="BX24" s="104"/>
      <c r="BY24" s="104"/>
      <c r="BZ24" s="104"/>
      <c r="CA24" s="104"/>
      <c r="CB24" s="104"/>
      <c r="CC24" s="104"/>
      <c r="CD24" s="105"/>
    </row>
    <row r="25" spans="1:82" s="11" customFormat="1" ht="13.5" customHeight="1">
      <c r="A25" s="28"/>
      <c r="B25" s="31"/>
      <c r="C25" s="24"/>
      <c r="D25" s="24"/>
      <c r="E25" s="24"/>
      <c r="F25" s="24"/>
      <c r="G25" s="24"/>
      <c r="H25" s="23"/>
      <c r="I25" s="24"/>
      <c r="J25" s="24"/>
      <c r="K25" s="24"/>
      <c r="L25" s="24"/>
      <c r="M25" s="24"/>
      <c r="N25" s="24"/>
      <c r="O25" s="24"/>
      <c r="P25" s="31"/>
      <c r="Q25" s="24"/>
      <c r="R25" s="24"/>
      <c r="S25" s="24"/>
      <c r="T25" s="24"/>
      <c r="U25" s="24"/>
      <c r="V25" s="24"/>
      <c r="W25" s="31"/>
      <c r="X25" s="24"/>
      <c r="Y25" s="24"/>
      <c r="Z25" s="24"/>
      <c r="AA25" s="24"/>
      <c r="AB25" s="24"/>
      <c r="AC25" s="24"/>
      <c r="AD25" s="31"/>
      <c r="AE25" s="24"/>
      <c r="AF25" s="24"/>
      <c r="AG25" s="24"/>
      <c r="AH25" s="24"/>
      <c r="AI25" s="24"/>
      <c r="AJ25" s="23"/>
      <c r="AK25" s="31"/>
      <c r="AL25" s="24"/>
      <c r="AM25" s="24"/>
      <c r="AN25" s="24"/>
      <c r="AO25" s="24"/>
      <c r="AP25" s="24"/>
      <c r="AQ25" s="23"/>
      <c r="AR25" s="24"/>
      <c r="AS25" s="24"/>
      <c r="AT25" s="24"/>
      <c r="AU25" s="24"/>
      <c r="AV25" s="24"/>
      <c r="AW25" s="24"/>
      <c r="AX25" s="24"/>
      <c r="AY25" s="24"/>
      <c r="AZ25" s="24"/>
      <c r="BA25" s="24"/>
      <c r="BB25" s="24"/>
      <c r="BC25" s="24"/>
      <c r="BD25" s="24"/>
      <c r="BE25" s="24"/>
      <c r="BF25" s="24"/>
      <c r="BG25" s="24"/>
      <c r="BH25" s="31"/>
      <c r="BI25" s="24"/>
      <c r="BJ25" s="24"/>
      <c r="BK25" s="24"/>
      <c r="BL25" s="23"/>
      <c r="BM25" s="13"/>
      <c r="BO25" s="62"/>
      <c r="BS25" s="103"/>
      <c r="BT25" s="104"/>
      <c r="BU25" s="104"/>
      <c r="BV25" s="104"/>
      <c r="BW25" s="104"/>
      <c r="BX25" s="104"/>
      <c r="BY25" s="104"/>
      <c r="BZ25" s="104"/>
      <c r="CA25" s="104"/>
      <c r="CB25" s="104"/>
      <c r="CC25" s="104"/>
      <c r="CD25" s="105"/>
    </row>
    <row r="26" spans="1:82" s="11" customFormat="1" ht="13.5" customHeight="1">
      <c r="A26" s="28"/>
      <c r="B26" s="31"/>
      <c r="C26" s="24"/>
      <c r="D26" s="24"/>
      <c r="E26" s="24"/>
      <c r="F26" s="24"/>
      <c r="G26" s="24"/>
      <c r="H26" s="23"/>
      <c r="I26" s="24"/>
      <c r="J26" s="24"/>
      <c r="K26" s="24"/>
      <c r="L26" s="24"/>
      <c r="M26" s="24"/>
      <c r="N26" s="24"/>
      <c r="O26" s="24"/>
      <c r="P26" s="31"/>
      <c r="Q26" s="24"/>
      <c r="R26" s="24"/>
      <c r="S26" s="24"/>
      <c r="T26" s="24"/>
      <c r="U26" s="24"/>
      <c r="V26" s="24"/>
      <c r="W26" s="31"/>
      <c r="X26" s="24"/>
      <c r="Y26" s="24"/>
      <c r="Z26" s="24"/>
      <c r="AA26" s="24"/>
      <c r="AB26" s="24"/>
      <c r="AC26" s="24"/>
      <c r="AD26" s="31"/>
      <c r="AE26" s="24"/>
      <c r="AF26" s="24"/>
      <c r="AG26" s="24"/>
      <c r="AH26" s="24"/>
      <c r="AI26" s="24"/>
      <c r="AJ26" s="23"/>
      <c r="AK26" s="31"/>
      <c r="AL26" s="24"/>
      <c r="AM26" s="24"/>
      <c r="AN26" s="24"/>
      <c r="AO26" s="24"/>
      <c r="AP26" s="24"/>
      <c r="AQ26" s="23"/>
      <c r="AR26" s="24"/>
      <c r="AS26" s="24"/>
      <c r="AT26" s="24"/>
      <c r="AU26" s="24"/>
      <c r="AV26" s="24"/>
      <c r="AW26" s="24"/>
      <c r="AX26" s="24"/>
      <c r="AY26" s="24"/>
      <c r="AZ26" s="24"/>
      <c r="BA26" s="24"/>
      <c r="BB26" s="24"/>
      <c r="BC26" s="24"/>
      <c r="BD26" s="24"/>
      <c r="BE26" s="24"/>
      <c r="BF26" s="24"/>
      <c r="BG26" s="24"/>
      <c r="BH26" s="31"/>
      <c r="BI26" s="24"/>
      <c r="BJ26" s="24"/>
      <c r="BK26" s="24"/>
      <c r="BL26" s="23"/>
      <c r="BM26" s="13"/>
      <c r="BO26" s="62"/>
      <c r="BS26" s="103"/>
      <c r="BT26" s="104"/>
      <c r="BU26" s="104"/>
      <c r="BV26" s="104"/>
      <c r="BW26" s="104"/>
      <c r="BX26" s="104"/>
      <c r="BY26" s="104"/>
      <c r="BZ26" s="104"/>
      <c r="CA26" s="104"/>
      <c r="CB26" s="104"/>
      <c r="CC26" s="104"/>
      <c r="CD26" s="105"/>
    </row>
    <row r="27" spans="1:82" s="11" customFormat="1" ht="13.5" customHeight="1">
      <c r="A27" s="28"/>
      <c r="B27" s="31"/>
      <c r="C27" s="24"/>
      <c r="D27" s="24"/>
      <c r="E27" s="24"/>
      <c r="F27" s="24"/>
      <c r="G27" s="24"/>
      <c r="H27" s="23"/>
      <c r="I27" s="24"/>
      <c r="J27" s="24"/>
      <c r="K27" s="24"/>
      <c r="L27" s="24"/>
      <c r="M27" s="24"/>
      <c r="N27" s="24"/>
      <c r="O27" s="24"/>
      <c r="P27" s="31"/>
      <c r="Q27" s="24"/>
      <c r="R27" s="24"/>
      <c r="S27" s="24"/>
      <c r="T27" s="24"/>
      <c r="U27" s="24"/>
      <c r="V27" s="24"/>
      <c r="W27" s="31"/>
      <c r="X27" s="24"/>
      <c r="Y27" s="24"/>
      <c r="Z27" s="24"/>
      <c r="AA27" s="24"/>
      <c r="AB27" s="24"/>
      <c r="AC27" s="24"/>
      <c r="AD27" s="31"/>
      <c r="AE27" s="24"/>
      <c r="AF27" s="24"/>
      <c r="AG27" s="24"/>
      <c r="AH27" s="24"/>
      <c r="AI27" s="24"/>
      <c r="AJ27" s="23"/>
      <c r="AK27" s="31"/>
      <c r="AL27" s="24"/>
      <c r="AM27" s="24"/>
      <c r="AN27" s="24"/>
      <c r="AO27" s="24"/>
      <c r="AP27" s="24"/>
      <c r="AQ27" s="23"/>
      <c r="AR27" s="24"/>
      <c r="AS27" s="25" t="s">
        <v>250</v>
      </c>
      <c r="AU27" s="24"/>
      <c r="AV27" s="24"/>
      <c r="AW27" s="24"/>
      <c r="AX27" s="24"/>
      <c r="AY27" s="24"/>
      <c r="AZ27" s="24"/>
      <c r="BA27" s="24"/>
      <c r="BB27" s="24"/>
      <c r="BC27" s="24"/>
      <c r="BD27" s="24"/>
      <c r="BE27" s="24"/>
      <c r="BF27" s="24"/>
      <c r="BG27" s="24"/>
      <c r="BH27" s="31"/>
      <c r="BI27" s="24"/>
      <c r="BJ27" s="24"/>
      <c r="BK27" s="24"/>
      <c r="BL27" s="23"/>
      <c r="BM27" s="13"/>
      <c r="BO27" s="62"/>
      <c r="BS27" s="103"/>
      <c r="BT27" s="104"/>
      <c r="BU27" s="104"/>
      <c r="BV27" s="104"/>
      <c r="BW27" s="104"/>
      <c r="BX27" s="104"/>
      <c r="BY27" s="104"/>
      <c r="BZ27" s="104"/>
      <c r="CA27" s="104"/>
      <c r="CB27" s="104"/>
      <c r="CC27" s="104"/>
      <c r="CD27" s="105"/>
    </row>
    <row r="28" spans="1:82" s="11" customFormat="1" ht="13.5" customHeight="1">
      <c r="A28" s="28"/>
      <c r="B28" s="31"/>
      <c r="C28" s="24"/>
      <c r="D28" s="24"/>
      <c r="E28" s="24"/>
      <c r="F28" s="24"/>
      <c r="G28" s="24"/>
      <c r="H28" s="23"/>
      <c r="I28" s="24"/>
      <c r="J28" s="24"/>
      <c r="K28" s="24"/>
      <c r="L28" s="24"/>
      <c r="M28" s="24"/>
      <c r="N28" s="24"/>
      <c r="O28" s="24"/>
      <c r="P28" s="31"/>
      <c r="Q28" s="24"/>
      <c r="R28" s="24"/>
      <c r="S28" s="24"/>
      <c r="T28" s="24"/>
      <c r="U28" s="24"/>
      <c r="V28" s="24"/>
      <c r="W28" s="31"/>
      <c r="X28" s="24"/>
      <c r="Y28" s="24"/>
      <c r="Z28" s="24"/>
      <c r="AA28" s="24"/>
      <c r="AB28" s="24"/>
      <c r="AC28" s="24"/>
      <c r="AD28" s="31"/>
      <c r="AE28" s="24"/>
      <c r="AF28" s="24"/>
      <c r="AG28" s="24"/>
      <c r="AH28" s="24"/>
      <c r="AI28" s="24"/>
      <c r="AJ28" s="23"/>
      <c r="AK28" s="31"/>
      <c r="AL28" s="24"/>
      <c r="AM28" s="24"/>
      <c r="AN28" s="24"/>
      <c r="AO28" s="24"/>
      <c r="AP28" s="24"/>
      <c r="AQ28" s="23"/>
      <c r="AR28" s="24"/>
      <c r="AT28" s="8" t="s">
        <v>251</v>
      </c>
      <c r="AU28" s="24"/>
      <c r="AV28" s="24"/>
      <c r="AW28" s="24"/>
      <c r="AX28" s="24"/>
      <c r="AY28" s="24"/>
      <c r="AZ28" s="24"/>
      <c r="BA28" s="24"/>
      <c r="BB28" s="24"/>
      <c r="BC28" s="24"/>
      <c r="BD28" s="24"/>
      <c r="BE28" s="24"/>
      <c r="BF28" s="24"/>
      <c r="BG28" s="24"/>
      <c r="BH28" s="31"/>
      <c r="BI28" s="24"/>
      <c r="BJ28" s="24"/>
      <c r="BK28" s="24"/>
      <c r="BL28" s="23"/>
      <c r="BM28" s="13"/>
      <c r="BO28" s="62"/>
      <c r="BS28" s="103"/>
      <c r="BT28" s="104"/>
      <c r="BU28" s="104"/>
      <c r="BV28" s="104"/>
      <c r="BW28" s="104"/>
      <c r="BX28" s="104"/>
      <c r="BY28" s="104"/>
      <c r="BZ28" s="104"/>
      <c r="CA28" s="104"/>
      <c r="CB28" s="104"/>
      <c r="CC28" s="104"/>
      <c r="CD28" s="105"/>
    </row>
    <row r="29" spans="1:82" s="11" customFormat="1" ht="13.5" customHeight="1">
      <c r="A29" s="28"/>
      <c r="B29" s="31"/>
      <c r="C29" s="24"/>
      <c r="D29" s="24"/>
      <c r="E29" s="24"/>
      <c r="F29" s="24"/>
      <c r="G29" s="24"/>
      <c r="H29" s="23"/>
      <c r="I29" s="24"/>
      <c r="J29" s="24"/>
      <c r="K29" s="24"/>
      <c r="L29" s="24"/>
      <c r="M29" s="24"/>
      <c r="N29" s="24"/>
      <c r="O29" s="24"/>
      <c r="P29" s="31"/>
      <c r="Q29" s="24"/>
      <c r="R29" s="24"/>
      <c r="S29" s="24"/>
      <c r="T29" s="24"/>
      <c r="U29" s="24"/>
      <c r="V29" s="24"/>
      <c r="W29" s="31"/>
      <c r="X29" s="24"/>
      <c r="Y29" s="24"/>
      <c r="Z29" s="24"/>
      <c r="AA29" s="24"/>
      <c r="AB29" s="24"/>
      <c r="AC29" s="24"/>
      <c r="AD29" s="31"/>
      <c r="AE29" s="24"/>
      <c r="AF29" s="24"/>
      <c r="AG29" s="24"/>
      <c r="AH29" s="24"/>
      <c r="AI29" s="24"/>
      <c r="AJ29" s="23"/>
      <c r="AK29" s="31"/>
      <c r="AL29" s="24"/>
      <c r="AM29" s="24"/>
      <c r="AN29" s="24"/>
      <c r="AO29" s="24"/>
      <c r="AP29" s="24"/>
      <c r="AQ29" s="23"/>
      <c r="AR29" s="24"/>
      <c r="AS29" s="8"/>
      <c r="AT29" s="8" t="s">
        <v>252</v>
      </c>
      <c r="AU29" s="24"/>
      <c r="AV29" s="24"/>
      <c r="AW29" s="24"/>
      <c r="AX29" s="24"/>
      <c r="AY29" s="24"/>
      <c r="AZ29" s="24"/>
      <c r="BA29" s="24"/>
      <c r="BB29" s="24"/>
      <c r="BC29" s="24"/>
      <c r="BD29" s="24"/>
      <c r="BE29" s="24"/>
      <c r="BF29" s="24"/>
      <c r="BG29" s="24"/>
      <c r="BH29" s="31"/>
      <c r="BI29" s="24"/>
      <c r="BJ29" s="24"/>
      <c r="BK29" s="24"/>
      <c r="BL29" s="23"/>
      <c r="BM29" s="13"/>
      <c r="BO29" s="62"/>
      <c r="BS29" s="103"/>
      <c r="BT29" s="104"/>
      <c r="BU29" s="104"/>
      <c r="BV29" s="104"/>
      <c r="BW29" s="104"/>
      <c r="BX29" s="104"/>
      <c r="BY29" s="104"/>
      <c r="BZ29" s="104"/>
      <c r="CA29" s="104"/>
      <c r="CB29" s="104"/>
      <c r="CC29" s="104"/>
      <c r="CD29" s="105"/>
    </row>
    <row r="30" spans="1:82" s="11" customFormat="1" ht="13.5" customHeight="1">
      <c r="A30" s="28"/>
      <c r="B30" s="31"/>
      <c r="C30" s="24"/>
      <c r="D30" s="24"/>
      <c r="E30" s="24"/>
      <c r="F30" s="24"/>
      <c r="G30" s="24"/>
      <c r="H30" s="23"/>
      <c r="I30" s="24"/>
      <c r="J30" s="24"/>
      <c r="K30" s="24"/>
      <c r="L30" s="24"/>
      <c r="M30" s="24"/>
      <c r="N30" s="24"/>
      <c r="O30" s="24"/>
      <c r="P30" s="31"/>
      <c r="Q30" s="24"/>
      <c r="R30" s="24"/>
      <c r="S30" s="24"/>
      <c r="T30" s="24"/>
      <c r="U30" s="24"/>
      <c r="V30" s="24"/>
      <c r="W30" s="31"/>
      <c r="X30" s="24"/>
      <c r="Y30" s="24"/>
      <c r="Z30" s="24"/>
      <c r="AA30" s="24"/>
      <c r="AB30" s="24"/>
      <c r="AC30" s="24"/>
      <c r="AD30" s="31"/>
      <c r="AE30" s="24"/>
      <c r="AF30" s="24"/>
      <c r="AG30" s="24"/>
      <c r="AH30" s="24"/>
      <c r="AI30" s="24"/>
      <c r="AJ30" s="23"/>
      <c r="AK30" s="31"/>
      <c r="AL30" s="24"/>
      <c r="AM30" s="24"/>
      <c r="AN30" s="24"/>
      <c r="AO30" s="24"/>
      <c r="AP30" s="24"/>
      <c r="AQ30" s="23"/>
      <c r="AR30" s="24"/>
      <c r="BG30" s="24"/>
      <c r="BH30" s="31"/>
      <c r="BI30" s="24"/>
      <c r="BJ30" s="24"/>
      <c r="BK30" s="24"/>
      <c r="BL30" s="23"/>
      <c r="BM30" s="13"/>
      <c r="BO30" s="62"/>
      <c r="BS30" s="103"/>
      <c r="BT30" s="104"/>
      <c r="BU30" s="104"/>
      <c r="BV30" s="104"/>
      <c r="BW30" s="104"/>
      <c r="BX30" s="104"/>
      <c r="BY30" s="104"/>
      <c r="BZ30" s="104"/>
      <c r="CA30" s="104"/>
      <c r="CB30" s="104"/>
      <c r="CC30" s="104"/>
      <c r="CD30" s="105"/>
    </row>
    <row r="31" spans="1:82" s="11" customFormat="1" ht="13.5" customHeight="1">
      <c r="A31" s="28"/>
      <c r="B31" s="31"/>
      <c r="C31" s="24"/>
      <c r="D31" s="24"/>
      <c r="E31" s="24"/>
      <c r="F31" s="24"/>
      <c r="G31" s="24"/>
      <c r="H31" s="23"/>
      <c r="I31" s="24"/>
      <c r="J31" s="24"/>
      <c r="K31" s="24"/>
      <c r="L31" s="24"/>
      <c r="M31" s="24"/>
      <c r="N31" s="24"/>
      <c r="O31" s="24"/>
      <c r="P31" s="31"/>
      <c r="Q31" s="24"/>
      <c r="R31" s="24"/>
      <c r="S31" s="24"/>
      <c r="T31" s="24"/>
      <c r="U31" s="24"/>
      <c r="V31" s="24"/>
      <c r="W31" s="31"/>
      <c r="X31" s="24"/>
      <c r="Y31" s="24"/>
      <c r="Z31" s="24"/>
      <c r="AA31" s="24"/>
      <c r="AB31" s="24"/>
      <c r="AC31" s="24"/>
      <c r="AD31" s="31"/>
      <c r="AE31" s="24"/>
      <c r="AF31" s="24"/>
      <c r="AG31" s="24"/>
      <c r="AH31" s="24"/>
      <c r="AI31" s="24"/>
      <c r="AJ31" s="23"/>
      <c r="AK31" s="31"/>
      <c r="AL31" s="24"/>
      <c r="AM31" s="24"/>
      <c r="AN31" s="24"/>
      <c r="AO31" s="24"/>
      <c r="AP31" s="24"/>
      <c r="AQ31" s="23"/>
      <c r="AR31" s="24"/>
      <c r="BG31" s="24"/>
      <c r="BH31" s="31"/>
      <c r="BI31" s="24"/>
      <c r="BJ31" s="24"/>
      <c r="BK31" s="24"/>
      <c r="BL31" s="23"/>
      <c r="BM31" s="13"/>
      <c r="BO31" s="62"/>
      <c r="BS31" s="103"/>
      <c r="BT31" s="104"/>
      <c r="BU31" s="104"/>
      <c r="BV31" s="104"/>
      <c r="BW31" s="104"/>
      <c r="BX31" s="104"/>
      <c r="BY31" s="104"/>
      <c r="BZ31" s="104"/>
      <c r="CA31" s="104"/>
      <c r="CB31" s="104"/>
      <c r="CC31" s="104"/>
      <c r="CD31" s="105"/>
    </row>
    <row r="32" spans="1:82" s="11" customFormat="1" ht="13.5" customHeight="1">
      <c r="A32" s="28"/>
      <c r="B32" s="31"/>
      <c r="C32" s="24"/>
      <c r="D32" s="24"/>
      <c r="E32" s="24"/>
      <c r="F32" s="24"/>
      <c r="G32" s="24"/>
      <c r="H32" s="23"/>
      <c r="I32" s="24"/>
      <c r="J32" s="24"/>
      <c r="K32" s="24"/>
      <c r="L32" s="24"/>
      <c r="M32" s="24"/>
      <c r="N32" s="24"/>
      <c r="O32" s="24"/>
      <c r="P32" s="31"/>
      <c r="Q32" s="24"/>
      <c r="R32" s="24"/>
      <c r="S32" s="24"/>
      <c r="T32" s="24"/>
      <c r="U32" s="24"/>
      <c r="V32" s="24"/>
      <c r="W32" s="31"/>
      <c r="X32" s="24"/>
      <c r="Y32" s="24"/>
      <c r="Z32" s="24"/>
      <c r="AA32" s="24"/>
      <c r="AB32" s="24"/>
      <c r="AC32" s="24"/>
      <c r="AD32" s="31"/>
      <c r="AE32" s="24"/>
      <c r="AF32" s="24"/>
      <c r="AG32" s="24"/>
      <c r="AH32" s="24"/>
      <c r="AI32" s="24"/>
      <c r="AJ32" s="23"/>
      <c r="AK32" s="31"/>
      <c r="AL32" s="24"/>
      <c r="AM32" s="24"/>
      <c r="AN32" s="24"/>
      <c r="AO32" s="24"/>
      <c r="AP32" s="24"/>
      <c r="AQ32" s="23"/>
      <c r="AR32" s="24"/>
      <c r="AU32" s="24"/>
      <c r="AV32" s="24"/>
      <c r="BG32" s="24"/>
      <c r="BH32" s="31"/>
      <c r="BI32" s="24"/>
      <c r="BJ32" s="24"/>
      <c r="BK32" s="24"/>
      <c r="BL32" s="23"/>
      <c r="BM32" s="13"/>
      <c r="BO32" s="62"/>
      <c r="BS32" s="103"/>
      <c r="BT32" s="104"/>
      <c r="BU32" s="104"/>
      <c r="BV32" s="104"/>
      <c r="BW32" s="104"/>
      <c r="BX32" s="104"/>
      <c r="BY32" s="104"/>
      <c r="BZ32" s="104"/>
      <c r="CA32" s="104"/>
      <c r="CB32" s="104"/>
      <c r="CC32" s="104"/>
      <c r="CD32" s="105"/>
    </row>
    <row r="33" spans="1:82" s="11" customFormat="1" ht="13.5" customHeight="1">
      <c r="A33" s="28"/>
      <c r="B33" s="31"/>
      <c r="C33" s="24"/>
      <c r="D33" s="24"/>
      <c r="E33" s="24"/>
      <c r="F33" s="24"/>
      <c r="G33" s="24"/>
      <c r="H33" s="23"/>
      <c r="I33" s="24"/>
      <c r="J33" s="24"/>
      <c r="K33" s="24"/>
      <c r="L33" s="24"/>
      <c r="M33" s="24"/>
      <c r="N33" s="24"/>
      <c r="O33" s="24"/>
      <c r="P33" s="31"/>
      <c r="Q33" s="24"/>
      <c r="R33" s="24"/>
      <c r="S33" s="24"/>
      <c r="T33" s="24"/>
      <c r="U33" s="24"/>
      <c r="V33" s="24"/>
      <c r="W33" s="31"/>
      <c r="X33" s="24"/>
      <c r="Y33" s="24"/>
      <c r="Z33" s="24"/>
      <c r="AA33" s="24"/>
      <c r="AB33" s="24"/>
      <c r="AC33" s="24"/>
      <c r="AD33" s="31"/>
      <c r="AE33" s="24"/>
      <c r="AF33" s="24"/>
      <c r="AG33" s="24"/>
      <c r="AH33" s="24"/>
      <c r="AI33" s="24"/>
      <c r="AJ33" s="23"/>
      <c r="AK33" s="31"/>
      <c r="AL33" s="24"/>
      <c r="AM33" s="24"/>
      <c r="AN33" s="24"/>
      <c r="AO33" s="24"/>
      <c r="AP33" s="24"/>
      <c r="AQ33" s="23"/>
      <c r="AR33" s="24"/>
      <c r="AU33" s="24"/>
      <c r="AV33" s="24"/>
      <c r="BG33" s="24"/>
      <c r="BH33" s="31"/>
      <c r="BI33" s="24"/>
      <c r="BJ33" s="24"/>
      <c r="BK33" s="24"/>
      <c r="BL33" s="23"/>
      <c r="BM33" s="13"/>
      <c r="BO33" s="62"/>
      <c r="BS33" s="103"/>
      <c r="BT33" s="104"/>
      <c r="BU33" s="104"/>
      <c r="BV33" s="104"/>
      <c r="BW33" s="104"/>
      <c r="BX33" s="104"/>
      <c r="BY33" s="104"/>
      <c r="BZ33" s="104"/>
      <c r="CA33" s="104"/>
      <c r="CB33" s="104"/>
      <c r="CC33" s="104"/>
      <c r="CD33" s="105"/>
    </row>
    <row r="34" spans="1:82" s="11" customFormat="1" ht="13.5" customHeight="1">
      <c r="A34" s="28"/>
      <c r="B34" s="31"/>
      <c r="C34" s="24"/>
      <c r="D34" s="24"/>
      <c r="E34" s="24"/>
      <c r="F34" s="24"/>
      <c r="G34" s="24"/>
      <c r="H34" s="23"/>
      <c r="I34" s="24"/>
      <c r="J34" s="24"/>
      <c r="K34" s="24"/>
      <c r="L34" s="24"/>
      <c r="M34" s="24"/>
      <c r="N34" s="24"/>
      <c r="O34" s="24"/>
      <c r="P34" s="31"/>
      <c r="Q34" s="24"/>
      <c r="R34" s="24"/>
      <c r="S34" s="24"/>
      <c r="T34" s="24"/>
      <c r="U34" s="24"/>
      <c r="V34" s="24"/>
      <c r="W34" s="31"/>
      <c r="X34" s="24"/>
      <c r="Y34" s="24"/>
      <c r="Z34" s="24"/>
      <c r="AA34" s="24"/>
      <c r="AB34" s="24"/>
      <c r="AC34" s="24"/>
      <c r="AD34" s="31"/>
      <c r="AE34" s="24"/>
      <c r="AF34" s="24"/>
      <c r="AG34" s="24"/>
      <c r="AH34" s="24"/>
      <c r="AI34" s="24"/>
      <c r="AJ34" s="23"/>
      <c r="AK34" s="31"/>
      <c r="AL34" s="24"/>
      <c r="AM34" s="24"/>
      <c r="AN34" s="24"/>
      <c r="AO34" s="24"/>
      <c r="AP34" s="24"/>
      <c r="AQ34" s="23"/>
      <c r="AR34" s="24"/>
      <c r="AS34" s="25" t="s">
        <v>253</v>
      </c>
      <c r="BG34" s="24"/>
      <c r="BH34" s="31"/>
      <c r="BI34" s="24"/>
      <c r="BJ34" s="24"/>
      <c r="BK34" s="24"/>
      <c r="BL34" s="23"/>
      <c r="BM34" s="13"/>
      <c r="BO34" s="62"/>
      <c r="BS34" s="103"/>
      <c r="BT34" s="104"/>
      <c r="BU34" s="104"/>
      <c r="BV34" s="104"/>
      <c r="BW34" s="104"/>
      <c r="BX34" s="104"/>
      <c r="BY34" s="104"/>
      <c r="BZ34" s="104"/>
      <c r="CA34" s="104"/>
      <c r="CB34" s="104"/>
      <c r="CC34" s="104"/>
      <c r="CD34" s="105"/>
    </row>
    <row r="35" spans="1:82" s="11" customFormat="1" ht="13.5" customHeight="1">
      <c r="A35" s="28"/>
      <c r="B35" s="31"/>
      <c r="C35" s="24"/>
      <c r="D35" s="24"/>
      <c r="E35" s="24"/>
      <c r="F35" s="24"/>
      <c r="G35" s="24"/>
      <c r="H35" s="23"/>
      <c r="I35" s="24"/>
      <c r="J35" s="24"/>
      <c r="K35" s="24"/>
      <c r="L35" s="24"/>
      <c r="M35" s="24"/>
      <c r="N35" s="24"/>
      <c r="O35" s="24"/>
      <c r="P35" s="31"/>
      <c r="Q35" s="24"/>
      <c r="R35" s="24"/>
      <c r="S35" s="24"/>
      <c r="T35" s="24"/>
      <c r="U35" s="24"/>
      <c r="V35" s="24"/>
      <c r="W35" s="31"/>
      <c r="X35" s="24"/>
      <c r="Y35" s="24"/>
      <c r="Z35" s="24"/>
      <c r="AA35" s="24"/>
      <c r="AB35" s="24"/>
      <c r="AC35" s="24"/>
      <c r="AD35" s="31"/>
      <c r="AE35" s="24"/>
      <c r="AF35" s="24"/>
      <c r="AG35" s="24"/>
      <c r="AH35" s="24"/>
      <c r="AI35" s="24"/>
      <c r="AJ35" s="23"/>
      <c r="AK35" s="31"/>
      <c r="AL35" s="24"/>
      <c r="AM35" s="24"/>
      <c r="AN35" s="24"/>
      <c r="AO35" s="24"/>
      <c r="AP35" s="24"/>
      <c r="AQ35" s="23"/>
      <c r="AR35" s="24"/>
      <c r="AT35" s="8" t="s">
        <v>254</v>
      </c>
      <c r="BG35" s="24"/>
      <c r="BH35" s="31"/>
      <c r="BI35" s="24"/>
      <c r="BJ35" s="24"/>
      <c r="BK35" s="24"/>
      <c r="BL35" s="23"/>
      <c r="BM35" s="13"/>
      <c r="BO35" s="62"/>
      <c r="BS35" s="103"/>
      <c r="BT35" s="104"/>
      <c r="BU35" s="104"/>
      <c r="BV35" s="104"/>
      <c r="BW35" s="104"/>
      <c r="BX35" s="104"/>
      <c r="BY35" s="104"/>
      <c r="BZ35" s="104"/>
      <c r="CA35" s="104"/>
      <c r="CB35" s="104"/>
      <c r="CC35" s="104"/>
      <c r="CD35" s="105"/>
    </row>
    <row r="36" spans="1:82" s="11" customFormat="1" ht="13.5" customHeight="1">
      <c r="A36" s="28"/>
      <c r="B36" s="31"/>
      <c r="C36" s="24"/>
      <c r="D36" s="24"/>
      <c r="E36" s="24"/>
      <c r="F36" s="24"/>
      <c r="G36" s="24"/>
      <c r="H36" s="23"/>
      <c r="I36" s="24"/>
      <c r="J36" s="24"/>
      <c r="K36" s="24"/>
      <c r="L36" s="24"/>
      <c r="M36" s="24"/>
      <c r="N36" s="24"/>
      <c r="O36" s="24"/>
      <c r="P36" s="31"/>
      <c r="Q36" s="24"/>
      <c r="R36" s="24"/>
      <c r="S36" s="24"/>
      <c r="T36" s="24"/>
      <c r="U36" s="24"/>
      <c r="V36" s="24"/>
      <c r="W36" s="31"/>
      <c r="X36" s="24"/>
      <c r="Y36" s="24"/>
      <c r="Z36" s="24"/>
      <c r="AA36" s="24"/>
      <c r="AB36" s="24"/>
      <c r="AC36" s="24"/>
      <c r="AD36" s="31"/>
      <c r="AE36" s="24"/>
      <c r="AF36" s="24"/>
      <c r="AG36" s="24"/>
      <c r="AH36" s="24"/>
      <c r="AI36" s="24"/>
      <c r="AJ36" s="23"/>
      <c r="AK36" s="31"/>
      <c r="AL36" s="24"/>
      <c r="AM36" s="24"/>
      <c r="AN36" s="24"/>
      <c r="AO36" s="24"/>
      <c r="AP36" s="24"/>
      <c r="AQ36" s="23"/>
      <c r="AR36" s="24"/>
      <c r="AS36" s="24"/>
      <c r="AT36" s="24"/>
      <c r="AU36" s="24"/>
      <c r="AV36" s="24"/>
      <c r="AW36" s="24"/>
      <c r="AX36" s="24"/>
      <c r="AY36" s="24"/>
      <c r="AZ36" s="24"/>
      <c r="BA36" s="24"/>
      <c r="BB36" s="24"/>
      <c r="BC36" s="24"/>
      <c r="BD36" s="24"/>
      <c r="BE36" s="24"/>
      <c r="BF36" s="24"/>
      <c r="BG36" s="24"/>
      <c r="BH36" s="27"/>
      <c r="BI36" s="24"/>
      <c r="BJ36" s="24"/>
      <c r="BK36" s="24"/>
      <c r="BL36" s="23"/>
      <c r="BM36" s="13"/>
      <c r="BO36" s="62"/>
      <c r="BS36" s="103"/>
      <c r="BT36" s="104"/>
      <c r="BU36" s="104"/>
      <c r="BV36" s="104"/>
      <c r="BW36" s="104"/>
      <c r="BX36" s="104"/>
      <c r="BY36" s="104"/>
      <c r="BZ36" s="104"/>
      <c r="CA36" s="104"/>
      <c r="CB36" s="104"/>
      <c r="CC36" s="104"/>
      <c r="CD36" s="105"/>
    </row>
    <row r="37" spans="1:82" s="11" customFormat="1" ht="13.5" customHeight="1">
      <c r="A37" s="28"/>
      <c r="B37" s="31"/>
      <c r="C37" s="24"/>
      <c r="D37" s="24"/>
      <c r="E37" s="24"/>
      <c r="F37" s="24"/>
      <c r="G37" s="24"/>
      <c r="H37" s="23"/>
      <c r="I37" s="24"/>
      <c r="J37" s="24"/>
      <c r="K37" s="24"/>
      <c r="L37" s="24"/>
      <c r="M37" s="24"/>
      <c r="N37" s="24"/>
      <c r="O37" s="24"/>
      <c r="P37" s="31"/>
      <c r="Q37" s="24"/>
      <c r="R37" s="24"/>
      <c r="S37" s="24"/>
      <c r="T37" s="24"/>
      <c r="U37" s="24"/>
      <c r="V37" s="24"/>
      <c r="W37" s="31"/>
      <c r="X37" s="24"/>
      <c r="Y37" s="24"/>
      <c r="Z37" s="24"/>
      <c r="AA37" s="24"/>
      <c r="AB37" s="24"/>
      <c r="AC37" s="24"/>
      <c r="AD37" s="31"/>
      <c r="AE37" s="24"/>
      <c r="AF37" s="24"/>
      <c r="AG37" s="24"/>
      <c r="AH37" s="24"/>
      <c r="AI37" s="24"/>
      <c r="AJ37" s="23"/>
      <c r="AK37" s="31"/>
      <c r="AL37" s="24"/>
      <c r="AM37" s="24"/>
      <c r="AN37" s="24"/>
      <c r="AO37" s="24"/>
      <c r="AP37" s="24"/>
      <c r="AQ37" s="23"/>
      <c r="AR37" s="24"/>
      <c r="AV37" s="8"/>
      <c r="AW37" s="8"/>
      <c r="AX37" s="24"/>
      <c r="AY37" s="24"/>
      <c r="AZ37" s="24"/>
      <c r="BA37" s="24"/>
      <c r="BB37" s="24"/>
      <c r="BC37" s="24"/>
      <c r="BD37" s="24"/>
      <c r="BE37" s="24"/>
      <c r="BF37" s="24"/>
      <c r="BG37" s="24"/>
      <c r="BH37" s="31"/>
      <c r="BI37" s="24"/>
      <c r="BJ37" s="24"/>
      <c r="BK37" s="24"/>
      <c r="BL37" s="23"/>
      <c r="BM37" s="13"/>
      <c r="BO37" s="62"/>
      <c r="BS37" s="103"/>
      <c r="BT37" s="104"/>
      <c r="BU37" s="104"/>
      <c r="BV37" s="104"/>
      <c r="BW37" s="104"/>
      <c r="BX37" s="104"/>
      <c r="BY37" s="104"/>
      <c r="BZ37" s="104"/>
      <c r="CA37" s="104"/>
      <c r="CB37" s="104"/>
      <c r="CC37" s="104"/>
      <c r="CD37" s="105"/>
    </row>
    <row r="38" spans="1:82" s="11" customFormat="1" ht="13.5" customHeight="1">
      <c r="A38" s="28"/>
      <c r="B38" s="31"/>
      <c r="C38" s="24"/>
      <c r="D38" s="24"/>
      <c r="E38" s="24"/>
      <c r="F38" s="24"/>
      <c r="G38" s="24"/>
      <c r="H38" s="23"/>
      <c r="I38" s="24"/>
      <c r="J38" s="24"/>
      <c r="K38" s="24"/>
      <c r="L38" s="24"/>
      <c r="M38" s="24"/>
      <c r="N38" s="24"/>
      <c r="O38" s="24"/>
      <c r="P38" s="31"/>
      <c r="Q38" s="24"/>
      <c r="R38" s="24"/>
      <c r="S38" s="24"/>
      <c r="T38" s="24"/>
      <c r="U38" s="24"/>
      <c r="V38" s="24"/>
      <c r="W38" s="31"/>
      <c r="X38" s="24"/>
      <c r="Y38" s="24"/>
      <c r="Z38" s="24"/>
      <c r="AA38" s="24"/>
      <c r="AB38" s="24"/>
      <c r="AC38" s="24"/>
      <c r="AD38" s="31"/>
      <c r="AE38" s="24"/>
      <c r="AF38" s="24"/>
      <c r="AG38" s="24"/>
      <c r="AH38" s="24"/>
      <c r="AI38" s="24"/>
      <c r="AJ38" s="23"/>
      <c r="AK38" s="31"/>
      <c r="AL38" s="24"/>
      <c r="AM38" s="24"/>
      <c r="AN38" s="24"/>
      <c r="AO38" s="24"/>
      <c r="AP38" s="24"/>
      <c r="AQ38" s="23"/>
      <c r="AR38" s="24"/>
      <c r="AV38" s="8"/>
      <c r="AW38" s="8"/>
      <c r="AX38" s="24"/>
      <c r="AY38" s="24"/>
      <c r="AZ38" s="24"/>
      <c r="BA38" s="24"/>
      <c r="BB38" s="24"/>
      <c r="BC38" s="24"/>
      <c r="BD38" s="24"/>
      <c r="BE38" s="24"/>
      <c r="BF38" s="24"/>
      <c r="BG38" s="24"/>
      <c r="BH38" s="31"/>
      <c r="BI38" s="24"/>
      <c r="BJ38" s="24"/>
      <c r="BK38" s="24"/>
      <c r="BL38" s="23"/>
      <c r="BM38" s="13"/>
      <c r="BO38" s="62"/>
      <c r="BS38" s="103"/>
      <c r="BT38" s="104"/>
      <c r="BU38" s="104"/>
      <c r="BV38" s="104"/>
      <c r="BW38" s="104"/>
      <c r="BX38" s="104"/>
      <c r="BY38" s="104"/>
      <c r="BZ38" s="104"/>
      <c r="CA38" s="104"/>
      <c r="CB38" s="104"/>
      <c r="CC38" s="104"/>
      <c r="CD38" s="105"/>
    </row>
    <row r="39" spans="1:82" s="11" customFormat="1" ht="13.5" customHeight="1">
      <c r="A39" s="28"/>
      <c r="B39" s="31"/>
      <c r="C39" s="24"/>
      <c r="D39" s="24"/>
      <c r="E39" s="24"/>
      <c r="F39" s="24"/>
      <c r="G39" s="24"/>
      <c r="H39" s="23"/>
      <c r="I39" s="24"/>
      <c r="J39" s="24"/>
      <c r="K39" s="24"/>
      <c r="L39" s="24"/>
      <c r="M39" s="24"/>
      <c r="N39" s="24"/>
      <c r="O39" s="24"/>
      <c r="P39" s="31"/>
      <c r="Q39" s="24"/>
      <c r="R39" s="24"/>
      <c r="S39" s="24"/>
      <c r="T39" s="24"/>
      <c r="U39" s="24"/>
      <c r="V39" s="24"/>
      <c r="W39" s="31"/>
      <c r="X39" s="24"/>
      <c r="Y39" s="24"/>
      <c r="Z39" s="24"/>
      <c r="AA39" s="24"/>
      <c r="AB39" s="24"/>
      <c r="AC39" s="24"/>
      <c r="AD39" s="31"/>
      <c r="AE39" s="24"/>
      <c r="AF39" s="24"/>
      <c r="AG39" s="24"/>
      <c r="AH39" s="24"/>
      <c r="AI39" s="24"/>
      <c r="AJ39" s="23"/>
      <c r="AK39" s="31"/>
      <c r="AL39" s="24"/>
      <c r="AM39" s="24"/>
      <c r="AN39" s="24"/>
      <c r="AO39" s="24"/>
      <c r="AP39" s="24"/>
      <c r="AQ39" s="23"/>
      <c r="AR39" s="24"/>
      <c r="AU39" s="8"/>
      <c r="AV39" s="8"/>
      <c r="AW39" s="8"/>
      <c r="AX39" s="24"/>
      <c r="AY39" s="24"/>
      <c r="AZ39" s="24"/>
      <c r="BA39" s="24"/>
      <c r="BB39" s="24"/>
      <c r="BC39" s="24"/>
      <c r="BD39" s="24"/>
      <c r="BE39" s="24"/>
      <c r="BF39" s="24"/>
      <c r="BG39" s="24"/>
      <c r="BH39" s="31"/>
      <c r="BI39" s="24"/>
      <c r="BJ39" s="24"/>
      <c r="BK39" s="24"/>
      <c r="BL39" s="23"/>
      <c r="BM39" s="13"/>
      <c r="BO39" s="62"/>
      <c r="BS39" s="103"/>
      <c r="BT39" s="104"/>
      <c r="BU39" s="104"/>
      <c r="BV39" s="104"/>
      <c r="BW39" s="104"/>
      <c r="BX39" s="104"/>
      <c r="BY39" s="104"/>
      <c r="BZ39" s="104"/>
      <c r="CA39" s="104"/>
      <c r="CB39" s="104"/>
      <c r="CC39" s="104"/>
      <c r="CD39" s="105"/>
    </row>
    <row r="40" spans="1:82" s="11" customFormat="1" ht="13.5" customHeight="1">
      <c r="A40" s="28"/>
      <c r="B40" s="31"/>
      <c r="C40" s="24"/>
      <c r="D40" s="24"/>
      <c r="E40" s="24"/>
      <c r="F40" s="24"/>
      <c r="G40" s="24"/>
      <c r="H40" s="23"/>
      <c r="I40" s="24"/>
      <c r="J40" s="24"/>
      <c r="K40" s="24"/>
      <c r="L40" s="24"/>
      <c r="M40" s="24"/>
      <c r="N40" s="24"/>
      <c r="O40" s="24"/>
      <c r="P40" s="31"/>
      <c r="Q40" s="24"/>
      <c r="R40" s="24"/>
      <c r="S40" s="24"/>
      <c r="T40" s="24"/>
      <c r="U40" s="24"/>
      <c r="V40" s="24"/>
      <c r="W40" s="31"/>
      <c r="X40" s="24"/>
      <c r="Y40" s="24"/>
      <c r="Z40" s="24"/>
      <c r="AA40" s="24"/>
      <c r="AB40" s="24"/>
      <c r="AC40" s="24"/>
      <c r="AD40" s="31"/>
      <c r="AE40" s="24"/>
      <c r="AF40" s="24"/>
      <c r="AG40" s="24"/>
      <c r="AH40" s="24"/>
      <c r="AI40" s="24"/>
      <c r="AJ40" s="23"/>
      <c r="AK40" s="31"/>
      <c r="AL40" s="24"/>
      <c r="AM40" s="24"/>
      <c r="AN40" s="24"/>
      <c r="AO40" s="24"/>
      <c r="AP40" s="24"/>
      <c r="AQ40" s="23"/>
      <c r="AR40" s="24"/>
      <c r="AS40" s="25" t="s">
        <v>255</v>
      </c>
      <c r="AU40" s="24"/>
      <c r="AV40" s="24"/>
      <c r="AW40" s="24"/>
      <c r="AX40" s="24"/>
      <c r="AY40" s="24"/>
      <c r="AZ40" s="24"/>
      <c r="BA40" s="24"/>
      <c r="BB40" s="24"/>
      <c r="BC40" s="24"/>
      <c r="BD40" s="24"/>
      <c r="BE40" s="24"/>
      <c r="BF40" s="24"/>
      <c r="BG40" s="24"/>
      <c r="BH40" s="31"/>
      <c r="BI40" s="24"/>
      <c r="BJ40" s="24"/>
      <c r="BK40" s="24"/>
      <c r="BL40" s="23"/>
      <c r="BM40" s="13"/>
      <c r="BO40" s="62"/>
      <c r="BS40" s="103"/>
      <c r="BT40" s="104"/>
      <c r="BU40" s="104"/>
      <c r="BV40" s="104"/>
      <c r="BW40" s="104"/>
      <c r="BX40" s="104"/>
      <c r="BY40" s="104"/>
      <c r="BZ40" s="104"/>
      <c r="CA40" s="104"/>
      <c r="CB40" s="104"/>
      <c r="CC40" s="104"/>
      <c r="CD40" s="105"/>
    </row>
    <row r="41" spans="1:82" s="11" customFormat="1" ht="13.5" customHeight="1">
      <c r="A41" s="28"/>
      <c r="B41" s="31"/>
      <c r="C41" s="24"/>
      <c r="D41" s="24"/>
      <c r="E41" s="24"/>
      <c r="F41" s="24"/>
      <c r="G41" s="24"/>
      <c r="H41" s="23"/>
      <c r="I41" s="24"/>
      <c r="J41" s="24"/>
      <c r="K41" s="24"/>
      <c r="L41" s="24"/>
      <c r="M41" s="24"/>
      <c r="N41" s="24"/>
      <c r="O41" s="24"/>
      <c r="P41" s="31"/>
      <c r="Q41" s="24"/>
      <c r="R41" s="24"/>
      <c r="S41" s="24"/>
      <c r="T41" s="24"/>
      <c r="U41" s="24"/>
      <c r="V41" s="24"/>
      <c r="W41" s="31"/>
      <c r="X41" s="24"/>
      <c r="Y41" s="24"/>
      <c r="Z41" s="24"/>
      <c r="AA41" s="24"/>
      <c r="AB41" s="24"/>
      <c r="AC41" s="24"/>
      <c r="AD41" s="31"/>
      <c r="AE41" s="24"/>
      <c r="AF41" s="24"/>
      <c r="AG41" s="24"/>
      <c r="AH41" s="24"/>
      <c r="AI41" s="24"/>
      <c r="AJ41" s="23"/>
      <c r="AK41" s="31"/>
      <c r="AL41" s="24"/>
      <c r="AM41" s="24"/>
      <c r="AN41" s="24"/>
      <c r="AO41" s="24"/>
      <c r="AP41" s="24"/>
      <c r="AQ41" s="23"/>
      <c r="AR41" s="24"/>
      <c r="AT41" s="8" t="s">
        <v>256</v>
      </c>
      <c r="AW41" s="24"/>
      <c r="AX41" s="24"/>
      <c r="AY41" s="24"/>
      <c r="AZ41" s="24"/>
      <c r="BA41" s="24"/>
      <c r="BB41" s="24"/>
      <c r="BC41" s="24"/>
      <c r="BD41" s="24"/>
      <c r="BE41" s="24"/>
      <c r="BF41" s="24"/>
      <c r="BG41" s="24"/>
      <c r="BH41" s="31"/>
      <c r="BI41" s="24"/>
      <c r="BJ41" s="24"/>
      <c r="BK41" s="24"/>
      <c r="BL41" s="23"/>
      <c r="BM41" s="13"/>
      <c r="BO41" s="62"/>
      <c r="BS41" s="103"/>
      <c r="BT41" s="104"/>
      <c r="BU41" s="104"/>
      <c r="BV41" s="104"/>
      <c r="BW41" s="104"/>
      <c r="BX41" s="104"/>
      <c r="BY41" s="104"/>
      <c r="BZ41" s="104"/>
      <c r="CA41" s="104"/>
      <c r="CB41" s="104"/>
      <c r="CC41" s="104"/>
      <c r="CD41" s="105"/>
    </row>
    <row r="42" spans="1:82" s="11" customFormat="1" ht="13.5" customHeight="1">
      <c r="A42" s="28"/>
      <c r="B42" s="31"/>
      <c r="C42" s="24"/>
      <c r="D42" s="24"/>
      <c r="E42" s="24"/>
      <c r="F42" s="24"/>
      <c r="G42" s="24"/>
      <c r="H42" s="23"/>
      <c r="I42" s="24"/>
      <c r="J42" s="24"/>
      <c r="K42" s="24"/>
      <c r="L42" s="24"/>
      <c r="M42" s="24"/>
      <c r="N42" s="24"/>
      <c r="O42" s="24"/>
      <c r="P42" s="31"/>
      <c r="Q42" s="24"/>
      <c r="R42" s="24"/>
      <c r="S42" s="24"/>
      <c r="T42" s="24"/>
      <c r="U42" s="24"/>
      <c r="V42" s="24"/>
      <c r="W42" s="31"/>
      <c r="X42" s="24"/>
      <c r="Y42" s="24"/>
      <c r="Z42" s="24"/>
      <c r="AA42" s="24"/>
      <c r="AB42" s="24"/>
      <c r="AC42" s="24"/>
      <c r="AD42" s="31"/>
      <c r="AE42" s="24"/>
      <c r="AF42" s="24"/>
      <c r="AG42" s="24"/>
      <c r="AH42" s="24"/>
      <c r="AI42" s="24"/>
      <c r="AJ42" s="23"/>
      <c r="AK42" s="31"/>
      <c r="AL42" s="24"/>
      <c r="AM42" s="24"/>
      <c r="AN42" s="24"/>
      <c r="AO42" s="24"/>
      <c r="AP42" s="24"/>
      <c r="AQ42" s="23"/>
      <c r="AR42" s="24"/>
      <c r="AS42" s="24"/>
      <c r="AT42" s="24" t="s">
        <v>257</v>
      </c>
      <c r="AW42" s="24"/>
      <c r="AX42" s="24"/>
      <c r="AY42" s="24"/>
      <c r="AZ42" s="24"/>
      <c r="BA42" s="24"/>
      <c r="BB42" s="24"/>
      <c r="BC42" s="24"/>
      <c r="BD42" s="24"/>
      <c r="BE42" s="24"/>
      <c r="BF42" s="24"/>
      <c r="BG42" s="24"/>
      <c r="BH42" s="31"/>
      <c r="BI42" s="24"/>
      <c r="BJ42" s="24"/>
      <c r="BK42" s="24"/>
      <c r="BL42" s="23"/>
      <c r="BM42" s="13"/>
      <c r="BO42" s="62"/>
      <c r="BS42" s="103"/>
      <c r="BT42" s="104"/>
      <c r="BU42" s="104"/>
      <c r="BV42" s="104"/>
      <c r="BW42" s="104"/>
      <c r="BX42" s="104"/>
      <c r="BY42" s="104"/>
      <c r="BZ42" s="104"/>
      <c r="CA42" s="104"/>
      <c r="CB42" s="104"/>
      <c r="CC42" s="104"/>
      <c r="CD42" s="105"/>
    </row>
    <row r="43" spans="1:82" s="11" customFormat="1" ht="13.5" customHeight="1">
      <c r="A43" s="28"/>
      <c r="B43" s="31"/>
      <c r="C43" s="24"/>
      <c r="D43" s="24"/>
      <c r="E43" s="24"/>
      <c r="F43" s="24"/>
      <c r="G43" s="24"/>
      <c r="H43" s="23"/>
      <c r="I43" s="24"/>
      <c r="J43" s="24"/>
      <c r="K43" s="24"/>
      <c r="L43" s="24"/>
      <c r="M43" s="24"/>
      <c r="N43" s="24"/>
      <c r="O43" s="24"/>
      <c r="P43" s="31"/>
      <c r="Q43" s="24"/>
      <c r="R43" s="24"/>
      <c r="S43" s="24"/>
      <c r="T43" s="24"/>
      <c r="U43" s="24"/>
      <c r="V43" s="24"/>
      <c r="W43" s="31"/>
      <c r="X43" s="24"/>
      <c r="Y43" s="24"/>
      <c r="Z43" s="24"/>
      <c r="AA43" s="24"/>
      <c r="AB43" s="24"/>
      <c r="AC43" s="24"/>
      <c r="AD43" s="31"/>
      <c r="AE43" s="24"/>
      <c r="AF43" s="24"/>
      <c r="AG43" s="24"/>
      <c r="AH43" s="24"/>
      <c r="AI43" s="24"/>
      <c r="AJ43" s="23"/>
      <c r="AK43" s="31"/>
      <c r="AL43" s="24"/>
      <c r="AM43" s="24"/>
      <c r="AN43" s="24"/>
      <c r="AO43" s="24"/>
      <c r="AP43" s="24"/>
      <c r="AQ43" s="23"/>
      <c r="AR43" s="24"/>
      <c r="AS43" s="24"/>
      <c r="AT43" s="24"/>
      <c r="AU43" s="24"/>
      <c r="AV43" s="24"/>
      <c r="AW43" s="24"/>
      <c r="AX43" s="24"/>
      <c r="AY43" s="24"/>
      <c r="AZ43" s="24"/>
      <c r="BA43" s="24"/>
      <c r="BB43" s="24"/>
      <c r="BC43" s="24"/>
      <c r="BD43" s="24"/>
      <c r="BE43" s="24"/>
      <c r="BF43" s="24"/>
      <c r="BG43" s="24"/>
      <c r="BH43" s="31"/>
      <c r="BI43" s="24"/>
      <c r="BJ43" s="24"/>
      <c r="BK43" s="24"/>
      <c r="BL43" s="23"/>
      <c r="BM43" s="13"/>
      <c r="BO43" s="62"/>
      <c r="BS43" s="103"/>
      <c r="BT43" s="104"/>
      <c r="BU43" s="104"/>
      <c r="BV43" s="104"/>
      <c r="BW43" s="104"/>
      <c r="BX43" s="104"/>
      <c r="BY43" s="104"/>
      <c r="BZ43" s="104"/>
      <c r="CA43" s="104"/>
      <c r="CB43" s="104"/>
      <c r="CC43" s="104"/>
      <c r="CD43" s="105"/>
    </row>
    <row r="44" spans="1:82" s="11" customFormat="1" ht="13.5" customHeight="1">
      <c r="A44" s="28"/>
      <c r="B44" s="31"/>
      <c r="C44" s="24"/>
      <c r="D44" s="24"/>
      <c r="E44" s="24"/>
      <c r="F44" s="24"/>
      <c r="G44" s="24"/>
      <c r="H44" s="23"/>
      <c r="I44" s="24"/>
      <c r="J44" s="24"/>
      <c r="K44" s="24"/>
      <c r="L44" s="24"/>
      <c r="M44" s="24"/>
      <c r="N44" s="24"/>
      <c r="O44" s="24"/>
      <c r="P44" s="31"/>
      <c r="Q44" s="24"/>
      <c r="R44" s="24"/>
      <c r="S44" s="24"/>
      <c r="T44" s="24"/>
      <c r="U44" s="24"/>
      <c r="V44" s="24"/>
      <c r="W44" s="31"/>
      <c r="X44" s="24"/>
      <c r="Y44" s="24"/>
      <c r="Z44" s="24"/>
      <c r="AA44" s="24"/>
      <c r="AB44" s="24"/>
      <c r="AC44" s="24"/>
      <c r="AD44" s="31"/>
      <c r="AE44" s="24"/>
      <c r="AF44" s="24"/>
      <c r="AG44" s="24"/>
      <c r="AH44" s="24"/>
      <c r="AI44" s="24"/>
      <c r="AJ44" s="23"/>
      <c r="AK44" s="31"/>
      <c r="AL44" s="24"/>
      <c r="AM44" s="24"/>
      <c r="AN44" s="24"/>
      <c r="AO44" s="24"/>
      <c r="AP44" s="24"/>
      <c r="AQ44" s="23"/>
      <c r="AR44" s="24"/>
      <c r="AS44" s="24"/>
      <c r="AT44" s="24"/>
      <c r="AU44" s="24"/>
      <c r="AV44" s="24"/>
      <c r="AW44" s="24"/>
      <c r="AX44" s="24"/>
      <c r="AY44" s="24"/>
      <c r="AZ44" s="24"/>
      <c r="BA44" s="24"/>
      <c r="BB44" s="24"/>
      <c r="BC44" s="24"/>
      <c r="BD44" s="24"/>
      <c r="BE44" s="24"/>
      <c r="BF44" s="24"/>
      <c r="BG44" s="24"/>
      <c r="BH44" s="31"/>
      <c r="BI44" s="24"/>
      <c r="BJ44" s="24"/>
      <c r="BK44" s="24"/>
      <c r="BL44" s="23"/>
      <c r="BM44" s="13"/>
      <c r="BO44" s="62"/>
      <c r="BS44" s="103"/>
      <c r="BT44" s="104"/>
      <c r="BU44" s="104"/>
      <c r="BV44" s="104"/>
      <c r="BW44" s="104"/>
      <c r="BX44" s="104"/>
      <c r="BY44" s="104"/>
      <c r="BZ44" s="104"/>
      <c r="CA44" s="104"/>
      <c r="CB44" s="104"/>
      <c r="CC44" s="104"/>
      <c r="CD44" s="105"/>
    </row>
    <row r="45" spans="1:82" s="11" customFormat="1" ht="13.5" customHeight="1">
      <c r="A45" s="28"/>
      <c r="B45" s="31"/>
      <c r="C45" s="24"/>
      <c r="D45" s="24"/>
      <c r="E45" s="24"/>
      <c r="F45" s="24"/>
      <c r="G45" s="24"/>
      <c r="H45" s="23"/>
      <c r="I45" s="24"/>
      <c r="J45" s="24"/>
      <c r="K45" s="24"/>
      <c r="L45" s="24"/>
      <c r="M45" s="24"/>
      <c r="N45" s="24"/>
      <c r="O45" s="24"/>
      <c r="P45" s="31"/>
      <c r="Q45" s="24"/>
      <c r="R45" s="24"/>
      <c r="S45" s="24"/>
      <c r="T45" s="24"/>
      <c r="U45" s="24"/>
      <c r="V45" s="24"/>
      <c r="W45" s="31"/>
      <c r="X45" s="24"/>
      <c r="Y45" s="24"/>
      <c r="Z45" s="24"/>
      <c r="AA45" s="24"/>
      <c r="AB45" s="24"/>
      <c r="AC45" s="24"/>
      <c r="AD45" s="31"/>
      <c r="AE45" s="24"/>
      <c r="AF45" s="24"/>
      <c r="AG45" s="24"/>
      <c r="AH45" s="24"/>
      <c r="AI45" s="24"/>
      <c r="AJ45" s="23"/>
      <c r="AK45" s="31"/>
      <c r="AL45" s="24"/>
      <c r="AM45" s="24"/>
      <c r="AN45" s="24"/>
      <c r="AO45" s="24"/>
      <c r="AP45" s="24"/>
      <c r="AQ45" s="23"/>
      <c r="AR45" s="24"/>
      <c r="AS45" s="24"/>
      <c r="AT45" s="24"/>
      <c r="AU45" s="24"/>
      <c r="AV45" s="24"/>
      <c r="AW45" s="24"/>
      <c r="AX45" s="24"/>
      <c r="AY45" s="24"/>
      <c r="AZ45" s="24"/>
      <c r="BA45" s="24"/>
      <c r="BB45" s="24"/>
      <c r="BC45" s="24"/>
      <c r="BD45" s="24"/>
      <c r="BE45" s="24"/>
      <c r="BF45" s="24"/>
      <c r="BG45" s="24"/>
      <c r="BH45" s="31"/>
      <c r="BI45" s="24"/>
      <c r="BJ45" s="24"/>
      <c r="BK45" s="24"/>
      <c r="BL45" s="23"/>
      <c r="BM45" s="13"/>
      <c r="BO45" s="62"/>
      <c r="BS45" s="103"/>
      <c r="BT45" s="104"/>
      <c r="BU45" s="104"/>
      <c r="BV45" s="104"/>
      <c r="BW45" s="104"/>
      <c r="BX45" s="104"/>
      <c r="BY45" s="104"/>
      <c r="BZ45" s="104"/>
      <c r="CA45" s="104"/>
      <c r="CB45" s="104"/>
      <c r="CC45" s="104"/>
      <c r="CD45" s="105"/>
    </row>
    <row r="46" spans="1:82" s="11" customFormat="1" ht="13.5" customHeight="1">
      <c r="A46" s="28"/>
      <c r="B46" s="31"/>
      <c r="C46" s="24"/>
      <c r="D46" s="24"/>
      <c r="E46" s="24"/>
      <c r="F46" s="24"/>
      <c r="G46" s="24"/>
      <c r="H46" s="23"/>
      <c r="I46" s="24"/>
      <c r="J46" s="24"/>
      <c r="K46" s="24"/>
      <c r="L46" s="24"/>
      <c r="M46" s="24"/>
      <c r="N46" s="24"/>
      <c r="O46" s="24"/>
      <c r="P46" s="31"/>
      <c r="Q46" s="24"/>
      <c r="R46" s="24"/>
      <c r="S46" s="24"/>
      <c r="T46" s="24"/>
      <c r="U46" s="24"/>
      <c r="V46" s="24"/>
      <c r="W46" s="31"/>
      <c r="X46" s="24"/>
      <c r="Y46" s="24"/>
      <c r="Z46" s="24"/>
      <c r="AA46" s="24"/>
      <c r="AB46" s="24"/>
      <c r="AC46" s="24"/>
      <c r="AD46" s="31"/>
      <c r="AE46" s="24"/>
      <c r="AF46" s="24"/>
      <c r="AG46" s="24"/>
      <c r="AH46" s="24"/>
      <c r="AI46" s="24"/>
      <c r="AJ46" s="23"/>
      <c r="AK46" s="31"/>
      <c r="AL46" s="24"/>
      <c r="AM46" s="24"/>
      <c r="AN46" s="24"/>
      <c r="AO46" s="24"/>
      <c r="AP46" s="24"/>
      <c r="AQ46" s="23"/>
      <c r="AR46" s="24"/>
      <c r="AS46" s="24"/>
      <c r="AT46" s="24"/>
      <c r="AU46" s="24"/>
      <c r="AV46" s="24"/>
      <c r="AW46" s="24"/>
      <c r="AX46" s="24"/>
      <c r="AY46" s="24"/>
      <c r="AZ46" s="24"/>
      <c r="BA46" s="24"/>
      <c r="BB46" s="24"/>
      <c r="BC46" s="24"/>
      <c r="BD46" s="24"/>
      <c r="BE46" s="24"/>
      <c r="BF46" s="24"/>
      <c r="BG46" s="24"/>
      <c r="BH46" s="31"/>
      <c r="BI46" s="24"/>
      <c r="BJ46" s="24"/>
      <c r="BK46" s="24"/>
      <c r="BL46" s="23"/>
      <c r="BM46" s="13"/>
      <c r="BO46" s="62"/>
      <c r="BS46" s="103"/>
      <c r="BT46" s="104"/>
      <c r="BU46" s="104"/>
      <c r="BV46" s="104"/>
      <c r="BW46" s="104"/>
      <c r="BX46" s="104"/>
      <c r="BY46" s="104"/>
      <c r="BZ46" s="104"/>
      <c r="CA46" s="104"/>
      <c r="CB46" s="104"/>
      <c r="CC46" s="104"/>
      <c r="CD46" s="105"/>
    </row>
    <row r="47" spans="1:82" s="11" customFormat="1" ht="13.5" customHeight="1">
      <c r="A47" s="28"/>
      <c r="B47" s="31"/>
      <c r="C47" s="24"/>
      <c r="D47" s="24"/>
      <c r="E47" s="24"/>
      <c r="F47" s="24"/>
      <c r="G47" s="24"/>
      <c r="H47" s="23"/>
      <c r="I47" s="24"/>
      <c r="J47" s="24"/>
      <c r="K47" s="24"/>
      <c r="L47" s="24"/>
      <c r="M47" s="24"/>
      <c r="N47" s="24"/>
      <c r="O47" s="24"/>
      <c r="P47" s="31"/>
      <c r="Q47" s="24"/>
      <c r="R47" s="24"/>
      <c r="S47" s="24"/>
      <c r="T47" s="24"/>
      <c r="U47" s="24"/>
      <c r="V47" s="24"/>
      <c r="W47" s="31"/>
      <c r="X47" s="24"/>
      <c r="Y47" s="24"/>
      <c r="Z47" s="24"/>
      <c r="AA47" s="24"/>
      <c r="AB47" s="24"/>
      <c r="AC47" s="24"/>
      <c r="AD47" s="31"/>
      <c r="AE47" s="24"/>
      <c r="AF47" s="24"/>
      <c r="AG47" s="24"/>
      <c r="AH47" s="24"/>
      <c r="AI47" s="24"/>
      <c r="AJ47" s="23"/>
      <c r="AK47" s="31"/>
      <c r="AL47" s="24"/>
      <c r="AM47" s="24"/>
      <c r="AN47" s="24"/>
      <c r="AO47" s="24"/>
      <c r="AP47" s="24"/>
      <c r="AQ47" s="23"/>
      <c r="AR47" s="24"/>
      <c r="AS47" s="25" t="s">
        <v>258</v>
      </c>
      <c r="AV47" s="8"/>
      <c r="AW47" s="8"/>
      <c r="AX47" s="24"/>
      <c r="AY47" s="24"/>
      <c r="AZ47" s="24"/>
      <c r="BA47" s="24"/>
      <c r="BB47" s="24"/>
      <c r="BC47" s="24"/>
      <c r="BD47" s="24"/>
      <c r="BE47" s="24"/>
      <c r="BF47" s="24"/>
      <c r="BG47" s="24"/>
      <c r="BH47" s="31"/>
      <c r="BI47" s="24"/>
      <c r="BJ47" s="24"/>
      <c r="BK47" s="24"/>
      <c r="BL47" s="23"/>
      <c r="BM47" s="13"/>
      <c r="BO47" s="62"/>
      <c r="BS47" s="103"/>
      <c r="BT47" s="104"/>
      <c r="BU47" s="104"/>
      <c r="BV47" s="104"/>
      <c r="BW47" s="104"/>
      <c r="BX47" s="104"/>
      <c r="BY47" s="104"/>
      <c r="BZ47" s="104"/>
      <c r="CA47" s="104"/>
      <c r="CB47" s="104"/>
      <c r="CC47" s="104"/>
      <c r="CD47" s="105"/>
    </row>
    <row r="48" spans="1:82" s="11" customFormat="1" ht="13.5" customHeight="1">
      <c r="A48" s="28"/>
      <c r="B48" s="31"/>
      <c r="C48" s="24"/>
      <c r="D48" s="24"/>
      <c r="E48" s="24"/>
      <c r="F48" s="24"/>
      <c r="G48" s="24"/>
      <c r="H48" s="23"/>
      <c r="I48" s="24"/>
      <c r="J48" s="24"/>
      <c r="K48" s="24"/>
      <c r="L48" s="24"/>
      <c r="M48" s="24"/>
      <c r="N48" s="24"/>
      <c r="O48" s="24"/>
      <c r="P48" s="31"/>
      <c r="Q48" s="24"/>
      <c r="R48" s="24"/>
      <c r="S48" s="24"/>
      <c r="T48" s="24"/>
      <c r="U48" s="24"/>
      <c r="V48" s="24"/>
      <c r="W48" s="31"/>
      <c r="X48" s="24"/>
      <c r="Y48" s="24"/>
      <c r="Z48" s="24"/>
      <c r="AA48" s="24"/>
      <c r="AB48" s="24"/>
      <c r="AC48" s="24"/>
      <c r="AD48" s="31"/>
      <c r="AE48" s="24"/>
      <c r="AF48" s="24"/>
      <c r="AG48" s="24"/>
      <c r="AH48" s="24"/>
      <c r="AI48" s="24"/>
      <c r="AJ48" s="23"/>
      <c r="AK48" s="31"/>
      <c r="AL48" s="24"/>
      <c r="AM48" s="24"/>
      <c r="AN48" s="24"/>
      <c r="AO48" s="24"/>
      <c r="AP48" s="24"/>
      <c r="AQ48" s="23"/>
      <c r="AR48" s="24"/>
      <c r="AT48" s="8" t="s">
        <v>259</v>
      </c>
      <c r="AV48" s="8"/>
      <c r="AW48" s="8"/>
      <c r="AX48" s="24"/>
      <c r="AY48" s="24"/>
      <c r="AZ48" s="24"/>
      <c r="BA48" s="24"/>
      <c r="BB48" s="24"/>
      <c r="BC48" s="24"/>
      <c r="BD48" s="24"/>
      <c r="BE48" s="24"/>
      <c r="BF48" s="24"/>
      <c r="BG48" s="24"/>
      <c r="BH48" s="31"/>
      <c r="BI48" s="24"/>
      <c r="BJ48" s="24"/>
      <c r="BK48" s="24"/>
      <c r="BL48" s="23"/>
      <c r="BM48" s="13"/>
      <c r="BO48" s="62"/>
      <c r="BS48" s="103"/>
      <c r="BT48" s="104"/>
      <c r="BU48" s="104"/>
      <c r="BV48" s="104"/>
      <c r="BW48" s="104"/>
      <c r="BX48" s="104"/>
      <c r="BY48" s="104"/>
      <c r="BZ48" s="104"/>
      <c r="CA48" s="104"/>
      <c r="CB48" s="104"/>
      <c r="CC48" s="104"/>
      <c r="CD48" s="105"/>
    </row>
    <row r="49" spans="1:82" s="11" customFormat="1" ht="13.5" customHeight="1">
      <c r="A49" s="28"/>
      <c r="B49" s="31"/>
      <c r="C49" s="24"/>
      <c r="D49" s="24"/>
      <c r="E49" s="24"/>
      <c r="F49" s="24"/>
      <c r="G49" s="24"/>
      <c r="H49" s="23"/>
      <c r="I49" s="24"/>
      <c r="J49" s="24"/>
      <c r="K49" s="24"/>
      <c r="L49" s="24"/>
      <c r="M49" s="24"/>
      <c r="N49" s="24"/>
      <c r="O49" s="24"/>
      <c r="P49" s="31"/>
      <c r="Q49" s="24"/>
      <c r="R49" s="24"/>
      <c r="S49" s="24"/>
      <c r="T49" s="24"/>
      <c r="U49" s="24"/>
      <c r="V49" s="24"/>
      <c r="W49" s="31"/>
      <c r="X49" s="24"/>
      <c r="Y49" s="24"/>
      <c r="Z49" s="24"/>
      <c r="AA49" s="24"/>
      <c r="AB49" s="24"/>
      <c r="AC49" s="24"/>
      <c r="AD49" s="31"/>
      <c r="AE49" s="24"/>
      <c r="AF49" s="24"/>
      <c r="AG49" s="24"/>
      <c r="AH49" s="24"/>
      <c r="AI49" s="24"/>
      <c r="AJ49" s="23"/>
      <c r="AK49" s="31"/>
      <c r="AL49" s="24"/>
      <c r="AM49" s="24"/>
      <c r="AN49" s="24"/>
      <c r="AO49" s="24"/>
      <c r="AP49" s="24"/>
      <c r="AQ49" s="23"/>
      <c r="AR49" s="24"/>
      <c r="AS49" s="8"/>
      <c r="AT49" s="8" t="s">
        <v>260</v>
      </c>
      <c r="AU49" s="8"/>
      <c r="AV49" s="8"/>
      <c r="AW49" s="8"/>
      <c r="AX49" s="24"/>
      <c r="AY49" s="24"/>
      <c r="AZ49" s="24"/>
      <c r="BA49" s="24"/>
      <c r="BB49" s="24"/>
      <c r="BC49" s="24"/>
      <c r="BD49" s="24"/>
      <c r="BE49" s="24"/>
      <c r="BF49" s="24"/>
      <c r="BG49" s="24"/>
      <c r="BH49" s="31"/>
      <c r="BI49" s="24"/>
      <c r="BJ49" s="24"/>
      <c r="BK49" s="24"/>
      <c r="BL49" s="23"/>
      <c r="BM49" s="13"/>
      <c r="BO49" s="62"/>
      <c r="BS49" s="103"/>
      <c r="BT49" s="104"/>
      <c r="BU49" s="104"/>
      <c r="BV49" s="104"/>
      <c r="BW49" s="104"/>
      <c r="BX49" s="104"/>
      <c r="BY49" s="104"/>
      <c r="BZ49" s="104"/>
      <c r="CA49" s="104"/>
      <c r="CB49" s="104"/>
      <c r="CC49" s="104"/>
      <c r="CD49" s="105"/>
    </row>
    <row r="50" spans="1:82" s="11" customFormat="1" ht="13.5" customHeight="1">
      <c r="A50" s="28"/>
      <c r="B50" s="31"/>
      <c r="C50" s="24"/>
      <c r="D50" s="24"/>
      <c r="E50" s="24"/>
      <c r="F50" s="24"/>
      <c r="G50" s="24"/>
      <c r="H50" s="23"/>
      <c r="I50" s="24"/>
      <c r="J50" s="24"/>
      <c r="K50" s="24"/>
      <c r="L50" s="24"/>
      <c r="M50" s="24"/>
      <c r="N50" s="24"/>
      <c r="O50" s="24"/>
      <c r="P50" s="31"/>
      <c r="Q50" s="24"/>
      <c r="R50" s="24"/>
      <c r="S50" s="24"/>
      <c r="T50" s="24"/>
      <c r="U50" s="24"/>
      <c r="V50" s="24"/>
      <c r="W50" s="31"/>
      <c r="X50" s="24"/>
      <c r="Y50" s="24"/>
      <c r="Z50" s="24"/>
      <c r="AA50" s="24"/>
      <c r="AB50" s="24"/>
      <c r="AC50" s="24"/>
      <c r="AD50" s="31"/>
      <c r="AE50" s="24"/>
      <c r="AF50" s="24"/>
      <c r="AG50" s="24"/>
      <c r="AH50" s="24"/>
      <c r="AI50" s="24"/>
      <c r="AJ50" s="23"/>
      <c r="AK50" s="31"/>
      <c r="AL50" s="24"/>
      <c r="AM50" s="24"/>
      <c r="AN50" s="24"/>
      <c r="AO50" s="24"/>
      <c r="AP50" s="24"/>
      <c r="AQ50" s="23"/>
      <c r="AR50" s="24"/>
      <c r="AS50" s="24"/>
      <c r="AT50" s="11" t="s">
        <v>261</v>
      </c>
      <c r="BB50" s="24"/>
      <c r="BC50" s="24"/>
      <c r="BD50" s="24"/>
      <c r="BE50" s="24"/>
      <c r="BF50" s="24"/>
      <c r="BG50" s="24"/>
      <c r="BH50" s="31"/>
      <c r="BI50" s="24"/>
      <c r="BJ50" s="24"/>
      <c r="BK50" s="24"/>
      <c r="BL50" s="23"/>
      <c r="BM50" s="13"/>
      <c r="BO50" s="62"/>
      <c r="BS50" s="103"/>
      <c r="BT50" s="104"/>
      <c r="BU50" s="104"/>
      <c r="BV50" s="104"/>
      <c r="BW50" s="104"/>
      <c r="BX50" s="104"/>
      <c r="BY50" s="104"/>
      <c r="BZ50" s="104"/>
      <c r="CA50" s="104"/>
      <c r="CB50" s="104"/>
      <c r="CC50" s="104"/>
      <c r="CD50" s="105"/>
    </row>
    <row r="51" spans="1:82" s="11" customFormat="1" ht="13.5" customHeight="1">
      <c r="A51" s="28"/>
      <c r="B51" s="31"/>
      <c r="C51" s="24"/>
      <c r="D51" s="24"/>
      <c r="E51" s="24"/>
      <c r="F51" s="24"/>
      <c r="G51" s="24"/>
      <c r="H51" s="23"/>
      <c r="I51" s="24"/>
      <c r="J51" s="24"/>
      <c r="K51" s="24"/>
      <c r="L51" s="24"/>
      <c r="M51" s="24"/>
      <c r="N51" s="24"/>
      <c r="O51" s="24"/>
      <c r="P51" s="31"/>
      <c r="Q51" s="24"/>
      <c r="R51" s="24"/>
      <c r="S51" s="24"/>
      <c r="T51" s="24"/>
      <c r="U51" s="24"/>
      <c r="V51" s="24"/>
      <c r="W51" s="31"/>
      <c r="X51" s="24"/>
      <c r="Y51" s="24"/>
      <c r="Z51" s="24"/>
      <c r="AA51" s="24"/>
      <c r="AB51" s="24"/>
      <c r="AC51" s="24"/>
      <c r="AD51" s="31"/>
      <c r="AE51" s="24"/>
      <c r="AF51" s="24"/>
      <c r="AG51" s="24"/>
      <c r="AH51" s="24"/>
      <c r="AI51" s="24"/>
      <c r="AJ51" s="23"/>
      <c r="AK51" s="31"/>
      <c r="AL51" s="24"/>
      <c r="AM51" s="24"/>
      <c r="AN51" s="24"/>
      <c r="AO51" s="24"/>
      <c r="AP51" s="24"/>
      <c r="AQ51" s="23"/>
      <c r="AR51" s="24"/>
      <c r="AS51" s="24"/>
      <c r="AT51" s="11" t="s">
        <v>262</v>
      </c>
      <c r="BB51" s="24"/>
      <c r="BC51" s="24"/>
      <c r="BD51" s="24"/>
      <c r="BE51" s="24"/>
      <c r="BF51" s="24"/>
      <c r="BG51" s="24"/>
      <c r="BH51" s="31"/>
      <c r="BI51" s="24"/>
      <c r="BJ51" s="24"/>
      <c r="BK51" s="24"/>
      <c r="BL51" s="23"/>
      <c r="BM51" s="13"/>
      <c r="BO51" s="62"/>
      <c r="BS51" s="103"/>
      <c r="BT51" s="104"/>
      <c r="BU51" s="104"/>
      <c r="BV51" s="104"/>
      <c r="BW51" s="104"/>
      <c r="BX51" s="104"/>
      <c r="BY51" s="104"/>
      <c r="BZ51" s="104"/>
      <c r="CA51" s="104"/>
      <c r="CB51" s="104"/>
      <c r="CC51" s="104"/>
      <c r="CD51" s="105"/>
    </row>
    <row r="52" spans="1:82" s="11" customFormat="1" ht="13.5" customHeight="1">
      <c r="A52" s="28"/>
      <c r="B52" s="31"/>
      <c r="C52" s="24"/>
      <c r="D52" s="24"/>
      <c r="E52" s="24"/>
      <c r="F52" s="24"/>
      <c r="G52" s="24"/>
      <c r="H52" s="23"/>
      <c r="I52" s="24"/>
      <c r="J52" s="24"/>
      <c r="K52" s="24"/>
      <c r="L52" s="24"/>
      <c r="M52" s="24"/>
      <c r="N52" s="24"/>
      <c r="O52" s="24"/>
      <c r="P52" s="31"/>
      <c r="Q52" s="24"/>
      <c r="R52" s="24"/>
      <c r="S52" s="24"/>
      <c r="T52" s="24"/>
      <c r="U52" s="24"/>
      <c r="V52" s="24"/>
      <c r="W52" s="31"/>
      <c r="X52" s="24"/>
      <c r="Y52" s="24"/>
      <c r="Z52" s="24"/>
      <c r="AA52" s="24"/>
      <c r="AB52" s="24"/>
      <c r="AC52" s="24"/>
      <c r="AD52" s="31"/>
      <c r="AE52" s="24"/>
      <c r="AF52" s="24"/>
      <c r="AG52" s="24"/>
      <c r="AH52" s="24"/>
      <c r="AI52" s="24"/>
      <c r="AJ52" s="23"/>
      <c r="AK52" s="31"/>
      <c r="AL52" s="24"/>
      <c r="AM52" s="24"/>
      <c r="AN52" s="24"/>
      <c r="AO52" s="24"/>
      <c r="AP52" s="24"/>
      <c r="AQ52" s="23"/>
      <c r="AR52" s="24"/>
      <c r="AS52" s="24"/>
      <c r="BB52" s="24"/>
      <c r="BC52" s="24"/>
      <c r="BD52" s="24"/>
      <c r="BE52" s="24"/>
      <c r="BF52" s="24"/>
      <c r="BG52" s="24"/>
      <c r="BH52" s="31"/>
      <c r="BI52" s="24"/>
      <c r="BJ52" s="24"/>
      <c r="BK52" s="24"/>
      <c r="BL52" s="23"/>
      <c r="BM52" s="13"/>
      <c r="BO52" s="62"/>
      <c r="BS52" s="103"/>
      <c r="BT52" s="104"/>
      <c r="BU52" s="104"/>
      <c r="BV52" s="104"/>
      <c r="BW52" s="104"/>
      <c r="BX52" s="104"/>
      <c r="BY52" s="104"/>
      <c r="BZ52" s="104"/>
      <c r="CA52" s="104"/>
      <c r="CB52" s="104"/>
      <c r="CC52" s="104"/>
      <c r="CD52" s="105"/>
    </row>
    <row r="53" spans="1:82" s="11" customFormat="1" ht="13.5" customHeight="1">
      <c r="A53" s="28"/>
      <c r="B53" s="31"/>
      <c r="C53" s="24"/>
      <c r="D53" s="24"/>
      <c r="E53" s="24"/>
      <c r="F53" s="24"/>
      <c r="G53" s="24"/>
      <c r="H53" s="23"/>
      <c r="I53" s="24"/>
      <c r="J53" s="24"/>
      <c r="K53" s="24"/>
      <c r="L53" s="24"/>
      <c r="M53" s="24"/>
      <c r="N53" s="24"/>
      <c r="O53" s="24"/>
      <c r="P53" s="31"/>
      <c r="Q53" s="24"/>
      <c r="R53" s="24"/>
      <c r="S53" s="24"/>
      <c r="T53" s="24"/>
      <c r="U53" s="24"/>
      <c r="V53" s="24"/>
      <c r="W53" s="31"/>
      <c r="X53" s="24"/>
      <c r="Y53" s="24"/>
      <c r="Z53" s="24"/>
      <c r="AA53" s="24"/>
      <c r="AB53" s="24"/>
      <c r="AC53" s="24"/>
      <c r="AD53" s="31"/>
      <c r="AE53" s="24"/>
      <c r="AF53" s="24"/>
      <c r="AG53" s="24"/>
      <c r="AH53" s="24"/>
      <c r="AI53" s="24"/>
      <c r="AJ53" s="23"/>
      <c r="AK53" s="31"/>
      <c r="AL53" s="24"/>
      <c r="AM53" s="24"/>
      <c r="AN53" s="24"/>
      <c r="AO53" s="24"/>
      <c r="AP53" s="24"/>
      <c r="AQ53" s="23"/>
      <c r="AR53" s="24"/>
      <c r="AS53" s="24"/>
      <c r="BB53" s="24"/>
      <c r="BC53" s="24"/>
      <c r="BD53" s="24"/>
      <c r="BE53" s="24"/>
      <c r="BF53" s="24"/>
      <c r="BG53" s="24"/>
      <c r="BH53" s="31"/>
      <c r="BI53" s="24"/>
      <c r="BJ53" s="24"/>
      <c r="BK53" s="24"/>
      <c r="BL53" s="23"/>
      <c r="BM53" s="13"/>
      <c r="BO53" s="62"/>
      <c r="BS53" s="103"/>
      <c r="BT53" s="104"/>
      <c r="BU53" s="104"/>
      <c r="BV53" s="104"/>
      <c r="BW53" s="104"/>
      <c r="BX53" s="104"/>
      <c r="BY53" s="104"/>
      <c r="BZ53" s="104"/>
      <c r="CA53" s="104"/>
      <c r="CB53" s="104"/>
      <c r="CC53" s="104"/>
      <c r="CD53" s="105"/>
    </row>
    <row r="54" spans="1:82" s="11" customFormat="1" ht="13.5" customHeight="1">
      <c r="A54" s="28"/>
      <c r="B54" s="31"/>
      <c r="C54" s="24"/>
      <c r="D54" s="24"/>
      <c r="E54" s="24"/>
      <c r="F54" s="24"/>
      <c r="G54" s="24"/>
      <c r="H54" s="23"/>
      <c r="I54" s="24"/>
      <c r="J54" s="24"/>
      <c r="K54" s="24"/>
      <c r="L54" s="24"/>
      <c r="M54" s="24"/>
      <c r="N54" s="24"/>
      <c r="O54" s="24"/>
      <c r="P54" s="31"/>
      <c r="Q54" s="24"/>
      <c r="R54" s="24"/>
      <c r="S54" s="24"/>
      <c r="T54" s="24"/>
      <c r="U54" s="24"/>
      <c r="V54" s="24"/>
      <c r="W54" s="31"/>
      <c r="X54" s="24"/>
      <c r="Y54" s="24"/>
      <c r="Z54" s="24"/>
      <c r="AA54" s="24"/>
      <c r="AB54" s="24"/>
      <c r="AC54" s="24"/>
      <c r="AD54" s="31"/>
      <c r="AE54" s="24"/>
      <c r="AF54" s="24"/>
      <c r="AG54" s="24"/>
      <c r="AH54" s="24"/>
      <c r="AI54" s="24"/>
      <c r="AJ54" s="23"/>
      <c r="AK54" s="31"/>
      <c r="AL54" s="24"/>
      <c r="AM54" s="24"/>
      <c r="AN54" s="24"/>
      <c r="AO54" s="24"/>
      <c r="AP54" s="24"/>
      <c r="AQ54" s="23"/>
      <c r="AR54" s="24"/>
      <c r="AS54" s="25" t="s">
        <v>263</v>
      </c>
      <c r="BB54" s="24"/>
      <c r="BC54" s="24"/>
      <c r="BD54" s="24"/>
      <c r="BE54" s="24"/>
      <c r="BF54" s="24"/>
      <c r="BG54" s="24"/>
      <c r="BH54" s="31"/>
      <c r="BI54" s="24"/>
      <c r="BJ54" s="24"/>
      <c r="BK54" s="24"/>
      <c r="BL54" s="23"/>
      <c r="BM54" s="13"/>
      <c r="BO54" s="62"/>
      <c r="BS54" s="103"/>
      <c r="BT54" s="104"/>
      <c r="BU54" s="104"/>
      <c r="BV54" s="104"/>
      <c r="BW54" s="104"/>
      <c r="BX54" s="104"/>
      <c r="BY54" s="104"/>
      <c r="BZ54" s="104"/>
      <c r="CA54" s="104"/>
      <c r="CB54" s="104"/>
      <c r="CC54" s="104"/>
      <c r="CD54" s="105"/>
    </row>
    <row r="55" spans="1:82" s="11" customFormat="1" ht="13.5" customHeight="1">
      <c r="A55" s="28"/>
      <c r="B55" s="31"/>
      <c r="C55" s="24"/>
      <c r="D55" s="24"/>
      <c r="E55" s="24"/>
      <c r="F55" s="24"/>
      <c r="G55" s="24"/>
      <c r="H55" s="23"/>
      <c r="I55" s="24"/>
      <c r="J55" s="24"/>
      <c r="K55" s="24"/>
      <c r="L55" s="24"/>
      <c r="M55" s="24"/>
      <c r="N55" s="24"/>
      <c r="O55" s="24"/>
      <c r="P55" s="31"/>
      <c r="Q55" s="24"/>
      <c r="R55" s="24"/>
      <c r="S55" s="24"/>
      <c r="T55" s="24"/>
      <c r="U55" s="24"/>
      <c r="V55" s="24"/>
      <c r="W55" s="31"/>
      <c r="X55" s="24"/>
      <c r="Y55" s="24"/>
      <c r="Z55" s="24"/>
      <c r="AA55" s="24"/>
      <c r="AB55" s="24"/>
      <c r="AC55" s="24"/>
      <c r="AD55" s="31"/>
      <c r="AE55" s="24"/>
      <c r="AF55" s="24"/>
      <c r="AG55" s="24"/>
      <c r="AH55" s="24"/>
      <c r="AI55" s="24"/>
      <c r="AJ55" s="23"/>
      <c r="AK55" s="31"/>
      <c r="AL55" s="24"/>
      <c r="AM55" s="24"/>
      <c r="AN55" s="24"/>
      <c r="AO55" s="24"/>
      <c r="AP55" s="24"/>
      <c r="AQ55" s="23"/>
      <c r="AR55" s="24"/>
      <c r="AS55" s="24"/>
      <c r="AT55" s="8" t="s">
        <v>259</v>
      </c>
      <c r="AU55" s="24"/>
      <c r="AV55" s="8"/>
      <c r="AW55" s="8"/>
      <c r="AX55" s="8"/>
      <c r="AY55" s="8"/>
      <c r="AZ55" s="8"/>
      <c r="BA55" s="8"/>
      <c r="BB55" s="24"/>
      <c r="BC55" s="24"/>
      <c r="BD55" s="24"/>
      <c r="BE55" s="24"/>
      <c r="BF55" s="24"/>
      <c r="BG55" s="24"/>
      <c r="BH55" s="31"/>
      <c r="BI55" s="24"/>
      <c r="BJ55" s="24"/>
      <c r="BK55" s="24"/>
      <c r="BL55" s="23"/>
      <c r="BM55" s="13"/>
      <c r="BO55" s="62"/>
      <c r="BS55" s="103"/>
      <c r="BT55" s="104"/>
      <c r="BU55" s="104"/>
      <c r="BV55" s="104"/>
      <c r="BW55" s="104"/>
      <c r="BX55" s="104"/>
      <c r="BY55" s="104"/>
      <c r="BZ55" s="104"/>
      <c r="CA55" s="104"/>
      <c r="CB55" s="104"/>
      <c r="CC55" s="104"/>
      <c r="CD55" s="105"/>
    </row>
    <row r="56" spans="1:82" s="11" customFormat="1" ht="13.5" customHeight="1">
      <c r="A56" s="28"/>
      <c r="B56" s="31"/>
      <c r="C56" s="24"/>
      <c r="D56" s="24"/>
      <c r="E56" s="24"/>
      <c r="F56" s="24"/>
      <c r="G56" s="24"/>
      <c r="H56" s="23"/>
      <c r="I56" s="24"/>
      <c r="J56" s="24"/>
      <c r="K56" s="24"/>
      <c r="L56" s="24"/>
      <c r="M56" s="24"/>
      <c r="N56" s="24"/>
      <c r="O56" s="24"/>
      <c r="P56" s="31"/>
      <c r="Q56" s="24"/>
      <c r="R56" s="24"/>
      <c r="S56" s="24"/>
      <c r="T56" s="24"/>
      <c r="U56" s="24"/>
      <c r="V56" s="24"/>
      <c r="W56" s="31"/>
      <c r="X56" s="24"/>
      <c r="Y56" s="24"/>
      <c r="Z56" s="24"/>
      <c r="AA56" s="24"/>
      <c r="AB56" s="24"/>
      <c r="AC56" s="24"/>
      <c r="AD56" s="31"/>
      <c r="AE56" s="24"/>
      <c r="AF56" s="24"/>
      <c r="AG56" s="24"/>
      <c r="AH56" s="24"/>
      <c r="AI56" s="24"/>
      <c r="AJ56" s="23"/>
      <c r="AK56" s="31"/>
      <c r="AL56" s="24"/>
      <c r="AM56" s="24"/>
      <c r="AN56" s="24"/>
      <c r="AO56" s="24"/>
      <c r="AP56" s="24"/>
      <c r="AQ56" s="23"/>
      <c r="AR56" s="24"/>
      <c r="AS56" s="24"/>
      <c r="AT56" s="8" t="s">
        <v>264</v>
      </c>
      <c r="BB56" s="24"/>
      <c r="BC56" s="24"/>
      <c r="BD56" s="24"/>
      <c r="BE56" s="24"/>
      <c r="BF56" s="24"/>
      <c r="BG56" s="24"/>
      <c r="BH56" s="31"/>
      <c r="BI56" s="24"/>
      <c r="BJ56" s="24"/>
      <c r="BK56" s="24"/>
      <c r="BL56" s="23"/>
      <c r="BM56" s="13"/>
      <c r="BO56" s="62"/>
      <c r="BS56" s="103"/>
      <c r="BT56" s="104"/>
      <c r="BU56" s="104"/>
      <c r="BV56" s="104"/>
      <c r="BW56" s="104"/>
      <c r="BX56" s="104"/>
      <c r="BY56" s="104"/>
      <c r="BZ56" s="104"/>
      <c r="CA56" s="104"/>
      <c r="CB56" s="104"/>
      <c r="CC56" s="104"/>
      <c r="CD56" s="105"/>
    </row>
    <row r="57" spans="1:82" s="11" customFormat="1" ht="13.5" customHeight="1">
      <c r="A57" s="28"/>
      <c r="B57" s="31"/>
      <c r="C57" s="24"/>
      <c r="D57" s="24"/>
      <c r="E57" s="24"/>
      <c r="F57" s="24"/>
      <c r="G57" s="24"/>
      <c r="H57" s="23"/>
      <c r="I57" s="24"/>
      <c r="J57" s="24"/>
      <c r="K57" s="24"/>
      <c r="L57" s="24"/>
      <c r="M57" s="24"/>
      <c r="N57" s="24"/>
      <c r="O57" s="24"/>
      <c r="P57" s="31"/>
      <c r="Q57" s="24"/>
      <c r="R57" s="24"/>
      <c r="S57" s="24"/>
      <c r="T57" s="24"/>
      <c r="U57" s="24"/>
      <c r="V57" s="24"/>
      <c r="W57" s="31"/>
      <c r="X57" s="24"/>
      <c r="Y57" s="24"/>
      <c r="Z57" s="24"/>
      <c r="AA57" s="24"/>
      <c r="AB57" s="24"/>
      <c r="AC57" s="24"/>
      <c r="AD57" s="31"/>
      <c r="AE57" s="24"/>
      <c r="AF57" s="24"/>
      <c r="AG57" s="24"/>
      <c r="AH57" s="24"/>
      <c r="AI57" s="24"/>
      <c r="AJ57" s="23"/>
      <c r="AK57" s="31"/>
      <c r="AL57" s="24"/>
      <c r="AM57" s="24"/>
      <c r="AN57" s="24"/>
      <c r="AO57" s="24"/>
      <c r="AP57" s="24"/>
      <c r="AQ57" s="23"/>
      <c r="AR57" s="24"/>
      <c r="AS57" s="24"/>
      <c r="AT57" s="24"/>
      <c r="AU57" s="24"/>
      <c r="AV57" s="24"/>
      <c r="AW57" s="24"/>
      <c r="AX57" s="24"/>
      <c r="AY57" s="24"/>
      <c r="AZ57" s="24"/>
      <c r="BA57" s="24"/>
      <c r="BB57" s="24"/>
      <c r="BC57" s="24"/>
      <c r="BD57" s="24"/>
      <c r="BE57" s="24"/>
      <c r="BF57" s="24"/>
      <c r="BG57" s="24"/>
      <c r="BH57" s="31"/>
      <c r="BI57" s="24"/>
      <c r="BJ57" s="24"/>
      <c r="BK57" s="24"/>
      <c r="BL57" s="23"/>
      <c r="BM57" s="13"/>
      <c r="BO57" s="62"/>
      <c r="BS57" s="103"/>
      <c r="BT57" s="104"/>
      <c r="BU57" s="104"/>
      <c r="BV57" s="104"/>
      <c r="BW57" s="104"/>
      <c r="BX57" s="104"/>
      <c r="BY57" s="104"/>
      <c r="BZ57" s="104"/>
      <c r="CA57" s="104"/>
      <c r="CB57" s="104"/>
      <c r="CC57" s="104"/>
      <c r="CD57" s="105"/>
    </row>
    <row r="58" spans="1:82" s="11" customFormat="1" ht="13.5" customHeight="1">
      <c r="A58" s="28"/>
      <c r="B58" s="31"/>
      <c r="C58" s="24"/>
      <c r="D58" s="24"/>
      <c r="E58" s="24"/>
      <c r="F58" s="24"/>
      <c r="G58" s="24"/>
      <c r="H58" s="23"/>
      <c r="I58" s="24"/>
      <c r="J58" s="24"/>
      <c r="K58" s="24"/>
      <c r="L58" s="24"/>
      <c r="M58" s="24"/>
      <c r="N58" s="24"/>
      <c r="O58" s="24"/>
      <c r="P58" s="31"/>
      <c r="Q58" s="24"/>
      <c r="R58" s="24"/>
      <c r="S58" s="24"/>
      <c r="T58" s="24"/>
      <c r="U58" s="24"/>
      <c r="V58" s="24"/>
      <c r="W58" s="31"/>
      <c r="X58" s="24"/>
      <c r="Y58" s="24"/>
      <c r="Z58" s="24"/>
      <c r="AA58" s="24"/>
      <c r="AB58" s="24"/>
      <c r="AC58" s="24"/>
      <c r="AD58" s="31"/>
      <c r="AE58" s="24"/>
      <c r="AF58" s="24"/>
      <c r="AG58" s="24"/>
      <c r="AH58" s="24"/>
      <c r="AI58" s="24"/>
      <c r="AJ58" s="23"/>
      <c r="AK58" s="31"/>
      <c r="AL58" s="24"/>
      <c r="AM58" s="24"/>
      <c r="AN58" s="24"/>
      <c r="AO58" s="24"/>
      <c r="AP58" s="24"/>
      <c r="AQ58" s="23"/>
      <c r="AR58" s="24"/>
      <c r="AS58" s="24"/>
      <c r="AT58" s="24"/>
      <c r="AU58" s="24"/>
      <c r="AV58" s="24"/>
      <c r="AW58" s="24"/>
      <c r="AX58" s="24"/>
      <c r="AY58" s="24"/>
      <c r="AZ58" s="24"/>
      <c r="BA58" s="24"/>
      <c r="BB58" s="24"/>
      <c r="BC58" s="24"/>
      <c r="BD58" s="24"/>
      <c r="BE58" s="24"/>
      <c r="BF58" s="24"/>
      <c r="BG58" s="24"/>
      <c r="BH58" s="31"/>
      <c r="BI58" s="24"/>
      <c r="BJ58" s="24"/>
      <c r="BK58" s="24"/>
      <c r="BL58" s="23"/>
      <c r="BM58" s="13"/>
      <c r="BO58" s="62"/>
      <c r="BS58" s="103"/>
      <c r="BT58" s="104"/>
      <c r="BU58" s="104"/>
      <c r="BV58" s="104"/>
      <c r="BW58" s="104"/>
      <c r="BX58" s="104"/>
      <c r="BY58" s="104"/>
      <c r="BZ58" s="104"/>
      <c r="CA58" s="104"/>
      <c r="CB58" s="104"/>
      <c r="CC58" s="104"/>
      <c r="CD58" s="105"/>
    </row>
    <row r="59" spans="1:82" s="11" customFormat="1" ht="13.5" customHeight="1">
      <c r="A59" s="28"/>
      <c r="B59" s="31"/>
      <c r="C59" s="24"/>
      <c r="D59" s="24"/>
      <c r="E59" s="24"/>
      <c r="F59" s="24"/>
      <c r="G59" s="24"/>
      <c r="H59" s="23"/>
      <c r="I59" s="24"/>
      <c r="J59" s="24"/>
      <c r="K59" s="24"/>
      <c r="L59" s="24"/>
      <c r="M59" s="24"/>
      <c r="N59" s="24"/>
      <c r="O59" s="24"/>
      <c r="P59" s="31"/>
      <c r="Q59" s="24"/>
      <c r="R59" s="24"/>
      <c r="S59" s="24"/>
      <c r="T59" s="24"/>
      <c r="U59" s="24"/>
      <c r="V59" s="24"/>
      <c r="W59" s="31"/>
      <c r="X59" s="24"/>
      <c r="Y59" s="24"/>
      <c r="Z59" s="24"/>
      <c r="AA59" s="24"/>
      <c r="AB59" s="24"/>
      <c r="AC59" s="24"/>
      <c r="AD59" s="31"/>
      <c r="AE59" s="24"/>
      <c r="AF59" s="24"/>
      <c r="AG59" s="24"/>
      <c r="AH59" s="24"/>
      <c r="AI59" s="24"/>
      <c r="AJ59" s="23"/>
      <c r="AK59" s="31"/>
      <c r="AL59" s="24"/>
      <c r="AM59" s="24"/>
      <c r="AN59" s="24"/>
      <c r="AO59" s="24"/>
      <c r="AP59" s="24"/>
      <c r="AQ59" s="23"/>
      <c r="AR59" s="24"/>
      <c r="AS59" s="24"/>
      <c r="BB59" s="24"/>
      <c r="BC59" s="24"/>
      <c r="BD59" s="24"/>
      <c r="BE59" s="24"/>
      <c r="BF59" s="24"/>
      <c r="BG59" s="24"/>
      <c r="BH59" s="31"/>
      <c r="BI59" s="24"/>
      <c r="BJ59" s="24"/>
      <c r="BK59" s="24"/>
      <c r="BL59" s="23"/>
      <c r="BM59" s="13"/>
      <c r="BO59" s="62"/>
      <c r="BS59" s="103"/>
      <c r="BT59" s="104"/>
      <c r="BU59" s="104"/>
      <c r="BV59" s="104"/>
      <c r="BW59" s="104"/>
      <c r="BX59" s="104"/>
      <c r="BY59" s="104"/>
      <c r="BZ59" s="104"/>
      <c r="CA59" s="104"/>
      <c r="CB59" s="104"/>
      <c r="CC59" s="104"/>
      <c r="CD59" s="105"/>
    </row>
    <row r="60" spans="1:82" s="11" customFormat="1" ht="13.5" customHeight="1">
      <c r="A60" s="28"/>
      <c r="B60" s="31"/>
      <c r="C60" s="24"/>
      <c r="D60" s="24"/>
      <c r="E60" s="24"/>
      <c r="F60" s="24"/>
      <c r="G60" s="24"/>
      <c r="H60" s="23"/>
      <c r="I60" s="24"/>
      <c r="J60" s="24"/>
      <c r="K60" s="24"/>
      <c r="L60" s="24"/>
      <c r="M60" s="24"/>
      <c r="N60" s="24"/>
      <c r="O60" s="24"/>
      <c r="P60" s="31"/>
      <c r="Q60" s="24"/>
      <c r="R60" s="24"/>
      <c r="S60" s="24"/>
      <c r="T60" s="24"/>
      <c r="U60" s="24"/>
      <c r="V60" s="24"/>
      <c r="W60" s="31"/>
      <c r="X60" s="24"/>
      <c r="Y60" s="24"/>
      <c r="Z60" s="24"/>
      <c r="AA60" s="24"/>
      <c r="AB60" s="24"/>
      <c r="AC60" s="24"/>
      <c r="AD60" s="31"/>
      <c r="AE60" s="24"/>
      <c r="AF60" s="24"/>
      <c r="AG60" s="24"/>
      <c r="AH60" s="24"/>
      <c r="AI60" s="24"/>
      <c r="AJ60" s="23"/>
      <c r="AK60" s="31"/>
      <c r="AL60" s="24"/>
      <c r="AM60" s="24"/>
      <c r="AN60" s="24"/>
      <c r="AO60" s="24"/>
      <c r="AP60" s="24"/>
      <c r="AQ60" s="23"/>
      <c r="AR60" s="24"/>
      <c r="AS60" s="24"/>
      <c r="AT60" s="24"/>
      <c r="AU60" s="24"/>
      <c r="AV60" s="8"/>
      <c r="AW60" s="8"/>
      <c r="AX60" s="8"/>
      <c r="AY60" s="8"/>
      <c r="AZ60" s="8"/>
      <c r="BA60" s="8"/>
      <c r="BB60" s="24"/>
      <c r="BC60" s="24"/>
      <c r="BD60" s="24"/>
      <c r="BE60" s="24"/>
      <c r="BF60" s="24"/>
      <c r="BG60" s="24"/>
      <c r="BH60" s="31"/>
      <c r="BI60" s="24"/>
      <c r="BJ60" s="24"/>
      <c r="BK60" s="24"/>
      <c r="BL60" s="23"/>
      <c r="BM60" s="13"/>
      <c r="BO60" s="62"/>
      <c r="BS60" s="103"/>
      <c r="BT60" s="104"/>
      <c r="BU60" s="104"/>
      <c r="BV60" s="104"/>
      <c r="BW60" s="104"/>
      <c r="BX60" s="104"/>
      <c r="BY60" s="104"/>
      <c r="BZ60" s="104"/>
      <c r="CA60" s="104"/>
      <c r="CB60" s="104"/>
      <c r="CC60" s="104"/>
      <c r="CD60" s="105"/>
    </row>
    <row r="61" spans="1:82" s="11" customFormat="1" ht="13.5" customHeight="1">
      <c r="A61" s="28"/>
      <c r="B61" s="31"/>
      <c r="C61" s="24"/>
      <c r="D61" s="24"/>
      <c r="E61" s="24"/>
      <c r="F61" s="24"/>
      <c r="G61" s="24"/>
      <c r="H61" s="23"/>
      <c r="I61" s="24"/>
      <c r="J61" s="24"/>
      <c r="K61" s="24"/>
      <c r="L61" s="24"/>
      <c r="M61" s="24"/>
      <c r="N61" s="24"/>
      <c r="O61" s="24"/>
      <c r="P61" s="31"/>
      <c r="Q61" s="24"/>
      <c r="R61" s="24"/>
      <c r="S61" s="24"/>
      <c r="T61" s="24"/>
      <c r="U61" s="24"/>
      <c r="V61" s="24"/>
      <c r="W61" s="31"/>
      <c r="X61" s="24"/>
      <c r="Y61" s="24"/>
      <c r="Z61" s="24"/>
      <c r="AA61" s="24"/>
      <c r="AB61" s="24"/>
      <c r="AC61" s="24"/>
      <c r="AD61" s="31"/>
      <c r="AE61" s="24"/>
      <c r="AF61" s="24"/>
      <c r="AG61" s="24"/>
      <c r="AH61" s="24"/>
      <c r="AI61" s="24"/>
      <c r="AJ61" s="23"/>
      <c r="AK61" s="31"/>
      <c r="AL61" s="24"/>
      <c r="AM61" s="24"/>
      <c r="AN61" s="24"/>
      <c r="AO61" s="24"/>
      <c r="AP61" s="24"/>
      <c r="AQ61" s="23"/>
      <c r="AR61" s="24"/>
      <c r="AS61" s="16" t="s">
        <v>265</v>
      </c>
      <c r="AT61" s="8"/>
      <c r="AU61" s="8"/>
      <c r="AV61" s="8"/>
      <c r="AW61" s="8"/>
      <c r="AX61" s="8"/>
      <c r="AY61" s="8"/>
      <c r="AZ61" s="8"/>
      <c r="BA61" s="8"/>
      <c r="BB61" s="24"/>
      <c r="BC61" s="24"/>
      <c r="BD61" s="24"/>
      <c r="BE61" s="24"/>
      <c r="BF61" s="24"/>
      <c r="BG61" s="24"/>
      <c r="BH61" s="31"/>
      <c r="BI61" s="24"/>
      <c r="BJ61" s="24"/>
      <c r="BK61" s="24"/>
      <c r="BL61" s="23"/>
      <c r="BM61" s="13"/>
      <c r="BO61" s="62"/>
      <c r="BS61" s="103"/>
      <c r="BT61" s="104"/>
      <c r="BU61" s="104"/>
      <c r="BV61" s="104"/>
      <c r="BW61" s="104"/>
      <c r="BX61" s="104"/>
      <c r="BY61" s="104"/>
      <c r="BZ61" s="104"/>
      <c r="CA61" s="104"/>
      <c r="CB61" s="104"/>
      <c r="CC61" s="104"/>
      <c r="CD61" s="105"/>
    </row>
    <row r="62" spans="1:82" s="11" customFormat="1" ht="13.5" customHeight="1">
      <c r="A62" s="28"/>
      <c r="B62" s="31"/>
      <c r="C62" s="24"/>
      <c r="D62" s="24"/>
      <c r="E62" s="24"/>
      <c r="F62" s="24"/>
      <c r="G62" s="24"/>
      <c r="H62" s="23"/>
      <c r="I62" s="24"/>
      <c r="J62" s="24"/>
      <c r="K62" s="24"/>
      <c r="L62" s="24"/>
      <c r="M62" s="24"/>
      <c r="N62" s="24"/>
      <c r="O62" s="24"/>
      <c r="P62" s="31"/>
      <c r="Q62" s="24"/>
      <c r="R62" s="24"/>
      <c r="S62" s="24"/>
      <c r="T62" s="24"/>
      <c r="U62" s="24"/>
      <c r="V62" s="24"/>
      <c r="W62" s="31"/>
      <c r="X62" s="24"/>
      <c r="Y62" s="24"/>
      <c r="Z62" s="24"/>
      <c r="AA62" s="24"/>
      <c r="AB62" s="24"/>
      <c r="AC62" s="24"/>
      <c r="AD62" s="31"/>
      <c r="AE62" s="24"/>
      <c r="AF62" s="24"/>
      <c r="AG62" s="24"/>
      <c r="AH62" s="24"/>
      <c r="AI62" s="24"/>
      <c r="AJ62" s="23"/>
      <c r="AK62" s="31"/>
      <c r="AL62" s="24"/>
      <c r="AM62" s="24"/>
      <c r="AN62" s="24"/>
      <c r="AO62" s="24"/>
      <c r="AP62" s="24"/>
      <c r="AQ62" s="23"/>
      <c r="AR62" s="24"/>
      <c r="AS62" s="8"/>
      <c r="AT62" s="8" t="s">
        <v>266</v>
      </c>
      <c r="AU62" s="8"/>
      <c r="AV62" s="8"/>
      <c r="AW62" s="8"/>
      <c r="AX62" s="8"/>
      <c r="AY62" s="8"/>
      <c r="AZ62" s="8"/>
      <c r="BA62" s="8"/>
      <c r="BB62" s="24"/>
      <c r="BC62" s="24"/>
      <c r="BD62" s="24"/>
      <c r="BE62" s="24"/>
      <c r="BF62" s="24"/>
      <c r="BG62" s="24"/>
      <c r="BH62" s="31"/>
      <c r="BI62" s="24"/>
      <c r="BJ62" s="24"/>
      <c r="BK62" s="24"/>
      <c r="BL62" s="23"/>
      <c r="BM62" s="13"/>
      <c r="BO62" s="62"/>
      <c r="BS62" s="103"/>
      <c r="BT62" s="104"/>
      <c r="BU62" s="104"/>
      <c r="BV62" s="104"/>
      <c r="BW62" s="104"/>
      <c r="BX62" s="104"/>
      <c r="BY62" s="104"/>
      <c r="BZ62" s="104"/>
      <c r="CA62" s="104"/>
      <c r="CB62" s="104"/>
      <c r="CC62" s="104"/>
      <c r="CD62" s="105"/>
    </row>
    <row r="63" spans="1:82" s="11" customFormat="1" ht="13.5" customHeight="1">
      <c r="A63" s="28"/>
      <c r="B63" s="31"/>
      <c r="C63" s="24"/>
      <c r="D63" s="24"/>
      <c r="E63" s="24"/>
      <c r="F63" s="24"/>
      <c r="G63" s="24"/>
      <c r="H63" s="23"/>
      <c r="I63" s="24"/>
      <c r="J63" s="24"/>
      <c r="K63" s="24"/>
      <c r="L63" s="24"/>
      <c r="M63" s="24"/>
      <c r="N63" s="24"/>
      <c r="O63" s="24"/>
      <c r="P63" s="31"/>
      <c r="Q63" s="24"/>
      <c r="R63" s="24"/>
      <c r="S63" s="24"/>
      <c r="T63" s="24"/>
      <c r="U63" s="24"/>
      <c r="V63" s="24"/>
      <c r="W63" s="31"/>
      <c r="X63" s="24"/>
      <c r="Y63" s="24"/>
      <c r="Z63" s="24"/>
      <c r="AA63" s="24"/>
      <c r="AB63" s="24"/>
      <c r="AC63" s="24"/>
      <c r="AD63" s="31"/>
      <c r="AE63" s="24"/>
      <c r="AF63" s="24"/>
      <c r="AG63" s="24"/>
      <c r="AH63" s="24"/>
      <c r="AI63" s="24"/>
      <c r="AJ63" s="23"/>
      <c r="AK63" s="31"/>
      <c r="AL63" s="24"/>
      <c r="AM63" s="24"/>
      <c r="AN63" s="24"/>
      <c r="AO63" s="24"/>
      <c r="AP63" s="24"/>
      <c r="AQ63" s="23"/>
      <c r="AR63" s="24"/>
      <c r="AS63" s="8"/>
      <c r="AT63" s="8" t="s">
        <v>267</v>
      </c>
      <c r="AU63" s="8"/>
      <c r="AV63" s="8"/>
      <c r="AW63" s="8"/>
      <c r="AX63" s="8"/>
      <c r="AY63" s="8"/>
      <c r="AZ63" s="8"/>
      <c r="BA63" s="8"/>
      <c r="BB63" s="24"/>
      <c r="BC63" s="24"/>
      <c r="BD63" s="24"/>
      <c r="BE63" s="24"/>
      <c r="BF63" s="24"/>
      <c r="BG63" s="24"/>
      <c r="BH63" s="31"/>
      <c r="BI63" s="24"/>
      <c r="BJ63" s="24"/>
      <c r="BK63" s="24"/>
      <c r="BL63" s="23"/>
      <c r="BM63" s="13"/>
      <c r="BO63" s="62"/>
      <c r="BS63" s="103"/>
      <c r="BT63" s="104"/>
      <c r="BU63" s="104"/>
      <c r="BV63" s="104"/>
      <c r="BW63" s="104"/>
      <c r="BX63" s="104"/>
      <c r="BY63" s="104"/>
      <c r="BZ63" s="104"/>
      <c r="CA63" s="104"/>
      <c r="CB63" s="104"/>
      <c r="CC63" s="104"/>
      <c r="CD63" s="105"/>
    </row>
    <row r="64" spans="1:82" s="11" customFormat="1" ht="13.5" customHeight="1">
      <c r="A64" s="28"/>
      <c r="B64" s="31"/>
      <c r="C64" s="24"/>
      <c r="D64" s="24"/>
      <c r="E64" s="24"/>
      <c r="F64" s="24"/>
      <c r="G64" s="24"/>
      <c r="H64" s="23"/>
      <c r="I64" s="24"/>
      <c r="J64" s="24"/>
      <c r="K64" s="24"/>
      <c r="L64" s="24"/>
      <c r="M64" s="24"/>
      <c r="N64" s="24"/>
      <c r="O64" s="24"/>
      <c r="P64" s="31"/>
      <c r="Q64" s="24"/>
      <c r="R64" s="24"/>
      <c r="S64" s="24"/>
      <c r="T64" s="24"/>
      <c r="U64" s="24"/>
      <c r="V64" s="24"/>
      <c r="W64" s="31"/>
      <c r="X64" s="24"/>
      <c r="Y64" s="24"/>
      <c r="Z64" s="24"/>
      <c r="AA64" s="24"/>
      <c r="AB64" s="24"/>
      <c r="AC64" s="24"/>
      <c r="AD64" s="31"/>
      <c r="AE64" s="24"/>
      <c r="AF64" s="24"/>
      <c r="AG64" s="24"/>
      <c r="AH64" s="24"/>
      <c r="AI64" s="24"/>
      <c r="AJ64" s="23"/>
      <c r="AK64" s="31"/>
      <c r="AL64" s="24"/>
      <c r="AM64" s="24"/>
      <c r="AN64" s="24"/>
      <c r="AO64" s="24"/>
      <c r="AP64" s="24"/>
      <c r="AQ64" s="23"/>
      <c r="AR64" s="24"/>
      <c r="AS64" s="24"/>
      <c r="AT64" s="48" t="s">
        <v>128</v>
      </c>
      <c r="AU64" s="49"/>
      <c r="AV64" s="49"/>
      <c r="AW64" s="49"/>
      <c r="AX64" s="49"/>
      <c r="AY64" s="49"/>
      <c r="AZ64" s="49"/>
      <c r="BA64" s="50"/>
      <c r="BB64" s="24"/>
      <c r="BC64" s="24"/>
      <c r="BD64" s="24"/>
      <c r="BE64" s="24"/>
      <c r="BF64" s="24"/>
      <c r="BG64" s="24"/>
      <c r="BH64" s="31"/>
      <c r="BI64" s="24"/>
      <c r="BJ64" s="24"/>
      <c r="BK64" s="24"/>
      <c r="BL64" s="23"/>
      <c r="BM64" s="13"/>
      <c r="BO64" s="62"/>
      <c r="BS64" s="103"/>
      <c r="BT64" s="104"/>
      <c r="BU64" s="104"/>
      <c r="BV64" s="104"/>
      <c r="BW64" s="104"/>
      <c r="BX64" s="104"/>
      <c r="BY64" s="104"/>
      <c r="BZ64" s="104"/>
      <c r="CA64" s="104"/>
      <c r="CB64" s="104"/>
      <c r="CC64" s="104"/>
      <c r="CD64" s="105"/>
    </row>
    <row r="65" spans="1:83" s="11" customFormat="1" ht="13.5" customHeight="1">
      <c r="A65" s="28"/>
      <c r="B65" s="31"/>
      <c r="C65" s="24"/>
      <c r="D65" s="24"/>
      <c r="E65" s="24"/>
      <c r="F65" s="24"/>
      <c r="G65" s="24"/>
      <c r="H65" s="23"/>
      <c r="I65" s="24"/>
      <c r="J65" s="24"/>
      <c r="K65" s="24"/>
      <c r="L65" s="24"/>
      <c r="M65" s="24"/>
      <c r="N65" s="24"/>
      <c r="O65" s="24"/>
      <c r="P65" s="31"/>
      <c r="Q65" s="24"/>
      <c r="R65" s="24"/>
      <c r="S65" s="24"/>
      <c r="T65" s="24"/>
      <c r="U65" s="24"/>
      <c r="V65" s="24"/>
      <c r="W65" s="31"/>
      <c r="X65" s="24"/>
      <c r="Y65" s="24"/>
      <c r="Z65" s="24"/>
      <c r="AA65" s="24"/>
      <c r="AB65" s="24"/>
      <c r="AC65" s="24"/>
      <c r="AD65" s="31"/>
      <c r="AE65" s="24"/>
      <c r="AF65" s="24"/>
      <c r="AG65" s="24"/>
      <c r="AH65" s="24"/>
      <c r="AI65" s="24"/>
      <c r="AJ65" s="23"/>
      <c r="AK65" s="31"/>
      <c r="AL65" s="24"/>
      <c r="AM65" s="24"/>
      <c r="AN65" s="24"/>
      <c r="AO65" s="24"/>
      <c r="AP65" s="24"/>
      <c r="AQ65" s="23"/>
      <c r="AR65" s="24"/>
      <c r="AS65" s="24"/>
      <c r="AT65" s="79" t="s">
        <v>130</v>
      </c>
      <c r="AU65" s="58"/>
      <c r="AV65" s="58"/>
      <c r="AW65" s="74"/>
      <c r="AX65" s="79" t="s">
        <v>248</v>
      </c>
      <c r="AY65" s="58"/>
      <c r="AZ65" s="58"/>
      <c r="BA65" s="74"/>
      <c r="BB65" s="24"/>
      <c r="BC65" s="24"/>
      <c r="BD65" s="24"/>
      <c r="BE65" s="24"/>
      <c r="BF65" s="24"/>
      <c r="BG65" s="24"/>
      <c r="BH65" s="31"/>
      <c r="BI65" s="24"/>
      <c r="BJ65" s="24"/>
      <c r="BK65" s="24"/>
      <c r="BL65" s="23"/>
      <c r="BM65" s="13"/>
      <c r="BO65" s="62"/>
      <c r="BS65" s="103"/>
      <c r="BT65" s="104"/>
      <c r="BU65" s="104"/>
      <c r="BV65" s="104"/>
      <c r="BW65" s="104"/>
      <c r="BX65" s="104"/>
      <c r="BY65" s="104"/>
      <c r="BZ65" s="104"/>
      <c r="CA65" s="104"/>
      <c r="CB65" s="104"/>
      <c r="CC65" s="104"/>
      <c r="CD65" s="105"/>
    </row>
    <row r="66" spans="1:83" s="11" customFormat="1" ht="13.5" customHeight="1">
      <c r="A66" s="28"/>
      <c r="B66" s="31"/>
      <c r="C66" s="24"/>
      <c r="D66" s="24"/>
      <c r="E66" s="24"/>
      <c r="F66" s="24"/>
      <c r="G66" s="24"/>
      <c r="H66" s="23"/>
      <c r="I66" s="24"/>
      <c r="J66" s="24"/>
      <c r="K66" s="24"/>
      <c r="L66" s="24"/>
      <c r="M66" s="24"/>
      <c r="N66" s="24"/>
      <c r="O66" s="24"/>
      <c r="P66" s="31"/>
      <c r="Q66" s="24"/>
      <c r="R66" s="24"/>
      <c r="S66" s="24"/>
      <c r="T66" s="24"/>
      <c r="U66" s="24"/>
      <c r="V66" s="24"/>
      <c r="W66" s="31"/>
      <c r="X66" s="24"/>
      <c r="Y66" s="24"/>
      <c r="Z66" s="24"/>
      <c r="AA66" s="24"/>
      <c r="AB66" s="24"/>
      <c r="AC66" s="24"/>
      <c r="AD66" s="31"/>
      <c r="AE66" s="24"/>
      <c r="AF66" s="24"/>
      <c r="AG66" s="24"/>
      <c r="AH66" s="24"/>
      <c r="AI66" s="24"/>
      <c r="AJ66" s="23"/>
      <c r="AK66" s="31"/>
      <c r="AL66" s="24"/>
      <c r="AM66" s="24"/>
      <c r="AN66" s="24"/>
      <c r="AO66" s="24"/>
      <c r="AP66" s="24"/>
      <c r="AQ66" s="23"/>
      <c r="AR66" s="24"/>
      <c r="AS66" s="24"/>
      <c r="AT66" s="24"/>
      <c r="AU66" s="24"/>
      <c r="AV66" s="8"/>
      <c r="AW66" s="8"/>
      <c r="AX66" s="8"/>
      <c r="AY66" s="8"/>
      <c r="AZ66" s="8"/>
      <c r="BA66" s="8"/>
      <c r="BB66" s="24"/>
      <c r="BC66" s="24"/>
      <c r="BD66" s="24"/>
      <c r="BE66" s="24"/>
      <c r="BF66" s="24"/>
      <c r="BG66" s="24"/>
      <c r="BH66" s="31"/>
      <c r="BI66" s="24"/>
      <c r="BJ66" s="24"/>
      <c r="BK66" s="24"/>
      <c r="BL66" s="23"/>
      <c r="BM66" s="13"/>
      <c r="BO66" s="62"/>
      <c r="BS66" s="103"/>
      <c r="BT66" s="104"/>
      <c r="BU66" s="104"/>
      <c r="BV66" s="104"/>
      <c r="BW66" s="104"/>
      <c r="BX66" s="104"/>
      <c r="BY66" s="104"/>
      <c r="BZ66" s="104"/>
      <c r="CA66" s="104"/>
      <c r="CB66" s="104"/>
      <c r="CC66" s="104"/>
      <c r="CD66" s="105"/>
    </row>
    <row r="67" spans="1:83" s="11" customFormat="1" ht="13.5" customHeight="1">
      <c r="A67" s="28"/>
      <c r="B67" s="31"/>
      <c r="C67" s="24"/>
      <c r="D67" s="24"/>
      <c r="E67" s="24"/>
      <c r="F67" s="24"/>
      <c r="G67" s="24"/>
      <c r="H67" s="23"/>
      <c r="I67" s="24"/>
      <c r="J67" s="24"/>
      <c r="K67" s="24"/>
      <c r="L67" s="24"/>
      <c r="M67" s="24"/>
      <c r="N67" s="24"/>
      <c r="O67" s="24"/>
      <c r="P67" s="31"/>
      <c r="Q67" s="24"/>
      <c r="R67" s="24"/>
      <c r="S67" s="24"/>
      <c r="T67" s="24"/>
      <c r="U67" s="24"/>
      <c r="V67" s="24"/>
      <c r="W67" s="31"/>
      <c r="X67" s="24"/>
      <c r="Y67" s="24"/>
      <c r="Z67" s="24"/>
      <c r="AA67" s="24"/>
      <c r="AB67" s="24"/>
      <c r="AC67" s="24"/>
      <c r="AD67" s="31"/>
      <c r="AE67" s="24"/>
      <c r="AF67" s="24"/>
      <c r="AG67" s="24"/>
      <c r="AH67" s="24"/>
      <c r="AI67" s="24"/>
      <c r="AJ67" s="23"/>
      <c r="AK67" s="31"/>
      <c r="AL67" s="24"/>
      <c r="AM67" s="24"/>
      <c r="AN67" s="24"/>
      <c r="AO67" s="24"/>
      <c r="AP67" s="24"/>
      <c r="AQ67" s="23"/>
      <c r="AR67" s="24"/>
      <c r="AS67" s="24"/>
      <c r="AT67" s="24"/>
      <c r="AU67" s="24"/>
      <c r="AV67" s="8"/>
      <c r="AW67" s="8"/>
      <c r="AX67" s="8"/>
      <c r="AY67" s="8"/>
      <c r="AZ67" s="8"/>
      <c r="BA67" s="8"/>
      <c r="BB67" s="24"/>
      <c r="BC67" s="24"/>
      <c r="BD67" s="24"/>
      <c r="BE67" s="24"/>
      <c r="BF67" s="24"/>
      <c r="BG67" s="24"/>
      <c r="BH67" s="31"/>
      <c r="BI67" s="24"/>
      <c r="BJ67" s="24"/>
      <c r="BK67" s="24"/>
      <c r="BL67" s="23"/>
      <c r="BM67" s="13"/>
      <c r="BO67" s="62"/>
      <c r="BS67" s="103"/>
      <c r="BT67" s="104"/>
      <c r="BU67" s="104"/>
      <c r="BV67" s="104"/>
      <c r="BW67" s="104"/>
      <c r="BX67" s="104"/>
      <c r="BY67" s="104"/>
      <c r="BZ67" s="104"/>
      <c r="CA67" s="104"/>
      <c r="CB67" s="104"/>
      <c r="CC67" s="104"/>
      <c r="CD67" s="105"/>
    </row>
    <row r="68" spans="1:83" s="11" customFormat="1" ht="13.5" customHeight="1">
      <c r="A68" s="28"/>
      <c r="B68" s="31"/>
      <c r="C68" s="24"/>
      <c r="D68" s="24"/>
      <c r="E68" s="24"/>
      <c r="F68" s="24"/>
      <c r="G68" s="24"/>
      <c r="H68" s="23"/>
      <c r="I68" s="24"/>
      <c r="J68" s="24"/>
      <c r="K68" s="24"/>
      <c r="L68" s="24"/>
      <c r="M68" s="24"/>
      <c r="N68" s="24"/>
      <c r="O68" s="24"/>
      <c r="P68" s="31"/>
      <c r="Q68" s="24"/>
      <c r="R68" s="24"/>
      <c r="S68" s="24"/>
      <c r="T68" s="24"/>
      <c r="U68" s="24"/>
      <c r="V68" s="24"/>
      <c r="W68" s="31"/>
      <c r="X68" s="24"/>
      <c r="Y68" s="24"/>
      <c r="Z68" s="24"/>
      <c r="AA68" s="24"/>
      <c r="AB68" s="24"/>
      <c r="AC68" s="24"/>
      <c r="AD68" s="31"/>
      <c r="AE68" s="24"/>
      <c r="AF68" s="24"/>
      <c r="AG68" s="24"/>
      <c r="AH68" s="24"/>
      <c r="AI68" s="24"/>
      <c r="AJ68" s="23"/>
      <c r="AK68" s="31"/>
      <c r="AL68" s="24"/>
      <c r="AM68" s="24"/>
      <c r="AN68" s="24"/>
      <c r="AO68" s="24"/>
      <c r="AP68" s="24"/>
      <c r="AQ68" s="23"/>
      <c r="AR68" s="24"/>
      <c r="AS68" s="24"/>
      <c r="AT68" s="24"/>
      <c r="AU68" s="24"/>
      <c r="AV68" s="24"/>
      <c r="AW68" s="24"/>
      <c r="AX68" s="24"/>
      <c r="AY68" s="24"/>
      <c r="AZ68" s="24"/>
      <c r="BA68" s="24"/>
      <c r="BB68" s="24"/>
      <c r="BC68" s="24"/>
      <c r="BD68" s="24"/>
      <c r="BE68" s="24"/>
      <c r="BF68" s="24"/>
      <c r="BG68" s="24"/>
      <c r="BH68" s="31"/>
      <c r="BI68" s="24"/>
      <c r="BJ68" s="24"/>
      <c r="BK68" s="24"/>
      <c r="BL68" s="23"/>
      <c r="BM68" s="13"/>
      <c r="BO68" s="62" t="s">
        <v>175</v>
      </c>
      <c r="BS68" s="103"/>
      <c r="BT68" s="104"/>
      <c r="BU68" s="104"/>
      <c r="BV68" s="104"/>
      <c r="BW68" s="104"/>
      <c r="BX68" s="104"/>
      <c r="BY68" s="104"/>
      <c r="BZ68" s="104"/>
      <c r="CA68" s="104"/>
      <c r="CB68" s="104"/>
      <c r="CC68" s="104"/>
      <c r="CD68" s="105"/>
    </row>
    <row r="69" spans="1:83" s="11" customFormat="1" ht="13.5" customHeight="1">
      <c r="A69" s="28"/>
      <c r="B69" s="31"/>
      <c r="C69" s="24"/>
      <c r="D69" s="24"/>
      <c r="E69" s="24"/>
      <c r="F69" s="24"/>
      <c r="G69" s="24"/>
      <c r="H69" s="23"/>
      <c r="I69" s="24"/>
      <c r="J69" s="24"/>
      <c r="K69" s="24"/>
      <c r="L69" s="24"/>
      <c r="M69" s="24"/>
      <c r="N69" s="24"/>
      <c r="O69" s="24"/>
      <c r="P69" s="31"/>
      <c r="Q69" s="24"/>
      <c r="R69" s="24"/>
      <c r="S69" s="24"/>
      <c r="T69" s="24"/>
      <c r="U69" s="24"/>
      <c r="V69" s="24"/>
      <c r="W69" s="31"/>
      <c r="X69" s="24"/>
      <c r="Y69" s="24"/>
      <c r="Z69" s="24"/>
      <c r="AA69" s="24"/>
      <c r="AB69" s="24"/>
      <c r="AC69" s="24"/>
      <c r="AD69" s="31"/>
      <c r="AE69" s="24"/>
      <c r="AF69" s="24"/>
      <c r="AG69" s="24"/>
      <c r="AH69" s="24"/>
      <c r="AI69" s="24"/>
      <c r="AJ69" s="23"/>
      <c r="AK69" s="31"/>
      <c r="AL69" s="24"/>
      <c r="AM69" s="24"/>
      <c r="AN69" s="24"/>
      <c r="AO69" s="24"/>
      <c r="AP69" s="24"/>
      <c r="AQ69" s="23"/>
      <c r="AR69" s="24"/>
      <c r="AS69" s="24"/>
      <c r="AT69" s="24"/>
      <c r="AU69" s="24"/>
      <c r="AV69" s="24"/>
      <c r="AW69" s="24"/>
      <c r="AX69" s="24"/>
      <c r="AY69" s="24"/>
      <c r="AZ69" s="24"/>
      <c r="BA69" s="24"/>
      <c r="BB69" s="24"/>
      <c r="BC69" s="24"/>
      <c r="BD69" s="24"/>
      <c r="BE69" s="24"/>
      <c r="BF69" s="24"/>
      <c r="BG69" s="24"/>
      <c r="BH69" s="31"/>
      <c r="BI69" s="24"/>
      <c r="BJ69" s="24"/>
      <c r="BK69" s="24"/>
      <c r="BL69" s="23"/>
      <c r="BM69" s="13"/>
      <c r="BO69" s="118" t="s">
        <v>268</v>
      </c>
      <c r="BP69" s="119"/>
      <c r="BQ69" s="119"/>
      <c r="BR69" s="119"/>
      <c r="BS69" s="120" t="s">
        <v>269</v>
      </c>
      <c r="BT69" s="121"/>
      <c r="BU69" s="121"/>
      <c r="BV69" s="121"/>
      <c r="BW69" s="121"/>
      <c r="BX69" s="121"/>
      <c r="BY69" s="121"/>
      <c r="BZ69" s="121"/>
      <c r="CA69" s="121"/>
      <c r="CB69" s="121"/>
      <c r="CC69" s="121"/>
      <c r="CD69" s="122"/>
    </row>
    <row r="70" spans="1:83" s="11" customFormat="1" ht="13.5" customHeight="1">
      <c r="A70" s="28"/>
      <c r="B70" s="31"/>
      <c r="C70" s="24"/>
      <c r="D70" s="24"/>
      <c r="E70" s="24"/>
      <c r="F70" s="24"/>
      <c r="G70" s="24"/>
      <c r="H70" s="23"/>
      <c r="I70" s="24"/>
      <c r="J70" s="24"/>
      <c r="K70" s="24"/>
      <c r="L70" s="24"/>
      <c r="M70" s="24"/>
      <c r="N70" s="24"/>
      <c r="O70" s="24"/>
      <c r="P70" s="31"/>
      <c r="Q70" s="24"/>
      <c r="R70" s="24"/>
      <c r="S70" s="24"/>
      <c r="T70" s="24"/>
      <c r="U70" s="24"/>
      <c r="V70" s="24"/>
      <c r="W70" s="31"/>
      <c r="X70" s="24"/>
      <c r="Y70" s="24"/>
      <c r="Z70" s="24"/>
      <c r="AA70" s="24"/>
      <c r="AB70" s="24"/>
      <c r="AC70" s="24"/>
      <c r="AD70" s="31"/>
      <c r="AE70" s="24"/>
      <c r="AF70" s="24"/>
      <c r="AG70" s="24"/>
      <c r="AH70" s="24"/>
      <c r="AI70" s="24"/>
      <c r="AJ70" s="23"/>
      <c r="AK70" s="31"/>
      <c r="AL70" s="24"/>
      <c r="AM70" s="24"/>
      <c r="AN70" s="24"/>
      <c r="AO70" s="24"/>
      <c r="AP70" s="24"/>
      <c r="AQ70" s="23"/>
      <c r="AR70" s="24"/>
      <c r="AS70" s="24"/>
      <c r="AT70" s="24"/>
      <c r="AU70" s="24"/>
      <c r="AV70" s="24"/>
      <c r="AW70" s="24"/>
      <c r="AX70" s="24"/>
      <c r="AY70" s="24"/>
      <c r="AZ70" s="24"/>
      <c r="BA70" s="24"/>
      <c r="BB70" s="24"/>
      <c r="BC70" s="24"/>
      <c r="BD70" s="24"/>
      <c r="BE70" s="24"/>
      <c r="BF70" s="24"/>
      <c r="BG70" s="24"/>
      <c r="BH70" s="31"/>
      <c r="BI70" s="24"/>
      <c r="BJ70" s="24"/>
      <c r="BK70" s="24"/>
      <c r="BL70" s="23"/>
      <c r="BM70" s="13"/>
      <c r="BO70" s="62"/>
      <c r="BS70" s="103"/>
      <c r="BT70" s="104"/>
      <c r="BU70" s="104"/>
      <c r="BV70" s="104"/>
      <c r="BW70" s="104"/>
      <c r="BX70" s="104"/>
      <c r="BY70" s="104"/>
      <c r="BZ70" s="104"/>
      <c r="CA70" s="104"/>
      <c r="CB70" s="104"/>
      <c r="CC70" s="104"/>
      <c r="CD70" s="105"/>
    </row>
    <row r="71" spans="1:83" s="11" customFormat="1" ht="13.5" customHeight="1">
      <c r="A71" s="28"/>
      <c r="B71" s="31"/>
      <c r="C71" s="24"/>
      <c r="D71" s="24"/>
      <c r="E71" s="24"/>
      <c r="F71" s="24"/>
      <c r="G71" s="24"/>
      <c r="H71" s="23"/>
      <c r="I71" s="24"/>
      <c r="J71" s="24"/>
      <c r="K71" s="24"/>
      <c r="L71" s="24"/>
      <c r="M71" s="24"/>
      <c r="N71" s="24"/>
      <c r="O71" s="24"/>
      <c r="P71" s="31"/>
      <c r="Q71" s="24"/>
      <c r="R71" s="24"/>
      <c r="S71" s="24"/>
      <c r="T71" s="24"/>
      <c r="U71" s="24"/>
      <c r="V71" s="24"/>
      <c r="W71" s="31"/>
      <c r="X71" s="24"/>
      <c r="Y71" s="24"/>
      <c r="Z71" s="24"/>
      <c r="AA71" s="24"/>
      <c r="AB71" s="24"/>
      <c r="AC71" s="24"/>
      <c r="AD71" s="31"/>
      <c r="AE71" s="24"/>
      <c r="AF71" s="24"/>
      <c r="AG71" s="24"/>
      <c r="AH71" s="24"/>
      <c r="AI71" s="24"/>
      <c r="AJ71" s="23"/>
      <c r="AK71" s="31"/>
      <c r="AL71" s="24"/>
      <c r="AM71" s="24"/>
      <c r="AN71" s="24"/>
      <c r="AO71" s="24"/>
      <c r="AP71" s="24"/>
      <c r="AQ71" s="23"/>
      <c r="AR71" s="31"/>
      <c r="AS71" s="24"/>
      <c r="AT71" s="24"/>
      <c r="AU71" s="24"/>
      <c r="AV71" s="24"/>
      <c r="AW71" s="24"/>
      <c r="AX71" s="24"/>
      <c r="AY71" s="24"/>
      <c r="AZ71" s="24"/>
      <c r="BA71" s="24"/>
      <c r="BB71" s="24"/>
      <c r="BC71" s="24"/>
      <c r="BD71" s="24"/>
      <c r="BE71" s="24"/>
      <c r="BF71" s="24"/>
      <c r="BG71" s="24"/>
      <c r="BH71" s="31"/>
      <c r="BI71" s="24"/>
      <c r="BJ71" s="24"/>
      <c r="BK71" s="24"/>
      <c r="BL71" s="23"/>
      <c r="BM71" s="13"/>
      <c r="BO71" s="62"/>
      <c r="BS71" s="103"/>
      <c r="BT71" s="104"/>
      <c r="BU71" s="104"/>
      <c r="BV71" s="104"/>
      <c r="BW71" s="104"/>
      <c r="BX71" s="104"/>
      <c r="BY71" s="104"/>
      <c r="BZ71" s="104"/>
      <c r="CA71" s="104"/>
      <c r="CB71" s="104"/>
      <c r="CC71" s="104"/>
      <c r="CD71" s="105"/>
    </row>
    <row r="72" spans="1:83" s="11" customFormat="1" ht="13.5" customHeight="1">
      <c r="A72" s="28"/>
      <c r="B72" s="31"/>
      <c r="C72" s="24"/>
      <c r="D72" s="24"/>
      <c r="E72" s="24"/>
      <c r="F72" s="24"/>
      <c r="G72" s="24"/>
      <c r="H72" s="23"/>
      <c r="I72" s="24"/>
      <c r="J72" s="24"/>
      <c r="K72" s="24"/>
      <c r="L72" s="24"/>
      <c r="M72" s="24"/>
      <c r="N72" s="24"/>
      <c r="O72" s="24"/>
      <c r="P72" s="31"/>
      <c r="Q72" s="24"/>
      <c r="R72" s="24"/>
      <c r="S72" s="24"/>
      <c r="T72" s="24"/>
      <c r="U72" s="24"/>
      <c r="V72" s="24"/>
      <c r="W72" s="31"/>
      <c r="X72" s="24"/>
      <c r="Y72" s="24"/>
      <c r="Z72" s="24"/>
      <c r="AA72" s="24"/>
      <c r="AB72" s="24"/>
      <c r="AC72" s="24"/>
      <c r="AD72" s="31"/>
      <c r="AE72" s="24"/>
      <c r="AF72" s="24"/>
      <c r="AG72" s="24"/>
      <c r="AH72" s="24"/>
      <c r="AI72" s="24"/>
      <c r="AJ72" s="23"/>
      <c r="AK72" s="31"/>
      <c r="AL72" s="24"/>
      <c r="AM72" s="24"/>
      <c r="AN72" s="24"/>
      <c r="AO72" s="24"/>
      <c r="AP72" s="24"/>
      <c r="AQ72" s="23"/>
      <c r="AR72" s="24"/>
      <c r="AS72" s="16"/>
      <c r="AT72" s="8"/>
      <c r="AU72" s="8"/>
      <c r="AV72" s="8"/>
      <c r="AW72" s="8"/>
      <c r="AX72" s="24"/>
      <c r="AY72" s="24"/>
      <c r="AZ72" s="24"/>
      <c r="BA72" s="24"/>
      <c r="BB72" s="24"/>
      <c r="BC72" s="24"/>
      <c r="BD72" s="24"/>
      <c r="BE72" s="24"/>
      <c r="BF72" s="24"/>
      <c r="BG72" s="24"/>
      <c r="BH72" s="31"/>
      <c r="BI72" s="24"/>
      <c r="BJ72" s="24"/>
      <c r="BK72" s="24"/>
      <c r="BL72" s="23"/>
      <c r="BM72" s="13"/>
      <c r="BO72" s="64"/>
      <c r="BP72" s="8"/>
      <c r="BQ72" s="8"/>
      <c r="BR72" s="8"/>
      <c r="BS72" s="103"/>
      <c r="BT72" s="104"/>
      <c r="BU72" s="104"/>
      <c r="BV72" s="104"/>
      <c r="BW72" s="104"/>
      <c r="BX72" s="104"/>
      <c r="BY72" s="104"/>
      <c r="BZ72" s="104"/>
      <c r="CA72" s="104"/>
      <c r="CB72" s="104"/>
      <c r="CC72" s="104"/>
      <c r="CD72" s="105"/>
    </row>
    <row r="73" spans="1:83" s="11" customFormat="1" ht="13.5" customHeight="1">
      <c r="A73" s="28"/>
      <c r="B73" s="31"/>
      <c r="C73" s="24"/>
      <c r="D73" s="24"/>
      <c r="E73" s="24"/>
      <c r="F73" s="24"/>
      <c r="G73" s="24"/>
      <c r="H73" s="23"/>
      <c r="I73" s="24"/>
      <c r="J73" s="24"/>
      <c r="K73" s="24"/>
      <c r="L73" s="24"/>
      <c r="M73" s="24"/>
      <c r="N73" s="24"/>
      <c r="O73" s="24"/>
      <c r="P73" s="31"/>
      <c r="Q73" s="24"/>
      <c r="R73" s="24"/>
      <c r="S73" s="24"/>
      <c r="T73" s="24"/>
      <c r="U73" s="24"/>
      <c r="V73" s="24"/>
      <c r="W73" s="31"/>
      <c r="X73" s="24"/>
      <c r="Y73" s="24"/>
      <c r="Z73" s="24"/>
      <c r="AA73" s="24"/>
      <c r="AB73" s="24"/>
      <c r="AC73" s="24"/>
      <c r="AD73" s="31"/>
      <c r="AE73" s="24"/>
      <c r="AF73" s="24"/>
      <c r="AG73" s="24"/>
      <c r="AH73" s="24"/>
      <c r="AI73" s="24"/>
      <c r="AJ73" s="23"/>
      <c r="AK73" s="31"/>
      <c r="AL73" s="24"/>
      <c r="AM73" s="24"/>
      <c r="AN73" s="24"/>
      <c r="AO73" s="24"/>
      <c r="AP73" s="24"/>
      <c r="AQ73" s="23"/>
      <c r="AR73" s="24"/>
      <c r="AS73" s="8"/>
      <c r="AT73" s="8"/>
      <c r="AU73" s="24"/>
      <c r="AV73" s="24"/>
      <c r="AW73" s="24"/>
      <c r="AX73" s="24"/>
      <c r="AY73" s="24"/>
      <c r="AZ73" s="24"/>
      <c r="BA73" s="24"/>
      <c r="BB73" s="24"/>
      <c r="BC73" s="24"/>
      <c r="BD73" s="24"/>
      <c r="BE73" s="24"/>
      <c r="BF73" s="24"/>
      <c r="BG73" s="24"/>
      <c r="BH73" s="31"/>
      <c r="BI73" s="24"/>
      <c r="BJ73" s="24"/>
      <c r="BK73" s="24"/>
      <c r="BL73" s="23"/>
      <c r="BM73" s="13"/>
      <c r="BO73" s="64"/>
      <c r="BP73" s="8"/>
      <c r="BQ73" s="8"/>
      <c r="BR73" s="8"/>
      <c r="BS73" s="103"/>
      <c r="BT73" s="104"/>
      <c r="BU73" s="104"/>
      <c r="BV73" s="104"/>
      <c r="BW73" s="104"/>
      <c r="BX73" s="104"/>
      <c r="BY73" s="104"/>
      <c r="BZ73" s="104"/>
      <c r="CA73" s="104"/>
      <c r="CB73" s="104"/>
      <c r="CC73" s="104"/>
      <c r="CD73" s="105"/>
    </row>
    <row r="74" spans="1:83" s="11" customFormat="1" ht="13.5" customHeight="1">
      <c r="A74" s="28"/>
      <c r="B74" s="31"/>
      <c r="C74" s="24"/>
      <c r="D74" s="24"/>
      <c r="E74" s="24"/>
      <c r="F74" s="24"/>
      <c r="G74" s="24"/>
      <c r="H74" s="23"/>
      <c r="I74" s="24"/>
      <c r="J74" s="24"/>
      <c r="K74" s="24"/>
      <c r="L74" s="24"/>
      <c r="M74" s="24"/>
      <c r="N74" s="24"/>
      <c r="O74" s="24"/>
      <c r="P74" s="31"/>
      <c r="Q74" s="24"/>
      <c r="R74" s="24"/>
      <c r="S74" s="24"/>
      <c r="T74" s="24"/>
      <c r="U74" s="24"/>
      <c r="V74" s="24"/>
      <c r="W74" s="31"/>
      <c r="X74" s="24"/>
      <c r="Y74" s="24"/>
      <c r="Z74" s="24"/>
      <c r="AA74" s="24"/>
      <c r="AB74" s="24"/>
      <c r="AC74" s="24"/>
      <c r="AD74" s="31"/>
      <c r="AE74" s="24"/>
      <c r="AF74" s="24"/>
      <c r="AG74" s="24"/>
      <c r="AH74" s="24"/>
      <c r="AI74" s="24"/>
      <c r="AJ74" s="23"/>
      <c r="AK74" s="31"/>
      <c r="AL74" s="24"/>
      <c r="AM74" s="24"/>
      <c r="AN74" s="24"/>
      <c r="AO74" s="24"/>
      <c r="AP74" s="24"/>
      <c r="AQ74" s="23"/>
      <c r="AR74" s="24"/>
      <c r="AS74" s="24"/>
      <c r="AT74" s="24"/>
      <c r="AU74" s="24"/>
      <c r="AV74" s="24"/>
      <c r="AW74" s="24"/>
      <c r="AX74" s="24"/>
      <c r="AY74" s="24"/>
      <c r="AZ74" s="24"/>
      <c r="BA74" s="24"/>
      <c r="BB74" s="24"/>
      <c r="BC74" s="24"/>
      <c r="BD74" s="24"/>
      <c r="BE74" s="24"/>
      <c r="BF74" s="24"/>
      <c r="BG74" s="24"/>
      <c r="BH74" s="31"/>
      <c r="BI74" s="24"/>
      <c r="BJ74" s="24"/>
      <c r="BK74" s="24"/>
      <c r="BL74" s="23"/>
      <c r="BM74" s="13"/>
      <c r="BO74" s="64"/>
      <c r="BP74" s="8"/>
      <c r="BQ74" s="8"/>
      <c r="BR74" s="8"/>
      <c r="BS74" s="103"/>
      <c r="BT74" s="104"/>
      <c r="BU74" s="104"/>
      <c r="BV74" s="104"/>
      <c r="BW74" s="104"/>
      <c r="BX74" s="104"/>
      <c r="BY74" s="104"/>
      <c r="BZ74" s="104"/>
      <c r="CA74" s="104"/>
      <c r="CB74" s="104"/>
      <c r="CC74" s="104"/>
      <c r="CD74" s="105"/>
    </row>
    <row r="75" spans="1:83" s="11" customFormat="1" ht="13.5" customHeight="1">
      <c r="A75" s="28"/>
      <c r="B75" s="31"/>
      <c r="C75" s="24"/>
      <c r="D75" s="24"/>
      <c r="E75" s="24"/>
      <c r="F75" s="24"/>
      <c r="G75" s="24"/>
      <c r="H75" s="23"/>
      <c r="I75" s="24"/>
      <c r="J75" s="24"/>
      <c r="K75" s="24"/>
      <c r="L75" s="24"/>
      <c r="M75" s="24"/>
      <c r="N75" s="24"/>
      <c r="O75" s="24"/>
      <c r="P75" s="31"/>
      <c r="Q75" s="24"/>
      <c r="R75" s="24"/>
      <c r="S75" s="24"/>
      <c r="T75" s="24"/>
      <c r="U75" s="24"/>
      <c r="V75" s="24"/>
      <c r="W75" s="31"/>
      <c r="X75" s="24"/>
      <c r="Y75" s="24"/>
      <c r="Z75" s="24"/>
      <c r="AA75" s="24"/>
      <c r="AB75" s="24"/>
      <c r="AC75" s="24"/>
      <c r="AD75" s="31"/>
      <c r="AE75" s="24"/>
      <c r="AF75" s="24"/>
      <c r="AG75" s="24"/>
      <c r="AH75" s="24"/>
      <c r="AI75" s="24"/>
      <c r="AJ75" s="23"/>
      <c r="AK75" s="31"/>
      <c r="AL75" s="24"/>
      <c r="AM75" s="24"/>
      <c r="AN75" s="24"/>
      <c r="AO75" s="24"/>
      <c r="AP75" s="24"/>
      <c r="AQ75" s="23"/>
      <c r="AR75" s="24"/>
      <c r="AS75" s="24"/>
      <c r="AT75" s="24"/>
      <c r="AU75" s="24"/>
      <c r="AV75" s="24"/>
      <c r="AW75" s="24"/>
      <c r="AX75" s="24"/>
      <c r="AY75" s="24"/>
      <c r="AZ75" s="24"/>
      <c r="BA75" s="24"/>
      <c r="BB75" s="24"/>
      <c r="BC75" s="24"/>
      <c r="BD75" s="24"/>
      <c r="BE75" s="24"/>
      <c r="BF75" s="24"/>
      <c r="BG75" s="24"/>
      <c r="BH75" s="31"/>
      <c r="BI75" s="24"/>
      <c r="BJ75" s="24"/>
      <c r="BK75" s="24"/>
      <c r="BL75" s="23"/>
      <c r="BM75" s="13"/>
      <c r="BO75" s="64"/>
      <c r="BP75" s="8"/>
      <c r="BQ75" s="8"/>
      <c r="BR75" s="8"/>
      <c r="BS75" s="103"/>
      <c r="BT75" s="104"/>
      <c r="BU75" s="104"/>
      <c r="BV75" s="104"/>
      <c r="BW75" s="104"/>
      <c r="BX75" s="104"/>
      <c r="BY75" s="104"/>
      <c r="BZ75" s="104"/>
      <c r="CA75" s="104"/>
      <c r="CB75" s="104"/>
      <c r="CC75" s="104"/>
      <c r="CD75" s="105"/>
    </row>
    <row r="76" spans="1:83" s="11" customFormat="1" ht="13.5" customHeight="1">
      <c r="A76" s="28"/>
      <c r="B76" s="31"/>
      <c r="C76" s="24"/>
      <c r="D76" s="24"/>
      <c r="E76" s="24"/>
      <c r="F76" s="24"/>
      <c r="G76" s="24"/>
      <c r="H76" s="23"/>
      <c r="I76" s="24"/>
      <c r="J76" s="24"/>
      <c r="K76" s="24"/>
      <c r="L76" s="24"/>
      <c r="M76" s="24"/>
      <c r="N76" s="24"/>
      <c r="O76" s="24"/>
      <c r="P76" s="31"/>
      <c r="Q76" s="24"/>
      <c r="R76" s="24"/>
      <c r="S76" s="24"/>
      <c r="T76" s="24"/>
      <c r="U76" s="24"/>
      <c r="V76" s="24"/>
      <c r="W76" s="31"/>
      <c r="X76" s="24"/>
      <c r="Y76" s="24"/>
      <c r="Z76" s="24"/>
      <c r="AA76" s="24"/>
      <c r="AB76" s="24"/>
      <c r="AC76" s="24"/>
      <c r="AD76" s="31"/>
      <c r="AE76" s="24"/>
      <c r="AF76" s="24"/>
      <c r="AG76" s="24"/>
      <c r="AH76" s="24"/>
      <c r="AI76" s="24"/>
      <c r="AJ76" s="23"/>
      <c r="AK76" s="31"/>
      <c r="AL76" s="24"/>
      <c r="AM76" s="24"/>
      <c r="AN76" s="24"/>
      <c r="AO76" s="24"/>
      <c r="AP76" s="24"/>
      <c r="AQ76" s="23"/>
      <c r="AR76" s="24"/>
      <c r="AS76" s="24"/>
      <c r="AT76" s="24"/>
      <c r="AU76" s="24"/>
      <c r="AV76" s="24"/>
      <c r="AW76" s="24"/>
      <c r="AX76" s="24"/>
      <c r="AY76" s="24"/>
      <c r="AZ76" s="24"/>
      <c r="BA76" s="24"/>
      <c r="BB76" s="24"/>
      <c r="BC76" s="24"/>
      <c r="BD76" s="24"/>
      <c r="BE76" s="24"/>
      <c r="BF76" s="24"/>
      <c r="BG76" s="24"/>
      <c r="BH76" s="31"/>
      <c r="BI76" s="24"/>
      <c r="BJ76" s="24"/>
      <c r="BK76" s="24"/>
      <c r="BL76" s="23"/>
      <c r="BM76" s="13"/>
      <c r="BO76" s="62"/>
      <c r="BS76" s="103"/>
      <c r="BT76" s="104"/>
      <c r="BU76" s="104"/>
      <c r="BV76" s="104"/>
      <c r="BW76" s="104"/>
      <c r="BX76" s="104"/>
      <c r="BY76" s="104"/>
      <c r="BZ76" s="104"/>
      <c r="CA76" s="104"/>
      <c r="CB76" s="104"/>
      <c r="CC76" s="104"/>
      <c r="CD76" s="105"/>
    </row>
    <row r="77" spans="1:83" s="11" customFormat="1" ht="13.5" customHeight="1">
      <c r="A77" s="28"/>
      <c r="B77" s="31"/>
      <c r="C77" s="24"/>
      <c r="D77" s="24"/>
      <c r="E77" s="24"/>
      <c r="F77" s="24"/>
      <c r="G77" s="24"/>
      <c r="H77" s="23"/>
      <c r="I77" s="24"/>
      <c r="J77" s="24"/>
      <c r="K77" s="24"/>
      <c r="L77" s="24"/>
      <c r="M77" s="24"/>
      <c r="N77" s="24"/>
      <c r="O77" s="24"/>
      <c r="P77" s="31"/>
      <c r="Q77" s="24"/>
      <c r="R77" s="24"/>
      <c r="S77" s="24"/>
      <c r="T77" s="24"/>
      <c r="U77" s="24"/>
      <c r="V77" s="24"/>
      <c r="W77" s="31"/>
      <c r="X77" s="24"/>
      <c r="Y77" s="24"/>
      <c r="Z77" s="24"/>
      <c r="AA77" s="24"/>
      <c r="AB77" s="24"/>
      <c r="AC77" s="24"/>
      <c r="AD77" s="31"/>
      <c r="AE77" s="24"/>
      <c r="AF77" s="24"/>
      <c r="AG77" s="24"/>
      <c r="AH77" s="24"/>
      <c r="AI77" s="24"/>
      <c r="AJ77" s="23"/>
      <c r="AK77" s="31"/>
      <c r="AL77" s="24"/>
      <c r="AM77" s="24"/>
      <c r="AN77" s="24"/>
      <c r="AO77" s="24"/>
      <c r="AP77" s="24"/>
      <c r="AQ77" s="23"/>
      <c r="AR77" s="24"/>
      <c r="AS77" s="24"/>
      <c r="AT77" s="24"/>
      <c r="AU77" s="24"/>
      <c r="AV77" s="24"/>
      <c r="AW77" s="24"/>
      <c r="AX77" s="24"/>
      <c r="AY77" s="24"/>
      <c r="AZ77" s="24"/>
      <c r="BA77" s="24"/>
      <c r="BB77" s="24"/>
      <c r="BC77" s="24"/>
      <c r="BD77" s="24"/>
      <c r="BE77" s="24"/>
      <c r="BF77" s="24"/>
      <c r="BG77" s="24"/>
      <c r="BH77" s="31"/>
      <c r="BI77" s="24"/>
      <c r="BJ77" s="24"/>
      <c r="BK77" s="24"/>
      <c r="BL77" s="23"/>
      <c r="BM77" s="13"/>
      <c r="BO77" s="62"/>
      <c r="BS77" s="103"/>
      <c r="BT77" s="104"/>
      <c r="BU77" s="104"/>
      <c r="BV77" s="104"/>
      <c r="BW77" s="104"/>
      <c r="BX77" s="104"/>
      <c r="BY77" s="104"/>
      <c r="BZ77" s="104"/>
      <c r="CA77" s="104"/>
      <c r="CB77" s="104"/>
      <c r="CC77" s="104"/>
      <c r="CD77" s="105"/>
    </row>
    <row r="78" spans="1:83" s="11" customFormat="1" ht="13.5" customHeight="1">
      <c r="A78" s="28"/>
      <c r="B78" s="31"/>
      <c r="C78" s="24"/>
      <c r="D78" s="24"/>
      <c r="E78" s="24"/>
      <c r="F78" s="24"/>
      <c r="G78" s="24"/>
      <c r="H78" s="23"/>
      <c r="I78" s="24"/>
      <c r="J78" s="24"/>
      <c r="K78" s="24"/>
      <c r="L78" s="24"/>
      <c r="M78" s="24"/>
      <c r="N78" s="24"/>
      <c r="O78" s="24"/>
      <c r="P78" s="31"/>
      <c r="Q78" s="24"/>
      <c r="R78" s="24"/>
      <c r="S78" s="24"/>
      <c r="T78" s="24"/>
      <c r="U78" s="24"/>
      <c r="V78" s="24"/>
      <c r="W78" s="31"/>
      <c r="X78" s="24"/>
      <c r="Y78" s="24"/>
      <c r="Z78" s="24"/>
      <c r="AA78" s="24"/>
      <c r="AB78" s="24"/>
      <c r="AC78" s="24"/>
      <c r="AD78" s="31"/>
      <c r="AE78" s="24"/>
      <c r="AF78" s="24"/>
      <c r="AG78" s="24"/>
      <c r="AH78" s="24"/>
      <c r="AI78" s="24"/>
      <c r="AJ78" s="23"/>
      <c r="AK78" s="31"/>
      <c r="AL78" s="24"/>
      <c r="AM78" s="24"/>
      <c r="AN78" s="24"/>
      <c r="AO78" s="24"/>
      <c r="AP78" s="24"/>
      <c r="AQ78" s="23"/>
      <c r="AR78" s="24"/>
      <c r="AS78" s="24"/>
      <c r="AT78" s="24"/>
      <c r="AU78" s="24"/>
      <c r="AV78" s="24"/>
      <c r="AW78" s="24"/>
      <c r="AX78" s="24"/>
      <c r="AY78" s="24"/>
      <c r="AZ78" s="24"/>
      <c r="BA78" s="24"/>
      <c r="BB78" s="24"/>
      <c r="BC78" s="24"/>
      <c r="BD78" s="24"/>
      <c r="BE78" s="24"/>
      <c r="BF78" s="24"/>
      <c r="BG78" s="24"/>
      <c r="BH78" s="31"/>
      <c r="BI78" s="24"/>
      <c r="BJ78" s="24"/>
      <c r="BK78" s="24"/>
      <c r="BL78" s="23"/>
      <c r="BM78" s="13"/>
      <c r="BO78" s="62"/>
      <c r="BS78" s="103"/>
      <c r="BT78" s="104"/>
      <c r="BU78" s="104"/>
      <c r="BV78" s="104"/>
      <c r="BW78" s="104"/>
      <c r="BX78" s="104"/>
      <c r="BY78" s="104"/>
      <c r="BZ78" s="104"/>
      <c r="CA78" s="104"/>
      <c r="CB78" s="104"/>
      <c r="CC78" s="104"/>
      <c r="CD78" s="105"/>
    </row>
    <row r="79" spans="1:83" s="11" customFormat="1" ht="13.5" customHeight="1">
      <c r="A79" s="28"/>
      <c r="B79" s="31"/>
      <c r="C79" s="24"/>
      <c r="D79" s="24"/>
      <c r="E79" s="24"/>
      <c r="F79" s="24"/>
      <c r="G79" s="24"/>
      <c r="H79" s="23"/>
      <c r="I79" s="24"/>
      <c r="J79" s="24"/>
      <c r="K79" s="24"/>
      <c r="L79" s="24"/>
      <c r="M79" s="24"/>
      <c r="N79" s="24"/>
      <c r="O79" s="24"/>
      <c r="P79" s="31"/>
      <c r="Q79" s="24"/>
      <c r="R79" s="24"/>
      <c r="S79" s="24"/>
      <c r="T79" s="24"/>
      <c r="U79" s="24"/>
      <c r="V79" s="24"/>
      <c r="W79" s="31"/>
      <c r="X79" s="24"/>
      <c r="Y79" s="24"/>
      <c r="Z79" s="24"/>
      <c r="AA79" s="24"/>
      <c r="AB79" s="24"/>
      <c r="AC79" s="24"/>
      <c r="AD79" s="31"/>
      <c r="AE79" s="24"/>
      <c r="AF79" s="24"/>
      <c r="AG79" s="24"/>
      <c r="AH79" s="24"/>
      <c r="AI79" s="24"/>
      <c r="AJ79" s="23"/>
      <c r="AK79" s="31"/>
      <c r="AL79" s="24"/>
      <c r="AM79" s="24"/>
      <c r="AN79" s="24"/>
      <c r="AO79" s="24"/>
      <c r="AP79" s="24"/>
      <c r="AQ79" s="23"/>
      <c r="AR79" s="24"/>
      <c r="AS79" s="24"/>
      <c r="AT79" s="24"/>
      <c r="AU79" s="24"/>
      <c r="AV79" s="24"/>
      <c r="AW79" s="24"/>
      <c r="AX79" s="24"/>
      <c r="AY79" s="24"/>
      <c r="AZ79" s="24"/>
      <c r="BA79" s="24"/>
      <c r="BB79" s="24"/>
      <c r="BC79" s="24"/>
      <c r="BD79" s="24"/>
      <c r="BE79" s="24"/>
      <c r="BF79" s="24"/>
      <c r="BG79" s="24"/>
      <c r="BH79" s="31"/>
      <c r="BI79" s="24"/>
      <c r="BJ79" s="24"/>
      <c r="BK79" s="24"/>
      <c r="BL79" s="23"/>
      <c r="BM79" s="13"/>
      <c r="BO79" s="62"/>
      <c r="BS79" s="106"/>
      <c r="BT79" s="107"/>
      <c r="BU79" s="107"/>
      <c r="BV79" s="107"/>
      <c r="BW79" s="107"/>
      <c r="BX79" s="107"/>
      <c r="BY79" s="107"/>
      <c r="BZ79" s="107"/>
      <c r="CA79" s="107"/>
      <c r="CB79" s="107"/>
      <c r="CC79" s="107"/>
      <c r="CD79" s="108"/>
    </row>
    <row r="80" spans="1:83" s="11" customFormat="1" ht="13.5" customHeight="1">
      <c r="A80" s="28"/>
      <c r="B80" s="88" t="s">
        <v>270</v>
      </c>
      <c r="C80" s="77"/>
      <c r="D80" s="77"/>
      <c r="E80" s="77"/>
      <c r="F80" s="77"/>
      <c r="G80" s="77"/>
      <c r="H80" s="78"/>
      <c r="I80" s="26"/>
      <c r="J80" s="26"/>
      <c r="K80" s="26"/>
      <c r="L80" s="26"/>
      <c r="M80" s="26"/>
      <c r="N80" s="26"/>
      <c r="O80" s="26"/>
      <c r="P80" s="35"/>
      <c r="Q80" s="26"/>
      <c r="R80" s="26"/>
      <c r="S80" s="26"/>
      <c r="T80" s="26"/>
      <c r="U80" s="26"/>
      <c r="V80" s="26"/>
      <c r="W80" s="35"/>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13"/>
      <c r="BO80" s="59"/>
      <c r="BP80" s="60"/>
      <c r="BQ80" s="60"/>
      <c r="BR80" s="60"/>
      <c r="BS80" s="217" t="s">
        <v>271</v>
      </c>
      <c r="BT80" s="206"/>
      <c r="BU80" s="206"/>
      <c r="BV80" s="206"/>
      <c r="BW80" s="206"/>
      <c r="BX80" s="206"/>
      <c r="BY80" s="206"/>
      <c r="BZ80" s="206"/>
      <c r="CA80" s="206"/>
      <c r="CB80" s="206"/>
      <c r="CC80" s="206"/>
      <c r="CD80" s="218"/>
      <c r="CE80" s="69" t="s">
        <v>272</v>
      </c>
    </row>
    <row r="81" spans="1:83" s="11" customFormat="1" ht="13.5" customHeight="1">
      <c r="A81" s="28"/>
      <c r="B81" s="47"/>
      <c r="C81" s="45"/>
      <c r="D81" s="45"/>
      <c r="E81" s="45"/>
      <c r="F81" s="45"/>
      <c r="G81" s="45"/>
      <c r="H81" s="46"/>
      <c r="I81" s="45"/>
      <c r="J81" s="45"/>
      <c r="K81" s="45"/>
      <c r="L81" s="45"/>
      <c r="M81" s="45"/>
      <c r="N81" s="45"/>
      <c r="O81" s="45"/>
      <c r="P81" s="47"/>
      <c r="Q81" s="45"/>
      <c r="R81" s="45"/>
      <c r="S81" s="45"/>
      <c r="T81" s="45"/>
      <c r="U81" s="45"/>
      <c r="V81" s="45"/>
      <c r="W81" s="47"/>
      <c r="X81" s="45"/>
      <c r="Y81" s="45"/>
      <c r="Z81" s="45"/>
      <c r="AA81" s="45"/>
      <c r="AB81" s="45"/>
      <c r="AC81" s="45"/>
      <c r="AD81" s="47"/>
      <c r="AE81" s="45"/>
      <c r="AF81" s="45"/>
      <c r="AG81" s="45"/>
      <c r="AH81" s="45"/>
      <c r="AI81" s="45"/>
      <c r="AJ81" s="46"/>
      <c r="AK81" s="47"/>
      <c r="AL81" s="45"/>
      <c r="AM81" s="45"/>
      <c r="AN81" s="45"/>
      <c r="AO81" s="45"/>
      <c r="AP81" s="45"/>
      <c r="AQ81" s="46"/>
      <c r="AR81" s="45"/>
      <c r="AS81" s="45"/>
      <c r="AT81" s="45"/>
      <c r="AU81" s="45"/>
      <c r="AV81" s="45"/>
      <c r="AW81" s="45"/>
      <c r="AX81" s="45"/>
      <c r="AY81" s="45"/>
      <c r="AZ81" s="45"/>
      <c r="BA81" s="45"/>
      <c r="BB81" s="45"/>
      <c r="BC81" s="45"/>
      <c r="BD81" s="45"/>
      <c r="BE81" s="45"/>
      <c r="BF81" s="45"/>
      <c r="BG81" s="45"/>
      <c r="BH81" s="47"/>
      <c r="BI81" s="45"/>
      <c r="BJ81" s="45"/>
      <c r="BK81" s="45"/>
      <c r="BL81" s="46"/>
      <c r="BM81" s="13"/>
      <c r="BO81" s="62"/>
      <c r="BS81" s="219"/>
      <c r="BT81" s="195"/>
      <c r="BU81" s="195"/>
      <c r="BV81" s="195"/>
      <c r="BW81" s="195"/>
      <c r="BX81" s="195"/>
      <c r="BY81" s="195"/>
      <c r="BZ81" s="195"/>
      <c r="CA81" s="195"/>
      <c r="CB81" s="195"/>
      <c r="CC81" s="195"/>
      <c r="CD81" s="220"/>
      <c r="CE81" s="70" t="s">
        <v>273</v>
      </c>
    </row>
    <row r="82" spans="1:83" s="11" customFormat="1" ht="13.5" customHeight="1">
      <c r="A82" s="28"/>
      <c r="B82" s="31"/>
      <c r="C82" s="24"/>
      <c r="D82" s="24"/>
      <c r="E82" s="24"/>
      <c r="F82" s="24"/>
      <c r="G82" s="24"/>
      <c r="H82" s="23"/>
      <c r="I82" s="24"/>
      <c r="J82" s="24"/>
      <c r="K82" s="24"/>
      <c r="L82" s="24"/>
      <c r="M82" s="24"/>
      <c r="N82" s="24"/>
      <c r="O82" s="24"/>
      <c r="P82" s="31"/>
      <c r="Q82" s="24"/>
      <c r="R82" s="24"/>
      <c r="S82" s="24"/>
      <c r="T82" s="24"/>
      <c r="U82" s="24"/>
      <c r="V82" s="24"/>
      <c r="W82" s="31"/>
      <c r="X82" s="24"/>
      <c r="Y82" s="24"/>
      <c r="Z82" s="24"/>
      <c r="AA82" s="24"/>
      <c r="AB82" s="24"/>
      <c r="AC82" s="24"/>
      <c r="AD82" s="31"/>
      <c r="AE82" s="24"/>
      <c r="AF82" s="24"/>
      <c r="AG82" s="24"/>
      <c r="AH82" s="24"/>
      <c r="AI82" s="24"/>
      <c r="AJ82" s="23"/>
      <c r="AK82" s="31"/>
      <c r="AL82" s="24"/>
      <c r="AM82" s="24"/>
      <c r="AN82" s="24"/>
      <c r="AO82" s="24"/>
      <c r="AP82" s="24"/>
      <c r="AQ82" s="23"/>
      <c r="AR82" s="24"/>
      <c r="AS82" s="24"/>
      <c r="AT82" s="24"/>
      <c r="AU82" s="24"/>
      <c r="AV82" s="24"/>
      <c r="AW82" s="24"/>
      <c r="AX82" s="24"/>
      <c r="AY82" s="24"/>
      <c r="AZ82" s="24"/>
      <c r="BA82" s="24"/>
      <c r="BB82" s="24"/>
      <c r="BC82" s="24"/>
      <c r="BD82" s="24"/>
      <c r="BE82" s="24"/>
      <c r="BF82" s="24"/>
      <c r="BG82" s="24"/>
      <c r="BH82" s="31"/>
      <c r="BI82" s="24"/>
      <c r="BJ82" s="24"/>
      <c r="BK82" s="24"/>
      <c r="BL82" s="23"/>
      <c r="BM82" s="13"/>
      <c r="BO82" s="62"/>
      <c r="BS82" s="219"/>
      <c r="BT82" s="195"/>
      <c r="BU82" s="195"/>
      <c r="BV82" s="195"/>
      <c r="BW82" s="195"/>
      <c r="BX82" s="195"/>
      <c r="BY82" s="195"/>
      <c r="BZ82" s="195"/>
      <c r="CA82" s="195"/>
      <c r="CB82" s="195"/>
      <c r="CC82" s="195"/>
      <c r="CD82" s="220"/>
      <c r="CE82" s="70" t="s">
        <v>274</v>
      </c>
    </row>
    <row r="83" spans="1:83" s="11" customFormat="1" ht="13.5" customHeight="1">
      <c r="A83" s="28"/>
      <c r="B83" s="31"/>
      <c r="C83" s="24"/>
      <c r="D83" s="24"/>
      <c r="E83" s="24"/>
      <c r="F83" s="24"/>
      <c r="G83" s="24"/>
      <c r="H83" s="23"/>
      <c r="I83" s="24"/>
      <c r="J83" s="24"/>
      <c r="K83" s="24"/>
      <c r="L83" s="24"/>
      <c r="M83" s="24"/>
      <c r="N83" s="24"/>
      <c r="O83" s="24"/>
      <c r="P83" s="31"/>
      <c r="Q83" s="24"/>
      <c r="R83" s="24"/>
      <c r="S83" s="24"/>
      <c r="T83" s="24"/>
      <c r="U83" s="24"/>
      <c r="V83" s="24"/>
      <c r="W83" s="31"/>
      <c r="X83" s="24"/>
      <c r="Y83" s="24"/>
      <c r="Z83" s="24"/>
      <c r="AA83" s="24"/>
      <c r="AB83" s="24"/>
      <c r="AC83" s="24"/>
      <c r="AD83" s="31"/>
      <c r="AE83" s="24"/>
      <c r="AF83" s="24"/>
      <c r="AG83" s="24"/>
      <c r="AH83" s="24"/>
      <c r="AI83" s="24"/>
      <c r="AJ83" s="23"/>
      <c r="AK83" s="31"/>
      <c r="AL83" s="24"/>
      <c r="AM83" s="24"/>
      <c r="AN83" s="24"/>
      <c r="AO83" s="24"/>
      <c r="AP83" s="24"/>
      <c r="AQ83" s="23"/>
      <c r="AR83" s="24"/>
      <c r="AS83" s="24"/>
      <c r="AT83" s="24"/>
      <c r="AU83" s="24"/>
      <c r="AV83" s="24"/>
      <c r="AW83" s="24"/>
      <c r="AX83" s="24"/>
      <c r="AY83" s="24"/>
      <c r="AZ83" s="24"/>
      <c r="BA83" s="24"/>
      <c r="BB83" s="24"/>
      <c r="BC83" s="24"/>
      <c r="BD83" s="24"/>
      <c r="BE83" s="24"/>
      <c r="BF83" s="24"/>
      <c r="BG83" s="24"/>
      <c r="BH83" s="31"/>
      <c r="BI83" s="24"/>
      <c r="BJ83" s="24"/>
      <c r="BK83" s="24"/>
      <c r="BL83" s="23"/>
      <c r="BM83" s="13"/>
      <c r="BO83" s="62"/>
      <c r="BS83" s="219"/>
      <c r="BT83" s="195"/>
      <c r="BU83" s="195"/>
      <c r="BV83" s="195"/>
      <c r="BW83" s="195"/>
      <c r="BX83" s="195"/>
      <c r="BY83" s="195"/>
      <c r="BZ83" s="195"/>
      <c r="CA83" s="195"/>
      <c r="CB83" s="195"/>
      <c r="CC83" s="195"/>
      <c r="CD83" s="220"/>
      <c r="CE83" s="69" t="s">
        <v>275</v>
      </c>
    </row>
    <row r="84" spans="1:83" s="11" customFormat="1" ht="13.5" customHeight="1">
      <c r="A84" s="28"/>
      <c r="B84" s="31"/>
      <c r="C84" s="24"/>
      <c r="D84" s="24"/>
      <c r="E84" s="24"/>
      <c r="F84" s="24"/>
      <c r="G84" s="24"/>
      <c r="H84" s="23"/>
      <c r="I84" s="24"/>
      <c r="J84" s="24"/>
      <c r="K84" s="24"/>
      <c r="L84" s="24"/>
      <c r="M84" s="24"/>
      <c r="N84" s="24"/>
      <c r="O84" s="24"/>
      <c r="P84" s="31"/>
      <c r="Q84" s="24"/>
      <c r="R84" s="24"/>
      <c r="S84" s="24"/>
      <c r="T84" s="24"/>
      <c r="U84" s="24"/>
      <c r="V84" s="24"/>
      <c r="W84" s="31"/>
      <c r="X84" s="24"/>
      <c r="Y84" s="24"/>
      <c r="Z84" s="24"/>
      <c r="AA84" s="24"/>
      <c r="AB84" s="24"/>
      <c r="AC84" s="24"/>
      <c r="AD84" s="31"/>
      <c r="AE84" s="24"/>
      <c r="AF84" s="24"/>
      <c r="AG84" s="24"/>
      <c r="AH84" s="24"/>
      <c r="AI84" s="24"/>
      <c r="AJ84" s="23"/>
      <c r="AK84" s="31"/>
      <c r="AL84" s="24"/>
      <c r="AM84" s="24"/>
      <c r="AN84" s="24"/>
      <c r="AO84" s="24"/>
      <c r="AP84" s="24"/>
      <c r="AQ84" s="23"/>
      <c r="AR84" s="24"/>
      <c r="AS84" s="24"/>
      <c r="AT84" s="24"/>
      <c r="AU84" s="24"/>
      <c r="AV84" s="24"/>
      <c r="AW84" s="24"/>
      <c r="AX84" s="24"/>
      <c r="AY84" s="24"/>
      <c r="AZ84" s="24"/>
      <c r="BA84" s="24"/>
      <c r="BB84" s="24"/>
      <c r="BC84" s="24"/>
      <c r="BD84" s="24"/>
      <c r="BE84" s="24"/>
      <c r="BF84" s="24"/>
      <c r="BG84" s="24"/>
      <c r="BH84" s="31"/>
      <c r="BI84" s="24"/>
      <c r="BJ84" s="24"/>
      <c r="BK84" s="24"/>
      <c r="BL84" s="23"/>
      <c r="BM84" s="13"/>
      <c r="BO84" s="62"/>
      <c r="BS84" s="219"/>
      <c r="BT84" s="195"/>
      <c r="BU84" s="195"/>
      <c r="BV84" s="195"/>
      <c r="BW84" s="195"/>
      <c r="BX84" s="195"/>
      <c r="BY84" s="195"/>
      <c r="BZ84" s="195"/>
      <c r="CA84" s="195"/>
      <c r="CB84" s="195"/>
      <c r="CC84" s="195"/>
      <c r="CD84" s="220"/>
    </row>
    <row r="85" spans="1:83" s="11" customFormat="1" ht="13.5" customHeight="1">
      <c r="A85" s="28"/>
      <c r="B85" s="31"/>
      <c r="C85" s="24"/>
      <c r="D85" s="24"/>
      <c r="E85" s="24"/>
      <c r="F85" s="24"/>
      <c r="G85" s="24"/>
      <c r="H85" s="23"/>
      <c r="I85" s="24"/>
      <c r="J85" s="24"/>
      <c r="K85" s="24"/>
      <c r="L85" s="24"/>
      <c r="M85" s="24"/>
      <c r="N85" s="24"/>
      <c r="O85" s="24"/>
      <c r="P85" s="31"/>
      <c r="Q85" s="24"/>
      <c r="R85" s="24"/>
      <c r="S85" s="24"/>
      <c r="T85" s="24"/>
      <c r="U85" s="24"/>
      <c r="V85" s="24"/>
      <c r="W85" s="31"/>
      <c r="X85" s="24"/>
      <c r="Y85" s="24"/>
      <c r="Z85" s="24"/>
      <c r="AA85" s="24"/>
      <c r="AB85" s="24"/>
      <c r="AC85" s="24"/>
      <c r="AD85" s="31"/>
      <c r="AE85" s="24"/>
      <c r="AF85" s="24"/>
      <c r="AG85" s="24"/>
      <c r="AH85" s="24"/>
      <c r="AI85" s="24"/>
      <c r="AJ85" s="23"/>
      <c r="AK85" s="31"/>
      <c r="AL85" s="24"/>
      <c r="AM85" s="24"/>
      <c r="AN85" s="24"/>
      <c r="AO85" s="24"/>
      <c r="AP85" s="24"/>
      <c r="AQ85" s="23"/>
      <c r="AR85" s="24"/>
      <c r="AS85" s="24"/>
      <c r="AT85" s="24"/>
      <c r="AU85" s="24"/>
      <c r="AV85" s="24"/>
      <c r="AW85" s="24"/>
      <c r="AX85" s="24"/>
      <c r="AY85" s="24"/>
      <c r="AZ85" s="24"/>
      <c r="BA85" s="24"/>
      <c r="BB85" s="24"/>
      <c r="BC85" s="24"/>
      <c r="BD85" s="24"/>
      <c r="BE85" s="24"/>
      <c r="BF85" s="24"/>
      <c r="BG85" s="24"/>
      <c r="BH85" s="31"/>
      <c r="BI85" s="24"/>
      <c r="BJ85" s="24"/>
      <c r="BK85" s="24"/>
      <c r="BL85" s="23"/>
      <c r="BM85" s="13"/>
      <c r="BO85" s="62"/>
      <c r="BS85" s="219"/>
      <c r="BT85" s="195"/>
      <c r="BU85" s="195"/>
      <c r="BV85" s="195"/>
      <c r="BW85" s="195"/>
      <c r="BX85" s="195"/>
      <c r="BY85" s="195"/>
      <c r="BZ85" s="195"/>
      <c r="CA85" s="195"/>
      <c r="CB85" s="195"/>
      <c r="CC85" s="195"/>
      <c r="CD85" s="220"/>
    </row>
    <row r="86" spans="1:83" s="11" customFormat="1" ht="13.5" customHeight="1">
      <c r="A86" s="28"/>
      <c r="B86" s="31"/>
      <c r="C86" s="24"/>
      <c r="D86" s="24"/>
      <c r="E86" s="24"/>
      <c r="F86" s="24"/>
      <c r="G86" s="24"/>
      <c r="H86" s="23"/>
      <c r="I86" s="24"/>
      <c r="J86" s="24"/>
      <c r="K86" s="24"/>
      <c r="L86" s="24"/>
      <c r="M86" s="24"/>
      <c r="N86" s="24"/>
      <c r="O86" s="24"/>
      <c r="P86" s="31"/>
      <c r="Q86" s="24"/>
      <c r="R86" s="24"/>
      <c r="S86" s="24"/>
      <c r="T86" s="24"/>
      <c r="U86" s="24"/>
      <c r="V86" s="24"/>
      <c r="W86" s="31"/>
      <c r="X86" s="24"/>
      <c r="Y86" s="24"/>
      <c r="Z86" s="24"/>
      <c r="AA86" s="24"/>
      <c r="AB86" s="24"/>
      <c r="AC86" s="24"/>
      <c r="AD86" s="31"/>
      <c r="AE86" s="24"/>
      <c r="AF86" s="24"/>
      <c r="AG86" s="24"/>
      <c r="AH86" s="24"/>
      <c r="AI86" s="24"/>
      <c r="AJ86" s="23"/>
      <c r="AK86" s="31"/>
      <c r="AL86" s="24"/>
      <c r="AM86" s="24"/>
      <c r="AN86" s="24"/>
      <c r="AO86" s="24"/>
      <c r="AP86" s="24"/>
      <c r="AQ86" s="23"/>
      <c r="AR86" s="24"/>
      <c r="AV86" s="8"/>
      <c r="AW86" s="8"/>
      <c r="AX86" s="24"/>
      <c r="AY86" s="24"/>
      <c r="AZ86" s="24"/>
      <c r="BA86" s="24"/>
      <c r="BB86" s="24"/>
      <c r="BC86" s="24"/>
      <c r="BD86" s="24"/>
      <c r="BE86" s="24"/>
      <c r="BF86" s="24"/>
      <c r="BG86" s="24"/>
      <c r="BH86" s="31"/>
      <c r="BI86" s="24"/>
      <c r="BJ86" s="24"/>
      <c r="BK86" s="24"/>
      <c r="BL86" s="23"/>
      <c r="BM86" s="13"/>
      <c r="BO86" s="62"/>
      <c r="BS86" s="219"/>
      <c r="BT86" s="195"/>
      <c r="BU86" s="195"/>
      <c r="BV86" s="195"/>
      <c r="BW86" s="195"/>
      <c r="BX86" s="195"/>
      <c r="BY86" s="195"/>
      <c r="BZ86" s="195"/>
      <c r="CA86" s="195"/>
      <c r="CB86" s="195"/>
      <c r="CC86" s="195"/>
      <c r="CD86" s="220"/>
    </row>
    <row r="87" spans="1:83" s="11" customFormat="1" ht="13.5" customHeight="1">
      <c r="A87" s="28"/>
      <c r="B87" s="31"/>
      <c r="C87" s="24"/>
      <c r="D87" s="24"/>
      <c r="E87" s="24"/>
      <c r="F87" s="24"/>
      <c r="G87" s="24"/>
      <c r="H87" s="23"/>
      <c r="I87" s="24"/>
      <c r="J87" s="24"/>
      <c r="K87" s="24"/>
      <c r="L87" s="24"/>
      <c r="M87" s="24"/>
      <c r="N87" s="24"/>
      <c r="O87" s="24"/>
      <c r="P87" s="31"/>
      <c r="Q87" s="24"/>
      <c r="R87" s="24"/>
      <c r="S87" s="24"/>
      <c r="T87" s="24"/>
      <c r="U87" s="24"/>
      <c r="V87" s="24"/>
      <c r="W87" s="31"/>
      <c r="X87" s="24"/>
      <c r="Y87" s="24"/>
      <c r="Z87" s="24"/>
      <c r="AA87" s="24"/>
      <c r="AB87" s="24"/>
      <c r="AC87" s="24"/>
      <c r="AD87" s="31"/>
      <c r="AE87" s="24"/>
      <c r="AF87" s="24"/>
      <c r="AG87" s="24"/>
      <c r="AH87" s="24"/>
      <c r="AI87" s="24"/>
      <c r="AJ87" s="23"/>
      <c r="AK87" s="31"/>
      <c r="AL87" s="24"/>
      <c r="AM87" s="24"/>
      <c r="AN87" s="24"/>
      <c r="AO87" s="24"/>
      <c r="AP87" s="24"/>
      <c r="AQ87" s="23"/>
      <c r="AR87" s="24"/>
      <c r="AS87" s="25"/>
      <c r="AU87" s="8"/>
      <c r="AV87" s="8"/>
      <c r="AW87" s="8"/>
      <c r="AX87" s="24"/>
      <c r="AY87" s="24"/>
      <c r="AZ87" s="24"/>
      <c r="BA87" s="24"/>
      <c r="BB87" s="24"/>
      <c r="BC87" s="24"/>
      <c r="BD87" s="24"/>
      <c r="BE87" s="24"/>
      <c r="BF87" s="24"/>
      <c r="BG87" s="24"/>
      <c r="BH87" s="31"/>
      <c r="BI87" s="24"/>
      <c r="BJ87" s="24"/>
      <c r="BK87" s="24"/>
      <c r="BL87" s="23"/>
      <c r="BM87" s="13"/>
      <c r="BO87" s="175" t="s">
        <v>276</v>
      </c>
      <c r="BP87" s="374"/>
      <c r="BQ87" s="374"/>
      <c r="BR87" s="375"/>
      <c r="BS87" s="219"/>
      <c r="BT87" s="195"/>
      <c r="BU87" s="195"/>
      <c r="BV87" s="195"/>
      <c r="BW87" s="195"/>
      <c r="BX87" s="195"/>
      <c r="BY87" s="195"/>
      <c r="BZ87" s="195"/>
      <c r="CA87" s="195"/>
      <c r="CB87" s="195"/>
      <c r="CC87" s="195"/>
      <c r="CD87" s="220"/>
    </row>
    <row r="88" spans="1:83" s="11" customFormat="1" ht="13.5" customHeight="1">
      <c r="A88" s="28"/>
      <c r="B88" s="31"/>
      <c r="C88" s="24"/>
      <c r="D88" s="24"/>
      <c r="E88" s="24"/>
      <c r="F88" s="24"/>
      <c r="G88" s="24"/>
      <c r="H88" s="23"/>
      <c r="I88" s="24"/>
      <c r="J88" s="24"/>
      <c r="K88" s="24"/>
      <c r="L88" s="24"/>
      <c r="M88" s="24"/>
      <c r="N88" s="24"/>
      <c r="O88" s="24"/>
      <c r="P88" s="31"/>
      <c r="Q88" s="24"/>
      <c r="R88" s="24"/>
      <c r="S88" s="24"/>
      <c r="T88" s="24"/>
      <c r="U88" s="24"/>
      <c r="V88" s="24"/>
      <c r="W88" s="31"/>
      <c r="X88" s="24"/>
      <c r="Y88" s="24"/>
      <c r="Z88" s="24"/>
      <c r="AA88" s="24"/>
      <c r="AB88" s="24"/>
      <c r="AC88" s="24"/>
      <c r="AD88" s="31"/>
      <c r="AE88" s="24"/>
      <c r="AF88" s="24"/>
      <c r="AG88" s="24"/>
      <c r="AH88" s="24"/>
      <c r="AI88" s="24"/>
      <c r="AJ88" s="23"/>
      <c r="AK88" s="31"/>
      <c r="AL88" s="24"/>
      <c r="AM88" s="24"/>
      <c r="AN88" s="24"/>
      <c r="AO88" s="24"/>
      <c r="AP88" s="24"/>
      <c r="AQ88" s="23"/>
      <c r="AR88" s="24"/>
      <c r="AS88" s="8"/>
      <c r="AT88" s="8"/>
      <c r="AU88" s="8"/>
      <c r="AV88" s="8"/>
      <c r="AW88" s="8"/>
      <c r="AX88" s="24"/>
      <c r="AY88" s="24"/>
      <c r="AZ88" s="24"/>
      <c r="BA88" s="24"/>
      <c r="BB88" s="24"/>
      <c r="BC88" s="24"/>
      <c r="BD88" s="24"/>
      <c r="BE88" s="24"/>
      <c r="BF88" s="24"/>
      <c r="BG88" s="24"/>
      <c r="BH88" s="31"/>
      <c r="BI88" s="24"/>
      <c r="BJ88" s="24"/>
      <c r="BK88" s="24"/>
      <c r="BL88" s="23"/>
      <c r="BM88" s="13"/>
      <c r="BO88" s="376"/>
      <c r="BP88" s="374"/>
      <c r="BQ88" s="374"/>
      <c r="BR88" s="375"/>
      <c r="BS88" s="219"/>
      <c r="BT88" s="195"/>
      <c r="BU88" s="195"/>
      <c r="BV88" s="195"/>
      <c r="BW88" s="195"/>
      <c r="BX88" s="195"/>
      <c r="BY88" s="195"/>
      <c r="BZ88" s="195"/>
      <c r="CA88" s="195"/>
      <c r="CB88" s="195"/>
      <c r="CC88" s="195"/>
      <c r="CD88" s="220"/>
    </row>
    <row r="89" spans="1:83" s="11" customFormat="1" ht="13.5" customHeight="1">
      <c r="A89" s="28"/>
      <c r="B89" s="31"/>
      <c r="C89" s="24"/>
      <c r="D89" s="24"/>
      <c r="E89" s="24"/>
      <c r="F89" s="24"/>
      <c r="G89" s="24"/>
      <c r="H89" s="23"/>
      <c r="I89" s="24"/>
      <c r="J89" s="24"/>
      <c r="K89" s="24"/>
      <c r="L89" s="24"/>
      <c r="M89" s="24"/>
      <c r="N89" s="24"/>
      <c r="O89" s="24"/>
      <c r="P89" s="31"/>
      <c r="Q89" s="24"/>
      <c r="R89" s="24"/>
      <c r="S89" s="24"/>
      <c r="T89" s="24"/>
      <c r="U89" s="24"/>
      <c r="V89" s="24"/>
      <c r="W89" s="31"/>
      <c r="X89" s="24"/>
      <c r="Y89" s="24"/>
      <c r="Z89" s="24"/>
      <c r="AA89" s="24"/>
      <c r="AB89" s="24"/>
      <c r="AC89" s="24"/>
      <c r="AD89" s="31"/>
      <c r="AE89" s="24"/>
      <c r="AF89" s="24"/>
      <c r="AG89" s="24"/>
      <c r="AH89" s="24"/>
      <c r="AI89" s="24"/>
      <c r="AJ89" s="23"/>
      <c r="AK89" s="31"/>
      <c r="AL89" s="24"/>
      <c r="AM89" s="24"/>
      <c r="AN89" s="24"/>
      <c r="AO89" s="24"/>
      <c r="AP89" s="24"/>
      <c r="AQ89" s="23"/>
      <c r="AR89" s="24"/>
      <c r="AS89" s="8"/>
      <c r="AT89" s="8"/>
      <c r="AU89" s="8"/>
      <c r="AV89" s="8"/>
      <c r="AW89" s="8"/>
      <c r="AX89" s="24"/>
      <c r="AY89" s="24"/>
      <c r="AZ89" s="24"/>
      <c r="BA89" s="24"/>
      <c r="BB89" s="24"/>
      <c r="BC89" s="24"/>
      <c r="BD89" s="24"/>
      <c r="BE89" s="24"/>
      <c r="BF89" s="24"/>
      <c r="BG89" s="24"/>
      <c r="BH89" s="31"/>
      <c r="BI89" s="24"/>
      <c r="BJ89" s="24"/>
      <c r="BK89" s="24"/>
      <c r="BL89" s="23"/>
      <c r="BM89" s="13"/>
      <c r="BO89" s="376"/>
      <c r="BP89" s="374"/>
      <c r="BQ89" s="374"/>
      <c r="BR89" s="375"/>
      <c r="BS89" s="219"/>
      <c r="BT89" s="195"/>
      <c r="BU89" s="195"/>
      <c r="BV89" s="195"/>
      <c r="BW89" s="195"/>
      <c r="BX89" s="195"/>
      <c r="BY89" s="195"/>
      <c r="BZ89" s="195"/>
      <c r="CA89" s="195"/>
      <c r="CB89" s="195"/>
      <c r="CC89" s="195"/>
      <c r="CD89" s="220"/>
    </row>
    <row r="90" spans="1:83" s="11" customFormat="1" ht="13.5" customHeight="1">
      <c r="A90" s="28"/>
      <c r="B90" s="31"/>
      <c r="C90" s="24"/>
      <c r="D90" s="24"/>
      <c r="E90" s="24"/>
      <c r="F90" s="24"/>
      <c r="G90" s="24"/>
      <c r="H90" s="23"/>
      <c r="I90" s="24"/>
      <c r="J90" s="24"/>
      <c r="K90" s="24"/>
      <c r="L90" s="24"/>
      <c r="M90" s="24"/>
      <c r="N90" s="24"/>
      <c r="O90" s="24"/>
      <c r="P90" s="31"/>
      <c r="Q90" s="24"/>
      <c r="R90" s="24"/>
      <c r="S90" s="24"/>
      <c r="T90" s="24"/>
      <c r="U90" s="24"/>
      <c r="V90" s="24"/>
      <c r="W90" s="31"/>
      <c r="X90" s="24"/>
      <c r="Y90" s="24"/>
      <c r="Z90" s="24"/>
      <c r="AA90" s="24"/>
      <c r="AB90" s="24"/>
      <c r="AC90" s="24"/>
      <c r="AD90" s="31"/>
      <c r="AE90" s="24"/>
      <c r="AF90" s="24"/>
      <c r="AG90" s="24"/>
      <c r="AH90" s="24"/>
      <c r="AI90" s="24"/>
      <c r="AJ90" s="23"/>
      <c r="AK90" s="31"/>
      <c r="AL90" s="24"/>
      <c r="AM90" s="24"/>
      <c r="AN90" s="24"/>
      <c r="AO90" s="24"/>
      <c r="AP90" s="24"/>
      <c r="AQ90" s="23"/>
      <c r="AR90" s="24"/>
      <c r="AS90" s="8"/>
      <c r="AT90" s="8"/>
      <c r="AU90" s="8"/>
      <c r="AV90" s="8"/>
      <c r="AW90" s="8"/>
      <c r="AX90" s="24"/>
      <c r="AY90" s="24"/>
      <c r="AZ90" s="24"/>
      <c r="BA90" s="24"/>
      <c r="BB90" s="24"/>
      <c r="BC90" s="24"/>
      <c r="BD90" s="24"/>
      <c r="BE90" s="24"/>
      <c r="BF90" s="24"/>
      <c r="BG90" s="24"/>
      <c r="BH90" s="31"/>
      <c r="BI90" s="24"/>
      <c r="BJ90" s="24"/>
      <c r="BK90" s="24"/>
      <c r="BL90" s="23"/>
      <c r="BM90" s="13"/>
      <c r="BO90" s="376"/>
      <c r="BP90" s="374"/>
      <c r="BQ90" s="374"/>
      <c r="BR90" s="375"/>
      <c r="BS90" s="219"/>
      <c r="BT90" s="195"/>
      <c r="BU90" s="195"/>
      <c r="BV90" s="195"/>
      <c r="BW90" s="195"/>
      <c r="BX90" s="195"/>
      <c r="BY90" s="195"/>
      <c r="BZ90" s="195"/>
      <c r="CA90" s="195"/>
      <c r="CB90" s="195"/>
      <c r="CC90" s="195"/>
      <c r="CD90" s="220"/>
    </row>
    <row r="91" spans="1:83" s="11" customFormat="1" ht="13.5" customHeight="1">
      <c r="A91" s="28"/>
      <c r="B91" s="31"/>
      <c r="C91" s="24"/>
      <c r="D91" s="24"/>
      <c r="E91" s="24"/>
      <c r="F91" s="24"/>
      <c r="G91" s="24"/>
      <c r="H91" s="23"/>
      <c r="I91" s="24"/>
      <c r="J91" s="24"/>
      <c r="K91" s="24"/>
      <c r="L91" s="24"/>
      <c r="M91" s="24"/>
      <c r="N91" s="24"/>
      <c r="O91" s="24"/>
      <c r="P91" s="31"/>
      <c r="Q91" s="24"/>
      <c r="R91" s="24"/>
      <c r="S91" s="24"/>
      <c r="T91" s="24"/>
      <c r="U91" s="24"/>
      <c r="V91" s="24"/>
      <c r="W91" s="31"/>
      <c r="X91" s="24"/>
      <c r="Y91" s="24"/>
      <c r="Z91" s="24"/>
      <c r="AA91" s="24"/>
      <c r="AB91" s="24"/>
      <c r="AC91" s="24"/>
      <c r="AD91" s="31"/>
      <c r="AE91" s="24"/>
      <c r="AF91" s="24"/>
      <c r="AG91" s="24"/>
      <c r="AH91" s="24"/>
      <c r="AI91" s="24"/>
      <c r="AJ91" s="23"/>
      <c r="AK91" s="31"/>
      <c r="AL91" s="24"/>
      <c r="AM91" s="24"/>
      <c r="AN91" s="24"/>
      <c r="AO91" s="24"/>
      <c r="AP91" s="24"/>
      <c r="AQ91" s="23"/>
      <c r="AR91" s="24"/>
      <c r="AS91" s="8"/>
      <c r="AT91" s="8"/>
      <c r="AU91" s="8"/>
      <c r="AV91" s="8"/>
      <c r="AW91" s="8"/>
      <c r="AX91" s="24"/>
      <c r="AY91" s="24"/>
      <c r="AZ91" s="24"/>
      <c r="BA91" s="24"/>
      <c r="BB91" s="24"/>
      <c r="BC91" s="24"/>
      <c r="BD91" s="24"/>
      <c r="BE91" s="24"/>
      <c r="BF91" s="24"/>
      <c r="BG91" s="24"/>
      <c r="BH91" s="31"/>
      <c r="BI91" s="24"/>
      <c r="BJ91" s="24"/>
      <c r="BK91" s="24"/>
      <c r="BL91" s="23"/>
      <c r="BM91" s="13"/>
      <c r="BO91" s="376"/>
      <c r="BP91" s="374"/>
      <c r="BQ91" s="374"/>
      <c r="BR91" s="375"/>
      <c r="BS91" s="219"/>
      <c r="BT91" s="195"/>
      <c r="BU91" s="195"/>
      <c r="BV91" s="195"/>
      <c r="BW91" s="195"/>
      <c r="BX91" s="195"/>
      <c r="BY91" s="195"/>
      <c r="BZ91" s="195"/>
      <c r="CA91" s="195"/>
      <c r="CB91" s="195"/>
      <c r="CC91" s="195"/>
      <c r="CD91" s="220"/>
    </row>
    <row r="92" spans="1:83" s="11" customFormat="1" ht="13.5" customHeight="1">
      <c r="A92" s="28"/>
      <c r="B92" s="31"/>
      <c r="C92" s="24"/>
      <c r="D92" s="24"/>
      <c r="E92" s="24"/>
      <c r="F92" s="24"/>
      <c r="G92" s="24"/>
      <c r="H92" s="23"/>
      <c r="I92" s="24"/>
      <c r="J92" s="24"/>
      <c r="K92" s="24"/>
      <c r="L92" s="24"/>
      <c r="M92" s="24"/>
      <c r="N92" s="24"/>
      <c r="O92" s="24"/>
      <c r="P92" s="31"/>
      <c r="Q92" s="24"/>
      <c r="R92" s="24"/>
      <c r="S92" s="24"/>
      <c r="T92" s="24"/>
      <c r="U92" s="24"/>
      <c r="V92" s="24"/>
      <c r="W92" s="31"/>
      <c r="X92" s="24"/>
      <c r="Y92" s="24"/>
      <c r="Z92" s="24"/>
      <c r="AA92" s="24"/>
      <c r="AB92" s="24"/>
      <c r="AC92" s="24"/>
      <c r="AD92" s="31"/>
      <c r="AE92" s="24"/>
      <c r="AF92" s="24"/>
      <c r="AG92" s="24"/>
      <c r="AH92" s="24"/>
      <c r="AI92" s="24"/>
      <c r="AJ92" s="23"/>
      <c r="AK92" s="31"/>
      <c r="AL92" s="24"/>
      <c r="AM92" s="24"/>
      <c r="AN92" s="24"/>
      <c r="AO92" s="24"/>
      <c r="AP92" s="24"/>
      <c r="AQ92" s="23"/>
      <c r="AR92" s="24"/>
      <c r="AU92" s="8"/>
      <c r="AV92" s="8"/>
      <c r="AW92" s="8"/>
      <c r="AX92" s="24"/>
      <c r="AY92" s="24"/>
      <c r="AZ92" s="24"/>
      <c r="BA92" s="24"/>
      <c r="BB92" s="24"/>
      <c r="BC92" s="24"/>
      <c r="BD92" s="24"/>
      <c r="BE92" s="24"/>
      <c r="BF92" s="24"/>
      <c r="BG92" s="24"/>
      <c r="BH92" s="31"/>
      <c r="BI92" s="24"/>
      <c r="BJ92" s="24"/>
      <c r="BK92" s="24"/>
      <c r="BL92" s="23"/>
      <c r="BM92" s="13"/>
      <c r="BO92" s="376"/>
      <c r="BP92" s="374"/>
      <c r="BQ92" s="374"/>
      <c r="BR92" s="375"/>
      <c r="BS92" s="172" t="s">
        <v>277</v>
      </c>
      <c r="BT92" s="173"/>
      <c r="BU92" s="173"/>
      <c r="BV92" s="173"/>
      <c r="BW92" s="173"/>
      <c r="BX92" s="173"/>
      <c r="BY92" s="173"/>
      <c r="BZ92" s="173"/>
      <c r="CA92" s="173"/>
      <c r="CB92" s="173"/>
      <c r="CC92" s="173"/>
      <c r="CD92" s="174"/>
    </row>
    <row r="93" spans="1:83" s="11" customFormat="1" ht="13.5" customHeight="1">
      <c r="A93" s="28"/>
      <c r="B93" s="31"/>
      <c r="C93" s="24"/>
      <c r="D93" s="24"/>
      <c r="E93" s="24"/>
      <c r="F93" s="24"/>
      <c r="G93" s="24"/>
      <c r="H93" s="23"/>
      <c r="I93" s="24"/>
      <c r="J93" s="24"/>
      <c r="K93" s="24"/>
      <c r="L93" s="24"/>
      <c r="M93" s="24"/>
      <c r="N93" s="24"/>
      <c r="O93" s="24"/>
      <c r="P93" s="31"/>
      <c r="Q93" s="24"/>
      <c r="R93" s="24"/>
      <c r="S93" s="24"/>
      <c r="T93" s="24"/>
      <c r="U93" s="24"/>
      <c r="V93" s="24"/>
      <c r="W93" s="31"/>
      <c r="X93" s="24"/>
      <c r="Y93" s="24"/>
      <c r="Z93" s="24"/>
      <c r="AA93" s="24"/>
      <c r="AB93" s="24"/>
      <c r="AC93" s="24"/>
      <c r="AD93" s="31"/>
      <c r="AE93" s="24"/>
      <c r="AF93" s="24"/>
      <c r="AG93" s="24"/>
      <c r="AH93" s="24"/>
      <c r="AI93" s="24"/>
      <c r="AJ93" s="23"/>
      <c r="AK93" s="31"/>
      <c r="AL93" s="24"/>
      <c r="AM93" s="24"/>
      <c r="AN93" s="24"/>
      <c r="AO93" s="24"/>
      <c r="AP93" s="24"/>
      <c r="AQ93" s="23"/>
      <c r="AR93" s="24"/>
      <c r="AS93" s="16"/>
      <c r="AT93" s="8"/>
      <c r="AU93" s="8"/>
      <c r="AV93" s="8"/>
      <c r="AW93" s="8"/>
      <c r="AX93" s="24"/>
      <c r="AY93" s="24"/>
      <c r="AZ93" s="24"/>
      <c r="BA93" s="24"/>
      <c r="BB93" s="24"/>
      <c r="BC93" s="24"/>
      <c r="BD93" s="24"/>
      <c r="BE93" s="24"/>
      <c r="BF93" s="24"/>
      <c r="BG93" s="24"/>
      <c r="BH93" s="31"/>
      <c r="BI93" s="24"/>
      <c r="BJ93" s="24"/>
      <c r="BK93" s="24"/>
      <c r="BL93" s="23"/>
      <c r="BM93" s="13"/>
      <c r="BO93" s="64"/>
      <c r="BP93" s="8"/>
      <c r="BQ93" s="8"/>
      <c r="BR93" s="8"/>
      <c r="BS93" s="172"/>
      <c r="BT93" s="173"/>
      <c r="BU93" s="173"/>
      <c r="BV93" s="173"/>
      <c r="BW93" s="173"/>
      <c r="BX93" s="173"/>
      <c r="BY93" s="173"/>
      <c r="BZ93" s="173"/>
      <c r="CA93" s="173"/>
      <c r="CB93" s="173"/>
      <c r="CC93" s="173"/>
      <c r="CD93" s="174"/>
    </row>
    <row r="94" spans="1:83" s="11" customFormat="1" ht="13.5" customHeight="1">
      <c r="A94" s="28"/>
      <c r="B94" s="31"/>
      <c r="C94" s="24"/>
      <c r="D94" s="24"/>
      <c r="E94" s="24"/>
      <c r="F94" s="24"/>
      <c r="G94" s="24"/>
      <c r="H94" s="23"/>
      <c r="I94" s="24"/>
      <c r="J94" s="24"/>
      <c r="K94" s="24"/>
      <c r="L94" s="24"/>
      <c r="M94" s="24"/>
      <c r="N94" s="24"/>
      <c r="O94" s="24"/>
      <c r="P94" s="31"/>
      <c r="Q94" s="24"/>
      <c r="R94" s="24"/>
      <c r="S94" s="24"/>
      <c r="T94" s="24"/>
      <c r="U94" s="24"/>
      <c r="V94" s="24"/>
      <c r="W94" s="31"/>
      <c r="X94" s="24"/>
      <c r="Y94" s="24"/>
      <c r="Z94" s="24"/>
      <c r="AA94" s="24"/>
      <c r="AB94" s="24"/>
      <c r="AC94" s="24"/>
      <c r="AD94" s="31"/>
      <c r="AE94" s="24"/>
      <c r="AF94" s="24"/>
      <c r="AG94" s="24"/>
      <c r="AH94" s="24"/>
      <c r="AI94" s="24"/>
      <c r="AJ94" s="23"/>
      <c r="AK94" s="31"/>
      <c r="AL94" s="24"/>
      <c r="AM94" s="24"/>
      <c r="AN94" s="24"/>
      <c r="AO94" s="24"/>
      <c r="AP94" s="24"/>
      <c r="AQ94" s="23"/>
      <c r="AR94" s="24"/>
      <c r="AS94" s="8"/>
      <c r="AT94" s="8"/>
      <c r="AU94" s="24"/>
      <c r="AV94" s="24"/>
      <c r="AW94" s="24"/>
      <c r="AX94" s="24"/>
      <c r="AY94" s="24"/>
      <c r="AZ94" s="24"/>
      <c r="BA94" s="24"/>
      <c r="BB94" s="24"/>
      <c r="BC94" s="24"/>
      <c r="BD94" s="24"/>
      <c r="BE94" s="24"/>
      <c r="BF94" s="24"/>
      <c r="BG94" s="24"/>
      <c r="BH94" s="31"/>
      <c r="BI94" s="24"/>
      <c r="BJ94" s="24"/>
      <c r="BK94" s="24"/>
      <c r="BL94" s="23"/>
      <c r="BM94" s="13"/>
      <c r="BO94" s="64"/>
      <c r="BP94" s="8"/>
      <c r="BQ94" s="8"/>
      <c r="BR94" s="8"/>
      <c r="BS94" s="172"/>
      <c r="BT94" s="173"/>
      <c r="BU94" s="173"/>
      <c r="BV94" s="173"/>
      <c r="BW94" s="173"/>
      <c r="BX94" s="173"/>
      <c r="BY94" s="173"/>
      <c r="BZ94" s="173"/>
      <c r="CA94" s="173"/>
      <c r="CB94" s="173"/>
      <c r="CC94" s="173"/>
      <c r="CD94" s="174"/>
    </row>
    <row r="95" spans="1:83" s="11" customFormat="1" ht="13.5" customHeight="1">
      <c r="A95" s="28"/>
      <c r="B95" s="31"/>
      <c r="C95" s="24"/>
      <c r="D95" s="24"/>
      <c r="E95" s="24"/>
      <c r="F95" s="24"/>
      <c r="G95" s="24"/>
      <c r="H95" s="23"/>
      <c r="I95" s="24"/>
      <c r="J95" s="24"/>
      <c r="K95" s="24"/>
      <c r="L95" s="24"/>
      <c r="M95" s="24"/>
      <c r="N95" s="24"/>
      <c r="O95" s="24"/>
      <c r="P95" s="31"/>
      <c r="Q95" s="24"/>
      <c r="R95" s="24"/>
      <c r="S95" s="24"/>
      <c r="T95" s="24"/>
      <c r="U95" s="24"/>
      <c r="V95" s="24"/>
      <c r="W95" s="31"/>
      <c r="X95" s="24"/>
      <c r="Y95" s="24"/>
      <c r="Z95" s="24"/>
      <c r="AA95" s="24"/>
      <c r="AB95" s="24"/>
      <c r="AC95" s="24"/>
      <c r="AD95" s="31"/>
      <c r="AE95" s="24"/>
      <c r="AF95" s="24"/>
      <c r="AG95" s="24"/>
      <c r="AH95" s="24"/>
      <c r="AI95" s="24"/>
      <c r="AJ95" s="23"/>
      <c r="AK95" s="31"/>
      <c r="AL95" s="24"/>
      <c r="AM95" s="24"/>
      <c r="AN95" s="24"/>
      <c r="AO95" s="24"/>
      <c r="AP95" s="24"/>
      <c r="AQ95" s="23"/>
      <c r="AR95" s="24"/>
      <c r="AS95" s="24"/>
      <c r="AT95" s="24"/>
      <c r="AU95" s="24"/>
      <c r="AV95" s="24"/>
      <c r="AW95" s="24"/>
      <c r="AX95" s="24"/>
      <c r="AY95" s="24"/>
      <c r="AZ95" s="24"/>
      <c r="BA95" s="24"/>
      <c r="BB95" s="24"/>
      <c r="BC95" s="24"/>
      <c r="BD95" s="24"/>
      <c r="BE95" s="24"/>
      <c r="BF95" s="24"/>
      <c r="BG95" s="24"/>
      <c r="BH95" s="31"/>
      <c r="BI95" s="24"/>
      <c r="BJ95" s="24"/>
      <c r="BK95" s="24"/>
      <c r="BL95" s="23"/>
      <c r="BM95" s="13"/>
      <c r="BO95" s="64"/>
      <c r="BP95" s="8"/>
      <c r="BQ95" s="8"/>
      <c r="BR95" s="8"/>
      <c r="BS95" s="172"/>
      <c r="BT95" s="173"/>
      <c r="BU95" s="173"/>
      <c r="BV95" s="173"/>
      <c r="BW95" s="173"/>
      <c r="BX95" s="173"/>
      <c r="BY95" s="173"/>
      <c r="BZ95" s="173"/>
      <c r="CA95" s="173"/>
      <c r="CB95" s="173"/>
      <c r="CC95" s="173"/>
      <c r="CD95" s="174"/>
    </row>
    <row r="96" spans="1:83" s="11" customFormat="1" ht="13.5" customHeight="1">
      <c r="A96" s="28"/>
      <c r="B96" s="31"/>
      <c r="C96" s="24"/>
      <c r="D96" s="24"/>
      <c r="E96" s="24"/>
      <c r="F96" s="24"/>
      <c r="G96" s="24"/>
      <c r="H96" s="23"/>
      <c r="I96" s="24"/>
      <c r="J96" s="24"/>
      <c r="K96" s="24"/>
      <c r="L96" s="24"/>
      <c r="M96" s="24"/>
      <c r="N96" s="24"/>
      <c r="O96" s="24"/>
      <c r="P96" s="31"/>
      <c r="Q96" s="24"/>
      <c r="R96" s="24"/>
      <c r="S96" s="24"/>
      <c r="T96" s="24"/>
      <c r="U96" s="24"/>
      <c r="V96" s="24"/>
      <c r="W96" s="31"/>
      <c r="X96" s="24"/>
      <c r="Y96" s="24"/>
      <c r="Z96" s="24"/>
      <c r="AA96" s="24"/>
      <c r="AB96" s="24"/>
      <c r="AC96" s="24"/>
      <c r="AD96" s="31"/>
      <c r="AE96" s="24"/>
      <c r="AF96" s="24"/>
      <c r="AG96" s="24"/>
      <c r="AH96" s="24"/>
      <c r="AI96" s="24"/>
      <c r="AJ96" s="23"/>
      <c r="AK96" s="31"/>
      <c r="AL96" s="24"/>
      <c r="AM96" s="24"/>
      <c r="AN96" s="24"/>
      <c r="AO96" s="24"/>
      <c r="AP96" s="24"/>
      <c r="AQ96" s="23"/>
      <c r="AR96" s="24"/>
      <c r="AS96" s="24"/>
      <c r="AT96" s="24"/>
      <c r="AU96" s="24"/>
      <c r="AV96" s="24"/>
      <c r="AW96" s="24"/>
      <c r="AX96" s="24"/>
      <c r="AY96" s="24"/>
      <c r="AZ96" s="24"/>
      <c r="BA96" s="24"/>
      <c r="BB96" s="24"/>
      <c r="BC96" s="24"/>
      <c r="BD96" s="24"/>
      <c r="BE96" s="24"/>
      <c r="BF96" s="24"/>
      <c r="BG96" s="24"/>
      <c r="BH96" s="31"/>
      <c r="BI96" s="24"/>
      <c r="BJ96" s="24"/>
      <c r="BK96" s="24"/>
      <c r="BL96" s="23"/>
      <c r="BM96" s="13"/>
      <c r="BO96" s="64"/>
      <c r="BP96" s="8"/>
      <c r="BQ96" s="8"/>
      <c r="BR96" s="8"/>
      <c r="BS96" s="172"/>
      <c r="BT96" s="173"/>
      <c r="BU96" s="173"/>
      <c r="BV96" s="173"/>
      <c r="BW96" s="173"/>
      <c r="BX96" s="173"/>
      <c r="BY96" s="173"/>
      <c r="BZ96" s="173"/>
      <c r="CA96" s="173"/>
      <c r="CB96" s="173"/>
      <c r="CC96" s="173"/>
      <c r="CD96" s="174"/>
    </row>
    <row r="97" spans="1:82" s="11" customFormat="1" ht="13.5" customHeight="1">
      <c r="A97" s="28"/>
      <c r="B97" s="31"/>
      <c r="C97" s="24"/>
      <c r="D97" s="24"/>
      <c r="E97" s="24"/>
      <c r="F97" s="24"/>
      <c r="G97" s="24"/>
      <c r="H97" s="23"/>
      <c r="I97" s="24"/>
      <c r="J97" s="24"/>
      <c r="K97" s="24"/>
      <c r="L97" s="24"/>
      <c r="M97" s="24"/>
      <c r="N97" s="24"/>
      <c r="O97" s="24"/>
      <c r="P97" s="31"/>
      <c r="Q97" s="24"/>
      <c r="R97" s="24"/>
      <c r="S97" s="24"/>
      <c r="T97" s="24"/>
      <c r="U97" s="24"/>
      <c r="V97" s="24"/>
      <c r="W97" s="31"/>
      <c r="X97" s="24"/>
      <c r="Y97" s="24"/>
      <c r="Z97" s="24"/>
      <c r="AA97" s="24"/>
      <c r="AB97" s="24"/>
      <c r="AC97" s="24"/>
      <c r="AD97" s="31"/>
      <c r="AE97" s="24"/>
      <c r="AF97" s="24"/>
      <c r="AG97" s="24"/>
      <c r="AH97" s="24"/>
      <c r="AI97" s="24"/>
      <c r="AJ97" s="23"/>
      <c r="AK97" s="31"/>
      <c r="AL97" s="24"/>
      <c r="AM97" s="24"/>
      <c r="AN97" s="24"/>
      <c r="AO97" s="24"/>
      <c r="AP97" s="24"/>
      <c r="AQ97" s="23"/>
      <c r="AR97" s="24"/>
      <c r="AS97" s="24"/>
      <c r="AT97" s="24"/>
      <c r="AU97" s="24"/>
      <c r="AV97" s="24"/>
      <c r="AW97" s="24"/>
      <c r="AX97" s="24"/>
      <c r="AY97" s="24"/>
      <c r="AZ97" s="24"/>
      <c r="BA97" s="24"/>
      <c r="BB97" s="24"/>
      <c r="BC97" s="24"/>
      <c r="BD97" s="24"/>
      <c r="BE97" s="24"/>
      <c r="BF97" s="24"/>
      <c r="BG97" s="24"/>
      <c r="BH97" s="31"/>
      <c r="BI97" s="24"/>
      <c r="BJ97" s="24"/>
      <c r="BK97" s="24"/>
      <c r="BL97" s="23"/>
      <c r="BM97" s="13"/>
      <c r="BO97" s="62"/>
      <c r="BS97" s="172"/>
      <c r="BT97" s="173"/>
      <c r="BU97" s="173"/>
      <c r="BV97" s="173"/>
      <c r="BW97" s="173"/>
      <c r="BX97" s="173"/>
      <c r="BY97" s="173"/>
      <c r="BZ97" s="173"/>
      <c r="CA97" s="173"/>
      <c r="CB97" s="173"/>
      <c r="CC97" s="173"/>
      <c r="CD97" s="174"/>
    </row>
    <row r="98" spans="1:82" s="11" customFormat="1" ht="13.5" customHeight="1">
      <c r="A98" s="28"/>
      <c r="B98" s="31"/>
      <c r="C98" s="24"/>
      <c r="D98" s="24"/>
      <c r="E98" s="24"/>
      <c r="F98" s="24"/>
      <c r="G98" s="24"/>
      <c r="H98" s="23"/>
      <c r="I98" s="24"/>
      <c r="J98" s="24"/>
      <c r="K98" s="24"/>
      <c r="L98" s="24"/>
      <c r="M98" s="24"/>
      <c r="N98" s="24"/>
      <c r="O98" s="24"/>
      <c r="P98" s="31"/>
      <c r="Q98" s="24"/>
      <c r="R98" s="24"/>
      <c r="S98" s="24"/>
      <c r="T98" s="24"/>
      <c r="U98" s="24"/>
      <c r="V98" s="24"/>
      <c r="W98" s="31"/>
      <c r="X98" s="24"/>
      <c r="Y98" s="24"/>
      <c r="Z98" s="24"/>
      <c r="AA98" s="24"/>
      <c r="AB98" s="24"/>
      <c r="AC98" s="24"/>
      <c r="AD98" s="31"/>
      <c r="AE98" s="24"/>
      <c r="AF98" s="24"/>
      <c r="AG98" s="24"/>
      <c r="AH98" s="24"/>
      <c r="AI98" s="24"/>
      <c r="AJ98" s="23"/>
      <c r="AK98" s="31"/>
      <c r="AL98" s="24"/>
      <c r="AM98" s="24"/>
      <c r="AN98" s="24"/>
      <c r="AO98" s="24"/>
      <c r="AP98" s="24"/>
      <c r="AQ98" s="23"/>
      <c r="AR98" s="24"/>
      <c r="AS98" s="24"/>
      <c r="AT98" s="24"/>
      <c r="AU98" s="24"/>
      <c r="AV98" s="24"/>
      <c r="AW98" s="24"/>
      <c r="AX98" s="24"/>
      <c r="AY98" s="24"/>
      <c r="AZ98" s="24"/>
      <c r="BA98" s="24"/>
      <c r="BB98" s="24"/>
      <c r="BC98" s="24"/>
      <c r="BD98" s="24"/>
      <c r="BE98" s="24"/>
      <c r="BF98" s="24"/>
      <c r="BG98" s="24"/>
      <c r="BH98" s="31"/>
      <c r="BI98" s="24"/>
      <c r="BJ98" s="24"/>
      <c r="BK98" s="24"/>
      <c r="BL98" s="23"/>
      <c r="BM98" s="13"/>
      <c r="BO98" s="62"/>
      <c r="BS98" s="172"/>
      <c r="BT98" s="173"/>
      <c r="BU98" s="173"/>
      <c r="BV98" s="173"/>
      <c r="BW98" s="173"/>
      <c r="BX98" s="173"/>
      <c r="BY98" s="173"/>
      <c r="BZ98" s="173"/>
      <c r="CA98" s="173"/>
      <c r="CB98" s="173"/>
      <c r="CC98" s="173"/>
      <c r="CD98" s="174"/>
    </row>
    <row r="99" spans="1:82" s="11" customFormat="1" ht="13.5" customHeight="1">
      <c r="A99" s="28"/>
      <c r="B99" s="31"/>
      <c r="C99" s="24"/>
      <c r="D99" s="24"/>
      <c r="E99" s="24"/>
      <c r="F99" s="24"/>
      <c r="G99" s="24"/>
      <c r="H99" s="23"/>
      <c r="I99" s="24"/>
      <c r="J99" s="24"/>
      <c r="K99" s="24"/>
      <c r="L99" s="24"/>
      <c r="M99" s="24"/>
      <c r="N99" s="24"/>
      <c r="O99" s="24"/>
      <c r="P99" s="31"/>
      <c r="Q99" s="24"/>
      <c r="R99" s="24"/>
      <c r="S99" s="24"/>
      <c r="T99" s="24"/>
      <c r="U99" s="24"/>
      <c r="V99" s="24"/>
      <c r="W99" s="31"/>
      <c r="X99" s="24"/>
      <c r="Y99" s="24"/>
      <c r="Z99" s="24"/>
      <c r="AA99" s="24"/>
      <c r="AB99" s="24"/>
      <c r="AC99" s="24"/>
      <c r="AD99" s="31"/>
      <c r="AE99" s="24"/>
      <c r="AF99" s="24"/>
      <c r="AG99" s="24"/>
      <c r="AH99" s="24"/>
      <c r="AI99" s="24"/>
      <c r="AJ99" s="23"/>
      <c r="AK99" s="31"/>
      <c r="AL99" s="24"/>
      <c r="AM99" s="24"/>
      <c r="AN99" s="24"/>
      <c r="AO99" s="24"/>
      <c r="AP99" s="24"/>
      <c r="AQ99" s="23"/>
      <c r="AR99" s="24"/>
      <c r="AS99" s="24"/>
      <c r="AT99" s="24"/>
      <c r="AU99" s="24"/>
      <c r="AV99" s="24"/>
      <c r="AW99" s="24"/>
      <c r="AX99" s="24"/>
      <c r="AY99" s="24"/>
      <c r="AZ99" s="24"/>
      <c r="BA99" s="24"/>
      <c r="BB99" s="24"/>
      <c r="BC99" s="24"/>
      <c r="BD99" s="24"/>
      <c r="BE99" s="24"/>
      <c r="BF99" s="24"/>
      <c r="BG99" s="24"/>
      <c r="BH99" s="31"/>
      <c r="BI99" s="24"/>
      <c r="BJ99" s="24"/>
      <c r="BK99" s="24"/>
      <c r="BL99" s="23"/>
      <c r="BM99" s="13"/>
      <c r="BO99" s="62"/>
      <c r="BS99" s="172"/>
      <c r="BT99" s="173"/>
      <c r="BU99" s="173"/>
      <c r="BV99" s="173"/>
      <c r="BW99" s="173"/>
      <c r="BX99" s="173"/>
      <c r="BY99" s="173"/>
      <c r="BZ99" s="173"/>
      <c r="CA99" s="173"/>
      <c r="CB99" s="173"/>
      <c r="CC99" s="173"/>
      <c r="CD99" s="174"/>
    </row>
    <row r="100" spans="1:82" s="11" customFormat="1" ht="13.5" customHeight="1">
      <c r="A100" s="28"/>
      <c r="B100" s="31"/>
      <c r="C100" s="24"/>
      <c r="D100" s="24"/>
      <c r="E100" s="24"/>
      <c r="F100" s="24"/>
      <c r="G100" s="24"/>
      <c r="H100" s="23"/>
      <c r="I100" s="24"/>
      <c r="J100" s="24"/>
      <c r="K100" s="24"/>
      <c r="L100" s="24"/>
      <c r="M100" s="24"/>
      <c r="N100" s="24"/>
      <c r="O100" s="24"/>
      <c r="P100" s="31"/>
      <c r="Q100" s="24"/>
      <c r="R100" s="24"/>
      <c r="S100" s="24"/>
      <c r="T100" s="24"/>
      <c r="U100" s="24"/>
      <c r="V100" s="24"/>
      <c r="W100" s="31"/>
      <c r="X100" s="24"/>
      <c r="Y100" s="24"/>
      <c r="Z100" s="24"/>
      <c r="AA100" s="24"/>
      <c r="AB100" s="24"/>
      <c r="AC100" s="24"/>
      <c r="AD100" s="31"/>
      <c r="AE100" s="24"/>
      <c r="AF100" s="24"/>
      <c r="AG100" s="24"/>
      <c r="AH100" s="24"/>
      <c r="AI100" s="24"/>
      <c r="AJ100" s="23"/>
      <c r="AK100" s="31"/>
      <c r="AL100" s="24"/>
      <c r="AM100" s="24"/>
      <c r="AN100" s="24"/>
      <c r="AO100" s="24"/>
      <c r="AP100" s="24"/>
      <c r="AQ100" s="23"/>
      <c r="AR100" s="24"/>
      <c r="AS100" s="24"/>
      <c r="AT100" s="24"/>
      <c r="AU100" s="24"/>
      <c r="AV100" s="24"/>
      <c r="AW100" s="24"/>
      <c r="AX100" s="24"/>
      <c r="AY100" s="24"/>
      <c r="AZ100" s="24"/>
      <c r="BA100" s="24"/>
      <c r="BB100" s="24"/>
      <c r="BC100" s="24"/>
      <c r="BD100" s="24"/>
      <c r="BE100" s="24"/>
      <c r="BF100" s="24"/>
      <c r="BG100" s="24"/>
      <c r="BH100" s="31"/>
      <c r="BI100" s="24"/>
      <c r="BJ100" s="24"/>
      <c r="BK100" s="24"/>
      <c r="BL100" s="23"/>
      <c r="BM100" s="13"/>
      <c r="BO100" s="62"/>
      <c r="BS100" s="172"/>
      <c r="BT100" s="173"/>
      <c r="BU100" s="173"/>
      <c r="BV100" s="173"/>
      <c r="BW100" s="173"/>
      <c r="BX100" s="173"/>
      <c r="BY100" s="173"/>
      <c r="BZ100" s="173"/>
      <c r="CA100" s="173"/>
      <c r="CB100" s="173"/>
      <c r="CC100" s="173"/>
      <c r="CD100" s="174"/>
    </row>
    <row r="101" spans="1:82" s="11" customFormat="1" ht="13.5" customHeight="1">
      <c r="A101" s="28"/>
      <c r="B101" s="31"/>
      <c r="C101" s="24"/>
      <c r="D101" s="24"/>
      <c r="E101" s="24"/>
      <c r="F101" s="24"/>
      <c r="G101" s="24"/>
      <c r="H101" s="23"/>
      <c r="I101" s="24"/>
      <c r="J101" s="24"/>
      <c r="K101" s="24"/>
      <c r="L101" s="24"/>
      <c r="M101" s="24"/>
      <c r="N101" s="24"/>
      <c r="O101" s="24"/>
      <c r="P101" s="31"/>
      <c r="Q101" s="24"/>
      <c r="R101" s="24"/>
      <c r="S101" s="24"/>
      <c r="T101" s="24"/>
      <c r="U101" s="24"/>
      <c r="V101" s="24"/>
      <c r="W101" s="31"/>
      <c r="X101" s="24"/>
      <c r="Y101" s="24"/>
      <c r="Z101" s="24"/>
      <c r="AA101" s="24"/>
      <c r="AB101" s="24"/>
      <c r="AC101" s="24"/>
      <c r="AD101" s="31"/>
      <c r="AE101" s="24"/>
      <c r="AF101" s="24"/>
      <c r="AG101" s="24"/>
      <c r="AH101" s="24"/>
      <c r="AI101" s="24"/>
      <c r="AJ101" s="23"/>
      <c r="AK101" s="31"/>
      <c r="AL101" s="24"/>
      <c r="AM101" s="24"/>
      <c r="AN101" s="24"/>
      <c r="AO101" s="24"/>
      <c r="AP101" s="24"/>
      <c r="AQ101" s="23"/>
      <c r="AR101" s="24"/>
      <c r="AS101" s="24"/>
      <c r="AT101" s="24"/>
      <c r="AU101" s="24"/>
      <c r="AV101" s="24"/>
      <c r="AW101" s="24"/>
      <c r="AX101" s="24"/>
      <c r="AY101" s="24"/>
      <c r="AZ101" s="24"/>
      <c r="BA101" s="24"/>
      <c r="BB101" s="24"/>
      <c r="BC101" s="24"/>
      <c r="BD101" s="24"/>
      <c r="BE101" s="24"/>
      <c r="BF101" s="24"/>
      <c r="BG101" s="24"/>
      <c r="BH101" s="31"/>
      <c r="BI101" s="24"/>
      <c r="BJ101" s="24"/>
      <c r="BK101" s="24"/>
      <c r="BL101" s="23"/>
      <c r="BM101" s="13"/>
      <c r="BO101" s="62"/>
      <c r="BS101" s="172"/>
      <c r="BT101" s="173"/>
      <c r="BU101" s="173"/>
      <c r="BV101" s="173"/>
      <c r="BW101" s="173"/>
      <c r="BX101" s="173"/>
      <c r="BY101" s="173"/>
      <c r="BZ101" s="173"/>
      <c r="CA101" s="173"/>
      <c r="CB101" s="173"/>
      <c r="CC101" s="173"/>
      <c r="CD101" s="174"/>
    </row>
    <row r="102" spans="1:82" s="11" customFormat="1" ht="13.5" customHeight="1">
      <c r="A102" s="28"/>
      <c r="B102" s="31"/>
      <c r="C102" s="24"/>
      <c r="D102" s="24"/>
      <c r="E102" s="24"/>
      <c r="F102" s="24"/>
      <c r="G102" s="24"/>
      <c r="H102" s="23"/>
      <c r="I102" s="24"/>
      <c r="J102" s="24"/>
      <c r="K102" s="24"/>
      <c r="L102" s="24"/>
      <c r="M102" s="24"/>
      <c r="N102" s="24"/>
      <c r="O102" s="24"/>
      <c r="P102" s="31"/>
      <c r="Q102" s="24"/>
      <c r="R102" s="24"/>
      <c r="S102" s="24"/>
      <c r="T102" s="24"/>
      <c r="U102" s="24"/>
      <c r="V102" s="24"/>
      <c r="W102" s="31"/>
      <c r="X102" s="24"/>
      <c r="Y102" s="24"/>
      <c r="Z102" s="24"/>
      <c r="AA102" s="24"/>
      <c r="AB102" s="24"/>
      <c r="AC102" s="24"/>
      <c r="AD102" s="31"/>
      <c r="AE102" s="24"/>
      <c r="AF102" s="24"/>
      <c r="AG102" s="24"/>
      <c r="AH102" s="24"/>
      <c r="AI102" s="24"/>
      <c r="AJ102" s="23"/>
      <c r="AK102" s="31"/>
      <c r="AL102" s="24"/>
      <c r="AM102" s="24"/>
      <c r="AN102" s="24"/>
      <c r="AO102" s="24"/>
      <c r="AP102" s="24"/>
      <c r="AQ102" s="23"/>
      <c r="AR102" s="24"/>
      <c r="AS102" s="24"/>
      <c r="AT102" s="24"/>
      <c r="AU102" s="24"/>
      <c r="AV102" s="24"/>
      <c r="AW102" s="24"/>
      <c r="AX102" s="24"/>
      <c r="AY102" s="24"/>
      <c r="AZ102" s="24"/>
      <c r="BA102" s="24"/>
      <c r="BB102" s="24"/>
      <c r="BC102" s="24"/>
      <c r="BD102" s="24"/>
      <c r="BE102" s="24"/>
      <c r="BF102" s="24"/>
      <c r="BG102" s="24"/>
      <c r="BH102" s="31"/>
      <c r="BI102" s="24"/>
      <c r="BJ102" s="24"/>
      <c r="BK102" s="24"/>
      <c r="BL102" s="23"/>
      <c r="BM102" s="13"/>
      <c r="BO102" s="62"/>
      <c r="BS102" s="172"/>
      <c r="BT102" s="173"/>
      <c r="BU102" s="173"/>
      <c r="BV102" s="173"/>
      <c r="BW102" s="173"/>
      <c r="BX102" s="173"/>
      <c r="BY102" s="173"/>
      <c r="BZ102" s="173"/>
      <c r="CA102" s="173"/>
      <c r="CB102" s="173"/>
      <c r="CC102" s="173"/>
      <c r="CD102" s="174"/>
    </row>
    <row r="103" spans="1:82" s="11" customFormat="1" ht="13.5" customHeight="1">
      <c r="A103" s="28"/>
      <c r="B103" s="31"/>
      <c r="C103" s="24"/>
      <c r="D103" s="24"/>
      <c r="E103" s="24"/>
      <c r="F103" s="24"/>
      <c r="G103" s="24"/>
      <c r="H103" s="23"/>
      <c r="I103" s="24"/>
      <c r="J103" s="24"/>
      <c r="K103" s="24"/>
      <c r="L103" s="24"/>
      <c r="M103" s="24"/>
      <c r="N103" s="24"/>
      <c r="O103" s="24"/>
      <c r="P103" s="31"/>
      <c r="Q103" s="24"/>
      <c r="R103" s="24"/>
      <c r="S103" s="24"/>
      <c r="T103" s="24"/>
      <c r="U103" s="24"/>
      <c r="V103" s="24"/>
      <c r="W103" s="31"/>
      <c r="X103" s="24"/>
      <c r="Y103" s="24"/>
      <c r="Z103" s="24"/>
      <c r="AA103" s="24"/>
      <c r="AB103" s="24"/>
      <c r="AC103" s="24"/>
      <c r="AD103" s="31"/>
      <c r="AE103" s="24"/>
      <c r="AF103" s="24"/>
      <c r="AG103" s="24"/>
      <c r="AH103" s="24"/>
      <c r="AI103" s="24"/>
      <c r="AJ103" s="23"/>
      <c r="AK103" s="31"/>
      <c r="AL103" s="24"/>
      <c r="AM103" s="24"/>
      <c r="AN103" s="24"/>
      <c r="AO103" s="24"/>
      <c r="AP103" s="24"/>
      <c r="AQ103" s="23"/>
      <c r="AR103" s="24"/>
      <c r="AS103" s="24"/>
      <c r="AT103" s="24"/>
      <c r="AU103" s="24"/>
      <c r="AV103" s="24"/>
      <c r="AW103" s="24"/>
      <c r="AX103" s="24"/>
      <c r="AY103" s="24"/>
      <c r="AZ103" s="24"/>
      <c r="BA103" s="24"/>
      <c r="BB103" s="24"/>
      <c r="BC103" s="24"/>
      <c r="BD103" s="24"/>
      <c r="BE103" s="24"/>
      <c r="BF103" s="24"/>
      <c r="BG103" s="24"/>
      <c r="BH103" s="31"/>
      <c r="BI103" s="24"/>
      <c r="BJ103" s="24"/>
      <c r="BK103" s="24"/>
      <c r="BL103" s="23"/>
      <c r="BM103" s="13"/>
      <c r="BO103" s="62"/>
      <c r="BS103" s="172"/>
      <c r="BT103" s="173"/>
      <c r="BU103" s="173"/>
      <c r="BV103" s="173"/>
      <c r="BW103" s="173"/>
      <c r="BX103" s="173"/>
      <c r="BY103" s="173"/>
      <c r="BZ103" s="173"/>
      <c r="CA103" s="173"/>
      <c r="CB103" s="173"/>
      <c r="CC103" s="173"/>
      <c r="CD103" s="174"/>
    </row>
    <row r="104" spans="1:82" s="11" customFormat="1" ht="13.5" customHeight="1">
      <c r="A104" s="28"/>
      <c r="B104" s="31"/>
      <c r="C104" s="24"/>
      <c r="D104" s="24"/>
      <c r="E104" s="24"/>
      <c r="F104" s="24"/>
      <c r="G104" s="24"/>
      <c r="H104" s="23"/>
      <c r="I104" s="24"/>
      <c r="J104" s="24"/>
      <c r="K104" s="24"/>
      <c r="L104" s="24"/>
      <c r="M104" s="24"/>
      <c r="N104" s="24"/>
      <c r="O104" s="24"/>
      <c r="P104" s="31"/>
      <c r="Q104" s="24"/>
      <c r="R104" s="24"/>
      <c r="S104" s="24"/>
      <c r="T104" s="24"/>
      <c r="U104" s="24"/>
      <c r="V104" s="24"/>
      <c r="W104" s="31"/>
      <c r="X104" s="24"/>
      <c r="Y104" s="24"/>
      <c r="Z104" s="24"/>
      <c r="AA104" s="24"/>
      <c r="AB104" s="24"/>
      <c r="AC104" s="24"/>
      <c r="AD104" s="31"/>
      <c r="AE104" s="24"/>
      <c r="AF104" s="24"/>
      <c r="AG104" s="24"/>
      <c r="AH104" s="24"/>
      <c r="AI104" s="24"/>
      <c r="AJ104" s="23"/>
      <c r="AK104" s="31"/>
      <c r="AL104" s="24"/>
      <c r="AM104" s="24"/>
      <c r="AN104" s="24"/>
      <c r="AO104" s="24"/>
      <c r="AP104" s="24"/>
      <c r="AQ104" s="23"/>
      <c r="AR104" s="24"/>
      <c r="AS104" s="24"/>
      <c r="AT104" s="24"/>
      <c r="AU104" s="24"/>
      <c r="AV104" s="24"/>
      <c r="AW104" s="24"/>
      <c r="AX104" s="24"/>
      <c r="AY104" s="24"/>
      <c r="AZ104" s="24"/>
      <c r="BA104" s="24"/>
      <c r="BB104" s="24"/>
      <c r="BC104" s="24"/>
      <c r="BD104" s="24"/>
      <c r="BE104" s="24"/>
      <c r="BF104" s="24"/>
      <c r="BG104" s="24"/>
      <c r="BH104" s="31"/>
      <c r="BI104" s="24"/>
      <c r="BJ104" s="24"/>
      <c r="BK104" s="24"/>
      <c r="BL104" s="23"/>
      <c r="BM104" s="13"/>
      <c r="BO104" s="62"/>
      <c r="BS104" s="172"/>
      <c r="BT104" s="173"/>
      <c r="BU104" s="173"/>
      <c r="BV104" s="173"/>
      <c r="BW104" s="173"/>
      <c r="BX104" s="173"/>
      <c r="BY104" s="173"/>
      <c r="BZ104" s="173"/>
      <c r="CA104" s="173"/>
      <c r="CB104" s="173"/>
      <c r="CC104" s="173"/>
      <c r="CD104" s="174"/>
    </row>
    <row r="105" spans="1:82" s="11" customFormat="1" ht="13.5" customHeight="1">
      <c r="A105" s="28"/>
      <c r="B105" s="31"/>
      <c r="C105" s="24"/>
      <c r="D105" s="24"/>
      <c r="E105" s="24"/>
      <c r="F105" s="24"/>
      <c r="G105" s="24"/>
      <c r="H105" s="23"/>
      <c r="I105" s="24"/>
      <c r="J105" s="24"/>
      <c r="K105" s="24"/>
      <c r="L105" s="24"/>
      <c r="M105" s="24"/>
      <c r="N105" s="24"/>
      <c r="O105" s="24"/>
      <c r="P105" s="31"/>
      <c r="Q105" s="24"/>
      <c r="R105" s="24"/>
      <c r="S105" s="24"/>
      <c r="T105" s="24"/>
      <c r="U105" s="24"/>
      <c r="V105" s="24"/>
      <c r="W105" s="31"/>
      <c r="X105" s="24"/>
      <c r="Y105" s="24"/>
      <c r="Z105" s="24"/>
      <c r="AA105" s="24"/>
      <c r="AB105" s="24"/>
      <c r="AC105" s="24"/>
      <c r="AD105" s="31"/>
      <c r="AE105" s="24"/>
      <c r="AF105" s="24"/>
      <c r="AG105" s="24"/>
      <c r="AH105" s="24"/>
      <c r="AI105" s="24"/>
      <c r="AJ105" s="23"/>
      <c r="AK105" s="31"/>
      <c r="AL105" s="24"/>
      <c r="AM105" s="24"/>
      <c r="AN105" s="24"/>
      <c r="AO105" s="24"/>
      <c r="AP105" s="24"/>
      <c r="AQ105" s="23"/>
      <c r="AR105" s="24"/>
      <c r="AS105" s="24"/>
      <c r="AT105" s="24"/>
      <c r="AU105" s="24"/>
      <c r="AV105" s="24"/>
      <c r="AW105" s="24"/>
      <c r="AX105" s="24"/>
      <c r="AY105" s="24"/>
      <c r="AZ105" s="24"/>
      <c r="BA105" s="24"/>
      <c r="BB105" s="24"/>
      <c r="BC105" s="24"/>
      <c r="BD105" s="24"/>
      <c r="BE105" s="24"/>
      <c r="BF105" s="24"/>
      <c r="BG105" s="24"/>
      <c r="BH105" s="31"/>
      <c r="BI105" s="24"/>
      <c r="BJ105" s="24"/>
      <c r="BK105" s="24"/>
      <c r="BL105" s="23"/>
      <c r="BM105" s="13"/>
      <c r="BO105" s="62"/>
      <c r="BS105" s="172"/>
      <c r="BT105" s="173"/>
      <c r="BU105" s="173"/>
      <c r="BV105" s="173"/>
      <c r="BW105" s="173"/>
      <c r="BX105" s="173"/>
      <c r="BY105" s="173"/>
      <c r="BZ105" s="173"/>
      <c r="CA105" s="173"/>
      <c r="CB105" s="173"/>
      <c r="CC105" s="173"/>
      <c r="CD105" s="174"/>
    </row>
    <row r="106" spans="1:82" s="11" customFormat="1" ht="13.5" customHeight="1">
      <c r="A106" s="28"/>
      <c r="B106" s="31"/>
      <c r="C106" s="24"/>
      <c r="D106" s="24"/>
      <c r="E106" s="24"/>
      <c r="F106" s="24"/>
      <c r="G106" s="24"/>
      <c r="H106" s="23"/>
      <c r="I106" s="24"/>
      <c r="J106" s="24"/>
      <c r="K106" s="24"/>
      <c r="L106" s="24"/>
      <c r="M106" s="24"/>
      <c r="N106" s="24"/>
      <c r="O106" s="24"/>
      <c r="P106" s="31"/>
      <c r="Q106" s="24"/>
      <c r="R106" s="24"/>
      <c r="S106" s="24"/>
      <c r="T106" s="24"/>
      <c r="U106" s="24"/>
      <c r="V106" s="24"/>
      <c r="W106" s="31"/>
      <c r="X106" s="24"/>
      <c r="Y106" s="24"/>
      <c r="Z106" s="24"/>
      <c r="AA106" s="24"/>
      <c r="AB106" s="24"/>
      <c r="AC106" s="24"/>
      <c r="AD106" s="31"/>
      <c r="AE106" s="24"/>
      <c r="AF106" s="24"/>
      <c r="AG106" s="24"/>
      <c r="AH106" s="24"/>
      <c r="AI106" s="24"/>
      <c r="AJ106" s="23"/>
      <c r="AK106" s="31"/>
      <c r="AL106" s="24"/>
      <c r="AM106" s="24"/>
      <c r="AN106" s="24"/>
      <c r="AO106" s="24"/>
      <c r="AP106" s="24"/>
      <c r="AQ106" s="23"/>
      <c r="AR106" s="24"/>
      <c r="AS106" s="24"/>
      <c r="AT106" s="24"/>
      <c r="AU106" s="24"/>
      <c r="AV106" s="24"/>
      <c r="AW106" s="24"/>
      <c r="AX106" s="24"/>
      <c r="AY106" s="24"/>
      <c r="AZ106" s="24"/>
      <c r="BA106" s="24"/>
      <c r="BB106" s="24"/>
      <c r="BC106" s="24"/>
      <c r="BD106" s="24"/>
      <c r="BE106" s="24"/>
      <c r="BF106" s="24"/>
      <c r="BG106" s="24"/>
      <c r="BH106" s="31"/>
      <c r="BI106" s="24"/>
      <c r="BJ106" s="24"/>
      <c r="BK106" s="24"/>
      <c r="BL106" s="23"/>
      <c r="BM106" s="13"/>
      <c r="BO106" s="62"/>
      <c r="BS106" s="172"/>
      <c r="BT106" s="173"/>
      <c r="BU106" s="173"/>
      <c r="BV106" s="173"/>
      <c r="BW106" s="173"/>
      <c r="BX106" s="173"/>
      <c r="BY106" s="173"/>
      <c r="BZ106" s="173"/>
      <c r="CA106" s="173"/>
      <c r="CB106" s="173"/>
      <c r="CC106" s="173"/>
      <c r="CD106" s="174"/>
    </row>
    <row r="107" spans="1:82" s="11" customFormat="1" ht="13.5" customHeight="1">
      <c r="A107" s="28"/>
      <c r="B107" s="31"/>
      <c r="C107" s="24"/>
      <c r="D107" s="24"/>
      <c r="E107" s="24"/>
      <c r="F107" s="24"/>
      <c r="G107" s="24"/>
      <c r="H107" s="23"/>
      <c r="I107" s="24"/>
      <c r="J107" s="24"/>
      <c r="K107" s="24"/>
      <c r="L107" s="24"/>
      <c r="M107" s="24"/>
      <c r="N107" s="24"/>
      <c r="O107" s="24"/>
      <c r="P107" s="31"/>
      <c r="Q107" s="24"/>
      <c r="R107" s="24"/>
      <c r="S107" s="24"/>
      <c r="T107" s="24"/>
      <c r="U107" s="24"/>
      <c r="V107" s="24"/>
      <c r="W107" s="31"/>
      <c r="X107" s="24"/>
      <c r="Y107" s="24"/>
      <c r="Z107" s="24"/>
      <c r="AA107" s="24"/>
      <c r="AB107" s="24"/>
      <c r="AC107" s="24"/>
      <c r="AD107" s="31"/>
      <c r="AE107" s="24"/>
      <c r="AF107" s="24"/>
      <c r="AG107" s="24"/>
      <c r="AH107" s="24"/>
      <c r="AI107" s="24"/>
      <c r="AJ107" s="23"/>
      <c r="AK107" s="31"/>
      <c r="AL107" s="24"/>
      <c r="AM107" s="24"/>
      <c r="AN107" s="24"/>
      <c r="AO107" s="24"/>
      <c r="AP107" s="24"/>
      <c r="AQ107" s="23"/>
      <c r="AR107" s="24"/>
      <c r="AS107" s="25" t="s">
        <v>278</v>
      </c>
      <c r="AV107" s="8"/>
      <c r="AW107" s="24"/>
      <c r="AX107" s="24"/>
      <c r="AY107" s="24"/>
      <c r="AZ107" s="24"/>
      <c r="BA107" s="24"/>
      <c r="BB107" s="24"/>
      <c r="BC107" s="24"/>
      <c r="BD107" s="24"/>
      <c r="BE107" s="24"/>
      <c r="BF107" s="24"/>
      <c r="BG107" s="24"/>
      <c r="BH107" s="27" t="s">
        <v>160</v>
      </c>
      <c r="BI107" s="24"/>
      <c r="BJ107" s="24"/>
      <c r="BK107" s="24"/>
      <c r="BL107" s="23"/>
      <c r="BM107" s="13"/>
      <c r="BO107" s="62"/>
      <c r="BS107" s="172"/>
      <c r="BT107" s="173"/>
      <c r="BU107" s="173"/>
      <c r="BV107" s="173"/>
      <c r="BW107" s="173"/>
      <c r="BX107" s="173"/>
      <c r="BY107" s="173"/>
      <c r="BZ107" s="173"/>
      <c r="CA107" s="173"/>
      <c r="CB107" s="173"/>
      <c r="CC107" s="173"/>
      <c r="CD107" s="174"/>
    </row>
    <row r="108" spans="1:82" s="11" customFormat="1" ht="13.5" customHeight="1">
      <c r="A108" s="28"/>
      <c r="B108" s="31"/>
      <c r="C108" s="24"/>
      <c r="D108" s="24"/>
      <c r="E108" s="24"/>
      <c r="F108" s="24"/>
      <c r="G108" s="24"/>
      <c r="H108" s="23"/>
      <c r="I108" s="24"/>
      <c r="J108" s="24"/>
      <c r="K108" s="24"/>
      <c r="L108" s="24"/>
      <c r="M108" s="24"/>
      <c r="N108" s="24"/>
      <c r="O108" s="24"/>
      <c r="P108" s="31"/>
      <c r="Q108" s="24"/>
      <c r="R108" s="24"/>
      <c r="S108" s="24"/>
      <c r="T108" s="24"/>
      <c r="U108" s="24"/>
      <c r="V108" s="24"/>
      <c r="W108" s="31"/>
      <c r="X108" s="24"/>
      <c r="Y108" s="24"/>
      <c r="Z108" s="24"/>
      <c r="AA108" s="24"/>
      <c r="AB108" s="24"/>
      <c r="AC108" s="24"/>
      <c r="AD108" s="31"/>
      <c r="AE108" s="24"/>
      <c r="AF108" s="24"/>
      <c r="AG108" s="24"/>
      <c r="AH108" s="24"/>
      <c r="AI108" s="24"/>
      <c r="AJ108" s="23"/>
      <c r="AK108" s="31"/>
      <c r="AL108" s="24"/>
      <c r="AM108" s="24"/>
      <c r="AN108" s="24"/>
      <c r="AO108" s="24"/>
      <c r="AP108" s="24"/>
      <c r="AQ108" s="23"/>
      <c r="AR108" s="24"/>
      <c r="AT108" s="8" t="s">
        <v>279</v>
      </c>
      <c r="AV108" s="8"/>
      <c r="AW108" s="24"/>
      <c r="AX108" s="24"/>
      <c r="AY108" s="24"/>
      <c r="AZ108" s="24"/>
      <c r="BA108" s="24"/>
      <c r="BB108" s="24"/>
      <c r="BC108" s="24"/>
      <c r="BD108" s="24"/>
      <c r="BE108" s="24"/>
      <c r="BF108" s="24"/>
      <c r="BG108" s="24"/>
      <c r="BH108" s="31"/>
      <c r="BI108" s="24"/>
      <c r="BJ108" s="24"/>
      <c r="BK108" s="24"/>
      <c r="BL108" s="23"/>
      <c r="BM108" s="13"/>
      <c r="BO108" s="62"/>
      <c r="BS108" s="172"/>
      <c r="BT108" s="173"/>
      <c r="BU108" s="173"/>
      <c r="BV108" s="173"/>
      <c r="BW108" s="173"/>
      <c r="BX108" s="173"/>
      <c r="BY108" s="173"/>
      <c r="BZ108" s="173"/>
      <c r="CA108" s="173"/>
      <c r="CB108" s="173"/>
      <c r="CC108" s="173"/>
      <c r="CD108" s="174"/>
    </row>
    <row r="109" spans="1:82" s="11" customFormat="1" ht="13.5" customHeight="1">
      <c r="A109" s="28"/>
      <c r="B109" s="31"/>
      <c r="C109" s="24"/>
      <c r="D109" s="24"/>
      <c r="E109" s="24"/>
      <c r="F109" s="24"/>
      <c r="G109" s="24"/>
      <c r="H109" s="23"/>
      <c r="I109" s="24"/>
      <c r="J109" s="24"/>
      <c r="K109" s="24"/>
      <c r="L109" s="24"/>
      <c r="M109" s="24"/>
      <c r="N109" s="24"/>
      <c r="O109" s="24"/>
      <c r="P109" s="31"/>
      <c r="Q109" s="24"/>
      <c r="R109" s="24"/>
      <c r="S109" s="24"/>
      <c r="T109" s="24"/>
      <c r="U109" s="24"/>
      <c r="V109" s="24"/>
      <c r="W109" s="31"/>
      <c r="X109" s="24"/>
      <c r="Y109" s="24"/>
      <c r="Z109" s="24"/>
      <c r="AA109" s="24"/>
      <c r="AB109" s="24"/>
      <c r="AC109" s="24"/>
      <c r="AD109" s="31"/>
      <c r="AE109" s="24"/>
      <c r="AF109" s="24"/>
      <c r="AG109" s="24"/>
      <c r="AH109" s="24"/>
      <c r="AI109" s="24"/>
      <c r="AJ109" s="23"/>
      <c r="AK109" s="31"/>
      <c r="AL109" s="24"/>
      <c r="AM109" s="24"/>
      <c r="AN109" s="24"/>
      <c r="AO109" s="24"/>
      <c r="AP109" s="24"/>
      <c r="AQ109" s="23"/>
      <c r="AR109" s="24"/>
      <c r="AS109" s="24"/>
      <c r="AT109" s="90" t="s">
        <v>280</v>
      </c>
      <c r="AU109" s="24"/>
      <c r="AV109" s="24"/>
      <c r="AW109" s="24"/>
      <c r="AX109" s="24"/>
      <c r="AY109" s="24"/>
      <c r="AZ109" s="24"/>
      <c r="BA109" s="24"/>
      <c r="BB109" s="24"/>
      <c r="BC109" s="24"/>
      <c r="BD109" s="24"/>
      <c r="BE109" s="24"/>
      <c r="BF109" s="24"/>
      <c r="BG109" s="24"/>
      <c r="BH109" s="31"/>
      <c r="BI109" s="24"/>
      <c r="BJ109" s="24"/>
      <c r="BK109" s="24"/>
      <c r="BL109" s="23"/>
      <c r="BM109" s="13"/>
      <c r="BO109" s="62"/>
      <c r="BS109" s="172"/>
      <c r="BT109" s="173"/>
      <c r="BU109" s="173"/>
      <c r="BV109" s="173"/>
      <c r="BW109" s="173"/>
      <c r="BX109" s="173"/>
      <c r="BY109" s="173"/>
      <c r="BZ109" s="173"/>
      <c r="CA109" s="173"/>
      <c r="CB109" s="173"/>
      <c r="CC109" s="173"/>
      <c r="CD109" s="174"/>
    </row>
    <row r="110" spans="1:82" s="11" customFormat="1" ht="13.5" customHeight="1">
      <c r="A110" s="28"/>
      <c r="B110" s="31"/>
      <c r="C110" s="24"/>
      <c r="D110" s="24"/>
      <c r="E110" s="24"/>
      <c r="F110" s="24"/>
      <c r="G110" s="24"/>
      <c r="H110" s="23"/>
      <c r="I110" s="24"/>
      <c r="J110" s="24"/>
      <c r="K110" s="24"/>
      <c r="L110" s="24"/>
      <c r="M110" s="24"/>
      <c r="N110" s="24"/>
      <c r="O110" s="24"/>
      <c r="P110" s="31"/>
      <c r="Q110" s="24"/>
      <c r="R110" s="24"/>
      <c r="S110" s="24"/>
      <c r="T110" s="24"/>
      <c r="U110" s="24"/>
      <c r="V110" s="24"/>
      <c r="W110" s="31"/>
      <c r="X110" s="24"/>
      <c r="Y110" s="24"/>
      <c r="Z110" s="24"/>
      <c r="AA110" s="24"/>
      <c r="AB110" s="24"/>
      <c r="AC110" s="24"/>
      <c r="AD110" s="31"/>
      <c r="AE110" s="24"/>
      <c r="AF110" s="24"/>
      <c r="AG110" s="24"/>
      <c r="AH110" s="24"/>
      <c r="AI110" s="24"/>
      <c r="AJ110" s="23"/>
      <c r="AK110" s="31"/>
      <c r="AL110" s="24"/>
      <c r="AM110" s="24"/>
      <c r="AN110" s="24"/>
      <c r="AO110" s="24"/>
      <c r="AP110" s="24"/>
      <c r="AQ110" s="23"/>
      <c r="AR110" s="24"/>
      <c r="AS110" s="24"/>
      <c r="AT110" s="48" t="s">
        <v>128</v>
      </c>
      <c r="AU110" s="49"/>
      <c r="AV110" s="49"/>
      <c r="AW110" s="49"/>
      <c r="AX110" s="49"/>
      <c r="AY110" s="49"/>
      <c r="AZ110" s="49"/>
      <c r="BA110" s="50"/>
      <c r="BB110" s="24"/>
      <c r="BC110" s="24"/>
      <c r="BD110" s="24"/>
      <c r="BE110" s="24"/>
      <c r="BF110" s="24"/>
      <c r="BG110" s="24"/>
      <c r="BH110" s="31"/>
      <c r="BI110" s="24"/>
      <c r="BJ110" s="24"/>
      <c r="BK110" s="24"/>
      <c r="BL110" s="23"/>
      <c r="BM110" s="13"/>
      <c r="BO110" s="62"/>
      <c r="BS110" s="172"/>
      <c r="BT110" s="173"/>
      <c r="BU110" s="173"/>
      <c r="BV110" s="173"/>
      <c r="BW110" s="173"/>
      <c r="BX110" s="173"/>
      <c r="BY110" s="173"/>
      <c r="BZ110" s="173"/>
      <c r="CA110" s="173"/>
      <c r="CB110" s="173"/>
      <c r="CC110" s="173"/>
      <c r="CD110" s="174"/>
    </row>
    <row r="111" spans="1:82" s="11" customFormat="1" ht="13.5" customHeight="1">
      <c r="A111" s="28"/>
      <c r="B111" s="31"/>
      <c r="C111" s="24"/>
      <c r="D111" s="24"/>
      <c r="E111" s="24"/>
      <c r="F111" s="24"/>
      <c r="G111" s="24"/>
      <c r="H111" s="23"/>
      <c r="I111" s="24"/>
      <c r="J111" s="24"/>
      <c r="K111" s="24"/>
      <c r="L111" s="24"/>
      <c r="M111" s="24"/>
      <c r="N111" s="24"/>
      <c r="O111" s="24"/>
      <c r="P111" s="31"/>
      <c r="Q111" s="24"/>
      <c r="R111" s="24"/>
      <c r="S111" s="24"/>
      <c r="T111" s="24"/>
      <c r="U111" s="24"/>
      <c r="V111" s="24"/>
      <c r="W111" s="31"/>
      <c r="X111" s="24"/>
      <c r="Y111" s="24"/>
      <c r="Z111" s="24"/>
      <c r="AA111" s="24"/>
      <c r="AB111" s="24"/>
      <c r="AC111" s="24"/>
      <c r="AD111" s="31"/>
      <c r="AE111" s="24"/>
      <c r="AF111" s="24"/>
      <c r="AG111" s="24"/>
      <c r="AH111" s="24"/>
      <c r="AI111" s="24"/>
      <c r="AJ111" s="23"/>
      <c r="AK111" s="31"/>
      <c r="AL111" s="24"/>
      <c r="AM111" s="24"/>
      <c r="AN111" s="24"/>
      <c r="AO111" s="24"/>
      <c r="AP111" s="24"/>
      <c r="AQ111" s="23"/>
      <c r="AR111" s="24"/>
      <c r="AS111" s="24"/>
      <c r="AT111" s="79" t="s">
        <v>248</v>
      </c>
      <c r="AU111" s="58"/>
      <c r="AV111" s="58"/>
      <c r="AW111" s="74"/>
      <c r="AX111" s="79" t="s">
        <v>249</v>
      </c>
      <c r="AY111" s="58"/>
      <c r="AZ111" s="58"/>
      <c r="BA111" s="74"/>
      <c r="BB111" s="24"/>
      <c r="BC111" s="24"/>
      <c r="BD111" s="24"/>
      <c r="BE111" s="24"/>
      <c r="BF111" s="24"/>
      <c r="BG111" s="24"/>
      <c r="BH111" s="31"/>
      <c r="BI111" s="24"/>
      <c r="BJ111" s="24"/>
      <c r="BK111" s="24"/>
      <c r="BL111" s="23"/>
      <c r="BM111" s="13"/>
      <c r="BO111" s="62"/>
      <c r="BS111" s="172"/>
      <c r="BT111" s="173"/>
      <c r="BU111" s="173"/>
      <c r="BV111" s="173"/>
      <c r="BW111" s="173"/>
      <c r="BX111" s="173"/>
      <c r="BY111" s="173"/>
      <c r="BZ111" s="173"/>
      <c r="CA111" s="173"/>
      <c r="CB111" s="173"/>
      <c r="CC111" s="173"/>
      <c r="CD111" s="174"/>
    </row>
    <row r="112" spans="1:82" s="11" customFormat="1" ht="13.5" customHeight="1">
      <c r="A112" s="28"/>
      <c r="B112" s="31"/>
      <c r="C112" s="24"/>
      <c r="D112" s="24"/>
      <c r="E112" s="24"/>
      <c r="F112" s="24"/>
      <c r="G112" s="24"/>
      <c r="H112" s="23"/>
      <c r="I112" s="24"/>
      <c r="J112" s="24"/>
      <c r="K112" s="24"/>
      <c r="L112" s="24"/>
      <c r="M112" s="24"/>
      <c r="N112" s="24"/>
      <c r="O112" s="24"/>
      <c r="P112" s="31"/>
      <c r="Q112" s="24"/>
      <c r="R112" s="24"/>
      <c r="S112" s="24"/>
      <c r="T112" s="24"/>
      <c r="U112" s="24"/>
      <c r="V112" s="24"/>
      <c r="W112" s="31"/>
      <c r="X112" s="24"/>
      <c r="Y112" s="24"/>
      <c r="Z112" s="24"/>
      <c r="AA112" s="24"/>
      <c r="AB112" s="24"/>
      <c r="AC112" s="24"/>
      <c r="AD112" s="31"/>
      <c r="AE112" s="24"/>
      <c r="AF112" s="24"/>
      <c r="AG112" s="24"/>
      <c r="AH112" s="24"/>
      <c r="AI112" s="24"/>
      <c r="AJ112" s="23"/>
      <c r="AK112" s="31"/>
      <c r="AL112" s="24"/>
      <c r="AM112" s="24"/>
      <c r="AN112" s="24"/>
      <c r="AO112" s="24"/>
      <c r="AP112" s="24"/>
      <c r="AQ112" s="23"/>
      <c r="AR112" s="24"/>
      <c r="AS112" s="24"/>
      <c r="AT112" s="115"/>
      <c r="AU112" s="115"/>
      <c r="AV112" s="24"/>
      <c r="AW112" s="24"/>
      <c r="AX112" s="24"/>
      <c r="AY112" s="24"/>
      <c r="AZ112" s="24"/>
      <c r="BA112" s="24"/>
      <c r="BB112" s="24"/>
      <c r="BC112" s="24"/>
      <c r="BD112" s="24"/>
      <c r="BE112" s="24"/>
      <c r="BF112" s="24"/>
      <c r="BG112" s="24"/>
      <c r="BH112" s="31"/>
      <c r="BI112" s="24"/>
      <c r="BJ112" s="24"/>
      <c r="BK112" s="24"/>
      <c r="BL112" s="23"/>
      <c r="BM112" s="13"/>
      <c r="BO112" s="62"/>
      <c r="BS112" s="172"/>
      <c r="BT112" s="173"/>
      <c r="BU112" s="173"/>
      <c r="BV112" s="173"/>
      <c r="BW112" s="173"/>
      <c r="BX112" s="173"/>
      <c r="BY112" s="173"/>
      <c r="BZ112" s="173"/>
      <c r="CA112" s="173"/>
      <c r="CB112" s="173"/>
      <c r="CC112" s="173"/>
      <c r="CD112" s="174"/>
    </row>
    <row r="113" spans="1:82" s="11" customFormat="1" ht="13.5" customHeight="1">
      <c r="A113" s="28"/>
      <c r="B113" s="31"/>
      <c r="C113" s="24"/>
      <c r="D113" s="24"/>
      <c r="E113" s="24"/>
      <c r="F113" s="24"/>
      <c r="G113" s="24"/>
      <c r="H113" s="23"/>
      <c r="I113" s="24"/>
      <c r="J113" s="24"/>
      <c r="K113" s="24"/>
      <c r="L113" s="24"/>
      <c r="M113" s="24"/>
      <c r="N113" s="24"/>
      <c r="O113" s="24"/>
      <c r="P113" s="31"/>
      <c r="Q113" s="24"/>
      <c r="R113" s="24"/>
      <c r="S113" s="24"/>
      <c r="T113" s="24"/>
      <c r="U113" s="24"/>
      <c r="V113" s="24"/>
      <c r="W113" s="31"/>
      <c r="X113" s="24"/>
      <c r="Y113" s="24"/>
      <c r="Z113" s="24"/>
      <c r="AA113" s="24"/>
      <c r="AB113" s="24"/>
      <c r="AC113" s="24"/>
      <c r="AD113" s="31"/>
      <c r="AE113" s="24"/>
      <c r="AF113" s="24"/>
      <c r="AG113" s="24"/>
      <c r="AH113" s="24"/>
      <c r="AI113" s="24"/>
      <c r="AJ113" s="23"/>
      <c r="AK113" s="31"/>
      <c r="AL113" s="24"/>
      <c r="AM113" s="24"/>
      <c r="AN113" s="24"/>
      <c r="AO113" s="24"/>
      <c r="AP113" s="24"/>
      <c r="AQ113" s="23"/>
      <c r="AR113" s="24"/>
      <c r="AS113" s="24"/>
      <c r="AT113" s="24"/>
      <c r="AU113" s="24"/>
      <c r="AV113" s="24"/>
      <c r="AW113" s="24"/>
      <c r="AX113" s="24"/>
      <c r="AY113" s="24"/>
      <c r="AZ113" s="24"/>
      <c r="BA113" s="24"/>
      <c r="BB113" s="24"/>
      <c r="BC113" s="24"/>
      <c r="BD113" s="24"/>
      <c r="BE113" s="24"/>
      <c r="BF113" s="24"/>
      <c r="BG113" s="24"/>
      <c r="BH113" s="27"/>
      <c r="BI113" s="24"/>
      <c r="BJ113" s="24"/>
      <c r="BK113" s="24"/>
      <c r="BL113" s="23"/>
      <c r="BM113" s="13"/>
      <c r="BO113" s="62"/>
      <c r="BS113" s="172"/>
      <c r="BT113" s="173"/>
      <c r="BU113" s="173"/>
      <c r="BV113" s="173"/>
      <c r="BW113" s="173"/>
      <c r="BX113" s="173"/>
      <c r="BY113" s="173"/>
      <c r="BZ113" s="173"/>
      <c r="CA113" s="173"/>
      <c r="CB113" s="173"/>
      <c r="CC113" s="173"/>
      <c r="CD113" s="174"/>
    </row>
    <row r="114" spans="1:82" s="11" customFormat="1" ht="13.5" customHeight="1">
      <c r="A114" s="28"/>
      <c r="B114" s="31"/>
      <c r="C114" s="24"/>
      <c r="D114" s="24"/>
      <c r="E114" s="24"/>
      <c r="F114" s="24"/>
      <c r="G114" s="24"/>
      <c r="H114" s="23"/>
      <c r="I114" s="24"/>
      <c r="J114" s="24"/>
      <c r="K114" s="24"/>
      <c r="L114" s="24"/>
      <c r="M114" s="24"/>
      <c r="N114" s="24"/>
      <c r="O114" s="24"/>
      <c r="P114" s="31"/>
      <c r="Q114" s="24"/>
      <c r="R114" s="24"/>
      <c r="S114" s="24"/>
      <c r="T114" s="24"/>
      <c r="U114" s="24"/>
      <c r="V114" s="24"/>
      <c r="W114" s="31"/>
      <c r="X114" s="24"/>
      <c r="Y114" s="24"/>
      <c r="Z114" s="24"/>
      <c r="AA114" s="24"/>
      <c r="AB114" s="24"/>
      <c r="AC114" s="24"/>
      <c r="AD114" s="31"/>
      <c r="AE114" s="24"/>
      <c r="AF114" s="24"/>
      <c r="AG114" s="24"/>
      <c r="AH114" s="24"/>
      <c r="AI114" s="24"/>
      <c r="AJ114" s="23"/>
      <c r="AK114" s="31"/>
      <c r="AL114" s="24"/>
      <c r="AM114" s="24"/>
      <c r="AN114" s="24"/>
      <c r="AO114" s="24"/>
      <c r="AP114" s="24"/>
      <c r="AQ114" s="23"/>
      <c r="AR114" s="24"/>
      <c r="AS114" s="25" t="s">
        <v>281</v>
      </c>
      <c r="AV114" s="8"/>
      <c r="AW114" s="8"/>
      <c r="AX114" s="24"/>
      <c r="AY114" s="24"/>
      <c r="AZ114" s="24"/>
      <c r="BA114" s="24"/>
      <c r="BB114" s="24"/>
      <c r="BC114" s="24"/>
      <c r="BD114" s="24"/>
      <c r="BE114" s="24"/>
      <c r="BF114" s="24"/>
      <c r="BG114" s="24"/>
      <c r="BH114" s="31"/>
      <c r="BI114" s="24"/>
      <c r="BJ114" s="24"/>
      <c r="BK114" s="24"/>
      <c r="BL114" s="23"/>
      <c r="BM114" s="13"/>
      <c r="BO114" s="62"/>
      <c r="BS114" s="172"/>
      <c r="BT114" s="173"/>
      <c r="BU114" s="173"/>
      <c r="BV114" s="173"/>
      <c r="BW114" s="173"/>
      <c r="BX114" s="173"/>
      <c r="BY114" s="173"/>
      <c r="BZ114" s="173"/>
      <c r="CA114" s="173"/>
      <c r="CB114" s="173"/>
      <c r="CC114" s="173"/>
      <c r="CD114" s="174"/>
    </row>
    <row r="115" spans="1:82" s="11" customFormat="1" ht="13.5" customHeight="1">
      <c r="A115" s="28"/>
      <c r="B115" s="31"/>
      <c r="C115" s="24"/>
      <c r="D115" s="24"/>
      <c r="E115" s="24"/>
      <c r="F115" s="24"/>
      <c r="G115" s="24"/>
      <c r="H115" s="23"/>
      <c r="I115" s="24"/>
      <c r="J115" s="24"/>
      <c r="K115" s="24"/>
      <c r="L115" s="24"/>
      <c r="M115" s="24"/>
      <c r="N115" s="24"/>
      <c r="O115" s="24"/>
      <c r="P115" s="31"/>
      <c r="Q115" s="24"/>
      <c r="R115" s="24"/>
      <c r="S115" s="24"/>
      <c r="T115" s="24"/>
      <c r="U115" s="24"/>
      <c r="V115" s="24"/>
      <c r="W115" s="31"/>
      <c r="X115" s="24"/>
      <c r="Y115" s="24"/>
      <c r="Z115" s="24"/>
      <c r="AA115" s="24"/>
      <c r="AB115" s="24"/>
      <c r="AC115" s="24"/>
      <c r="AD115" s="31"/>
      <c r="AE115" s="24"/>
      <c r="AF115" s="24"/>
      <c r="AG115" s="24"/>
      <c r="AH115" s="24"/>
      <c r="AI115" s="24"/>
      <c r="AJ115" s="23"/>
      <c r="AK115" s="31"/>
      <c r="AL115" s="24"/>
      <c r="AM115" s="24"/>
      <c r="AN115" s="24"/>
      <c r="AO115" s="24"/>
      <c r="AP115" s="24"/>
      <c r="AQ115" s="23"/>
      <c r="AR115" s="24"/>
      <c r="AT115" s="8" t="s">
        <v>282</v>
      </c>
      <c r="AV115" s="8"/>
      <c r="AW115" s="8"/>
      <c r="AX115" s="24"/>
      <c r="AY115" s="24"/>
      <c r="AZ115" s="24"/>
      <c r="BA115" s="24"/>
      <c r="BB115" s="24"/>
      <c r="BC115" s="24"/>
      <c r="BD115" s="24"/>
      <c r="BE115" s="24"/>
      <c r="BF115" s="24"/>
      <c r="BG115" s="24"/>
      <c r="BH115" s="31"/>
      <c r="BI115" s="24"/>
      <c r="BJ115" s="24"/>
      <c r="BK115" s="24"/>
      <c r="BL115" s="23"/>
      <c r="BM115" s="13"/>
      <c r="BO115" s="62"/>
      <c r="BS115" s="172"/>
      <c r="BT115" s="173"/>
      <c r="BU115" s="173"/>
      <c r="BV115" s="173"/>
      <c r="BW115" s="173"/>
      <c r="BX115" s="173"/>
      <c r="BY115" s="173"/>
      <c r="BZ115" s="173"/>
      <c r="CA115" s="173"/>
      <c r="CB115" s="173"/>
      <c r="CC115" s="173"/>
      <c r="CD115" s="174"/>
    </row>
    <row r="116" spans="1:82" s="11" customFormat="1" ht="13.5" customHeight="1">
      <c r="A116" s="28"/>
      <c r="B116" s="31"/>
      <c r="C116" s="24"/>
      <c r="D116" s="24"/>
      <c r="E116" s="24"/>
      <c r="F116" s="24"/>
      <c r="G116" s="24"/>
      <c r="H116" s="23"/>
      <c r="I116" s="24"/>
      <c r="J116" s="24"/>
      <c r="K116" s="24"/>
      <c r="L116" s="24"/>
      <c r="M116" s="24"/>
      <c r="N116" s="24"/>
      <c r="O116" s="24"/>
      <c r="P116" s="31"/>
      <c r="Q116" s="24"/>
      <c r="R116" s="24"/>
      <c r="S116" s="24"/>
      <c r="T116" s="24"/>
      <c r="U116" s="24"/>
      <c r="V116" s="24"/>
      <c r="W116" s="31"/>
      <c r="X116" s="24"/>
      <c r="Y116" s="24"/>
      <c r="Z116" s="24"/>
      <c r="AA116" s="24"/>
      <c r="AB116" s="24"/>
      <c r="AC116" s="24"/>
      <c r="AD116" s="31"/>
      <c r="AE116" s="24"/>
      <c r="AF116" s="24"/>
      <c r="AG116" s="24"/>
      <c r="AH116" s="24"/>
      <c r="AI116" s="24"/>
      <c r="AJ116" s="23"/>
      <c r="AK116" s="31"/>
      <c r="AL116" s="24"/>
      <c r="AM116" s="24"/>
      <c r="AN116" s="24"/>
      <c r="AO116" s="24"/>
      <c r="AP116" s="24"/>
      <c r="AQ116" s="23"/>
      <c r="AR116" s="24"/>
      <c r="AS116" s="8"/>
      <c r="AT116" s="8" t="s">
        <v>252</v>
      </c>
      <c r="AU116" s="8"/>
      <c r="AV116" s="8"/>
      <c r="AW116" s="8"/>
      <c r="AX116" s="24"/>
      <c r="AY116" s="24"/>
      <c r="AZ116" s="24"/>
      <c r="BA116" s="24"/>
      <c r="BB116" s="24"/>
      <c r="BC116" s="24"/>
      <c r="BD116" s="24"/>
      <c r="BE116" s="24"/>
      <c r="BF116" s="24"/>
      <c r="BG116" s="24"/>
      <c r="BH116" s="31"/>
      <c r="BI116" s="24"/>
      <c r="BJ116" s="24"/>
      <c r="BK116" s="24"/>
      <c r="BL116" s="23"/>
      <c r="BM116" s="13"/>
      <c r="BO116" s="62"/>
      <c r="BS116" s="172"/>
      <c r="BT116" s="173"/>
      <c r="BU116" s="173"/>
      <c r="BV116" s="173"/>
      <c r="BW116" s="173"/>
      <c r="BX116" s="173"/>
      <c r="BY116" s="173"/>
      <c r="BZ116" s="173"/>
      <c r="CA116" s="173"/>
      <c r="CB116" s="173"/>
      <c r="CC116" s="173"/>
      <c r="CD116" s="174"/>
    </row>
    <row r="117" spans="1:82" s="11" customFormat="1" ht="13.5" customHeight="1">
      <c r="A117" s="28"/>
      <c r="B117" s="31"/>
      <c r="C117" s="24"/>
      <c r="D117" s="24"/>
      <c r="E117" s="24"/>
      <c r="F117" s="24"/>
      <c r="G117" s="24"/>
      <c r="H117" s="23"/>
      <c r="I117" s="24"/>
      <c r="J117" s="24"/>
      <c r="K117" s="24"/>
      <c r="L117" s="24"/>
      <c r="M117" s="24"/>
      <c r="N117" s="24"/>
      <c r="O117" s="24"/>
      <c r="P117" s="31"/>
      <c r="Q117" s="24"/>
      <c r="R117" s="24"/>
      <c r="S117" s="24"/>
      <c r="T117" s="24"/>
      <c r="U117" s="24"/>
      <c r="V117" s="24"/>
      <c r="W117" s="31"/>
      <c r="X117" s="24"/>
      <c r="Y117" s="24"/>
      <c r="Z117" s="24"/>
      <c r="AA117" s="24"/>
      <c r="AB117" s="24"/>
      <c r="AC117" s="24"/>
      <c r="AD117" s="31"/>
      <c r="AE117" s="24"/>
      <c r="AF117" s="24"/>
      <c r="AG117" s="24"/>
      <c r="AH117" s="24"/>
      <c r="AI117" s="24"/>
      <c r="AJ117" s="23"/>
      <c r="AK117" s="31"/>
      <c r="AL117" s="24"/>
      <c r="AM117" s="24"/>
      <c r="AN117" s="24"/>
      <c r="AO117" s="24"/>
      <c r="AP117" s="24"/>
      <c r="AQ117" s="23"/>
      <c r="AR117" s="24"/>
      <c r="AS117" s="24"/>
      <c r="AT117" s="24"/>
      <c r="AU117" s="24"/>
      <c r="AV117" s="24"/>
      <c r="AW117" s="24"/>
      <c r="AX117" s="24"/>
      <c r="AY117" s="24"/>
      <c r="AZ117" s="24"/>
      <c r="BA117" s="24"/>
      <c r="BB117" s="24"/>
      <c r="BC117" s="24"/>
      <c r="BD117" s="24"/>
      <c r="BE117" s="24"/>
      <c r="BF117" s="24"/>
      <c r="BG117" s="24"/>
      <c r="BH117" s="31"/>
      <c r="BI117" s="24"/>
      <c r="BJ117" s="24"/>
      <c r="BK117" s="24"/>
      <c r="BL117" s="23"/>
      <c r="BM117" s="13"/>
      <c r="BO117" s="62"/>
      <c r="BS117" s="172"/>
      <c r="BT117" s="173"/>
      <c r="BU117" s="173"/>
      <c r="BV117" s="173"/>
      <c r="BW117" s="173"/>
      <c r="BX117" s="173"/>
      <c r="BY117" s="173"/>
      <c r="BZ117" s="173"/>
      <c r="CA117" s="173"/>
      <c r="CB117" s="173"/>
      <c r="CC117" s="173"/>
      <c r="CD117" s="174"/>
    </row>
    <row r="118" spans="1:82" s="11" customFormat="1" ht="13.5" customHeight="1">
      <c r="A118" s="28"/>
      <c r="B118" s="31"/>
      <c r="C118" s="24"/>
      <c r="D118" s="24"/>
      <c r="E118" s="24"/>
      <c r="F118" s="24"/>
      <c r="G118" s="24"/>
      <c r="H118" s="23"/>
      <c r="I118" s="24"/>
      <c r="J118" s="24"/>
      <c r="K118" s="24"/>
      <c r="L118" s="24"/>
      <c r="M118" s="24"/>
      <c r="N118" s="24"/>
      <c r="O118" s="24"/>
      <c r="P118" s="31"/>
      <c r="Q118" s="24"/>
      <c r="R118" s="24"/>
      <c r="S118" s="24"/>
      <c r="T118" s="24"/>
      <c r="U118" s="24"/>
      <c r="V118" s="24"/>
      <c r="W118" s="31"/>
      <c r="X118" s="24"/>
      <c r="Y118" s="24"/>
      <c r="Z118" s="24"/>
      <c r="AA118" s="24"/>
      <c r="AB118" s="24"/>
      <c r="AC118" s="24"/>
      <c r="AD118" s="31"/>
      <c r="AE118" s="24"/>
      <c r="AF118" s="24"/>
      <c r="AG118" s="24"/>
      <c r="AH118" s="24"/>
      <c r="AI118" s="24"/>
      <c r="AJ118" s="23"/>
      <c r="AK118" s="31"/>
      <c r="AL118" s="24"/>
      <c r="AM118" s="24"/>
      <c r="AN118" s="24"/>
      <c r="AO118" s="24"/>
      <c r="AP118" s="24"/>
      <c r="AQ118" s="23"/>
      <c r="AR118" s="24"/>
      <c r="AS118" s="25" t="s">
        <v>283</v>
      </c>
      <c r="AU118" s="24"/>
      <c r="AV118" s="24"/>
      <c r="AW118" s="24"/>
      <c r="AX118" s="24"/>
      <c r="AY118" s="24"/>
      <c r="AZ118" s="24"/>
      <c r="BA118" s="24"/>
      <c r="BB118" s="24"/>
      <c r="BC118" s="24"/>
      <c r="BD118" s="24"/>
      <c r="BE118" s="24"/>
      <c r="BF118" s="24"/>
      <c r="BG118" s="24"/>
      <c r="BH118" s="31"/>
      <c r="BI118" s="24"/>
      <c r="BJ118" s="24"/>
      <c r="BK118" s="24"/>
      <c r="BL118" s="23"/>
      <c r="BM118" s="13"/>
      <c r="BO118" s="62"/>
      <c r="BS118" s="172"/>
      <c r="BT118" s="173"/>
      <c r="BU118" s="173"/>
      <c r="BV118" s="173"/>
      <c r="BW118" s="173"/>
      <c r="BX118" s="173"/>
      <c r="BY118" s="173"/>
      <c r="BZ118" s="173"/>
      <c r="CA118" s="173"/>
      <c r="CB118" s="173"/>
      <c r="CC118" s="173"/>
      <c r="CD118" s="174"/>
    </row>
    <row r="119" spans="1:82" s="11" customFormat="1" ht="13.5" customHeight="1">
      <c r="A119" s="28"/>
      <c r="B119" s="31"/>
      <c r="C119" s="24"/>
      <c r="D119" s="24"/>
      <c r="E119" s="24"/>
      <c r="F119" s="24"/>
      <c r="G119" s="24"/>
      <c r="H119" s="23"/>
      <c r="I119" s="24"/>
      <c r="J119" s="24"/>
      <c r="K119" s="24"/>
      <c r="L119" s="24"/>
      <c r="M119" s="24"/>
      <c r="N119" s="24"/>
      <c r="O119" s="24"/>
      <c r="P119" s="31"/>
      <c r="Q119" s="24"/>
      <c r="R119" s="24"/>
      <c r="S119" s="24"/>
      <c r="T119" s="24"/>
      <c r="U119" s="24"/>
      <c r="V119" s="24"/>
      <c r="W119" s="31"/>
      <c r="X119" s="24"/>
      <c r="Y119" s="24"/>
      <c r="Z119" s="24"/>
      <c r="AA119" s="24"/>
      <c r="AB119" s="24"/>
      <c r="AC119" s="24"/>
      <c r="AD119" s="31"/>
      <c r="AE119" s="24"/>
      <c r="AF119" s="24"/>
      <c r="AG119" s="24"/>
      <c r="AH119" s="24"/>
      <c r="AI119" s="24"/>
      <c r="AJ119" s="23"/>
      <c r="AK119" s="31"/>
      <c r="AL119" s="24"/>
      <c r="AM119" s="24"/>
      <c r="AN119" s="24"/>
      <c r="AO119" s="24"/>
      <c r="AP119" s="24"/>
      <c r="AQ119" s="23"/>
      <c r="AR119" s="24"/>
      <c r="AT119" s="8" t="s">
        <v>254</v>
      </c>
      <c r="AU119" s="24"/>
      <c r="AV119" s="24"/>
      <c r="AW119" s="24"/>
      <c r="AX119" s="24"/>
      <c r="AY119" s="24"/>
      <c r="AZ119" s="24"/>
      <c r="BA119" s="24"/>
      <c r="BB119" s="24"/>
      <c r="BC119" s="24"/>
      <c r="BD119" s="24"/>
      <c r="BE119" s="24"/>
      <c r="BF119" s="24"/>
      <c r="BG119" s="24"/>
      <c r="BH119" s="31"/>
      <c r="BI119" s="24"/>
      <c r="BJ119" s="24"/>
      <c r="BK119" s="24"/>
      <c r="BL119" s="23"/>
      <c r="BM119" s="13"/>
      <c r="BO119" s="62"/>
      <c r="BS119" s="172"/>
      <c r="BT119" s="173"/>
      <c r="BU119" s="173"/>
      <c r="BV119" s="173"/>
      <c r="BW119" s="173"/>
      <c r="BX119" s="173"/>
      <c r="BY119" s="173"/>
      <c r="BZ119" s="173"/>
      <c r="CA119" s="173"/>
      <c r="CB119" s="173"/>
      <c r="CC119" s="173"/>
      <c r="CD119" s="174"/>
    </row>
    <row r="120" spans="1:82" s="11" customFormat="1" ht="13.5" customHeight="1">
      <c r="A120" s="28"/>
      <c r="B120" s="31"/>
      <c r="C120" s="24"/>
      <c r="D120" s="24"/>
      <c r="E120" s="24"/>
      <c r="F120" s="24"/>
      <c r="G120" s="24"/>
      <c r="H120" s="23"/>
      <c r="I120" s="24"/>
      <c r="J120" s="24"/>
      <c r="K120" s="24"/>
      <c r="L120" s="24"/>
      <c r="M120" s="24"/>
      <c r="N120" s="24"/>
      <c r="O120" s="24"/>
      <c r="P120" s="31"/>
      <c r="Q120" s="24"/>
      <c r="R120" s="24"/>
      <c r="S120" s="24"/>
      <c r="T120" s="24"/>
      <c r="U120" s="24"/>
      <c r="V120" s="24"/>
      <c r="W120" s="31"/>
      <c r="X120" s="24"/>
      <c r="Y120" s="24"/>
      <c r="Z120" s="24"/>
      <c r="AA120" s="24"/>
      <c r="AB120" s="24"/>
      <c r="AC120" s="24"/>
      <c r="AD120" s="31"/>
      <c r="AE120" s="24"/>
      <c r="AF120" s="24"/>
      <c r="AG120" s="24"/>
      <c r="AH120" s="24"/>
      <c r="AI120" s="24"/>
      <c r="AJ120" s="23"/>
      <c r="AK120" s="31"/>
      <c r="AL120" s="24"/>
      <c r="AM120" s="24"/>
      <c r="AN120" s="24"/>
      <c r="AO120" s="24"/>
      <c r="AP120" s="24"/>
      <c r="AQ120" s="23"/>
      <c r="AR120" s="24"/>
      <c r="AS120" s="24"/>
      <c r="AT120" s="24"/>
      <c r="AU120" s="24"/>
      <c r="AV120" s="24"/>
      <c r="AW120" s="24"/>
      <c r="AX120" s="24"/>
      <c r="AY120" s="24"/>
      <c r="AZ120" s="24"/>
      <c r="BA120" s="24"/>
      <c r="BB120" s="24"/>
      <c r="BC120" s="24"/>
      <c r="BD120" s="24"/>
      <c r="BE120" s="24"/>
      <c r="BF120" s="24"/>
      <c r="BG120" s="24"/>
      <c r="BH120" s="31"/>
      <c r="BI120" s="24"/>
      <c r="BJ120" s="24"/>
      <c r="BK120" s="24"/>
      <c r="BL120" s="23"/>
      <c r="BM120" s="13"/>
      <c r="BO120" s="62"/>
      <c r="BS120" s="172"/>
      <c r="BT120" s="173"/>
      <c r="BU120" s="173"/>
      <c r="BV120" s="173"/>
      <c r="BW120" s="173"/>
      <c r="BX120" s="173"/>
      <c r="BY120" s="173"/>
      <c r="BZ120" s="173"/>
      <c r="CA120" s="173"/>
      <c r="CB120" s="173"/>
      <c r="CC120" s="173"/>
      <c r="CD120" s="174"/>
    </row>
    <row r="121" spans="1:82" s="11" customFormat="1" ht="13.5" customHeight="1">
      <c r="A121" s="28"/>
      <c r="B121" s="31"/>
      <c r="C121" s="24"/>
      <c r="D121" s="24"/>
      <c r="E121" s="24"/>
      <c r="F121" s="24"/>
      <c r="G121" s="24"/>
      <c r="H121" s="23"/>
      <c r="I121" s="24"/>
      <c r="J121" s="24"/>
      <c r="K121" s="24"/>
      <c r="L121" s="24"/>
      <c r="M121" s="24"/>
      <c r="N121" s="24"/>
      <c r="O121" s="24"/>
      <c r="P121" s="31"/>
      <c r="Q121" s="24"/>
      <c r="R121" s="24"/>
      <c r="S121" s="24"/>
      <c r="T121" s="24"/>
      <c r="U121" s="24"/>
      <c r="V121" s="24"/>
      <c r="W121" s="31"/>
      <c r="X121" s="24"/>
      <c r="Y121" s="24"/>
      <c r="Z121" s="24"/>
      <c r="AA121" s="24"/>
      <c r="AB121" s="24"/>
      <c r="AC121" s="24"/>
      <c r="AD121" s="31"/>
      <c r="AE121" s="24"/>
      <c r="AF121" s="24"/>
      <c r="AG121" s="24"/>
      <c r="AH121" s="24"/>
      <c r="AI121" s="24"/>
      <c r="AJ121" s="23"/>
      <c r="AK121" s="31"/>
      <c r="AL121" s="24"/>
      <c r="AM121" s="24"/>
      <c r="AN121" s="24"/>
      <c r="AO121" s="24"/>
      <c r="AP121" s="24"/>
      <c r="AQ121" s="23"/>
      <c r="AR121" s="24"/>
      <c r="AS121" s="24"/>
      <c r="AT121" s="24"/>
      <c r="AU121" s="24"/>
      <c r="AV121" s="24"/>
      <c r="AW121" s="24"/>
      <c r="AX121" s="24"/>
      <c r="AY121" s="24"/>
      <c r="AZ121" s="24"/>
      <c r="BA121" s="24"/>
      <c r="BB121" s="24"/>
      <c r="BC121" s="24"/>
      <c r="BD121" s="24"/>
      <c r="BE121" s="24"/>
      <c r="BF121" s="24"/>
      <c r="BG121" s="24"/>
      <c r="BH121" s="31"/>
      <c r="BI121" s="24"/>
      <c r="BJ121" s="24"/>
      <c r="BK121" s="24"/>
      <c r="BL121" s="23"/>
      <c r="BM121" s="13"/>
      <c r="BO121" s="62"/>
      <c r="BS121" s="172"/>
      <c r="BT121" s="173"/>
      <c r="BU121" s="173"/>
      <c r="BV121" s="173"/>
      <c r="BW121" s="173"/>
      <c r="BX121" s="173"/>
      <c r="BY121" s="173"/>
      <c r="BZ121" s="173"/>
      <c r="CA121" s="173"/>
      <c r="CB121" s="173"/>
      <c r="CC121" s="173"/>
      <c r="CD121" s="174"/>
    </row>
    <row r="122" spans="1:82" s="11" customFormat="1" ht="13.5" customHeight="1">
      <c r="A122" s="28"/>
      <c r="B122" s="31"/>
      <c r="C122" s="24"/>
      <c r="D122" s="24"/>
      <c r="E122" s="24"/>
      <c r="F122" s="24"/>
      <c r="G122" s="24"/>
      <c r="H122" s="23"/>
      <c r="I122" s="24"/>
      <c r="J122" s="24"/>
      <c r="K122" s="24"/>
      <c r="L122" s="24"/>
      <c r="M122" s="24"/>
      <c r="N122" s="24"/>
      <c r="O122" s="24"/>
      <c r="P122" s="31"/>
      <c r="Q122" s="24"/>
      <c r="R122" s="24"/>
      <c r="S122" s="24"/>
      <c r="T122" s="24"/>
      <c r="U122" s="24"/>
      <c r="V122" s="24"/>
      <c r="W122" s="31"/>
      <c r="X122" s="24"/>
      <c r="Y122" s="24"/>
      <c r="Z122" s="24"/>
      <c r="AA122" s="24"/>
      <c r="AB122" s="24"/>
      <c r="AC122" s="24"/>
      <c r="AD122" s="31"/>
      <c r="AE122" s="24"/>
      <c r="AF122" s="24"/>
      <c r="AG122" s="24"/>
      <c r="AH122" s="24"/>
      <c r="AI122" s="24"/>
      <c r="AJ122" s="23"/>
      <c r="AK122" s="31"/>
      <c r="AL122" s="24"/>
      <c r="AM122" s="24"/>
      <c r="AN122" s="24"/>
      <c r="AO122" s="24"/>
      <c r="AP122" s="24"/>
      <c r="AQ122" s="23"/>
      <c r="AR122" s="24"/>
      <c r="AS122" s="24"/>
      <c r="AT122" s="24"/>
      <c r="AU122" s="24"/>
      <c r="AV122" s="24"/>
      <c r="AW122" s="24"/>
      <c r="AX122" s="24"/>
      <c r="AY122" s="24"/>
      <c r="AZ122" s="24"/>
      <c r="BA122" s="24"/>
      <c r="BB122" s="24"/>
      <c r="BC122" s="24"/>
      <c r="BD122" s="24"/>
      <c r="BE122" s="24"/>
      <c r="BF122" s="24"/>
      <c r="BG122" s="24"/>
      <c r="BH122" s="31"/>
      <c r="BI122" s="24"/>
      <c r="BJ122" s="24"/>
      <c r="BK122" s="24"/>
      <c r="BL122" s="23"/>
      <c r="BM122" s="13"/>
      <c r="BO122" s="62"/>
      <c r="BS122" s="172"/>
      <c r="BT122" s="173"/>
      <c r="BU122" s="173"/>
      <c r="BV122" s="173"/>
      <c r="BW122" s="173"/>
      <c r="BX122" s="173"/>
      <c r="BY122" s="173"/>
      <c r="BZ122" s="173"/>
      <c r="CA122" s="173"/>
      <c r="CB122" s="173"/>
      <c r="CC122" s="173"/>
      <c r="CD122" s="174"/>
    </row>
    <row r="123" spans="1:82" s="11" customFormat="1" ht="13.5" customHeight="1">
      <c r="A123" s="28"/>
      <c r="B123" s="31"/>
      <c r="C123" s="24"/>
      <c r="D123" s="24"/>
      <c r="E123" s="24"/>
      <c r="F123" s="24"/>
      <c r="G123" s="24"/>
      <c r="H123" s="23"/>
      <c r="I123" s="24"/>
      <c r="J123" s="24"/>
      <c r="K123" s="24"/>
      <c r="L123" s="24"/>
      <c r="M123" s="24"/>
      <c r="N123" s="24"/>
      <c r="O123" s="24"/>
      <c r="P123" s="31"/>
      <c r="Q123" s="24"/>
      <c r="R123" s="24"/>
      <c r="S123" s="24"/>
      <c r="T123" s="24"/>
      <c r="U123" s="24"/>
      <c r="V123" s="24"/>
      <c r="W123" s="31"/>
      <c r="X123" s="24"/>
      <c r="Y123" s="24"/>
      <c r="Z123" s="24"/>
      <c r="AA123" s="24"/>
      <c r="AB123" s="24"/>
      <c r="AC123" s="24"/>
      <c r="AD123" s="31"/>
      <c r="AE123" s="24"/>
      <c r="AF123" s="24"/>
      <c r="AG123" s="24"/>
      <c r="AH123" s="24"/>
      <c r="AI123" s="24"/>
      <c r="AJ123" s="23"/>
      <c r="AK123" s="31"/>
      <c r="AL123" s="24"/>
      <c r="AM123" s="24"/>
      <c r="AN123" s="24"/>
      <c r="AO123" s="24"/>
      <c r="AP123" s="24"/>
      <c r="AQ123" s="23"/>
      <c r="AR123" s="24"/>
      <c r="AS123" s="24"/>
      <c r="AT123" s="24"/>
      <c r="AU123" s="24"/>
      <c r="AV123" s="24"/>
      <c r="AW123" s="24"/>
      <c r="AX123" s="24"/>
      <c r="AY123" s="24"/>
      <c r="AZ123" s="24"/>
      <c r="BA123" s="24"/>
      <c r="BB123" s="24"/>
      <c r="BC123" s="24"/>
      <c r="BD123" s="24"/>
      <c r="BE123" s="24"/>
      <c r="BF123" s="24"/>
      <c r="BG123" s="24"/>
      <c r="BH123" s="31"/>
      <c r="BI123" s="24"/>
      <c r="BJ123" s="24"/>
      <c r="BK123" s="24"/>
      <c r="BL123" s="23"/>
      <c r="BM123" s="13"/>
      <c r="BO123" s="62"/>
      <c r="BS123" s="172"/>
      <c r="BT123" s="173"/>
      <c r="BU123" s="173"/>
      <c r="BV123" s="173"/>
      <c r="BW123" s="173"/>
      <c r="BX123" s="173"/>
      <c r="BY123" s="173"/>
      <c r="BZ123" s="173"/>
      <c r="CA123" s="173"/>
      <c r="CB123" s="173"/>
      <c r="CC123" s="173"/>
      <c r="CD123" s="174"/>
    </row>
    <row r="124" spans="1:82" s="11" customFormat="1" ht="13.5" customHeight="1">
      <c r="A124" s="28"/>
      <c r="B124" s="31"/>
      <c r="C124" s="24"/>
      <c r="D124" s="24"/>
      <c r="E124" s="24"/>
      <c r="F124" s="24"/>
      <c r="G124" s="24"/>
      <c r="H124" s="23"/>
      <c r="I124" s="24"/>
      <c r="J124" s="24"/>
      <c r="K124" s="24"/>
      <c r="L124" s="24"/>
      <c r="M124" s="24"/>
      <c r="N124" s="24"/>
      <c r="O124" s="24"/>
      <c r="P124" s="31"/>
      <c r="Q124" s="24"/>
      <c r="R124" s="24"/>
      <c r="S124" s="24"/>
      <c r="T124" s="24"/>
      <c r="U124" s="24"/>
      <c r="V124" s="24"/>
      <c r="W124" s="31"/>
      <c r="X124" s="24"/>
      <c r="Y124" s="24"/>
      <c r="Z124" s="24"/>
      <c r="AA124" s="24"/>
      <c r="AB124" s="24"/>
      <c r="AC124" s="24"/>
      <c r="AD124" s="31"/>
      <c r="AE124" s="24"/>
      <c r="AF124" s="24"/>
      <c r="AG124" s="24"/>
      <c r="AH124" s="24"/>
      <c r="AI124" s="24"/>
      <c r="AJ124" s="23"/>
      <c r="AK124" s="31"/>
      <c r="AL124" s="24"/>
      <c r="AM124" s="24"/>
      <c r="AN124" s="24"/>
      <c r="AO124" s="24"/>
      <c r="AP124" s="24"/>
      <c r="AQ124" s="23"/>
      <c r="AR124" s="24"/>
      <c r="AS124" s="25" t="s">
        <v>284</v>
      </c>
      <c r="AV124" s="8"/>
      <c r="AW124" s="8"/>
      <c r="AX124" s="24"/>
      <c r="AY124" s="24"/>
      <c r="AZ124" s="24"/>
      <c r="BA124" s="24"/>
      <c r="BB124" s="24"/>
      <c r="BC124" s="24"/>
      <c r="BD124" s="24"/>
      <c r="BE124" s="24"/>
      <c r="BF124" s="24"/>
      <c r="BG124" s="24"/>
      <c r="BH124" s="31"/>
      <c r="BI124" s="24"/>
      <c r="BJ124" s="24"/>
      <c r="BK124" s="24"/>
      <c r="BL124" s="23"/>
      <c r="BM124" s="13"/>
      <c r="BO124" s="62"/>
      <c r="BS124" s="172"/>
      <c r="BT124" s="173"/>
      <c r="BU124" s="173"/>
      <c r="BV124" s="173"/>
      <c r="BW124" s="173"/>
      <c r="BX124" s="173"/>
      <c r="BY124" s="173"/>
      <c r="BZ124" s="173"/>
      <c r="CA124" s="173"/>
      <c r="CB124" s="173"/>
      <c r="CC124" s="173"/>
      <c r="CD124" s="174"/>
    </row>
    <row r="125" spans="1:82" s="11" customFormat="1" ht="13.5" customHeight="1">
      <c r="A125" s="28"/>
      <c r="B125" s="31"/>
      <c r="C125" s="24"/>
      <c r="D125" s="24"/>
      <c r="E125" s="24"/>
      <c r="F125" s="24"/>
      <c r="G125" s="24"/>
      <c r="H125" s="23"/>
      <c r="I125" s="24"/>
      <c r="J125" s="24"/>
      <c r="K125" s="24"/>
      <c r="L125" s="24"/>
      <c r="M125" s="24"/>
      <c r="N125" s="24"/>
      <c r="O125" s="24"/>
      <c r="P125" s="31"/>
      <c r="Q125" s="24"/>
      <c r="R125" s="24"/>
      <c r="S125" s="24"/>
      <c r="T125" s="24"/>
      <c r="U125" s="24"/>
      <c r="V125" s="24"/>
      <c r="W125" s="31"/>
      <c r="X125" s="24"/>
      <c r="Y125" s="24"/>
      <c r="Z125" s="24"/>
      <c r="AA125" s="24"/>
      <c r="AB125" s="24"/>
      <c r="AC125" s="24"/>
      <c r="AD125" s="31"/>
      <c r="AE125" s="24"/>
      <c r="AF125" s="24"/>
      <c r="AG125" s="24"/>
      <c r="AH125" s="24"/>
      <c r="AI125" s="24"/>
      <c r="AJ125" s="23"/>
      <c r="AK125" s="31"/>
      <c r="AL125" s="24"/>
      <c r="AM125" s="24"/>
      <c r="AN125" s="24"/>
      <c r="AO125" s="24"/>
      <c r="AP125" s="24"/>
      <c r="AQ125" s="23"/>
      <c r="AR125" s="24"/>
      <c r="AT125" s="8" t="s">
        <v>259</v>
      </c>
      <c r="AV125" s="8"/>
      <c r="AW125" s="8"/>
      <c r="AX125" s="24"/>
      <c r="AY125" s="24"/>
      <c r="AZ125" s="24"/>
      <c r="BA125" s="24"/>
      <c r="BB125" s="24"/>
      <c r="BC125" s="24"/>
      <c r="BD125" s="24"/>
      <c r="BE125" s="24"/>
      <c r="BF125" s="24"/>
      <c r="BG125" s="24"/>
      <c r="BH125" s="31"/>
      <c r="BI125" s="24"/>
      <c r="BJ125" s="24"/>
      <c r="BK125" s="24"/>
      <c r="BL125" s="23"/>
      <c r="BM125" s="13"/>
      <c r="BO125" s="62"/>
      <c r="BS125" s="172"/>
      <c r="BT125" s="173"/>
      <c r="BU125" s="173"/>
      <c r="BV125" s="173"/>
      <c r="BW125" s="173"/>
      <c r="BX125" s="173"/>
      <c r="BY125" s="173"/>
      <c r="BZ125" s="173"/>
      <c r="CA125" s="173"/>
      <c r="CB125" s="173"/>
      <c r="CC125" s="173"/>
      <c r="CD125" s="174"/>
    </row>
    <row r="126" spans="1:82" s="11" customFormat="1" ht="13.5" customHeight="1">
      <c r="A126" s="28"/>
      <c r="B126" s="31"/>
      <c r="C126" s="24"/>
      <c r="D126" s="24"/>
      <c r="E126" s="24"/>
      <c r="F126" s="24"/>
      <c r="G126" s="24"/>
      <c r="H126" s="23"/>
      <c r="I126" s="24"/>
      <c r="J126" s="24"/>
      <c r="K126" s="24"/>
      <c r="L126" s="24"/>
      <c r="M126" s="24"/>
      <c r="N126" s="24"/>
      <c r="O126" s="24"/>
      <c r="P126" s="31"/>
      <c r="Q126" s="24"/>
      <c r="R126" s="24"/>
      <c r="S126" s="24"/>
      <c r="T126" s="24"/>
      <c r="U126" s="24"/>
      <c r="V126" s="24"/>
      <c r="W126" s="31"/>
      <c r="X126" s="24"/>
      <c r="Y126" s="24"/>
      <c r="Z126" s="24"/>
      <c r="AA126" s="24"/>
      <c r="AB126" s="24"/>
      <c r="AC126" s="24"/>
      <c r="AD126" s="31"/>
      <c r="AE126" s="24"/>
      <c r="AF126" s="24"/>
      <c r="AG126" s="24"/>
      <c r="AH126" s="24"/>
      <c r="AI126" s="24"/>
      <c r="AJ126" s="23"/>
      <c r="AK126" s="31"/>
      <c r="AL126" s="24"/>
      <c r="AM126" s="24"/>
      <c r="AN126" s="24"/>
      <c r="AO126" s="24"/>
      <c r="AP126" s="24"/>
      <c r="AQ126" s="23"/>
      <c r="AR126" s="24"/>
      <c r="AS126" s="8"/>
      <c r="AT126" s="8" t="s">
        <v>285</v>
      </c>
      <c r="AU126" s="8"/>
      <c r="AV126" s="8"/>
      <c r="AW126" s="8"/>
      <c r="AX126" s="24"/>
      <c r="AY126" s="24"/>
      <c r="AZ126" s="24"/>
      <c r="BA126" s="24"/>
      <c r="BB126" s="24"/>
      <c r="BC126" s="24"/>
      <c r="BD126" s="24"/>
      <c r="BE126" s="24"/>
      <c r="BF126" s="24"/>
      <c r="BG126" s="24"/>
      <c r="BH126" s="31"/>
      <c r="BI126" s="24"/>
      <c r="BJ126" s="24"/>
      <c r="BK126" s="24"/>
      <c r="BL126" s="23"/>
      <c r="BM126" s="13"/>
      <c r="BO126" s="62"/>
      <c r="BS126" s="172"/>
      <c r="BT126" s="173"/>
      <c r="BU126" s="173"/>
      <c r="BV126" s="173"/>
      <c r="BW126" s="173"/>
      <c r="BX126" s="173"/>
      <c r="BY126" s="173"/>
      <c r="BZ126" s="173"/>
      <c r="CA126" s="173"/>
      <c r="CB126" s="173"/>
      <c r="CC126" s="173"/>
      <c r="CD126" s="174"/>
    </row>
    <row r="127" spans="1:82" s="11" customFormat="1" ht="13.5" customHeight="1">
      <c r="A127" s="28"/>
      <c r="B127" s="31"/>
      <c r="C127" s="24"/>
      <c r="D127" s="24"/>
      <c r="E127" s="24"/>
      <c r="F127" s="24"/>
      <c r="G127" s="24"/>
      <c r="H127" s="23"/>
      <c r="I127" s="24"/>
      <c r="J127" s="24"/>
      <c r="K127" s="24"/>
      <c r="L127" s="24"/>
      <c r="M127" s="24"/>
      <c r="N127" s="24"/>
      <c r="O127" s="24"/>
      <c r="P127" s="31"/>
      <c r="Q127" s="24"/>
      <c r="R127" s="24"/>
      <c r="S127" s="24"/>
      <c r="T127" s="24"/>
      <c r="U127" s="24"/>
      <c r="V127" s="24"/>
      <c r="W127" s="31"/>
      <c r="X127" s="24"/>
      <c r="Y127" s="24"/>
      <c r="Z127" s="24"/>
      <c r="AA127" s="24"/>
      <c r="AB127" s="24"/>
      <c r="AC127" s="24"/>
      <c r="AD127" s="31"/>
      <c r="AE127" s="24"/>
      <c r="AF127" s="24"/>
      <c r="AG127" s="24"/>
      <c r="AH127" s="24"/>
      <c r="AI127" s="24"/>
      <c r="AJ127" s="23"/>
      <c r="AK127" s="31"/>
      <c r="AL127" s="24"/>
      <c r="AM127" s="24"/>
      <c r="AN127" s="24"/>
      <c r="AO127" s="24"/>
      <c r="AP127" s="24"/>
      <c r="AQ127" s="23"/>
      <c r="AR127" s="24"/>
      <c r="AS127" s="24"/>
      <c r="AT127" s="11" t="s">
        <v>261</v>
      </c>
      <c r="BB127" s="24"/>
      <c r="BC127" s="24"/>
      <c r="BD127" s="24"/>
      <c r="BE127" s="24"/>
      <c r="BF127" s="24"/>
      <c r="BG127" s="24"/>
      <c r="BH127" s="31"/>
      <c r="BI127" s="24"/>
      <c r="BJ127" s="24"/>
      <c r="BK127" s="24"/>
      <c r="BL127" s="23"/>
      <c r="BM127" s="13"/>
      <c r="BO127" s="62"/>
      <c r="BS127" s="172"/>
      <c r="BT127" s="173"/>
      <c r="BU127" s="173"/>
      <c r="BV127" s="173"/>
      <c r="BW127" s="173"/>
      <c r="BX127" s="173"/>
      <c r="BY127" s="173"/>
      <c r="BZ127" s="173"/>
      <c r="CA127" s="173"/>
      <c r="CB127" s="173"/>
      <c r="CC127" s="173"/>
      <c r="CD127" s="174"/>
    </row>
    <row r="128" spans="1:82" s="11" customFormat="1" ht="13.5" customHeight="1">
      <c r="A128" s="28"/>
      <c r="B128" s="31"/>
      <c r="C128" s="24"/>
      <c r="D128" s="24"/>
      <c r="E128" s="24"/>
      <c r="F128" s="24"/>
      <c r="G128" s="24"/>
      <c r="H128" s="23"/>
      <c r="I128" s="24"/>
      <c r="J128" s="24"/>
      <c r="K128" s="24"/>
      <c r="L128" s="24"/>
      <c r="M128" s="24"/>
      <c r="N128" s="24"/>
      <c r="O128" s="24"/>
      <c r="P128" s="31"/>
      <c r="Q128" s="24"/>
      <c r="R128" s="24"/>
      <c r="S128" s="24"/>
      <c r="T128" s="24"/>
      <c r="U128" s="24"/>
      <c r="V128" s="24"/>
      <c r="W128" s="31"/>
      <c r="X128" s="24"/>
      <c r="Y128" s="24"/>
      <c r="Z128" s="24"/>
      <c r="AA128" s="24"/>
      <c r="AB128" s="24"/>
      <c r="AC128" s="24"/>
      <c r="AD128" s="31"/>
      <c r="AE128" s="24"/>
      <c r="AF128" s="24"/>
      <c r="AG128" s="24"/>
      <c r="AH128" s="24"/>
      <c r="AI128" s="24"/>
      <c r="AJ128" s="23"/>
      <c r="AK128" s="31"/>
      <c r="AL128" s="24"/>
      <c r="AM128" s="24"/>
      <c r="AN128" s="24"/>
      <c r="AO128" s="24"/>
      <c r="AP128" s="24"/>
      <c r="AQ128" s="23"/>
      <c r="AR128" s="24"/>
      <c r="AS128" s="24"/>
      <c r="AT128" s="11" t="s">
        <v>262</v>
      </c>
      <c r="BB128" s="24"/>
      <c r="BC128" s="24"/>
      <c r="BD128" s="24"/>
      <c r="BE128" s="24"/>
      <c r="BF128" s="24"/>
      <c r="BG128" s="24"/>
      <c r="BH128" s="31"/>
      <c r="BI128" s="24"/>
      <c r="BJ128" s="24"/>
      <c r="BK128" s="24"/>
      <c r="BL128" s="23"/>
      <c r="BM128" s="13"/>
      <c r="BO128" s="62"/>
      <c r="BS128" s="172"/>
      <c r="BT128" s="173"/>
      <c r="BU128" s="173"/>
      <c r="BV128" s="173"/>
      <c r="BW128" s="173"/>
      <c r="BX128" s="173"/>
      <c r="BY128" s="173"/>
      <c r="BZ128" s="173"/>
      <c r="CA128" s="173"/>
      <c r="CB128" s="173"/>
      <c r="CC128" s="173"/>
      <c r="CD128" s="174"/>
    </row>
    <row r="129" spans="1:82" s="11" customFormat="1" ht="13.5" customHeight="1">
      <c r="A129" s="28"/>
      <c r="B129" s="31"/>
      <c r="C129" s="24"/>
      <c r="D129" s="24"/>
      <c r="E129" s="24"/>
      <c r="F129" s="24"/>
      <c r="G129" s="24"/>
      <c r="H129" s="23"/>
      <c r="I129" s="24"/>
      <c r="J129" s="24"/>
      <c r="K129" s="24"/>
      <c r="L129" s="24"/>
      <c r="M129" s="24"/>
      <c r="N129" s="24"/>
      <c r="O129" s="24"/>
      <c r="P129" s="31"/>
      <c r="Q129" s="24"/>
      <c r="R129" s="24"/>
      <c r="S129" s="24"/>
      <c r="T129" s="24"/>
      <c r="U129" s="24"/>
      <c r="V129" s="24"/>
      <c r="W129" s="31"/>
      <c r="X129" s="24"/>
      <c r="Y129" s="24"/>
      <c r="Z129" s="24"/>
      <c r="AA129" s="24"/>
      <c r="AB129" s="24"/>
      <c r="AC129" s="24"/>
      <c r="AD129" s="31"/>
      <c r="AE129" s="24"/>
      <c r="AF129" s="24"/>
      <c r="AG129" s="24"/>
      <c r="AH129" s="24"/>
      <c r="AI129" s="24"/>
      <c r="AJ129" s="23"/>
      <c r="AK129" s="31"/>
      <c r="AL129" s="24"/>
      <c r="AM129" s="24"/>
      <c r="AN129" s="24"/>
      <c r="AO129" s="24"/>
      <c r="AP129" s="24"/>
      <c r="AQ129" s="23"/>
      <c r="AR129" s="24"/>
      <c r="AS129" s="24"/>
      <c r="BB129" s="24"/>
      <c r="BC129" s="24"/>
      <c r="BD129" s="24"/>
      <c r="BE129" s="24"/>
      <c r="BF129" s="24"/>
      <c r="BG129" s="24"/>
      <c r="BH129" s="31"/>
      <c r="BI129" s="24"/>
      <c r="BJ129" s="24"/>
      <c r="BK129" s="24"/>
      <c r="BL129" s="23"/>
      <c r="BM129" s="13"/>
      <c r="BO129" s="62"/>
      <c r="BS129" s="172"/>
      <c r="BT129" s="173"/>
      <c r="BU129" s="173"/>
      <c r="BV129" s="173"/>
      <c r="BW129" s="173"/>
      <c r="BX129" s="173"/>
      <c r="BY129" s="173"/>
      <c r="BZ129" s="173"/>
      <c r="CA129" s="173"/>
      <c r="CB129" s="173"/>
      <c r="CC129" s="173"/>
      <c r="CD129" s="174"/>
    </row>
    <row r="130" spans="1:82" s="11" customFormat="1" ht="13.5" customHeight="1">
      <c r="A130" s="28"/>
      <c r="B130" s="31"/>
      <c r="C130" s="24"/>
      <c r="D130" s="24"/>
      <c r="E130" s="24"/>
      <c r="F130" s="24"/>
      <c r="G130" s="24"/>
      <c r="H130" s="23"/>
      <c r="I130" s="24"/>
      <c r="J130" s="24"/>
      <c r="K130" s="24"/>
      <c r="L130" s="24"/>
      <c r="M130" s="24"/>
      <c r="N130" s="24"/>
      <c r="O130" s="24"/>
      <c r="P130" s="31"/>
      <c r="Q130" s="24"/>
      <c r="R130" s="24"/>
      <c r="S130" s="24"/>
      <c r="T130" s="24"/>
      <c r="U130" s="24"/>
      <c r="V130" s="24"/>
      <c r="W130" s="31"/>
      <c r="X130" s="24"/>
      <c r="Y130" s="24"/>
      <c r="Z130" s="24"/>
      <c r="AA130" s="24"/>
      <c r="AB130" s="24"/>
      <c r="AC130" s="24"/>
      <c r="AD130" s="31"/>
      <c r="AE130" s="24"/>
      <c r="AF130" s="24"/>
      <c r="AG130" s="24"/>
      <c r="AH130" s="24"/>
      <c r="AI130" s="24"/>
      <c r="AJ130" s="23"/>
      <c r="AK130" s="31"/>
      <c r="AL130" s="24"/>
      <c r="AM130" s="24"/>
      <c r="AN130" s="24"/>
      <c r="AO130" s="24"/>
      <c r="AP130" s="24"/>
      <c r="AQ130" s="23"/>
      <c r="AR130" s="24"/>
      <c r="AS130" s="24"/>
      <c r="BB130" s="24"/>
      <c r="BC130" s="24"/>
      <c r="BD130" s="24"/>
      <c r="BE130" s="24"/>
      <c r="BF130" s="24"/>
      <c r="BG130" s="24"/>
      <c r="BH130" s="31"/>
      <c r="BI130" s="24"/>
      <c r="BJ130" s="24"/>
      <c r="BK130" s="24"/>
      <c r="BL130" s="23"/>
      <c r="BM130" s="13"/>
      <c r="BO130" s="62"/>
      <c r="BS130" s="172"/>
      <c r="BT130" s="173"/>
      <c r="BU130" s="173"/>
      <c r="BV130" s="173"/>
      <c r="BW130" s="173"/>
      <c r="BX130" s="173"/>
      <c r="BY130" s="173"/>
      <c r="BZ130" s="173"/>
      <c r="CA130" s="173"/>
      <c r="CB130" s="173"/>
      <c r="CC130" s="173"/>
      <c r="CD130" s="174"/>
    </row>
    <row r="131" spans="1:82" s="11" customFormat="1" ht="13.5" customHeight="1">
      <c r="A131" s="28"/>
      <c r="B131" s="31"/>
      <c r="C131" s="24"/>
      <c r="D131" s="24"/>
      <c r="E131" s="24"/>
      <c r="F131" s="24"/>
      <c r="G131" s="24"/>
      <c r="H131" s="23"/>
      <c r="I131" s="24"/>
      <c r="J131" s="24"/>
      <c r="K131" s="24"/>
      <c r="L131" s="24"/>
      <c r="M131" s="24"/>
      <c r="N131" s="24"/>
      <c r="O131" s="24"/>
      <c r="P131" s="31"/>
      <c r="Q131" s="24"/>
      <c r="R131" s="24"/>
      <c r="S131" s="24"/>
      <c r="T131" s="24"/>
      <c r="U131" s="24"/>
      <c r="V131" s="24"/>
      <c r="W131" s="31"/>
      <c r="X131" s="24"/>
      <c r="Y131" s="24"/>
      <c r="Z131" s="24"/>
      <c r="AA131" s="24"/>
      <c r="AB131" s="24"/>
      <c r="AC131" s="24"/>
      <c r="AD131" s="31"/>
      <c r="AE131" s="24"/>
      <c r="AF131" s="24"/>
      <c r="AG131" s="24"/>
      <c r="AH131" s="24"/>
      <c r="AI131" s="24"/>
      <c r="AJ131" s="23"/>
      <c r="AK131" s="31"/>
      <c r="AL131" s="24"/>
      <c r="AM131" s="24"/>
      <c r="AN131" s="24"/>
      <c r="AO131" s="24"/>
      <c r="AP131" s="24"/>
      <c r="AQ131" s="23"/>
      <c r="AR131" s="24"/>
      <c r="AS131" s="24"/>
      <c r="BB131" s="24"/>
      <c r="BC131" s="24"/>
      <c r="BD131" s="24"/>
      <c r="BE131" s="24"/>
      <c r="BF131" s="24"/>
      <c r="BG131" s="24"/>
      <c r="BH131" s="31"/>
      <c r="BI131" s="24"/>
      <c r="BJ131" s="24"/>
      <c r="BK131" s="24"/>
      <c r="BL131" s="23"/>
      <c r="BM131" s="13"/>
      <c r="BO131" s="62"/>
      <c r="BS131" s="172"/>
      <c r="BT131" s="173"/>
      <c r="BU131" s="173"/>
      <c r="BV131" s="173"/>
      <c r="BW131" s="173"/>
      <c r="BX131" s="173"/>
      <c r="BY131" s="173"/>
      <c r="BZ131" s="173"/>
      <c r="CA131" s="173"/>
      <c r="CB131" s="173"/>
      <c r="CC131" s="173"/>
      <c r="CD131" s="174"/>
    </row>
    <row r="132" spans="1:82" s="11" customFormat="1" ht="13.5" customHeight="1">
      <c r="A132" s="28"/>
      <c r="B132" s="31"/>
      <c r="C132" s="24"/>
      <c r="D132" s="24"/>
      <c r="E132" s="24"/>
      <c r="F132" s="24"/>
      <c r="G132" s="24"/>
      <c r="H132" s="23"/>
      <c r="I132" s="24"/>
      <c r="J132" s="24"/>
      <c r="K132" s="24"/>
      <c r="L132" s="24"/>
      <c r="M132" s="24"/>
      <c r="N132" s="24"/>
      <c r="O132" s="24"/>
      <c r="P132" s="31"/>
      <c r="Q132" s="24"/>
      <c r="R132" s="24"/>
      <c r="S132" s="24"/>
      <c r="T132" s="24"/>
      <c r="U132" s="24"/>
      <c r="V132" s="24"/>
      <c r="W132" s="31"/>
      <c r="X132" s="24"/>
      <c r="Y132" s="24"/>
      <c r="Z132" s="24"/>
      <c r="AA132" s="24"/>
      <c r="AB132" s="24"/>
      <c r="AC132" s="24"/>
      <c r="AD132" s="31"/>
      <c r="AE132" s="24"/>
      <c r="AF132" s="24"/>
      <c r="AG132" s="24"/>
      <c r="AH132" s="24"/>
      <c r="AI132" s="24"/>
      <c r="AJ132" s="23"/>
      <c r="AK132" s="31"/>
      <c r="AL132" s="24"/>
      <c r="AM132" s="24"/>
      <c r="AN132" s="24"/>
      <c r="AO132" s="24"/>
      <c r="AP132" s="24"/>
      <c r="AQ132" s="23"/>
      <c r="AR132" s="24"/>
      <c r="AS132" s="25" t="s">
        <v>286</v>
      </c>
      <c r="BB132" s="24"/>
      <c r="BC132" s="24"/>
      <c r="BD132" s="24"/>
      <c r="BE132" s="24"/>
      <c r="BF132" s="24"/>
      <c r="BG132" s="24"/>
      <c r="BH132" s="31"/>
      <c r="BI132" s="24"/>
      <c r="BJ132" s="24"/>
      <c r="BK132" s="24"/>
      <c r="BL132" s="23"/>
      <c r="BM132" s="13"/>
      <c r="BO132" s="62"/>
      <c r="BS132" s="172"/>
      <c r="BT132" s="173"/>
      <c r="BU132" s="173"/>
      <c r="BV132" s="173"/>
      <c r="BW132" s="173"/>
      <c r="BX132" s="173"/>
      <c r="BY132" s="173"/>
      <c r="BZ132" s="173"/>
      <c r="CA132" s="173"/>
      <c r="CB132" s="173"/>
      <c r="CC132" s="173"/>
      <c r="CD132" s="174"/>
    </row>
    <row r="133" spans="1:82" s="11" customFormat="1" ht="13.5" customHeight="1">
      <c r="A133" s="28"/>
      <c r="B133" s="31"/>
      <c r="C133" s="24"/>
      <c r="D133" s="24"/>
      <c r="E133" s="24"/>
      <c r="F133" s="24"/>
      <c r="G133" s="24"/>
      <c r="H133" s="23"/>
      <c r="I133" s="24"/>
      <c r="J133" s="24"/>
      <c r="K133" s="24"/>
      <c r="L133" s="24"/>
      <c r="M133" s="24"/>
      <c r="N133" s="24"/>
      <c r="O133" s="24"/>
      <c r="P133" s="31"/>
      <c r="Q133" s="24"/>
      <c r="R133" s="24"/>
      <c r="S133" s="24"/>
      <c r="T133" s="24"/>
      <c r="U133" s="24"/>
      <c r="V133" s="24"/>
      <c r="W133" s="31"/>
      <c r="X133" s="24"/>
      <c r="Y133" s="24"/>
      <c r="Z133" s="24"/>
      <c r="AA133" s="24"/>
      <c r="AB133" s="24"/>
      <c r="AC133" s="24"/>
      <c r="AD133" s="31"/>
      <c r="AE133" s="24"/>
      <c r="AF133" s="24"/>
      <c r="AG133" s="24"/>
      <c r="AH133" s="24"/>
      <c r="AI133" s="24"/>
      <c r="AJ133" s="23"/>
      <c r="AK133" s="31"/>
      <c r="AL133" s="24"/>
      <c r="AM133" s="24"/>
      <c r="AN133" s="24"/>
      <c r="AO133" s="24"/>
      <c r="AP133" s="24"/>
      <c r="AQ133" s="23"/>
      <c r="AR133" s="24"/>
      <c r="AS133" s="24"/>
      <c r="AT133" s="8" t="s">
        <v>259</v>
      </c>
      <c r="AU133" s="24"/>
      <c r="AV133" s="8"/>
      <c r="AW133" s="8"/>
      <c r="AX133" s="8"/>
      <c r="AY133" s="8"/>
      <c r="AZ133" s="8"/>
      <c r="BA133" s="8"/>
      <c r="BB133" s="24"/>
      <c r="BC133" s="24"/>
      <c r="BD133" s="24"/>
      <c r="BE133" s="24"/>
      <c r="BF133" s="24"/>
      <c r="BG133" s="24"/>
      <c r="BH133" s="31"/>
      <c r="BI133" s="24"/>
      <c r="BJ133" s="24"/>
      <c r="BK133" s="24"/>
      <c r="BL133" s="23"/>
      <c r="BM133" s="13"/>
      <c r="BO133" s="62"/>
      <c r="BS133" s="172"/>
      <c r="BT133" s="173"/>
      <c r="BU133" s="173"/>
      <c r="BV133" s="173"/>
      <c r="BW133" s="173"/>
      <c r="BX133" s="173"/>
      <c r="BY133" s="173"/>
      <c r="BZ133" s="173"/>
      <c r="CA133" s="173"/>
      <c r="CB133" s="173"/>
      <c r="CC133" s="173"/>
      <c r="CD133" s="174"/>
    </row>
    <row r="134" spans="1:82" s="11" customFormat="1" ht="13.5" customHeight="1">
      <c r="A134" s="28"/>
      <c r="B134" s="31"/>
      <c r="C134" s="24"/>
      <c r="D134" s="24"/>
      <c r="E134" s="24"/>
      <c r="F134" s="24"/>
      <c r="G134" s="24"/>
      <c r="H134" s="23"/>
      <c r="I134" s="24"/>
      <c r="J134" s="24"/>
      <c r="K134" s="24"/>
      <c r="L134" s="24"/>
      <c r="M134" s="24"/>
      <c r="N134" s="24"/>
      <c r="O134" s="24"/>
      <c r="P134" s="31"/>
      <c r="Q134" s="24"/>
      <c r="R134" s="24"/>
      <c r="S134" s="24"/>
      <c r="T134" s="24"/>
      <c r="U134" s="24"/>
      <c r="V134" s="24"/>
      <c r="W134" s="31"/>
      <c r="X134" s="24"/>
      <c r="Y134" s="24"/>
      <c r="Z134" s="24"/>
      <c r="AA134" s="24"/>
      <c r="AB134" s="24"/>
      <c r="AC134" s="24"/>
      <c r="AD134" s="31"/>
      <c r="AE134" s="24"/>
      <c r="AF134" s="24"/>
      <c r="AG134" s="24"/>
      <c r="AH134" s="24"/>
      <c r="AI134" s="24"/>
      <c r="AJ134" s="23"/>
      <c r="AK134" s="31"/>
      <c r="AL134" s="24"/>
      <c r="AM134" s="24"/>
      <c r="AN134" s="24"/>
      <c r="AO134" s="24"/>
      <c r="AP134" s="24"/>
      <c r="AQ134" s="23"/>
      <c r="AR134" s="24"/>
      <c r="AS134" s="24"/>
      <c r="AT134" s="8" t="s">
        <v>264</v>
      </c>
      <c r="BB134" s="24"/>
      <c r="BC134" s="24"/>
      <c r="BD134" s="24"/>
      <c r="BE134" s="24"/>
      <c r="BF134" s="24"/>
      <c r="BG134" s="24"/>
      <c r="BH134" s="31"/>
      <c r="BI134" s="24"/>
      <c r="BJ134" s="24"/>
      <c r="BK134" s="24"/>
      <c r="BL134" s="23"/>
      <c r="BM134" s="13"/>
      <c r="BO134" s="62"/>
      <c r="BS134" s="172"/>
      <c r="BT134" s="173"/>
      <c r="BU134" s="173"/>
      <c r="BV134" s="173"/>
      <c r="BW134" s="173"/>
      <c r="BX134" s="173"/>
      <c r="BY134" s="173"/>
      <c r="BZ134" s="173"/>
      <c r="CA134" s="173"/>
      <c r="CB134" s="173"/>
      <c r="CC134" s="173"/>
      <c r="CD134" s="174"/>
    </row>
    <row r="135" spans="1:82" s="11" customFormat="1" ht="13.5" customHeight="1">
      <c r="A135" s="28"/>
      <c r="B135" s="31"/>
      <c r="C135" s="24"/>
      <c r="D135" s="24"/>
      <c r="E135" s="24"/>
      <c r="F135" s="24"/>
      <c r="G135" s="24"/>
      <c r="H135" s="23"/>
      <c r="I135" s="24"/>
      <c r="J135" s="24"/>
      <c r="K135" s="24"/>
      <c r="L135" s="24"/>
      <c r="M135" s="24"/>
      <c r="N135" s="24"/>
      <c r="O135" s="24"/>
      <c r="P135" s="31"/>
      <c r="Q135" s="24"/>
      <c r="R135" s="24"/>
      <c r="S135" s="24"/>
      <c r="T135" s="24"/>
      <c r="U135" s="24"/>
      <c r="V135" s="24"/>
      <c r="W135" s="31"/>
      <c r="X135" s="24"/>
      <c r="Y135" s="24"/>
      <c r="Z135" s="24"/>
      <c r="AA135" s="24"/>
      <c r="AB135" s="24"/>
      <c r="AC135" s="24"/>
      <c r="AD135" s="31"/>
      <c r="AE135" s="24"/>
      <c r="AF135" s="24"/>
      <c r="AG135" s="24"/>
      <c r="AH135" s="24"/>
      <c r="AI135" s="24"/>
      <c r="AJ135" s="23"/>
      <c r="AK135" s="31"/>
      <c r="AL135" s="24"/>
      <c r="AM135" s="24"/>
      <c r="AN135" s="24"/>
      <c r="AO135" s="24"/>
      <c r="AP135" s="24"/>
      <c r="AQ135" s="23"/>
      <c r="AR135" s="24"/>
      <c r="AS135" s="24"/>
      <c r="BB135" s="24"/>
      <c r="BC135" s="24"/>
      <c r="BD135" s="24"/>
      <c r="BE135" s="24"/>
      <c r="BF135" s="24"/>
      <c r="BG135" s="24"/>
      <c r="BH135" s="31"/>
      <c r="BI135" s="24"/>
      <c r="BJ135" s="24"/>
      <c r="BK135" s="24"/>
      <c r="BL135" s="23"/>
      <c r="BM135" s="13"/>
      <c r="BO135" s="62"/>
      <c r="BS135" s="172"/>
      <c r="BT135" s="173"/>
      <c r="BU135" s="173"/>
      <c r="BV135" s="173"/>
      <c r="BW135" s="173"/>
      <c r="BX135" s="173"/>
      <c r="BY135" s="173"/>
      <c r="BZ135" s="173"/>
      <c r="CA135" s="173"/>
      <c r="CB135" s="173"/>
      <c r="CC135" s="173"/>
      <c r="CD135" s="174"/>
    </row>
    <row r="136" spans="1:82" s="11" customFormat="1" ht="13.5" customHeight="1">
      <c r="A136" s="28"/>
      <c r="B136" s="31"/>
      <c r="C136" s="24"/>
      <c r="D136" s="24"/>
      <c r="E136" s="24"/>
      <c r="F136" s="24"/>
      <c r="G136" s="24"/>
      <c r="H136" s="23"/>
      <c r="I136" s="24"/>
      <c r="J136" s="24"/>
      <c r="K136" s="24"/>
      <c r="L136" s="24"/>
      <c r="M136" s="24"/>
      <c r="N136" s="24"/>
      <c r="O136" s="24"/>
      <c r="P136" s="31"/>
      <c r="Q136" s="24"/>
      <c r="R136" s="24"/>
      <c r="S136" s="24"/>
      <c r="T136" s="24"/>
      <c r="U136" s="24"/>
      <c r="V136" s="24"/>
      <c r="W136" s="31"/>
      <c r="X136" s="24"/>
      <c r="Y136" s="24"/>
      <c r="Z136" s="24"/>
      <c r="AA136" s="24"/>
      <c r="AB136" s="24"/>
      <c r="AC136" s="24"/>
      <c r="AD136" s="31"/>
      <c r="AE136" s="24"/>
      <c r="AF136" s="24"/>
      <c r="AG136" s="24"/>
      <c r="AH136" s="24"/>
      <c r="AI136" s="24"/>
      <c r="AJ136" s="23"/>
      <c r="AK136" s="31"/>
      <c r="AL136" s="24"/>
      <c r="AM136" s="24"/>
      <c r="AN136" s="24"/>
      <c r="AO136" s="24"/>
      <c r="AP136" s="24"/>
      <c r="AQ136" s="23"/>
      <c r="AR136" s="24"/>
      <c r="AS136" s="24"/>
      <c r="BB136" s="24"/>
      <c r="BC136" s="24"/>
      <c r="BD136" s="24"/>
      <c r="BE136" s="24"/>
      <c r="BF136" s="24"/>
      <c r="BG136" s="24"/>
      <c r="BH136" s="31"/>
      <c r="BI136" s="24"/>
      <c r="BJ136" s="24"/>
      <c r="BK136" s="24"/>
      <c r="BL136" s="23"/>
      <c r="BM136" s="13"/>
      <c r="BO136" s="62"/>
      <c r="BS136" s="172"/>
      <c r="BT136" s="173"/>
      <c r="BU136" s="173"/>
      <c r="BV136" s="173"/>
      <c r="BW136" s="173"/>
      <c r="BX136" s="173"/>
      <c r="BY136" s="173"/>
      <c r="BZ136" s="173"/>
      <c r="CA136" s="173"/>
      <c r="CB136" s="173"/>
      <c r="CC136" s="173"/>
      <c r="CD136" s="174"/>
    </row>
    <row r="137" spans="1:82" s="11" customFormat="1" ht="13.5" customHeight="1">
      <c r="A137" s="28"/>
      <c r="B137" s="31"/>
      <c r="C137" s="24"/>
      <c r="D137" s="24"/>
      <c r="E137" s="24"/>
      <c r="F137" s="24"/>
      <c r="G137" s="24"/>
      <c r="H137" s="23"/>
      <c r="I137" s="24"/>
      <c r="J137" s="24"/>
      <c r="K137" s="24"/>
      <c r="L137" s="24"/>
      <c r="M137" s="24"/>
      <c r="N137" s="24"/>
      <c r="O137" s="24"/>
      <c r="P137" s="31"/>
      <c r="Q137" s="24"/>
      <c r="R137" s="24"/>
      <c r="S137" s="24"/>
      <c r="T137" s="24"/>
      <c r="U137" s="24"/>
      <c r="V137" s="24"/>
      <c r="W137" s="31"/>
      <c r="X137" s="24"/>
      <c r="Y137" s="24"/>
      <c r="Z137" s="24"/>
      <c r="AA137" s="24"/>
      <c r="AB137" s="24"/>
      <c r="AC137" s="24"/>
      <c r="AD137" s="31"/>
      <c r="AE137" s="24"/>
      <c r="AF137" s="24"/>
      <c r="AG137" s="24"/>
      <c r="AH137" s="24"/>
      <c r="AI137" s="24"/>
      <c r="AJ137" s="23"/>
      <c r="AK137" s="31"/>
      <c r="AL137" s="24"/>
      <c r="AM137" s="24"/>
      <c r="AN137" s="24"/>
      <c r="AO137" s="24"/>
      <c r="AP137" s="24"/>
      <c r="AQ137" s="23"/>
      <c r="AR137" s="24"/>
      <c r="AS137" s="24"/>
      <c r="BB137" s="24"/>
      <c r="BC137" s="24"/>
      <c r="BD137" s="24"/>
      <c r="BE137" s="24"/>
      <c r="BF137" s="24"/>
      <c r="BG137" s="24"/>
      <c r="BH137" s="31"/>
      <c r="BI137" s="24"/>
      <c r="BJ137" s="24"/>
      <c r="BK137" s="24"/>
      <c r="BL137" s="23"/>
      <c r="BM137" s="13"/>
      <c r="BO137" s="62"/>
      <c r="BS137" s="172"/>
      <c r="BT137" s="173"/>
      <c r="BU137" s="173"/>
      <c r="BV137" s="173"/>
      <c r="BW137" s="173"/>
      <c r="BX137" s="173"/>
      <c r="BY137" s="173"/>
      <c r="BZ137" s="173"/>
      <c r="CA137" s="173"/>
      <c r="CB137" s="173"/>
      <c r="CC137" s="173"/>
      <c r="CD137" s="174"/>
    </row>
    <row r="138" spans="1:82" s="11" customFormat="1" ht="13.5" customHeight="1">
      <c r="A138" s="28"/>
      <c r="B138" s="31"/>
      <c r="C138" s="24"/>
      <c r="D138" s="24"/>
      <c r="E138" s="24"/>
      <c r="F138" s="24"/>
      <c r="G138" s="24"/>
      <c r="H138" s="23"/>
      <c r="I138" s="24"/>
      <c r="J138" s="24"/>
      <c r="K138" s="24"/>
      <c r="L138" s="24"/>
      <c r="M138" s="24"/>
      <c r="N138" s="24"/>
      <c r="O138" s="24"/>
      <c r="P138" s="31"/>
      <c r="Q138" s="24"/>
      <c r="R138" s="24"/>
      <c r="S138" s="24"/>
      <c r="T138" s="24"/>
      <c r="U138" s="24"/>
      <c r="V138" s="24"/>
      <c r="W138" s="31"/>
      <c r="X138" s="24"/>
      <c r="Y138" s="24"/>
      <c r="Z138" s="24"/>
      <c r="AA138" s="24"/>
      <c r="AB138" s="24"/>
      <c r="AC138" s="24"/>
      <c r="AD138" s="31"/>
      <c r="AE138" s="24"/>
      <c r="AF138" s="24"/>
      <c r="AG138" s="24"/>
      <c r="AH138" s="24"/>
      <c r="AI138" s="24"/>
      <c r="AJ138" s="23"/>
      <c r="AK138" s="31"/>
      <c r="AL138" s="24"/>
      <c r="AM138" s="24"/>
      <c r="AN138" s="24"/>
      <c r="AO138" s="24"/>
      <c r="AP138" s="24"/>
      <c r="AQ138" s="23"/>
      <c r="AR138" s="24"/>
      <c r="AS138" s="24"/>
      <c r="BB138" s="24"/>
      <c r="BC138" s="24"/>
      <c r="BD138" s="24"/>
      <c r="BE138" s="24"/>
      <c r="BF138" s="24"/>
      <c r="BG138" s="24"/>
      <c r="BH138" s="31"/>
      <c r="BI138" s="24"/>
      <c r="BJ138" s="24"/>
      <c r="BK138" s="24"/>
      <c r="BL138" s="23"/>
      <c r="BM138" s="13"/>
      <c r="BO138" s="62"/>
      <c r="BS138" s="172"/>
      <c r="BT138" s="173"/>
      <c r="BU138" s="173"/>
      <c r="BV138" s="173"/>
      <c r="BW138" s="173"/>
      <c r="BX138" s="173"/>
      <c r="BY138" s="173"/>
      <c r="BZ138" s="173"/>
      <c r="CA138" s="173"/>
      <c r="CB138" s="173"/>
      <c r="CC138" s="173"/>
      <c r="CD138" s="174"/>
    </row>
    <row r="139" spans="1:82" s="11" customFormat="1" ht="13.5" customHeight="1">
      <c r="A139" s="28"/>
      <c r="B139" s="31"/>
      <c r="C139" s="24"/>
      <c r="D139" s="24"/>
      <c r="E139" s="24"/>
      <c r="F139" s="24"/>
      <c r="G139" s="24"/>
      <c r="H139" s="23"/>
      <c r="I139" s="24"/>
      <c r="J139" s="24"/>
      <c r="K139" s="24"/>
      <c r="L139" s="24"/>
      <c r="M139" s="24"/>
      <c r="N139" s="24"/>
      <c r="O139" s="24"/>
      <c r="P139" s="31"/>
      <c r="Q139" s="24"/>
      <c r="R139" s="24"/>
      <c r="S139" s="24"/>
      <c r="T139" s="24"/>
      <c r="U139" s="24"/>
      <c r="V139" s="24"/>
      <c r="W139" s="31"/>
      <c r="X139" s="24"/>
      <c r="Y139" s="24"/>
      <c r="Z139" s="24"/>
      <c r="AA139" s="24"/>
      <c r="AB139" s="24"/>
      <c r="AC139" s="24"/>
      <c r="AD139" s="31"/>
      <c r="AE139" s="24"/>
      <c r="AF139" s="24"/>
      <c r="AG139" s="24"/>
      <c r="AH139" s="24"/>
      <c r="AI139" s="24"/>
      <c r="AJ139" s="23"/>
      <c r="AK139" s="31"/>
      <c r="AL139" s="24"/>
      <c r="AM139" s="24"/>
      <c r="AN139" s="24"/>
      <c r="AO139" s="24"/>
      <c r="AP139" s="24"/>
      <c r="AQ139" s="23"/>
      <c r="AR139" s="24"/>
      <c r="AS139" s="24"/>
      <c r="BB139" s="24"/>
      <c r="BC139" s="24"/>
      <c r="BD139" s="24"/>
      <c r="BE139" s="24"/>
      <c r="BF139" s="24"/>
      <c r="BG139" s="24"/>
      <c r="BH139" s="31"/>
      <c r="BI139" s="24"/>
      <c r="BJ139" s="24"/>
      <c r="BK139" s="24"/>
      <c r="BL139" s="23"/>
      <c r="BM139" s="13"/>
      <c r="BO139" s="62"/>
      <c r="BS139" s="172"/>
      <c r="BT139" s="173"/>
      <c r="BU139" s="173"/>
      <c r="BV139" s="173"/>
      <c r="BW139" s="173"/>
      <c r="BX139" s="173"/>
      <c r="BY139" s="173"/>
      <c r="BZ139" s="173"/>
      <c r="CA139" s="173"/>
      <c r="CB139" s="173"/>
      <c r="CC139" s="173"/>
      <c r="CD139" s="174"/>
    </row>
    <row r="140" spans="1:82" s="11" customFormat="1" ht="13.5" customHeight="1">
      <c r="A140" s="28"/>
      <c r="B140" s="31"/>
      <c r="C140" s="24"/>
      <c r="D140" s="24"/>
      <c r="E140" s="24"/>
      <c r="F140" s="24"/>
      <c r="G140" s="24"/>
      <c r="H140" s="23"/>
      <c r="I140" s="24"/>
      <c r="J140" s="24"/>
      <c r="K140" s="24"/>
      <c r="L140" s="24"/>
      <c r="M140" s="24"/>
      <c r="N140" s="24"/>
      <c r="O140" s="24"/>
      <c r="P140" s="31"/>
      <c r="Q140" s="24"/>
      <c r="R140" s="24"/>
      <c r="S140" s="24"/>
      <c r="T140" s="24"/>
      <c r="U140" s="24"/>
      <c r="V140" s="24"/>
      <c r="W140" s="31"/>
      <c r="X140" s="24"/>
      <c r="Y140" s="24"/>
      <c r="Z140" s="24"/>
      <c r="AA140" s="24"/>
      <c r="AB140" s="24"/>
      <c r="AC140" s="24"/>
      <c r="AD140" s="31"/>
      <c r="AE140" s="24"/>
      <c r="AF140" s="24"/>
      <c r="AG140" s="24"/>
      <c r="AH140" s="24"/>
      <c r="AI140" s="24"/>
      <c r="AJ140" s="23"/>
      <c r="AK140" s="31"/>
      <c r="AL140" s="24"/>
      <c r="AM140" s="24"/>
      <c r="AN140" s="24"/>
      <c r="AO140" s="24"/>
      <c r="AP140" s="24"/>
      <c r="AQ140" s="23"/>
      <c r="AR140" s="24"/>
      <c r="AS140" s="16" t="s">
        <v>287</v>
      </c>
      <c r="AT140" s="8"/>
      <c r="AU140" s="8"/>
      <c r="BB140" s="24"/>
      <c r="BC140" s="24"/>
      <c r="BD140" s="24"/>
      <c r="BE140" s="24"/>
      <c r="BF140" s="24"/>
      <c r="BG140" s="24"/>
      <c r="BH140" s="31"/>
      <c r="BI140" s="24"/>
      <c r="BJ140" s="24"/>
      <c r="BK140" s="24"/>
      <c r="BL140" s="23"/>
      <c r="BM140" s="13"/>
      <c r="BO140" s="62"/>
      <c r="BS140" s="172"/>
      <c r="BT140" s="173"/>
      <c r="BU140" s="173"/>
      <c r="BV140" s="173"/>
      <c r="BW140" s="173"/>
      <c r="BX140" s="173"/>
      <c r="BY140" s="173"/>
      <c r="BZ140" s="173"/>
      <c r="CA140" s="173"/>
      <c r="CB140" s="173"/>
      <c r="CC140" s="173"/>
      <c r="CD140" s="174"/>
    </row>
    <row r="141" spans="1:82" s="11" customFormat="1" ht="13.5" customHeight="1">
      <c r="A141" s="28"/>
      <c r="B141" s="31"/>
      <c r="C141" s="24"/>
      <c r="D141" s="24"/>
      <c r="E141" s="24"/>
      <c r="F141" s="24"/>
      <c r="G141" s="24"/>
      <c r="H141" s="23"/>
      <c r="I141" s="24"/>
      <c r="J141" s="24"/>
      <c r="K141" s="24"/>
      <c r="L141" s="24"/>
      <c r="M141" s="24"/>
      <c r="N141" s="24"/>
      <c r="O141" s="24"/>
      <c r="P141" s="31"/>
      <c r="Q141" s="24"/>
      <c r="R141" s="24"/>
      <c r="S141" s="24"/>
      <c r="T141" s="24"/>
      <c r="U141" s="24"/>
      <c r="V141" s="24"/>
      <c r="W141" s="31"/>
      <c r="X141" s="24"/>
      <c r="Y141" s="24"/>
      <c r="Z141" s="24"/>
      <c r="AA141" s="24"/>
      <c r="AB141" s="24"/>
      <c r="AC141" s="24"/>
      <c r="AD141" s="31"/>
      <c r="AE141" s="24"/>
      <c r="AF141" s="24"/>
      <c r="AG141" s="24"/>
      <c r="AH141" s="24"/>
      <c r="AI141" s="24"/>
      <c r="AJ141" s="23"/>
      <c r="AK141" s="31"/>
      <c r="AL141" s="24"/>
      <c r="AM141" s="24"/>
      <c r="AN141" s="24"/>
      <c r="AO141" s="24"/>
      <c r="AP141" s="24"/>
      <c r="AQ141" s="23"/>
      <c r="AR141" s="24"/>
      <c r="AS141" s="8"/>
      <c r="AT141" s="8" t="s">
        <v>266</v>
      </c>
      <c r="AU141" s="8"/>
      <c r="AV141" s="8"/>
      <c r="BB141" s="24"/>
      <c r="BC141" s="24"/>
      <c r="BD141" s="24"/>
      <c r="BE141" s="24"/>
      <c r="BF141" s="24"/>
      <c r="BG141" s="24"/>
      <c r="BH141" s="31"/>
      <c r="BI141" s="24"/>
      <c r="BJ141" s="24"/>
      <c r="BK141" s="24"/>
      <c r="BL141" s="23"/>
      <c r="BM141" s="13"/>
      <c r="BO141" s="62"/>
      <c r="BS141" s="172"/>
      <c r="BT141" s="173"/>
      <c r="BU141" s="173"/>
      <c r="BV141" s="173"/>
      <c r="BW141" s="173"/>
      <c r="BX141" s="173"/>
      <c r="BY141" s="173"/>
      <c r="BZ141" s="173"/>
      <c r="CA141" s="173"/>
      <c r="CB141" s="173"/>
      <c r="CC141" s="173"/>
      <c r="CD141" s="174"/>
    </row>
    <row r="142" spans="1:82" s="11" customFormat="1" ht="13.5" customHeight="1">
      <c r="A142" s="28"/>
      <c r="B142" s="31"/>
      <c r="C142" s="24"/>
      <c r="D142" s="24"/>
      <c r="E142" s="24"/>
      <c r="F142" s="24"/>
      <c r="G142" s="24"/>
      <c r="H142" s="23"/>
      <c r="I142" s="24"/>
      <c r="J142" s="24"/>
      <c r="K142" s="24"/>
      <c r="L142" s="24"/>
      <c r="M142" s="24"/>
      <c r="N142" s="24"/>
      <c r="O142" s="24"/>
      <c r="P142" s="31"/>
      <c r="Q142" s="24"/>
      <c r="R142" s="24"/>
      <c r="S142" s="24"/>
      <c r="T142" s="24"/>
      <c r="U142" s="24"/>
      <c r="V142" s="24"/>
      <c r="W142" s="31"/>
      <c r="X142" s="24"/>
      <c r="Y142" s="24"/>
      <c r="Z142" s="24"/>
      <c r="AA142" s="24"/>
      <c r="AB142" s="24"/>
      <c r="AC142" s="24"/>
      <c r="AD142" s="31"/>
      <c r="AE142" s="24"/>
      <c r="AF142" s="24"/>
      <c r="AG142" s="24"/>
      <c r="AH142" s="24"/>
      <c r="AI142" s="24"/>
      <c r="AJ142" s="23"/>
      <c r="AK142" s="31"/>
      <c r="AL142" s="24"/>
      <c r="AM142" s="24"/>
      <c r="AN142" s="24"/>
      <c r="AO142" s="24"/>
      <c r="AP142" s="24"/>
      <c r="AQ142" s="23"/>
      <c r="AR142" s="24"/>
      <c r="AS142" s="8"/>
      <c r="AT142" s="8" t="s">
        <v>267</v>
      </c>
      <c r="AU142" s="8"/>
      <c r="AV142" s="8"/>
      <c r="BB142" s="24"/>
      <c r="BC142" s="24"/>
      <c r="BD142" s="24"/>
      <c r="BE142" s="24"/>
      <c r="BF142" s="24"/>
      <c r="BG142" s="24"/>
      <c r="BH142" s="31"/>
      <c r="BI142" s="24"/>
      <c r="BJ142" s="24"/>
      <c r="BK142" s="24"/>
      <c r="BL142" s="23"/>
      <c r="BM142" s="13"/>
      <c r="BO142" s="62"/>
      <c r="BS142" s="172"/>
      <c r="BT142" s="173"/>
      <c r="BU142" s="173"/>
      <c r="BV142" s="173"/>
      <c r="BW142" s="173"/>
      <c r="BX142" s="173"/>
      <c r="BY142" s="173"/>
      <c r="BZ142" s="173"/>
      <c r="CA142" s="173"/>
      <c r="CB142" s="173"/>
      <c r="CC142" s="173"/>
      <c r="CD142" s="174"/>
    </row>
    <row r="143" spans="1:82" s="11" customFormat="1" ht="13.5" customHeight="1">
      <c r="A143" s="28"/>
      <c r="B143" s="31"/>
      <c r="C143" s="24"/>
      <c r="D143" s="24"/>
      <c r="E143" s="24"/>
      <c r="F143" s="24"/>
      <c r="G143" s="24"/>
      <c r="H143" s="23"/>
      <c r="I143" s="24"/>
      <c r="J143" s="24"/>
      <c r="K143" s="24"/>
      <c r="L143" s="24"/>
      <c r="M143" s="24"/>
      <c r="N143" s="24"/>
      <c r="O143" s="24"/>
      <c r="P143" s="31"/>
      <c r="Q143" s="24"/>
      <c r="R143" s="24"/>
      <c r="S143" s="24"/>
      <c r="T143" s="24"/>
      <c r="U143" s="24"/>
      <c r="V143" s="24"/>
      <c r="W143" s="31"/>
      <c r="X143" s="24"/>
      <c r="Y143" s="24"/>
      <c r="Z143" s="24"/>
      <c r="AA143" s="24"/>
      <c r="AB143" s="24"/>
      <c r="AC143" s="24"/>
      <c r="AD143" s="31"/>
      <c r="AE143" s="24"/>
      <c r="AF143" s="24"/>
      <c r="AG143" s="24"/>
      <c r="AH143" s="24"/>
      <c r="AI143" s="24"/>
      <c r="AJ143" s="23"/>
      <c r="AK143" s="31"/>
      <c r="AL143" s="24"/>
      <c r="AM143" s="24"/>
      <c r="AN143" s="24"/>
      <c r="AO143" s="24"/>
      <c r="AP143" s="24"/>
      <c r="AQ143" s="23"/>
      <c r="AR143" s="24"/>
      <c r="AT143" s="48" t="s">
        <v>128</v>
      </c>
      <c r="AU143" s="49"/>
      <c r="AV143" s="49"/>
      <c r="AW143" s="49"/>
      <c r="AX143" s="49"/>
      <c r="AY143" s="49"/>
      <c r="AZ143" s="49"/>
      <c r="BA143" s="50"/>
      <c r="BB143" s="24"/>
      <c r="BC143" s="24"/>
      <c r="BD143" s="24"/>
      <c r="BE143" s="24"/>
      <c r="BF143" s="24"/>
      <c r="BG143" s="24"/>
      <c r="BH143" s="31"/>
      <c r="BI143" s="24"/>
      <c r="BJ143" s="24"/>
      <c r="BK143" s="24"/>
      <c r="BL143" s="23"/>
      <c r="BM143" s="13"/>
      <c r="BO143" s="62"/>
      <c r="BS143" s="172"/>
      <c r="BT143" s="173"/>
      <c r="BU143" s="173"/>
      <c r="BV143" s="173"/>
      <c r="BW143" s="173"/>
      <c r="BX143" s="173"/>
      <c r="BY143" s="173"/>
      <c r="BZ143" s="173"/>
      <c r="CA143" s="173"/>
      <c r="CB143" s="173"/>
      <c r="CC143" s="173"/>
      <c r="CD143" s="174"/>
    </row>
    <row r="144" spans="1:82" s="11" customFormat="1" ht="13.5" customHeight="1">
      <c r="A144" s="28"/>
      <c r="B144" s="31"/>
      <c r="C144" s="24"/>
      <c r="D144" s="24"/>
      <c r="E144" s="24"/>
      <c r="F144" s="24"/>
      <c r="G144" s="24"/>
      <c r="H144" s="23"/>
      <c r="I144" s="24"/>
      <c r="J144" s="24"/>
      <c r="K144" s="24"/>
      <c r="L144" s="24"/>
      <c r="M144" s="24"/>
      <c r="N144" s="24"/>
      <c r="O144" s="24"/>
      <c r="P144" s="31"/>
      <c r="Q144" s="24"/>
      <c r="R144" s="24"/>
      <c r="S144" s="24"/>
      <c r="T144" s="24"/>
      <c r="U144" s="24"/>
      <c r="V144" s="24"/>
      <c r="W144" s="31"/>
      <c r="X144" s="24"/>
      <c r="Y144" s="24"/>
      <c r="Z144" s="24"/>
      <c r="AA144" s="24"/>
      <c r="AB144" s="24"/>
      <c r="AC144" s="24"/>
      <c r="AD144" s="31"/>
      <c r="AE144" s="24"/>
      <c r="AF144" s="24"/>
      <c r="AG144" s="24"/>
      <c r="AH144" s="24"/>
      <c r="AI144" s="24"/>
      <c r="AJ144" s="23"/>
      <c r="AK144" s="31"/>
      <c r="AL144" s="24"/>
      <c r="AM144" s="24"/>
      <c r="AN144" s="24"/>
      <c r="AO144" s="24"/>
      <c r="AP144" s="24"/>
      <c r="AQ144" s="23"/>
      <c r="AR144" s="24"/>
      <c r="AS144" s="24"/>
      <c r="AT144" s="79" t="s">
        <v>130</v>
      </c>
      <c r="AU144" s="58"/>
      <c r="AV144" s="58"/>
      <c r="AW144" s="74"/>
      <c r="AX144" s="79" t="s">
        <v>248</v>
      </c>
      <c r="AY144" s="58"/>
      <c r="AZ144" s="58"/>
      <c r="BA144" s="74"/>
      <c r="BB144" s="24"/>
      <c r="BC144" s="24"/>
      <c r="BD144" s="24"/>
      <c r="BE144" s="24"/>
      <c r="BF144" s="24"/>
      <c r="BG144" s="24"/>
      <c r="BH144" s="31"/>
      <c r="BI144" s="24"/>
      <c r="BJ144" s="24"/>
      <c r="BK144" s="24"/>
      <c r="BL144" s="23"/>
      <c r="BM144" s="13"/>
      <c r="BO144" s="62"/>
      <c r="BS144" s="172"/>
      <c r="BT144" s="173"/>
      <c r="BU144" s="173"/>
      <c r="BV144" s="173"/>
      <c r="BW144" s="173"/>
      <c r="BX144" s="173"/>
      <c r="BY144" s="173"/>
      <c r="BZ144" s="173"/>
      <c r="CA144" s="173"/>
      <c r="CB144" s="173"/>
      <c r="CC144" s="173"/>
      <c r="CD144" s="174"/>
    </row>
    <row r="145" spans="1:82" s="11" customFormat="1" ht="13.5" customHeight="1">
      <c r="A145" s="28"/>
      <c r="B145" s="31"/>
      <c r="C145" s="24"/>
      <c r="D145" s="24"/>
      <c r="E145" s="24"/>
      <c r="F145" s="24"/>
      <c r="G145" s="24"/>
      <c r="H145" s="23"/>
      <c r="I145" s="24"/>
      <c r="J145" s="24"/>
      <c r="K145" s="24"/>
      <c r="L145" s="24"/>
      <c r="M145" s="24"/>
      <c r="N145" s="24"/>
      <c r="O145" s="24"/>
      <c r="P145" s="31"/>
      <c r="Q145" s="24"/>
      <c r="R145" s="24"/>
      <c r="S145" s="24"/>
      <c r="T145" s="24"/>
      <c r="U145" s="24"/>
      <c r="V145" s="24"/>
      <c r="W145" s="31"/>
      <c r="X145" s="24"/>
      <c r="Y145" s="24"/>
      <c r="Z145" s="24"/>
      <c r="AA145" s="24"/>
      <c r="AB145" s="24"/>
      <c r="AC145" s="24"/>
      <c r="AD145" s="31"/>
      <c r="AE145" s="24"/>
      <c r="AF145" s="24"/>
      <c r="AG145" s="24"/>
      <c r="AH145" s="24"/>
      <c r="AI145" s="24"/>
      <c r="AJ145" s="23"/>
      <c r="AK145" s="31"/>
      <c r="AL145" s="24"/>
      <c r="AM145" s="24"/>
      <c r="AN145" s="24"/>
      <c r="AO145" s="24"/>
      <c r="AP145" s="24"/>
      <c r="AQ145" s="23"/>
      <c r="AR145" s="24"/>
      <c r="AS145" s="24"/>
      <c r="BC145" s="24"/>
      <c r="BD145" s="24"/>
      <c r="BE145" s="24"/>
      <c r="BF145" s="24"/>
      <c r="BG145" s="24"/>
      <c r="BH145" s="31"/>
      <c r="BI145" s="24"/>
      <c r="BJ145" s="24"/>
      <c r="BK145" s="24"/>
      <c r="BL145" s="23"/>
      <c r="BM145" s="13"/>
      <c r="BO145" s="62"/>
      <c r="BS145" s="172"/>
      <c r="BT145" s="173"/>
      <c r="BU145" s="173"/>
      <c r="BV145" s="173"/>
      <c r="BW145" s="173"/>
      <c r="BX145" s="173"/>
      <c r="BY145" s="173"/>
      <c r="BZ145" s="173"/>
      <c r="CA145" s="173"/>
      <c r="CB145" s="173"/>
      <c r="CC145" s="173"/>
      <c r="CD145" s="174"/>
    </row>
    <row r="146" spans="1:82" s="11" customFormat="1" ht="13.5" customHeight="1">
      <c r="A146" s="28"/>
      <c r="B146" s="31"/>
      <c r="C146" s="24"/>
      <c r="D146" s="24"/>
      <c r="E146" s="24"/>
      <c r="F146" s="24"/>
      <c r="G146" s="24"/>
      <c r="H146" s="23"/>
      <c r="I146" s="24"/>
      <c r="J146" s="24"/>
      <c r="K146" s="24"/>
      <c r="L146" s="24"/>
      <c r="M146" s="24"/>
      <c r="N146" s="24"/>
      <c r="O146" s="24"/>
      <c r="P146" s="31"/>
      <c r="Q146" s="24"/>
      <c r="R146" s="24"/>
      <c r="S146" s="24"/>
      <c r="T146" s="24"/>
      <c r="U146" s="24"/>
      <c r="V146" s="24"/>
      <c r="W146" s="31"/>
      <c r="X146" s="24"/>
      <c r="Y146" s="24"/>
      <c r="Z146" s="24"/>
      <c r="AA146" s="24"/>
      <c r="AB146" s="24"/>
      <c r="AC146" s="24"/>
      <c r="AD146" s="31"/>
      <c r="AE146" s="24"/>
      <c r="AF146" s="24"/>
      <c r="AG146" s="24"/>
      <c r="AH146" s="24"/>
      <c r="AI146" s="24"/>
      <c r="AJ146" s="23"/>
      <c r="AK146" s="31"/>
      <c r="AL146" s="24"/>
      <c r="AM146" s="24"/>
      <c r="AN146" s="24"/>
      <c r="AO146" s="24"/>
      <c r="AP146" s="24"/>
      <c r="AQ146" s="23"/>
      <c r="AR146" s="24"/>
      <c r="AS146" s="24"/>
      <c r="BC146" s="24"/>
      <c r="BD146" s="24"/>
      <c r="BE146" s="24"/>
      <c r="BF146" s="24"/>
      <c r="BG146" s="24"/>
      <c r="BH146" s="31"/>
      <c r="BI146" s="24"/>
      <c r="BJ146" s="24"/>
      <c r="BK146" s="24"/>
      <c r="BL146" s="23"/>
      <c r="BM146" s="13"/>
      <c r="BO146" s="62"/>
      <c r="BS146" s="172"/>
      <c r="BT146" s="173"/>
      <c r="BU146" s="173"/>
      <c r="BV146" s="173"/>
      <c r="BW146" s="173"/>
      <c r="BX146" s="173"/>
      <c r="BY146" s="173"/>
      <c r="BZ146" s="173"/>
      <c r="CA146" s="173"/>
      <c r="CB146" s="173"/>
      <c r="CC146" s="173"/>
      <c r="CD146" s="174"/>
    </row>
    <row r="147" spans="1:82" s="11" customFormat="1" ht="13.5" customHeight="1">
      <c r="A147" s="28"/>
      <c r="B147" s="31"/>
      <c r="C147" s="24"/>
      <c r="D147" s="24"/>
      <c r="E147" s="24"/>
      <c r="F147" s="24"/>
      <c r="G147" s="24"/>
      <c r="H147" s="23"/>
      <c r="I147" s="24"/>
      <c r="J147" s="24"/>
      <c r="K147" s="24"/>
      <c r="L147" s="24"/>
      <c r="M147" s="24"/>
      <c r="N147" s="24"/>
      <c r="O147" s="24"/>
      <c r="P147" s="31"/>
      <c r="Q147" s="24"/>
      <c r="R147" s="24"/>
      <c r="S147" s="24"/>
      <c r="T147" s="24"/>
      <c r="U147" s="24"/>
      <c r="V147" s="24"/>
      <c r="W147" s="31"/>
      <c r="X147" s="24"/>
      <c r="Y147" s="24"/>
      <c r="Z147" s="24"/>
      <c r="AA147" s="24"/>
      <c r="AB147" s="24"/>
      <c r="AC147" s="24"/>
      <c r="AD147" s="31"/>
      <c r="AE147" s="24"/>
      <c r="AF147" s="24"/>
      <c r="AG147" s="24"/>
      <c r="AH147" s="24"/>
      <c r="AI147" s="24"/>
      <c r="AJ147" s="23"/>
      <c r="AK147" s="31"/>
      <c r="AL147" s="24"/>
      <c r="AM147" s="24"/>
      <c r="AN147" s="24"/>
      <c r="AO147" s="24"/>
      <c r="AP147" s="24"/>
      <c r="AQ147" s="23"/>
      <c r="AR147" s="24"/>
      <c r="AS147" s="25" t="s">
        <v>288</v>
      </c>
      <c r="AU147" s="24"/>
      <c r="AV147" s="24"/>
      <c r="AW147" s="24"/>
      <c r="AX147" s="24"/>
      <c r="AY147" s="24"/>
      <c r="AZ147" s="24"/>
      <c r="BA147" s="24"/>
      <c r="BB147" s="24"/>
      <c r="BC147" s="24"/>
      <c r="BD147" s="24"/>
      <c r="BE147" s="24"/>
      <c r="BF147" s="24"/>
      <c r="BG147" s="24"/>
      <c r="BH147" s="31"/>
      <c r="BI147" s="24"/>
      <c r="BJ147" s="24"/>
      <c r="BK147" s="24"/>
      <c r="BL147" s="23"/>
      <c r="BM147" s="13"/>
      <c r="BO147" s="62"/>
      <c r="BS147" s="172"/>
      <c r="BT147" s="173"/>
      <c r="BU147" s="173"/>
      <c r="BV147" s="173"/>
      <c r="BW147" s="173"/>
      <c r="BX147" s="173"/>
      <c r="BY147" s="173"/>
      <c r="BZ147" s="173"/>
      <c r="CA147" s="173"/>
      <c r="CB147" s="173"/>
      <c r="CC147" s="173"/>
      <c r="CD147" s="174"/>
    </row>
    <row r="148" spans="1:82" s="11" customFormat="1" ht="13.5" customHeight="1">
      <c r="A148" s="28"/>
      <c r="B148" s="31"/>
      <c r="C148" s="24"/>
      <c r="D148" s="24"/>
      <c r="E148" s="24"/>
      <c r="F148" s="24"/>
      <c r="G148" s="24"/>
      <c r="H148" s="23"/>
      <c r="I148" s="24"/>
      <c r="J148" s="24"/>
      <c r="K148" s="24"/>
      <c r="L148" s="24"/>
      <c r="M148" s="24"/>
      <c r="N148" s="24"/>
      <c r="O148" s="24"/>
      <c r="P148" s="31"/>
      <c r="Q148" s="24"/>
      <c r="R148" s="24"/>
      <c r="S148" s="24"/>
      <c r="T148" s="24"/>
      <c r="U148" s="24"/>
      <c r="V148" s="24"/>
      <c r="W148" s="31"/>
      <c r="X148" s="24"/>
      <c r="Y148" s="24"/>
      <c r="Z148" s="24"/>
      <c r="AA148" s="24"/>
      <c r="AB148" s="24"/>
      <c r="AC148" s="24"/>
      <c r="AD148" s="31"/>
      <c r="AE148" s="24"/>
      <c r="AF148" s="24"/>
      <c r="AG148" s="24"/>
      <c r="AH148" s="24"/>
      <c r="AI148" s="24"/>
      <c r="AJ148" s="23"/>
      <c r="AK148" s="31"/>
      <c r="AL148" s="24"/>
      <c r="AM148" s="24"/>
      <c r="AN148" s="24"/>
      <c r="AO148" s="24"/>
      <c r="AP148" s="24"/>
      <c r="AQ148" s="23"/>
      <c r="AR148" s="24"/>
      <c r="AT148" s="8" t="s">
        <v>289</v>
      </c>
      <c r="AU148" s="24"/>
      <c r="AV148" s="24"/>
      <c r="AW148" s="24"/>
      <c r="AX148" s="24"/>
      <c r="AY148" s="24"/>
      <c r="AZ148" s="24"/>
      <c r="BA148" s="24"/>
      <c r="BB148" s="24"/>
      <c r="BC148" s="24"/>
      <c r="BD148" s="24"/>
      <c r="BE148" s="24"/>
      <c r="BF148" s="24"/>
      <c r="BG148" s="24"/>
      <c r="BH148" s="31"/>
      <c r="BI148" s="24"/>
      <c r="BJ148" s="24"/>
      <c r="BK148" s="24"/>
      <c r="BL148" s="23"/>
      <c r="BM148" s="13"/>
      <c r="BO148" s="62"/>
      <c r="BS148" s="172"/>
      <c r="BT148" s="173"/>
      <c r="BU148" s="173"/>
      <c r="BV148" s="173"/>
      <c r="BW148" s="173"/>
      <c r="BX148" s="173"/>
      <c r="BY148" s="173"/>
      <c r="BZ148" s="173"/>
      <c r="CA148" s="173"/>
      <c r="CB148" s="173"/>
      <c r="CC148" s="173"/>
      <c r="CD148" s="174"/>
    </row>
    <row r="149" spans="1:82" s="11" customFormat="1" ht="13.5" customHeight="1">
      <c r="A149" s="28"/>
      <c r="B149" s="31"/>
      <c r="C149" s="24"/>
      <c r="D149" s="24"/>
      <c r="E149" s="24"/>
      <c r="F149" s="24"/>
      <c r="G149" s="24"/>
      <c r="H149" s="23"/>
      <c r="I149" s="24"/>
      <c r="J149" s="24"/>
      <c r="K149" s="24"/>
      <c r="L149" s="24"/>
      <c r="M149" s="24"/>
      <c r="N149" s="24"/>
      <c r="O149" s="24"/>
      <c r="P149" s="31"/>
      <c r="Q149" s="24"/>
      <c r="R149" s="24"/>
      <c r="S149" s="24"/>
      <c r="T149" s="24"/>
      <c r="U149" s="24"/>
      <c r="V149" s="24"/>
      <c r="W149" s="31"/>
      <c r="X149" s="24"/>
      <c r="Y149" s="24"/>
      <c r="Z149" s="24"/>
      <c r="AA149" s="24"/>
      <c r="AB149" s="24"/>
      <c r="AC149" s="24"/>
      <c r="AD149" s="31"/>
      <c r="AE149" s="24"/>
      <c r="AF149" s="24"/>
      <c r="AG149" s="24"/>
      <c r="AH149" s="24"/>
      <c r="AI149" s="24"/>
      <c r="AJ149" s="23"/>
      <c r="AK149" s="31"/>
      <c r="AL149" s="24"/>
      <c r="AM149" s="24"/>
      <c r="AN149" s="24"/>
      <c r="AO149" s="24"/>
      <c r="AP149" s="24"/>
      <c r="AQ149" s="23"/>
      <c r="AR149" s="24"/>
      <c r="AS149" s="24"/>
      <c r="AT149" s="8" t="s">
        <v>290</v>
      </c>
      <c r="AU149" s="24"/>
      <c r="AV149" s="24"/>
      <c r="AW149" s="24"/>
      <c r="AX149" s="24"/>
      <c r="AY149" s="24"/>
      <c r="AZ149" s="24"/>
      <c r="BA149" s="24"/>
      <c r="BB149" s="24"/>
      <c r="BC149" s="24"/>
      <c r="BD149" s="24"/>
      <c r="BE149" s="24"/>
      <c r="BF149" s="24"/>
      <c r="BG149" s="24"/>
      <c r="BH149" s="31"/>
      <c r="BI149" s="24"/>
      <c r="BJ149" s="24"/>
      <c r="BK149" s="24"/>
      <c r="BL149" s="23"/>
      <c r="BM149" s="13"/>
      <c r="BO149" s="62"/>
      <c r="BS149" s="172"/>
      <c r="BT149" s="173"/>
      <c r="BU149" s="173"/>
      <c r="BV149" s="173"/>
      <c r="BW149" s="173"/>
      <c r="BX149" s="173"/>
      <c r="BY149" s="173"/>
      <c r="BZ149" s="173"/>
      <c r="CA149" s="173"/>
      <c r="CB149" s="173"/>
      <c r="CC149" s="173"/>
      <c r="CD149" s="174"/>
    </row>
    <row r="150" spans="1:82" s="11" customFormat="1" ht="13.5" customHeight="1">
      <c r="A150" s="28"/>
      <c r="B150" s="31"/>
      <c r="C150" s="24"/>
      <c r="D150" s="24"/>
      <c r="E150" s="24"/>
      <c r="F150" s="24"/>
      <c r="G150" s="24"/>
      <c r="H150" s="23"/>
      <c r="I150" s="24"/>
      <c r="J150" s="24"/>
      <c r="K150" s="24"/>
      <c r="L150" s="24"/>
      <c r="M150" s="24"/>
      <c r="N150" s="24"/>
      <c r="O150" s="24"/>
      <c r="P150" s="31"/>
      <c r="Q150" s="24"/>
      <c r="R150" s="24"/>
      <c r="S150" s="24"/>
      <c r="T150" s="24"/>
      <c r="U150" s="24"/>
      <c r="V150" s="24"/>
      <c r="W150" s="31"/>
      <c r="X150" s="24"/>
      <c r="Y150" s="24"/>
      <c r="Z150" s="24"/>
      <c r="AA150" s="24"/>
      <c r="AB150" s="24"/>
      <c r="AC150" s="24"/>
      <c r="AD150" s="31"/>
      <c r="AE150" s="24"/>
      <c r="AF150" s="24"/>
      <c r="AG150" s="24"/>
      <c r="AH150" s="24"/>
      <c r="AI150" s="24"/>
      <c r="AJ150" s="23"/>
      <c r="AK150" s="31"/>
      <c r="AL150" s="24"/>
      <c r="AM150" s="24"/>
      <c r="AN150" s="24"/>
      <c r="AO150" s="24"/>
      <c r="AP150" s="24"/>
      <c r="AQ150" s="23"/>
      <c r="AR150" s="31"/>
      <c r="AU150" s="24"/>
      <c r="AV150" s="24"/>
      <c r="AW150" s="24"/>
      <c r="AX150" s="24"/>
      <c r="AY150" s="24"/>
      <c r="AZ150" s="24"/>
      <c r="BA150" s="24"/>
      <c r="BB150" s="24"/>
      <c r="BC150" s="24"/>
      <c r="BD150" s="24"/>
      <c r="BE150" s="24"/>
      <c r="BF150" s="24"/>
      <c r="BG150" s="24"/>
      <c r="BH150" s="31"/>
      <c r="BI150" s="24"/>
      <c r="BJ150" s="24"/>
      <c r="BK150" s="24"/>
      <c r="BL150" s="23"/>
      <c r="BM150" s="13"/>
      <c r="BO150" s="62"/>
      <c r="BS150" s="172"/>
      <c r="BT150" s="173"/>
      <c r="BU150" s="173"/>
      <c r="BV150" s="173"/>
      <c r="BW150" s="173"/>
      <c r="BX150" s="173"/>
      <c r="BY150" s="173"/>
      <c r="BZ150" s="173"/>
      <c r="CA150" s="173"/>
      <c r="CB150" s="173"/>
      <c r="CC150" s="173"/>
      <c r="CD150" s="174"/>
    </row>
    <row r="151" spans="1:82" s="11" customFormat="1" ht="13.5" customHeight="1">
      <c r="A151" s="28"/>
      <c r="B151" s="31"/>
      <c r="C151" s="24"/>
      <c r="D151" s="24"/>
      <c r="E151" s="24"/>
      <c r="F151" s="24"/>
      <c r="G151" s="24"/>
      <c r="H151" s="23"/>
      <c r="I151" s="24"/>
      <c r="J151" s="24"/>
      <c r="K151" s="24"/>
      <c r="L151" s="24"/>
      <c r="M151" s="24"/>
      <c r="N151" s="24"/>
      <c r="O151" s="24"/>
      <c r="P151" s="31"/>
      <c r="Q151" s="24"/>
      <c r="R151" s="24"/>
      <c r="S151" s="24"/>
      <c r="T151" s="24"/>
      <c r="U151" s="24"/>
      <c r="V151" s="24"/>
      <c r="W151" s="31"/>
      <c r="X151" s="24"/>
      <c r="Y151" s="24"/>
      <c r="Z151" s="24"/>
      <c r="AA151" s="24"/>
      <c r="AB151" s="24"/>
      <c r="AC151" s="24"/>
      <c r="AD151" s="31"/>
      <c r="AE151" s="24"/>
      <c r="AF151" s="24"/>
      <c r="AG151" s="24"/>
      <c r="AH151" s="24"/>
      <c r="AI151" s="24"/>
      <c r="AJ151" s="23"/>
      <c r="AK151" s="31"/>
      <c r="AL151" s="24"/>
      <c r="AM151" s="24"/>
      <c r="AN151" s="24"/>
      <c r="AO151" s="24"/>
      <c r="AP151" s="24"/>
      <c r="AQ151" s="23"/>
      <c r="AR151" s="24"/>
      <c r="AS151" s="24"/>
      <c r="AT151" s="24"/>
      <c r="AU151" s="24"/>
      <c r="AV151" s="24"/>
      <c r="AW151" s="24"/>
      <c r="AX151" s="24"/>
      <c r="AY151" s="24"/>
      <c r="AZ151" s="24"/>
      <c r="BA151" s="24"/>
      <c r="BB151" s="24"/>
      <c r="BC151" s="24"/>
      <c r="BD151" s="24"/>
      <c r="BE151" s="24"/>
      <c r="BF151" s="24"/>
      <c r="BG151" s="24"/>
      <c r="BH151" s="31"/>
      <c r="BI151" s="24"/>
      <c r="BJ151" s="24"/>
      <c r="BK151" s="24"/>
      <c r="BL151" s="23"/>
      <c r="BM151" s="13"/>
      <c r="BO151" s="62"/>
      <c r="BS151" s="172"/>
      <c r="BT151" s="173"/>
      <c r="BU151" s="173"/>
      <c r="BV151" s="173"/>
      <c r="BW151" s="173"/>
      <c r="BX151" s="173"/>
      <c r="BY151" s="173"/>
      <c r="BZ151" s="173"/>
      <c r="CA151" s="173"/>
      <c r="CB151" s="173"/>
      <c r="CC151" s="173"/>
      <c r="CD151" s="174"/>
    </row>
    <row r="152" spans="1:82" s="11" customFormat="1" ht="13.5" customHeight="1">
      <c r="A152" s="28"/>
      <c r="B152" s="31"/>
      <c r="C152" s="24"/>
      <c r="D152" s="24"/>
      <c r="E152" s="24"/>
      <c r="F152" s="24"/>
      <c r="G152" s="24"/>
      <c r="H152" s="23"/>
      <c r="I152" s="24"/>
      <c r="J152" s="24"/>
      <c r="K152" s="24"/>
      <c r="L152" s="24"/>
      <c r="M152" s="24"/>
      <c r="N152" s="24"/>
      <c r="O152" s="24"/>
      <c r="P152" s="31"/>
      <c r="Q152" s="24"/>
      <c r="R152" s="24"/>
      <c r="S152" s="24"/>
      <c r="T152" s="24"/>
      <c r="U152" s="24"/>
      <c r="V152" s="24"/>
      <c r="W152" s="31"/>
      <c r="X152" s="24"/>
      <c r="Y152" s="24"/>
      <c r="Z152" s="24"/>
      <c r="AA152" s="24"/>
      <c r="AB152" s="24"/>
      <c r="AC152" s="24"/>
      <c r="AD152" s="31"/>
      <c r="AE152" s="24"/>
      <c r="AF152" s="24"/>
      <c r="AG152" s="24"/>
      <c r="AH152" s="24"/>
      <c r="AI152" s="24"/>
      <c r="AJ152" s="23"/>
      <c r="AK152" s="31"/>
      <c r="AL152" s="24"/>
      <c r="AM152" s="24"/>
      <c r="AN152" s="24"/>
      <c r="AO152" s="24"/>
      <c r="AP152" s="24"/>
      <c r="AQ152" s="23"/>
      <c r="AR152" s="24"/>
      <c r="AS152" s="24"/>
      <c r="AT152" s="24"/>
      <c r="AU152" s="24"/>
      <c r="AV152" s="24"/>
      <c r="AW152" s="24"/>
      <c r="AX152" s="24"/>
      <c r="AY152" s="24"/>
      <c r="AZ152" s="24"/>
      <c r="BA152" s="24"/>
      <c r="BB152" s="24"/>
      <c r="BC152" s="24"/>
      <c r="BD152" s="24"/>
      <c r="BE152" s="24"/>
      <c r="BF152" s="24"/>
      <c r="BG152" s="24"/>
      <c r="BH152" s="31"/>
      <c r="BI152" s="24"/>
      <c r="BJ152" s="24"/>
      <c r="BK152" s="24"/>
      <c r="BL152" s="23"/>
      <c r="BM152" s="13"/>
      <c r="BO152" s="62"/>
      <c r="BS152" s="172"/>
      <c r="BT152" s="173"/>
      <c r="BU152" s="173"/>
      <c r="BV152" s="173"/>
      <c r="BW152" s="173"/>
      <c r="BX152" s="173"/>
      <c r="BY152" s="173"/>
      <c r="BZ152" s="173"/>
      <c r="CA152" s="173"/>
      <c r="CB152" s="173"/>
      <c r="CC152" s="173"/>
      <c r="CD152" s="174"/>
    </row>
    <row r="153" spans="1:82" s="11" customFormat="1" ht="13.5" customHeight="1">
      <c r="A153" s="28"/>
      <c r="B153" s="31"/>
      <c r="C153" s="24"/>
      <c r="D153" s="24"/>
      <c r="E153" s="24"/>
      <c r="F153" s="24"/>
      <c r="G153" s="24"/>
      <c r="H153" s="23"/>
      <c r="I153" s="24"/>
      <c r="J153" s="24"/>
      <c r="K153" s="24"/>
      <c r="L153" s="24"/>
      <c r="M153" s="24"/>
      <c r="N153" s="24"/>
      <c r="O153" s="24"/>
      <c r="P153" s="31"/>
      <c r="Q153" s="24"/>
      <c r="R153" s="24"/>
      <c r="S153" s="24"/>
      <c r="T153" s="24"/>
      <c r="U153" s="24"/>
      <c r="V153" s="24"/>
      <c r="W153" s="31"/>
      <c r="X153" s="24"/>
      <c r="Y153" s="24"/>
      <c r="Z153" s="24"/>
      <c r="AA153" s="24"/>
      <c r="AB153" s="24"/>
      <c r="AC153" s="24"/>
      <c r="AD153" s="31"/>
      <c r="AE153" s="24"/>
      <c r="AF153" s="24"/>
      <c r="AG153" s="24"/>
      <c r="AH153" s="24"/>
      <c r="AI153" s="24"/>
      <c r="AJ153" s="23"/>
      <c r="AK153" s="31"/>
      <c r="AL153" s="24"/>
      <c r="AM153" s="24"/>
      <c r="AN153" s="24"/>
      <c r="AO153" s="24"/>
      <c r="AP153" s="24"/>
      <c r="AQ153" s="23"/>
      <c r="AR153" s="24"/>
      <c r="AS153" s="24"/>
      <c r="AT153" s="24"/>
      <c r="AU153" s="24"/>
      <c r="AV153" s="24"/>
      <c r="AW153" s="24"/>
      <c r="AX153" s="24"/>
      <c r="AY153" s="24"/>
      <c r="AZ153" s="24"/>
      <c r="BA153" s="24"/>
      <c r="BB153" s="24"/>
      <c r="BC153" s="24"/>
      <c r="BD153" s="24"/>
      <c r="BE153" s="24"/>
      <c r="BF153" s="24"/>
      <c r="BG153" s="24"/>
      <c r="BH153" s="31"/>
      <c r="BI153" s="24"/>
      <c r="BJ153" s="24"/>
      <c r="BK153" s="24"/>
      <c r="BL153" s="23"/>
      <c r="BM153" s="13"/>
      <c r="BO153" s="62"/>
      <c r="BS153" s="172"/>
      <c r="BT153" s="173"/>
      <c r="BU153" s="173"/>
      <c r="BV153" s="173"/>
      <c r="BW153" s="173"/>
      <c r="BX153" s="173"/>
      <c r="BY153" s="173"/>
      <c r="BZ153" s="173"/>
      <c r="CA153" s="173"/>
      <c r="CB153" s="173"/>
      <c r="CC153" s="173"/>
      <c r="CD153" s="174"/>
    </row>
    <row r="154" spans="1:82" s="11" customFormat="1" ht="13.5" customHeight="1">
      <c r="A154" s="28"/>
      <c r="B154" s="31"/>
      <c r="C154" s="24"/>
      <c r="D154" s="24"/>
      <c r="E154" s="24"/>
      <c r="F154" s="24"/>
      <c r="G154" s="24"/>
      <c r="H154" s="23"/>
      <c r="I154" s="24"/>
      <c r="J154" s="24"/>
      <c r="K154" s="24"/>
      <c r="L154" s="24"/>
      <c r="M154" s="24"/>
      <c r="N154" s="24"/>
      <c r="O154" s="24"/>
      <c r="P154" s="31"/>
      <c r="Q154" s="24"/>
      <c r="R154" s="24"/>
      <c r="S154" s="24"/>
      <c r="T154" s="24"/>
      <c r="U154" s="24"/>
      <c r="V154" s="24"/>
      <c r="W154" s="31"/>
      <c r="X154" s="24"/>
      <c r="Y154" s="24"/>
      <c r="Z154" s="24"/>
      <c r="AA154" s="24"/>
      <c r="AB154" s="24"/>
      <c r="AC154" s="24"/>
      <c r="AD154" s="31"/>
      <c r="AE154" s="24"/>
      <c r="AF154" s="24"/>
      <c r="AG154" s="24"/>
      <c r="AH154" s="24"/>
      <c r="AI154" s="24"/>
      <c r="AJ154" s="23"/>
      <c r="AK154" s="31"/>
      <c r="AL154" s="24"/>
      <c r="AM154" s="24"/>
      <c r="AN154" s="24"/>
      <c r="AO154" s="24"/>
      <c r="AP154" s="24"/>
      <c r="AQ154" s="23"/>
      <c r="AR154" s="24"/>
      <c r="AS154" s="25" t="s">
        <v>291</v>
      </c>
      <c r="AU154" s="24"/>
      <c r="AV154" s="24"/>
      <c r="AW154" s="24"/>
      <c r="AX154" s="24"/>
      <c r="AY154" s="24"/>
      <c r="AZ154" s="24"/>
      <c r="BA154" s="24"/>
      <c r="BB154" s="24"/>
      <c r="BC154" s="24"/>
      <c r="BD154" s="24"/>
      <c r="BE154" s="24"/>
      <c r="BF154" s="24"/>
      <c r="BG154" s="24"/>
      <c r="BH154" s="31"/>
      <c r="BI154" s="24"/>
      <c r="BJ154" s="24"/>
      <c r="BK154" s="24"/>
      <c r="BL154" s="23"/>
      <c r="BM154" s="13"/>
      <c r="BO154" s="62"/>
      <c r="BS154" s="172"/>
      <c r="BT154" s="173"/>
      <c r="BU154" s="173"/>
      <c r="BV154" s="173"/>
      <c r="BW154" s="173"/>
      <c r="BX154" s="173"/>
      <c r="BY154" s="173"/>
      <c r="BZ154" s="173"/>
      <c r="CA154" s="173"/>
      <c r="CB154" s="173"/>
      <c r="CC154" s="173"/>
      <c r="CD154" s="174"/>
    </row>
    <row r="155" spans="1:82" s="11" customFormat="1" ht="13.5" customHeight="1">
      <c r="A155" s="28"/>
      <c r="B155" s="31"/>
      <c r="C155" s="24"/>
      <c r="D155" s="24"/>
      <c r="E155" s="24"/>
      <c r="F155" s="24"/>
      <c r="G155" s="24"/>
      <c r="H155" s="23"/>
      <c r="I155" s="24"/>
      <c r="J155" s="24"/>
      <c r="K155" s="24"/>
      <c r="L155" s="24"/>
      <c r="M155" s="24"/>
      <c r="N155" s="24"/>
      <c r="O155" s="24"/>
      <c r="P155" s="31"/>
      <c r="Q155" s="24"/>
      <c r="R155" s="24"/>
      <c r="S155" s="24"/>
      <c r="T155" s="24"/>
      <c r="U155" s="24"/>
      <c r="V155" s="24"/>
      <c r="W155" s="31"/>
      <c r="X155" s="24"/>
      <c r="Y155" s="24"/>
      <c r="Z155" s="24"/>
      <c r="AA155" s="24"/>
      <c r="AB155" s="24"/>
      <c r="AC155" s="24"/>
      <c r="AD155" s="31"/>
      <c r="AE155" s="24"/>
      <c r="AF155" s="24"/>
      <c r="AG155" s="24"/>
      <c r="AH155" s="24"/>
      <c r="AI155" s="24"/>
      <c r="AJ155" s="23"/>
      <c r="AK155" s="31"/>
      <c r="AL155" s="24"/>
      <c r="AM155" s="24"/>
      <c r="AN155" s="24"/>
      <c r="AO155" s="24"/>
      <c r="AP155" s="24"/>
      <c r="AQ155" s="23"/>
      <c r="AR155" s="24"/>
      <c r="AT155" s="8" t="s">
        <v>292</v>
      </c>
      <c r="AU155" s="24"/>
      <c r="AV155" s="24"/>
      <c r="AW155" s="24"/>
      <c r="AX155" s="24"/>
      <c r="AY155" s="24"/>
      <c r="AZ155" s="24"/>
      <c r="BA155" s="24"/>
      <c r="BB155" s="24"/>
      <c r="BC155" s="24"/>
      <c r="BD155" s="24"/>
      <c r="BE155" s="24"/>
      <c r="BF155" s="24"/>
      <c r="BG155" s="24"/>
      <c r="BH155" s="31"/>
      <c r="BI155" s="24"/>
      <c r="BJ155" s="24"/>
      <c r="BK155" s="24"/>
      <c r="BL155" s="23"/>
      <c r="BM155" s="13"/>
      <c r="BO155" s="62"/>
      <c r="BS155" s="172"/>
      <c r="BT155" s="173"/>
      <c r="BU155" s="173"/>
      <c r="BV155" s="173"/>
      <c r="BW155" s="173"/>
      <c r="BX155" s="173"/>
      <c r="BY155" s="173"/>
      <c r="BZ155" s="173"/>
      <c r="CA155" s="173"/>
      <c r="CB155" s="173"/>
      <c r="CC155" s="173"/>
      <c r="CD155" s="174"/>
    </row>
    <row r="156" spans="1:82" s="11" customFormat="1" ht="13.5" customHeight="1">
      <c r="A156" s="28"/>
      <c r="B156" s="31"/>
      <c r="C156" s="24"/>
      <c r="D156" s="24"/>
      <c r="E156" s="24"/>
      <c r="F156" s="24"/>
      <c r="G156" s="24"/>
      <c r="H156" s="23"/>
      <c r="I156" s="24"/>
      <c r="J156" s="24"/>
      <c r="K156" s="24"/>
      <c r="L156" s="24"/>
      <c r="M156" s="24"/>
      <c r="N156" s="24"/>
      <c r="O156" s="24"/>
      <c r="P156" s="31"/>
      <c r="Q156" s="24"/>
      <c r="R156" s="24"/>
      <c r="S156" s="24"/>
      <c r="T156" s="24"/>
      <c r="U156" s="24"/>
      <c r="V156" s="24"/>
      <c r="W156" s="31"/>
      <c r="X156" s="24"/>
      <c r="Y156" s="24"/>
      <c r="Z156" s="24"/>
      <c r="AA156" s="24"/>
      <c r="AB156" s="24"/>
      <c r="AC156" s="24"/>
      <c r="AD156" s="31"/>
      <c r="AE156" s="24"/>
      <c r="AF156" s="24"/>
      <c r="AG156" s="24"/>
      <c r="AH156" s="24"/>
      <c r="AI156" s="24"/>
      <c r="AJ156" s="23"/>
      <c r="AK156" s="31"/>
      <c r="AL156" s="24"/>
      <c r="AM156" s="24"/>
      <c r="AN156" s="24"/>
      <c r="AO156" s="24"/>
      <c r="AP156" s="24"/>
      <c r="AQ156" s="23"/>
      <c r="AR156" s="24"/>
      <c r="AS156" s="24"/>
      <c r="AT156" s="48" t="s">
        <v>128</v>
      </c>
      <c r="AU156" s="49"/>
      <c r="AV156" s="49"/>
      <c r="AW156" s="49"/>
      <c r="AX156" s="49"/>
      <c r="AY156" s="49"/>
      <c r="AZ156" s="49"/>
      <c r="BA156" s="50"/>
      <c r="BB156" s="24"/>
      <c r="BC156" s="24"/>
      <c r="BD156" s="24"/>
      <c r="BE156" s="24"/>
      <c r="BF156" s="24"/>
      <c r="BG156" s="24"/>
      <c r="BH156" s="31"/>
      <c r="BI156" s="24"/>
      <c r="BJ156" s="24"/>
      <c r="BK156" s="24"/>
      <c r="BL156" s="23"/>
      <c r="BM156" s="13"/>
      <c r="BO156" s="62"/>
      <c r="BS156" s="172"/>
      <c r="BT156" s="173"/>
      <c r="BU156" s="173"/>
      <c r="BV156" s="173"/>
      <c r="BW156" s="173"/>
      <c r="BX156" s="173"/>
      <c r="BY156" s="173"/>
      <c r="BZ156" s="173"/>
      <c r="CA156" s="173"/>
      <c r="CB156" s="173"/>
      <c r="CC156" s="173"/>
      <c r="CD156" s="174"/>
    </row>
    <row r="157" spans="1:82" s="11" customFormat="1" ht="13.5" customHeight="1">
      <c r="A157" s="28"/>
      <c r="B157" s="31"/>
      <c r="C157" s="24"/>
      <c r="D157" s="24"/>
      <c r="E157" s="24"/>
      <c r="F157" s="24"/>
      <c r="G157" s="24"/>
      <c r="H157" s="23"/>
      <c r="I157" s="24"/>
      <c r="J157" s="24"/>
      <c r="K157" s="24"/>
      <c r="L157" s="24"/>
      <c r="M157" s="24"/>
      <c r="N157" s="24"/>
      <c r="O157" s="24"/>
      <c r="P157" s="31"/>
      <c r="Q157" s="24"/>
      <c r="R157" s="24"/>
      <c r="S157" s="24"/>
      <c r="T157" s="24"/>
      <c r="U157" s="24"/>
      <c r="V157" s="24"/>
      <c r="W157" s="31"/>
      <c r="X157" s="24"/>
      <c r="Y157" s="24"/>
      <c r="Z157" s="24"/>
      <c r="AA157" s="24"/>
      <c r="AB157" s="24"/>
      <c r="AC157" s="24"/>
      <c r="AD157" s="31"/>
      <c r="AE157" s="24"/>
      <c r="AF157" s="24"/>
      <c r="AG157" s="24"/>
      <c r="AH157" s="24"/>
      <c r="AI157" s="24"/>
      <c r="AJ157" s="23"/>
      <c r="AK157" s="31"/>
      <c r="AL157" s="24"/>
      <c r="AM157" s="24"/>
      <c r="AN157" s="24"/>
      <c r="AO157" s="24"/>
      <c r="AP157" s="24"/>
      <c r="AQ157" s="23"/>
      <c r="AR157" s="24"/>
      <c r="AS157" s="24"/>
      <c r="AT157" s="79" t="s">
        <v>130</v>
      </c>
      <c r="AU157" s="58"/>
      <c r="AV157" s="58"/>
      <c r="AW157" s="74"/>
      <c r="AX157" s="79" t="s">
        <v>293</v>
      </c>
      <c r="AY157" s="58"/>
      <c r="AZ157" s="58"/>
      <c r="BA157" s="74"/>
      <c r="BB157" s="24"/>
      <c r="BC157" s="24"/>
      <c r="BD157" s="24"/>
      <c r="BE157" s="24"/>
      <c r="BF157" s="24"/>
      <c r="BG157" s="24"/>
      <c r="BH157" s="31"/>
      <c r="BI157" s="24"/>
      <c r="BJ157" s="24"/>
      <c r="BK157" s="24"/>
      <c r="BL157" s="23"/>
      <c r="BM157" s="13"/>
      <c r="BO157" s="62"/>
      <c r="BS157" s="172"/>
      <c r="BT157" s="173"/>
      <c r="BU157" s="173"/>
      <c r="BV157" s="173"/>
      <c r="BW157" s="173"/>
      <c r="BX157" s="173"/>
      <c r="BY157" s="173"/>
      <c r="BZ157" s="173"/>
      <c r="CA157" s="173"/>
      <c r="CB157" s="173"/>
      <c r="CC157" s="173"/>
      <c r="CD157" s="174"/>
    </row>
    <row r="158" spans="1:82" s="11" customFormat="1" ht="13.5" customHeight="1">
      <c r="A158" s="28"/>
      <c r="B158" s="31"/>
      <c r="C158" s="24"/>
      <c r="D158" s="24"/>
      <c r="E158" s="24"/>
      <c r="F158" s="24"/>
      <c r="G158" s="24"/>
      <c r="H158" s="23"/>
      <c r="I158" s="24"/>
      <c r="J158" s="24"/>
      <c r="K158" s="24"/>
      <c r="L158" s="24"/>
      <c r="M158" s="24"/>
      <c r="N158" s="24"/>
      <c r="O158" s="24"/>
      <c r="P158" s="31"/>
      <c r="Q158" s="24"/>
      <c r="R158" s="24"/>
      <c r="S158" s="24"/>
      <c r="T158" s="24"/>
      <c r="U158" s="24"/>
      <c r="V158" s="24"/>
      <c r="W158" s="31"/>
      <c r="X158" s="24"/>
      <c r="Y158" s="24"/>
      <c r="Z158" s="24"/>
      <c r="AA158" s="24"/>
      <c r="AB158" s="24"/>
      <c r="AC158" s="24"/>
      <c r="AD158" s="31"/>
      <c r="AE158" s="24"/>
      <c r="AF158" s="24"/>
      <c r="AG158" s="24"/>
      <c r="AH158" s="24"/>
      <c r="AI158" s="24"/>
      <c r="AJ158" s="23"/>
      <c r="AK158" s="31"/>
      <c r="AL158" s="24"/>
      <c r="AM158" s="24"/>
      <c r="AN158" s="24"/>
      <c r="AO158" s="24"/>
      <c r="AP158" s="24"/>
      <c r="AQ158" s="23"/>
      <c r="AR158" s="24"/>
      <c r="AS158" s="24"/>
      <c r="AT158" s="8"/>
      <c r="AU158" s="8"/>
      <c r="AV158" s="8"/>
      <c r="AW158" s="8"/>
      <c r="AX158" s="8"/>
      <c r="AY158" s="8"/>
      <c r="AZ158" s="8"/>
      <c r="BA158" s="8"/>
      <c r="BB158" s="24"/>
      <c r="BC158" s="24"/>
      <c r="BD158" s="24"/>
      <c r="BE158" s="24"/>
      <c r="BF158" s="24"/>
      <c r="BG158" s="24"/>
      <c r="BH158" s="31"/>
      <c r="BI158" s="24"/>
      <c r="BJ158" s="24"/>
      <c r="BK158" s="24"/>
      <c r="BL158" s="23"/>
      <c r="BM158" s="13"/>
      <c r="BO158" s="62"/>
      <c r="BS158" s="172"/>
      <c r="BT158" s="173"/>
      <c r="BU158" s="173"/>
      <c r="BV158" s="173"/>
      <c r="BW158" s="173"/>
      <c r="BX158" s="173"/>
      <c r="BY158" s="173"/>
      <c r="BZ158" s="173"/>
      <c r="CA158" s="173"/>
      <c r="CB158" s="173"/>
      <c r="CC158" s="173"/>
      <c r="CD158" s="174"/>
    </row>
    <row r="159" spans="1:82" s="11" customFormat="1" ht="13.5" customHeight="1">
      <c r="A159" s="28"/>
      <c r="B159" s="31"/>
      <c r="C159" s="24"/>
      <c r="D159" s="24"/>
      <c r="E159" s="24"/>
      <c r="F159" s="24"/>
      <c r="G159" s="24"/>
      <c r="H159" s="23"/>
      <c r="I159" s="24"/>
      <c r="J159" s="24"/>
      <c r="K159" s="24"/>
      <c r="L159" s="24"/>
      <c r="M159" s="24"/>
      <c r="N159" s="24"/>
      <c r="O159" s="24"/>
      <c r="P159" s="31"/>
      <c r="Q159" s="24"/>
      <c r="R159" s="24"/>
      <c r="S159" s="24"/>
      <c r="T159" s="24"/>
      <c r="U159" s="24"/>
      <c r="V159" s="24"/>
      <c r="W159" s="31"/>
      <c r="X159" s="24"/>
      <c r="Y159" s="24"/>
      <c r="Z159" s="24"/>
      <c r="AA159" s="24"/>
      <c r="AB159" s="24"/>
      <c r="AC159" s="24"/>
      <c r="AD159" s="31"/>
      <c r="AE159" s="24"/>
      <c r="AF159" s="24"/>
      <c r="AG159" s="24"/>
      <c r="AH159" s="24"/>
      <c r="AI159" s="24"/>
      <c r="AJ159" s="23"/>
      <c r="AK159" s="31"/>
      <c r="AL159" s="24"/>
      <c r="AM159" s="24"/>
      <c r="AN159" s="24"/>
      <c r="AO159" s="24"/>
      <c r="AP159" s="24"/>
      <c r="AQ159" s="23"/>
      <c r="AR159" s="24"/>
      <c r="AS159" s="24"/>
      <c r="AT159" s="24"/>
      <c r="AU159" s="24"/>
      <c r="AV159" s="24"/>
      <c r="AW159" s="24"/>
      <c r="AX159" s="24"/>
      <c r="AY159" s="24"/>
      <c r="AZ159" s="24"/>
      <c r="BA159" s="24"/>
      <c r="BB159" s="24"/>
      <c r="BC159" s="24"/>
      <c r="BD159" s="24"/>
      <c r="BE159" s="24"/>
      <c r="BF159" s="24"/>
      <c r="BG159" s="24"/>
      <c r="BH159" s="31"/>
      <c r="BI159" s="24"/>
      <c r="BJ159" s="24"/>
      <c r="BK159" s="24"/>
      <c r="BL159" s="23"/>
      <c r="BM159" s="13"/>
      <c r="BO159" s="62"/>
      <c r="BS159" s="172"/>
      <c r="BT159" s="173"/>
      <c r="BU159" s="173"/>
      <c r="BV159" s="173"/>
      <c r="BW159" s="173"/>
      <c r="BX159" s="173"/>
      <c r="BY159" s="173"/>
      <c r="BZ159" s="173"/>
      <c r="CA159" s="173"/>
      <c r="CB159" s="173"/>
      <c r="CC159" s="173"/>
      <c r="CD159" s="174"/>
    </row>
    <row r="160" spans="1:82" s="11" customFormat="1" ht="13.5" customHeight="1">
      <c r="A160" s="28"/>
      <c r="B160" s="31"/>
      <c r="C160" s="24"/>
      <c r="D160" s="24"/>
      <c r="E160" s="24"/>
      <c r="F160" s="24"/>
      <c r="G160" s="24"/>
      <c r="H160" s="23"/>
      <c r="I160" s="24"/>
      <c r="J160" s="24"/>
      <c r="K160" s="24"/>
      <c r="L160" s="24"/>
      <c r="M160" s="24"/>
      <c r="N160" s="24"/>
      <c r="O160" s="24"/>
      <c r="P160" s="31"/>
      <c r="Q160" s="24"/>
      <c r="R160" s="24"/>
      <c r="S160" s="24"/>
      <c r="T160" s="24"/>
      <c r="U160" s="24"/>
      <c r="V160" s="24"/>
      <c r="W160" s="31"/>
      <c r="X160" s="24"/>
      <c r="Y160" s="24"/>
      <c r="Z160" s="24"/>
      <c r="AA160" s="24"/>
      <c r="AB160" s="24"/>
      <c r="AC160" s="24"/>
      <c r="AD160" s="31"/>
      <c r="AE160" s="24"/>
      <c r="AF160" s="24"/>
      <c r="AG160" s="24"/>
      <c r="AH160" s="24"/>
      <c r="AI160" s="24"/>
      <c r="AJ160" s="23"/>
      <c r="AK160" s="31"/>
      <c r="AL160" s="24"/>
      <c r="AM160" s="24"/>
      <c r="AN160" s="24"/>
      <c r="AO160" s="24"/>
      <c r="AP160" s="24"/>
      <c r="AQ160" s="23"/>
      <c r="AR160" s="24"/>
      <c r="AS160" s="24"/>
      <c r="AT160" s="24"/>
      <c r="AU160" s="24"/>
      <c r="AV160" s="24"/>
      <c r="AW160" s="24"/>
      <c r="AX160" s="24"/>
      <c r="AY160" s="24"/>
      <c r="AZ160" s="24"/>
      <c r="BA160" s="24"/>
      <c r="BB160" s="24"/>
      <c r="BC160" s="24"/>
      <c r="BD160" s="24"/>
      <c r="BE160" s="24"/>
      <c r="BF160" s="24"/>
      <c r="BG160" s="24"/>
      <c r="BH160" s="31"/>
      <c r="BI160" s="24"/>
      <c r="BJ160" s="24"/>
      <c r="BK160" s="24"/>
      <c r="BL160" s="23"/>
      <c r="BM160" s="13"/>
      <c r="BO160" s="62"/>
      <c r="BS160" s="172"/>
      <c r="BT160" s="173"/>
      <c r="BU160" s="173"/>
      <c r="BV160" s="173"/>
      <c r="BW160" s="173"/>
      <c r="BX160" s="173"/>
      <c r="BY160" s="173"/>
      <c r="BZ160" s="173"/>
      <c r="CA160" s="173"/>
      <c r="CB160" s="173"/>
      <c r="CC160" s="173"/>
      <c r="CD160" s="174"/>
    </row>
    <row r="161" spans="1:82" s="11" customFormat="1" ht="13.5" customHeight="1">
      <c r="A161" s="28"/>
      <c r="B161" s="31"/>
      <c r="C161" s="24"/>
      <c r="D161" s="24"/>
      <c r="E161" s="24"/>
      <c r="F161" s="24"/>
      <c r="G161" s="24"/>
      <c r="H161" s="23"/>
      <c r="I161" s="24"/>
      <c r="J161" s="24"/>
      <c r="K161" s="24"/>
      <c r="L161" s="24"/>
      <c r="M161" s="24"/>
      <c r="N161" s="24"/>
      <c r="O161" s="24"/>
      <c r="P161" s="31"/>
      <c r="Q161" s="24"/>
      <c r="R161" s="24"/>
      <c r="S161" s="24"/>
      <c r="T161" s="24"/>
      <c r="U161" s="24"/>
      <c r="V161" s="24"/>
      <c r="W161" s="31"/>
      <c r="X161" s="24"/>
      <c r="Y161" s="24"/>
      <c r="Z161" s="24"/>
      <c r="AA161" s="24"/>
      <c r="AB161" s="24"/>
      <c r="AC161" s="24"/>
      <c r="AD161" s="31"/>
      <c r="AE161" s="24"/>
      <c r="AF161" s="24"/>
      <c r="AG161" s="24"/>
      <c r="AH161" s="24"/>
      <c r="AI161" s="24"/>
      <c r="AJ161" s="23"/>
      <c r="AK161" s="31"/>
      <c r="AL161" s="24"/>
      <c r="AM161" s="24"/>
      <c r="AN161" s="24"/>
      <c r="AO161" s="24"/>
      <c r="AP161" s="24"/>
      <c r="AQ161" s="23"/>
      <c r="AR161" s="24"/>
      <c r="AS161" s="24"/>
      <c r="AT161" s="24"/>
      <c r="AU161" s="24"/>
      <c r="AV161" s="24"/>
      <c r="AW161" s="24"/>
      <c r="AX161" s="24"/>
      <c r="AY161" s="24"/>
      <c r="AZ161" s="24"/>
      <c r="BA161" s="24"/>
      <c r="BB161" s="24"/>
      <c r="BC161" s="24"/>
      <c r="BD161" s="24"/>
      <c r="BE161" s="24"/>
      <c r="BF161" s="24"/>
      <c r="BG161" s="24"/>
      <c r="BH161" s="31"/>
      <c r="BI161" s="24"/>
      <c r="BJ161" s="24"/>
      <c r="BK161" s="24"/>
      <c r="BL161" s="23"/>
      <c r="BM161" s="13"/>
      <c r="BO161" s="62"/>
      <c r="BS161" s="172"/>
      <c r="BT161" s="173"/>
      <c r="BU161" s="173"/>
      <c r="BV161" s="173"/>
      <c r="BW161" s="173"/>
      <c r="BX161" s="173"/>
      <c r="BY161" s="173"/>
      <c r="BZ161" s="173"/>
      <c r="CA161" s="173"/>
      <c r="CB161" s="173"/>
      <c r="CC161" s="173"/>
      <c r="CD161" s="174"/>
    </row>
    <row r="162" spans="1:82" s="11" customFormat="1" ht="13.5" customHeight="1">
      <c r="A162" s="28"/>
      <c r="B162" s="31"/>
      <c r="C162" s="24"/>
      <c r="D162" s="24"/>
      <c r="E162" s="24"/>
      <c r="F162" s="24"/>
      <c r="G162" s="24"/>
      <c r="H162" s="23"/>
      <c r="I162" s="24"/>
      <c r="J162" s="24"/>
      <c r="K162" s="24"/>
      <c r="L162" s="24"/>
      <c r="M162" s="24"/>
      <c r="N162" s="24"/>
      <c r="O162" s="24"/>
      <c r="P162" s="31"/>
      <c r="Q162" s="24"/>
      <c r="R162" s="24"/>
      <c r="S162" s="24"/>
      <c r="T162" s="24"/>
      <c r="U162" s="24"/>
      <c r="V162" s="23"/>
      <c r="X162" s="24"/>
      <c r="Y162" s="24"/>
      <c r="Z162" s="24"/>
      <c r="AA162" s="24"/>
      <c r="AB162" s="24"/>
      <c r="AC162" s="24"/>
      <c r="AD162" s="31"/>
      <c r="AE162" s="24"/>
      <c r="AF162" s="24"/>
      <c r="AG162" s="24"/>
      <c r="AH162" s="24"/>
      <c r="AI162" s="24"/>
      <c r="AJ162" s="23"/>
      <c r="AK162" s="31"/>
      <c r="AL162" s="24"/>
      <c r="AM162" s="24"/>
      <c r="AN162" s="24"/>
      <c r="AO162" s="24"/>
      <c r="AP162" s="24"/>
      <c r="AQ162" s="23"/>
      <c r="AR162" s="24"/>
      <c r="AS162" s="24"/>
      <c r="AT162" s="24"/>
      <c r="AU162" s="24"/>
      <c r="AV162" s="24"/>
      <c r="AW162" s="24"/>
      <c r="AX162" s="24"/>
      <c r="AY162" s="24"/>
      <c r="AZ162" s="24"/>
      <c r="BA162" s="24"/>
      <c r="BB162" s="24"/>
      <c r="BC162" s="24"/>
      <c r="BD162" s="24"/>
      <c r="BE162" s="24"/>
      <c r="BF162" s="24"/>
      <c r="BG162" s="24"/>
      <c r="BH162" s="31"/>
      <c r="BI162" s="24"/>
      <c r="BJ162" s="24"/>
      <c r="BK162" s="24"/>
      <c r="BL162" s="23"/>
      <c r="BM162" s="13"/>
      <c r="BO162" s="62"/>
      <c r="BS162" s="172"/>
      <c r="BT162" s="173"/>
      <c r="BU162" s="173"/>
      <c r="BV162" s="173"/>
      <c r="BW162" s="173"/>
      <c r="BX162" s="173"/>
      <c r="BY162" s="173"/>
      <c r="BZ162" s="173"/>
      <c r="CA162" s="173"/>
      <c r="CB162" s="173"/>
      <c r="CC162" s="173"/>
      <c r="CD162" s="174"/>
    </row>
    <row r="163" spans="1:82" s="11" customFormat="1" ht="13.5" customHeight="1">
      <c r="A163" s="28"/>
      <c r="B163" s="31"/>
      <c r="C163" s="24"/>
      <c r="D163" s="24"/>
      <c r="E163" s="24"/>
      <c r="F163" s="24"/>
      <c r="G163" s="24"/>
      <c r="H163" s="23"/>
      <c r="I163" s="24"/>
      <c r="J163" s="24"/>
      <c r="K163" s="24"/>
      <c r="L163" s="24"/>
      <c r="M163" s="24"/>
      <c r="N163" s="24"/>
      <c r="O163" s="24"/>
      <c r="P163" s="31"/>
      <c r="Q163" s="24"/>
      <c r="R163" s="24"/>
      <c r="S163" s="24"/>
      <c r="T163" s="24"/>
      <c r="U163" s="24"/>
      <c r="V163" s="24"/>
      <c r="W163" s="31"/>
      <c r="X163" s="24"/>
      <c r="Y163" s="24"/>
      <c r="Z163" s="24"/>
      <c r="AA163" s="24"/>
      <c r="AB163" s="24"/>
      <c r="AC163" s="24"/>
      <c r="AD163" s="31"/>
      <c r="AE163" s="24"/>
      <c r="AF163" s="24"/>
      <c r="AG163" s="24"/>
      <c r="AH163" s="24"/>
      <c r="AI163" s="24"/>
      <c r="AJ163" s="23"/>
      <c r="AK163" s="31"/>
      <c r="AL163" s="24"/>
      <c r="AM163" s="24"/>
      <c r="AN163" s="24"/>
      <c r="AO163" s="24"/>
      <c r="AP163" s="24"/>
      <c r="AQ163" s="23"/>
      <c r="AR163" s="24"/>
      <c r="AS163" s="24"/>
      <c r="AT163" s="24"/>
      <c r="AU163" s="24"/>
      <c r="AV163" s="24"/>
      <c r="AW163" s="24"/>
      <c r="AX163" s="24"/>
      <c r="AY163" s="24"/>
      <c r="AZ163" s="24"/>
      <c r="BA163" s="24"/>
      <c r="BB163" s="24"/>
      <c r="BC163" s="24"/>
      <c r="BD163" s="24"/>
      <c r="BE163" s="24"/>
      <c r="BF163" s="24"/>
      <c r="BG163" s="24"/>
      <c r="BH163" s="31"/>
      <c r="BI163" s="24"/>
      <c r="BJ163" s="24"/>
      <c r="BK163" s="24"/>
      <c r="BL163" s="23"/>
      <c r="BM163" s="13"/>
      <c r="BO163" s="62"/>
      <c r="BS163" s="172"/>
      <c r="BT163" s="173"/>
      <c r="BU163" s="173"/>
      <c r="BV163" s="173"/>
      <c r="BW163" s="173"/>
      <c r="BX163" s="173"/>
      <c r="BY163" s="173"/>
      <c r="BZ163" s="173"/>
      <c r="CA163" s="173"/>
      <c r="CB163" s="173"/>
      <c r="CC163" s="173"/>
      <c r="CD163" s="174"/>
    </row>
    <row r="164" spans="1:82" s="11" customFormat="1" ht="13.5" customHeight="1">
      <c r="A164" s="28"/>
      <c r="B164" s="31"/>
      <c r="C164" s="24"/>
      <c r="D164" s="24"/>
      <c r="E164" s="24"/>
      <c r="F164" s="24"/>
      <c r="G164" s="24"/>
      <c r="H164" s="23"/>
      <c r="I164" s="24"/>
      <c r="J164" s="24"/>
      <c r="K164" s="24"/>
      <c r="L164" s="24"/>
      <c r="M164" s="24"/>
      <c r="N164" s="24"/>
      <c r="O164" s="24"/>
      <c r="P164" s="31"/>
      <c r="Q164" s="24"/>
      <c r="R164" s="24"/>
      <c r="S164" s="24"/>
      <c r="T164" s="24"/>
      <c r="U164" s="24"/>
      <c r="V164" s="24"/>
      <c r="W164" s="31"/>
      <c r="X164" s="24"/>
      <c r="Y164" s="24"/>
      <c r="Z164" s="24"/>
      <c r="AA164" s="24"/>
      <c r="AB164" s="24"/>
      <c r="AC164" s="24"/>
      <c r="AD164" s="31"/>
      <c r="AE164" s="24"/>
      <c r="AF164" s="24"/>
      <c r="AG164" s="24"/>
      <c r="AH164" s="24"/>
      <c r="AI164" s="24"/>
      <c r="AJ164" s="23"/>
      <c r="AK164" s="31"/>
      <c r="AL164" s="24"/>
      <c r="AM164" s="24"/>
      <c r="AN164" s="24"/>
      <c r="AO164" s="24"/>
      <c r="AP164" s="24"/>
      <c r="AQ164" s="23"/>
      <c r="AR164" s="24"/>
      <c r="AS164" s="24"/>
      <c r="AT164" s="24"/>
      <c r="AU164" s="24"/>
      <c r="AV164" s="24"/>
      <c r="AW164" s="24"/>
      <c r="AX164" s="24"/>
      <c r="AY164" s="24"/>
      <c r="AZ164" s="24"/>
      <c r="BA164" s="24"/>
      <c r="BB164" s="24"/>
      <c r="BC164" s="24"/>
      <c r="BD164" s="24"/>
      <c r="BE164" s="24"/>
      <c r="BF164" s="24"/>
      <c r="BG164" s="24"/>
      <c r="BH164" s="31"/>
      <c r="BI164" s="24"/>
      <c r="BJ164" s="24"/>
      <c r="BK164" s="24"/>
      <c r="BL164" s="23"/>
      <c r="BM164" s="13"/>
      <c r="BO164" s="62"/>
      <c r="BS164" s="172"/>
      <c r="BT164" s="173"/>
      <c r="BU164" s="173"/>
      <c r="BV164" s="173"/>
      <c r="BW164" s="173"/>
      <c r="BX164" s="173"/>
      <c r="BY164" s="173"/>
      <c r="BZ164" s="173"/>
      <c r="CA164" s="173"/>
      <c r="CB164" s="173"/>
      <c r="CC164" s="173"/>
      <c r="CD164" s="174"/>
    </row>
    <row r="165" spans="1:82" s="11" customFormat="1" ht="13.5" customHeight="1">
      <c r="A165" s="28"/>
      <c r="B165" s="33"/>
      <c r="C165"/>
      <c r="D165"/>
      <c r="E165"/>
      <c r="F165"/>
      <c r="G165"/>
      <c r="H165" s="22"/>
      <c r="I165"/>
      <c r="J165"/>
      <c r="K165"/>
      <c r="L165"/>
      <c r="M165"/>
      <c r="N165"/>
      <c r="O165"/>
      <c r="P165" s="33"/>
      <c r="Q165"/>
      <c r="R165"/>
      <c r="S165"/>
      <c r="T165"/>
      <c r="U165"/>
      <c r="V165"/>
      <c r="W165" s="33"/>
      <c r="X165"/>
      <c r="Y165"/>
      <c r="Z165"/>
      <c r="AA165"/>
      <c r="AB165"/>
      <c r="AC165"/>
      <c r="AD165" s="33"/>
      <c r="AE165"/>
      <c r="AF165"/>
      <c r="AG165"/>
      <c r="AH165"/>
      <c r="AI165"/>
      <c r="AJ165" s="22"/>
      <c r="AK165" s="33"/>
      <c r="AL165"/>
      <c r="AM165"/>
      <c r="AN165"/>
      <c r="AO165"/>
      <c r="AP165"/>
      <c r="AQ165" s="22"/>
      <c r="BH165" s="34"/>
      <c r="BL165" s="13"/>
      <c r="BM165" s="13"/>
      <c r="BO165" s="62"/>
      <c r="BS165" s="172"/>
      <c r="BT165" s="173"/>
      <c r="BU165" s="173"/>
      <c r="BV165" s="173"/>
      <c r="BW165" s="173"/>
      <c r="BX165" s="173"/>
      <c r="BY165" s="173"/>
      <c r="BZ165" s="173"/>
      <c r="CA165" s="173"/>
      <c r="CB165" s="173"/>
      <c r="CC165" s="173"/>
      <c r="CD165" s="174"/>
    </row>
    <row r="166" spans="1:82" s="11" customFormat="1">
      <c r="A166" s="28"/>
      <c r="B166" s="34"/>
      <c r="H166" s="13"/>
      <c r="P166" s="34"/>
      <c r="W166" s="34"/>
      <c r="AD166" s="34"/>
      <c r="AJ166" s="13"/>
      <c r="AK166" s="34"/>
      <c r="AQ166" s="13"/>
      <c r="AS166" s="25" t="s">
        <v>294</v>
      </c>
      <c r="BH166" s="89" t="s">
        <v>295</v>
      </c>
      <c r="BL166" s="13"/>
      <c r="BM166" s="13"/>
      <c r="BO166" s="175" t="s">
        <v>296</v>
      </c>
      <c r="BP166" s="176"/>
      <c r="BQ166" s="176"/>
      <c r="BR166" s="177"/>
      <c r="BS166" s="178" t="s">
        <v>297</v>
      </c>
      <c r="BT166" s="179"/>
      <c r="BU166" s="179"/>
      <c r="BV166" s="179"/>
      <c r="BW166" s="179"/>
      <c r="BX166" s="179"/>
      <c r="BY166" s="179"/>
      <c r="BZ166" s="179"/>
      <c r="CA166" s="179"/>
      <c r="CB166" s="179"/>
      <c r="CC166" s="179"/>
      <c r="CD166" s="180"/>
    </row>
    <row r="167" spans="1:82" ht="13.5" customHeight="1">
      <c r="A167" s="27"/>
      <c r="B167" s="27"/>
      <c r="H167" s="14"/>
      <c r="P167" s="27"/>
      <c r="W167" s="27"/>
      <c r="AD167" s="27"/>
      <c r="AJ167" s="14"/>
      <c r="AK167" s="27"/>
      <c r="AQ167" s="14"/>
      <c r="AS167" s="11"/>
      <c r="AT167" s="8" t="s">
        <v>298</v>
      </c>
      <c r="AU167" s="11"/>
      <c r="BH167" s="34"/>
      <c r="BL167" s="14"/>
      <c r="BM167" s="14"/>
      <c r="BO167" s="175"/>
      <c r="BP167" s="176"/>
      <c r="BQ167" s="176"/>
      <c r="BR167" s="177"/>
      <c r="BS167" s="178"/>
      <c r="BT167" s="179"/>
      <c r="BU167" s="179"/>
      <c r="BV167" s="179"/>
      <c r="BW167" s="179"/>
      <c r="BX167" s="179"/>
      <c r="BY167" s="179"/>
      <c r="BZ167" s="179"/>
      <c r="CA167" s="179"/>
      <c r="CB167" s="179"/>
      <c r="CC167" s="179"/>
      <c r="CD167" s="180"/>
    </row>
    <row r="168" spans="1:82" ht="13.5" customHeight="1">
      <c r="A168" s="27"/>
      <c r="B168" s="27"/>
      <c r="H168" s="14"/>
      <c r="P168" s="27"/>
      <c r="W168" s="27"/>
      <c r="AD168" s="27"/>
      <c r="AJ168" s="14"/>
      <c r="AK168" s="27"/>
      <c r="AQ168" s="14"/>
      <c r="AT168" s="8" t="s">
        <v>299</v>
      </c>
      <c r="BH168" s="27"/>
      <c r="BL168" s="14"/>
      <c r="BM168" s="14"/>
      <c r="BO168" s="175"/>
      <c r="BP168" s="176"/>
      <c r="BQ168" s="176"/>
      <c r="BR168" s="177"/>
      <c r="BS168" s="178"/>
      <c r="BT168" s="179"/>
      <c r="BU168" s="179"/>
      <c r="BV168" s="179"/>
      <c r="BW168" s="179"/>
      <c r="BX168" s="179"/>
      <c r="BY168" s="179"/>
      <c r="BZ168" s="179"/>
      <c r="CA168" s="179"/>
      <c r="CB168" s="179"/>
      <c r="CC168" s="179"/>
      <c r="CD168" s="180"/>
    </row>
    <row r="169" spans="1:82" ht="13.5" customHeight="1">
      <c r="A169" s="27"/>
      <c r="B169" s="27"/>
      <c r="H169" s="14"/>
      <c r="P169" s="27"/>
      <c r="W169" s="27"/>
      <c r="AD169" s="27"/>
      <c r="AJ169" s="14"/>
      <c r="AK169" s="27"/>
      <c r="AQ169" s="14"/>
      <c r="AT169" s="8" t="s">
        <v>138</v>
      </c>
      <c r="AU169" s="8" t="s">
        <v>300</v>
      </c>
      <c r="BH169" s="27"/>
      <c r="BL169" s="14"/>
      <c r="BM169" s="14"/>
      <c r="BO169" s="175"/>
      <c r="BP169" s="176"/>
      <c r="BQ169" s="176"/>
      <c r="BR169" s="177"/>
      <c r="BS169" s="178"/>
      <c r="BT169" s="179"/>
      <c r="BU169" s="179"/>
      <c r="BV169" s="179"/>
      <c r="BW169" s="179"/>
      <c r="BX169" s="179"/>
      <c r="BY169" s="179"/>
      <c r="BZ169" s="179"/>
      <c r="CA169" s="179"/>
      <c r="CB169" s="179"/>
      <c r="CC169" s="179"/>
      <c r="CD169" s="180"/>
    </row>
    <row r="170" spans="1:82" ht="13.5" customHeight="1">
      <c r="A170" s="27"/>
      <c r="B170" s="27"/>
      <c r="H170" s="14"/>
      <c r="P170" s="27"/>
      <c r="W170" s="27"/>
      <c r="AD170" s="27"/>
      <c r="AJ170" s="14"/>
      <c r="AK170" s="27"/>
      <c r="AQ170" s="14"/>
      <c r="AU170" s="8" t="s">
        <v>301</v>
      </c>
      <c r="BA170" s="8" t="s">
        <v>302</v>
      </c>
      <c r="BH170" s="27"/>
      <c r="BL170" s="14"/>
      <c r="BM170" s="14"/>
      <c r="BO170" s="175"/>
      <c r="BP170" s="176"/>
      <c r="BQ170" s="176"/>
      <c r="BR170" s="177"/>
      <c r="BS170" s="178"/>
      <c r="BT170" s="179"/>
      <c r="BU170" s="179"/>
      <c r="BV170" s="179"/>
      <c r="BW170" s="179"/>
      <c r="BX170" s="179"/>
      <c r="BY170" s="179"/>
      <c r="BZ170" s="179"/>
      <c r="CA170" s="179"/>
      <c r="CB170" s="179"/>
      <c r="CC170" s="179"/>
      <c r="CD170" s="180"/>
    </row>
    <row r="171" spans="1:82" ht="13.5" customHeight="1">
      <c r="A171" s="27"/>
      <c r="B171" s="27"/>
      <c r="H171" s="14"/>
      <c r="P171" s="27"/>
      <c r="W171" s="27"/>
      <c r="AD171" s="27"/>
      <c r="AJ171" s="14"/>
      <c r="AK171" s="27"/>
      <c r="AQ171" s="14"/>
      <c r="AU171" s="8" t="s">
        <v>303</v>
      </c>
      <c r="BA171" s="8" t="s">
        <v>304</v>
      </c>
      <c r="BH171" s="27"/>
      <c r="BL171" s="14"/>
      <c r="BM171" s="14"/>
      <c r="BO171" s="175"/>
      <c r="BP171" s="176"/>
      <c r="BQ171" s="176"/>
      <c r="BR171" s="177"/>
      <c r="BS171" s="178"/>
      <c r="BT171" s="179"/>
      <c r="BU171" s="179"/>
      <c r="BV171" s="179"/>
      <c r="BW171" s="179"/>
      <c r="BX171" s="179"/>
      <c r="BY171" s="179"/>
      <c r="BZ171" s="179"/>
      <c r="CA171" s="179"/>
      <c r="CB171" s="179"/>
      <c r="CC171" s="179"/>
      <c r="CD171" s="180"/>
    </row>
    <row r="172" spans="1:82" ht="13.5" customHeight="1">
      <c r="A172" s="27"/>
      <c r="B172" s="27"/>
      <c r="H172" s="14"/>
      <c r="P172" s="27"/>
      <c r="W172" s="27"/>
      <c r="AD172" s="27"/>
      <c r="AJ172" s="14"/>
      <c r="AK172" s="27"/>
      <c r="AQ172" s="14"/>
      <c r="AU172" s="8" t="s">
        <v>305</v>
      </c>
      <c r="BA172" s="8" t="s">
        <v>306</v>
      </c>
      <c r="BH172" s="27"/>
      <c r="BL172" s="14"/>
      <c r="BM172" s="14"/>
      <c r="BO172" s="175"/>
      <c r="BP172" s="176"/>
      <c r="BQ172" s="176"/>
      <c r="BR172" s="177"/>
      <c r="BS172" s="178"/>
      <c r="BT172" s="179"/>
      <c r="BU172" s="179"/>
      <c r="BV172" s="179"/>
      <c r="BW172" s="179"/>
      <c r="BX172" s="179"/>
      <c r="BY172" s="179"/>
      <c r="BZ172" s="179"/>
      <c r="CA172" s="179"/>
      <c r="CB172" s="179"/>
      <c r="CC172" s="179"/>
      <c r="CD172" s="180"/>
    </row>
    <row r="173" spans="1:82" ht="13.5" customHeight="1">
      <c r="A173" s="27"/>
      <c r="B173" s="27"/>
      <c r="H173" s="14"/>
      <c r="P173" s="27"/>
      <c r="W173" s="27"/>
      <c r="AD173" s="27"/>
      <c r="AJ173" s="14"/>
      <c r="AK173" s="27"/>
      <c r="AQ173" s="14"/>
      <c r="AU173" s="8" t="s">
        <v>307</v>
      </c>
      <c r="BA173" s="8" t="s">
        <v>308</v>
      </c>
      <c r="BH173" s="27"/>
      <c r="BL173" s="14"/>
      <c r="BM173" s="14"/>
      <c r="BO173" s="175"/>
      <c r="BP173" s="176"/>
      <c r="BQ173" s="176"/>
      <c r="BR173" s="177"/>
      <c r="BS173" s="178"/>
      <c r="BT173" s="179"/>
      <c r="BU173" s="179"/>
      <c r="BV173" s="179"/>
      <c r="BW173" s="179"/>
      <c r="BX173" s="179"/>
      <c r="BY173" s="179"/>
      <c r="BZ173" s="179"/>
      <c r="CA173" s="179"/>
      <c r="CB173" s="179"/>
      <c r="CC173" s="179"/>
      <c r="CD173" s="180"/>
    </row>
    <row r="174" spans="1:82" ht="13.5" customHeight="1">
      <c r="A174" s="27"/>
      <c r="B174" s="27"/>
      <c r="H174" s="14"/>
      <c r="P174" s="27"/>
      <c r="W174" s="27"/>
      <c r="AD174" s="27"/>
      <c r="AJ174" s="14"/>
      <c r="AK174" s="27"/>
      <c r="AQ174" s="14"/>
      <c r="AS174" s="11"/>
      <c r="AT174" s="11"/>
      <c r="AU174" s="8" t="s">
        <v>309</v>
      </c>
      <c r="BH174" s="27"/>
      <c r="BL174" s="14"/>
      <c r="BM174" s="14"/>
      <c r="BO174" s="175"/>
      <c r="BP174" s="176"/>
      <c r="BQ174" s="176"/>
      <c r="BR174" s="177"/>
      <c r="BS174" s="178"/>
      <c r="BT174" s="179"/>
      <c r="BU174" s="179"/>
      <c r="BV174" s="179"/>
      <c r="BW174" s="179"/>
      <c r="BX174" s="179"/>
      <c r="BY174" s="179"/>
      <c r="BZ174" s="179"/>
      <c r="CA174" s="179"/>
      <c r="CB174" s="179"/>
      <c r="CC174" s="179"/>
      <c r="CD174" s="180"/>
    </row>
    <row r="175" spans="1:82" ht="13.5" customHeight="1">
      <c r="A175" s="27"/>
      <c r="B175" s="27"/>
      <c r="H175" s="14"/>
      <c r="P175" s="27"/>
      <c r="W175" s="27"/>
      <c r="AD175" s="27"/>
      <c r="AJ175" s="14"/>
      <c r="AK175" s="27"/>
      <c r="AQ175" s="14"/>
      <c r="AS175" s="11"/>
      <c r="AT175" s="11"/>
      <c r="AU175" s="11"/>
      <c r="AV175" s="11"/>
      <c r="BH175" s="27"/>
      <c r="BL175" s="14"/>
      <c r="BM175" s="14"/>
      <c r="BO175" s="175"/>
      <c r="BP175" s="176"/>
      <c r="BQ175" s="176"/>
      <c r="BR175" s="177"/>
      <c r="BS175" s="178"/>
      <c r="BT175" s="179"/>
      <c r="BU175" s="179"/>
      <c r="BV175" s="179"/>
      <c r="BW175" s="179"/>
      <c r="BX175" s="179"/>
      <c r="BY175" s="179"/>
      <c r="BZ175" s="179"/>
      <c r="CA175" s="179"/>
      <c r="CB175" s="179"/>
      <c r="CC175" s="179"/>
      <c r="CD175" s="180"/>
    </row>
    <row r="176" spans="1:82" ht="13.5" customHeight="1">
      <c r="A176" s="27"/>
      <c r="B176" s="27"/>
      <c r="H176" s="14"/>
      <c r="P176" s="27"/>
      <c r="W176" s="27"/>
      <c r="AD176" s="27"/>
      <c r="AJ176" s="14"/>
      <c r="AK176" s="27"/>
      <c r="AQ176" s="14"/>
      <c r="AS176" s="11"/>
      <c r="AT176" s="8" t="s">
        <v>138</v>
      </c>
      <c r="AU176" s="8" t="s">
        <v>310</v>
      </c>
      <c r="BH176" s="27"/>
      <c r="BL176" s="14"/>
      <c r="BM176" s="14"/>
      <c r="BO176" s="175"/>
      <c r="BP176" s="176"/>
      <c r="BQ176" s="176"/>
      <c r="BR176" s="177"/>
      <c r="BS176" s="178"/>
      <c r="BT176" s="179"/>
      <c r="BU176" s="179"/>
      <c r="BV176" s="179"/>
      <c r="BW176" s="179"/>
      <c r="BX176" s="179"/>
      <c r="BY176" s="179"/>
      <c r="BZ176" s="179"/>
      <c r="CA176" s="179"/>
      <c r="CB176" s="179"/>
      <c r="CC176" s="179"/>
      <c r="CD176" s="180"/>
    </row>
    <row r="177" spans="1:82" ht="13.5" customHeight="1">
      <c r="A177" s="27"/>
      <c r="B177" s="27"/>
      <c r="H177" s="14"/>
      <c r="P177" s="27"/>
      <c r="W177" s="27"/>
      <c r="AD177" s="27"/>
      <c r="AJ177" s="14"/>
      <c r="AK177" s="27"/>
      <c r="AQ177" s="14"/>
      <c r="AS177" s="11"/>
      <c r="AT177" s="11"/>
      <c r="AU177" s="8" t="s">
        <v>311</v>
      </c>
      <c r="BA177" s="8" t="s">
        <v>302</v>
      </c>
      <c r="BH177" s="27"/>
      <c r="BL177" s="14"/>
      <c r="BM177" s="14"/>
      <c r="BO177" s="175"/>
      <c r="BP177" s="176"/>
      <c r="BQ177" s="176"/>
      <c r="BR177" s="177"/>
      <c r="BS177" s="178"/>
      <c r="BT177" s="179"/>
      <c r="BU177" s="179"/>
      <c r="BV177" s="179"/>
      <c r="BW177" s="179"/>
      <c r="BX177" s="179"/>
      <c r="BY177" s="179"/>
      <c r="BZ177" s="179"/>
      <c r="CA177" s="179"/>
      <c r="CB177" s="179"/>
      <c r="CC177" s="179"/>
      <c r="CD177" s="180"/>
    </row>
    <row r="178" spans="1:82" ht="13.5" customHeight="1">
      <c r="A178" s="27"/>
      <c r="B178" s="27"/>
      <c r="H178" s="14"/>
      <c r="P178" s="27"/>
      <c r="W178" s="27"/>
      <c r="AD178" s="27"/>
      <c r="AJ178" s="14"/>
      <c r="AK178" s="27"/>
      <c r="AQ178" s="14"/>
      <c r="AS178" s="11"/>
      <c r="AT178" s="11"/>
      <c r="AU178" s="8" t="s">
        <v>312</v>
      </c>
      <c r="BA178" s="8" t="s">
        <v>302</v>
      </c>
      <c r="BH178" s="27"/>
      <c r="BL178" s="14"/>
      <c r="BM178" s="14"/>
      <c r="BO178" s="175"/>
      <c r="BP178" s="176"/>
      <c r="BQ178" s="176"/>
      <c r="BR178" s="177"/>
      <c r="BS178" s="178"/>
      <c r="BT178" s="179"/>
      <c r="BU178" s="179"/>
      <c r="BV178" s="179"/>
      <c r="BW178" s="179"/>
      <c r="BX178" s="179"/>
      <c r="BY178" s="179"/>
      <c r="BZ178" s="179"/>
      <c r="CA178" s="179"/>
      <c r="CB178" s="179"/>
      <c r="CC178" s="179"/>
      <c r="CD178" s="180"/>
    </row>
    <row r="179" spans="1:82" ht="13.5" customHeight="1">
      <c r="A179" s="27"/>
      <c r="B179" s="27"/>
      <c r="H179" s="14"/>
      <c r="P179" s="27"/>
      <c r="W179" s="27"/>
      <c r="AD179" s="27"/>
      <c r="AJ179" s="14"/>
      <c r="AK179" s="27"/>
      <c r="AQ179" s="14"/>
      <c r="AS179" s="11"/>
      <c r="AT179" s="11"/>
      <c r="AU179" s="8" t="s">
        <v>313</v>
      </c>
      <c r="BA179" s="8" t="s">
        <v>302</v>
      </c>
      <c r="BH179" s="27"/>
      <c r="BL179" s="14"/>
      <c r="BM179" s="14"/>
      <c r="BO179" s="175"/>
      <c r="BP179" s="176"/>
      <c r="BQ179" s="176"/>
      <c r="BR179" s="177"/>
      <c r="BS179" s="178"/>
      <c r="BT179" s="179"/>
      <c r="BU179" s="179"/>
      <c r="BV179" s="179"/>
      <c r="BW179" s="179"/>
      <c r="BX179" s="179"/>
      <c r="BY179" s="179"/>
      <c r="BZ179" s="179"/>
      <c r="CA179" s="179"/>
      <c r="CB179" s="179"/>
      <c r="CC179" s="179"/>
      <c r="CD179" s="180"/>
    </row>
    <row r="180" spans="1:82" ht="13.5" customHeight="1">
      <c r="A180" s="27"/>
      <c r="B180" s="27"/>
      <c r="H180" s="14"/>
      <c r="P180" s="27"/>
      <c r="W180" s="27"/>
      <c r="AD180" s="27"/>
      <c r="AJ180" s="14"/>
      <c r="AK180" s="27"/>
      <c r="AQ180" s="14"/>
      <c r="AS180" s="11"/>
      <c r="AT180" s="11"/>
      <c r="AU180" s="69" t="s">
        <v>314</v>
      </c>
      <c r="BA180" s="8" t="s">
        <v>306</v>
      </c>
      <c r="BH180" s="27"/>
      <c r="BL180" s="14"/>
      <c r="BM180" s="14"/>
      <c r="BO180" s="175"/>
      <c r="BP180" s="176"/>
      <c r="BQ180" s="176"/>
      <c r="BR180" s="177"/>
      <c r="BS180" s="178"/>
      <c r="BT180" s="179"/>
      <c r="BU180" s="179"/>
      <c r="BV180" s="179"/>
      <c r="BW180" s="179"/>
      <c r="BX180" s="179"/>
      <c r="BY180" s="179"/>
      <c r="BZ180" s="179"/>
      <c r="CA180" s="179"/>
      <c r="CB180" s="179"/>
      <c r="CC180" s="179"/>
      <c r="CD180" s="180"/>
    </row>
    <row r="181" spans="1:82" ht="13.5" customHeight="1">
      <c r="A181" s="27"/>
      <c r="B181" s="27"/>
      <c r="H181" s="14"/>
      <c r="P181" s="27"/>
      <c r="W181" s="27"/>
      <c r="AD181" s="27"/>
      <c r="AJ181" s="14"/>
      <c r="AK181" s="27"/>
      <c r="AQ181" s="14"/>
      <c r="AS181" s="11"/>
      <c r="AT181" s="11"/>
      <c r="AU181" s="69" t="s">
        <v>315</v>
      </c>
      <c r="AV181" s="11"/>
      <c r="BA181" s="8" t="s">
        <v>306</v>
      </c>
      <c r="BH181" s="27"/>
      <c r="BL181" s="14"/>
      <c r="BM181" s="14"/>
      <c r="BO181" s="175"/>
      <c r="BP181" s="176"/>
      <c r="BQ181" s="176"/>
      <c r="BR181" s="177"/>
      <c r="BS181" s="178"/>
      <c r="BT181" s="179"/>
      <c r="BU181" s="179"/>
      <c r="BV181" s="179"/>
      <c r="BW181" s="179"/>
      <c r="BX181" s="179"/>
      <c r="BY181" s="179"/>
      <c r="BZ181" s="179"/>
      <c r="CA181" s="179"/>
      <c r="CB181" s="179"/>
      <c r="CC181" s="179"/>
      <c r="CD181" s="180"/>
    </row>
    <row r="182" spans="1:82" ht="13.5" customHeight="1">
      <c r="A182" s="27"/>
      <c r="B182" s="27"/>
      <c r="H182" s="14"/>
      <c r="P182" s="27"/>
      <c r="W182" s="27"/>
      <c r="AD182" s="27"/>
      <c r="AJ182" s="14"/>
      <c r="AK182" s="27"/>
      <c r="AQ182" s="14"/>
      <c r="AS182" s="11"/>
      <c r="AT182" s="11"/>
      <c r="BH182" s="27"/>
      <c r="BL182" s="14"/>
      <c r="BM182" s="14"/>
      <c r="BO182" s="175"/>
      <c r="BP182" s="176"/>
      <c r="BQ182" s="176"/>
      <c r="BR182" s="177"/>
      <c r="BS182" s="178"/>
      <c r="BT182" s="179"/>
      <c r="BU182" s="179"/>
      <c r="BV182" s="179"/>
      <c r="BW182" s="179"/>
      <c r="BX182" s="179"/>
      <c r="BY182" s="179"/>
      <c r="BZ182" s="179"/>
      <c r="CA182" s="179"/>
      <c r="CB182" s="179"/>
      <c r="CC182" s="179"/>
      <c r="CD182" s="180"/>
    </row>
    <row r="183" spans="1:82" ht="13.5" customHeight="1">
      <c r="A183" s="27"/>
      <c r="B183" s="27"/>
      <c r="H183" s="14"/>
      <c r="P183" s="27"/>
      <c r="W183" s="27"/>
      <c r="AD183" s="27"/>
      <c r="AJ183" s="14"/>
      <c r="AK183" s="27"/>
      <c r="AQ183" s="14"/>
      <c r="AS183" s="11"/>
      <c r="AT183" s="11"/>
      <c r="AU183" s="11"/>
      <c r="AV183" s="11"/>
      <c r="BH183" s="27"/>
      <c r="BL183" s="14"/>
      <c r="BM183" s="14"/>
      <c r="BO183" s="175"/>
      <c r="BP183" s="176"/>
      <c r="BQ183" s="176"/>
      <c r="BR183" s="177"/>
      <c r="BS183" s="178"/>
      <c r="BT183" s="179"/>
      <c r="BU183" s="179"/>
      <c r="BV183" s="179"/>
      <c r="BW183" s="179"/>
      <c r="BX183" s="179"/>
      <c r="BY183" s="179"/>
      <c r="BZ183" s="179"/>
      <c r="CA183" s="179"/>
      <c r="CB183" s="179"/>
      <c r="CC183" s="179"/>
      <c r="CD183" s="180"/>
    </row>
    <row r="184" spans="1:82" ht="13.5" customHeight="1">
      <c r="A184" s="27"/>
      <c r="B184" s="27"/>
      <c r="H184" s="14"/>
      <c r="P184" s="27"/>
      <c r="W184" s="27"/>
      <c r="AD184" s="27"/>
      <c r="AJ184" s="14"/>
      <c r="AK184" s="27"/>
      <c r="AQ184" s="14"/>
      <c r="BH184" s="27"/>
      <c r="BL184" s="14"/>
      <c r="BM184" s="14"/>
      <c r="BO184" s="175"/>
      <c r="BP184" s="176"/>
      <c r="BQ184" s="176"/>
      <c r="BR184" s="177"/>
      <c r="BS184" s="178"/>
      <c r="BT184" s="179"/>
      <c r="BU184" s="179"/>
      <c r="BV184" s="179"/>
      <c r="BW184" s="179"/>
      <c r="BX184" s="179"/>
      <c r="BY184" s="179"/>
      <c r="BZ184" s="179"/>
      <c r="CA184" s="179"/>
      <c r="CB184" s="179"/>
      <c r="CC184" s="179"/>
      <c r="CD184" s="180"/>
    </row>
    <row r="185" spans="1:82" ht="13.5" customHeight="1">
      <c r="A185" s="27"/>
      <c r="B185" s="27"/>
      <c r="H185" s="14"/>
      <c r="P185" s="27"/>
      <c r="W185" s="27"/>
      <c r="AD185" s="27"/>
      <c r="AJ185" s="14"/>
      <c r="AK185" s="27"/>
      <c r="AQ185" s="14"/>
      <c r="AS185" s="25" t="s">
        <v>316</v>
      </c>
      <c r="AT185" s="11"/>
      <c r="AU185" s="11"/>
      <c r="AV185" s="11"/>
      <c r="AW185" s="11"/>
      <c r="BH185" s="27"/>
      <c r="BL185" s="14"/>
      <c r="BM185" s="14"/>
      <c r="BO185" s="175"/>
      <c r="BP185" s="176"/>
      <c r="BQ185" s="176"/>
      <c r="BR185" s="177"/>
      <c r="BS185" s="178"/>
      <c r="BT185" s="179"/>
      <c r="BU185" s="179"/>
      <c r="BV185" s="179"/>
      <c r="BW185" s="179"/>
      <c r="BX185" s="179"/>
      <c r="BY185" s="179"/>
      <c r="BZ185" s="179"/>
      <c r="CA185" s="179"/>
      <c r="CB185" s="179"/>
      <c r="CC185" s="179"/>
      <c r="CD185" s="180"/>
    </row>
    <row r="186" spans="1:82" ht="13.5" customHeight="1">
      <c r="A186" s="27"/>
      <c r="B186" s="27"/>
      <c r="H186" s="14"/>
      <c r="P186" s="27"/>
      <c r="W186" s="27"/>
      <c r="AD186" s="27"/>
      <c r="AJ186" s="14"/>
      <c r="AK186" s="27"/>
      <c r="AQ186" s="14"/>
      <c r="AS186" s="11"/>
      <c r="AT186" s="8" t="s">
        <v>317</v>
      </c>
      <c r="AU186" s="11"/>
      <c r="AV186" s="11"/>
      <c r="BH186" s="27"/>
      <c r="BL186" s="14"/>
      <c r="BM186" s="14"/>
      <c r="BO186" s="175"/>
      <c r="BP186" s="176"/>
      <c r="BQ186" s="176"/>
      <c r="BR186" s="177"/>
      <c r="BS186" s="178"/>
      <c r="BT186" s="179"/>
      <c r="BU186" s="179"/>
      <c r="BV186" s="179"/>
      <c r="BW186" s="179"/>
      <c r="BX186" s="179"/>
      <c r="BY186" s="179"/>
      <c r="BZ186" s="179"/>
      <c r="CA186" s="179"/>
      <c r="CB186" s="179"/>
      <c r="CC186" s="179"/>
      <c r="CD186" s="180"/>
    </row>
    <row r="187" spans="1:82" ht="13.5" customHeight="1">
      <c r="A187" s="27"/>
      <c r="B187" s="27"/>
      <c r="H187" s="14"/>
      <c r="P187" s="27"/>
      <c r="W187" s="27"/>
      <c r="AD187" s="27"/>
      <c r="AJ187" s="14"/>
      <c r="AK187" s="27"/>
      <c r="AQ187" s="14"/>
      <c r="AS187" s="11"/>
      <c r="AT187" s="8" t="s">
        <v>318</v>
      </c>
      <c r="AU187" s="11"/>
      <c r="AV187" s="11"/>
      <c r="BH187" s="27"/>
      <c r="BL187" s="14"/>
      <c r="BM187" s="14"/>
      <c r="BO187" s="175"/>
      <c r="BP187" s="176"/>
      <c r="BQ187" s="176"/>
      <c r="BR187" s="177"/>
      <c r="BS187" s="178"/>
      <c r="BT187" s="179"/>
      <c r="BU187" s="179"/>
      <c r="BV187" s="179"/>
      <c r="BW187" s="179"/>
      <c r="BX187" s="179"/>
      <c r="BY187" s="179"/>
      <c r="BZ187" s="179"/>
      <c r="CA187" s="179"/>
      <c r="CB187" s="179"/>
      <c r="CC187" s="179"/>
      <c r="CD187" s="180"/>
    </row>
    <row r="188" spans="1:82" ht="13.5" customHeight="1">
      <c r="A188" s="27"/>
      <c r="B188" s="27"/>
      <c r="H188" s="14"/>
      <c r="P188" s="27"/>
      <c r="W188" s="27"/>
      <c r="AD188" s="27"/>
      <c r="AJ188" s="14"/>
      <c r="AK188" s="27"/>
      <c r="AQ188" s="14"/>
      <c r="AS188" s="11"/>
      <c r="AT188" s="11" t="s">
        <v>319</v>
      </c>
      <c r="AU188" s="11"/>
      <c r="AV188" s="11"/>
      <c r="BH188" s="27"/>
      <c r="BL188" s="14"/>
      <c r="BM188" s="14"/>
      <c r="BO188" s="175"/>
      <c r="BP188" s="176"/>
      <c r="BQ188" s="176"/>
      <c r="BR188" s="177"/>
      <c r="BS188" s="178"/>
      <c r="BT188" s="179"/>
      <c r="BU188" s="179"/>
      <c r="BV188" s="179"/>
      <c r="BW188" s="179"/>
      <c r="BX188" s="179"/>
      <c r="BY188" s="179"/>
      <c r="BZ188" s="179"/>
      <c r="CA188" s="179"/>
      <c r="CB188" s="179"/>
      <c r="CC188" s="179"/>
      <c r="CD188" s="180"/>
    </row>
    <row r="189" spans="1:82" ht="13.5" customHeight="1">
      <c r="A189" s="27"/>
      <c r="B189" s="27"/>
      <c r="H189" s="14"/>
      <c r="P189" s="27"/>
      <c r="W189" s="27"/>
      <c r="AD189" s="27"/>
      <c r="AJ189" s="14"/>
      <c r="AK189" s="27"/>
      <c r="AQ189" s="14"/>
      <c r="AS189" s="11"/>
      <c r="AT189" s="11" t="s">
        <v>138</v>
      </c>
      <c r="AU189" s="11" t="s">
        <v>320</v>
      </c>
      <c r="AV189" s="11"/>
      <c r="BH189" s="27"/>
      <c r="BL189" s="14"/>
      <c r="BM189" s="14"/>
      <c r="BO189" s="175"/>
      <c r="BP189" s="176"/>
      <c r="BQ189" s="176"/>
      <c r="BR189" s="177"/>
      <c r="BS189" s="178"/>
      <c r="BT189" s="179"/>
      <c r="BU189" s="179"/>
      <c r="BV189" s="179"/>
      <c r="BW189" s="179"/>
      <c r="BX189" s="179"/>
      <c r="BY189" s="179"/>
      <c r="BZ189" s="179"/>
      <c r="CA189" s="179"/>
      <c r="CB189" s="179"/>
      <c r="CC189" s="179"/>
      <c r="CD189" s="180"/>
    </row>
    <row r="190" spans="1:82" ht="13.5" customHeight="1">
      <c r="A190" s="27"/>
      <c r="B190" s="27"/>
      <c r="H190" s="14"/>
      <c r="P190" s="27"/>
      <c r="W190" s="27"/>
      <c r="AD190" s="27"/>
      <c r="AJ190" s="14"/>
      <c r="AK190" s="27"/>
      <c r="AQ190" s="14"/>
      <c r="AS190" s="11"/>
      <c r="AT190" s="11"/>
      <c r="AU190" s="11" t="s">
        <v>321</v>
      </c>
      <c r="AV190" s="11"/>
      <c r="BH190" s="27"/>
      <c r="BL190" s="14"/>
      <c r="BM190" s="14"/>
      <c r="BO190" s="175"/>
      <c r="BP190" s="176"/>
      <c r="BQ190" s="176"/>
      <c r="BR190" s="177"/>
      <c r="BS190" s="178"/>
      <c r="BT190" s="179"/>
      <c r="BU190" s="179"/>
      <c r="BV190" s="179"/>
      <c r="BW190" s="179"/>
      <c r="BX190" s="179"/>
      <c r="BY190" s="179"/>
      <c r="BZ190" s="179"/>
      <c r="CA190" s="179"/>
      <c r="CB190" s="179"/>
      <c r="CC190" s="179"/>
      <c r="CD190" s="180"/>
    </row>
    <row r="191" spans="1:82" ht="13.5" customHeight="1">
      <c r="A191" s="27"/>
      <c r="B191" s="27"/>
      <c r="H191" s="14"/>
      <c r="P191" s="27"/>
      <c r="W191" s="27"/>
      <c r="AD191" s="27"/>
      <c r="AJ191" s="14"/>
      <c r="AK191" s="27"/>
      <c r="AQ191" s="14"/>
      <c r="AS191" s="11"/>
      <c r="AT191" s="11" t="s">
        <v>138</v>
      </c>
      <c r="AU191" s="11" t="s">
        <v>322</v>
      </c>
      <c r="AV191" s="11"/>
      <c r="BH191" s="27"/>
      <c r="BL191" s="14"/>
      <c r="BM191" s="14"/>
      <c r="BO191" s="175"/>
      <c r="BP191" s="176"/>
      <c r="BQ191" s="176"/>
      <c r="BR191" s="177"/>
      <c r="BS191" s="178"/>
      <c r="BT191" s="179"/>
      <c r="BU191" s="179"/>
      <c r="BV191" s="179"/>
      <c r="BW191" s="179"/>
      <c r="BX191" s="179"/>
      <c r="BY191" s="179"/>
      <c r="BZ191" s="179"/>
      <c r="CA191" s="179"/>
      <c r="CB191" s="179"/>
      <c r="CC191" s="179"/>
      <c r="CD191" s="180"/>
    </row>
    <row r="192" spans="1:82" ht="13.5" customHeight="1">
      <c r="A192" s="27"/>
      <c r="B192" s="27"/>
      <c r="H192" s="14"/>
      <c r="P192" s="27"/>
      <c r="W192" s="27"/>
      <c r="AD192" s="27"/>
      <c r="AJ192" s="14"/>
      <c r="AK192" s="27"/>
      <c r="AQ192" s="14"/>
      <c r="AS192" s="11"/>
      <c r="AT192" s="11"/>
      <c r="AU192" s="11" t="s">
        <v>323</v>
      </c>
      <c r="AV192" s="11"/>
      <c r="BH192" s="27"/>
      <c r="BL192" s="14"/>
      <c r="BM192" s="14"/>
      <c r="BO192" s="175"/>
      <c r="BP192" s="176"/>
      <c r="BQ192" s="176"/>
      <c r="BR192" s="177"/>
      <c r="BS192" s="178"/>
      <c r="BT192" s="179"/>
      <c r="BU192" s="179"/>
      <c r="BV192" s="179"/>
      <c r="BW192" s="179"/>
      <c r="BX192" s="179"/>
      <c r="BY192" s="179"/>
      <c r="BZ192" s="179"/>
      <c r="CA192" s="179"/>
      <c r="CB192" s="179"/>
      <c r="CC192" s="179"/>
      <c r="CD192" s="180"/>
    </row>
    <row r="193" spans="1:82" ht="13.5" customHeight="1">
      <c r="A193" s="27"/>
      <c r="B193" s="27"/>
      <c r="H193" s="14"/>
      <c r="P193" s="27"/>
      <c r="W193" s="27"/>
      <c r="AD193" s="27"/>
      <c r="AJ193" s="14"/>
      <c r="AK193" s="27"/>
      <c r="AQ193" s="14"/>
      <c r="BH193" s="27"/>
      <c r="BL193" s="14"/>
      <c r="BM193" s="14"/>
      <c r="BO193" s="175"/>
      <c r="BP193" s="176"/>
      <c r="BQ193" s="176"/>
      <c r="BR193" s="177"/>
      <c r="BS193" s="178"/>
      <c r="BT193" s="179"/>
      <c r="BU193" s="179"/>
      <c r="BV193" s="179"/>
      <c r="BW193" s="179"/>
      <c r="BX193" s="179"/>
      <c r="BY193" s="179"/>
      <c r="BZ193" s="179"/>
      <c r="CA193" s="179"/>
      <c r="CB193" s="179"/>
      <c r="CC193" s="179"/>
      <c r="CD193" s="180"/>
    </row>
    <row r="194" spans="1:82" ht="13.5" customHeight="1">
      <c r="A194" s="27"/>
      <c r="B194" s="27"/>
      <c r="H194" s="14"/>
      <c r="P194" s="27"/>
      <c r="W194" s="27"/>
      <c r="AD194" s="27"/>
      <c r="AJ194" s="14"/>
      <c r="AK194" s="27"/>
      <c r="AQ194" s="14"/>
      <c r="AT194" s="8" t="s">
        <v>324</v>
      </c>
      <c r="BH194" s="27"/>
      <c r="BL194" s="14"/>
      <c r="BM194" s="14"/>
      <c r="BO194" s="175"/>
      <c r="BP194" s="176"/>
      <c r="BQ194" s="176"/>
      <c r="BR194" s="177"/>
      <c r="BS194" s="178"/>
      <c r="BT194" s="179"/>
      <c r="BU194" s="179"/>
      <c r="BV194" s="179"/>
      <c r="BW194" s="179"/>
      <c r="BX194" s="179"/>
      <c r="BY194" s="179"/>
      <c r="BZ194" s="179"/>
      <c r="CA194" s="179"/>
      <c r="CB194" s="179"/>
      <c r="CC194" s="179"/>
      <c r="CD194" s="180"/>
    </row>
    <row r="195" spans="1:82" ht="13.5" customHeight="1">
      <c r="A195" s="27"/>
      <c r="B195" s="27"/>
      <c r="H195" s="14"/>
      <c r="P195" s="27"/>
      <c r="W195" s="27"/>
      <c r="AD195" s="27"/>
      <c r="AJ195" s="14"/>
      <c r="AK195" s="27"/>
      <c r="AQ195" s="14"/>
      <c r="AT195" s="8" t="s">
        <v>138</v>
      </c>
      <c r="AU195" s="8" t="s">
        <v>325</v>
      </c>
      <c r="BH195" s="27"/>
      <c r="BL195" s="14"/>
      <c r="BM195" s="14"/>
      <c r="BO195" s="175"/>
      <c r="BP195" s="176"/>
      <c r="BQ195" s="176"/>
      <c r="BR195" s="177"/>
      <c r="BS195" s="178"/>
      <c r="BT195" s="179"/>
      <c r="BU195" s="179"/>
      <c r="BV195" s="179"/>
      <c r="BW195" s="179"/>
      <c r="BX195" s="179"/>
      <c r="BY195" s="179"/>
      <c r="BZ195" s="179"/>
      <c r="CA195" s="179"/>
      <c r="CB195" s="179"/>
      <c r="CC195" s="179"/>
      <c r="CD195" s="180"/>
    </row>
    <row r="196" spans="1:82" ht="13.5" customHeight="1">
      <c r="A196" s="27"/>
      <c r="B196" s="27"/>
      <c r="H196" s="14"/>
      <c r="P196" s="27"/>
      <c r="W196" s="27"/>
      <c r="AD196" s="27"/>
      <c r="AJ196" s="14"/>
      <c r="AK196" s="27"/>
      <c r="AQ196" s="14"/>
      <c r="AU196" s="8" t="s">
        <v>326</v>
      </c>
      <c r="BH196" s="27"/>
      <c r="BL196" s="14"/>
      <c r="BM196" s="14"/>
      <c r="BO196" s="175"/>
      <c r="BP196" s="176"/>
      <c r="BQ196" s="176"/>
      <c r="BR196" s="177"/>
      <c r="BS196" s="178"/>
      <c r="BT196" s="179"/>
      <c r="BU196" s="179"/>
      <c r="BV196" s="179"/>
      <c r="BW196" s="179"/>
      <c r="BX196" s="179"/>
      <c r="BY196" s="179"/>
      <c r="BZ196" s="179"/>
      <c r="CA196" s="179"/>
      <c r="CB196" s="179"/>
      <c r="CC196" s="179"/>
      <c r="CD196" s="180"/>
    </row>
    <row r="197" spans="1:82" ht="13.5" customHeight="1">
      <c r="A197" s="27"/>
      <c r="B197" s="27"/>
      <c r="H197" s="14"/>
      <c r="P197" s="27"/>
      <c r="W197" s="27"/>
      <c r="AD197" s="27"/>
      <c r="AJ197" s="14"/>
      <c r="AK197" s="27"/>
      <c r="AQ197" s="14"/>
      <c r="BH197" s="27"/>
      <c r="BL197" s="14"/>
      <c r="BM197" s="14"/>
      <c r="BO197" s="175"/>
      <c r="BP197" s="176"/>
      <c r="BQ197" s="176"/>
      <c r="BR197" s="177"/>
      <c r="BS197" s="178"/>
      <c r="BT197" s="179"/>
      <c r="BU197" s="179"/>
      <c r="BV197" s="179"/>
      <c r="BW197" s="179"/>
      <c r="BX197" s="179"/>
      <c r="BY197" s="179"/>
      <c r="BZ197" s="179"/>
      <c r="CA197" s="179"/>
      <c r="CB197" s="179"/>
      <c r="CC197" s="179"/>
      <c r="CD197" s="180"/>
    </row>
    <row r="198" spans="1:82" ht="13.5" customHeight="1">
      <c r="A198" s="27"/>
      <c r="B198" s="27"/>
      <c r="H198" s="14"/>
      <c r="P198" s="27"/>
      <c r="W198" s="27"/>
      <c r="AD198" s="27"/>
      <c r="AJ198" s="14"/>
      <c r="AK198" s="27"/>
      <c r="AQ198" s="14"/>
      <c r="BH198" s="27"/>
      <c r="BL198" s="14"/>
      <c r="BM198" s="14"/>
      <c r="BO198" s="175"/>
      <c r="BP198" s="176"/>
      <c r="BQ198" s="176"/>
      <c r="BR198" s="177"/>
      <c r="BS198" s="178"/>
      <c r="BT198" s="179"/>
      <c r="BU198" s="179"/>
      <c r="BV198" s="179"/>
      <c r="BW198" s="179"/>
      <c r="BX198" s="179"/>
      <c r="BY198" s="179"/>
      <c r="BZ198" s="179"/>
      <c r="CA198" s="179"/>
      <c r="CB198" s="179"/>
      <c r="CC198" s="179"/>
      <c r="CD198" s="180"/>
    </row>
    <row r="199" spans="1:82" ht="13.5" customHeight="1">
      <c r="A199" s="27"/>
      <c r="B199" s="27"/>
      <c r="H199" s="14"/>
      <c r="P199" s="27"/>
      <c r="W199" s="27"/>
      <c r="AD199" s="27"/>
      <c r="AJ199" s="14"/>
      <c r="AK199" s="27"/>
      <c r="AQ199" s="14"/>
      <c r="BH199" s="27"/>
      <c r="BL199" s="14"/>
      <c r="BM199" s="14"/>
      <c r="BO199" s="175"/>
      <c r="BP199" s="176"/>
      <c r="BQ199" s="176"/>
      <c r="BR199" s="177"/>
      <c r="BS199" s="178"/>
      <c r="BT199" s="179"/>
      <c r="BU199" s="179"/>
      <c r="BV199" s="179"/>
      <c r="BW199" s="179"/>
      <c r="BX199" s="179"/>
      <c r="BY199" s="179"/>
      <c r="BZ199" s="179"/>
      <c r="CA199" s="179"/>
      <c r="CB199" s="179"/>
      <c r="CC199" s="179"/>
      <c r="CD199" s="180"/>
    </row>
    <row r="200" spans="1:82" ht="13.5" customHeight="1">
      <c r="A200" s="27"/>
      <c r="B200" s="27"/>
      <c r="H200" s="14"/>
      <c r="P200" s="27"/>
      <c r="W200" s="27"/>
      <c r="AD200" s="27"/>
      <c r="AJ200" s="14"/>
      <c r="AK200" s="27"/>
      <c r="AQ200" s="14"/>
      <c r="BH200" s="27"/>
      <c r="BL200" s="14"/>
      <c r="BM200" s="14"/>
      <c r="BO200" s="175"/>
      <c r="BP200" s="176"/>
      <c r="BQ200" s="176"/>
      <c r="BR200" s="177"/>
      <c r="BS200" s="178"/>
      <c r="BT200" s="179"/>
      <c r="BU200" s="179"/>
      <c r="BV200" s="179"/>
      <c r="BW200" s="179"/>
      <c r="BX200" s="179"/>
      <c r="BY200" s="179"/>
      <c r="BZ200" s="179"/>
      <c r="CA200" s="179"/>
      <c r="CB200" s="179"/>
      <c r="CC200" s="179"/>
      <c r="CD200" s="180"/>
    </row>
    <row r="201" spans="1:82" ht="13.5" customHeight="1">
      <c r="A201" s="27"/>
      <c r="B201" s="27"/>
      <c r="H201" s="14"/>
      <c r="P201" s="27"/>
      <c r="W201" s="27"/>
      <c r="AD201" s="27"/>
      <c r="AJ201" s="14"/>
      <c r="AK201" s="27"/>
      <c r="AQ201" s="14"/>
      <c r="BH201" s="27"/>
      <c r="BL201" s="14"/>
      <c r="BM201" s="14"/>
      <c r="BO201" s="175"/>
      <c r="BP201" s="176"/>
      <c r="BQ201" s="176"/>
      <c r="BR201" s="177"/>
      <c r="BS201" s="178"/>
      <c r="BT201" s="179"/>
      <c r="BU201" s="179"/>
      <c r="BV201" s="179"/>
      <c r="BW201" s="179"/>
      <c r="BX201" s="179"/>
      <c r="BY201" s="179"/>
      <c r="BZ201" s="179"/>
      <c r="CA201" s="179"/>
      <c r="CB201" s="179"/>
      <c r="CC201" s="179"/>
      <c r="CD201" s="180"/>
    </row>
    <row r="202" spans="1:82" ht="13.5" customHeight="1">
      <c r="A202" s="27"/>
      <c r="B202" s="27"/>
      <c r="H202" s="14"/>
      <c r="P202" s="27"/>
      <c r="W202" s="27"/>
      <c r="AD202" s="27"/>
      <c r="AJ202" s="14"/>
      <c r="AK202" s="27"/>
      <c r="AQ202" s="14"/>
      <c r="BH202" s="27"/>
      <c r="BL202" s="14"/>
      <c r="BM202" s="14"/>
      <c r="BO202" s="175"/>
      <c r="BP202" s="176"/>
      <c r="BQ202" s="176"/>
      <c r="BR202" s="177"/>
      <c r="BS202" s="178"/>
      <c r="BT202" s="179"/>
      <c r="BU202" s="179"/>
      <c r="BV202" s="179"/>
      <c r="BW202" s="179"/>
      <c r="BX202" s="179"/>
      <c r="BY202" s="179"/>
      <c r="BZ202" s="179"/>
      <c r="CA202" s="179"/>
      <c r="CB202" s="179"/>
      <c r="CC202" s="179"/>
      <c r="CD202" s="180"/>
    </row>
    <row r="203" spans="1:82" ht="13.5" customHeight="1">
      <c r="A203" s="27"/>
      <c r="B203" s="27"/>
      <c r="H203" s="14"/>
      <c r="P203" s="27"/>
      <c r="W203" s="27"/>
      <c r="AD203" s="27"/>
      <c r="AJ203" s="14"/>
      <c r="AK203" s="27"/>
      <c r="AQ203" s="14"/>
      <c r="BH203" s="27"/>
      <c r="BL203" s="14"/>
      <c r="BM203" s="14"/>
      <c r="BO203" s="175"/>
      <c r="BP203" s="176"/>
      <c r="BQ203" s="176"/>
      <c r="BR203" s="177"/>
      <c r="BS203" s="178"/>
      <c r="BT203" s="179"/>
      <c r="BU203" s="179"/>
      <c r="BV203" s="179"/>
      <c r="BW203" s="179"/>
      <c r="BX203" s="179"/>
      <c r="BY203" s="179"/>
      <c r="BZ203" s="179"/>
      <c r="CA203" s="179"/>
      <c r="CB203" s="179"/>
      <c r="CC203" s="179"/>
      <c r="CD203" s="180"/>
    </row>
    <row r="204" spans="1:82" ht="13.5" customHeight="1">
      <c r="A204" s="27"/>
      <c r="B204" s="27"/>
      <c r="H204" s="14"/>
      <c r="P204" s="27"/>
      <c r="W204" s="27"/>
      <c r="AD204" s="27"/>
      <c r="AJ204" s="14"/>
      <c r="AK204" s="27"/>
      <c r="AQ204" s="14"/>
      <c r="AS204" s="25" t="s">
        <v>327</v>
      </c>
      <c r="AT204" s="11"/>
      <c r="AU204" s="11"/>
      <c r="AV204" s="11"/>
      <c r="AW204" s="11"/>
      <c r="BH204" s="27" t="s">
        <v>328</v>
      </c>
      <c r="BL204" s="14"/>
      <c r="BM204" s="14"/>
      <c r="BO204" s="175"/>
      <c r="BP204" s="176"/>
      <c r="BQ204" s="176"/>
      <c r="BR204" s="177"/>
      <c r="BS204" s="178"/>
      <c r="BT204" s="179"/>
      <c r="BU204" s="179"/>
      <c r="BV204" s="179"/>
      <c r="BW204" s="179"/>
      <c r="BX204" s="179"/>
      <c r="BY204" s="179"/>
      <c r="BZ204" s="179"/>
      <c r="CA204" s="179"/>
      <c r="CB204" s="179"/>
      <c r="CC204" s="179"/>
      <c r="CD204" s="180"/>
    </row>
    <row r="205" spans="1:82" ht="13.5" customHeight="1">
      <c r="A205" s="27"/>
      <c r="B205" s="27"/>
      <c r="H205" s="14"/>
      <c r="P205" s="27"/>
      <c r="W205" s="27"/>
      <c r="AD205" s="27"/>
      <c r="AJ205" s="14"/>
      <c r="AK205" s="27"/>
      <c r="AQ205" s="14"/>
      <c r="AS205" s="11"/>
      <c r="AT205" s="8" t="s">
        <v>329</v>
      </c>
      <c r="AU205" s="11"/>
      <c r="AV205" s="11"/>
      <c r="BH205" s="27"/>
      <c r="BL205" s="14"/>
      <c r="BM205" s="14"/>
      <c r="BO205" s="175"/>
      <c r="BP205" s="176"/>
      <c r="BQ205" s="176"/>
      <c r="BR205" s="177"/>
      <c r="BS205" s="178"/>
      <c r="BT205" s="179"/>
      <c r="BU205" s="179"/>
      <c r="BV205" s="179"/>
      <c r="BW205" s="179"/>
      <c r="BX205" s="179"/>
      <c r="BY205" s="179"/>
      <c r="BZ205" s="179"/>
      <c r="CA205" s="179"/>
      <c r="CB205" s="179"/>
      <c r="CC205" s="179"/>
      <c r="CD205" s="180"/>
    </row>
    <row r="206" spans="1:82" ht="13.5" customHeight="1">
      <c r="A206" s="27"/>
      <c r="B206" s="27"/>
      <c r="H206" s="14"/>
      <c r="P206" s="27"/>
      <c r="W206" s="27"/>
      <c r="AD206" s="27"/>
      <c r="AJ206" s="14"/>
      <c r="AK206" s="27"/>
      <c r="AQ206" s="14"/>
      <c r="AS206" s="11"/>
      <c r="AT206" s="8" t="s">
        <v>330</v>
      </c>
      <c r="AU206" s="11"/>
      <c r="AV206" s="11"/>
      <c r="BH206" s="27"/>
      <c r="BL206" s="14"/>
      <c r="BM206" s="14"/>
      <c r="BO206" s="175"/>
      <c r="BP206" s="176"/>
      <c r="BQ206" s="176"/>
      <c r="BR206" s="177"/>
      <c r="BS206" s="178"/>
      <c r="BT206" s="179"/>
      <c r="BU206" s="179"/>
      <c r="BV206" s="179"/>
      <c r="BW206" s="179"/>
      <c r="BX206" s="179"/>
      <c r="BY206" s="179"/>
      <c r="BZ206" s="179"/>
      <c r="CA206" s="179"/>
      <c r="CB206" s="179"/>
      <c r="CC206" s="179"/>
      <c r="CD206" s="180"/>
    </row>
    <row r="207" spans="1:82" ht="13.5" customHeight="1">
      <c r="A207" s="27"/>
      <c r="B207" s="27"/>
      <c r="H207" s="14"/>
      <c r="P207" s="27"/>
      <c r="W207" s="27"/>
      <c r="AD207" s="27"/>
      <c r="AJ207" s="14"/>
      <c r="AK207" s="27"/>
      <c r="AQ207" s="14"/>
      <c r="AS207" s="11"/>
      <c r="AT207" s="8" t="s">
        <v>331</v>
      </c>
      <c r="AU207" s="11"/>
      <c r="AV207" s="11"/>
      <c r="BH207" s="27"/>
      <c r="BL207" s="14"/>
      <c r="BM207" s="14"/>
      <c r="BO207" s="175"/>
      <c r="BP207" s="176"/>
      <c r="BQ207" s="176"/>
      <c r="BR207" s="177"/>
      <c r="BS207" s="178"/>
      <c r="BT207" s="179"/>
      <c r="BU207" s="179"/>
      <c r="BV207" s="179"/>
      <c r="BW207" s="179"/>
      <c r="BX207" s="179"/>
      <c r="BY207" s="179"/>
      <c r="BZ207" s="179"/>
      <c r="CA207" s="179"/>
      <c r="CB207" s="179"/>
      <c r="CC207" s="179"/>
      <c r="CD207" s="180"/>
    </row>
    <row r="208" spans="1:82" ht="13.5" customHeight="1">
      <c r="A208" s="27"/>
      <c r="B208" s="27"/>
      <c r="H208" s="14"/>
      <c r="P208" s="27"/>
      <c r="W208" s="27"/>
      <c r="AD208" s="27"/>
      <c r="AJ208" s="14"/>
      <c r="AK208" s="27"/>
      <c r="AQ208" s="14"/>
      <c r="AT208" s="8" t="s">
        <v>332</v>
      </c>
      <c r="BH208" s="27"/>
      <c r="BL208" s="14"/>
      <c r="BM208" s="14"/>
      <c r="BO208" s="175"/>
      <c r="BP208" s="176"/>
      <c r="BQ208" s="176"/>
      <c r="BR208" s="177"/>
      <c r="BS208" s="178"/>
      <c r="BT208" s="179"/>
      <c r="BU208" s="179"/>
      <c r="BV208" s="179"/>
      <c r="BW208" s="179"/>
      <c r="BX208" s="179"/>
      <c r="BY208" s="179"/>
      <c r="BZ208" s="179"/>
      <c r="CA208" s="179"/>
      <c r="CB208" s="179"/>
      <c r="CC208" s="179"/>
      <c r="CD208" s="180"/>
    </row>
    <row r="209" spans="1:82" ht="13.5" customHeight="1">
      <c r="A209" s="27"/>
      <c r="B209" s="27"/>
      <c r="H209" s="14"/>
      <c r="P209" s="27"/>
      <c r="W209" s="27"/>
      <c r="AD209" s="27"/>
      <c r="AJ209" s="14"/>
      <c r="AK209" s="27"/>
      <c r="AQ209" s="14"/>
      <c r="BH209" s="27"/>
      <c r="BL209" s="14"/>
      <c r="BM209" s="14"/>
      <c r="BO209" s="175"/>
      <c r="BP209" s="176"/>
      <c r="BQ209" s="176"/>
      <c r="BR209" s="177"/>
      <c r="BS209" s="178"/>
      <c r="BT209" s="179"/>
      <c r="BU209" s="179"/>
      <c r="BV209" s="179"/>
      <c r="BW209" s="179"/>
      <c r="BX209" s="179"/>
      <c r="BY209" s="179"/>
      <c r="BZ209" s="179"/>
      <c r="CA209" s="179"/>
      <c r="CB209" s="179"/>
      <c r="CC209" s="179"/>
      <c r="CD209" s="180"/>
    </row>
    <row r="210" spans="1:82" ht="13.5" customHeight="1">
      <c r="A210" s="27"/>
      <c r="B210" s="27"/>
      <c r="H210" s="14"/>
      <c r="P210" s="27"/>
      <c r="W210" s="27"/>
      <c r="AD210" s="27"/>
      <c r="AJ210" s="14"/>
      <c r="AK210" s="27"/>
      <c r="AQ210" s="14"/>
      <c r="BH210" s="27"/>
      <c r="BL210" s="14"/>
      <c r="BM210" s="14"/>
      <c r="BO210" s="175"/>
      <c r="BP210" s="176"/>
      <c r="BQ210" s="176"/>
      <c r="BR210" s="177"/>
      <c r="BS210" s="178"/>
      <c r="BT210" s="179"/>
      <c r="BU210" s="179"/>
      <c r="BV210" s="179"/>
      <c r="BW210" s="179"/>
      <c r="BX210" s="179"/>
      <c r="BY210" s="179"/>
      <c r="BZ210" s="179"/>
      <c r="CA210" s="179"/>
      <c r="CB210" s="179"/>
      <c r="CC210" s="179"/>
      <c r="CD210" s="180"/>
    </row>
    <row r="211" spans="1:82" ht="13.5" customHeight="1">
      <c r="A211" s="27"/>
      <c r="B211" s="27"/>
      <c r="H211" s="14"/>
      <c r="P211" s="27"/>
      <c r="W211" s="27"/>
      <c r="AD211" s="27"/>
      <c r="AJ211" s="14"/>
      <c r="AK211" s="27"/>
      <c r="AQ211" s="14"/>
      <c r="BH211" s="27"/>
      <c r="BL211" s="14"/>
      <c r="BM211" s="14"/>
      <c r="BO211" s="175"/>
      <c r="BP211" s="176"/>
      <c r="BQ211" s="176"/>
      <c r="BR211" s="177"/>
      <c r="BS211" s="178"/>
      <c r="BT211" s="179"/>
      <c r="BU211" s="179"/>
      <c r="BV211" s="179"/>
      <c r="BW211" s="179"/>
      <c r="BX211" s="179"/>
      <c r="BY211" s="179"/>
      <c r="BZ211" s="179"/>
      <c r="CA211" s="179"/>
      <c r="CB211" s="179"/>
      <c r="CC211" s="179"/>
      <c r="CD211" s="180"/>
    </row>
    <row r="212" spans="1:82" ht="13.5" customHeight="1">
      <c r="A212" s="27"/>
      <c r="B212" s="27"/>
      <c r="H212" s="14"/>
      <c r="P212" s="27"/>
      <c r="W212" s="27"/>
      <c r="AD212" s="27"/>
      <c r="AJ212" s="14"/>
      <c r="AK212" s="27"/>
      <c r="AQ212" s="14"/>
      <c r="BH212" s="27"/>
      <c r="BL212" s="14"/>
      <c r="BM212" s="14"/>
      <c r="BO212" s="175"/>
      <c r="BP212" s="176"/>
      <c r="BQ212" s="176"/>
      <c r="BR212" s="177"/>
      <c r="BS212" s="178"/>
      <c r="BT212" s="179"/>
      <c r="BU212" s="179"/>
      <c r="BV212" s="179"/>
      <c r="BW212" s="179"/>
      <c r="BX212" s="179"/>
      <c r="BY212" s="179"/>
      <c r="BZ212" s="179"/>
      <c r="CA212" s="179"/>
      <c r="CB212" s="179"/>
      <c r="CC212" s="179"/>
      <c r="CD212" s="180"/>
    </row>
    <row r="213" spans="1:82" ht="13.5" customHeight="1">
      <c r="A213" s="27"/>
      <c r="B213" s="27"/>
      <c r="H213" s="14"/>
      <c r="P213" s="27"/>
      <c r="W213" s="27"/>
      <c r="AD213" s="27"/>
      <c r="AJ213" s="14"/>
      <c r="AK213" s="27"/>
      <c r="AQ213" s="14"/>
      <c r="BH213" s="27"/>
      <c r="BL213" s="14"/>
      <c r="BM213" s="14"/>
      <c r="BO213" s="175"/>
      <c r="BP213" s="176"/>
      <c r="BQ213" s="176"/>
      <c r="BR213" s="177"/>
      <c r="BS213" s="178"/>
      <c r="BT213" s="179"/>
      <c r="BU213" s="179"/>
      <c r="BV213" s="179"/>
      <c r="BW213" s="179"/>
      <c r="BX213" s="179"/>
      <c r="BY213" s="179"/>
      <c r="BZ213" s="179"/>
      <c r="CA213" s="179"/>
      <c r="CB213" s="179"/>
      <c r="CC213" s="179"/>
      <c r="CD213" s="180"/>
    </row>
    <row r="214" spans="1:82" ht="13.5" customHeight="1">
      <c r="A214" s="27"/>
      <c r="B214" s="27"/>
      <c r="H214" s="14"/>
      <c r="P214" s="27"/>
      <c r="W214" s="27"/>
      <c r="AD214" s="27"/>
      <c r="AJ214" s="14"/>
      <c r="AK214" s="27"/>
      <c r="AQ214" s="14"/>
      <c r="BH214" s="27"/>
      <c r="BL214" s="14"/>
      <c r="BM214" s="14"/>
      <c r="BO214" s="175"/>
      <c r="BP214" s="176"/>
      <c r="BQ214" s="176"/>
      <c r="BR214" s="177"/>
      <c r="BS214" s="178"/>
      <c r="BT214" s="179"/>
      <c r="BU214" s="179"/>
      <c r="BV214" s="179"/>
      <c r="BW214" s="179"/>
      <c r="BX214" s="179"/>
      <c r="BY214" s="179"/>
      <c r="BZ214" s="179"/>
      <c r="CA214" s="179"/>
      <c r="CB214" s="179"/>
      <c r="CC214" s="179"/>
      <c r="CD214" s="180"/>
    </row>
    <row r="215" spans="1:82" ht="13.5" customHeight="1">
      <c r="A215" s="27"/>
      <c r="B215" s="27"/>
      <c r="H215" s="14"/>
      <c r="P215" s="27"/>
      <c r="W215" s="27"/>
      <c r="AD215" s="27"/>
      <c r="AJ215" s="14"/>
      <c r="AK215" s="27"/>
      <c r="AQ215" s="14"/>
      <c r="BH215" s="27"/>
      <c r="BL215" s="14"/>
      <c r="BM215" s="14"/>
      <c r="BO215" s="123"/>
      <c r="BP215" s="124"/>
      <c r="BQ215" s="124"/>
      <c r="BR215" s="124"/>
      <c r="BS215" s="383">
        <v>45754</v>
      </c>
      <c r="BT215" s="384"/>
      <c r="BU215" s="384"/>
      <c r="BV215" s="384"/>
      <c r="BW215" s="384"/>
      <c r="BX215" s="384"/>
      <c r="BY215" s="384"/>
      <c r="BZ215" s="384"/>
      <c r="CA215" s="384"/>
      <c r="CB215" s="384"/>
      <c r="CC215" s="384"/>
      <c r="CD215" s="125"/>
    </row>
    <row r="216" spans="1:82" ht="13.5" customHeight="1">
      <c r="A216" s="27"/>
      <c r="B216" s="27"/>
      <c r="H216" s="14"/>
      <c r="P216" s="27"/>
      <c r="W216" s="27"/>
      <c r="AD216" s="27"/>
      <c r="AJ216" s="14"/>
      <c r="AK216" s="27"/>
      <c r="AQ216" s="14"/>
      <c r="BH216" s="27"/>
      <c r="BL216" s="14"/>
      <c r="BM216" s="14"/>
      <c r="BO216" s="123"/>
      <c r="BP216" s="124"/>
      <c r="BQ216" s="124"/>
      <c r="BR216" s="124"/>
      <c r="BS216" s="377" t="s">
        <v>333</v>
      </c>
      <c r="BT216" s="378"/>
      <c r="BU216" s="378"/>
      <c r="BV216" s="378"/>
      <c r="BW216" s="378"/>
      <c r="BX216" s="378"/>
      <c r="BY216" s="378"/>
      <c r="BZ216" s="378"/>
      <c r="CA216" s="378"/>
      <c r="CB216" s="378"/>
      <c r="CC216" s="378"/>
      <c r="CD216" s="379"/>
    </row>
    <row r="217" spans="1:82" ht="13.5" customHeight="1">
      <c r="A217" s="27"/>
      <c r="B217" s="27"/>
      <c r="H217" s="14"/>
      <c r="P217" s="27"/>
      <c r="W217" s="27"/>
      <c r="AD217" s="27"/>
      <c r="AJ217" s="14"/>
      <c r="AK217" s="27"/>
      <c r="AQ217" s="14"/>
      <c r="BH217" s="27"/>
      <c r="BL217" s="14"/>
      <c r="BM217" s="14"/>
      <c r="BO217" s="377" t="s">
        <v>334</v>
      </c>
      <c r="BP217" s="378"/>
      <c r="BQ217" s="378"/>
      <c r="BR217" s="379"/>
      <c r="BS217" s="377"/>
      <c r="BT217" s="378"/>
      <c r="BU217" s="378"/>
      <c r="BV217" s="378"/>
      <c r="BW217" s="378"/>
      <c r="BX217" s="378"/>
      <c r="BY217" s="378"/>
      <c r="BZ217" s="378"/>
      <c r="CA217" s="378"/>
      <c r="CB217" s="378"/>
      <c r="CC217" s="378"/>
      <c r="CD217" s="379"/>
    </row>
    <row r="218" spans="1:82" ht="13.5" customHeight="1">
      <c r="A218" s="27"/>
      <c r="B218" s="27"/>
      <c r="H218" s="14"/>
      <c r="P218" s="27"/>
      <c r="W218" s="27"/>
      <c r="AD218" s="27"/>
      <c r="AJ218" s="14"/>
      <c r="AK218" s="27"/>
      <c r="AQ218" s="14"/>
      <c r="BH218" s="27"/>
      <c r="BL218" s="14"/>
      <c r="BM218" s="14"/>
      <c r="BO218" s="377"/>
      <c r="BP218" s="378"/>
      <c r="BQ218" s="378"/>
      <c r="BR218" s="379"/>
      <c r="BS218" s="377"/>
      <c r="BT218" s="378"/>
      <c r="BU218" s="378"/>
      <c r="BV218" s="378"/>
      <c r="BW218" s="378"/>
      <c r="BX218" s="378"/>
      <c r="BY218" s="378"/>
      <c r="BZ218" s="378"/>
      <c r="CA218" s="378"/>
      <c r="CB218" s="378"/>
      <c r="CC218" s="378"/>
      <c r="CD218" s="379"/>
    </row>
    <row r="219" spans="1:82" ht="13.5" customHeight="1">
      <c r="A219" s="27"/>
      <c r="B219" s="27"/>
      <c r="H219" s="14"/>
      <c r="P219" s="27"/>
      <c r="W219" s="27"/>
      <c r="AD219" s="27"/>
      <c r="AJ219" s="14"/>
      <c r="AK219" s="27"/>
      <c r="AQ219" s="14"/>
      <c r="BH219" s="27"/>
      <c r="BL219" s="14"/>
      <c r="BM219" s="14"/>
      <c r="BO219" s="123"/>
      <c r="BP219" s="124"/>
      <c r="BQ219" s="124"/>
      <c r="BR219" s="124"/>
      <c r="BS219" s="377"/>
      <c r="BT219" s="378"/>
      <c r="BU219" s="378"/>
      <c r="BV219" s="378"/>
      <c r="BW219" s="378"/>
      <c r="BX219" s="378"/>
      <c r="BY219" s="378"/>
      <c r="BZ219" s="378"/>
      <c r="CA219" s="378"/>
      <c r="CB219" s="378"/>
      <c r="CC219" s="378"/>
      <c r="CD219" s="379"/>
    </row>
    <row r="220" spans="1:82" ht="13.5" customHeight="1">
      <c r="A220" s="27"/>
      <c r="B220" s="27"/>
      <c r="H220" s="14"/>
      <c r="P220" s="27"/>
      <c r="W220" s="27"/>
      <c r="AD220" s="27"/>
      <c r="AJ220" s="14"/>
      <c r="AK220" s="27"/>
      <c r="AQ220" s="14"/>
      <c r="BH220" s="27"/>
      <c r="BL220" s="14"/>
      <c r="BM220" s="14"/>
      <c r="BO220" s="123"/>
      <c r="BP220" s="124"/>
      <c r="BQ220" s="124"/>
      <c r="BR220" s="124"/>
      <c r="BS220" s="377"/>
      <c r="BT220" s="378"/>
      <c r="BU220" s="378"/>
      <c r="BV220" s="378"/>
      <c r="BW220" s="378"/>
      <c r="BX220" s="378"/>
      <c r="BY220" s="378"/>
      <c r="BZ220" s="378"/>
      <c r="CA220" s="378"/>
      <c r="CB220" s="378"/>
      <c r="CC220" s="378"/>
      <c r="CD220" s="379"/>
    </row>
    <row r="221" spans="1:82" ht="13.5" customHeight="1">
      <c r="A221" s="27"/>
      <c r="B221" s="27"/>
      <c r="H221" s="14"/>
      <c r="P221" s="27"/>
      <c r="W221" s="27"/>
      <c r="AD221" s="27"/>
      <c r="AJ221" s="14"/>
      <c r="AK221" s="27"/>
      <c r="AQ221" s="14"/>
      <c r="BH221" s="27"/>
      <c r="BL221" s="14"/>
      <c r="BM221" s="14"/>
      <c r="BO221" s="123"/>
      <c r="BP221" s="124"/>
      <c r="BQ221" s="124"/>
      <c r="BR221" s="124"/>
      <c r="BS221" s="377"/>
      <c r="BT221" s="378"/>
      <c r="BU221" s="378"/>
      <c r="BV221" s="378"/>
      <c r="BW221" s="378"/>
      <c r="BX221" s="378"/>
      <c r="BY221" s="378"/>
      <c r="BZ221" s="378"/>
      <c r="CA221" s="378"/>
      <c r="CB221" s="378"/>
      <c r="CC221" s="378"/>
      <c r="CD221" s="379"/>
    </row>
    <row r="222" spans="1:82" ht="13.5" customHeight="1">
      <c r="A222" s="27"/>
      <c r="B222" s="27"/>
      <c r="H222" s="14"/>
      <c r="P222" s="27"/>
      <c r="W222" s="27"/>
      <c r="AD222" s="27"/>
      <c r="AJ222" s="14"/>
      <c r="AK222" s="27"/>
      <c r="AQ222" s="14"/>
      <c r="BH222" s="27"/>
      <c r="BL222" s="14"/>
      <c r="BM222" s="14"/>
      <c r="BO222" s="123"/>
      <c r="BP222" s="124"/>
      <c r="BQ222" s="124"/>
      <c r="BR222" s="124"/>
      <c r="BS222" s="377"/>
      <c r="BT222" s="378"/>
      <c r="BU222" s="378"/>
      <c r="BV222" s="378"/>
      <c r="BW222" s="378"/>
      <c r="BX222" s="378"/>
      <c r="BY222" s="378"/>
      <c r="BZ222" s="378"/>
      <c r="CA222" s="378"/>
      <c r="CB222" s="378"/>
      <c r="CC222" s="378"/>
      <c r="CD222" s="379"/>
    </row>
    <row r="223" spans="1:82" ht="13.5" customHeight="1">
      <c r="A223" s="27"/>
      <c r="B223" s="27"/>
      <c r="H223" s="14"/>
      <c r="P223" s="27"/>
      <c r="W223" s="27"/>
      <c r="AD223" s="27"/>
      <c r="AJ223" s="14"/>
      <c r="AK223" s="27"/>
      <c r="AQ223" s="14"/>
      <c r="BH223" s="27"/>
      <c r="BL223" s="14"/>
      <c r="BM223" s="14"/>
      <c r="BO223" s="123"/>
      <c r="BP223" s="124"/>
      <c r="BQ223" s="124"/>
      <c r="BR223" s="124"/>
      <c r="BS223" s="377"/>
      <c r="BT223" s="378"/>
      <c r="BU223" s="378"/>
      <c r="BV223" s="378"/>
      <c r="BW223" s="378"/>
      <c r="BX223" s="378"/>
      <c r="BY223" s="378"/>
      <c r="BZ223" s="378"/>
      <c r="CA223" s="378"/>
      <c r="CB223" s="378"/>
      <c r="CC223" s="378"/>
      <c r="CD223" s="379"/>
    </row>
    <row r="224" spans="1:82">
      <c r="A224" s="27"/>
      <c r="B224" s="55"/>
      <c r="C224" s="10"/>
      <c r="D224" s="10"/>
      <c r="E224" s="10"/>
      <c r="F224" s="10"/>
      <c r="G224" s="10"/>
      <c r="H224" s="10"/>
      <c r="I224" s="55"/>
      <c r="J224" s="10"/>
      <c r="K224" s="10"/>
      <c r="L224" s="10"/>
      <c r="M224" s="10"/>
      <c r="N224" s="10"/>
      <c r="O224" s="10"/>
      <c r="P224" s="55"/>
      <c r="Q224" s="10"/>
      <c r="R224" s="10"/>
      <c r="S224" s="10"/>
      <c r="T224" s="10"/>
      <c r="U224" s="10"/>
      <c r="V224" s="10"/>
      <c r="W224" s="55"/>
      <c r="X224" s="10"/>
      <c r="Y224" s="10"/>
      <c r="Z224" s="10"/>
      <c r="AA224" s="10"/>
      <c r="AB224" s="10"/>
      <c r="AC224" s="10"/>
      <c r="AD224" s="55"/>
      <c r="AE224" s="10"/>
      <c r="AF224" s="10"/>
      <c r="AG224" s="10"/>
      <c r="AH224" s="10"/>
      <c r="AI224" s="10"/>
      <c r="AJ224" s="15"/>
      <c r="AK224" s="55"/>
      <c r="AL224" s="10"/>
      <c r="AM224" s="10"/>
      <c r="AN224" s="10"/>
      <c r="AO224" s="10"/>
      <c r="AP224" s="10"/>
      <c r="AQ224" s="15"/>
      <c r="AR224" s="10"/>
      <c r="AS224" s="10"/>
      <c r="AT224" s="10"/>
      <c r="AU224" s="10"/>
      <c r="AV224" s="10"/>
      <c r="AW224" s="10"/>
      <c r="AX224" s="10"/>
      <c r="AY224" s="10"/>
      <c r="AZ224" s="10"/>
      <c r="BA224" s="10"/>
      <c r="BB224" s="10"/>
      <c r="BC224" s="10"/>
      <c r="BD224" s="10"/>
      <c r="BE224" s="10"/>
      <c r="BF224" s="10"/>
      <c r="BG224" s="10"/>
      <c r="BH224" s="55"/>
      <c r="BI224" s="10"/>
      <c r="BJ224" s="10"/>
      <c r="BK224" s="10"/>
      <c r="BL224" s="15"/>
      <c r="BM224" s="14"/>
      <c r="BO224" s="126"/>
      <c r="BP224" s="127"/>
      <c r="BQ224" s="127"/>
      <c r="BR224" s="127"/>
      <c r="BS224" s="380"/>
      <c r="BT224" s="381"/>
      <c r="BU224" s="381"/>
      <c r="BV224" s="381"/>
      <c r="BW224" s="381"/>
      <c r="BX224" s="381"/>
      <c r="BY224" s="381"/>
      <c r="BZ224" s="381"/>
      <c r="CA224" s="381"/>
      <c r="CB224" s="381"/>
      <c r="CC224" s="381"/>
      <c r="CD224" s="382"/>
    </row>
    <row r="225" spans="1:65">
      <c r="A225" s="27"/>
      <c r="BM225" s="14"/>
    </row>
    <row r="226" spans="1:65">
      <c r="A226" s="55"/>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5"/>
    </row>
  </sheetData>
  <mergeCells count="35">
    <mergeCell ref="A1:E1"/>
    <mergeCell ref="F1:U1"/>
    <mergeCell ref="V1:AI1"/>
    <mergeCell ref="BO8:BR9"/>
    <mergeCell ref="A2:E3"/>
    <mergeCell ref="F2:U3"/>
    <mergeCell ref="V2:AI3"/>
    <mergeCell ref="AJ2:AK2"/>
    <mergeCell ref="AL2:AP2"/>
    <mergeCell ref="AJ3:AK3"/>
    <mergeCell ref="AL3:AP3"/>
    <mergeCell ref="B9:H9"/>
    <mergeCell ref="I9:O9"/>
    <mergeCell ref="AD9:AJ9"/>
    <mergeCell ref="AK9:AQ9"/>
    <mergeCell ref="W8:AC9"/>
    <mergeCell ref="B8:O8"/>
    <mergeCell ref="AD8:AQ8"/>
    <mergeCell ref="P8:V9"/>
    <mergeCell ref="BS216:CD224"/>
    <mergeCell ref="BO217:BR218"/>
    <mergeCell ref="BS215:CC215"/>
    <mergeCell ref="BO17:BR22"/>
    <mergeCell ref="BS166:CD214"/>
    <mergeCell ref="BS80:CD91"/>
    <mergeCell ref="BS92:CD165"/>
    <mergeCell ref="BS8:CD9"/>
    <mergeCell ref="AJ1:AP1"/>
    <mergeCell ref="AQ1:AV1"/>
    <mergeCell ref="AQ2:AV2"/>
    <mergeCell ref="AQ3:AV3"/>
    <mergeCell ref="BO166:BR214"/>
    <mergeCell ref="BH8:BL9"/>
    <mergeCell ref="BO87:BR92"/>
    <mergeCell ref="AR8:BG9"/>
  </mergeCells>
  <phoneticPr fontId="2"/>
  <pageMargins left="0.7" right="0.7" top="0.75" bottom="0.75" header="0.3" footer="0.3"/>
  <pageSetup paperSize="9" scale="69" fitToHeight="0" orientation="portrait"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3A8DC-7DCA-4A74-B40B-E1D0E0D26F3D}">
  <sheetPr codeName="Sheet13"/>
  <dimension ref="A1:BX203"/>
  <sheetViews>
    <sheetView showGridLines="0" tabSelected="1" zoomScale="80" zoomScaleNormal="80" workbookViewId="0">
      <pane ySplit="9" topLeftCell="A43" activePane="bottomLeft" state="frozen"/>
      <selection pane="bottomLeft" activeCell="CJ30" sqref="CJ30"/>
      <selection activeCell="AE19" sqref="AE19:AS26"/>
    </sheetView>
  </sheetViews>
  <sheetFormatPr defaultColWidth="2.375" defaultRowHeight="13.5"/>
  <cols>
    <col min="1" max="1" width="2.375" style="8"/>
    <col min="2" max="2" width="3" style="8" bestFit="1" customWidth="1"/>
    <col min="3" max="42" width="2.375" style="8"/>
    <col min="43" max="43" width="2.375" style="8" customWidth="1"/>
    <col min="44" max="16384" width="2.375" style="8"/>
  </cols>
  <sheetData>
    <row r="1" spans="1:76"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76">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76"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4" spans="1:76">
      <c r="A4" s="27"/>
      <c r="AO4" s="9"/>
    </row>
    <row r="5" spans="1:76">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row>
    <row r="6" spans="1:76"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41"/>
    </row>
    <row r="7" spans="1:76" s="11" customFormat="1">
      <c r="A7" s="28"/>
      <c r="BF7" s="13"/>
    </row>
    <row r="8" spans="1:76" s="11" customFormat="1" ht="15.75" customHeight="1">
      <c r="A8" s="28"/>
      <c r="B8" s="197" t="s">
        <v>172</v>
      </c>
      <c r="C8" s="198"/>
      <c r="D8" s="198"/>
      <c r="E8" s="198"/>
      <c r="F8" s="198"/>
      <c r="G8" s="198"/>
      <c r="H8" s="198"/>
      <c r="I8" s="198"/>
      <c r="J8" s="198"/>
      <c r="K8" s="198"/>
      <c r="L8" s="198"/>
      <c r="M8" s="198"/>
      <c r="N8" s="198"/>
      <c r="O8" s="199"/>
      <c r="P8" s="208" t="s">
        <v>173</v>
      </c>
      <c r="Q8" s="209"/>
      <c r="R8" s="209"/>
      <c r="S8" s="209"/>
      <c r="T8" s="209"/>
      <c r="U8" s="209"/>
      <c r="V8" s="210"/>
      <c r="W8" s="202" t="s">
        <v>83</v>
      </c>
      <c r="X8" s="203"/>
      <c r="Y8" s="203"/>
      <c r="Z8" s="203"/>
      <c r="AA8" s="203"/>
      <c r="AB8" s="203"/>
      <c r="AC8" s="204"/>
      <c r="AD8" s="203"/>
      <c r="AE8" s="203"/>
      <c r="AF8" s="203"/>
      <c r="AG8" s="203"/>
      <c r="AH8" s="203"/>
      <c r="AI8" s="203"/>
      <c r="AJ8" s="204"/>
      <c r="AK8" s="201" t="s">
        <v>101</v>
      </c>
      <c r="AL8" s="201"/>
      <c r="AM8" s="201"/>
      <c r="AN8" s="201"/>
      <c r="AO8" s="201"/>
      <c r="AP8" s="201"/>
      <c r="AQ8" s="201"/>
      <c r="AR8" s="201"/>
      <c r="AS8" s="201"/>
      <c r="AT8" s="201"/>
      <c r="AU8" s="201"/>
      <c r="AV8" s="201"/>
      <c r="AW8" s="201"/>
      <c r="AX8" s="201"/>
      <c r="AY8" s="201"/>
      <c r="AZ8" s="201"/>
      <c r="BA8" s="200" t="s">
        <v>103</v>
      </c>
      <c r="BB8" s="201"/>
      <c r="BC8" s="201"/>
      <c r="BD8" s="201"/>
      <c r="BE8" s="201"/>
      <c r="BF8" s="13"/>
      <c r="BH8" s="185" t="s">
        <v>113</v>
      </c>
      <c r="BI8" s="186"/>
      <c r="BJ8" s="186"/>
      <c r="BK8" s="186"/>
      <c r="BL8" s="188" t="s">
        <v>114</v>
      </c>
      <c r="BM8" s="189"/>
      <c r="BN8" s="189"/>
      <c r="BO8" s="189"/>
      <c r="BP8" s="189"/>
      <c r="BQ8" s="189"/>
      <c r="BR8" s="189"/>
      <c r="BS8" s="189"/>
      <c r="BT8" s="189"/>
      <c r="BU8" s="189"/>
      <c r="BV8" s="189"/>
      <c r="BW8" s="190"/>
    </row>
    <row r="9" spans="1:76" s="11" customFormat="1" ht="13.5" customHeight="1">
      <c r="A9" s="28"/>
      <c r="B9" s="197" t="s">
        <v>89</v>
      </c>
      <c r="C9" s="198"/>
      <c r="D9" s="198"/>
      <c r="E9" s="198"/>
      <c r="F9" s="198"/>
      <c r="G9" s="198"/>
      <c r="H9" s="199"/>
      <c r="I9" s="197" t="s">
        <v>90</v>
      </c>
      <c r="J9" s="198"/>
      <c r="K9" s="198"/>
      <c r="L9" s="198"/>
      <c r="M9" s="198"/>
      <c r="N9" s="198"/>
      <c r="O9" s="199"/>
      <c r="P9" s="211"/>
      <c r="Q9" s="212"/>
      <c r="R9" s="212"/>
      <c r="S9" s="212"/>
      <c r="T9" s="212"/>
      <c r="U9" s="212"/>
      <c r="V9" s="213"/>
      <c r="W9" s="202" t="s">
        <v>98</v>
      </c>
      <c r="X9" s="203"/>
      <c r="Y9" s="203"/>
      <c r="Z9" s="203"/>
      <c r="AA9" s="203"/>
      <c r="AB9" s="203"/>
      <c r="AC9" s="204"/>
      <c r="AD9" s="202" t="s">
        <v>100</v>
      </c>
      <c r="AE9" s="203"/>
      <c r="AF9" s="203"/>
      <c r="AG9" s="203"/>
      <c r="AH9" s="203"/>
      <c r="AI9" s="203"/>
      <c r="AJ9" s="204"/>
      <c r="AK9" s="201"/>
      <c r="AL9" s="201"/>
      <c r="AM9" s="201"/>
      <c r="AN9" s="201"/>
      <c r="AO9" s="201"/>
      <c r="AP9" s="201"/>
      <c r="AQ9" s="201"/>
      <c r="AR9" s="201"/>
      <c r="AS9" s="201"/>
      <c r="AT9" s="201"/>
      <c r="AU9" s="201"/>
      <c r="AV9" s="201"/>
      <c r="AW9" s="201"/>
      <c r="AX9" s="201"/>
      <c r="AY9" s="201"/>
      <c r="AZ9" s="201"/>
      <c r="BA9" s="201"/>
      <c r="BB9" s="201"/>
      <c r="BC9" s="201"/>
      <c r="BD9" s="201"/>
      <c r="BE9" s="201"/>
      <c r="BF9" s="13"/>
      <c r="BH9" s="187"/>
      <c r="BI9" s="187"/>
      <c r="BJ9" s="187"/>
      <c r="BK9" s="187"/>
      <c r="BL9" s="191"/>
      <c r="BM9" s="192"/>
      <c r="BN9" s="192"/>
      <c r="BO9" s="192"/>
      <c r="BP9" s="192"/>
      <c r="BQ9" s="192"/>
      <c r="BR9" s="192"/>
      <c r="BS9" s="192"/>
      <c r="BT9" s="192"/>
      <c r="BU9" s="192"/>
      <c r="BV9" s="192"/>
      <c r="BW9" s="193"/>
    </row>
    <row r="10" spans="1:76" s="11" customFormat="1" ht="13.5" customHeight="1">
      <c r="A10" s="28"/>
      <c r="B10" s="88" t="s">
        <v>335</v>
      </c>
      <c r="C10" s="77"/>
      <c r="D10" s="77"/>
      <c r="E10" s="77"/>
      <c r="F10" s="77"/>
      <c r="G10" s="77"/>
      <c r="H10" s="78"/>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13"/>
      <c r="BH10" s="59"/>
      <c r="BI10" s="60"/>
      <c r="BJ10" s="60"/>
      <c r="BK10" s="60"/>
      <c r="BL10" s="217" t="s">
        <v>271</v>
      </c>
      <c r="BM10" s="206"/>
      <c r="BN10" s="206"/>
      <c r="BO10" s="206"/>
      <c r="BP10" s="206"/>
      <c r="BQ10" s="206"/>
      <c r="BR10" s="206"/>
      <c r="BS10" s="206"/>
      <c r="BT10" s="206"/>
      <c r="BU10" s="206"/>
      <c r="BV10" s="206"/>
      <c r="BW10" s="218"/>
      <c r="BX10" s="69" t="s">
        <v>272</v>
      </c>
    </row>
    <row r="11" spans="1:76" s="11" customFormat="1" ht="13.5" customHeight="1">
      <c r="A11" s="28"/>
      <c r="B11" s="47"/>
      <c r="C11" s="45"/>
      <c r="D11" s="45"/>
      <c r="E11" s="45"/>
      <c r="F11" s="45"/>
      <c r="G11" s="45"/>
      <c r="H11" s="46"/>
      <c r="I11" s="45"/>
      <c r="J11" s="45"/>
      <c r="K11" s="45"/>
      <c r="L11" s="45"/>
      <c r="M11" s="45"/>
      <c r="N11" s="45"/>
      <c r="O11" s="45"/>
      <c r="P11" s="47"/>
      <c r="Q11" s="45"/>
      <c r="R11" s="45"/>
      <c r="S11" s="45"/>
      <c r="T11" s="45"/>
      <c r="U11" s="45"/>
      <c r="V11" s="45"/>
      <c r="W11" s="47"/>
      <c r="X11" s="45"/>
      <c r="Y11" s="45"/>
      <c r="Z11" s="45"/>
      <c r="AA11" s="45"/>
      <c r="AB11" s="45"/>
      <c r="AC11" s="46"/>
      <c r="AD11" s="47"/>
      <c r="AE11" s="45"/>
      <c r="AF11" s="45"/>
      <c r="AG11" s="45"/>
      <c r="AH11" s="45"/>
      <c r="AI11" s="45"/>
      <c r="AJ11" s="46"/>
      <c r="AK11" s="45"/>
      <c r="AL11" s="45"/>
      <c r="AM11" s="45"/>
      <c r="AN11" s="45"/>
      <c r="AO11" s="45"/>
      <c r="AP11" s="45"/>
      <c r="AQ11" s="45"/>
      <c r="AR11" s="45"/>
      <c r="AS11" s="45"/>
      <c r="AT11" s="45"/>
      <c r="AU11" s="45"/>
      <c r="AV11" s="45"/>
      <c r="AW11" s="45"/>
      <c r="AX11" s="45"/>
      <c r="AY11" s="45"/>
      <c r="AZ11" s="45"/>
      <c r="BA11" s="47"/>
      <c r="BB11" s="45"/>
      <c r="BC11" s="45"/>
      <c r="BD11" s="45"/>
      <c r="BE11" s="46"/>
      <c r="BF11" s="13"/>
      <c r="BH11" s="62"/>
      <c r="BL11" s="219"/>
      <c r="BM11" s="195"/>
      <c r="BN11" s="195"/>
      <c r="BO11" s="195"/>
      <c r="BP11" s="195"/>
      <c r="BQ11" s="195"/>
      <c r="BR11" s="195"/>
      <c r="BS11" s="195"/>
      <c r="BT11" s="195"/>
      <c r="BU11" s="195"/>
      <c r="BV11" s="195"/>
      <c r="BW11" s="220"/>
      <c r="BX11" s="70" t="s">
        <v>273</v>
      </c>
    </row>
    <row r="12" spans="1:76" s="11" customFormat="1" ht="13.5" customHeight="1">
      <c r="A12" s="28"/>
      <c r="B12" s="31"/>
      <c r="C12" s="24"/>
      <c r="D12" s="24"/>
      <c r="E12" s="24"/>
      <c r="F12" s="24"/>
      <c r="G12" s="24"/>
      <c r="H12" s="23"/>
      <c r="I12" s="24"/>
      <c r="J12" s="24"/>
      <c r="K12" s="24"/>
      <c r="L12" s="24"/>
      <c r="M12" s="24"/>
      <c r="N12" s="24"/>
      <c r="O12" s="24"/>
      <c r="P12" s="31"/>
      <c r="Q12" s="24"/>
      <c r="R12" s="24"/>
      <c r="S12" s="24"/>
      <c r="T12" s="24"/>
      <c r="U12" s="24"/>
      <c r="V12" s="24"/>
      <c r="W12" s="31"/>
      <c r="X12" s="24"/>
      <c r="Y12" s="24"/>
      <c r="Z12" s="24"/>
      <c r="AA12" s="24"/>
      <c r="AB12" s="24"/>
      <c r="AC12" s="23"/>
      <c r="AD12" s="31"/>
      <c r="AE12" s="24"/>
      <c r="AF12" s="24"/>
      <c r="AG12" s="24"/>
      <c r="AH12" s="24"/>
      <c r="AI12" s="24"/>
      <c r="AJ12" s="23"/>
      <c r="AK12" s="24"/>
      <c r="AL12" s="24"/>
      <c r="AM12" s="24"/>
      <c r="AN12" s="24"/>
      <c r="AO12" s="24"/>
      <c r="AP12" s="24"/>
      <c r="AQ12" s="24"/>
      <c r="AR12" s="24"/>
      <c r="AS12" s="24"/>
      <c r="AT12" s="24"/>
      <c r="AU12" s="24"/>
      <c r="AV12" s="24"/>
      <c r="AW12" s="24"/>
      <c r="AX12" s="24"/>
      <c r="AY12" s="24"/>
      <c r="AZ12" s="24"/>
      <c r="BA12" s="31"/>
      <c r="BB12" s="24"/>
      <c r="BC12" s="24"/>
      <c r="BD12" s="24"/>
      <c r="BE12" s="23"/>
      <c r="BF12" s="13"/>
      <c r="BH12" s="62"/>
      <c r="BL12" s="219"/>
      <c r="BM12" s="195"/>
      <c r="BN12" s="195"/>
      <c r="BO12" s="195"/>
      <c r="BP12" s="195"/>
      <c r="BQ12" s="195"/>
      <c r="BR12" s="195"/>
      <c r="BS12" s="195"/>
      <c r="BT12" s="195"/>
      <c r="BU12" s="195"/>
      <c r="BV12" s="195"/>
      <c r="BW12" s="220"/>
      <c r="BX12" s="70" t="s">
        <v>274</v>
      </c>
    </row>
    <row r="13" spans="1:76" s="11" customFormat="1" ht="13.5" customHeight="1">
      <c r="A13" s="28"/>
      <c r="B13" s="31"/>
      <c r="C13" s="24"/>
      <c r="D13" s="24"/>
      <c r="E13" s="24"/>
      <c r="F13" s="24"/>
      <c r="G13" s="24"/>
      <c r="H13" s="23"/>
      <c r="I13" s="24"/>
      <c r="J13" s="24"/>
      <c r="K13" s="24"/>
      <c r="L13" s="24"/>
      <c r="M13" s="24"/>
      <c r="N13" s="24"/>
      <c r="O13" s="24"/>
      <c r="P13" s="31"/>
      <c r="Q13" s="24"/>
      <c r="R13" s="24"/>
      <c r="S13" s="24"/>
      <c r="T13" s="24"/>
      <c r="U13" s="24"/>
      <c r="V13" s="24"/>
      <c r="W13" s="31"/>
      <c r="X13" s="24"/>
      <c r="Y13" s="24"/>
      <c r="Z13" s="24"/>
      <c r="AA13" s="24"/>
      <c r="AB13" s="24"/>
      <c r="AC13" s="23"/>
      <c r="AD13" s="31"/>
      <c r="AE13" s="24"/>
      <c r="AF13" s="24"/>
      <c r="AG13" s="24"/>
      <c r="AH13" s="24"/>
      <c r="AI13" s="24"/>
      <c r="AJ13" s="23"/>
      <c r="AK13" s="24"/>
      <c r="AL13" s="24"/>
      <c r="AM13" s="24"/>
      <c r="AN13" s="24"/>
      <c r="AO13" s="24"/>
      <c r="AP13" s="24"/>
      <c r="AQ13" s="24"/>
      <c r="AR13" s="24"/>
      <c r="AS13" s="24"/>
      <c r="AT13" s="24"/>
      <c r="AU13" s="24"/>
      <c r="AV13" s="24"/>
      <c r="AW13" s="24"/>
      <c r="AX13" s="24"/>
      <c r="AY13" s="24"/>
      <c r="AZ13" s="24"/>
      <c r="BA13" s="31"/>
      <c r="BB13" s="24"/>
      <c r="BC13" s="24"/>
      <c r="BD13" s="24"/>
      <c r="BE13" s="23"/>
      <c r="BF13" s="13"/>
      <c r="BH13" s="62"/>
      <c r="BL13" s="219"/>
      <c r="BM13" s="195"/>
      <c r="BN13" s="195"/>
      <c r="BO13" s="195"/>
      <c r="BP13" s="195"/>
      <c r="BQ13" s="195"/>
      <c r="BR13" s="195"/>
      <c r="BS13" s="195"/>
      <c r="BT13" s="195"/>
      <c r="BU13" s="195"/>
      <c r="BV13" s="195"/>
      <c r="BW13" s="220"/>
      <c r="BX13" s="69" t="s">
        <v>275</v>
      </c>
    </row>
    <row r="14" spans="1:76" s="11" customFormat="1" ht="13.5" customHeight="1">
      <c r="A14" s="28"/>
      <c r="B14" s="31"/>
      <c r="C14" s="24"/>
      <c r="D14" s="24"/>
      <c r="E14" s="24"/>
      <c r="F14" s="24"/>
      <c r="G14" s="24"/>
      <c r="H14" s="23"/>
      <c r="I14" s="24"/>
      <c r="J14" s="24"/>
      <c r="K14" s="24"/>
      <c r="L14" s="24"/>
      <c r="M14" s="24"/>
      <c r="N14" s="24"/>
      <c r="O14" s="24"/>
      <c r="P14" s="31"/>
      <c r="Q14" s="24"/>
      <c r="R14" s="24"/>
      <c r="S14" s="24"/>
      <c r="T14" s="24"/>
      <c r="U14" s="24"/>
      <c r="V14" s="24"/>
      <c r="W14" s="31"/>
      <c r="X14" s="24"/>
      <c r="Y14" s="24"/>
      <c r="Z14" s="24"/>
      <c r="AA14" s="24"/>
      <c r="AB14" s="24"/>
      <c r="AC14" s="23"/>
      <c r="AD14" s="31"/>
      <c r="AE14" s="24"/>
      <c r="AF14" s="24"/>
      <c r="AG14" s="24"/>
      <c r="AH14" s="24"/>
      <c r="AI14" s="24"/>
      <c r="AJ14" s="23"/>
      <c r="AK14" s="24"/>
      <c r="AL14" s="24"/>
      <c r="AM14" s="24"/>
      <c r="AN14" s="24"/>
      <c r="AO14" s="24"/>
      <c r="AP14" s="24"/>
      <c r="AQ14" s="24"/>
      <c r="AR14" s="24"/>
      <c r="AS14" s="24"/>
      <c r="AT14" s="24"/>
      <c r="AU14" s="24"/>
      <c r="AV14" s="24"/>
      <c r="AW14" s="24"/>
      <c r="AX14" s="24"/>
      <c r="AY14" s="24"/>
      <c r="AZ14" s="24"/>
      <c r="BA14" s="31"/>
      <c r="BB14" s="24"/>
      <c r="BC14" s="24"/>
      <c r="BD14" s="24"/>
      <c r="BE14" s="23"/>
      <c r="BF14" s="13"/>
      <c r="BH14" s="62"/>
      <c r="BL14" s="219"/>
      <c r="BM14" s="195"/>
      <c r="BN14" s="195"/>
      <c r="BO14" s="195"/>
      <c r="BP14" s="195"/>
      <c r="BQ14" s="195"/>
      <c r="BR14" s="195"/>
      <c r="BS14" s="195"/>
      <c r="BT14" s="195"/>
      <c r="BU14" s="195"/>
      <c r="BV14" s="195"/>
      <c r="BW14" s="220"/>
    </row>
    <row r="15" spans="1:76" s="11" customFormat="1" ht="13.5" customHeight="1">
      <c r="A15" s="28"/>
      <c r="B15" s="31"/>
      <c r="C15" s="24"/>
      <c r="D15" s="24"/>
      <c r="E15" s="24"/>
      <c r="F15" s="24"/>
      <c r="G15" s="24"/>
      <c r="H15" s="23"/>
      <c r="I15" s="24"/>
      <c r="J15" s="24"/>
      <c r="K15" s="24"/>
      <c r="L15" s="24"/>
      <c r="M15" s="24"/>
      <c r="N15" s="24"/>
      <c r="O15" s="24"/>
      <c r="P15" s="31"/>
      <c r="Q15" s="24"/>
      <c r="R15" s="24"/>
      <c r="S15" s="24"/>
      <c r="T15" s="24"/>
      <c r="U15" s="24"/>
      <c r="V15" s="24"/>
      <c r="W15" s="31"/>
      <c r="X15" s="24"/>
      <c r="Y15" s="24"/>
      <c r="Z15" s="24"/>
      <c r="AA15" s="24"/>
      <c r="AB15" s="24"/>
      <c r="AC15" s="23"/>
      <c r="AD15" s="31"/>
      <c r="AE15" s="24"/>
      <c r="AF15" s="24"/>
      <c r="AG15" s="24"/>
      <c r="AH15" s="24"/>
      <c r="AI15" s="24"/>
      <c r="AJ15" s="23"/>
      <c r="AK15" s="24"/>
      <c r="AL15" s="24"/>
      <c r="AM15" s="24"/>
      <c r="AN15" s="24"/>
      <c r="AO15" s="24"/>
      <c r="AP15" s="24"/>
      <c r="AQ15" s="24"/>
      <c r="AR15" s="24"/>
      <c r="AS15" s="24"/>
      <c r="AT15" s="24"/>
      <c r="AU15" s="24"/>
      <c r="AV15" s="24"/>
      <c r="AW15" s="24"/>
      <c r="AX15" s="24"/>
      <c r="AY15" s="24"/>
      <c r="AZ15" s="24"/>
      <c r="BA15" s="31"/>
      <c r="BB15" s="24"/>
      <c r="BC15" s="24"/>
      <c r="BD15" s="24"/>
      <c r="BE15" s="23"/>
      <c r="BF15" s="13"/>
      <c r="BH15" s="62"/>
      <c r="BL15" s="219"/>
      <c r="BM15" s="195"/>
      <c r="BN15" s="195"/>
      <c r="BO15" s="195"/>
      <c r="BP15" s="195"/>
      <c r="BQ15" s="195"/>
      <c r="BR15" s="195"/>
      <c r="BS15" s="195"/>
      <c r="BT15" s="195"/>
      <c r="BU15" s="195"/>
      <c r="BV15" s="195"/>
      <c r="BW15" s="220"/>
    </row>
    <row r="16" spans="1:76" s="11" customFormat="1" ht="13.5" customHeight="1">
      <c r="A16" s="28"/>
      <c r="B16" s="31"/>
      <c r="C16" s="24"/>
      <c r="D16" s="24"/>
      <c r="E16" s="24"/>
      <c r="F16" s="24"/>
      <c r="G16" s="24"/>
      <c r="H16" s="23"/>
      <c r="I16" s="24"/>
      <c r="J16" s="24"/>
      <c r="K16" s="24"/>
      <c r="L16" s="24"/>
      <c r="M16" s="24"/>
      <c r="N16" s="24"/>
      <c r="O16" s="24"/>
      <c r="P16" s="31"/>
      <c r="Q16" s="24"/>
      <c r="R16" s="24"/>
      <c r="S16" s="24"/>
      <c r="T16" s="24"/>
      <c r="U16" s="24"/>
      <c r="V16" s="24"/>
      <c r="W16" s="31"/>
      <c r="X16" s="24"/>
      <c r="Y16" s="24"/>
      <c r="Z16" s="24"/>
      <c r="AA16" s="24"/>
      <c r="AB16" s="24"/>
      <c r="AC16" s="23"/>
      <c r="AD16" s="31"/>
      <c r="AE16" s="24"/>
      <c r="AF16" s="24"/>
      <c r="AG16" s="24"/>
      <c r="AH16" s="24"/>
      <c r="AI16" s="24"/>
      <c r="AJ16" s="23"/>
      <c r="AK16" s="24"/>
      <c r="AO16" s="8"/>
      <c r="AP16" s="8"/>
      <c r="AQ16" s="24"/>
      <c r="AR16" s="24"/>
      <c r="AS16" s="24"/>
      <c r="AT16" s="24"/>
      <c r="AU16" s="24"/>
      <c r="AV16" s="24"/>
      <c r="AW16" s="24"/>
      <c r="AX16" s="24"/>
      <c r="AY16" s="24"/>
      <c r="AZ16" s="24"/>
      <c r="BA16" s="31"/>
      <c r="BB16" s="24"/>
      <c r="BC16" s="24"/>
      <c r="BD16" s="24"/>
      <c r="BE16" s="23"/>
      <c r="BF16" s="13"/>
      <c r="BH16" s="62"/>
      <c r="BL16" s="219"/>
      <c r="BM16" s="195"/>
      <c r="BN16" s="195"/>
      <c r="BO16" s="195"/>
      <c r="BP16" s="195"/>
      <c r="BQ16" s="195"/>
      <c r="BR16" s="195"/>
      <c r="BS16" s="195"/>
      <c r="BT16" s="195"/>
      <c r="BU16" s="195"/>
      <c r="BV16" s="195"/>
      <c r="BW16" s="220"/>
    </row>
    <row r="17" spans="1:75" s="11" customFormat="1" ht="13.5" customHeight="1">
      <c r="A17" s="28"/>
      <c r="B17" s="31"/>
      <c r="C17" s="24"/>
      <c r="D17" s="24"/>
      <c r="E17" s="24"/>
      <c r="F17" s="24"/>
      <c r="G17" s="24"/>
      <c r="H17" s="23"/>
      <c r="I17" s="24"/>
      <c r="J17" s="24"/>
      <c r="K17" s="24"/>
      <c r="L17" s="24"/>
      <c r="M17" s="24"/>
      <c r="N17" s="24"/>
      <c r="O17" s="24"/>
      <c r="P17" s="31"/>
      <c r="Q17" s="24"/>
      <c r="R17" s="24"/>
      <c r="S17" s="24"/>
      <c r="T17" s="24"/>
      <c r="U17" s="24"/>
      <c r="V17" s="24"/>
      <c r="W17" s="31"/>
      <c r="X17" s="24"/>
      <c r="Y17" s="24"/>
      <c r="Z17" s="24"/>
      <c r="AA17" s="24"/>
      <c r="AB17" s="24"/>
      <c r="AC17" s="23"/>
      <c r="AD17" s="31"/>
      <c r="AE17" s="24"/>
      <c r="AF17" s="24"/>
      <c r="AG17" s="24"/>
      <c r="AH17" s="24"/>
      <c r="AI17" s="24"/>
      <c r="AJ17" s="23"/>
      <c r="AK17" s="24"/>
      <c r="AL17" s="25"/>
      <c r="AN17" s="8"/>
      <c r="AO17" s="8"/>
      <c r="AP17" s="8"/>
      <c r="AQ17" s="24"/>
      <c r="AR17" s="24"/>
      <c r="AS17" s="24"/>
      <c r="AT17" s="24"/>
      <c r="AU17" s="24"/>
      <c r="AV17" s="24"/>
      <c r="AW17" s="24"/>
      <c r="AX17" s="24"/>
      <c r="AY17" s="24"/>
      <c r="AZ17" s="24"/>
      <c r="BA17" s="31"/>
      <c r="BB17" s="24"/>
      <c r="BC17" s="24"/>
      <c r="BD17" s="24"/>
      <c r="BE17" s="23"/>
      <c r="BF17" s="13"/>
      <c r="BH17" s="175" t="s">
        <v>276</v>
      </c>
      <c r="BI17" s="176"/>
      <c r="BJ17" s="176"/>
      <c r="BK17" s="177"/>
      <c r="BL17" s="219"/>
      <c r="BM17" s="195"/>
      <c r="BN17" s="195"/>
      <c r="BO17" s="195"/>
      <c r="BP17" s="195"/>
      <c r="BQ17" s="195"/>
      <c r="BR17" s="195"/>
      <c r="BS17" s="195"/>
      <c r="BT17" s="195"/>
      <c r="BU17" s="195"/>
      <c r="BV17" s="195"/>
      <c r="BW17" s="220"/>
    </row>
    <row r="18" spans="1:75" s="11" customFormat="1" ht="13.5" customHeight="1">
      <c r="A18" s="28"/>
      <c r="B18" s="31"/>
      <c r="C18" s="24"/>
      <c r="D18" s="24"/>
      <c r="E18" s="24"/>
      <c r="F18" s="24"/>
      <c r="G18" s="24"/>
      <c r="H18" s="23"/>
      <c r="I18" s="24"/>
      <c r="J18" s="24"/>
      <c r="K18" s="24"/>
      <c r="L18" s="24"/>
      <c r="M18" s="24"/>
      <c r="N18" s="24"/>
      <c r="O18" s="24"/>
      <c r="P18" s="31"/>
      <c r="Q18" s="24"/>
      <c r="R18" s="24"/>
      <c r="S18" s="24"/>
      <c r="T18" s="24"/>
      <c r="U18" s="24"/>
      <c r="V18" s="24"/>
      <c r="W18" s="31"/>
      <c r="X18" s="24"/>
      <c r="Y18" s="24"/>
      <c r="Z18" s="24"/>
      <c r="AA18" s="24"/>
      <c r="AB18" s="24"/>
      <c r="AC18" s="23"/>
      <c r="AD18" s="31"/>
      <c r="AE18" s="24"/>
      <c r="AF18" s="24"/>
      <c r="AG18" s="24"/>
      <c r="AH18" s="24"/>
      <c r="AI18" s="24"/>
      <c r="AJ18" s="23"/>
      <c r="AK18" s="24"/>
      <c r="AL18" s="8"/>
      <c r="AM18" s="8"/>
      <c r="AN18" s="8"/>
      <c r="AO18" s="8"/>
      <c r="AP18" s="8"/>
      <c r="AQ18" s="24"/>
      <c r="AR18" s="24"/>
      <c r="AS18" s="24"/>
      <c r="AT18" s="24"/>
      <c r="AU18" s="24"/>
      <c r="AV18" s="24"/>
      <c r="AW18" s="24"/>
      <c r="AX18" s="24"/>
      <c r="AY18" s="24"/>
      <c r="AZ18" s="24"/>
      <c r="BA18" s="31"/>
      <c r="BB18" s="24"/>
      <c r="BC18" s="24"/>
      <c r="BD18" s="24"/>
      <c r="BE18" s="23"/>
      <c r="BF18" s="13"/>
      <c r="BH18" s="175"/>
      <c r="BI18" s="176"/>
      <c r="BJ18" s="176"/>
      <c r="BK18" s="177"/>
      <c r="BL18" s="219"/>
      <c r="BM18" s="195"/>
      <c r="BN18" s="195"/>
      <c r="BO18" s="195"/>
      <c r="BP18" s="195"/>
      <c r="BQ18" s="195"/>
      <c r="BR18" s="195"/>
      <c r="BS18" s="195"/>
      <c r="BT18" s="195"/>
      <c r="BU18" s="195"/>
      <c r="BV18" s="195"/>
      <c r="BW18" s="220"/>
    </row>
    <row r="19" spans="1:75" s="11" customFormat="1" ht="13.5" customHeight="1">
      <c r="A19" s="28"/>
      <c r="B19" s="31"/>
      <c r="C19" s="24"/>
      <c r="D19" s="24"/>
      <c r="E19" s="24"/>
      <c r="F19" s="24"/>
      <c r="G19" s="24"/>
      <c r="H19" s="23"/>
      <c r="I19" s="24"/>
      <c r="J19" s="24"/>
      <c r="K19" s="24"/>
      <c r="L19" s="24"/>
      <c r="M19" s="24"/>
      <c r="N19" s="24"/>
      <c r="O19" s="24"/>
      <c r="P19" s="31"/>
      <c r="Q19" s="24"/>
      <c r="R19" s="24"/>
      <c r="S19" s="24"/>
      <c r="T19" s="24"/>
      <c r="U19" s="24"/>
      <c r="V19" s="24"/>
      <c r="W19" s="31"/>
      <c r="X19" s="24"/>
      <c r="Y19" s="24"/>
      <c r="Z19" s="24"/>
      <c r="AA19" s="24"/>
      <c r="AB19" s="24"/>
      <c r="AC19" s="23"/>
      <c r="AD19" s="31"/>
      <c r="AE19" s="24"/>
      <c r="AF19" s="24"/>
      <c r="AG19" s="24"/>
      <c r="AH19" s="24"/>
      <c r="AI19" s="24"/>
      <c r="AJ19" s="23"/>
      <c r="AK19" s="24"/>
      <c r="AL19" s="8"/>
      <c r="AM19" s="8"/>
      <c r="AN19" s="8"/>
      <c r="AO19" s="8"/>
      <c r="AP19" s="8"/>
      <c r="AQ19" s="24"/>
      <c r="AR19" s="24"/>
      <c r="AS19" s="24"/>
      <c r="AT19" s="24"/>
      <c r="AU19" s="24"/>
      <c r="AV19" s="24"/>
      <c r="AW19" s="24"/>
      <c r="AX19" s="24"/>
      <c r="AY19" s="24"/>
      <c r="AZ19" s="24"/>
      <c r="BA19" s="31"/>
      <c r="BB19" s="24"/>
      <c r="BC19" s="24"/>
      <c r="BD19" s="24"/>
      <c r="BE19" s="23"/>
      <c r="BF19" s="13"/>
      <c r="BH19" s="175"/>
      <c r="BI19" s="176"/>
      <c r="BJ19" s="176"/>
      <c r="BK19" s="177"/>
      <c r="BL19" s="219"/>
      <c r="BM19" s="195"/>
      <c r="BN19" s="195"/>
      <c r="BO19" s="195"/>
      <c r="BP19" s="195"/>
      <c r="BQ19" s="195"/>
      <c r="BR19" s="195"/>
      <c r="BS19" s="195"/>
      <c r="BT19" s="195"/>
      <c r="BU19" s="195"/>
      <c r="BV19" s="195"/>
      <c r="BW19" s="220"/>
    </row>
    <row r="20" spans="1:75" s="11" customFormat="1" ht="13.5" customHeight="1">
      <c r="A20" s="28"/>
      <c r="B20" s="31"/>
      <c r="C20" s="24"/>
      <c r="D20" s="24"/>
      <c r="E20" s="24"/>
      <c r="F20" s="24"/>
      <c r="G20" s="24"/>
      <c r="H20" s="23"/>
      <c r="I20" s="24"/>
      <c r="J20" s="24"/>
      <c r="K20" s="24"/>
      <c r="L20" s="24"/>
      <c r="M20" s="24"/>
      <c r="N20" s="24"/>
      <c r="O20" s="24"/>
      <c r="P20" s="31"/>
      <c r="Q20" s="24"/>
      <c r="R20" s="24"/>
      <c r="S20" s="24"/>
      <c r="T20" s="24"/>
      <c r="U20" s="24"/>
      <c r="V20" s="24"/>
      <c r="W20" s="31"/>
      <c r="X20" s="24"/>
      <c r="Y20" s="24"/>
      <c r="Z20" s="24"/>
      <c r="AA20" s="24"/>
      <c r="AB20" s="24"/>
      <c r="AC20" s="23"/>
      <c r="AD20" s="31"/>
      <c r="AE20" s="24"/>
      <c r="AF20" s="24"/>
      <c r="AG20" s="24"/>
      <c r="AH20" s="24"/>
      <c r="AI20" s="24"/>
      <c r="AJ20" s="23"/>
      <c r="AK20" s="24"/>
      <c r="AL20" s="8"/>
      <c r="AM20" s="8"/>
      <c r="AN20" s="8"/>
      <c r="AO20" s="8"/>
      <c r="AP20" s="8"/>
      <c r="AQ20" s="24"/>
      <c r="AR20" s="24"/>
      <c r="AS20" s="24"/>
      <c r="AT20" s="24"/>
      <c r="AU20" s="24"/>
      <c r="AV20" s="24"/>
      <c r="AW20" s="24"/>
      <c r="AX20" s="24"/>
      <c r="AY20" s="24"/>
      <c r="AZ20" s="24"/>
      <c r="BA20" s="31"/>
      <c r="BB20" s="24"/>
      <c r="BC20" s="24"/>
      <c r="BD20" s="24"/>
      <c r="BE20" s="23"/>
      <c r="BF20" s="13"/>
      <c r="BH20" s="175"/>
      <c r="BI20" s="176"/>
      <c r="BJ20" s="176"/>
      <c r="BK20" s="177"/>
      <c r="BL20" s="219"/>
      <c r="BM20" s="195"/>
      <c r="BN20" s="195"/>
      <c r="BO20" s="195"/>
      <c r="BP20" s="195"/>
      <c r="BQ20" s="195"/>
      <c r="BR20" s="195"/>
      <c r="BS20" s="195"/>
      <c r="BT20" s="195"/>
      <c r="BU20" s="195"/>
      <c r="BV20" s="195"/>
      <c r="BW20" s="220"/>
    </row>
    <row r="21" spans="1:75" s="11" customFormat="1" ht="13.5" customHeight="1">
      <c r="A21" s="28"/>
      <c r="B21" s="31"/>
      <c r="C21" s="24"/>
      <c r="D21" s="24"/>
      <c r="E21" s="24"/>
      <c r="F21" s="24"/>
      <c r="G21" s="24"/>
      <c r="H21" s="23"/>
      <c r="I21" s="24"/>
      <c r="J21" s="24"/>
      <c r="K21" s="24"/>
      <c r="L21" s="24"/>
      <c r="M21" s="24"/>
      <c r="N21" s="24"/>
      <c r="O21" s="24"/>
      <c r="P21" s="31"/>
      <c r="Q21" s="24"/>
      <c r="R21" s="24"/>
      <c r="S21" s="24"/>
      <c r="T21" s="24"/>
      <c r="U21" s="24"/>
      <c r="V21" s="24"/>
      <c r="W21" s="31"/>
      <c r="X21" s="24"/>
      <c r="Y21" s="24"/>
      <c r="Z21" s="24"/>
      <c r="AA21" s="24"/>
      <c r="AB21" s="24"/>
      <c r="AC21" s="23"/>
      <c r="AD21" s="31"/>
      <c r="AE21" s="24"/>
      <c r="AF21" s="24"/>
      <c r="AG21" s="24"/>
      <c r="AH21" s="24"/>
      <c r="AI21" s="24"/>
      <c r="AJ21" s="23"/>
      <c r="AK21" s="24"/>
      <c r="AL21" s="8"/>
      <c r="AM21" s="8"/>
      <c r="AN21" s="8"/>
      <c r="AO21" s="8"/>
      <c r="AP21" s="8"/>
      <c r="AQ21" s="24"/>
      <c r="AR21" s="24"/>
      <c r="AS21" s="24"/>
      <c r="AT21" s="24"/>
      <c r="AU21" s="24"/>
      <c r="AV21" s="24"/>
      <c r="AW21" s="24"/>
      <c r="AX21" s="24"/>
      <c r="AY21" s="24"/>
      <c r="AZ21" s="24"/>
      <c r="BA21" s="31"/>
      <c r="BB21" s="24"/>
      <c r="BC21" s="24"/>
      <c r="BD21" s="24"/>
      <c r="BE21" s="23"/>
      <c r="BF21" s="13"/>
      <c r="BH21" s="175"/>
      <c r="BI21" s="176"/>
      <c r="BJ21" s="176"/>
      <c r="BK21" s="177"/>
      <c r="BL21" s="219"/>
      <c r="BM21" s="195"/>
      <c r="BN21" s="195"/>
      <c r="BO21" s="195"/>
      <c r="BP21" s="195"/>
      <c r="BQ21" s="195"/>
      <c r="BR21" s="195"/>
      <c r="BS21" s="195"/>
      <c r="BT21" s="195"/>
      <c r="BU21" s="195"/>
      <c r="BV21" s="195"/>
      <c r="BW21" s="220"/>
    </row>
    <row r="22" spans="1:75" s="11" customFormat="1" ht="13.5" customHeight="1">
      <c r="A22" s="28"/>
      <c r="B22" s="31"/>
      <c r="C22" s="24"/>
      <c r="D22" s="24"/>
      <c r="E22" s="24"/>
      <c r="F22" s="24"/>
      <c r="G22" s="24"/>
      <c r="H22" s="23"/>
      <c r="I22" s="24"/>
      <c r="J22" s="24"/>
      <c r="K22" s="24"/>
      <c r="L22" s="24"/>
      <c r="M22" s="24"/>
      <c r="N22" s="24"/>
      <c r="O22" s="24"/>
      <c r="P22" s="31"/>
      <c r="Q22" s="24"/>
      <c r="R22" s="24"/>
      <c r="S22" s="24"/>
      <c r="T22" s="24"/>
      <c r="U22" s="24"/>
      <c r="V22" s="24"/>
      <c r="W22" s="31"/>
      <c r="X22" s="24"/>
      <c r="Y22" s="24"/>
      <c r="Z22" s="24"/>
      <c r="AA22" s="24"/>
      <c r="AB22" s="24"/>
      <c r="AC22" s="23"/>
      <c r="AD22" s="31"/>
      <c r="AE22" s="24"/>
      <c r="AF22" s="24"/>
      <c r="AG22" s="24"/>
      <c r="AH22" s="24"/>
      <c r="AI22" s="24"/>
      <c r="AJ22" s="23"/>
      <c r="AK22" s="24"/>
      <c r="AN22" s="8"/>
      <c r="AO22" s="8"/>
      <c r="AP22" s="8"/>
      <c r="AQ22" s="24"/>
      <c r="AR22" s="24"/>
      <c r="AS22" s="24"/>
      <c r="AT22" s="24"/>
      <c r="AU22" s="24"/>
      <c r="AV22" s="24"/>
      <c r="AW22" s="24"/>
      <c r="AX22" s="24"/>
      <c r="AY22" s="24"/>
      <c r="AZ22" s="24"/>
      <c r="BA22" s="31"/>
      <c r="BB22" s="24"/>
      <c r="BC22" s="24"/>
      <c r="BD22" s="24"/>
      <c r="BE22" s="23"/>
      <c r="BF22" s="13"/>
      <c r="BH22" s="175"/>
      <c r="BI22" s="176"/>
      <c r="BJ22" s="176"/>
      <c r="BK22" s="177"/>
      <c r="BL22" s="172" t="s">
        <v>277</v>
      </c>
      <c r="BM22" s="173"/>
      <c r="BN22" s="173"/>
      <c r="BO22" s="173"/>
      <c r="BP22" s="173"/>
      <c r="BQ22" s="173"/>
      <c r="BR22" s="173"/>
      <c r="BS22" s="173"/>
      <c r="BT22" s="173"/>
      <c r="BU22" s="173"/>
      <c r="BV22" s="173"/>
      <c r="BW22" s="174"/>
    </row>
    <row r="23" spans="1:75" s="11" customFormat="1" ht="13.5" customHeight="1">
      <c r="A23" s="28"/>
      <c r="B23" s="31"/>
      <c r="C23" s="24"/>
      <c r="D23" s="24"/>
      <c r="E23" s="24"/>
      <c r="F23" s="24"/>
      <c r="G23" s="24"/>
      <c r="H23" s="23"/>
      <c r="I23" s="24"/>
      <c r="J23" s="24"/>
      <c r="K23" s="24"/>
      <c r="L23" s="24"/>
      <c r="M23" s="24"/>
      <c r="N23" s="24"/>
      <c r="O23" s="24"/>
      <c r="P23" s="31"/>
      <c r="Q23" s="24"/>
      <c r="R23" s="24"/>
      <c r="S23" s="24"/>
      <c r="T23" s="24"/>
      <c r="U23" s="24"/>
      <c r="V23" s="24"/>
      <c r="W23" s="31"/>
      <c r="X23" s="24"/>
      <c r="Y23" s="24"/>
      <c r="Z23" s="24"/>
      <c r="AA23" s="24"/>
      <c r="AB23" s="24"/>
      <c r="AC23" s="23"/>
      <c r="AD23" s="31"/>
      <c r="AE23" s="24"/>
      <c r="AF23" s="24"/>
      <c r="AG23" s="24"/>
      <c r="AH23" s="24"/>
      <c r="AI23" s="24"/>
      <c r="AJ23" s="23"/>
      <c r="AK23" s="24"/>
      <c r="AL23" s="16"/>
      <c r="AM23" s="8"/>
      <c r="AN23" s="8"/>
      <c r="AO23" s="8"/>
      <c r="AP23" s="8"/>
      <c r="AQ23" s="24"/>
      <c r="AR23" s="24"/>
      <c r="AS23" s="24"/>
      <c r="AT23" s="24"/>
      <c r="AU23" s="24"/>
      <c r="AV23" s="24"/>
      <c r="AW23" s="24"/>
      <c r="AX23" s="24"/>
      <c r="AY23" s="24"/>
      <c r="AZ23" s="24"/>
      <c r="BA23" s="31"/>
      <c r="BB23" s="24"/>
      <c r="BC23" s="24"/>
      <c r="BD23" s="24"/>
      <c r="BE23" s="23"/>
      <c r="BF23" s="13"/>
      <c r="BH23" s="64"/>
      <c r="BI23" s="8"/>
      <c r="BJ23" s="8"/>
      <c r="BK23" s="8"/>
      <c r="BL23" s="172"/>
      <c r="BM23" s="173"/>
      <c r="BN23" s="173"/>
      <c r="BO23" s="173"/>
      <c r="BP23" s="173"/>
      <c r="BQ23" s="173"/>
      <c r="BR23" s="173"/>
      <c r="BS23" s="173"/>
      <c r="BT23" s="173"/>
      <c r="BU23" s="173"/>
      <c r="BV23" s="173"/>
      <c r="BW23" s="174"/>
    </row>
    <row r="24" spans="1:75" s="11" customFormat="1" ht="13.5" customHeight="1">
      <c r="A24" s="28"/>
      <c r="B24" s="31"/>
      <c r="C24" s="24"/>
      <c r="D24" s="24"/>
      <c r="E24" s="24"/>
      <c r="F24" s="24"/>
      <c r="G24" s="24"/>
      <c r="H24" s="23"/>
      <c r="I24" s="24"/>
      <c r="J24" s="24"/>
      <c r="K24" s="24"/>
      <c r="L24" s="24"/>
      <c r="M24" s="24"/>
      <c r="N24" s="24"/>
      <c r="O24" s="24"/>
      <c r="P24" s="31"/>
      <c r="Q24" s="24"/>
      <c r="R24" s="24"/>
      <c r="S24" s="24"/>
      <c r="T24" s="24"/>
      <c r="U24" s="24"/>
      <c r="V24" s="24"/>
      <c r="W24" s="31"/>
      <c r="X24" s="24"/>
      <c r="Y24" s="24"/>
      <c r="Z24" s="24"/>
      <c r="AA24" s="24"/>
      <c r="AB24" s="24"/>
      <c r="AC24" s="23"/>
      <c r="AD24" s="31"/>
      <c r="AE24" s="24"/>
      <c r="AF24" s="24"/>
      <c r="AG24" s="24"/>
      <c r="AH24" s="24"/>
      <c r="AI24" s="24"/>
      <c r="AJ24" s="23"/>
      <c r="AK24" s="24"/>
      <c r="AL24" s="8"/>
      <c r="AM24" s="8"/>
      <c r="AN24" s="24"/>
      <c r="AO24" s="24"/>
      <c r="AP24" s="24"/>
      <c r="AQ24" s="24"/>
      <c r="AR24" s="24"/>
      <c r="AS24" s="24"/>
      <c r="AT24" s="24"/>
      <c r="AU24" s="24"/>
      <c r="AV24" s="24"/>
      <c r="AW24" s="24"/>
      <c r="AX24" s="24"/>
      <c r="AY24" s="24"/>
      <c r="AZ24" s="24"/>
      <c r="BA24" s="31"/>
      <c r="BB24" s="24"/>
      <c r="BC24" s="24"/>
      <c r="BD24" s="24"/>
      <c r="BE24" s="23"/>
      <c r="BF24" s="13"/>
      <c r="BH24" s="64"/>
      <c r="BI24" s="8"/>
      <c r="BJ24" s="8"/>
      <c r="BK24" s="8"/>
      <c r="BL24" s="172"/>
      <c r="BM24" s="173"/>
      <c r="BN24" s="173"/>
      <c r="BO24" s="173"/>
      <c r="BP24" s="173"/>
      <c r="BQ24" s="173"/>
      <c r="BR24" s="173"/>
      <c r="BS24" s="173"/>
      <c r="BT24" s="173"/>
      <c r="BU24" s="173"/>
      <c r="BV24" s="173"/>
      <c r="BW24" s="174"/>
    </row>
    <row r="25" spans="1:75" s="11" customFormat="1" ht="13.5" customHeight="1">
      <c r="A25" s="28"/>
      <c r="B25" s="31"/>
      <c r="C25" s="24"/>
      <c r="D25" s="24"/>
      <c r="E25" s="24"/>
      <c r="F25" s="24"/>
      <c r="G25" s="24"/>
      <c r="H25" s="23"/>
      <c r="I25" s="24"/>
      <c r="J25" s="24"/>
      <c r="K25" s="24"/>
      <c r="L25" s="24"/>
      <c r="M25" s="24"/>
      <c r="N25" s="24"/>
      <c r="O25" s="24"/>
      <c r="P25" s="31"/>
      <c r="Q25" s="24"/>
      <c r="R25" s="24"/>
      <c r="S25" s="24"/>
      <c r="T25" s="24"/>
      <c r="U25" s="24"/>
      <c r="V25" s="24"/>
      <c r="W25" s="31"/>
      <c r="X25" s="24"/>
      <c r="Y25" s="24"/>
      <c r="Z25" s="24"/>
      <c r="AA25" s="24"/>
      <c r="AB25" s="24"/>
      <c r="AC25" s="23"/>
      <c r="AD25" s="31"/>
      <c r="AE25" s="24"/>
      <c r="AF25" s="24"/>
      <c r="AG25" s="24"/>
      <c r="AH25" s="24"/>
      <c r="AI25" s="24"/>
      <c r="AJ25" s="23"/>
      <c r="AK25" s="24"/>
      <c r="AL25" s="24"/>
      <c r="AM25" s="24"/>
      <c r="AN25" s="24"/>
      <c r="AO25" s="24"/>
      <c r="AP25" s="24"/>
      <c r="AQ25" s="24"/>
      <c r="AR25" s="24"/>
      <c r="AS25" s="24"/>
      <c r="AT25" s="24"/>
      <c r="AU25" s="24"/>
      <c r="AV25" s="24"/>
      <c r="AW25" s="24"/>
      <c r="AX25" s="24"/>
      <c r="AY25" s="24"/>
      <c r="AZ25" s="24"/>
      <c r="BA25" s="31"/>
      <c r="BB25" s="24"/>
      <c r="BC25" s="24"/>
      <c r="BD25" s="24"/>
      <c r="BE25" s="23"/>
      <c r="BF25" s="13"/>
      <c r="BH25" s="64"/>
      <c r="BI25" s="8"/>
      <c r="BJ25" s="8"/>
      <c r="BK25" s="8"/>
      <c r="BL25" s="172"/>
      <c r="BM25" s="173"/>
      <c r="BN25" s="173"/>
      <c r="BO25" s="173"/>
      <c r="BP25" s="173"/>
      <c r="BQ25" s="173"/>
      <c r="BR25" s="173"/>
      <c r="BS25" s="173"/>
      <c r="BT25" s="173"/>
      <c r="BU25" s="173"/>
      <c r="BV25" s="173"/>
      <c r="BW25" s="174"/>
    </row>
    <row r="26" spans="1:75" s="11" customFormat="1" ht="13.5" customHeight="1">
      <c r="A26" s="28"/>
      <c r="B26" s="31"/>
      <c r="C26" s="24"/>
      <c r="D26" s="24"/>
      <c r="E26" s="24"/>
      <c r="F26" s="24"/>
      <c r="G26" s="24"/>
      <c r="H26" s="23"/>
      <c r="I26" s="24"/>
      <c r="J26" s="24"/>
      <c r="K26" s="24"/>
      <c r="L26" s="24"/>
      <c r="M26" s="24"/>
      <c r="N26" s="24"/>
      <c r="O26" s="24"/>
      <c r="P26" s="31"/>
      <c r="Q26" s="24"/>
      <c r="R26" s="24"/>
      <c r="S26" s="24"/>
      <c r="T26" s="24"/>
      <c r="U26" s="24"/>
      <c r="V26" s="24"/>
      <c r="W26" s="31"/>
      <c r="X26" s="24"/>
      <c r="Y26" s="24"/>
      <c r="Z26" s="24"/>
      <c r="AA26" s="24"/>
      <c r="AB26" s="24"/>
      <c r="AC26" s="23"/>
      <c r="AD26" s="31"/>
      <c r="AE26" s="24"/>
      <c r="AF26" s="24"/>
      <c r="AG26" s="24"/>
      <c r="AH26" s="24"/>
      <c r="AI26" s="24"/>
      <c r="AJ26" s="23"/>
      <c r="AK26" s="24"/>
      <c r="AL26" s="24"/>
      <c r="AM26" s="24"/>
      <c r="AN26" s="24"/>
      <c r="AO26" s="24"/>
      <c r="AP26" s="24"/>
      <c r="AQ26" s="24"/>
      <c r="AR26" s="24"/>
      <c r="AS26" s="24"/>
      <c r="AT26" s="24"/>
      <c r="AU26" s="24"/>
      <c r="AV26" s="24"/>
      <c r="AW26" s="24"/>
      <c r="AX26" s="24"/>
      <c r="AY26" s="24"/>
      <c r="AZ26" s="24"/>
      <c r="BA26" s="31"/>
      <c r="BB26" s="24"/>
      <c r="BC26" s="24"/>
      <c r="BD26" s="24"/>
      <c r="BE26" s="23"/>
      <c r="BF26" s="13"/>
      <c r="BH26" s="64"/>
      <c r="BI26" s="8"/>
      <c r="BJ26" s="8"/>
      <c r="BK26" s="8"/>
      <c r="BL26" s="172"/>
      <c r="BM26" s="173"/>
      <c r="BN26" s="173"/>
      <c r="BO26" s="173"/>
      <c r="BP26" s="173"/>
      <c r="BQ26" s="173"/>
      <c r="BR26" s="173"/>
      <c r="BS26" s="173"/>
      <c r="BT26" s="173"/>
      <c r="BU26" s="173"/>
      <c r="BV26" s="173"/>
      <c r="BW26" s="174"/>
    </row>
    <row r="27" spans="1:75" s="11" customFormat="1" ht="13.5" customHeight="1">
      <c r="A27" s="28"/>
      <c r="B27" s="31"/>
      <c r="C27" s="24"/>
      <c r="D27" s="24"/>
      <c r="E27" s="24"/>
      <c r="F27" s="24"/>
      <c r="G27" s="24"/>
      <c r="H27" s="23"/>
      <c r="I27" s="24"/>
      <c r="J27" s="24"/>
      <c r="K27" s="24"/>
      <c r="L27" s="24"/>
      <c r="M27" s="24"/>
      <c r="N27" s="24"/>
      <c r="O27" s="24"/>
      <c r="P27" s="31"/>
      <c r="Q27" s="24"/>
      <c r="R27" s="24"/>
      <c r="S27" s="24"/>
      <c r="T27" s="24"/>
      <c r="U27" s="24"/>
      <c r="V27" s="24"/>
      <c r="W27" s="31"/>
      <c r="X27" s="24"/>
      <c r="Y27" s="24"/>
      <c r="Z27" s="24"/>
      <c r="AA27" s="24"/>
      <c r="AB27" s="24"/>
      <c r="AC27" s="23"/>
      <c r="AD27" s="31"/>
      <c r="AE27" s="24"/>
      <c r="AF27" s="24"/>
      <c r="AG27" s="24"/>
      <c r="AH27" s="24"/>
      <c r="AI27" s="24"/>
      <c r="AJ27" s="23"/>
      <c r="AK27" s="24"/>
      <c r="AL27" s="24"/>
      <c r="AM27" s="24"/>
      <c r="AN27" s="24"/>
      <c r="AO27" s="24"/>
      <c r="AP27" s="24"/>
      <c r="AQ27" s="24"/>
      <c r="AR27" s="24"/>
      <c r="AS27" s="24"/>
      <c r="AT27" s="24"/>
      <c r="AU27" s="24"/>
      <c r="AV27" s="24"/>
      <c r="AW27" s="24"/>
      <c r="AX27" s="24"/>
      <c r="AY27" s="24"/>
      <c r="AZ27" s="24"/>
      <c r="BA27" s="31"/>
      <c r="BB27" s="24"/>
      <c r="BC27" s="24"/>
      <c r="BD27" s="24"/>
      <c r="BE27" s="23"/>
      <c r="BF27" s="13"/>
      <c r="BH27" s="62"/>
      <c r="BL27" s="172"/>
      <c r="BM27" s="173"/>
      <c r="BN27" s="173"/>
      <c r="BO27" s="173"/>
      <c r="BP27" s="173"/>
      <c r="BQ27" s="173"/>
      <c r="BR27" s="173"/>
      <c r="BS27" s="173"/>
      <c r="BT27" s="173"/>
      <c r="BU27" s="173"/>
      <c r="BV27" s="173"/>
      <c r="BW27" s="174"/>
    </row>
    <row r="28" spans="1:75" s="11" customFormat="1" ht="13.5" customHeight="1">
      <c r="A28" s="28"/>
      <c r="B28" s="31"/>
      <c r="C28" s="24"/>
      <c r="D28" s="24"/>
      <c r="E28" s="24"/>
      <c r="F28" s="24"/>
      <c r="G28" s="24"/>
      <c r="H28" s="23"/>
      <c r="I28" s="24"/>
      <c r="J28" s="24"/>
      <c r="K28" s="24"/>
      <c r="L28" s="24"/>
      <c r="M28" s="24"/>
      <c r="N28" s="24"/>
      <c r="O28" s="24"/>
      <c r="P28" s="31"/>
      <c r="Q28" s="24"/>
      <c r="R28" s="24"/>
      <c r="S28" s="24"/>
      <c r="T28" s="24"/>
      <c r="U28" s="24"/>
      <c r="V28" s="24"/>
      <c r="W28" s="31"/>
      <c r="X28" s="24"/>
      <c r="Y28" s="24"/>
      <c r="Z28" s="24"/>
      <c r="AA28" s="24"/>
      <c r="AB28" s="24"/>
      <c r="AC28" s="23"/>
      <c r="AD28" s="31"/>
      <c r="AE28" s="24"/>
      <c r="AF28" s="24"/>
      <c r="AG28" s="24"/>
      <c r="AH28" s="24"/>
      <c r="AI28" s="24"/>
      <c r="AJ28" s="23"/>
      <c r="AK28" s="24"/>
      <c r="AL28" s="24"/>
      <c r="AM28" s="24"/>
      <c r="AN28" s="24"/>
      <c r="AO28" s="24"/>
      <c r="AP28" s="24"/>
      <c r="AQ28" s="24"/>
      <c r="AR28" s="24"/>
      <c r="AS28" s="24"/>
      <c r="AT28" s="24"/>
      <c r="AU28" s="24"/>
      <c r="AV28" s="24"/>
      <c r="AW28" s="24"/>
      <c r="AX28" s="24"/>
      <c r="AY28" s="24"/>
      <c r="AZ28" s="24"/>
      <c r="BA28" s="31"/>
      <c r="BB28" s="24"/>
      <c r="BC28" s="24"/>
      <c r="BD28" s="24"/>
      <c r="BE28" s="23"/>
      <c r="BF28" s="13"/>
      <c r="BH28" s="62"/>
      <c r="BL28" s="172"/>
      <c r="BM28" s="173"/>
      <c r="BN28" s="173"/>
      <c r="BO28" s="173"/>
      <c r="BP28" s="173"/>
      <c r="BQ28" s="173"/>
      <c r="BR28" s="173"/>
      <c r="BS28" s="173"/>
      <c r="BT28" s="173"/>
      <c r="BU28" s="173"/>
      <c r="BV28" s="173"/>
      <c r="BW28" s="174"/>
    </row>
    <row r="29" spans="1:75" s="11" customFormat="1" ht="13.5" customHeight="1">
      <c r="A29" s="28"/>
      <c r="B29" s="31"/>
      <c r="C29" s="24"/>
      <c r="D29" s="24"/>
      <c r="E29" s="24"/>
      <c r="F29" s="24"/>
      <c r="G29" s="24"/>
      <c r="H29" s="23"/>
      <c r="I29" s="24"/>
      <c r="J29" s="24"/>
      <c r="K29" s="24"/>
      <c r="L29" s="24"/>
      <c r="M29" s="24"/>
      <c r="N29" s="24"/>
      <c r="O29" s="24"/>
      <c r="P29" s="31"/>
      <c r="Q29" s="24"/>
      <c r="R29" s="24"/>
      <c r="S29" s="24"/>
      <c r="T29" s="24"/>
      <c r="U29" s="24"/>
      <c r="V29" s="24"/>
      <c r="W29" s="31"/>
      <c r="X29" s="24"/>
      <c r="Y29" s="24"/>
      <c r="Z29" s="24"/>
      <c r="AA29" s="24"/>
      <c r="AB29" s="24"/>
      <c r="AC29" s="23"/>
      <c r="AD29" s="31"/>
      <c r="AE29" s="24"/>
      <c r="AF29" s="24"/>
      <c r="AG29" s="24"/>
      <c r="AH29" s="24"/>
      <c r="AI29" s="24"/>
      <c r="AJ29" s="23"/>
      <c r="AK29" s="24"/>
      <c r="AL29" s="24"/>
      <c r="AM29" s="24"/>
      <c r="AN29" s="24"/>
      <c r="AO29" s="24"/>
      <c r="AP29" s="24"/>
      <c r="AQ29" s="24"/>
      <c r="AR29" s="24"/>
      <c r="AS29" s="24"/>
      <c r="AT29" s="24"/>
      <c r="AU29" s="24"/>
      <c r="AV29" s="24"/>
      <c r="AW29" s="24"/>
      <c r="AX29" s="24"/>
      <c r="AY29" s="24"/>
      <c r="AZ29" s="24"/>
      <c r="BA29" s="31"/>
      <c r="BB29" s="24"/>
      <c r="BC29" s="24"/>
      <c r="BD29" s="24"/>
      <c r="BE29" s="23"/>
      <c r="BF29" s="13"/>
      <c r="BH29" s="62"/>
      <c r="BL29" s="172"/>
      <c r="BM29" s="173"/>
      <c r="BN29" s="173"/>
      <c r="BO29" s="173"/>
      <c r="BP29" s="173"/>
      <c r="BQ29" s="173"/>
      <c r="BR29" s="173"/>
      <c r="BS29" s="173"/>
      <c r="BT29" s="173"/>
      <c r="BU29" s="173"/>
      <c r="BV29" s="173"/>
      <c r="BW29" s="174"/>
    </row>
    <row r="30" spans="1:75" s="11" customFormat="1" ht="13.5" customHeight="1">
      <c r="A30" s="28"/>
      <c r="B30" s="33"/>
      <c r="C30"/>
      <c r="D30"/>
      <c r="E30"/>
      <c r="F30"/>
      <c r="G30"/>
      <c r="H30" s="22"/>
      <c r="I30"/>
      <c r="J30"/>
      <c r="K30"/>
      <c r="L30"/>
      <c r="M30"/>
      <c r="N30"/>
      <c r="O30"/>
      <c r="P30" s="33"/>
      <c r="Q30"/>
      <c r="R30"/>
      <c r="S30"/>
      <c r="T30"/>
      <c r="U30"/>
      <c r="V30"/>
      <c r="W30" s="33"/>
      <c r="X30"/>
      <c r="Y30"/>
      <c r="Z30"/>
      <c r="AA30"/>
      <c r="AB30"/>
      <c r="AC30" s="22"/>
      <c r="AD30" s="33"/>
      <c r="AE30"/>
      <c r="AF30"/>
      <c r="AG30"/>
      <c r="AH30"/>
      <c r="AI30"/>
      <c r="AJ30" s="22"/>
      <c r="AL30" s="24"/>
      <c r="AM30" s="24"/>
      <c r="AN30" s="24"/>
      <c r="AO30" s="24"/>
      <c r="BA30" s="34"/>
      <c r="BE30" s="13"/>
      <c r="BF30" s="13"/>
      <c r="BH30" s="62"/>
      <c r="BL30" s="172"/>
      <c r="BM30" s="173"/>
      <c r="BN30" s="173"/>
      <c r="BO30" s="173"/>
      <c r="BP30" s="173"/>
      <c r="BQ30" s="173"/>
      <c r="BR30" s="173"/>
      <c r="BS30" s="173"/>
      <c r="BT30" s="173"/>
      <c r="BU30" s="173"/>
      <c r="BV30" s="173"/>
      <c r="BW30" s="174"/>
    </row>
    <row r="31" spans="1:75" s="11" customFormat="1">
      <c r="A31" s="28"/>
      <c r="B31" s="34"/>
      <c r="H31" s="13"/>
      <c r="P31" s="34"/>
      <c r="W31" s="34"/>
      <c r="AC31" s="13"/>
      <c r="AD31" s="34"/>
      <c r="AJ31" s="13"/>
      <c r="AL31" s="24"/>
      <c r="AM31" s="24"/>
      <c r="AN31" s="24"/>
      <c r="AO31" s="24"/>
      <c r="BA31" s="34"/>
      <c r="BE31" s="13"/>
      <c r="BF31" s="13"/>
      <c r="BH31" s="175" t="s">
        <v>296</v>
      </c>
      <c r="BI31" s="176"/>
      <c r="BJ31" s="176"/>
      <c r="BK31" s="177"/>
      <c r="BL31" s="178"/>
      <c r="BM31" s="179"/>
      <c r="BN31" s="179"/>
      <c r="BO31" s="179"/>
      <c r="BP31" s="179"/>
      <c r="BQ31" s="179"/>
      <c r="BR31" s="179"/>
      <c r="BS31" s="179"/>
      <c r="BT31" s="179"/>
      <c r="BU31" s="179"/>
      <c r="BV31" s="179"/>
      <c r="BW31" s="180"/>
    </row>
    <row r="32" spans="1:75" ht="13.5" customHeight="1">
      <c r="A32" s="27"/>
      <c r="B32" s="27"/>
      <c r="H32" s="14"/>
      <c r="P32" s="27"/>
      <c r="W32" s="27"/>
      <c r="AC32" s="14"/>
      <c r="AD32" s="27"/>
      <c r="AJ32" s="14"/>
      <c r="AL32" s="24"/>
      <c r="AM32" s="24"/>
      <c r="AN32" s="24"/>
      <c r="AO32" s="24"/>
      <c r="BA32" s="27"/>
      <c r="BE32" s="14"/>
      <c r="BF32" s="14"/>
      <c r="BH32" s="175"/>
      <c r="BI32" s="176"/>
      <c r="BJ32" s="176"/>
      <c r="BK32" s="177"/>
      <c r="BL32" s="178"/>
      <c r="BM32" s="179"/>
      <c r="BN32" s="179"/>
      <c r="BO32" s="179"/>
      <c r="BP32" s="179"/>
      <c r="BQ32" s="179"/>
      <c r="BR32" s="179"/>
      <c r="BS32" s="179"/>
      <c r="BT32" s="179"/>
      <c r="BU32" s="179"/>
      <c r="BV32" s="179"/>
      <c r="BW32" s="180"/>
    </row>
    <row r="33" spans="1:75" ht="13.5" customHeight="1">
      <c r="A33" s="27"/>
      <c r="B33" s="27"/>
      <c r="H33" s="14"/>
      <c r="P33" s="27"/>
      <c r="W33" s="27"/>
      <c r="AC33" s="14"/>
      <c r="AD33" s="27"/>
      <c r="AJ33" s="14"/>
      <c r="BA33" s="27"/>
      <c r="BE33" s="14"/>
      <c r="BF33" s="14"/>
      <c r="BH33" s="175"/>
      <c r="BI33" s="176"/>
      <c r="BJ33" s="176"/>
      <c r="BK33" s="177"/>
      <c r="BL33" s="178"/>
      <c r="BM33" s="179"/>
      <c r="BN33" s="179"/>
      <c r="BO33" s="179"/>
      <c r="BP33" s="179"/>
      <c r="BQ33" s="179"/>
      <c r="BR33" s="179"/>
      <c r="BS33" s="179"/>
      <c r="BT33" s="179"/>
      <c r="BU33" s="179"/>
      <c r="BV33" s="179"/>
      <c r="BW33" s="180"/>
    </row>
    <row r="34" spans="1:75" ht="13.5" customHeight="1">
      <c r="A34" s="27"/>
      <c r="B34" s="27"/>
      <c r="H34" s="14"/>
      <c r="P34" s="27"/>
      <c r="W34" s="27"/>
      <c r="AC34" s="14"/>
      <c r="AD34" s="27"/>
      <c r="AJ34" s="14"/>
      <c r="BA34" s="27"/>
      <c r="BE34" s="14"/>
      <c r="BF34" s="14"/>
      <c r="BH34" s="175"/>
      <c r="BI34" s="176"/>
      <c r="BJ34" s="176"/>
      <c r="BK34" s="177"/>
      <c r="BL34" s="178"/>
      <c r="BM34" s="179"/>
      <c r="BN34" s="179"/>
      <c r="BO34" s="179"/>
      <c r="BP34" s="179"/>
      <c r="BQ34" s="179"/>
      <c r="BR34" s="179"/>
      <c r="BS34" s="179"/>
      <c r="BT34" s="179"/>
      <c r="BU34" s="179"/>
      <c r="BV34" s="179"/>
      <c r="BW34" s="180"/>
    </row>
    <row r="35" spans="1:75" ht="13.5" customHeight="1">
      <c r="A35" s="27"/>
      <c r="B35" s="27"/>
      <c r="H35" s="14"/>
      <c r="P35" s="27"/>
      <c r="W35" s="27"/>
      <c r="AC35" s="14"/>
      <c r="AD35" s="27"/>
      <c r="AJ35" s="14"/>
      <c r="AL35" s="16" t="s">
        <v>336</v>
      </c>
      <c r="BA35" s="27"/>
      <c r="BE35" s="14"/>
      <c r="BF35" s="14"/>
      <c r="BH35" s="175"/>
      <c r="BI35" s="176"/>
      <c r="BJ35" s="176"/>
      <c r="BK35" s="177"/>
      <c r="BL35" s="178"/>
      <c r="BM35" s="179"/>
      <c r="BN35" s="179"/>
      <c r="BO35" s="179"/>
      <c r="BP35" s="179"/>
      <c r="BQ35" s="179"/>
      <c r="BR35" s="179"/>
      <c r="BS35" s="179"/>
      <c r="BT35" s="179"/>
      <c r="BU35" s="179"/>
      <c r="BV35" s="179"/>
      <c r="BW35" s="180"/>
    </row>
    <row r="36" spans="1:75" ht="13.5" customHeight="1">
      <c r="A36" s="27"/>
      <c r="B36" s="27"/>
      <c r="H36" s="14"/>
      <c r="P36" s="27"/>
      <c r="W36" s="27"/>
      <c r="AC36" s="14"/>
      <c r="AD36" s="27"/>
      <c r="AJ36" s="14"/>
      <c r="AM36" s="8" t="s">
        <v>337</v>
      </c>
      <c r="BA36" s="27"/>
      <c r="BE36" s="14"/>
      <c r="BF36" s="14"/>
      <c r="BH36" s="64"/>
      <c r="BL36" s="178"/>
      <c r="BM36" s="179"/>
      <c r="BN36" s="179"/>
      <c r="BO36" s="179"/>
      <c r="BP36" s="179"/>
      <c r="BQ36" s="179"/>
      <c r="BR36" s="179"/>
      <c r="BS36" s="179"/>
      <c r="BT36" s="179"/>
      <c r="BU36" s="179"/>
      <c r="BV36" s="179"/>
      <c r="BW36" s="180"/>
    </row>
    <row r="37" spans="1:75" ht="13.5" customHeight="1">
      <c r="A37" s="27"/>
      <c r="B37" s="27"/>
      <c r="H37" s="14"/>
      <c r="P37" s="27"/>
      <c r="W37" s="27"/>
      <c r="AC37" s="14"/>
      <c r="AD37" s="27"/>
      <c r="AJ37" s="14"/>
      <c r="AM37" s="8" t="s">
        <v>338</v>
      </c>
      <c r="BA37" s="27"/>
      <c r="BE37" s="14"/>
      <c r="BF37" s="14"/>
      <c r="BH37" s="64"/>
      <c r="BL37" s="178"/>
      <c r="BM37" s="179"/>
      <c r="BN37" s="179"/>
      <c r="BO37" s="179"/>
      <c r="BP37" s="179"/>
      <c r="BQ37" s="179"/>
      <c r="BR37" s="179"/>
      <c r="BS37" s="179"/>
      <c r="BT37" s="179"/>
      <c r="BU37" s="179"/>
      <c r="BV37" s="179"/>
      <c r="BW37" s="180"/>
    </row>
    <row r="38" spans="1:75">
      <c r="A38" s="27"/>
      <c r="B38" s="27"/>
      <c r="H38" s="14"/>
      <c r="P38" s="27"/>
      <c r="W38" s="27"/>
      <c r="AC38" s="14"/>
      <c r="AD38" s="27"/>
      <c r="AJ38" s="14"/>
      <c r="AM38" s="8" t="s">
        <v>138</v>
      </c>
      <c r="AN38" s="8" t="s">
        <v>339</v>
      </c>
      <c r="BA38" s="27"/>
      <c r="BE38" s="14"/>
      <c r="BF38" s="14"/>
      <c r="BH38" s="64"/>
      <c r="BL38" s="181" t="s">
        <v>340</v>
      </c>
      <c r="BM38" s="182"/>
      <c r="BN38" s="182"/>
      <c r="BO38" s="182"/>
      <c r="BP38" s="182"/>
      <c r="BQ38" s="182"/>
      <c r="BR38" s="182"/>
      <c r="BS38" s="182"/>
      <c r="BT38" s="182"/>
      <c r="BU38" s="182"/>
      <c r="BV38" s="182"/>
      <c r="BW38" s="183"/>
    </row>
    <row r="39" spans="1:75">
      <c r="A39" s="27"/>
      <c r="B39" s="27"/>
      <c r="H39" s="14"/>
      <c r="P39" s="27"/>
      <c r="W39" s="27"/>
      <c r="AC39" s="14"/>
      <c r="AD39" s="27"/>
      <c r="AJ39" s="14"/>
      <c r="AN39" s="8" t="s">
        <v>341</v>
      </c>
      <c r="BA39" s="27"/>
      <c r="BE39" s="14"/>
      <c r="BF39" s="14"/>
      <c r="BH39" s="64"/>
      <c r="BL39" s="184"/>
      <c r="BM39" s="182"/>
      <c r="BN39" s="182"/>
      <c r="BO39" s="182"/>
      <c r="BP39" s="182"/>
      <c r="BQ39" s="182"/>
      <c r="BR39" s="182"/>
      <c r="BS39" s="182"/>
      <c r="BT39" s="182"/>
      <c r="BU39" s="182"/>
      <c r="BV39" s="182"/>
      <c r="BW39" s="183"/>
    </row>
    <row r="40" spans="1:75" ht="13.5" customHeight="1">
      <c r="A40" s="27"/>
      <c r="B40" s="27"/>
      <c r="H40" s="14"/>
      <c r="P40" s="27"/>
      <c r="W40" s="27"/>
      <c r="AC40" s="14"/>
      <c r="AD40" s="27"/>
      <c r="AJ40" s="14"/>
      <c r="BA40" s="27"/>
      <c r="BE40" s="14"/>
      <c r="BF40" s="14"/>
      <c r="BH40" s="64"/>
      <c r="BL40" s="184"/>
      <c r="BM40" s="182"/>
      <c r="BN40" s="182"/>
      <c r="BO40" s="182"/>
      <c r="BP40" s="182"/>
      <c r="BQ40" s="182"/>
      <c r="BR40" s="182"/>
      <c r="BS40" s="182"/>
      <c r="BT40" s="182"/>
      <c r="BU40" s="182"/>
      <c r="BV40" s="182"/>
      <c r="BW40" s="183"/>
    </row>
    <row r="41" spans="1:75" ht="13.5" customHeight="1">
      <c r="A41" s="27"/>
      <c r="B41" s="27"/>
      <c r="H41" s="14"/>
      <c r="P41" s="27"/>
      <c r="W41" s="27"/>
      <c r="AC41" s="14"/>
      <c r="AD41" s="27"/>
      <c r="AJ41" s="14"/>
      <c r="AL41" s="16" t="s">
        <v>342</v>
      </c>
      <c r="BA41" s="27"/>
      <c r="BE41" s="14"/>
      <c r="BF41" s="14"/>
      <c r="BH41" s="64"/>
      <c r="BL41" s="184"/>
      <c r="BM41" s="182"/>
      <c r="BN41" s="182"/>
      <c r="BO41" s="182"/>
      <c r="BP41" s="182"/>
      <c r="BQ41" s="182"/>
      <c r="BR41" s="182"/>
      <c r="BS41" s="182"/>
      <c r="BT41" s="182"/>
      <c r="BU41" s="182"/>
      <c r="BV41" s="182"/>
      <c r="BW41" s="183"/>
    </row>
    <row r="42" spans="1:75">
      <c r="A42" s="27"/>
      <c r="B42" s="27"/>
      <c r="H42" s="14"/>
      <c r="P42" s="27"/>
      <c r="W42" s="27"/>
      <c r="AC42" s="14"/>
      <c r="AD42" s="27"/>
      <c r="AJ42" s="14"/>
      <c r="AM42" s="8" t="s">
        <v>343</v>
      </c>
      <c r="BA42" s="27"/>
      <c r="BE42" s="14"/>
      <c r="BF42" s="14"/>
      <c r="BH42" s="64"/>
      <c r="BL42" s="184"/>
      <c r="BM42" s="182"/>
      <c r="BN42" s="182"/>
      <c r="BO42" s="182"/>
      <c r="BP42" s="182"/>
      <c r="BQ42" s="182"/>
      <c r="BR42" s="182"/>
      <c r="BS42" s="182"/>
      <c r="BT42" s="182"/>
      <c r="BU42" s="182"/>
      <c r="BV42" s="182"/>
      <c r="BW42" s="183"/>
    </row>
    <row r="43" spans="1:75">
      <c r="A43" s="27"/>
      <c r="B43" s="27"/>
      <c r="H43" s="14"/>
      <c r="P43" s="27"/>
      <c r="W43" s="27"/>
      <c r="AC43" s="14"/>
      <c r="AD43" s="27"/>
      <c r="AJ43" s="14"/>
      <c r="AM43" s="8" t="s">
        <v>344</v>
      </c>
      <c r="BA43" s="27"/>
      <c r="BE43" s="14"/>
      <c r="BF43" s="14"/>
      <c r="BH43" s="64"/>
      <c r="BL43" s="184"/>
      <c r="BM43" s="182"/>
      <c r="BN43" s="182"/>
      <c r="BO43" s="182"/>
      <c r="BP43" s="182"/>
      <c r="BQ43" s="182"/>
      <c r="BR43" s="182"/>
      <c r="BS43" s="182"/>
      <c r="BT43" s="182"/>
      <c r="BU43" s="182"/>
      <c r="BV43" s="182"/>
      <c r="BW43" s="183"/>
    </row>
    <row r="44" spans="1:75">
      <c r="A44" s="27"/>
      <c r="B44" s="27"/>
      <c r="H44" s="14"/>
      <c r="P44" s="27"/>
      <c r="W44" s="27"/>
      <c r="AC44" s="14"/>
      <c r="AD44" s="27"/>
      <c r="AJ44" s="14"/>
      <c r="BA44" s="27"/>
      <c r="BE44" s="14"/>
      <c r="BF44" s="14"/>
      <c r="BH44" s="64"/>
      <c r="BL44" s="184"/>
      <c r="BM44" s="182"/>
      <c r="BN44" s="182"/>
      <c r="BO44" s="182"/>
      <c r="BP44" s="182"/>
      <c r="BQ44" s="182"/>
      <c r="BR44" s="182"/>
      <c r="BS44" s="182"/>
      <c r="BT44" s="182"/>
      <c r="BU44" s="182"/>
      <c r="BV44" s="182"/>
      <c r="BW44" s="183"/>
    </row>
    <row r="45" spans="1:75" ht="13.5" customHeight="1">
      <c r="A45" s="27"/>
      <c r="B45" s="27"/>
      <c r="H45" s="14"/>
      <c r="P45" s="27"/>
      <c r="W45" s="27"/>
      <c r="AC45" s="14"/>
      <c r="AD45" s="27"/>
      <c r="AJ45" s="14"/>
      <c r="BA45" s="27"/>
      <c r="BE45" s="14"/>
      <c r="BF45" s="14"/>
      <c r="BH45" s="64"/>
      <c r="BL45" s="184"/>
      <c r="BM45" s="182"/>
      <c r="BN45" s="182"/>
      <c r="BO45" s="182"/>
      <c r="BP45" s="182"/>
      <c r="BQ45" s="182"/>
      <c r="BR45" s="182"/>
      <c r="BS45" s="182"/>
      <c r="BT45" s="182"/>
      <c r="BU45" s="182"/>
      <c r="BV45" s="182"/>
      <c r="BW45" s="183"/>
    </row>
    <row r="46" spans="1:75" ht="13.5" customHeight="1">
      <c r="A46" s="27"/>
      <c r="B46" s="27"/>
      <c r="H46" s="14"/>
      <c r="P46" s="27"/>
      <c r="W46" s="27"/>
      <c r="AC46" s="14"/>
      <c r="AD46" s="27"/>
      <c r="AJ46" s="14"/>
      <c r="BA46" s="27"/>
      <c r="BE46" s="14"/>
      <c r="BF46" s="14"/>
      <c r="BH46" s="64"/>
      <c r="BL46" s="184"/>
      <c r="BM46" s="182"/>
      <c r="BN46" s="182"/>
      <c r="BO46" s="182"/>
      <c r="BP46" s="182"/>
      <c r="BQ46" s="182"/>
      <c r="BR46" s="182"/>
      <c r="BS46" s="182"/>
      <c r="BT46" s="182"/>
      <c r="BU46" s="182"/>
      <c r="BV46" s="182"/>
      <c r="BW46" s="183"/>
    </row>
    <row r="47" spans="1:75" ht="13.5" customHeight="1">
      <c r="A47" s="27"/>
      <c r="B47" s="27"/>
      <c r="H47" s="14"/>
      <c r="P47" s="27"/>
      <c r="W47" s="27"/>
      <c r="AC47" s="14"/>
      <c r="AD47" s="27"/>
      <c r="AJ47" s="14"/>
      <c r="BA47" s="27"/>
      <c r="BE47" s="14"/>
      <c r="BF47" s="14"/>
      <c r="BH47" s="64"/>
      <c r="BL47" s="184"/>
      <c r="BM47" s="182"/>
      <c r="BN47" s="182"/>
      <c r="BO47" s="182"/>
      <c r="BP47" s="182"/>
      <c r="BQ47" s="182"/>
      <c r="BR47" s="182"/>
      <c r="BS47" s="182"/>
      <c r="BT47" s="182"/>
      <c r="BU47" s="182"/>
      <c r="BV47" s="182"/>
      <c r="BW47" s="183"/>
    </row>
    <row r="48" spans="1:75" ht="13.5" customHeight="1">
      <c r="A48" s="27"/>
      <c r="B48" s="27"/>
      <c r="H48" s="14"/>
      <c r="P48" s="27"/>
      <c r="W48" s="27"/>
      <c r="AC48" s="14"/>
      <c r="AD48" s="27"/>
      <c r="AJ48" s="14"/>
      <c r="BA48" s="27"/>
      <c r="BE48" s="14"/>
      <c r="BF48" s="14"/>
      <c r="BH48" s="64"/>
      <c r="BL48" s="184"/>
      <c r="BM48" s="182"/>
      <c r="BN48" s="182"/>
      <c r="BO48" s="182"/>
      <c r="BP48" s="182"/>
      <c r="BQ48" s="182"/>
      <c r="BR48" s="182"/>
      <c r="BS48" s="182"/>
      <c r="BT48" s="182"/>
      <c r="BU48" s="182"/>
      <c r="BV48" s="182"/>
      <c r="BW48" s="183"/>
    </row>
    <row r="49" spans="1:75" ht="13.5" customHeight="1">
      <c r="A49" s="27"/>
      <c r="B49" s="27"/>
      <c r="H49" s="14"/>
      <c r="P49" s="27"/>
      <c r="W49" s="27"/>
      <c r="AC49" s="14"/>
      <c r="AD49" s="27"/>
      <c r="AJ49" s="14"/>
      <c r="AL49" s="16" t="s">
        <v>345</v>
      </c>
      <c r="BA49" s="27"/>
      <c r="BE49" s="14"/>
      <c r="BF49" s="14"/>
      <c r="BH49" s="64"/>
      <c r="BL49" s="184"/>
      <c r="BM49" s="182"/>
      <c r="BN49" s="182"/>
      <c r="BO49" s="182"/>
      <c r="BP49" s="182"/>
      <c r="BQ49" s="182"/>
      <c r="BR49" s="182"/>
      <c r="BS49" s="182"/>
      <c r="BT49" s="182"/>
      <c r="BU49" s="182"/>
      <c r="BV49" s="182"/>
      <c r="BW49" s="183"/>
    </row>
    <row r="50" spans="1:75" ht="13.5" customHeight="1">
      <c r="A50" s="27"/>
      <c r="B50" s="27"/>
      <c r="H50" s="14"/>
      <c r="P50" s="27"/>
      <c r="W50" s="27"/>
      <c r="AC50" s="14"/>
      <c r="AD50" s="27"/>
      <c r="AJ50" s="14"/>
      <c r="AM50" s="8" t="s">
        <v>346</v>
      </c>
      <c r="BA50" s="27"/>
      <c r="BE50" s="14"/>
      <c r="BF50" s="14"/>
      <c r="BH50" s="64"/>
      <c r="BL50" s="184"/>
      <c r="BM50" s="182"/>
      <c r="BN50" s="182"/>
      <c r="BO50" s="182"/>
      <c r="BP50" s="182"/>
      <c r="BQ50" s="182"/>
      <c r="BR50" s="182"/>
      <c r="BS50" s="182"/>
      <c r="BT50" s="182"/>
      <c r="BU50" s="182"/>
      <c r="BV50" s="182"/>
      <c r="BW50" s="183"/>
    </row>
    <row r="51" spans="1:75" ht="13.5" customHeight="1">
      <c r="A51" s="27"/>
      <c r="B51" s="27"/>
      <c r="H51" s="14"/>
      <c r="P51" s="27"/>
      <c r="W51" s="27"/>
      <c r="AC51" s="14"/>
      <c r="AD51" s="27"/>
      <c r="AJ51" s="14"/>
      <c r="AM51" s="8" t="s">
        <v>347</v>
      </c>
      <c r="BA51" s="27"/>
      <c r="BE51" s="14"/>
      <c r="BF51" s="14"/>
      <c r="BH51" s="64"/>
      <c r="BL51" s="184"/>
      <c r="BM51" s="182"/>
      <c r="BN51" s="182"/>
      <c r="BO51" s="182"/>
      <c r="BP51" s="182"/>
      <c r="BQ51" s="182"/>
      <c r="BR51" s="182"/>
      <c r="BS51" s="182"/>
      <c r="BT51" s="182"/>
      <c r="BU51" s="182"/>
      <c r="BV51" s="182"/>
      <c r="BW51" s="183"/>
    </row>
    <row r="52" spans="1:75" ht="13.5" customHeight="1">
      <c r="A52" s="27"/>
      <c r="B52" s="27"/>
      <c r="H52" s="14"/>
      <c r="P52" s="27"/>
      <c r="W52" s="27"/>
      <c r="AC52" s="14"/>
      <c r="AD52" s="27"/>
      <c r="AJ52" s="14"/>
      <c r="AM52" s="8" t="s">
        <v>348</v>
      </c>
      <c r="BA52" s="27"/>
      <c r="BE52" s="14"/>
      <c r="BF52" s="14"/>
      <c r="BH52" s="64"/>
      <c r="BL52" s="184"/>
      <c r="BM52" s="182"/>
      <c r="BN52" s="182"/>
      <c r="BO52" s="182"/>
      <c r="BP52" s="182"/>
      <c r="BQ52" s="182"/>
      <c r="BR52" s="182"/>
      <c r="BS52" s="182"/>
      <c r="BT52" s="182"/>
      <c r="BU52" s="182"/>
      <c r="BV52" s="182"/>
      <c r="BW52" s="183"/>
    </row>
    <row r="53" spans="1:75" ht="13.5" customHeight="1">
      <c r="A53" s="27"/>
      <c r="B53" s="27"/>
      <c r="H53" s="14"/>
      <c r="P53" s="27"/>
      <c r="W53" s="27"/>
      <c r="AC53" s="14"/>
      <c r="AD53" s="27"/>
      <c r="AJ53" s="14"/>
      <c r="AM53" s="8" t="s">
        <v>349</v>
      </c>
      <c r="BA53" s="27"/>
      <c r="BE53" s="14"/>
      <c r="BF53" s="14"/>
      <c r="BH53" s="64"/>
      <c r="BL53" s="184"/>
      <c r="BM53" s="182"/>
      <c r="BN53" s="182"/>
      <c r="BO53" s="182"/>
      <c r="BP53" s="182"/>
      <c r="BQ53" s="182"/>
      <c r="BR53" s="182"/>
      <c r="BS53" s="182"/>
      <c r="BT53" s="182"/>
      <c r="BU53" s="182"/>
      <c r="BV53" s="182"/>
      <c r="BW53" s="183"/>
    </row>
    <row r="54" spans="1:75" ht="13.5" customHeight="1">
      <c r="A54" s="27"/>
      <c r="B54" s="27"/>
      <c r="H54" s="14"/>
      <c r="P54" s="27"/>
      <c r="W54" s="27"/>
      <c r="AC54" s="14"/>
      <c r="AD54" s="27"/>
      <c r="AJ54" s="14"/>
      <c r="AM54" s="8" t="s">
        <v>350</v>
      </c>
      <c r="BA54" s="27"/>
      <c r="BE54" s="14"/>
      <c r="BF54" s="14"/>
      <c r="BH54" s="64"/>
      <c r="BL54" s="184"/>
      <c r="BM54" s="182"/>
      <c r="BN54" s="182"/>
      <c r="BO54" s="182"/>
      <c r="BP54" s="182"/>
      <c r="BQ54" s="182"/>
      <c r="BR54" s="182"/>
      <c r="BS54" s="182"/>
      <c r="BT54" s="182"/>
      <c r="BU54" s="182"/>
      <c r="BV54" s="182"/>
      <c r="BW54" s="183"/>
    </row>
    <row r="55" spans="1:75" ht="13.5" customHeight="1">
      <c r="A55" s="27"/>
      <c r="B55" s="27"/>
      <c r="H55" s="14"/>
      <c r="P55" s="27"/>
      <c r="W55" s="27"/>
      <c r="AC55" s="14"/>
      <c r="AD55" s="27"/>
      <c r="AJ55" s="14"/>
      <c r="BA55" s="27"/>
      <c r="BE55" s="14"/>
      <c r="BF55" s="14"/>
      <c r="BH55" s="64"/>
      <c r="BL55" s="184"/>
      <c r="BM55" s="182"/>
      <c r="BN55" s="182"/>
      <c r="BO55" s="182"/>
      <c r="BP55" s="182"/>
      <c r="BQ55" s="182"/>
      <c r="BR55" s="182"/>
      <c r="BS55" s="182"/>
      <c r="BT55" s="182"/>
      <c r="BU55" s="182"/>
      <c r="BV55" s="182"/>
      <c r="BW55" s="183"/>
    </row>
    <row r="56" spans="1:75" ht="13.5" customHeight="1">
      <c r="A56" s="27"/>
      <c r="B56" s="27"/>
      <c r="H56" s="14"/>
      <c r="P56" s="27"/>
      <c r="W56" s="27"/>
      <c r="AC56" s="14"/>
      <c r="AD56" s="27"/>
      <c r="AJ56" s="14"/>
      <c r="BA56" s="27"/>
      <c r="BE56" s="14"/>
      <c r="BF56" s="14"/>
      <c r="BH56" s="64"/>
      <c r="BL56" s="184"/>
      <c r="BM56" s="182"/>
      <c r="BN56" s="182"/>
      <c r="BO56" s="182"/>
      <c r="BP56" s="182"/>
      <c r="BQ56" s="182"/>
      <c r="BR56" s="182"/>
      <c r="BS56" s="182"/>
      <c r="BT56" s="182"/>
      <c r="BU56" s="182"/>
      <c r="BV56" s="182"/>
      <c r="BW56" s="183"/>
    </row>
    <row r="57" spans="1:75" ht="13.5" customHeight="1">
      <c r="A57" s="27"/>
      <c r="B57" s="27"/>
      <c r="H57" s="14"/>
      <c r="P57" s="27"/>
      <c r="W57" s="27"/>
      <c r="AC57" s="14"/>
      <c r="AD57" s="27"/>
      <c r="AJ57" s="14"/>
      <c r="BA57" s="27"/>
      <c r="BE57" s="14"/>
      <c r="BF57" s="14"/>
      <c r="BH57" s="64"/>
      <c r="BL57" s="184"/>
      <c r="BM57" s="182"/>
      <c r="BN57" s="182"/>
      <c r="BO57" s="182"/>
      <c r="BP57" s="182"/>
      <c r="BQ57" s="182"/>
      <c r="BR57" s="182"/>
      <c r="BS57" s="182"/>
      <c r="BT57" s="182"/>
      <c r="BU57" s="182"/>
      <c r="BV57" s="182"/>
      <c r="BW57" s="183"/>
    </row>
    <row r="58" spans="1:75" ht="13.5" customHeight="1">
      <c r="A58" s="27"/>
      <c r="B58" s="27"/>
      <c r="H58" s="14"/>
      <c r="P58" s="27"/>
      <c r="W58" s="27"/>
      <c r="AC58" s="14"/>
      <c r="AD58" s="27"/>
      <c r="AJ58" s="14"/>
      <c r="BA58" s="27"/>
      <c r="BE58" s="14"/>
      <c r="BF58" s="14"/>
      <c r="BH58" s="64"/>
      <c r="BL58" s="184"/>
      <c r="BM58" s="182"/>
      <c r="BN58" s="182"/>
      <c r="BO58" s="182"/>
      <c r="BP58" s="182"/>
      <c r="BQ58" s="182"/>
      <c r="BR58" s="182"/>
      <c r="BS58" s="182"/>
      <c r="BT58" s="182"/>
      <c r="BU58" s="182"/>
      <c r="BV58" s="182"/>
      <c r="BW58" s="183"/>
    </row>
    <row r="59" spans="1:75">
      <c r="A59" s="27"/>
      <c r="B59" s="27"/>
      <c r="H59" s="14"/>
      <c r="P59" s="27"/>
      <c r="W59" s="27"/>
      <c r="AC59" s="14"/>
      <c r="AD59" s="27"/>
      <c r="AJ59" s="14"/>
      <c r="BA59" s="27"/>
      <c r="BE59" s="14"/>
      <c r="BF59" s="14"/>
      <c r="BH59" s="64"/>
      <c r="BL59" s="64"/>
      <c r="BW59" s="65"/>
    </row>
    <row r="60" spans="1:75" ht="14.25" customHeight="1">
      <c r="A60" s="27"/>
      <c r="B60" s="27"/>
      <c r="H60" s="14"/>
      <c r="P60" s="27"/>
      <c r="W60" s="27"/>
      <c r="AC60" s="14"/>
      <c r="AD60" s="27"/>
      <c r="AJ60" s="14"/>
      <c r="AL60" s="16" t="s">
        <v>351</v>
      </c>
      <c r="BA60" s="27"/>
      <c r="BE60" s="14"/>
      <c r="BF60" s="14"/>
      <c r="BH60" s="64"/>
      <c r="BL60" s="214" t="s">
        <v>352</v>
      </c>
      <c r="BM60" s="215"/>
      <c r="BN60" s="215"/>
      <c r="BO60" s="215"/>
      <c r="BP60" s="215"/>
      <c r="BQ60" s="215"/>
      <c r="BR60" s="215"/>
      <c r="BS60" s="215"/>
      <c r="BT60" s="215"/>
      <c r="BU60" s="215"/>
      <c r="BV60" s="215"/>
      <c r="BW60" s="216"/>
    </row>
    <row r="61" spans="1:75" ht="13.5" customHeight="1">
      <c r="A61" s="27"/>
      <c r="B61" s="27"/>
      <c r="H61" s="14"/>
      <c r="P61" s="27"/>
      <c r="W61" s="27"/>
      <c r="AC61" s="14"/>
      <c r="AD61" s="27"/>
      <c r="AJ61" s="14"/>
      <c r="AM61" s="8" t="s">
        <v>353</v>
      </c>
      <c r="BA61" s="27"/>
      <c r="BE61" s="14"/>
      <c r="BF61" s="14"/>
      <c r="BH61" s="64"/>
      <c r="BL61" s="214"/>
      <c r="BM61" s="215"/>
      <c r="BN61" s="215"/>
      <c r="BO61" s="215"/>
      <c r="BP61" s="215"/>
      <c r="BQ61" s="215"/>
      <c r="BR61" s="215"/>
      <c r="BS61" s="215"/>
      <c r="BT61" s="215"/>
      <c r="BU61" s="215"/>
      <c r="BV61" s="215"/>
      <c r="BW61" s="216"/>
    </row>
    <row r="62" spans="1:75" ht="13.5" customHeight="1">
      <c r="A62" s="27"/>
      <c r="B62" s="27"/>
      <c r="H62" s="14"/>
      <c r="P62" s="27"/>
      <c r="W62" s="27"/>
      <c r="AC62" s="14"/>
      <c r="AD62" s="27"/>
      <c r="AJ62" s="14"/>
      <c r="AM62" s="8" t="s">
        <v>354</v>
      </c>
      <c r="BA62" s="27"/>
      <c r="BE62" s="14"/>
      <c r="BF62" s="14"/>
      <c r="BH62" s="64"/>
      <c r="BL62" s="214"/>
      <c r="BM62" s="215"/>
      <c r="BN62" s="215"/>
      <c r="BO62" s="215"/>
      <c r="BP62" s="215"/>
      <c r="BQ62" s="215"/>
      <c r="BR62" s="215"/>
      <c r="BS62" s="215"/>
      <c r="BT62" s="215"/>
      <c r="BU62" s="215"/>
      <c r="BV62" s="215"/>
      <c r="BW62" s="216"/>
    </row>
    <row r="63" spans="1:75" ht="13.5" customHeight="1">
      <c r="A63" s="27"/>
      <c r="B63" s="27"/>
      <c r="H63" s="14"/>
      <c r="P63" s="27"/>
      <c r="W63" s="27"/>
      <c r="AC63" s="14"/>
      <c r="AD63" s="27"/>
      <c r="AJ63" s="14"/>
      <c r="BA63" s="27"/>
      <c r="BE63" s="14"/>
      <c r="BF63" s="14"/>
      <c r="BH63" s="64"/>
      <c r="BL63" s="214"/>
      <c r="BM63" s="215"/>
      <c r="BN63" s="215"/>
      <c r="BO63" s="215"/>
      <c r="BP63" s="215"/>
      <c r="BQ63" s="215"/>
      <c r="BR63" s="215"/>
      <c r="BS63" s="215"/>
      <c r="BT63" s="215"/>
      <c r="BU63" s="215"/>
      <c r="BV63" s="215"/>
      <c r="BW63" s="216"/>
    </row>
    <row r="64" spans="1:75" ht="13.5" customHeight="1">
      <c r="A64" s="27"/>
      <c r="B64" s="27"/>
      <c r="H64" s="14"/>
      <c r="P64" s="27"/>
      <c r="W64" s="27"/>
      <c r="AC64" s="14"/>
      <c r="AD64" s="27"/>
      <c r="AJ64" s="14"/>
      <c r="BA64" s="27"/>
      <c r="BE64" s="14"/>
      <c r="BF64" s="14"/>
      <c r="BH64" s="64"/>
      <c r="BL64" s="214"/>
      <c r="BM64" s="215"/>
      <c r="BN64" s="215"/>
      <c r="BO64" s="215"/>
      <c r="BP64" s="215"/>
      <c r="BQ64" s="215"/>
      <c r="BR64" s="215"/>
      <c r="BS64" s="215"/>
      <c r="BT64" s="215"/>
      <c r="BU64" s="215"/>
      <c r="BV64" s="215"/>
      <c r="BW64" s="216"/>
    </row>
    <row r="65" spans="1:75" ht="13.5" customHeight="1">
      <c r="A65" s="27"/>
      <c r="B65" s="27"/>
      <c r="H65" s="14"/>
      <c r="P65" s="27"/>
      <c r="W65" s="27"/>
      <c r="AC65" s="14"/>
      <c r="AD65" s="27"/>
      <c r="AJ65" s="14"/>
      <c r="BA65" s="27"/>
      <c r="BE65" s="14"/>
      <c r="BF65" s="14"/>
      <c r="BH65" s="64"/>
      <c r="BL65" s="214"/>
      <c r="BM65" s="215"/>
      <c r="BN65" s="215"/>
      <c r="BO65" s="215"/>
      <c r="BP65" s="215"/>
      <c r="BQ65" s="215"/>
      <c r="BR65" s="215"/>
      <c r="BS65" s="215"/>
      <c r="BT65" s="215"/>
      <c r="BU65" s="215"/>
      <c r="BV65" s="215"/>
      <c r="BW65" s="216"/>
    </row>
    <row r="66" spans="1:75" ht="13.5" customHeight="1">
      <c r="A66" s="27"/>
      <c r="B66" s="27"/>
      <c r="H66" s="14"/>
      <c r="P66" s="27"/>
      <c r="W66" s="27"/>
      <c r="AC66" s="14"/>
      <c r="AD66" s="27"/>
      <c r="AJ66" s="14"/>
      <c r="BA66" s="27"/>
      <c r="BE66" s="14"/>
      <c r="BF66" s="14"/>
      <c r="BH66" s="64"/>
      <c r="BL66" s="214"/>
      <c r="BM66" s="215"/>
      <c r="BN66" s="215"/>
      <c r="BO66" s="215"/>
      <c r="BP66" s="215"/>
      <c r="BQ66" s="215"/>
      <c r="BR66" s="215"/>
      <c r="BS66" s="215"/>
      <c r="BT66" s="215"/>
      <c r="BU66" s="215"/>
      <c r="BV66" s="215"/>
      <c r="BW66" s="216"/>
    </row>
    <row r="67" spans="1:75" ht="13.5" customHeight="1">
      <c r="A67" s="27"/>
      <c r="B67" s="27"/>
      <c r="H67" s="14"/>
      <c r="P67" s="27"/>
      <c r="W67" s="27"/>
      <c r="AC67" s="14"/>
      <c r="AD67" s="27"/>
      <c r="AJ67" s="14"/>
      <c r="BA67" s="27"/>
      <c r="BE67" s="14"/>
      <c r="BF67" s="14"/>
      <c r="BH67" s="64"/>
      <c r="BL67" s="214"/>
      <c r="BM67" s="215"/>
      <c r="BN67" s="215"/>
      <c r="BO67" s="215"/>
      <c r="BP67" s="215"/>
      <c r="BQ67" s="215"/>
      <c r="BR67" s="215"/>
      <c r="BS67" s="215"/>
      <c r="BT67" s="215"/>
      <c r="BU67" s="215"/>
      <c r="BV67" s="215"/>
      <c r="BW67" s="216"/>
    </row>
    <row r="68" spans="1:75" ht="13.5" customHeight="1">
      <c r="A68" s="27"/>
      <c r="B68" s="27"/>
      <c r="H68" s="14"/>
      <c r="P68" s="27"/>
      <c r="W68" s="27"/>
      <c r="AC68" s="14"/>
      <c r="AD68" s="27"/>
      <c r="AJ68" s="14"/>
      <c r="BA68" s="27"/>
      <c r="BE68" s="14"/>
      <c r="BF68" s="14"/>
      <c r="BH68" s="64"/>
      <c r="BL68" s="214"/>
      <c r="BM68" s="215"/>
      <c r="BN68" s="215"/>
      <c r="BO68" s="215"/>
      <c r="BP68" s="215"/>
      <c r="BQ68" s="215"/>
      <c r="BR68" s="215"/>
      <c r="BS68" s="215"/>
      <c r="BT68" s="215"/>
      <c r="BU68" s="215"/>
      <c r="BV68" s="215"/>
      <c r="BW68" s="216"/>
    </row>
    <row r="69" spans="1:75" ht="13.5" customHeight="1">
      <c r="A69" s="27"/>
      <c r="B69" s="27"/>
      <c r="H69" s="14"/>
      <c r="P69" s="27"/>
      <c r="W69" s="27"/>
      <c r="AC69" s="14"/>
      <c r="AD69" s="27"/>
      <c r="AJ69" s="14"/>
      <c r="AL69" s="8" t="s">
        <v>138</v>
      </c>
      <c r="AM69" s="8" t="s">
        <v>355</v>
      </c>
      <c r="BA69" s="27"/>
      <c r="BE69" s="14"/>
      <c r="BF69" s="14"/>
      <c r="BH69" s="64"/>
      <c r="BL69" s="214"/>
      <c r="BM69" s="215"/>
      <c r="BN69" s="215"/>
      <c r="BO69" s="215"/>
      <c r="BP69" s="215"/>
      <c r="BQ69" s="215"/>
      <c r="BR69" s="215"/>
      <c r="BS69" s="215"/>
      <c r="BT69" s="215"/>
      <c r="BU69" s="215"/>
      <c r="BV69" s="215"/>
      <c r="BW69" s="216"/>
    </row>
    <row r="70" spans="1:75" ht="13.5" customHeight="1">
      <c r="A70" s="27"/>
      <c r="B70" s="27"/>
      <c r="H70" s="14"/>
      <c r="P70" s="27"/>
      <c r="W70" s="27"/>
      <c r="AC70" s="14"/>
      <c r="AD70" s="27"/>
      <c r="AJ70" s="14"/>
      <c r="BA70" s="27"/>
      <c r="BE70" s="14"/>
      <c r="BF70" s="14"/>
      <c r="BH70" s="64"/>
      <c r="BL70" s="214"/>
      <c r="BM70" s="215"/>
      <c r="BN70" s="215"/>
      <c r="BO70" s="215"/>
      <c r="BP70" s="215"/>
      <c r="BQ70" s="215"/>
      <c r="BR70" s="215"/>
      <c r="BS70" s="215"/>
      <c r="BT70" s="215"/>
      <c r="BU70" s="215"/>
      <c r="BV70" s="215"/>
      <c r="BW70" s="216"/>
    </row>
    <row r="71" spans="1:75" ht="13.5" customHeight="1">
      <c r="A71" s="27"/>
      <c r="B71" s="27"/>
      <c r="H71" s="14"/>
      <c r="P71" s="27"/>
      <c r="W71" s="27"/>
      <c r="AC71" s="14"/>
      <c r="AD71" s="27"/>
      <c r="AJ71" s="14"/>
      <c r="BA71" s="27"/>
      <c r="BE71" s="14"/>
      <c r="BF71" s="14"/>
      <c r="BH71" s="64"/>
      <c r="BL71" s="214"/>
      <c r="BM71" s="215"/>
      <c r="BN71" s="215"/>
      <c r="BO71" s="215"/>
      <c r="BP71" s="215"/>
      <c r="BQ71" s="215"/>
      <c r="BR71" s="215"/>
      <c r="BS71" s="215"/>
      <c r="BT71" s="215"/>
      <c r="BU71" s="215"/>
      <c r="BV71" s="215"/>
      <c r="BW71" s="216"/>
    </row>
    <row r="72" spans="1:75" ht="13.5" customHeight="1">
      <c r="A72" s="27"/>
      <c r="B72" s="27"/>
      <c r="H72" s="14"/>
      <c r="P72" s="27"/>
      <c r="W72" s="27"/>
      <c r="AC72" s="14"/>
      <c r="AD72" s="27"/>
      <c r="AJ72" s="14"/>
      <c r="BA72" s="27"/>
      <c r="BE72" s="14"/>
      <c r="BF72" s="14"/>
      <c r="BH72" s="64"/>
      <c r="BL72" s="214"/>
      <c r="BM72" s="215"/>
      <c r="BN72" s="215"/>
      <c r="BO72" s="215"/>
      <c r="BP72" s="215"/>
      <c r="BQ72" s="215"/>
      <c r="BR72" s="215"/>
      <c r="BS72" s="215"/>
      <c r="BT72" s="215"/>
      <c r="BU72" s="215"/>
      <c r="BV72" s="215"/>
      <c r="BW72" s="216"/>
    </row>
    <row r="73" spans="1:75" ht="13.5" customHeight="1">
      <c r="A73" s="27"/>
      <c r="B73" s="27"/>
      <c r="H73" s="14"/>
      <c r="P73" s="27"/>
      <c r="W73" s="27"/>
      <c r="AC73" s="14"/>
      <c r="AD73" s="27"/>
      <c r="AJ73" s="14"/>
      <c r="BA73" s="27"/>
      <c r="BE73" s="14"/>
      <c r="BF73" s="14"/>
      <c r="BH73" s="64"/>
      <c r="BL73" s="214"/>
      <c r="BM73" s="215"/>
      <c r="BN73" s="215"/>
      <c r="BO73" s="215"/>
      <c r="BP73" s="215"/>
      <c r="BQ73" s="215"/>
      <c r="BR73" s="215"/>
      <c r="BS73" s="215"/>
      <c r="BT73" s="215"/>
      <c r="BU73" s="215"/>
      <c r="BV73" s="215"/>
      <c r="BW73" s="216"/>
    </row>
    <row r="74" spans="1:75" ht="13.5" customHeight="1">
      <c r="A74" s="27"/>
      <c r="B74" s="27"/>
      <c r="H74" s="14"/>
      <c r="P74" s="27"/>
      <c r="W74" s="27"/>
      <c r="AC74" s="14"/>
      <c r="AD74" s="27"/>
      <c r="AJ74" s="14"/>
      <c r="AL74" s="16" t="s">
        <v>356</v>
      </c>
      <c r="BA74" s="27"/>
      <c r="BE74" s="14"/>
      <c r="BF74" s="14"/>
      <c r="BH74" s="64"/>
      <c r="BL74" s="214"/>
      <c r="BM74" s="215"/>
      <c r="BN74" s="215"/>
      <c r="BO74" s="215"/>
      <c r="BP74" s="215"/>
      <c r="BQ74" s="215"/>
      <c r="BR74" s="215"/>
      <c r="BS74" s="215"/>
      <c r="BT74" s="215"/>
      <c r="BU74" s="215"/>
      <c r="BV74" s="215"/>
      <c r="BW74" s="216"/>
    </row>
    <row r="75" spans="1:75" ht="13.5" customHeight="1">
      <c r="A75" s="27"/>
      <c r="B75" s="27"/>
      <c r="H75" s="14"/>
      <c r="P75" s="27"/>
      <c r="W75" s="27"/>
      <c r="AC75" s="14"/>
      <c r="AD75" s="27"/>
      <c r="AJ75" s="14"/>
      <c r="AM75" s="8" t="s">
        <v>357</v>
      </c>
      <c r="BA75" s="27"/>
      <c r="BE75" s="14"/>
      <c r="BF75" s="14"/>
      <c r="BH75" s="64"/>
      <c r="BL75" s="214"/>
      <c r="BM75" s="215"/>
      <c r="BN75" s="215"/>
      <c r="BO75" s="215"/>
      <c r="BP75" s="215"/>
      <c r="BQ75" s="215"/>
      <c r="BR75" s="215"/>
      <c r="BS75" s="215"/>
      <c r="BT75" s="215"/>
      <c r="BU75" s="215"/>
      <c r="BV75" s="215"/>
      <c r="BW75" s="216"/>
    </row>
    <row r="76" spans="1:75" ht="13.5" customHeight="1">
      <c r="A76" s="27"/>
      <c r="B76" s="27"/>
      <c r="H76" s="14"/>
      <c r="P76" s="27"/>
      <c r="W76" s="27"/>
      <c r="AC76" s="14"/>
      <c r="AD76" s="27"/>
      <c r="AJ76" s="14"/>
      <c r="BA76" s="27"/>
      <c r="BE76" s="14"/>
      <c r="BF76" s="14"/>
      <c r="BH76" s="64"/>
      <c r="BL76" s="214"/>
      <c r="BM76" s="215"/>
      <c r="BN76" s="215"/>
      <c r="BO76" s="215"/>
      <c r="BP76" s="215"/>
      <c r="BQ76" s="215"/>
      <c r="BR76" s="215"/>
      <c r="BS76" s="215"/>
      <c r="BT76" s="215"/>
      <c r="BU76" s="215"/>
      <c r="BV76" s="215"/>
      <c r="BW76" s="216"/>
    </row>
    <row r="77" spans="1:75" ht="13.5" customHeight="1">
      <c r="A77" s="27"/>
      <c r="B77" s="27"/>
      <c r="H77" s="14"/>
      <c r="P77" s="27"/>
      <c r="W77" s="27"/>
      <c r="AC77" s="14"/>
      <c r="AD77" s="27"/>
      <c r="AJ77" s="14"/>
      <c r="BA77" s="27"/>
      <c r="BE77" s="14"/>
      <c r="BF77" s="14"/>
      <c r="BH77" s="64"/>
      <c r="BL77" s="214"/>
      <c r="BM77" s="215"/>
      <c r="BN77" s="215"/>
      <c r="BO77" s="215"/>
      <c r="BP77" s="215"/>
      <c r="BQ77" s="215"/>
      <c r="BR77" s="215"/>
      <c r="BS77" s="215"/>
      <c r="BT77" s="215"/>
      <c r="BU77" s="215"/>
      <c r="BV77" s="215"/>
      <c r="BW77" s="216"/>
    </row>
    <row r="78" spans="1:75" ht="13.5" customHeight="1">
      <c r="A78" s="27"/>
      <c r="B78" s="27"/>
      <c r="H78" s="14"/>
      <c r="P78" s="27"/>
      <c r="W78" s="27"/>
      <c r="AC78" s="14"/>
      <c r="AD78" s="27"/>
      <c r="AJ78" s="14"/>
      <c r="BA78" s="27"/>
      <c r="BE78" s="14"/>
      <c r="BF78" s="14"/>
      <c r="BH78" s="64"/>
      <c r="BL78" s="214"/>
      <c r="BM78" s="215"/>
      <c r="BN78" s="215"/>
      <c r="BO78" s="215"/>
      <c r="BP78" s="215"/>
      <c r="BQ78" s="215"/>
      <c r="BR78" s="215"/>
      <c r="BS78" s="215"/>
      <c r="BT78" s="215"/>
      <c r="BU78" s="215"/>
      <c r="BV78" s="215"/>
      <c r="BW78" s="216"/>
    </row>
    <row r="79" spans="1:75" ht="13.5" customHeight="1">
      <c r="A79" s="27"/>
      <c r="B79" s="27"/>
      <c r="H79" s="14"/>
      <c r="P79" s="27"/>
      <c r="W79" s="27"/>
      <c r="AC79" s="14"/>
      <c r="AD79" s="27"/>
      <c r="AJ79" s="14"/>
      <c r="BA79" s="27"/>
      <c r="BE79" s="14"/>
      <c r="BF79" s="14"/>
      <c r="BH79" s="64"/>
      <c r="BL79" s="214"/>
      <c r="BM79" s="215"/>
      <c r="BN79" s="215"/>
      <c r="BO79" s="215"/>
      <c r="BP79" s="215"/>
      <c r="BQ79" s="215"/>
      <c r="BR79" s="215"/>
      <c r="BS79" s="215"/>
      <c r="BT79" s="215"/>
      <c r="BU79" s="215"/>
      <c r="BV79" s="215"/>
      <c r="BW79" s="216"/>
    </row>
    <row r="80" spans="1:75" ht="13.5" customHeight="1">
      <c r="A80" s="27"/>
      <c r="B80" s="27"/>
      <c r="H80" s="14"/>
      <c r="P80" s="27"/>
      <c r="W80" s="27"/>
      <c r="AC80" s="14"/>
      <c r="AD80" s="27"/>
      <c r="AJ80" s="14"/>
      <c r="BA80" s="27"/>
      <c r="BE80" s="14"/>
      <c r="BF80" s="14"/>
      <c r="BH80" s="64"/>
      <c r="BL80" s="214"/>
      <c r="BM80" s="215"/>
      <c r="BN80" s="215"/>
      <c r="BO80" s="215"/>
      <c r="BP80" s="215"/>
      <c r="BQ80" s="215"/>
      <c r="BR80" s="215"/>
      <c r="BS80" s="215"/>
      <c r="BT80" s="215"/>
      <c r="BU80" s="215"/>
      <c r="BV80" s="215"/>
      <c r="BW80" s="216"/>
    </row>
    <row r="81" spans="1:75" ht="13.5" customHeight="1">
      <c r="A81" s="27"/>
      <c r="B81" s="27"/>
      <c r="H81" s="14"/>
      <c r="P81" s="27"/>
      <c r="W81" s="27"/>
      <c r="AC81" s="14"/>
      <c r="AD81" s="27"/>
      <c r="AJ81" s="14"/>
      <c r="BA81" s="27"/>
      <c r="BE81" s="14"/>
      <c r="BF81" s="14"/>
      <c r="BH81" s="64"/>
      <c r="BL81" s="214"/>
      <c r="BM81" s="215"/>
      <c r="BN81" s="215"/>
      <c r="BO81" s="215"/>
      <c r="BP81" s="215"/>
      <c r="BQ81" s="215"/>
      <c r="BR81" s="215"/>
      <c r="BS81" s="215"/>
      <c r="BT81" s="215"/>
      <c r="BU81" s="215"/>
      <c r="BV81" s="215"/>
      <c r="BW81" s="216"/>
    </row>
    <row r="82" spans="1:75" ht="13.5" customHeight="1">
      <c r="A82" s="27"/>
      <c r="B82" s="27"/>
      <c r="H82" s="14"/>
      <c r="P82" s="27"/>
      <c r="W82" s="27"/>
      <c r="AC82" s="14"/>
      <c r="AD82" s="27"/>
      <c r="AJ82" s="14"/>
      <c r="BA82" s="27"/>
      <c r="BE82" s="14"/>
      <c r="BF82" s="14"/>
      <c r="BH82" s="64"/>
      <c r="BL82" s="214"/>
      <c r="BM82" s="215"/>
      <c r="BN82" s="215"/>
      <c r="BO82" s="215"/>
      <c r="BP82" s="215"/>
      <c r="BQ82" s="215"/>
      <c r="BR82" s="215"/>
      <c r="BS82" s="215"/>
      <c r="BT82" s="215"/>
      <c r="BU82" s="215"/>
      <c r="BV82" s="215"/>
      <c r="BW82" s="216"/>
    </row>
    <row r="83" spans="1:75" ht="13.5" customHeight="1">
      <c r="A83" s="27"/>
      <c r="B83" s="27"/>
      <c r="H83" s="14"/>
      <c r="P83" s="27"/>
      <c r="W83" s="27"/>
      <c r="AC83" s="14"/>
      <c r="AD83" s="27"/>
      <c r="AJ83" s="14"/>
      <c r="BA83" s="27"/>
      <c r="BE83" s="14"/>
      <c r="BF83" s="14"/>
      <c r="BH83" s="64"/>
      <c r="BL83" s="214"/>
      <c r="BM83" s="215"/>
      <c r="BN83" s="215"/>
      <c r="BO83" s="215"/>
      <c r="BP83" s="215"/>
      <c r="BQ83" s="215"/>
      <c r="BR83" s="215"/>
      <c r="BS83" s="215"/>
      <c r="BT83" s="215"/>
      <c r="BU83" s="215"/>
      <c r="BV83" s="215"/>
      <c r="BW83" s="216"/>
    </row>
    <row r="84" spans="1:75" ht="13.5" customHeight="1">
      <c r="A84" s="27"/>
      <c r="B84" s="27"/>
      <c r="H84" s="14"/>
      <c r="P84" s="27"/>
      <c r="W84" s="27"/>
      <c r="AC84" s="14"/>
      <c r="AD84" s="27"/>
      <c r="AJ84" s="14"/>
      <c r="BA84" s="27"/>
      <c r="BE84" s="14"/>
      <c r="BF84" s="14"/>
      <c r="BH84" s="64"/>
      <c r="BL84" s="214"/>
      <c r="BM84" s="215"/>
      <c r="BN84" s="215"/>
      <c r="BO84" s="215"/>
      <c r="BP84" s="215"/>
      <c r="BQ84" s="215"/>
      <c r="BR84" s="215"/>
      <c r="BS84" s="215"/>
      <c r="BT84" s="215"/>
      <c r="BU84" s="215"/>
      <c r="BV84" s="215"/>
      <c r="BW84" s="216"/>
    </row>
    <row r="85" spans="1:75" ht="13.5" customHeight="1">
      <c r="A85" s="27"/>
      <c r="B85" s="27"/>
      <c r="H85" s="14"/>
      <c r="P85" s="27"/>
      <c r="W85" s="27"/>
      <c r="AC85" s="14"/>
      <c r="AD85" s="27"/>
      <c r="AJ85" s="14"/>
      <c r="BA85" s="27"/>
      <c r="BE85" s="14"/>
      <c r="BF85" s="14"/>
      <c r="BH85" s="64"/>
      <c r="BL85" s="214"/>
      <c r="BM85" s="215"/>
      <c r="BN85" s="215"/>
      <c r="BO85" s="215"/>
      <c r="BP85" s="215"/>
      <c r="BQ85" s="215"/>
      <c r="BR85" s="215"/>
      <c r="BS85" s="215"/>
      <c r="BT85" s="215"/>
      <c r="BU85" s="215"/>
      <c r="BV85" s="215"/>
      <c r="BW85" s="216"/>
    </row>
    <row r="86" spans="1:75" ht="13.5" customHeight="1">
      <c r="A86" s="27"/>
      <c r="B86" s="27"/>
      <c r="H86" s="14"/>
      <c r="P86" s="27"/>
      <c r="W86" s="27"/>
      <c r="AC86" s="14"/>
      <c r="AD86" s="27"/>
      <c r="AJ86" s="14"/>
      <c r="AL86" s="16" t="s">
        <v>358</v>
      </c>
      <c r="BA86" s="27"/>
      <c r="BE86" s="14"/>
      <c r="BF86" s="14"/>
      <c r="BH86" s="64"/>
      <c r="BL86" s="214"/>
      <c r="BM86" s="215"/>
      <c r="BN86" s="215"/>
      <c r="BO86" s="215"/>
      <c r="BP86" s="215"/>
      <c r="BQ86" s="215"/>
      <c r="BR86" s="215"/>
      <c r="BS86" s="215"/>
      <c r="BT86" s="215"/>
      <c r="BU86" s="215"/>
      <c r="BV86" s="215"/>
      <c r="BW86" s="216"/>
    </row>
    <row r="87" spans="1:75" ht="13.5" customHeight="1">
      <c r="A87" s="27"/>
      <c r="B87" s="27"/>
      <c r="H87" s="14"/>
      <c r="P87" s="27"/>
      <c r="W87" s="27"/>
      <c r="AC87" s="14"/>
      <c r="AD87" s="27"/>
      <c r="AJ87" s="14"/>
      <c r="AM87" s="8" t="s">
        <v>359</v>
      </c>
      <c r="BA87" s="27"/>
      <c r="BE87" s="14"/>
      <c r="BF87" s="14"/>
      <c r="BH87" s="64"/>
      <c r="BL87" s="214"/>
      <c r="BM87" s="215"/>
      <c r="BN87" s="215"/>
      <c r="BO87" s="215"/>
      <c r="BP87" s="215"/>
      <c r="BQ87" s="215"/>
      <c r="BR87" s="215"/>
      <c r="BS87" s="215"/>
      <c r="BT87" s="215"/>
      <c r="BU87" s="215"/>
      <c r="BV87" s="215"/>
      <c r="BW87" s="216"/>
    </row>
    <row r="88" spans="1:75" ht="13.5" customHeight="1">
      <c r="A88" s="27"/>
      <c r="B88" s="27"/>
      <c r="H88" s="14"/>
      <c r="P88" s="27"/>
      <c r="W88" s="27"/>
      <c r="AC88" s="14"/>
      <c r="AD88" s="27"/>
      <c r="AJ88" s="14"/>
      <c r="BA88" s="27"/>
      <c r="BE88" s="14"/>
      <c r="BF88" s="14"/>
      <c r="BH88" s="64"/>
      <c r="BL88" s="214"/>
      <c r="BM88" s="215"/>
      <c r="BN88" s="215"/>
      <c r="BO88" s="215"/>
      <c r="BP88" s="215"/>
      <c r="BQ88" s="215"/>
      <c r="BR88" s="215"/>
      <c r="BS88" s="215"/>
      <c r="BT88" s="215"/>
      <c r="BU88" s="215"/>
      <c r="BV88" s="215"/>
      <c r="BW88" s="216"/>
    </row>
    <row r="89" spans="1:75" ht="13.5" customHeight="1">
      <c r="A89" s="27"/>
      <c r="B89" s="27"/>
      <c r="H89" s="14"/>
      <c r="P89" s="27"/>
      <c r="W89" s="27"/>
      <c r="AC89" s="14"/>
      <c r="AD89" s="27"/>
      <c r="AJ89" s="14"/>
      <c r="BA89" s="27"/>
      <c r="BE89" s="14"/>
      <c r="BF89" s="14"/>
      <c r="BH89" s="64"/>
      <c r="BL89" s="214"/>
      <c r="BM89" s="215"/>
      <c r="BN89" s="215"/>
      <c r="BO89" s="215"/>
      <c r="BP89" s="215"/>
      <c r="BQ89" s="215"/>
      <c r="BR89" s="215"/>
      <c r="BS89" s="215"/>
      <c r="BT89" s="215"/>
      <c r="BU89" s="215"/>
      <c r="BV89" s="215"/>
      <c r="BW89" s="216"/>
    </row>
    <row r="90" spans="1:75" ht="13.5" customHeight="1">
      <c r="A90" s="27"/>
      <c r="B90" s="27"/>
      <c r="H90" s="14"/>
      <c r="P90" s="27"/>
      <c r="W90" s="27"/>
      <c r="AC90" s="14"/>
      <c r="AD90" s="27"/>
      <c r="AJ90" s="14"/>
      <c r="BA90" s="27"/>
      <c r="BE90" s="14"/>
      <c r="BF90" s="14"/>
      <c r="BH90" s="64"/>
      <c r="BL90" s="214"/>
      <c r="BM90" s="215"/>
      <c r="BN90" s="215"/>
      <c r="BO90" s="215"/>
      <c r="BP90" s="215"/>
      <c r="BQ90" s="215"/>
      <c r="BR90" s="215"/>
      <c r="BS90" s="215"/>
      <c r="BT90" s="215"/>
      <c r="BU90" s="215"/>
      <c r="BV90" s="215"/>
      <c r="BW90" s="216"/>
    </row>
    <row r="91" spans="1:75" ht="13.5" customHeight="1">
      <c r="A91" s="27"/>
      <c r="B91" s="27"/>
      <c r="H91" s="14"/>
      <c r="P91" s="27"/>
      <c r="W91" s="27"/>
      <c r="AC91" s="14"/>
      <c r="AD91" s="27"/>
      <c r="AJ91" s="14"/>
      <c r="BA91" s="27"/>
      <c r="BE91" s="14"/>
      <c r="BF91" s="14"/>
      <c r="BH91" s="64"/>
      <c r="BL91" s="214"/>
      <c r="BM91" s="215"/>
      <c r="BN91" s="215"/>
      <c r="BO91" s="215"/>
      <c r="BP91" s="215"/>
      <c r="BQ91" s="215"/>
      <c r="BR91" s="215"/>
      <c r="BS91" s="215"/>
      <c r="BT91" s="215"/>
      <c r="BU91" s="215"/>
      <c r="BV91" s="215"/>
      <c r="BW91" s="216"/>
    </row>
    <row r="92" spans="1:75" ht="13.5" customHeight="1">
      <c r="A92" s="27"/>
      <c r="B92" s="27"/>
      <c r="H92" s="14"/>
      <c r="P92" s="27"/>
      <c r="W92" s="27"/>
      <c r="AC92" s="14"/>
      <c r="AD92" s="27"/>
      <c r="AJ92" s="14"/>
      <c r="BA92" s="27"/>
      <c r="BE92" s="14"/>
      <c r="BF92" s="14"/>
      <c r="BH92" s="64"/>
      <c r="BL92" s="214"/>
      <c r="BM92" s="215"/>
      <c r="BN92" s="215"/>
      <c r="BO92" s="215"/>
      <c r="BP92" s="215"/>
      <c r="BQ92" s="215"/>
      <c r="BR92" s="215"/>
      <c r="BS92" s="215"/>
      <c r="BT92" s="215"/>
      <c r="BU92" s="215"/>
      <c r="BV92" s="215"/>
      <c r="BW92" s="216"/>
    </row>
    <row r="93" spans="1:75" ht="13.5" customHeight="1">
      <c r="A93" s="27"/>
      <c r="B93" s="27"/>
      <c r="H93" s="14"/>
      <c r="P93" s="27"/>
      <c r="W93" s="27"/>
      <c r="AC93" s="14"/>
      <c r="AD93" s="27"/>
      <c r="AJ93" s="14"/>
      <c r="BA93" s="27"/>
      <c r="BE93" s="14"/>
      <c r="BF93" s="14"/>
      <c r="BH93" s="64"/>
      <c r="BL93" s="214"/>
      <c r="BM93" s="215"/>
      <c r="BN93" s="215"/>
      <c r="BO93" s="215"/>
      <c r="BP93" s="215"/>
      <c r="BQ93" s="215"/>
      <c r="BR93" s="215"/>
      <c r="BS93" s="215"/>
      <c r="BT93" s="215"/>
      <c r="BU93" s="215"/>
      <c r="BV93" s="215"/>
      <c r="BW93" s="216"/>
    </row>
    <row r="94" spans="1:75" ht="13.5" customHeight="1">
      <c r="A94" s="27"/>
      <c r="B94" s="27"/>
      <c r="H94" s="14"/>
      <c r="P94" s="27"/>
      <c r="W94" s="27"/>
      <c r="AC94" s="14"/>
      <c r="AD94" s="27"/>
      <c r="AJ94" s="14"/>
      <c r="BA94" s="27"/>
      <c r="BE94" s="14"/>
      <c r="BF94" s="14"/>
      <c r="BH94" s="64"/>
      <c r="BL94" s="214"/>
      <c r="BM94" s="215"/>
      <c r="BN94" s="215"/>
      <c r="BO94" s="215"/>
      <c r="BP94" s="215"/>
      <c r="BQ94" s="215"/>
      <c r="BR94" s="215"/>
      <c r="BS94" s="215"/>
      <c r="BT94" s="215"/>
      <c r="BU94" s="215"/>
      <c r="BV94" s="215"/>
      <c r="BW94" s="216"/>
    </row>
    <row r="95" spans="1:75" ht="13.5" customHeight="1">
      <c r="A95" s="27"/>
      <c r="B95" s="27"/>
      <c r="H95" s="14"/>
      <c r="P95" s="27"/>
      <c r="W95" s="27"/>
      <c r="AC95" s="14"/>
      <c r="AD95" s="27"/>
      <c r="AJ95" s="14"/>
      <c r="BA95" s="27"/>
      <c r="BE95" s="14"/>
      <c r="BF95" s="14"/>
      <c r="BH95" s="64"/>
      <c r="BL95" s="214"/>
      <c r="BM95" s="215"/>
      <c r="BN95" s="215"/>
      <c r="BO95" s="215"/>
      <c r="BP95" s="215"/>
      <c r="BQ95" s="215"/>
      <c r="BR95" s="215"/>
      <c r="BS95" s="215"/>
      <c r="BT95" s="215"/>
      <c r="BU95" s="215"/>
      <c r="BV95" s="215"/>
      <c r="BW95" s="216"/>
    </row>
    <row r="96" spans="1:75" ht="13.5" customHeight="1">
      <c r="A96" s="27"/>
      <c r="B96" s="27"/>
      <c r="H96" s="14"/>
      <c r="P96" s="27"/>
      <c r="W96" s="27"/>
      <c r="AC96" s="14"/>
      <c r="AD96" s="27"/>
      <c r="AJ96" s="14"/>
      <c r="BA96" s="27"/>
      <c r="BE96" s="14"/>
      <c r="BF96" s="14"/>
      <c r="BH96" s="64"/>
      <c r="BL96" s="214"/>
      <c r="BM96" s="215"/>
      <c r="BN96" s="215"/>
      <c r="BO96" s="215"/>
      <c r="BP96" s="215"/>
      <c r="BQ96" s="215"/>
      <c r="BR96" s="215"/>
      <c r="BS96" s="215"/>
      <c r="BT96" s="215"/>
      <c r="BU96" s="215"/>
      <c r="BV96" s="215"/>
      <c r="BW96" s="216"/>
    </row>
    <row r="97" spans="1:75" ht="13.5" customHeight="1">
      <c r="A97" s="27"/>
      <c r="B97" s="27"/>
      <c r="H97" s="14"/>
      <c r="P97" s="27"/>
      <c r="W97" s="27"/>
      <c r="AC97" s="14"/>
      <c r="AD97" s="27"/>
      <c r="AJ97" s="14"/>
      <c r="BA97" s="27"/>
      <c r="BE97" s="14"/>
      <c r="BF97" s="14"/>
      <c r="BH97" s="64"/>
      <c r="BL97" s="214"/>
      <c r="BM97" s="215"/>
      <c r="BN97" s="215"/>
      <c r="BO97" s="215"/>
      <c r="BP97" s="215"/>
      <c r="BQ97" s="215"/>
      <c r="BR97" s="215"/>
      <c r="BS97" s="215"/>
      <c r="BT97" s="215"/>
      <c r="BU97" s="215"/>
      <c r="BV97" s="215"/>
      <c r="BW97" s="216"/>
    </row>
    <row r="98" spans="1:75" ht="13.5" customHeight="1">
      <c r="A98" s="27"/>
      <c r="B98" s="27"/>
      <c r="H98" s="14"/>
      <c r="P98" s="27"/>
      <c r="W98" s="27"/>
      <c r="AC98" s="14"/>
      <c r="AD98" s="27"/>
      <c r="AJ98" s="14"/>
      <c r="BA98" s="27"/>
      <c r="BE98" s="14"/>
      <c r="BF98" s="14"/>
      <c r="BH98" s="64"/>
      <c r="BL98" s="214"/>
      <c r="BM98" s="215"/>
      <c r="BN98" s="215"/>
      <c r="BO98" s="215"/>
      <c r="BP98" s="215"/>
      <c r="BQ98" s="215"/>
      <c r="BR98" s="215"/>
      <c r="BS98" s="215"/>
      <c r="BT98" s="215"/>
      <c r="BU98" s="215"/>
      <c r="BV98" s="215"/>
      <c r="BW98" s="216"/>
    </row>
    <row r="99" spans="1:75" ht="13.5" customHeight="1">
      <c r="A99" s="27"/>
      <c r="B99" s="27"/>
      <c r="H99" s="14"/>
      <c r="P99" s="27"/>
      <c r="W99" s="27"/>
      <c r="AC99" s="14"/>
      <c r="AD99" s="27"/>
      <c r="AJ99" s="14"/>
      <c r="BA99" s="27"/>
      <c r="BE99" s="14"/>
      <c r="BF99" s="14"/>
      <c r="BH99" s="64"/>
      <c r="BL99" s="214"/>
      <c r="BM99" s="215"/>
      <c r="BN99" s="215"/>
      <c r="BO99" s="215"/>
      <c r="BP99" s="215"/>
      <c r="BQ99" s="215"/>
      <c r="BR99" s="215"/>
      <c r="BS99" s="215"/>
      <c r="BT99" s="215"/>
      <c r="BU99" s="215"/>
      <c r="BV99" s="215"/>
      <c r="BW99" s="216"/>
    </row>
    <row r="100" spans="1:75" ht="13.5" customHeight="1">
      <c r="A100" s="27"/>
      <c r="B100" s="27"/>
      <c r="H100" s="14"/>
      <c r="P100" s="27"/>
      <c r="W100" s="27"/>
      <c r="AC100" s="14"/>
      <c r="AD100" s="27"/>
      <c r="AJ100" s="14"/>
      <c r="BA100" s="27"/>
      <c r="BE100" s="14"/>
      <c r="BF100" s="14"/>
      <c r="BH100" s="64"/>
      <c r="BL100" s="214"/>
      <c r="BM100" s="215"/>
      <c r="BN100" s="215"/>
      <c r="BO100" s="215"/>
      <c r="BP100" s="215"/>
      <c r="BQ100" s="215"/>
      <c r="BR100" s="215"/>
      <c r="BS100" s="215"/>
      <c r="BT100" s="215"/>
      <c r="BU100" s="215"/>
      <c r="BV100" s="215"/>
      <c r="BW100" s="216"/>
    </row>
    <row r="101" spans="1:75" ht="13.5" customHeight="1">
      <c r="A101" s="27"/>
      <c r="B101" s="27"/>
      <c r="H101" s="14"/>
      <c r="P101" s="27"/>
      <c r="W101" s="27"/>
      <c r="AC101" s="14"/>
      <c r="AD101" s="27"/>
      <c r="AJ101" s="14"/>
      <c r="AL101" s="16" t="s">
        <v>360</v>
      </c>
      <c r="BA101" s="27"/>
      <c r="BE101" s="14"/>
      <c r="BF101" s="14"/>
      <c r="BH101" s="64"/>
      <c r="BL101" s="214"/>
      <c r="BM101" s="215"/>
      <c r="BN101" s="215"/>
      <c r="BO101" s="215"/>
      <c r="BP101" s="215"/>
      <c r="BQ101" s="215"/>
      <c r="BR101" s="215"/>
      <c r="BS101" s="215"/>
      <c r="BT101" s="215"/>
      <c r="BU101" s="215"/>
      <c r="BV101" s="215"/>
      <c r="BW101" s="216"/>
    </row>
    <row r="102" spans="1:75" ht="13.5" customHeight="1">
      <c r="A102" s="27"/>
      <c r="B102" s="27"/>
      <c r="H102" s="14"/>
      <c r="P102" s="27"/>
      <c r="W102" s="27"/>
      <c r="AC102" s="14"/>
      <c r="AD102" s="27"/>
      <c r="AJ102" s="14"/>
      <c r="AM102" s="8" t="s">
        <v>361</v>
      </c>
      <c r="BA102" s="27"/>
      <c r="BE102" s="14"/>
      <c r="BF102" s="14"/>
      <c r="BH102" s="64"/>
      <c r="BL102" s="214"/>
      <c r="BM102" s="215"/>
      <c r="BN102" s="215"/>
      <c r="BO102" s="215"/>
      <c r="BP102" s="215"/>
      <c r="BQ102" s="215"/>
      <c r="BR102" s="215"/>
      <c r="BS102" s="215"/>
      <c r="BT102" s="215"/>
      <c r="BU102" s="215"/>
      <c r="BV102" s="215"/>
      <c r="BW102" s="216"/>
    </row>
    <row r="103" spans="1:75" ht="13.5" customHeight="1">
      <c r="A103" s="27"/>
      <c r="B103" s="27"/>
      <c r="H103" s="14"/>
      <c r="P103" s="27"/>
      <c r="W103" s="27"/>
      <c r="AC103" s="14"/>
      <c r="AD103" s="27"/>
      <c r="AJ103" s="14"/>
      <c r="AM103" s="8" t="s">
        <v>362</v>
      </c>
      <c r="BA103" s="27"/>
      <c r="BE103" s="14"/>
      <c r="BF103" s="14"/>
      <c r="BH103" s="64"/>
      <c r="BL103" s="214"/>
      <c r="BM103" s="215"/>
      <c r="BN103" s="215"/>
      <c r="BO103" s="215"/>
      <c r="BP103" s="215"/>
      <c r="BQ103" s="215"/>
      <c r="BR103" s="215"/>
      <c r="BS103" s="215"/>
      <c r="BT103" s="215"/>
      <c r="BU103" s="215"/>
      <c r="BV103" s="215"/>
      <c r="BW103" s="216"/>
    </row>
    <row r="104" spans="1:75" ht="13.5" customHeight="1">
      <c r="A104" s="27"/>
      <c r="B104" s="27"/>
      <c r="H104" s="14"/>
      <c r="P104" s="27"/>
      <c r="W104" s="27"/>
      <c r="AC104" s="14"/>
      <c r="AD104" s="27"/>
      <c r="AJ104" s="14"/>
      <c r="BA104" s="27"/>
      <c r="BE104" s="14"/>
      <c r="BF104" s="14"/>
      <c r="BH104" s="64"/>
      <c r="BL104" s="214"/>
      <c r="BM104" s="215"/>
      <c r="BN104" s="215"/>
      <c r="BO104" s="215"/>
      <c r="BP104" s="215"/>
      <c r="BQ104" s="215"/>
      <c r="BR104" s="215"/>
      <c r="BS104" s="215"/>
      <c r="BT104" s="215"/>
      <c r="BU104" s="215"/>
      <c r="BV104" s="215"/>
      <c r="BW104" s="216"/>
    </row>
    <row r="105" spans="1:75" ht="13.5" customHeight="1">
      <c r="A105" s="27"/>
      <c r="B105" s="27"/>
      <c r="H105" s="14"/>
      <c r="P105" s="27"/>
      <c r="W105" s="27"/>
      <c r="AC105" s="14"/>
      <c r="AD105" s="27"/>
      <c r="AJ105" s="14"/>
      <c r="BA105" s="27"/>
      <c r="BE105" s="14"/>
      <c r="BF105" s="14"/>
      <c r="BH105" s="64"/>
      <c r="BL105" s="214"/>
      <c r="BM105" s="215"/>
      <c r="BN105" s="215"/>
      <c r="BO105" s="215"/>
      <c r="BP105" s="215"/>
      <c r="BQ105" s="215"/>
      <c r="BR105" s="215"/>
      <c r="BS105" s="215"/>
      <c r="BT105" s="215"/>
      <c r="BU105" s="215"/>
      <c r="BV105" s="215"/>
      <c r="BW105" s="216"/>
    </row>
    <row r="106" spans="1:75" ht="13.5" customHeight="1">
      <c r="A106" s="27"/>
      <c r="B106" s="27"/>
      <c r="H106" s="14"/>
      <c r="P106" s="27"/>
      <c r="W106" s="27"/>
      <c r="AC106" s="14"/>
      <c r="AD106" s="27"/>
      <c r="AJ106" s="14"/>
      <c r="BA106" s="27"/>
      <c r="BE106" s="14"/>
      <c r="BF106" s="14"/>
      <c r="BH106" s="64"/>
      <c r="BL106" s="214"/>
      <c r="BM106" s="215"/>
      <c r="BN106" s="215"/>
      <c r="BO106" s="215"/>
      <c r="BP106" s="215"/>
      <c r="BQ106" s="215"/>
      <c r="BR106" s="215"/>
      <c r="BS106" s="215"/>
      <c r="BT106" s="215"/>
      <c r="BU106" s="215"/>
      <c r="BV106" s="215"/>
      <c r="BW106" s="216"/>
    </row>
    <row r="107" spans="1:75" ht="13.5" customHeight="1">
      <c r="A107" s="27"/>
      <c r="B107" s="27"/>
      <c r="H107" s="14"/>
      <c r="P107" s="27"/>
      <c r="W107" s="27"/>
      <c r="AC107" s="14"/>
      <c r="AD107" s="27"/>
      <c r="AJ107" s="14"/>
      <c r="BA107" s="27"/>
      <c r="BE107" s="14"/>
      <c r="BF107" s="14"/>
      <c r="BH107" s="64"/>
      <c r="BL107" s="214"/>
      <c r="BM107" s="215"/>
      <c r="BN107" s="215"/>
      <c r="BO107" s="215"/>
      <c r="BP107" s="215"/>
      <c r="BQ107" s="215"/>
      <c r="BR107" s="215"/>
      <c r="BS107" s="215"/>
      <c r="BT107" s="215"/>
      <c r="BU107" s="215"/>
      <c r="BV107" s="215"/>
      <c r="BW107" s="216"/>
    </row>
    <row r="108" spans="1:75" ht="13.5" customHeight="1">
      <c r="A108" s="27"/>
      <c r="B108" s="27"/>
      <c r="H108" s="14"/>
      <c r="P108" s="27"/>
      <c r="W108" s="27"/>
      <c r="AC108" s="14"/>
      <c r="AD108" s="27"/>
      <c r="AJ108" s="14"/>
      <c r="BA108" s="27"/>
      <c r="BE108" s="14"/>
      <c r="BF108" s="14"/>
      <c r="BH108" s="64"/>
      <c r="BL108" s="214"/>
      <c r="BM108" s="215"/>
      <c r="BN108" s="215"/>
      <c r="BO108" s="215"/>
      <c r="BP108" s="215"/>
      <c r="BQ108" s="215"/>
      <c r="BR108" s="215"/>
      <c r="BS108" s="215"/>
      <c r="BT108" s="215"/>
      <c r="BU108" s="215"/>
      <c r="BV108" s="215"/>
      <c r="BW108" s="216"/>
    </row>
    <row r="109" spans="1:75" ht="13.5" customHeight="1">
      <c r="A109" s="27"/>
      <c r="B109" s="27"/>
      <c r="H109" s="14"/>
      <c r="P109" s="27"/>
      <c r="W109" s="27"/>
      <c r="AC109" s="14"/>
      <c r="AD109" s="27"/>
      <c r="AJ109" s="14"/>
      <c r="AL109" s="16" t="s">
        <v>363</v>
      </c>
      <c r="BA109" s="89" t="s">
        <v>364</v>
      </c>
      <c r="BE109" s="14"/>
      <c r="BF109" s="14"/>
      <c r="BH109" s="64"/>
      <c r="BL109" s="214"/>
      <c r="BM109" s="215"/>
      <c r="BN109" s="215"/>
      <c r="BO109" s="215"/>
      <c r="BP109" s="215"/>
      <c r="BQ109" s="215"/>
      <c r="BR109" s="215"/>
      <c r="BS109" s="215"/>
      <c r="BT109" s="215"/>
      <c r="BU109" s="215"/>
      <c r="BV109" s="215"/>
      <c r="BW109" s="216"/>
    </row>
    <row r="110" spans="1:75" ht="13.5" customHeight="1">
      <c r="A110" s="27"/>
      <c r="B110" s="27"/>
      <c r="H110" s="14"/>
      <c r="P110" s="27"/>
      <c r="W110" s="27"/>
      <c r="AC110" s="14"/>
      <c r="AD110" s="27"/>
      <c r="AJ110" s="14"/>
      <c r="AM110" s="8" t="s">
        <v>365</v>
      </c>
      <c r="BA110" s="114" t="s">
        <v>219</v>
      </c>
      <c r="BE110" s="14"/>
      <c r="BF110" s="14"/>
      <c r="BH110" s="64"/>
      <c r="BL110" s="214"/>
      <c r="BM110" s="215"/>
      <c r="BN110" s="215"/>
      <c r="BO110" s="215"/>
      <c r="BP110" s="215"/>
      <c r="BQ110" s="215"/>
      <c r="BR110" s="215"/>
      <c r="BS110" s="215"/>
      <c r="BT110" s="215"/>
      <c r="BU110" s="215"/>
      <c r="BV110" s="215"/>
      <c r="BW110" s="216"/>
    </row>
    <row r="111" spans="1:75" ht="13.5" customHeight="1">
      <c r="A111" s="27"/>
      <c r="B111" s="27"/>
      <c r="H111" s="14"/>
      <c r="P111" s="27"/>
      <c r="W111" s="27"/>
      <c r="AC111" s="14"/>
      <c r="AD111" s="27"/>
      <c r="AJ111" s="14"/>
      <c r="AM111" s="72" t="s">
        <v>128</v>
      </c>
      <c r="AN111" s="73"/>
      <c r="AO111" s="73"/>
      <c r="AP111" s="73"/>
      <c r="AQ111" s="73"/>
      <c r="AR111" s="73"/>
      <c r="AS111" s="73"/>
      <c r="AT111" s="73"/>
      <c r="AU111" s="73"/>
      <c r="AV111" s="75"/>
      <c r="BA111" s="27"/>
      <c r="BE111" s="14"/>
      <c r="BF111" s="14"/>
      <c r="BH111" s="64"/>
      <c r="BL111" s="214"/>
      <c r="BM111" s="215"/>
      <c r="BN111" s="215"/>
      <c r="BO111" s="215"/>
      <c r="BP111" s="215"/>
      <c r="BQ111" s="215"/>
      <c r="BR111" s="215"/>
      <c r="BS111" s="215"/>
      <c r="BT111" s="215"/>
      <c r="BU111" s="215"/>
      <c r="BV111" s="215"/>
      <c r="BW111" s="216"/>
    </row>
    <row r="112" spans="1:75" ht="13.5" customHeight="1">
      <c r="A112" s="27"/>
      <c r="B112" s="27"/>
      <c r="H112" s="14"/>
      <c r="P112" s="27"/>
      <c r="W112" s="27"/>
      <c r="AC112" s="14"/>
      <c r="AD112" s="27"/>
      <c r="AJ112" s="14"/>
      <c r="AM112" s="51" t="s">
        <v>130</v>
      </c>
      <c r="AN112" s="52"/>
      <c r="AO112" s="52"/>
      <c r="AP112" s="52"/>
      <c r="AQ112" s="52"/>
      <c r="AR112" s="53"/>
      <c r="AS112" s="84" t="s">
        <v>366</v>
      </c>
      <c r="AT112" s="52"/>
      <c r="AU112" s="52"/>
      <c r="AV112" s="53"/>
      <c r="BA112" s="27"/>
      <c r="BE112" s="14"/>
      <c r="BF112" s="14"/>
      <c r="BH112" s="64"/>
      <c r="BL112" s="214"/>
      <c r="BM112" s="215"/>
      <c r="BN112" s="215"/>
      <c r="BO112" s="215"/>
      <c r="BP112" s="215"/>
      <c r="BQ112" s="215"/>
      <c r="BR112" s="215"/>
      <c r="BS112" s="215"/>
      <c r="BT112" s="215"/>
      <c r="BU112" s="215"/>
      <c r="BV112" s="215"/>
      <c r="BW112" s="216"/>
    </row>
    <row r="113" spans="1:75" ht="13.5" customHeight="1">
      <c r="A113" s="27"/>
      <c r="B113" s="27"/>
      <c r="H113" s="14"/>
      <c r="P113" s="27"/>
      <c r="W113" s="27"/>
      <c r="AC113" s="14"/>
      <c r="AD113" s="27"/>
      <c r="AJ113" s="14"/>
      <c r="AM113" s="27" t="s">
        <v>367</v>
      </c>
      <c r="AR113" s="14"/>
      <c r="AV113" s="14"/>
      <c r="BA113" s="27"/>
      <c r="BE113" s="14"/>
      <c r="BF113" s="14"/>
      <c r="BH113" s="64"/>
      <c r="BL113" s="214"/>
      <c r="BM113" s="215"/>
      <c r="BN113" s="215"/>
      <c r="BO113" s="215"/>
      <c r="BP113" s="215"/>
      <c r="BQ113" s="215"/>
      <c r="BR113" s="215"/>
      <c r="BS113" s="215"/>
      <c r="BT113" s="215"/>
      <c r="BU113" s="215"/>
      <c r="BV113" s="215"/>
      <c r="BW113" s="216"/>
    </row>
    <row r="114" spans="1:75" ht="13.5" customHeight="1">
      <c r="A114" s="27"/>
      <c r="B114" s="27"/>
      <c r="H114" s="14"/>
      <c r="P114" s="27"/>
      <c r="W114" s="27"/>
      <c r="AC114" s="14"/>
      <c r="AD114" s="27"/>
      <c r="AJ114" s="14"/>
      <c r="AM114" s="27" t="s">
        <v>368</v>
      </c>
      <c r="AR114" s="14"/>
      <c r="AV114" s="14"/>
      <c r="BA114" s="27"/>
      <c r="BE114" s="14"/>
      <c r="BF114" s="14"/>
      <c r="BH114" s="64"/>
      <c r="BL114" s="214"/>
      <c r="BM114" s="215"/>
      <c r="BN114" s="215"/>
      <c r="BO114" s="215"/>
      <c r="BP114" s="215"/>
      <c r="BQ114" s="215"/>
      <c r="BR114" s="215"/>
      <c r="BS114" s="215"/>
      <c r="BT114" s="215"/>
      <c r="BU114" s="215"/>
      <c r="BV114" s="215"/>
      <c r="BW114" s="216"/>
    </row>
    <row r="115" spans="1:75" ht="13.5" customHeight="1">
      <c r="A115" s="27"/>
      <c r="B115" s="27"/>
      <c r="H115" s="14"/>
      <c r="P115" s="27"/>
      <c r="W115" s="27"/>
      <c r="AC115" s="14"/>
      <c r="AD115" s="27"/>
      <c r="AJ115" s="14"/>
      <c r="AM115" s="55" t="s">
        <v>369</v>
      </c>
      <c r="AN115" s="10"/>
      <c r="AO115" s="10"/>
      <c r="AP115" s="10"/>
      <c r="AQ115" s="10"/>
      <c r="AR115" s="15"/>
      <c r="AS115" s="10"/>
      <c r="AT115" s="10"/>
      <c r="AU115" s="10"/>
      <c r="AV115" s="15"/>
      <c r="BA115" s="27"/>
      <c r="BE115" s="14"/>
      <c r="BF115" s="14"/>
      <c r="BH115" s="64"/>
      <c r="BL115" s="214"/>
      <c r="BM115" s="215"/>
      <c r="BN115" s="215"/>
      <c r="BO115" s="215"/>
      <c r="BP115" s="215"/>
      <c r="BQ115" s="215"/>
      <c r="BR115" s="215"/>
      <c r="BS115" s="215"/>
      <c r="BT115" s="215"/>
      <c r="BU115" s="215"/>
      <c r="BV115" s="215"/>
      <c r="BW115" s="216"/>
    </row>
    <row r="116" spans="1:75" ht="13.5" customHeight="1">
      <c r="A116" s="27"/>
      <c r="B116" s="27"/>
      <c r="H116" s="14"/>
      <c r="P116" s="27"/>
      <c r="W116" s="27"/>
      <c r="AC116" s="14"/>
      <c r="AD116" s="27"/>
      <c r="AJ116" s="14"/>
      <c r="BA116" s="27"/>
      <c r="BE116" s="14"/>
      <c r="BF116" s="14"/>
      <c r="BH116" s="64"/>
      <c r="BL116" s="214"/>
      <c r="BM116" s="215"/>
      <c r="BN116" s="215"/>
      <c r="BO116" s="215"/>
      <c r="BP116" s="215"/>
      <c r="BQ116" s="215"/>
      <c r="BR116" s="215"/>
      <c r="BS116" s="215"/>
      <c r="BT116" s="215"/>
      <c r="BU116" s="215"/>
      <c r="BV116" s="215"/>
      <c r="BW116" s="216"/>
    </row>
    <row r="117" spans="1:75" ht="13.5" customHeight="1">
      <c r="A117" s="27"/>
      <c r="B117" s="27"/>
      <c r="H117" s="14"/>
      <c r="P117" s="27"/>
      <c r="W117" s="27"/>
      <c r="AC117" s="14"/>
      <c r="AD117" s="27"/>
      <c r="AJ117" s="14"/>
      <c r="BA117" s="27"/>
      <c r="BE117" s="14"/>
      <c r="BF117" s="14"/>
      <c r="BH117" s="64"/>
      <c r="BL117" s="214"/>
      <c r="BM117" s="215"/>
      <c r="BN117" s="215"/>
      <c r="BO117" s="215"/>
      <c r="BP117" s="215"/>
      <c r="BQ117" s="215"/>
      <c r="BR117" s="215"/>
      <c r="BS117" s="215"/>
      <c r="BT117" s="215"/>
      <c r="BU117" s="215"/>
      <c r="BV117" s="215"/>
      <c r="BW117" s="216"/>
    </row>
    <row r="118" spans="1:75" ht="13.5" customHeight="1">
      <c r="A118" s="27"/>
      <c r="B118" s="27"/>
      <c r="H118" s="14"/>
      <c r="P118" s="27"/>
      <c r="W118" s="27"/>
      <c r="AC118" s="14"/>
      <c r="AD118" s="27"/>
      <c r="AJ118" s="14"/>
      <c r="BA118" s="27"/>
      <c r="BE118" s="14"/>
      <c r="BF118" s="14"/>
      <c r="BH118" s="64"/>
      <c r="BL118" s="214"/>
      <c r="BM118" s="215"/>
      <c r="BN118" s="215"/>
      <c r="BO118" s="215"/>
      <c r="BP118" s="215"/>
      <c r="BQ118" s="215"/>
      <c r="BR118" s="215"/>
      <c r="BS118" s="215"/>
      <c r="BT118" s="215"/>
      <c r="BU118" s="215"/>
      <c r="BV118" s="215"/>
      <c r="BW118" s="216"/>
    </row>
    <row r="119" spans="1:75" ht="13.5" customHeight="1">
      <c r="A119" s="27"/>
      <c r="B119" s="27"/>
      <c r="H119" s="14"/>
      <c r="P119" s="27"/>
      <c r="W119" s="27"/>
      <c r="AC119" s="14"/>
      <c r="AD119" s="27"/>
      <c r="AJ119" s="14"/>
      <c r="BA119" s="27"/>
      <c r="BE119" s="14"/>
      <c r="BF119" s="14"/>
      <c r="BH119" s="64"/>
      <c r="BL119" s="214"/>
      <c r="BM119" s="215"/>
      <c r="BN119" s="215"/>
      <c r="BO119" s="215"/>
      <c r="BP119" s="215"/>
      <c r="BQ119" s="215"/>
      <c r="BR119" s="215"/>
      <c r="BS119" s="215"/>
      <c r="BT119" s="215"/>
      <c r="BU119" s="215"/>
      <c r="BV119" s="215"/>
      <c r="BW119" s="216"/>
    </row>
    <row r="120" spans="1:75" ht="13.5" customHeight="1">
      <c r="A120" s="27"/>
      <c r="B120" s="27"/>
      <c r="H120" s="14"/>
      <c r="P120" s="27"/>
      <c r="W120" s="27"/>
      <c r="AC120" s="14"/>
      <c r="AD120" s="27"/>
      <c r="AJ120" s="14"/>
      <c r="BA120" s="27"/>
      <c r="BE120" s="14"/>
      <c r="BF120" s="14"/>
      <c r="BH120" s="64"/>
      <c r="BL120" s="214"/>
      <c r="BM120" s="215"/>
      <c r="BN120" s="215"/>
      <c r="BO120" s="215"/>
      <c r="BP120" s="215"/>
      <c r="BQ120" s="215"/>
      <c r="BR120" s="215"/>
      <c r="BS120" s="215"/>
      <c r="BT120" s="215"/>
      <c r="BU120" s="215"/>
      <c r="BV120" s="215"/>
      <c r="BW120" s="216"/>
    </row>
    <row r="121" spans="1:75" ht="13.5" customHeight="1">
      <c r="A121" s="27"/>
      <c r="B121" s="27"/>
      <c r="H121" s="14"/>
      <c r="P121" s="27"/>
      <c r="W121" s="27"/>
      <c r="AC121" s="14"/>
      <c r="AD121" s="27"/>
      <c r="AJ121" s="14"/>
      <c r="BA121" s="27"/>
      <c r="BE121" s="14"/>
      <c r="BF121" s="14"/>
      <c r="BH121" s="64"/>
      <c r="BL121" s="214"/>
      <c r="BM121" s="215"/>
      <c r="BN121" s="215"/>
      <c r="BO121" s="215"/>
      <c r="BP121" s="215"/>
      <c r="BQ121" s="215"/>
      <c r="BR121" s="215"/>
      <c r="BS121" s="215"/>
      <c r="BT121" s="215"/>
      <c r="BU121" s="215"/>
      <c r="BV121" s="215"/>
      <c r="BW121" s="216"/>
    </row>
    <row r="122" spans="1:75" ht="13.5" customHeight="1">
      <c r="A122" s="27"/>
      <c r="B122" s="27"/>
      <c r="H122" s="14"/>
      <c r="P122" s="27"/>
      <c r="W122" s="27"/>
      <c r="AC122" s="14"/>
      <c r="AD122" s="27"/>
      <c r="AJ122" s="14"/>
      <c r="BA122" s="27"/>
      <c r="BE122" s="14"/>
      <c r="BF122" s="14"/>
      <c r="BH122" s="64"/>
      <c r="BL122" s="214"/>
      <c r="BM122" s="215"/>
      <c r="BN122" s="215"/>
      <c r="BO122" s="215"/>
      <c r="BP122" s="215"/>
      <c r="BQ122" s="215"/>
      <c r="BR122" s="215"/>
      <c r="BS122" s="215"/>
      <c r="BT122" s="215"/>
      <c r="BU122" s="215"/>
      <c r="BV122" s="215"/>
      <c r="BW122" s="216"/>
    </row>
    <row r="123" spans="1:75" ht="13.5" customHeight="1">
      <c r="A123" s="27"/>
      <c r="B123" s="27"/>
      <c r="H123" s="14"/>
      <c r="P123" s="27"/>
      <c r="W123" s="27"/>
      <c r="AC123" s="14"/>
      <c r="AD123" s="27"/>
      <c r="AJ123" s="14"/>
      <c r="BA123" s="27"/>
      <c r="BE123" s="14"/>
      <c r="BF123" s="14"/>
      <c r="BH123" s="64"/>
      <c r="BL123" s="214"/>
      <c r="BM123" s="215"/>
      <c r="BN123" s="215"/>
      <c r="BO123" s="215"/>
      <c r="BP123" s="215"/>
      <c r="BQ123" s="215"/>
      <c r="BR123" s="215"/>
      <c r="BS123" s="215"/>
      <c r="BT123" s="215"/>
      <c r="BU123" s="215"/>
      <c r="BV123" s="215"/>
      <c r="BW123" s="216"/>
    </row>
    <row r="124" spans="1:75" ht="13.5" customHeight="1">
      <c r="A124" s="27"/>
      <c r="B124" s="27"/>
      <c r="H124" s="14"/>
      <c r="P124" s="27"/>
      <c r="W124" s="27"/>
      <c r="AC124" s="14"/>
      <c r="AD124" s="27"/>
      <c r="AJ124" s="14"/>
      <c r="BA124" s="27"/>
      <c r="BE124" s="14"/>
      <c r="BF124" s="14"/>
      <c r="BH124" s="64"/>
      <c r="BL124" s="214"/>
      <c r="BM124" s="215"/>
      <c r="BN124" s="215"/>
      <c r="BO124" s="215"/>
      <c r="BP124" s="215"/>
      <c r="BQ124" s="215"/>
      <c r="BR124" s="215"/>
      <c r="BS124" s="215"/>
      <c r="BT124" s="215"/>
      <c r="BU124" s="215"/>
      <c r="BV124" s="215"/>
      <c r="BW124" s="216"/>
    </row>
    <row r="125" spans="1:75" ht="13.5" customHeight="1">
      <c r="A125" s="27"/>
      <c r="B125" s="27"/>
      <c r="H125" s="14"/>
      <c r="P125" s="27"/>
      <c r="W125" s="27"/>
      <c r="AC125" s="14"/>
      <c r="AD125" s="27"/>
      <c r="AJ125" s="14"/>
      <c r="BA125" s="27"/>
      <c r="BE125" s="14"/>
      <c r="BF125" s="14"/>
      <c r="BH125" s="64"/>
      <c r="BL125" s="214"/>
      <c r="BM125" s="215"/>
      <c r="BN125" s="215"/>
      <c r="BO125" s="215"/>
      <c r="BP125" s="215"/>
      <c r="BQ125" s="215"/>
      <c r="BR125" s="215"/>
      <c r="BS125" s="215"/>
      <c r="BT125" s="215"/>
      <c r="BU125" s="215"/>
      <c r="BV125" s="215"/>
      <c r="BW125" s="216"/>
    </row>
    <row r="126" spans="1:75" ht="13.5" customHeight="1">
      <c r="A126" s="27"/>
      <c r="B126" s="27"/>
      <c r="H126" s="14"/>
      <c r="P126" s="27"/>
      <c r="W126" s="27"/>
      <c r="AC126" s="14"/>
      <c r="AD126" s="27"/>
      <c r="AJ126" s="14"/>
      <c r="BA126" s="27"/>
      <c r="BE126" s="14"/>
      <c r="BF126" s="14"/>
      <c r="BH126" s="64"/>
      <c r="BL126" s="214"/>
      <c r="BM126" s="215"/>
      <c r="BN126" s="215"/>
      <c r="BO126" s="215"/>
      <c r="BP126" s="215"/>
      <c r="BQ126" s="215"/>
      <c r="BR126" s="215"/>
      <c r="BS126" s="215"/>
      <c r="BT126" s="215"/>
      <c r="BU126" s="215"/>
      <c r="BV126" s="215"/>
      <c r="BW126" s="216"/>
    </row>
    <row r="127" spans="1:75" ht="13.5" customHeight="1">
      <c r="A127" s="27"/>
      <c r="B127" s="27"/>
      <c r="H127" s="14"/>
      <c r="P127" s="27"/>
      <c r="W127" s="27"/>
      <c r="AC127" s="14"/>
      <c r="AD127" s="27"/>
      <c r="AJ127" s="14"/>
      <c r="BA127" s="27"/>
      <c r="BE127" s="14"/>
      <c r="BF127" s="14"/>
      <c r="BH127" s="64"/>
      <c r="BL127" s="214"/>
      <c r="BM127" s="215"/>
      <c r="BN127" s="215"/>
      <c r="BO127" s="215"/>
      <c r="BP127" s="215"/>
      <c r="BQ127" s="215"/>
      <c r="BR127" s="215"/>
      <c r="BS127" s="215"/>
      <c r="BT127" s="215"/>
      <c r="BU127" s="215"/>
      <c r="BV127" s="215"/>
      <c r="BW127" s="216"/>
    </row>
    <row r="128" spans="1:75" ht="13.5" customHeight="1">
      <c r="A128" s="27"/>
      <c r="B128" s="27"/>
      <c r="H128" s="14"/>
      <c r="P128" s="27"/>
      <c r="W128" s="27"/>
      <c r="AC128" s="14"/>
      <c r="AD128" s="27"/>
      <c r="AJ128" s="14"/>
      <c r="AL128" s="16" t="s">
        <v>370</v>
      </c>
      <c r="BA128" s="89" t="s">
        <v>371</v>
      </c>
      <c r="BE128" s="14"/>
      <c r="BF128" s="14"/>
      <c r="BH128" s="64"/>
      <c r="BL128" s="214"/>
      <c r="BM128" s="215"/>
      <c r="BN128" s="215"/>
      <c r="BO128" s="215"/>
      <c r="BP128" s="215"/>
      <c r="BQ128" s="215"/>
      <c r="BR128" s="215"/>
      <c r="BS128" s="215"/>
      <c r="BT128" s="215"/>
      <c r="BU128" s="215"/>
      <c r="BV128" s="215"/>
      <c r="BW128" s="216"/>
    </row>
    <row r="129" spans="1:75" ht="13.5" customHeight="1">
      <c r="A129" s="27"/>
      <c r="B129" s="27"/>
      <c r="H129" s="14"/>
      <c r="P129" s="27"/>
      <c r="W129" s="27"/>
      <c r="AC129" s="14"/>
      <c r="AD129" s="27"/>
      <c r="AJ129" s="14"/>
      <c r="AM129" s="8" t="s">
        <v>372</v>
      </c>
      <c r="BA129" s="27"/>
      <c r="BE129" s="14"/>
      <c r="BF129" s="14"/>
      <c r="BH129" s="64"/>
      <c r="BL129" s="214"/>
      <c r="BM129" s="215"/>
      <c r="BN129" s="215"/>
      <c r="BO129" s="215"/>
      <c r="BP129" s="215"/>
      <c r="BQ129" s="215"/>
      <c r="BR129" s="215"/>
      <c r="BS129" s="215"/>
      <c r="BT129" s="215"/>
      <c r="BU129" s="215"/>
      <c r="BV129" s="215"/>
      <c r="BW129" s="216"/>
    </row>
    <row r="130" spans="1:75" ht="13.5" customHeight="1">
      <c r="A130" s="27"/>
      <c r="B130" s="27"/>
      <c r="H130" s="14"/>
      <c r="P130" s="27"/>
      <c r="W130" s="27"/>
      <c r="AC130" s="14"/>
      <c r="AD130" s="27"/>
      <c r="AJ130" s="14"/>
      <c r="AM130" s="8" t="s">
        <v>373</v>
      </c>
      <c r="BA130" s="27"/>
      <c r="BE130" s="14"/>
      <c r="BF130" s="14"/>
      <c r="BH130" s="64"/>
      <c r="BL130" s="214"/>
      <c r="BM130" s="215"/>
      <c r="BN130" s="215"/>
      <c r="BO130" s="215"/>
      <c r="BP130" s="215"/>
      <c r="BQ130" s="215"/>
      <c r="BR130" s="215"/>
      <c r="BS130" s="215"/>
      <c r="BT130" s="215"/>
      <c r="BU130" s="215"/>
      <c r="BV130" s="215"/>
      <c r="BW130" s="216"/>
    </row>
    <row r="131" spans="1:75" ht="13.5" customHeight="1">
      <c r="A131" s="27"/>
      <c r="B131" s="27"/>
      <c r="H131" s="14"/>
      <c r="P131" s="27"/>
      <c r="W131" s="27"/>
      <c r="AC131" s="14"/>
      <c r="AD131" s="27"/>
      <c r="AJ131" s="14"/>
      <c r="AM131" s="8" t="s">
        <v>374</v>
      </c>
      <c r="BA131" s="27"/>
      <c r="BE131" s="14"/>
      <c r="BF131" s="14"/>
      <c r="BH131" s="64"/>
      <c r="BL131" s="214"/>
      <c r="BM131" s="215"/>
      <c r="BN131" s="215"/>
      <c r="BO131" s="215"/>
      <c r="BP131" s="215"/>
      <c r="BQ131" s="215"/>
      <c r="BR131" s="215"/>
      <c r="BS131" s="215"/>
      <c r="BT131" s="215"/>
      <c r="BU131" s="215"/>
      <c r="BV131" s="215"/>
      <c r="BW131" s="216"/>
    </row>
    <row r="132" spans="1:75" ht="13.5" customHeight="1">
      <c r="A132" s="27"/>
      <c r="B132" s="27"/>
      <c r="H132" s="14"/>
      <c r="P132" s="27"/>
      <c r="W132" s="27"/>
      <c r="AC132" s="14"/>
      <c r="AD132" s="27"/>
      <c r="AJ132" s="14"/>
      <c r="AM132" s="8" t="s">
        <v>375</v>
      </c>
      <c r="BA132" s="27"/>
      <c r="BE132" s="14"/>
      <c r="BF132" s="14"/>
      <c r="BH132" s="64"/>
      <c r="BL132" s="214"/>
      <c r="BM132" s="215"/>
      <c r="BN132" s="215"/>
      <c r="BO132" s="215"/>
      <c r="BP132" s="215"/>
      <c r="BQ132" s="215"/>
      <c r="BR132" s="215"/>
      <c r="BS132" s="215"/>
      <c r="BT132" s="215"/>
      <c r="BU132" s="215"/>
      <c r="BV132" s="215"/>
      <c r="BW132" s="216"/>
    </row>
    <row r="133" spans="1:75" ht="13.5" customHeight="1">
      <c r="A133" s="27"/>
      <c r="B133" s="27"/>
      <c r="H133" s="14"/>
      <c r="P133" s="27"/>
      <c r="W133" s="27"/>
      <c r="AC133" s="14"/>
      <c r="AD133" s="27"/>
      <c r="AJ133" s="14"/>
      <c r="BA133" s="27"/>
      <c r="BE133" s="14"/>
      <c r="BF133" s="14"/>
      <c r="BH133" s="64"/>
      <c r="BL133" s="214"/>
      <c r="BM133" s="215"/>
      <c r="BN133" s="215"/>
      <c r="BO133" s="215"/>
      <c r="BP133" s="215"/>
      <c r="BQ133" s="215"/>
      <c r="BR133" s="215"/>
      <c r="BS133" s="215"/>
      <c r="BT133" s="215"/>
      <c r="BU133" s="215"/>
      <c r="BV133" s="215"/>
      <c r="BW133" s="216"/>
    </row>
    <row r="134" spans="1:75" ht="13.5" customHeight="1">
      <c r="A134" s="27"/>
      <c r="B134" s="27"/>
      <c r="H134" s="14"/>
      <c r="P134" s="27"/>
      <c r="W134" s="27"/>
      <c r="AC134" s="14"/>
      <c r="AD134" s="27"/>
      <c r="AJ134" s="14"/>
      <c r="BA134" s="27"/>
      <c r="BE134" s="14"/>
      <c r="BF134" s="14"/>
      <c r="BH134" s="64"/>
      <c r="BL134" s="214"/>
      <c r="BM134" s="215"/>
      <c r="BN134" s="215"/>
      <c r="BO134" s="215"/>
      <c r="BP134" s="215"/>
      <c r="BQ134" s="215"/>
      <c r="BR134" s="215"/>
      <c r="BS134" s="215"/>
      <c r="BT134" s="215"/>
      <c r="BU134" s="215"/>
      <c r="BV134" s="215"/>
      <c r="BW134" s="216"/>
    </row>
    <row r="135" spans="1:75" ht="13.5" customHeight="1">
      <c r="A135" s="27"/>
      <c r="B135" s="27"/>
      <c r="H135" s="14"/>
      <c r="P135" s="27"/>
      <c r="W135" s="27"/>
      <c r="AC135" s="14"/>
      <c r="AD135" s="27"/>
      <c r="AJ135" s="14"/>
      <c r="BA135" s="27"/>
      <c r="BE135" s="14"/>
      <c r="BF135" s="14"/>
      <c r="BH135" s="64"/>
      <c r="BL135" s="214"/>
      <c r="BM135" s="215"/>
      <c r="BN135" s="215"/>
      <c r="BO135" s="215"/>
      <c r="BP135" s="215"/>
      <c r="BQ135" s="215"/>
      <c r="BR135" s="215"/>
      <c r="BS135" s="215"/>
      <c r="BT135" s="215"/>
      <c r="BU135" s="215"/>
      <c r="BV135" s="215"/>
      <c r="BW135" s="216"/>
    </row>
    <row r="136" spans="1:75" ht="13.5" customHeight="1">
      <c r="A136" s="27"/>
      <c r="B136" s="27"/>
      <c r="H136" s="14"/>
      <c r="P136" s="27"/>
      <c r="W136" s="27"/>
      <c r="AC136" s="14"/>
      <c r="AD136" s="27"/>
      <c r="AJ136" s="14"/>
      <c r="BA136" s="27"/>
      <c r="BE136" s="14"/>
      <c r="BF136" s="14"/>
      <c r="BH136" s="64"/>
      <c r="BL136" s="214"/>
      <c r="BM136" s="215"/>
      <c r="BN136" s="215"/>
      <c r="BO136" s="215"/>
      <c r="BP136" s="215"/>
      <c r="BQ136" s="215"/>
      <c r="BR136" s="215"/>
      <c r="BS136" s="215"/>
      <c r="BT136" s="215"/>
      <c r="BU136" s="215"/>
      <c r="BV136" s="215"/>
      <c r="BW136" s="216"/>
    </row>
    <row r="137" spans="1:75" ht="13.5" customHeight="1">
      <c r="A137" s="27"/>
      <c r="B137" s="27"/>
      <c r="H137" s="14"/>
      <c r="P137" s="27"/>
      <c r="W137" s="27"/>
      <c r="AC137" s="14"/>
      <c r="AD137" s="27"/>
      <c r="AJ137" s="14"/>
      <c r="BA137" s="27"/>
      <c r="BE137" s="14"/>
      <c r="BF137" s="14"/>
      <c r="BH137" s="64"/>
      <c r="BL137" s="214"/>
      <c r="BM137" s="215"/>
      <c r="BN137" s="215"/>
      <c r="BO137" s="215"/>
      <c r="BP137" s="215"/>
      <c r="BQ137" s="215"/>
      <c r="BR137" s="215"/>
      <c r="BS137" s="215"/>
      <c r="BT137" s="215"/>
      <c r="BU137" s="215"/>
      <c r="BV137" s="215"/>
      <c r="BW137" s="216"/>
    </row>
    <row r="138" spans="1:75" ht="13.5" customHeight="1">
      <c r="A138" s="27"/>
      <c r="B138" s="27"/>
      <c r="H138" s="14"/>
      <c r="P138" s="27"/>
      <c r="W138" s="27"/>
      <c r="AC138" s="14"/>
      <c r="AD138" s="27"/>
      <c r="AJ138" s="14"/>
      <c r="AL138" s="16" t="s">
        <v>376</v>
      </c>
      <c r="BA138" s="89" t="s">
        <v>371</v>
      </c>
      <c r="BE138" s="14"/>
      <c r="BF138" s="14"/>
      <c r="BH138" s="64"/>
      <c r="BL138" s="214"/>
      <c r="BM138" s="215"/>
      <c r="BN138" s="215"/>
      <c r="BO138" s="215"/>
      <c r="BP138" s="215"/>
      <c r="BQ138" s="215"/>
      <c r="BR138" s="215"/>
      <c r="BS138" s="215"/>
      <c r="BT138" s="215"/>
      <c r="BU138" s="215"/>
      <c r="BV138" s="215"/>
      <c r="BW138" s="216"/>
    </row>
    <row r="139" spans="1:75" ht="13.5" customHeight="1">
      <c r="A139" s="27"/>
      <c r="B139" s="27"/>
      <c r="H139" s="14"/>
      <c r="P139" s="27"/>
      <c r="W139" s="27"/>
      <c r="AC139" s="14"/>
      <c r="AD139" s="27"/>
      <c r="AJ139" s="14"/>
      <c r="AM139" s="8" t="s">
        <v>377</v>
      </c>
      <c r="BA139" s="27"/>
      <c r="BE139" s="14"/>
      <c r="BF139" s="14"/>
      <c r="BH139" s="64"/>
      <c r="BL139" s="214"/>
      <c r="BM139" s="215"/>
      <c r="BN139" s="215"/>
      <c r="BO139" s="215"/>
      <c r="BP139" s="215"/>
      <c r="BQ139" s="215"/>
      <c r="BR139" s="215"/>
      <c r="BS139" s="215"/>
      <c r="BT139" s="215"/>
      <c r="BU139" s="215"/>
      <c r="BV139" s="215"/>
      <c r="BW139" s="216"/>
    </row>
    <row r="140" spans="1:75" ht="13.5" customHeight="1">
      <c r="A140" s="27"/>
      <c r="B140" s="27"/>
      <c r="H140" s="14"/>
      <c r="P140" s="27"/>
      <c r="W140" s="27"/>
      <c r="AC140" s="14"/>
      <c r="AD140" s="27"/>
      <c r="AJ140" s="14"/>
      <c r="AM140" s="8" t="s">
        <v>374</v>
      </c>
      <c r="BA140" s="27"/>
      <c r="BE140" s="14"/>
      <c r="BF140" s="14"/>
      <c r="BH140" s="64"/>
      <c r="BL140" s="214"/>
      <c r="BM140" s="215"/>
      <c r="BN140" s="215"/>
      <c r="BO140" s="215"/>
      <c r="BP140" s="215"/>
      <c r="BQ140" s="215"/>
      <c r="BR140" s="215"/>
      <c r="BS140" s="215"/>
      <c r="BT140" s="215"/>
      <c r="BU140" s="215"/>
      <c r="BV140" s="215"/>
      <c r="BW140" s="216"/>
    </row>
    <row r="141" spans="1:75" ht="13.5" customHeight="1">
      <c r="A141" s="27"/>
      <c r="B141" s="27"/>
      <c r="H141" s="14"/>
      <c r="P141" s="27"/>
      <c r="W141" s="27"/>
      <c r="AC141" s="14"/>
      <c r="AD141" s="27"/>
      <c r="AJ141" s="14"/>
      <c r="AM141" s="8" t="s">
        <v>378</v>
      </c>
      <c r="BA141" s="27"/>
      <c r="BE141" s="14"/>
      <c r="BF141" s="14"/>
      <c r="BH141" s="64"/>
      <c r="BL141" s="214"/>
      <c r="BM141" s="215"/>
      <c r="BN141" s="215"/>
      <c r="BO141" s="215"/>
      <c r="BP141" s="215"/>
      <c r="BQ141" s="215"/>
      <c r="BR141" s="215"/>
      <c r="BS141" s="215"/>
      <c r="BT141" s="215"/>
      <c r="BU141" s="215"/>
      <c r="BV141" s="215"/>
      <c r="BW141" s="216"/>
    </row>
    <row r="142" spans="1:75" ht="13.5" customHeight="1">
      <c r="A142" s="27"/>
      <c r="B142" s="27"/>
      <c r="H142" s="14"/>
      <c r="P142" s="27"/>
      <c r="W142" s="27"/>
      <c r="AC142" s="14"/>
      <c r="AD142" s="27"/>
      <c r="AJ142" s="14"/>
      <c r="BA142" s="27"/>
      <c r="BE142" s="14"/>
      <c r="BF142" s="14"/>
      <c r="BH142" s="64"/>
      <c r="BL142" s="214"/>
      <c r="BM142" s="215"/>
      <c r="BN142" s="215"/>
      <c r="BO142" s="215"/>
      <c r="BP142" s="215"/>
      <c r="BQ142" s="215"/>
      <c r="BR142" s="215"/>
      <c r="BS142" s="215"/>
      <c r="BT142" s="215"/>
      <c r="BU142" s="215"/>
      <c r="BV142" s="215"/>
      <c r="BW142" s="216"/>
    </row>
    <row r="143" spans="1:75" ht="13.5" customHeight="1">
      <c r="A143" s="27"/>
      <c r="B143" s="27"/>
      <c r="H143" s="14"/>
      <c r="P143" s="27"/>
      <c r="W143" s="27"/>
      <c r="AC143" s="14"/>
      <c r="AD143" s="27"/>
      <c r="AJ143" s="14"/>
      <c r="BA143" s="27"/>
      <c r="BE143" s="14"/>
      <c r="BF143" s="14"/>
      <c r="BH143" s="64"/>
      <c r="BL143" s="214"/>
      <c r="BM143" s="215"/>
      <c r="BN143" s="215"/>
      <c r="BO143" s="215"/>
      <c r="BP143" s="215"/>
      <c r="BQ143" s="215"/>
      <c r="BR143" s="215"/>
      <c r="BS143" s="215"/>
      <c r="BT143" s="215"/>
      <c r="BU143" s="215"/>
      <c r="BV143" s="215"/>
      <c r="BW143" s="216"/>
    </row>
    <row r="144" spans="1:75" ht="13.5" customHeight="1">
      <c r="A144" s="27"/>
      <c r="B144" s="27"/>
      <c r="H144" s="14"/>
      <c r="P144" s="27"/>
      <c r="W144" s="27"/>
      <c r="AC144" s="14"/>
      <c r="AD144" s="27"/>
      <c r="AJ144" s="14"/>
      <c r="BA144" s="27"/>
      <c r="BE144" s="14"/>
      <c r="BF144" s="14"/>
      <c r="BH144" s="64"/>
      <c r="BL144" s="214"/>
      <c r="BM144" s="215"/>
      <c r="BN144" s="215"/>
      <c r="BO144" s="215"/>
      <c r="BP144" s="215"/>
      <c r="BQ144" s="215"/>
      <c r="BR144" s="215"/>
      <c r="BS144" s="215"/>
      <c r="BT144" s="215"/>
      <c r="BU144" s="215"/>
      <c r="BV144" s="215"/>
      <c r="BW144" s="216"/>
    </row>
    <row r="145" spans="1:76" ht="13.5" customHeight="1">
      <c r="A145" s="27"/>
      <c r="B145" s="27"/>
      <c r="H145" s="14"/>
      <c r="P145" s="27"/>
      <c r="W145" s="27"/>
      <c r="AC145" s="14"/>
      <c r="AD145" s="27"/>
      <c r="AJ145" s="14"/>
      <c r="BA145" s="27"/>
      <c r="BE145" s="14"/>
      <c r="BF145" s="14"/>
      <c r="BH145" s="64"/>
      <c r="BL145" s="214"/>
      <c r="BM145" s="215"/>
      <c r="BN145" s="215"/>
      <c r="BO145" s="215"/>
      <c r="BP145" s="215"/>
      <c r="BQ145" s="215"/>
      <c r="BR145" s="215"/>
      <c r="BS145" s="215"/>
      <c r="BT145" s="215"/>
      <c r="BU145" s="215"/>
      <c r="BV145" s="215"/>
      <c r="BW145" s="216"/>
    </row>
    <row r="146" spans="1:76" ht="13.5" customHeight="1">
      <c r="A146" s="27"/>
      <c r="B146" s="27"/>
      <c r="H146" s="14"/>
      <c r="P146" s="27"/>
      <c r="W146" s="27"/>
      <c r="AC146" s="14"/>
      <c r="AD146" s="27"/>
      <c r="AJ146" s="14"/>
      <c r="BA146" s="27"/>
      <c r="BE146" s="14"/>
      <c r="BF146" s="14"/>
      <c r="BH146" s="64"/>
      <c r="BL146" s="214"/>
      <c r="BM146" s="215"/>
      <c r="BN146" s="215"/>
      <c r="BO146" s="215"/>
      <c r="BP146" s="215"/>
      <c r="BQ146" s="215"/>
      <c r="BR146" s="215"/>
      <c r="BS146" s="215"/>
      <c r="BT146" s="215"/>
      <c r="BU146" s="215"/>
      <c r="BV146" s="215"/>
      <c r="BW146" s="216"/>
    </row>
    <row r="147" spans="1:76" ht="13.5" customHeight="1">
      <c r="A147" s="27"/>
      <c r="B147" s="27"/>
      <c r="H147" s="14"/>
      <c r="P147" s="27"/>
      <c r="W147" s="27"/>
      <c r="AC147" s="14"/>
      <c r="AD147" s="27"/>
      <c r="AJ147" s="14"/>
      <c r="BA147" s="27"/>
      <c r="BE147" s="14"/>
      <c r="BF147" s="14"/>
      <c r="BH147" s="64"/>
      <c r="BL147" s="214"/>
      <c r="BM147" s="215"/>
      <c r="BN147" s="215"/>
      <c r="BO147" s="215"/>
      <c r="BP147" s="215"/>
      <c r="BQ147" s="215"/>
      <c r="BR147" s="215"/>
      <c r="BS147" s="215"/>
      <c r="BT147" s="215"/>
      <c r="BU147" s="215"/>
      <c r="BV147" s="215"/>
      <c r="BW147" s="216"/>
    </row>
    <row r="148" spans="1:76" ht="13.5" customHeight="1">
      <c r="A148" s="27"/>
      <c r="B148" s="27"/>
      <c r="H148" s="14"/>
      <c r="P148" s="27"/>
      <c r="W148" s="27"/>
      <c r="AC148" s="14"/>
      <c r="AD148" s="27"/>
      <c r="AJ148" s="14"/>
      <c r="BA148" s="27"/>
      <c r="BE148" s="14"/>
      <c r="BF148" s="14"/>
      <c r="BH148" s="64"/>
      <c r="BL148" s="214"/>
      <c r="BM148" s="215"/>
      <c r="BN148" s="215"/>
      <c r="BO148" s="215"/>
      <c r="BP148" s="215"/>
      <c r="BQ148" s="215"/>
      <c r="BR148" s="215"/>
      <c r="BS148" s="215"/>
      <c r="BT148" s="215"/>
      <c r="BU148" s="215"/>
      <c r="BV148" s="215"/>
      <c r="BW148" s="216"/>
    </row>
    <row r="149" spans="1:76" ht="13.5" customHeight="1">
      <c r="A149" s="27"/>
      <c r="B149" s="27"/>
      <c r="H149" s="14"/>
      <c r="P149" s="27"/>
      <c r="W149" s="27"/>
      <c r="AC149" s="14"/>
      <c r="AD149" s="27"/>
      <c r="AJ149" s="14"/>
      <c r="BA149" s="27"/>
      <c r="BE149" s="14"/>
      <c r="BF149" s="14"/>
      <c r="BH149" s="64"/>
      <c r="BL149" s="214"/>
      <c r="BM149" s="215"/>
      <c r="BN149" s="215"/>
      <c r="BO149" s="215"/>
      <c r="BP149" s="215"/>
      <c r="BQ149" s="215"/>
      <c r="BR149" s="215"/>
      <c r="BS149" s="215"/>
      <c r="BT149" s="215"/>
      <c r="BU149" s="215"/>
      <c r="BV149" s="215"/>
      <c r="BW149" s="216"/>
    </row>
    <row r="150" spans="1:76" ht="13.5" customHeight="1">
      <c r="A150" s="27"/>
      <c r="B150" s="27"/>
      <c r="H150" s="14"/>
      <c r="P150" s="27"/>
      <c r="W150" s="27"/>
      <c r="AC150" s="14"/>
      <c r="AD150" s="27"/>
      <c r="AJ150" s="14"/>
      <c r="BA150" s="27"/>
      <c r="BE150" s="14"/>
      <c r="BF150" s="14"/>
      <c r="BH150" s="64"/>
      <c r="BL150" s="214"/>
      <c r="BM150" s="215"/>
      <c r="BN150" s="215"/>
      <c r="BO150" s="215"/>
      <c r="BP150" s="215"/>
      <c r="BQ150" s="215"/>
      <c r="BR150" s="215"/>
      <c r="BS150" s="215"/>
      <c r="BT150" s="215"/>
      <c r="BU150" s="215"/>
      <c r="BV150" s="215"/>
      <c r="BW150" s="216"/>
    </row>
    <row r="151" spans="1:76" ht="13.5" customHeight="1">
      <c r="A151" s="27"/>
      <c r="B151" s="27"/>
      <c r="H151" s="14"/>
      <c r="P151" s="27"/>
      <c r="W151" s="27"/>
      <c r="AC151" s="14"/>
      <c r="AD151" s="27"/>
      <c r="AJ151" s="14"/>
      <c r="BA151" s="27"/>
      <c r="BE151" s="14"/>
      <c r="BF151" s="14"/>
      <c r="BH151" s="64"/>
      <c r="BL151" s="214"/>
      <c r="BM151" s="215"/>
      <c r="BN151" s="215"/>
      <c r="BO151" s="215"/>
      <c r="BP151" s="215"/>
      <c r="BQ151" s="215"/>
      <c r="BR151" s="215"/>
      <c r="BS151" s="215"/>
      <c r="BT151" s="215"/>
      <c r="BU151" s="215"/>
      <c r="BV151" s="215"/>
      <c r="BW151" s="216"/>
    </row>
    <row r="152" spans="1:76" ht="13.5" customHeight="1">
      <c r="A152" s="27"/>
      <c r="B152" s="27"/>
      <c r="H152" s="14"/>
      <c r="P152" s="27"/>
      <c r="W152" s="27"/>
      <c r="AC152" s="14"/>
      <c r="AD152" s="27"/>
      <c r="AJ152" s="14"/>
      <c r="BA152" s="27"/>
      <c r="BE152" s="14"/>
      <c r="BF152" s="14"/>
      <c r="BH152" s="64"/>
      <c r="BL152" s="214"/>
      <c r="BM152" s="215"/>
      <c r="BN152" s="215"/>
      <c r="BO152" s="215"/>
      <c r="BP152" s="215"/>
      <c r="BQ152" s="215"/>
      <c r="BR152" s="215"/>
      <c r="BS152" s="215"/>
      <c r="BT152" s="215"/>
      <c r="BU152" s="215"/>
      <c r="BV152" s="215"/>
      <c r="BW152" s="216"/>
    </row>
    <row r="153" spans="1:76" ht="13.5" customHeight="1">
      <c r="A153" s="27"/>
      <c r="B153" s="27"/>
      <c r="H153" s="14"/>
      <c r="P153" s="27"/>
      <c r="W153" s="27"/>
      <c r="AC153" s="14"/>
      <c r="AD153" s="27"/>
      <c r="AJ153" s="14"/>
      <c r="BA153" s="27"/>
      <c r="BE153" s="14"/>
      <c r="BF153" s="14"/>
      <c r="BH153" s="64"/>
      <c r="BL153" s="214"/>
      <c r="BM153" s="215"/>
      <c r="BN153" s="215"/>
      <c r="BO153" s="215"/>
      <c r="BP153" s="215"/>
      <c r="BQ153" s="215"/>
      <c r="BR153" s="215"/>
      <c r="BS153" s="215"/>
      <c r="BT153" s="215"/>
      <c r="BU153" s="215"/>
      <c r="BV153" s="215"/>
      <c r="BW153" s="216"/>
    </row>
    <row r="154" spans="1:76" ht="13.5" customHeight="1">
      <c r="A154" s="27"/>
      <c r="B154" s="27"/>
      <c r="H154" s="14"/>
      <c r="P154" s="27"/>
      <c r="W154" s="27"/>
      <c r="AC154" s="14"/>
      <c r="AD154" s="27"/>
      <c r="AJ154" s="14"/>
      <c r="BA154" s="27"/>
      <c r="BE154" s="14"/>
      <c r="BF154" s="14"/>
      <c r="BH154" s="64"/>
      <c r="BL154" s="214"/>
      <c r="BM154" s="215"/>
      <c r="BN154" s="215"/>
      <c r="BO154" s="215"/>
      <c r="BP154" s="215"/>
      <c r="BQ154" s="215"/>
      <c r="BR154" s="215"/>
      <c r="BS154" s="215"/>
      <c r="BT154" s="215"/>
      <c r="BU154" s="215"/>
      <c r="BV154" s="215"/>
      <c r="BW154" s="216"/>
    </row>
    <row r="155" spans="1:76">
      <c r="A155" s="27"/>
      <c r="B155" s="55"/>
      <c r="C155" s="10"/>
      <c r="D155" s="10"/>
      <c r="E155" s="10"/>
      <c r="F155" s="10"/>
      <c r="G155" s="10"/>
      <c r="H155" s="10"/>
      <c r="I155" s="55"/>
      <c r="J155" s="10"/>
      <c r="K155" s="10"/>
      <c r="L155" s="10"/>
      <c r="M155" s="10"/>
      <c r="N155" s="10"/>
      <c r="O155" s="10"/>
      <c r="P155" s="55"/>
      <c r="Q155" s="10"/>
      <c r="R155" s="10"/>
      <c r="S155" s="10"/>
      <c r="T155" s="10"/>
      <c r="U155" s="10"/>
      <c r="V155" s="10"/>
      <c r="W155" s="55"/>
      <c r="X155" s="10"/>
      <c r="Y155" s="10"/>
      <c r="Z155" s="10"/>
      <c r="AA155" s="10"/>
      <c r="AB155" s="10"/>
      <c r="AC155" s="15"/>
      <c r="AD155" s="55"/>
      <c r="AE155" s="10"/>
      <c r="AF155" s="10"/>
      <c r="AG155" s="10"/>
      <c r="AH155" s="10"/>
      <c r="AI155" s="10"/>
      <c r="AJ155" s="15"/>
      <c r="AK155" s="10"/>
      <c r="AL155" s="10"/>
      <c r="AM155" s="10"/>
      <c r="AN155" s="10"/>
      <c r="AO155" s="10"/>
      <c r="AP155" s="10"/>
      <c r="AQ155" s="10"/>
      <c r="AR155" s="10"/>
      <c r="AS155" s="10"/>
      <c r="AT155" s="10"/>
      <c r="AU155" s="10"/>
      <c r="AV155" s="10"/>
      <c r="AW155" s="10"/>
      <c r="AX155" s="10"/>
      <c r="AY155" s="10"/>
      <c r="AZ155" s="10"/>
      <c r="BA155" s="55"/>
      <c r="BB155" s="10"/>
      <c r="BC155" s="10"/>
      <c r="BD155" s="10"/>
      <c r="BE155" s="15"/>
      <c r="BF155" s="14"/>
      <c r="BH155" s="66"/>
      <c r="BI155" s="67"/>
      <c r="BJ155" s="67"/>
      <c r="BK155" s="67"/>
      <c r="BL155" s="66"/>
      <c r="BM155" s="67"/>
      <c r="BN155" s="67"/>
      <c r="BO155" s="67"/>
      <c r="BP155" s="67"/>
      <c r="BQ155" s="67"/>
      <c r="BR155" s="67"/>
      <c r="BS155" s="67"/>
      <c r="BT155" s="67"/>
      <c r="BU155" s="67"/>
      <c r="BV155" s="67"/>
      <c r="BW155" s="68"/>
    </row>
    <row r="156" spans="1:76" s="11" customFormat="1" ht="13.5" customHeight="1">
      <c r="A156" s="28"/>
      <c r="B156" s="88" t="s">
        <v>379</v>
      </c>
      <c r="C156" s="77"/>
      <c r="D156" s="77"/>
      <c r="E156" s="77"/>
      <c r="F156" s="77"/>
      <c r="G156" s="77"/>
      <c r="H156" s="78"/>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13"/>
      <c r="BH156" s="59"/>
      <c r="BI156" s="60"/>
      <c r="BJ156" s="60"/>
      <c r="BK156" s="60"/>
      <c r="BL156" s="205"/>
      <c r="BM156" s="206"/>
      <c r="BN156" s="206"/>
      <c r="BO156" s="206"/>
      <c r="BP156" s="206"/>
      <c r="BQ156" s="206"/>
      <c r="BR156" s="206"/>
      <c r="BS156" s="206"/>
      <c r="BT156" s="206"/>
      <c r="BU156" s="206"/>
      <c r="BV156" s="206"/>
      <c r="BW156" s="207"/>
      <c r="BX156" s="69"/>
    </row>
    <row r="157" spans="1:76" s="11" customFormat="1" ht="13.5" customHeight="1">
      <c r="A157" s="28"/>
      <c r="B157" s="47"/>
      <c r="C157" s="45"/>
      <c r="D157" s="45"/>
      <c r="E157" s="45"/>
      <c r="F157" s="45"/>
      <c r="G157" s="45"/>
      <c r="H157" s="46"/>
      <c r="I157" s="45"/>
      <c r="J157" s="45"/>
      <c r="K157" s="45"/>
      <c r="L157" s="45"/>
      <c r="M157" s="45"/>
      <c r="N157" s="45"/>
      <c r="O157" s="45"/>
      <c r="P157" s="47"/>
      <c r="Q157" s="45"/>
      <c r="R157" s="45"/>
      <c r="S157" s="45"/>
      <c r="T157" s="45"/>
      <c r="U157" s="45"/>
      <c r="V157" s="45"/>
      <c r="W157" s="47"/>
      <c r="X157" s="45"/>
      <c r="Y157" s="45"/>
      <c r="Z157" s="45"/>
      <c r="AA157" s="45"/>
      <c r="AB157" s="45"/>
      <c r="AC157" s="46"/>
      <c r="AD157" s="47"/>
      <c r="AE157" s="45"/>
      <c r="AF157" s="45"/>
      <c r="AG157" s="45"/>
      <c r="AH157" s="45"/>
      <c r="AI157" s="45"/>
      <c r="AJ157" s="46"/>
      <c r="AK157" s="45"/>
      <c r="AL157" s="45"/>
      <c r="AM157" s="45"/>
      <c r="AN157" s="45"/>
      <c r="AO157" s="45"/>
      <c r="AP157" s="45"/>
      <c r="AQ157" s="45"/>
      <c r="AR157" s="45"/>
      <c r="AS157" s="45"/>
      <c r="AT157" s="45"/>
      <c r="AU157" s="45"/>
      <c r="AV157" s="45"/>
      <c r="AW157" s="45"/>
      <c r="AX157" s="45"/>
      <c r="AY157" s="45"/>
      <c r="AZ157" s="45"/>
      <c r="BA157" s="47"/>
      <c r="BB157" s="45"/>
      <c r="BC157" s="45"/>
      <c r="BD157" s="45"/>
      <c r="BE157" s="46"/>
      <c r="BF157" s="13"/>
      <c r="BH157" s="62"/>
      <c r="BL157" s="194"/>
      <c r="BM157" s="195"/>
      <c r="BN157" s="195"/>
      <c r="BO157" s="195"/>
      <c r="BP157" s="195"/>
      <c r="BQ157" s="195"/>
      <c r="BR157" s="195"/>
      <c r="BS157" s="195"/>
      <c r="BT157" s="195"/>
      <c r="BU157" s="195"/>
      <c r="BV157" s="195"/>
      <c r="BW157" s="196"/>
      <c r="BX157" s="70"/>
    </row>
    <row r="158" spans="1:76" s="11" customFormat="1" ht="13.5" customHeight="1">
      <c r="A158" s="28"/>
      <c r="B158" s="31"/>
      <c r="C158" s="24"/>
      <c r="D158" s="24"/>
      <c r="E158" s="24"/>
      <c r="F158" s="24"/>
      <c r="G158" s="24"/>
      <c r="H158" s="23"/>
      <c r="I158" s="24"/>
      <c r="J158" s="24"/>
      <c r="K158" s="24"/>
      <c r="L158" s="24"/>
      <c r="M158" s="24"/>
      <c r="N158" s="24"/>
      <c r="O158" s="24"/>
      <c r="P158" s="31"/>
      <c r="Q158" s="24"/>
      <c r="R158" s="24"/>
      <c r="S158" s="24"/>
      <c r="T158" s="24"/>
      <c r="U158" s="24"/>
      <c r="V158" s="24"/>
      <c r="W158" s="31"/>
      <c r="X158" s="24"/>
      <c r="Y158" s="24"/>
      <c r="Z158" s="24"/>
      <c r="AA158" s="24"/>
      <c r="AB158" s="24"/>
      <c r="AC158" s="23"/>
      <c r="AD158" s="31"/>
      <c r="AE158" s="24"/>
      <c r="AF158" s="24"/>
      <c r="AG158" s="24"/>
      <c r="AH158" s="24"/>
      <c r="AI158" s="24"/>
      <c r="AJ158" s="23"/>
      <c r="AK158" s="24"/>
      <c r="AL158" s="24"/>
      <c r="AM158" s="24"/>
      <c r="AN158" s="24"/>
      <c r="AO158" s="24"/>
      <c r="AP158" s="24"/>
      <c r="AQ158" s="24"/>
      <c r="AR158" s="24"/>
      <c r="AS158" s="24"/>
      <c r="AT158" s="24"/>
      <c r="AU158" s="24"/>
      <c r="AV158" s="24"/>
      <c r="AW158" s="24"/>
      <c r="AX158" s="24"/>
      <c r="AY158" s="24"/>
      <c r="AZ158" s="24"/>
      <c r="BA158" s="31"/>
      <c r="BB158" s="24"/>
      <c r="BC158" s="24"/>
      <c r="BD158" s="24"/>
      <c r="BE158" s="23"/>
      <c r="BF158" s="13"/>
      <c r="BH158" s="62"/>
      <c r="BL158" s="194"/>
      <c r="BM158" s="195"/>
      <c r="BN158" s="195"/>
      <c r="BO158" s="195"/>
      <c r="BP158" s="195"/>
      <c r="BQ158" s="195"/>
      <c r="BR158" s="195"/>
      <c r="BS158" s="195"/>
      <c r="BT158" s="195"/>
      <c r="BU158" s="195"/>
      <c r="BV158" s="195"/>
      <c r="BW158" s="196"/>
      <c r="BX158" s="70"/>
    </row>
    <row r="159" spans="1:76" s="11" customFormat="1" ht="13.5" customHeight="1">
      <c r="A159" s="28"/>
      <c r="B159" s="31"/>
      <c r="C159" s="24"/>
      <c r="D159" s="24"/>
      <c r="E159" s="24"/>
      <c r="F159" s="24"/>
      <c r="G159" s="24"/>
      <c r="H159" s="23"/>
      <c r="I159" s="24"/>
      <c r="J159" s="24"/>
      <c r="K159" s="24"/>
      <c r="L159" s="24"/>
      <c r="M159" s="24"/>
      <c r="N159" s="24"/>
      <c r="O159" s="24"/>
      <c r="P159" s="31"/>
      <c r="Q159" s="24"/>
      <c r="R159" s="24"/>
      <c r="S159" s="24"/>
      <c r="T159" s="24"/>
      <c r="U159" s="24"/>
      <c r="V159" s="24"/>
      <c r="W159" s="31"/>
      <c r="X159" s="24"/>
      <c r="Y159" s="24"/>
      <c r="Z159" s="24"/>
      <c r="AA159" s="24"/>
      <c r="AB159" s="24"/>
      <c r="AC159" s="23"/>
      <c r="AD159" s="31"/>
      <c r="AE159" s="24"/>
      <c r="AF159" s="24"/>
      <c r="AG159" s="24"/>
      <c r="AH159" s="24"/>
      <c r="AI159" s="24"/>
      <c r="AJ159" s="23"/>
      <c r="AK159" s="24"/>
      <c r="AL159" s="24"/>
      <c r="AM159" s="24"/>
      <c r="AN159" s="24"/>
      <c r="AO159" s="24"/>
      <c r="AP159" s="24"/>
      <c r="AQ159" s="24"/>
      <c r="AR159" s="24"/>
      <c r="AS159" s="24"/>
      <c r="AT159" s="24"/>
      <c r="AU159" s="24"/>
      <c r="AV159" s="24"/>
      <c r="AW159" s="24"/>
      <c r="AX159" s="24"/>
      <c r="AY159" s="24"/>
      <c r="AZ159" s="24"/>
      <c r="BA159" s="31"/>
      <c r="BB159" s="24"/>
      <c r="BC159" s="24"/>
      <c r="BD159" s="24"/>
      <c r="BE159" s="23"/>
      <c r="BF159" s="13"/>
      <c r="BH159" s="62"/>
      <c r="BL159" s="194"/>
      <c r="BM159" s="195"/>
      <c r="BN159" s="195"/>
      <c r="BO159" s="195"/>
      <c r="BP159" s="195"/>
      <c r="BQ159" s="195"/>
      <c r="BR159" s="195"/>
      <c r="BS159" s="195"/>
      <c r="BT159" s="195"/>
      <c r="BU159" s="195"/>
      <c r="BV159" s="195"/>
      <c r="BW159" s="196"/>
      <c r="BX159" s="69"/>
    </row>
    <row r="160" spans="1:76" s="11" customFormat="1" ht="13.5" customHeight="1">
      <c r="A160" s="28"/>
      <c r="B160" s="31"/>
      <c r="C160" s="24"/>
      <c r="D160" s="24"/>
      <c r="E160" s="24"/>
      <c r="F160" s="24"/>
      <c r="G160" s="24"/>
      <c r="H160" s="23"/>
      <c r="I160" s="24"/>
      <c r="J160" s="24"/>
      <c r="K160" s="24"/>
      <c r="L160" s="24"/>
      <c r="M160" s="24"/>
      <c r="N160" s="24"/>
      <c r="O160" s="24"/>
      <c r="P160" s="31"/>
      <c r="Q160" s="24"/>
      <c r="R160" s="24"/>
      <c r="S160" s="24"/>
      <c r="T160" s="24"/>
      <c r="U160" s="24"/>
      <c r="V160" s="24"/>
      <c r="W160" s="31"/>
      <c r="X160" s="24"/>
      <c r="Y160" s="24"/>
      <c r="Z160" s="24"/>
      <c r="AA160" s="24"/>
      <c r="AB160" s="24"/>
      <c r="AC160" s="23"/>
      <c r="AD160" s="31"/>
      <c r="AE160" s="24"/>
      <c r="AF160" s="24"/>
      <c r="AG160" s="24"/>
      <c r="AH160" s="24"/>
      <c r="AI160" s="24"/>
      <c r="AJ160" s="23"/>
      <c r="AK160" s="24"/>
      <c r="AL160" s="24"/>
      <c r="AM160" s="24"/>
      <c r="AN160" s="24"/>
      <c r="AO160" s="24"/>
      <c r="AP160" s="24"/>
      <c r="AQ160" s="24"/>
      <c r="AR160" s="24"/>
      <c r="AS160" s="24"/>
      <c r="AT160" s="24"/>
      <c r="AU160" s="24"/>
      <c r="AV160" s="24"/>
      <c r="AW160" s="24"/>
      <c r="AX160" s="24"/>
      <c r="AY160" s="24"/>
      <c r="AZ160" s="24"/>
      <c r="BA160" s="31"/>
      <c r="BB160" s="24"/>
      <c r="BC160" s="24"/>
      <c r="BD160" s="24"/>
      <c r="BE160" s="23"/>
      <c r="BF160" s="13"/>
      <c r="BH160" s="62"/>
      <c r="BL160" s="194"/>
      <c r="BM160" s="195"/>
      <c r="BN160" s="195"/>
      <c r="BO160" s="195"/>
      <c r="BP160" s="195"/>
      <c r="BQ160" s="195"/>
      <c r="BR160" s="195"/>
      <c r="BS160" s="195"/>
      <c r="BT160" s="195"/>
      <c r="BU160" s="195"/>
      <c r="BV160" s="195"/>
      <c r="BW160" s="196"/>
    </row>
    <row r="161" spans="1:75" s="11" customFormat="1" ht="13.5" customHeight="1">
      <c r="A161" s="28"/>
      <c r="B161" s="31"/>
      <c r="C161" s="24"/>
      <c r="D161" s="24"/>
      <c r="E161" s="24"/>
      <c r="F161" s="24"/>
      <c r="G161" s="24"/>
      <c r="H161" s="23"/>
      <c r="I161" s="24"/>
      <c r="J161" s="24"/>
      <c r="K161" s="24"/>
      <c r="L161" s="24"/>
      <c r="M161" s="24"/>
      <c r="N161" s="24"/>
      <c r="O161" s="24"/>
      <c r="P161" s="31"/>
      <c r="Q161" s="24"/>
      <c r="R161" s="24"/>
      <c r="S161" s="24"/>
      <c r="T161" s="24"/>
      <c r="U161" s="24"/>
      <c r="V161" s="24"/>
      <c r="W161" s="31"/>
      <c r="X161" s="24"/>
      <c r="Y161" s="24"/>
      <c r="Z161" s="24"/>
      <c r="AA161" s="24"/>
      <c r="AB161" s="24"/>
      <c r="AC161" s="23"/>
      <c r="AD161" s="31"/>
      <c r="AE161" s="24"/>
      <c r="AF161" s="24"/>
      <c r="AG161" s="24"/>
      <c r="AH161" s="24"/>
      <c r="AI161" s="24"/>
      <c r="AJ161" s="23"/>
      <c r="AK161" s="24"/>
      <c r="AL161" s="24"/>
      <c r="AM161" s="24"/>
      <c r="AN161" s="24"/>
      <c r="AO161" s="24"/>
      <c r="AP161" s="24"/>
      <c r="AQ161" s="24"/>
      <c r="AR161" s="24"/>
      <c r="AS161" s="24"/>
      <c r="AT161" s="24"/>
      <c r="AU161" s="24"/>
      <c r="AV161" s="24"/>
      <c r="AW161" s="24"/>
      <c r="AX161" s="24"/>
      <c r="AY161" s="24"/>
      <c r="AZ161" s="24"/>
      <c r="BA161" s="31"/>
      <c r="BB161" s="24"/>
      <c r="BC161" s="24"/>
      <c r="BD161" s="24"/>
      <c r="BE161" s="23"/>
      <c r="BF161" s="13"/>
      <c r="BH161" s="62"/>
      <c r="BL161" s="194"/>
      <c r="BM161" s="195"/>
      <c r="BN161" s="195"/>
      <c r="BO161" s="195"/>
      <c r="BP161" s="195"/>
      <c r="BQ161" s="195"/>
      <c r="BR161" s="195"/>
      <c r="BS161" s="195"/>
      <c r="BT161" s="195"/>
      <c r="BU161" s="195"/>
      <c r="BV161" s="195"/>
      <c r="BW161" s="196"/>
    </row>
    <row r="162" spans="1:75" s="11" customFormat="1" ht="13.5" customHeight="1">
      <c r="A162" s="28"/>
      <c r="B162" s="31"/>
      <c r="C162" s="24"/>
      <c r="D162" s="24"/>
      <c r="E162" s="24"/>
      <c r="F162" s="24"/>
      <c r="G162" s="24"/>
      <c r="H162" s="23"/>
      <c r="I162" s="24"/>
      <c r="J162" s="24"/>
      <c r="K162" s="24"/>
      <c r="L162" s="24"/>
      <c r="M162" s="24"/>
      <c r="N162" s="24"/>
      <c r="O162" s="24"/>
      <c r="P162" s="31"/>
      <c r="Q162" s="24"/>
      <c r="R162" s="24"/>
      <c r="S162" s="24"/>
      <c r="T162" s="24"/>
      <c r="U162" s="24"/>
      <c r="V162" s="24"/>
      <c r="W162" s="31"/>
      <c r="X162" s="24"/>
      <c r="Y162" s="24"/>
      <c r="Z162" s="24"/>
      <c r="AA162" s="24"/>
      <c r="AB162" s="24"/>
      <c r="AC162" s="23"/>
      <c r="AD162" s="31"/>
      <c r="AE162" s="24"/>
      <c r="AF162" s="24"/>
      <c r="AG162" s="24"/>
      <c r="AH162" s="24"/>
      <c r="AI162" s="24"/>
      <c r="AJ162" s="23"/>
      <c r="AK162" s="24"/>
      <c r="AO162" s="8"/>
      <c r="AP162" s="8"/>
      <c r="AQ162" s="24"/>
      <c r="AR162" s="24"/>
      <c r="AS162" s="24"/>
      <c r="AT162" s="24"/>
      <c r="AU162" s="24"/>
      <c r="AV162" s="24"/>
      <c r="AW162" s="24"/>
      <c r="AX162" s="24"/>
      <c r="AY162" s="24"/>
      <c r="AZ162" s="24"/>
      <c r="BA162" s="31"/>
      <c r="BB162" s="24"/>
      <c r="BC162" s="24"/>
      <c r="BD162" s="24"/>
      <c r="BE162" s="23"/>
      <c r="BF162" s="13"/>
      <c r="BH162" s="62"/>
      <c r="BL162" s="194"/>
      <c r="BM162" s="195"/>
      <c r="BN162" s="195"/>
      <c r="BO162" s="195"/>
      <c r="BP162" s="195"/>
      <c r="BQ162" s="195"/>
      <c r="BR162" s="195"/>
      <c r="BS162" s="195"/>
      <c r="BT162" s="195"/>
      <c r="BU162" s="195"/>
      <c r="BV162" s="195"/>
      <c r="BW162" s="196"/>
    </row>
    <row r="163" spans="1:75" s="11" customFormat="1" ht="13.5" customHeight="1">
      <c r="A163" s="28"/>
      <c r="B163" s="31"/>
      <c r="C163" s="24"/>
      <c r="D163" s="24"/>
      <c r="E163" s="24"/>
      <c r="F163" s="24"/>
      <c r="G163" s="24"/>
      <c r="H163" s="23"/>
      <c r="I163" s="24"/>
      <c r="J163" s="24"/>
      <c r="K163" s="24"/>
      <c r="L163" s="24"/>
      <c r="M163" s="24"/>
      <c r="N163" s="24"/>
      <c r="O163" s="24"/>
      <c r="P163" s="31"/>
      <c r="Q163" s="24"/>
      <c r="R163" s="24"/>
      <c r="S163" s="24"/>
      <c r="T163" s="24"/>
      <c r="U163" s="24"/>
      <c r="V163" s="24"/>
      <c r="W163" s="31"/>
      <c r="X163" s="24"/>
      <c r="Y163" s="24"/>
      <c r="Z163" s="24"/>
      <c r="AA163" s="24"/>
      <c r="AB163" s="24"/>
      <c r="AC163" s="23"/>
      <c r="AD163" s="31"/>
      <c r="AE163" s="24"/>
      <c r="AF163" s="24"/>
      <c r="AG163" s="24"/>
      <c r="AH163" s="24"/>
      <c r="AI163" s="24"/>
      <c r="AJ163" s="23"/>
      <c r="AK163" s="24"/>
      <c r="AL163" s="16" t="s">
        <v>380</v>
      </c>
      <c r="AN163" s="8"/>
      <c r="AO163" s="8"/>
      <c r="AP163" s="8"/>
      <c r="AQ163" s="24"/>
      <c r="AR163" s="24"/>
      <c r="AS163" s="24"/>
      <c r="AT163" s="24"/>
      <c r="AU163" s="24"/>
      <c r="AV163" s="24"/>
      <c r="AW163" s="24"/>
      <c r="AX163" s="24"/>
      <c r="AY163" s="24"/>
      <c r="AZ163" s="24"/>
      <c r="BA163" s="31"/>
      <c r="BB163" s="24"/>
      <c r="BC163" s="24"/>
      <c r="BD163" s="24"/>
      <c r="BE163" s="23"/>
      <c r="BF163" s="13"/>
      <c r="BH163" s="175"/>
      <c r="BI163" s="176"/>
      <c r="BJ163" s="176"/>
      <c r="BK163" s="176"/>
      <c r="BL163" s="194"/>
      <c r="BM163" s="195"/>
      <c r="BN163" s="195"/>
      <c r="BO163" s="195"/>
      <c r="BP163" s="195"/>
      <c r="BQ163" s="195"/>
      <c r="BR163" s="195"/>
      <c r="BS163" s="195"/>
      <c r="BT163" s="195"/>
      <c r="BU163" s="195"/>
      <c r="BV163" s="195"/>
      <c r="BW163" s="196"/>
    </row>
    <row r="164" spans="1:75" s="11" customFormat="1" ht="13.5" customHeight="1">
      <c r="A164" s="28"/>
      <c r="B164" s="31"/>
      <c r="C164" s="24"/>
      <c r="D164" s="24"/>
      <c r="E164" s="24"/>
      <c r="F164" s="24"/>
      <c r="G164" s="24"/>
      <c r="H164" s="23"/>
      <c r="I164" s="24"/>
      <c r="J164" s="24"/>
      <c r="K164" s="24"/>
      <c r="L164" s="24"/>
      <c r="M164" s="24"/>
      <c r="N164" s="24"/>
      <c r="O164" s="24"/>
      <c r="P164" s="31"/>
      <c r="Q164" s="24"/>
      <c r="R164" s="24"/>
      <c r="S164" s="24"/>
      <c r="T164" s="24"/>
      <c r="U164" s="24"/>
      <c r="V164" s="24"/>
      <c r="W164" s="31"/>
      <c r="X164" s="24"/>
      <c r="Y164" s="24"/>
      <c r="Z164" s="24"/>
      <c r="AA164" s="24"/>
      <c r="AB164" s="24"/>
      <c r="AC164" s="23"/>
      <c r="AD164" s="31"/>
      <c r="AE164" s="24"/>
      <c r="AF164" s="24"/>
      <c r="AG164" s="24"/>
      <c r="AH164" s="24"/>
      <c r="AI164" s="24"/>
      <c r="AJ164" s="23"/>
      <c r="AK164" s="24"/>
      <c r="AL164" s="8"/>
      <c r="AM164" s="8" t="s">
        <v>381</v>
      </c>
      <c r="AN164" s="8"/>
      <c r="AO164" s="8"/>
      <c r="AP164" s="8"/>
      <c r="AQ164" s="24"/>
      <c r="AR164" s="24"/>
      <c r="AS164" s="24"/>
      <c r="AT164" s="24"/>
      <c r="AU164" s="24"/>
      <c r="AV164" s="24"/>
      <c r="AW164" s="24"/>
      <c r="AX164" s="24"/>
      <c r="AY164" s="24"/>
      <c r="AZ164" s="24"/>
      <c r="BA164" s="31"/>
      <c r="BB164" s="24"/>
      <c r="BC164" s="24"/>
      <c r="BD164" s="24"/>
      <c r="BE164" s="23"/>
      <c r="BF164" s="13"/>
      <c r="BH164" s="175"/>
      <c r="BI164" s="176"/>
      <c r="BJ164" s="176"/>
      <c r="BK164" s="176"/>
      <c r="BL164" s="194"/>
      <c r="BM164" s="195"/>
      <c r="BN164" s="195"/>
      <c r="BO164" s="195"/>
      <c r="BP164" s="195"/>
      <c r="BQ164" s="195"/>
      <c r="BR164" s="195"/>
      <c r="BS164" s="195"/>
      <c r="BT164" s="195"/>
      <c r="BU164" s="195"/>
      <c r="BV164" s="195"/>
      <c r="BW164" s="196"/>
    </row>
    <row r="165" spans="1:75" s="11" customFormat="1" ht="13.5" customHeight="1">
      <c r="A165" s="28"/>
      <c r="B165" s="31"/>
      <c r="C165" s="24"/>
      <c r="D165" s="24"/>
      <c r="E165" s="24"/>
      <c r="F165" s="24"/>
      <c r="G165" s="24"/>
      <c r="H165" s="23"/>
      <c r="I165" s="24"/>
      <c r="J165" s="24"/>
      <c r="K165" s="24"/>
      <c r="L165" s="24"/>
      <c r="M165" s="24"/>
      <c r="N165" s="24"/>
      <c r="O165" s="24"/>
      <c r="P165" s="31"/>
      <c r="Q165" s="24"/>
      <c r="R165" s="24"/>
      <c r="S165" s="24"/>
      <c r="T165" s="24"/>
      <c r="U165" s="24"/>
      <c r="V165" s="24"/>
      <c r="W165" s="31"/>
      <c r="X165" s="24"/>
      <c r="Y165" s="24"/>
      <c r="Z165" s="24"/>
      <c r="AA165" s="24"/>
      <c r="AB165" s="24"/>
      <c r="AC165" s="23"/>
      <c r="AD165" s="31"/>
      <c r="AE165" s="24"/>
      <c r="AF165" s="24"/>
      <c r="AG165" s="24"/>
      <c r="AH165" s="24"/>
      <c r="AI165" s="24"/>
      <c r="AJ165" s="23"/>
      <c r="AK165" s="24"/>
      <c r="AL165" s="8"/>
      <c r="AM165" s="8" t="s">
        <v>382</v>
      </c>
      <c r="AN165" s="8"/>
      <c r="AO165" s="8"/>
      <c r="AP165" s="8"/>
      <c r="AQ165" s="24"/>
      <c r="AR165" s="24"/>
      <c r="AS165" s="24"/>
      <c r="AT165" s="24"/>
      <c r="AU165" s="24"/>
      <c r="AV165" s="24"/>
      <c r="AW165" s="24"/>
      <c r="AX165" s="24"/>
      <c r="AY165" s="24"/>
      <c r="AZ165" s="24"/>
      <c r="BA165" s="31"/>
      <c r="BB165" s="24"/>
      <c r="BC165" s="24"/>
      <c r="BD165" s="24"/>
      <c r="BE165" s="23"/>
      <c r="BF165" s="13"/>
      <c r="BH165" s="175"/>
      <c r="BI165" s="176"/>
      <c r="BJ165" s="176"/>
      <c r="BK165" s="176"/>
      <c r="BL165" s="194"/>
      <c r="BM165" s="195"/>
      <c r="BN165" s="195"/>
      <c r="BO165" s="195"/>
      <c r="BP165" s="195"/>
      <c r="BQ165" s="195"/>
      <c r="BR165" s="195"/>
      <c r="BS165" s="195"/>
      <c r="BT165" s="195"/>
      <c r="BU165" s="195"/>
      <c r="BV165" s="195"/>
      <c r="BW165" s="196"/>
    </row>
    <row r="166" spans="1:75" s="11" customFormat="1" ht="13.5" customHeight="1">
      <c r="A166" s="28"/>
      <c r="B166" s="31"/>
      <c r="C166" s="24"/>
      <c r="D166" s="24"/>
      <c r="E166" s="24"/>
      <c r="F166" s="24"/>
      <c r="G166" s="24"/>
      <c r="H166" s="23"/>
      <c r="I166" s="24"/>
      <c r="J166" s="24"/>
      <c r="K166" s="24"/>
      <c r="L166" s="24"/>
      <c r="M166" s="24"/>
      <c r="N166" s="24"/>
      <c r="O166" s="24"/>
      <c r="P166" s="31"/>
      <c r="Q166" s="24"/>
      <c r="R166" s="24"/>
      <c r="S166" s="24"/>
      <c r="T166" s="24"/>
      <c r="U166" s="24"/>
      <c r="V166" s="24"/>
      <c r="W166" s="31"/>
      <c r="X166" s="24"/>
      <c r="Y166" s="24"/>
      <c r="Z166" s="24"/>
      <c r="AA166" s="24"/>
      <c r="AB166" s="24"/>
      <c r="AC166" s="23"/>
      <c r="AD166" s="31"/>
      <c r="AE166" s="24"/>
      <c r="AF166" s="24"/>
      <c r="AG166" s="24"/>
      <c r="AH166" s="24"/>
      <c r="AI166" s="24"/>
      <c r="AJ166" s="23"/>
      <c r="AK166" s="24"/>
      <c r="AL166" s="8"/>
      <c r="AY166" s="24"/>
      <c r="AZ166" s="24"/>
      <c r="BA166" s="31"/>
      <c r="BB166" s="24"/>
      <c r="BC166" s="24"/>
      <c r="BD166" s="24"/>
      <c r="BE166" s="23"/>
      <c r="BF166" s="13"/>
      <c r="BH166" s="175"/>
      <c r="BI166" s="176"/>
      <c r="BJ166" s="176"/>
      <c r="BK166" s="176"/>
      <c r="BL166" s="194"/>
      <c r="BM166" s="195"/>
      <c r="BN166" s="195"/>
      <c r="BO166" s="195"/>
      <c r="BP166" s="195"/>
      <c r="BQ166" s="195"/>
      <c r="BR166" s="195"/>
      <c r="BS166" s="195"/>
      <c r="BT166" s="195"/>
      <c r="BU166" s="195"/>
      <c r="BV166" s="195"/>
      <c r="BW166" s="196"/>
    </row>
    <row r="167" spans="1:75" s="11" customFormat="1" ht="13.5" customHeight="1">
      <c r="A167" s="28"/>
      <c r="B167" s="31"/>
      <c r="C167" s="24"/>
      <c r="D167" s="24"/>
      <c r="E167" s="24"/>
      <c r="F167" s="24"/>
      <c r="G167" s="24"/>
      <c r="H167" s="23"/>
      <c r="I167" s="24"/>
      <c r="J167" s="24"/>
      <c r="K167" s="24"/>
      <c r="L167" s="24"/>
      <c r="M167" s="24"/>
      <c r="N167" s="24"/>
      <c r="O167" s="24"/>
      <c r="P167" s="31"/>
      <c r="Q167" s="24"/>
      <c r="R167" s="24"/>
      <c r="S167" s="24"/>
      <c r="T167" s="24"/>
      <c r="U167" s="24"/>
      <c r="V167" s="24"/>
      <c r="W167" s="31"/>
      <c r="X167" s="24"/>
      <c r="Y167" s="24"/>
      <c r="Z167" s="24"/>
      <c r="AA167" s="24"/>
      <c r="AB167" s="24"/>
      <c r="AC167" s="23"/>
      <c r="AD167" s="31"/>
      <c r="AE167" s="24"/>
      <c r="AF167" s="24"/>
      <c r="AG167" s="24"/>
      <c r="AH167" s="24"/>
      <c r="AI167" s="24"/>
      <c r="AJ167" s="23"/>
      <c r="AK167" s="24"/>
      <c r="AL167" s="8"/>
      <c r="AY167" s="24"/>
      <c r="AZ167" s="24"/>
      <c r="BA167" s="31"/>
      <c r="BB167" s="24"/>
      <c r="BC167" s="24"/>
      <c r="BD167" s="24"/>
      <c r="BE167" s="23"/>
      <c r="BF167" s="13"/>
      <c r="BH167" s="175"/>
      <c r="BI167" s="176"/>
      <c r="BJ167" s="176"/>
      <c r="BK167" s="176"/>
      <c r="BL167" s="194"/>
      <c r="BM167" s="195"/>
      <c r="BN167" s="195"/>
      <c r="BO167" s="195"/>
      <c r="BP167" s="195"/>
      <c r="BQ167" s="195"/>
      <c r="BR167" s="195"/>
      <c r="BS167" s="195"/>
      <c r="BT167" s="195"/>
      <c r="BU167" s="195"/>
      <c r="BV167" s="195"/>
      <c r="BW167" s="196"/>
    </row>
    <row r="168" spans="1:75" s="11" customFormat="1" ht="13.5" customHeight="1">
      <c r="A168" s="28"/>
      <c r="B168" s="31"/>
      <c r="C168" s="24"/>
      <c r="D168" s="24"/>
      <c r="E168" s="24"/>
      <c r="F168" s="24"/>
      <c r="G168" s="24"/>
      <c r="H168" s="23"/>
      <c r="I168" s="24"/>
      <c r="J168" s="24"/>
      <c r="K168" s="24"/>
      <c r="L168" s="24"/>
      <c r="M168" s="24"/>
      <c r="N168" s="24"/>
      <c r="O168" s="24"/>
      <c r="P168" s="31"/>
      <c r="Q168" s="24"/>
      <c r="R168" s="24"/>
      <c r="S168" s="24"/>
      <c r="T168" s="24"/>
      <c r="U168" s="24"/>
      <c r="V168" s="24"/>
      <c r="W168" s="31"/>
      <c r="X168" s="24"/>
      <c r="Y168" s="24"/>
      <c r="Z168" s="24"/>
      <c r="AA168" s="24"/>
      <c r="AB168" s="24"/>
      <c r="AC168" s="23"/>
      <c r="AD168" s="31"/>
      <c r="AE168" s="24"/>
      <c r="AF168" s="24"/>
      <c r="AG168" s="24"/>
      <c r="AH168" s="24"/>
      <c r="AI168" s="24"/>
      <c r="AJ168" s="23"/>
      <c r="AK168" s="24"/>
      <c r="AL168" s="8"/>
      <c r="AM168" s="8"/>
      <c r="AN168" s="8"/>
      <c r="AO168" s="8"/>
      <c r="AP168" s="8"/>
      <c r="AQ168" s="24"/>
      <c r="AR168" s="24"/>
      <c r="AS168" s="24"/>
      <c r="AT168" s="24"/>
      <c r="AU168" s="24"/>
      <c r="AV168" s="24"/>
      <c r="AW168" s="24"/>
      <c r="AX168" s="24"/>
      <c r="AY168" s="24"/>
      <c r="AZ168" s="24"/>
      <c r="BA168" s="31"/>
      <c r="BB168" s="24"/>
      <c r="BC168" s="24"/>
      <c r="BD168" s="24"/>
      <c r="BE168" s="23"/>
      <c r="BF168" s="13"/>
      <c r="BH168" s="175"/>
      <c r="BI168" s="176"/>
      <c r="BJ168" s="176"/>
      <c r="BK168" s="176"/>
      <c r="BL168" s="129"/>
      <c r="BM168" s="101"/>
      <c r="BN168" s="101"/>
      <c r="BO168" s="101"/>
      <c r="BP168" s="101"/>
      <c r="BQ168" s="101"/>
      <c r="BR168" s="101"/>
      <c r="BS168" s="101"/>
      <c r="BT168" s="101"/>
      <c r="BU168" s="101"/>
      <c r="BV168" s="101"/>
      <c r="BW168" s="128"/>
    </row>
    <row r="169" spans="1:75" s="11" customFormat="1" ht="13.5" customHeight="1">
      <c r="A169" s="28"/>
      <c r="B169" s="31"/>
      <c r="C169" s="24"/>
      <c r="D169" s="24"/>
      <c r="E169" s="24"/>
      <c r="F169" s="24"/>
      <c r="G169" s="24"/>
      <c r="H169" s="23"/>
      <c r="I169" s="24"/>
      <c r="J169" s="24"/>
      <c r="K169" s="24"/>
      <c r="L169" s="24"/>
      <c r="M169" s="24"/>
      <c r="N169" s="24"/>
      <c r="O169" s="24"/>
      <c r="P169" s="31"/>
      <c r="Q169" s="24"/>
      <c r="R169" s="24"/>
      <c r="S169" s="24"/>
      <c r="T169" s="24"/>
      <c r="U169" s="24"/>
      <c r="V169" s="24"/>
      <c r="W169" s="31"/>
      <c r="X169" s="24"/>
      <c r="Y169" s="24"/>
      <c r="Z169" s="24"/>
      <c r="AA169" s="24"/>
      <c r="AB169" s="24"/>
      <c r="AC169" s="23"/>
      <c r="AD169" s="31"/>
      <c r="AE169" s="24"/>
      <c r="AF169" s="24"/>
      <c r="AG169" s="24"/>
      <c r="AH169" s="24"/>
      <c r="AI169" s="24"/>
      <c r="AJ169" s="23"/>
      <c r="AK169" s="24"/>
      <c r="AL169" s="25" t="s">
        <v>383</v>
      </c>
      <c r="AP169" s="8"/>
      <c r="AQ169" s="8"/>
      <c r="AR169" s="24"/>
      <c r="AS169" s="24"/>
      <c r="AT169" s="24"/>
      <c r="AU169" s="24"/>
      <c r="AV169" s="24"/>
      <c r="AW169" s="24"/>
      <c r="AX169" s="24"/>
      <c r="AY169" s="24"/>
      <c r="AZ169" s="24"/>
      <c r="BA169" s="31"/>
      <c r="BB169" s="24"/>
      <c r="BC169" s="24"/>
      <c r="BD169" s="24"/>
      <c r="BE169" s="23"/>
      <c r="BF169" s="13"/>
      <c r="BH169" s="175"/>
      <c r="BI169" s="176"/>
      <c r="BJ169" s="176"/>
      <c r="BK169" s="176"/>
      <c r="BL169" s="129"/>
      <c r="BM169" s="101"/>
      <c r="BN169" s="101"/>
      <c r="BO169" s="101"/>
      <c r="BP169" s="101"/>
      <c r="BQ169" s="101"/>
      <c r="BR169" s="101"/>
      <c r="BS169" s="101"/>
      <c r="BT169" s="101"/>
      <c r="BU169" s="101"/>
      <c r="BV169" s="101"/>
      <c r="BW169" s="128"/>
    </row>
    <row r="170" spans="1:75" s="11" customFormat="1" ht="13.5" customHeight="1">
      <c r="A170" s="28"/>
      <c r="B170" s="31"/>
      <c r="C170" s="24"/>
      <c r="D170" s="24"/>
      <c r="E170" s="24"/>
      <c r="F170" s="24"/>
      <c r="G170" s="24"/>
      <c r="H170" s="23"/>
      <c r="I170" s="24"/>
      <c r="J170" s="24"/>
      <c r="K170" s="24"/>
      <c r="L170" s="24"/>
      <c r="M170" s="24"/>
      <c r="N170" s="24"/>
      <c r="O170" s="24"/>
      <c r="P170" s="31"/>
      <c r="Q170" s="24"/>
      <c r="R170" s="24"/>
      <c r="S170" s="24"/>
      <c r="T170" s="24"/>
      <c r="U170" s="24"/>
      <c r="V170" s="24"/>
      <c r="W170" s="31"/>
      <c r="X170" s="24"/>
      <c r="Y170" s="24"/>
      <c r="Z170" s="24"/>
      <c r="AA170" s="24"/>
      <c r="AB170" s="24"/>
      <c r="AC170" s="23"/>
      <c r="AD170" s="31"/>
      <c r="AE170" s="24"/>
      <c r="AF170" s="24"/>
      <c r="AG170" s="24"/>
      <c r="AH170" s="24"/>
      <c r="AI170" s="24"/>
      <c r="AJ170" s="23"/>
      <c r="AK170" s="24"/>
      <c r="AM170" s="8" t="s">
        <v>384</v>
      </c>
      <c r="AP170" s="8"/>
      <c r="AQ170" s="8"/>
      <c r="AR170" s="24"/>
      <c r="AS170" s="24"/>
      <c r="AT170" s="24"/>
      <c r="AU170" s="24"/>
      <c r="AV170" s="24"/>
      <c r="AW170" s="24"/>
      <c r="AX170" s="24"/>
      <c r="AY170" s="24"/>
      <c r="AZ170" s="24"/>
      <c r="BA170" s="31"/>
      <c r="BB170" s="24"/>
      <c r="BC170" s="24"/>
      <c r="BD170" s="24"/>
      <c r="BE170" s="23"/>
      <c r="BF170" s="13"/>
      <c r="BH170" s="175"/>
      <c r="BI170" s="176"/>
      <c r="BJ170" s="176"/>
      <c r="BK170" s="176"/>
      <c r="BL170" s="129"/>
      <c r="BM170" s="101"/>
      <c r="BN170" s="101"/>
      <c r="BO170" s="101"/>
      <c r="BP170" s="101"/>
      <c r="BQ170" s="101"/>
      <c r="BR170" s="101"/>
      <c r="BS170" s="101"/>
      <c r="BT170" s="101"/>
      <c r="BU170" s="101"/>
      <c r="BV170" s="101"/>
      <c r="BW170" s="128"/>
    </row>
    <row r="171" spans="1:75" s="11" customFormat="1" ht="13.5" customHeight="1">
      <c r="A171" s="28"/>
      <c r="B171" s="31"/>
      <c r="C171" s="24"/>
      <c r="D171" s="24"/>
      <c r="E171" s="24"/>
      <c r="F171" s="24"/>
      <c r="G171" s="24"/>
      <c r="H171" s="23"/>
      <c r="I171" s="24"/>
      <c r="J171" s="24"/>
      <c r="K171" s="24"/>
      <c r="L171" s="24"/>
      <c r="M171" s="24"/>
      <c r="N171" s="24"/>
      <c r="O171" s="24"/>
      <c r="P171" s="31"/>
      <c r="Q171" s="24"/>
      <c r="R171" s="24"/>
      <c r="S171" s="24"/>
      <c r="T171" s="24"/>
      <c r="U171" s="24"/>
      <c r="V171" s="24"/>
      <c r="W171" s="31"/>
      <c r="X171" s="24"/>
      <c r="Y171" s="24"/>
      <c r="Z171" s="24"/>
      <c r="AA171" s="24"/>
      <c r="AB171" s="24"/>
      <c r="AC171" s="23"/>
      <c r="AD171" s="31"/>
      <c r="AE171" s="24"/>
      <c r="AF171" s="24"/>
      <c r="AG171" s="24"/>
      <c r="AH171" s="24"/>
      <c r="AI171" s="24"/>
      <c r="AJ171" s="23"/>
      <c r="AK171" s="24"/>
      <c r="AM171" s="8" t="s">
        <v>385</v>
      </c>
      <c r="AP171" s="8"/>
      <c r="AQ171" s="8"/>
      <c r="AR171" s="24"/>
      <c r="AS171" s="24"/>
      <c r="AT171" s="24"/>
      <c r="AU171" s="24"/>
      <c r="AV171" s="24"/>
      <c r="AW171" s="24"/>
      <c r="AX171" s="24"/>
      <c r="AY171" s="24"/>
      <c r="AZ171" s="24"/>
      <c r="BA171" s="31"/>
      <c r="BB171" s="24"/>
      <c r="BC171" s="24"/>
      <c r="BD171" s="24"/>
      <c r="BE171" s="23"/>
      <c r="BF171" s="13"/>
      <c r="BH171" s="175"/>
      <c r="BI171" s="176"/>
      <c r="BJ171" s="176"/>
      <c r="BK171" s="176"/>
      <c r="BL171" s="27"/>
      <c r="BM171" s="8"/>
      <c r="BN171" s="8"/>
      <c r="BO171" s="8"/>
      <c r="BP171" s="8"/>
      <c r="BQ171" s="8"/>
      <c r="BR171" s="8"/>
      <c r="BS171" s="8"/>
      <c r="BT171" s="8"/>
      <c r="BU171" s="8"/>
      <c r="BV171" s="8"/>
      <c r="BW171" s="14"/>
    </row>
    <row r="172" spans="1:75" s="11" customFormat="1" ht="13.5" customHeight="1">
      <c r="A172" s="28"/>
      <c r="B172" s="31"/>
      <c r="C172" s="24"/>
      <c r="D172" s="24"/>
      <c r="E172" s="24"/>
      <c r="F172" s="24"/>
      <c r="G172" s="24"/>
      <c r="H172" s="23"/>
      <c r="I172" s="24"/>
      <c r="J172" s="24"/>
      <c r="K172" s="24"/>
      <c r="L172" s="24"/>
      <c r="M172" s="24"/>
      <c r="N172" s="24"/>
      <c r="O172" s="24"/>
      <c r="P172" s="31"/>
      <c r="Q172" s="24"/>
      <c r="R172" s="24"/>
      <c r="S172" s="24"/>
      <c r="T172" s="24"/>
      <c r="U172" s="24"/>
      <c r="V172" s="24"/>
      <c r="W172" s="31"/>
      <c r="X172" s="24"/>
      <c r="Y172" s="24"/>
      <c r="Z172" s="24"/>
      <c r="AA172" s="24"/>
      <c r="AB172" s="24"/>
      <c r="AC172" s="23"/>
      <c r="AD172" s="31"/>
      <c r="AE172" s="24"/>
      <c r="AF172" s="24"/>
      <c r="AG172" s="24"/>
      <c r="AH172" s="24"/>
      <c r="AI172" s="24"/>
      <c r="AJ172" s="23"/>
      <c r="AK172" s="24"/>
      <c r="AL172" s="16"/>
      <c r="AM172" s="8"/>
      <c r="AN172" s="8"/>
      <c r="AO172" s="8"/>
      <c r="AP172" s="8"/>
      <c r="AQ172" s="24"/>
      <c r="AR172" s="24"/>
      <c r="AS172" s="24"/>
      <c r="AT172" s="24"/>
      <c r="AU172" s="24"/>
      <c r="AV172" s="24"/>
      <c r="AW172" s="24"/>
      <c r="AX172" s="24"/>
      <c r="AY172" s="24"/>
      <c r="AZ172" s="24"/>
      <c r="BA172" s="31"/>
      <c r="BB172" s="24"/>
      <c r="BC172" s="24"/>
      <c r="BD172" s="24"/>
      <c r="BE172" s="23"/>
      <c r="BF172" s="13"/>
      <c r="BH172" s="64"/>
      <c r="BI172" s="8"/>
      <c r="BJ172" s="8"/>
      <c r="BK172" s="8"/>
      <c r="BL172" s="27"/>
      <c r="BM172" s="8"/>
      <c r="BN172" s="8"/>
      <c r="BO172" s="8"/>
      <c r="BP172" s="8"/>
      <c r="BQ172" s="8"/>
      <c r="BR172" s="8"/>
      <c r="BS172" s="8"/>
      <c r="BT172" s="8"/>
      <c r="BU172" s="8"/>
      <c r="BV172" s="8"/>
      <c r="BW172" s="14"/>
    </row>
    <row r="173" spans="1:75" s="11" customFormat="1" ht="13.5" customHeight="1">
      <c r="A173" s="28"/>
      <c r="B173" s="31"/>
      <c r="C173" s="24"/>
      <c r="D173" s="24"/>
      <c r="E173" s="24"/>
      <c r="F173" s="24"/>
      <c r="G173" s="24"/>
      <c r="H173" s="23"/>
      <c r="I173" s="24"/>
      <c r="J173" s="24"/>
      <c r="K173" s="24"/>
      <c r="L173" s="24"/>
      <c r="M173" s="24"/>
      <c r="N173" s="24"/>
      <c r="O173" s="24"/>
      <c r="P173" s="31"/>
      <c r="Q173" s="24"/>
      <c r="R173" s="24"/>
      <c r="S173" s="24"/>
      <c r="T173" s="24"/>
      <c r="U173" s="24"/>
      <c r="V173" s="24"/>
      <c r="W173" s="31"/>
      <c r="X173" s="24"/>
      <c r="Y173" s="24"/>
      <c r="Z173" s="24"/>
      <c r="AA173" s="24"/>
      <c r="AB173" s="24"/>
      <c r="AC173" s="23"/>
      <c r="AD173" s="31"/>
      <c r="AE173" s="24"/>
      <c r="AF173" s="24"/>
      <c r="AG173" s="24"/>
      <c r="AH173" s="24"/>
      <c r="AI173" s="24"/>
      <c r="AJ173" s="23"/>
      <c r="AK173" s="24"/>
      <c r="AL173" s="16"/>
      <c r="AM173" s="8"/>
      <c r="AN173" s="8"/>
      <c r="AO173" s="8"/>
      <c r="AP173" s="8"/>
      <c r="AQ173" s="24"/>
      <c r="AR173" s="24"/>
      <c r="AS173" s="24"/>
      <c r="AT173" s="24"/>
      <c r="AU173" s="24"/>
      <c r="AV173" s="24"/>
      <c r="AW173" s="24"/>
      <c r="AX173" s="24"/>
      <c r="AY173" s="24"/>
      <c r="AZ173" s="24"/>
      <c r="BA173" s="31"/>
      <c r="BB173" s="24"/>
      <c r="BC173" s="24"/>
      <c r="BD173" s="24"/>
      <c r="BE173" s="23"/>
      <c r="BF173" s="13"/>
      <c r="BH173" s="64"/>
      <c r="BI173" s="8"/>
      <c r="BJ173" s="8"/>
      <c r="BK173" s="8"/>
      <c r="BL173" s="27"/>
      <c r="BM173" s="8"/>
      <c r="BN173" s="8"/>
      <c r="BO173" s="8"/>
      <c r="BP173" s="8"/>
      <c r="BQ173" s="8"/>
      <c r="BR173" s="8"/>
      <c r="BS173" s="8"/>
      <c r="BT173" s="8"/>
      <c r="BU173" s="8"/>
      <c r="BV173" s="8"/>
      <c r="BW173" s="14"/>
    </row>
    <row r="174" spans="1:75" s="11" customFormat="1" ht="13.5" customHeight="1">
      <c r="A174" s="28"/>
      <c r="B174" s="31"/>
      <c r="C174" s="24"/>
      <c r="D174" s="24"/>
      <c r="E174" s="24"/>
      <c r="F174" s="24"/>
      <c r="G174" s="24"/>
      <c r="H174" s="23"/>
      <c r="I174" s="24"/>
      <c r="J174" s="24"/>
      <c r="K174" s="24"/>
      <c r="L174" s="24"/>
      <c r="M174" s="24"/>
      <c r="N174" s="24"/>
      <c r="O174" s="24"/>
      <c r="P174" s="31"/>
      <c r="Q174" s="24"/>
      <c r="R174" s="24"/>
      <c r="S174" s="24"/>
      <c r="T174" s="24"/>
      <c r="U174" s="24"/>
      <c r="V174" s="24"/>
      <c r="W174" s="31"/>
      <c r="X174" s="24"/>
      <c r="Y174" s="24"/>
      <c r="Z174" s="24"/>
      <c r="AA174" s="24"/>
      <c r="AB174" s="24"/>
      <c r="AC174" s="23"/>
      <c r="AD174" s="31"/>
      <c r="AE174" s="24"/>
      <c r="AF174" s="24"/>
      <c r="AG174" s="24"/>
      <c r="AH174" s="24"/>
      <c r="AI174" s="24"/>
      <c r="AJ174" s="23"/>
      <c r="AK174" s="24"/>
      <c r="AL174" s="25" t="s">
        <v>386</v>
      </c>
      <c r="AP174" s="8"/>
      <c r="AQ174" s="8"/>
      <c r="AR174" s="8"/>
      <c r="AS174" s="8"/>
      <c r="AT174" s="8"/>
      <c r="AU174" s="8"/>
      <c r="AV174" s="8"/>
      <c r="AW174" s="8"/>
      <c r="AX174" s="8"/>
      <c r="AY174" s="24"/>
      <c r="AZ174" s="24"/>
      <c r="BA174" s="31"/>
      <c r="BB174" s="24"/>
      <c r="BC174" s="24"/>
      <c r="BD174" s="24"/>
      <c r="BE174" s="23"/>
      <c r="BF174" s="13"/>
      <c r="BH174" s="64"/>
      <c r="BI174" s="8"/>
      <c r="BJ174" s="8"/>
      <c r="BK174" s="8"/>
      <c r="BL174" s="27"/>
      <c r="BM174" s="8"/>
      <c r="BN174" s="8"/>
      <c r="BO174" s="8"/>
      <c r="BP174" s="8"/>
      <c r="BQ174" s="8"/>
      <c r="BR174" s="8"/>
      <c r="BS174" s="8"/>
      <c r="BT174" s="8"/>
      <c r="BU174" s="8"/>
      <c r="BV174" s="8"/>
      <c r="BW174" s="14"/>
    </row>
    <row r="175" spans="1:75" s="11" customFormat="1" ht="13.5" customHeight="1">
      <c r="A175" s="28"/>
      <c r="B175" s="31"/>
      <c r="C175" s="24"/>
      <c r="D175" s="24"/>
      <c r="E175" s="24"/>
      <c r="F175" s="24"/>
      <c r="G175" s="24"/>
      <c r="H175" s="23"/>
      <c r="I175" s="24"/>
      <c r="J175" s="24"/>
      <c r="K175" s="24"/>
      <c r="L175" s="24"/>
      <c r="M175" s="24"/>
      <c r="N175" s="24"/>
      <c r="O175" s="24"/>
      <c r="P175" s="31"/>
      <c r="Q175" s="24"/>
      <c r="R175" s="24"/>
      <c r="S175" s="24"/>
      <c r="T175" s="24"/>
      <c r="U175" s="24"/>
      <c r="V175" s="24"/>
      <c r="W175" s="31"/>
      <c r="X175" s="24"/>
      <c r="Y175" s="24"/>
      <c r="Z175" s="24"/>
      <c r="AA175" s="24"/>
      <c r="AB175" s="24"/>
      <c r="AC175" s="23"/>
      <c r="AD175" s="31"/>
      <c r="AE175" s="24"/>
      <c r="AF175" s="24"/>
      <c r="AG175" s="24"/>
      <c r="AH175" s="24"/>
      <c r="AI175" s="24"/>
      <c r="AJ175" s="23"/>
      <c r="AK175" s="24"/>
      <c r="AM175" s="8" t="s">
        <v>387</v>
      </c>
      <c r="AP175" s="8"/>
      <c r="AQ175" s="8"/>
      <c r="AR175" s="8"/>
      <c r="AS175" s="8"/>
      <c r="AT175" s="8"/>
      <c r="AU175" s="8"/>
      <c r="AV175" s="8"/>
      <c r="AW175" s="8"/>
      <c r="AX175" s="8"/>
      <c r="AY175" s="24"/>
      <c r="AZ175" s="24"/>
      <c r="BA175" s="31"/>
      <c r="BB175" s="24"/>
      <c r="BC175" s="24"/>
      <c r="BD175" s="24"/>
      <c r="BE175" s="23"/>
      <c r="BF175" s="13"/>
      <c r="BH175" s="64"/>
      <c r="BI175" s="8"/>
      <c r="BJ175" s="8"/>
      <c r="BK175" s="8"/>
      <c r="BL175" s="27"/>
      <c r="BM175" s="8"/>
      <c r="BN175" s="8"/>
      <c r="BO175" s="8"/>
      <c r="BP175" s="8"/>
      <c r="BQ175" s="8"/>
      <c r="BR175" s="8"/>
      <c r="BS175" s="8"/>
      <c r="BT175" s="8"/>
      <c r="BU175" s="8"/>
      <c r="BV175" s="8"/>
      <c r="BW175" s="14"/>
    </row>
    <row r="176" spans="1:75" s="11" customFormat="1" ht="13.5" customHeight="1">
      <c r="A176" s="28"/>
      <c r="B176" s="31"/>
      <c r="C176" s="24"/>
      <c r="D176" s="24"/>
      <c r="E176" s="24"/>
      <c r="F176" s="24"/>
      <c r="G176" s="24"/>
      <c r="H176" s="23"/>
      <c r="I176" s="24"/>
      <c r="J176" s="24"/>
      <c r="K176" s="24"/>
      <c r="L176" s="24"/>
      <c r="M176" s="24"/>
      <c r="N176" s="24"/>
      <c r="O176" s="24"/>
      <c r="P176" s="31"/>
      <c r="Q176" s="24"/>
      <c r="R176" s="24"/>
      <c r="S176" s="24"/>
      <c r="T176" s="24"/>
      <c r="U176" s="24"/>
      <c r="V176" s="24"/>
      <c r="W176" s="31"/>
      <c r="X176" s="24"/>
      <c r="Y176" s="24"/>
      <c r="Z176" s="24"/>
      <c r="AA176" s="24"/>
      <c r="AB176" s="24"/>
      <c r="AC176" s="23"/>
      <c r="AD176" s="31"/>
      <c r="AE176" s="24"/>
      <c r="AF176" s="24"/>
      <c r="AG176" s="24"/>
      <c r="AH176" s="24"/>
      <c r="AI176" s="24"/>
      <c r="AJ176" s="23"/>
      <c r="AK176" s="24"/>
      <c r="AM176" s="8" t="s">
        <v>388</v>
      </c>
      <c r="AP176" s="8"/>
      <c r="AQ176" s="8"/>
      <c r="AR176" s="8"/>
      <c r="AS176" s="8"/>
      <c r="AT176" s="8"/>
      <c r="AU176" s="8"/>
      <c r="AV176" s="8"/>
      <c r="AW176" s="8"/>
      <c r="AX176" s="8"/>
      <c r="AY176" s="24"/>
      <c r="AZ176" s="24"/>
      <c r="BA176" s="31"/>
      <c r="BB176" s="24"/>
      <c r="BC176" s="24"/>
      <c r="BD176" s="24"/>
      <c r="BE176" s="23"/>
      <c r="BF176" s="13"/>
      <c r="BH176" s="64"/>
      <c r="BI176" s="8"/>
      <c r="BJ176" s="8"/>
      <c r="BK176" s="8"/>
      <c r="BL176" s="27"/>
      <c r="BM176" s="8"/>
      <c r="BN176" s="8"/>
      <c r="BO176" s="8"/>
      <c r="BP176" s="8"/>
      <c r="BQ176" s="8"/>
      <c r="BR176" s="8"/>
      <c r="BS176" s="8"/>
      <c r="BT176" s="8"/>
      <c r="BU176" s="8"/>
      <c r="BV176" s="8"/>
      <c r="BW176" s="14"/>
    </row>
    <row r="177" spans="1:76" s="11" customFormat="1" ht="13.5" customHeight="1">
      <c r="A177" s="28"/>
      <c r="B177" s="31"/>
      <c r="C177" s="24"/>
      <c r="D177" s="24"/>
      <c r="E177" s="24"/>
      <c r="F177" s="24"/>
      <c r="G177" s="24"/>
      <c r="H177" s="23"/>
      <c r="I177" s="24"/>
      <c r="J177" s="24"/>
      <c r="K177" s="24"/>
      <c r="L177" s="24"/>
      <c r="M177" s="24"/>
      <c r="N177" s="24"/>
      <c r="O177" s="24"/>
      <c r="P177" s="31"/>
      <c r="Q177" s="24"/>
      <c r="R177" s="24"/>
      <c r="S177" s="24"/>
      <c r="T177" s="24"/>
      <c r="U177" s="24"/>
      <c r="V177" s="24"/>
      <c r="W177" s="31"/>
      <c r="X177" s="24"/>
      <c r="Y177" s="24"/>
      <c r="Z177" s="24"/>
      <c r="AA177" s="24"/>
      <c r="AB177" s="24"/>
      <c r="AC177" s="23"/>
      <c r="AD177" s="31"/>
      <c r="AE177" s="24"/>
      <c r="AF177" s="24"/>
      <c r="AG177" s="24"/>
      <c r="AH177" s="24"/>
      <c r="AI177" s="24"/>
      <c r="AJ177" s="23"/>
      <c r="AK177" s="24"/>
      <c r="AL177" s="117"/>
      <c r="AM177" s="11" t="s">
        <v>138</v>
      </c>
      <c r="AN177" s="11" t="s">
        <v>389</v>
      </c>
      <c r="AO177" s="117"/>
      <c r="AP177" s="117"/>
      <c r="AQ177" s="117"/>
      <c r="AR177" s="117"/>
      <c r="AS177" s="117"/>
      <c r="AT177" s="117"/>
      <c r="AU177" s="117"/>
      <c r="AV177" s="117"/>
      <c r="AW177" s="117"/>
      <c r="AX177" s="117"/>
      <c r="AY177" s="117"/>
      <c r="AZ177" s="24"/>
      <c r="BA177" s="31"/>
      <c r="BB177" s="24"/>
      <c r="BC177" s="24"/>
      <c r="BD177" s="24"/>
      <c r="BE177" s="23"/>
      <c r="BF177" s="13"/>
      <c r="BH177" s="64"/>
      <c r="BI177" s="8"/>
      <c r="BJ177" s="8"/>
      <c r="BK177" s="8"/>
      <c r="BL177" s="27"/>
      <c r="BM177" s="8"/>
      <c r="BN177" s="8"/>
      <c r="BO177" s="8"/>
      <c r="BP177" s="8"/>
      <c r="BQ177" s="8"/>
      <c r="BR177" s="8"/>
      <c r="BS177" s="8"/>
      <c r="BT177" s="8"/>
      <c r="BU177" s="8"/>
      <c r="BV177" s="8"/>
      <c r="BW177" s="14"/>
    </row>
    <row r="178" spans="1:76" s="11" customFormat="1" ht="13.5" customHeight="1">
      <c r="A178" s="28"/>
      <c r="B178" s="31"/>
      <c r="C178" s="24"/>
      <c r="D178" s="24"/>
      <c r="E178" s="24"/>
      <c r="F178" s="24"/>
      <c r="G178" s="24"/>
      <c r="H178" s="23"/>
      <c r="I178" s="24"/>
      <c r="J178" s="24"/>
      <c r="K178" s="24"/>
      <c r="L178" s="24"/>
      <c r="M178" s="24"/>
      <c r="N178" s="24"/>
      <c r="O178" s="24"/>
      <c r="P178" s="31"/>
      <c r="Q178" s="24"/>
      <c r="R178" s="24"/>
      <c r="S178" s="24"/>
      <c r="T178" s="24"/>
      <c r="U178" s="24"/>
      <c r="V178" s="24"/>
      <c r="W178" s="31"/>
      <c r="X178" s="24"/>
      <c r="Y178" s="24"/>
      <c r="Z178" s="24"/>
      <c r="AA178" s="24"/>
      <c r="AB178" s="24"/>
      <c r="AC178" s="23"/>
      <c r="AD178" s="31"/>
      <c r="AE178" s="24"/>
      <c r="AF178" s="24"/>
      <c r="AG178" s="24"/>
      <c r="AH178" s="24"/>
      <c r="AI178" s="24"/>
      <c r="AJ178" s="23"/>
      <c r="AK178" s="24"/>
      <c r="AL178" s="117"/>
      <c r="AN178" s="11" t="s">
        <v>390</v>
      </c>
      <c r="AO178" s="117"/>
      <c r="AP178" s="117"/>
      <c r="AQ178" s="117"/>
      <c r="AR178" s="117"/>
      <c r="AS178" s="117"/>
      <c r="AT178" s="117"/>
      <c r="AU178" s="117"/>
      <c r="AV178" s="117"/>
      <c r="AW178" s="117"/>
      <c r="AX178" s="117"/>
      <c r="AY178" s="117"/>
      <c r="AZ178" s="24"/>
      <c r="BA178" s="31"/>
      <c r="BB178" s="24"/>
      <c r="BC178" s="24"/>
      <c r="BD178" s="24"/>
      <c r="BE178" s="23"/>
      <c r="BF178" s="13"/>
      <c r="BH178" s="64"/>
      <c r="BI178" s="8"/>
      <c r="BJ178" s="8"/>
      <c r="BK178" s="8"/>
      <c r="BL178" s="27"/>
      <c r="BM178" s="8"/>
      <c r="BN178" s="8"/>
      <c r="BO178" s="8"/>
      <c r="BP178" s="8"/>
      <c r="BQ178" s="8"/>
      <c r="BR178" s="8"/>
      <c r="BS178" s="8"/>
      <c r="BT178" s="8"/>
      <c r="BU178" s="8"/>
      <c r="BV178" s="8"/>
      <c r="BW178" s="14"/>
    </row>
    <row r="179" spans="1:76" s="11" customFormat="1" ht="13.5" customHeight="1">
      <c r="A179" s="28"/>
      <c r="B179" s="31"/>
      <c r="C179" s="24"/>
      <c r="D179" s="24"/>
      <c r="E179" s="24"/>
      <c r="F179" s="24"/>
      <c r="G179" s="24"/>
      <c r="H179" s="23"/>
      <c r="I179" s="24"/>
      <c r="J179" s="24"/>
      <c r="K179" s="24"/>
      <c r="L179" s="24"/>
      <c r="M179" s="24"/>
      <c r="N179" s="24"/>
      <c r="O179" s="24"/>
      <c r="P179" s="31"/>
      <c r="Q179" s="24"/>
      <c r="R179" s="24"/>
      <c r="S179" s="24"/>
      <c r="T179" s="24"/>
      <c r="U179" s="24"/>
      <c r="V179" s="24"/>
      <c r="W179" s="31"/>
      <c r="X179" s="24"/>
      <c r="Y179" s="24"/>
      <c r="Z179" s="24"/>
      <c r="AA179" s="24"/>
      <c r="AB179" s="24"/>
      <c r="AC179" s="23"/>
      <c r="AD179" s="31"/>
      <c r="AE179" s="24"/>
      <c r="AF179" s="24"/>
      <c r="AG179" s="24"/>
      <c r="AH179" s="24"/>
      <c r="AI179" s="24"/>
      <c r="AJ179" s="23"/>
      <c r="AK179" s="24"/>
      <c r="AL179" s="117"/>
      <c r="AM179" s="11" t="s">
        <v>391</v>
      </c>
      <c r="AY179" s="24"/>
      <c r="AZ179" s="24"/>
      <c r="BA179" s="31"/>
      <c r="BB179" s="24"/>
      <c r="BC179" s="24"/>
      <c r="BD179" s="24"/>
      <c r="BE179" s="23"/>
      <c r="BF179" s="13"/>
      <c r="BH179" s="64"/>
      <c r="BI179" s="8"/>
      <c r="BJ179" s="8"/>
      <c r="BK179" s="8"/>
      <c r="BL179" s="27"/>
      <c r="BM179" s="8"/>
      <c r="BN179" s="8"/>
      <c r="BO179" s="8"/>
      <c r="BP179" s="8"/>
      <c r="BQ179" s="8"/>
      <c r="BR179" s="8"/>
      <c r="BS179" s="8"/>
      <c r="BT179" s="8"/>
      <c r="BU179" s="8"/>
      <c r="BV179" s="8"/>
      <c r="BW179" s="14"/>
    </row>
    <row r="180" spans="1:76" s="11" customFormat="1" ht="13.5" customHeight="1">
      <c r="A180" s="28"/>
      <c r="B180" s="31"/>
      <c r="C180" s="24"/>
      <c r="D180" s="24"/>
      <c r="E180" s="24"/>
      <c r="F180" s="24"/>
      <c r="G180" s="24"/>
      <c r="H180" s="23"/>
      <c r="I180" s="24"/>
      <c r="J180" s="24"/>
      <c r="K180" s="24"/>
      <c r="L180" s="24"/>
      <c r="M180" s="24"/>
      <c r="N180" s="24"/>
      <c r="O180" s="24"/>
      <c r="P180" s="31"/>
      <c r="Q180" s="24"/>
      <c r="R180" s="24"/>
      <c r="S180" s="24"/>
      <c r="T180" s="24"/>
      <c r="U180" s="24"/>
      <c r="V180" s="24"/>
      <c r="W180" s="31"/>
      <c r="X180" s="24"/>
      <c r="Y180" s="24"/>
      <c r="Z180" s="24"/>
      <c r="AA180" s="24"/>
      <c r="AB180" s="24"/>
      <c r="AC180" s="23"/>
      <c r="AD180" s="31"/>
      <c r="AE180" s="24"/>
      <c r="AF180" s="24"/>
      <c r="AG180" s="24"/>
      <c r="AH180" s="24"/>
      <c r="AI180" s="24"/>
      <c r="AJ180" s="23"/>
      <c r="AK180" s="24"/>
      <c r="AL180" s="117"/>
      <c r="AM180" s="72" t="s">
        <v>392</v>
      </c>
      <c r="AN180" s="73"/>
      <c r="AO180" s="73"/>
      <c r="AP180" s="73"/>
      <c r="AQ180" s="73"/>
      <c r="AR180" s="73"/>
      <c r="AS180" s="73"/>
      <c r="AT180" s="73"/>
      <c r="AU180" s="73"/>
      <c r="AV180" s="73"/>
      <c r="AW180" s="73"/>
      <c r="AX180" s="75"/>
      <c r="AY180" s="24"/>
      <c r="AZ180" s="24"/>
      <c r="BA180" s="31"/>
      <c r="BB180" s="24"/>
      <c r="BC180" s="24"/>
      <c r="BD180" s="24"/>
      <c r="BE180" s="23"/>
      <c r="BF180" s="13"/>
      <c r="BH180" s="64"/>
      <c r="BI180" s="8"/>
      <c r="BJ180" s="8"/>
      <c r="BK180" s="8"/>
      <c r="BL180" s="27"/>
      <c r="BM180" s="8"/>
      <c r="BN180" s="8"/>
      <c r="BO180" s="8"/>
      <c r="BP180" s="8"/>
      <c r="BQ180" s="8"/>
      <c r="BR180" s="8"/>
      <c r="BS180" s="8"/>
      <c r="BT180" s="8"/>
      <c r="BU180" s="8"/>
      <c r="BV180" s="8"/>
      <c r="BW180" s="14"/>
    </row>
    <row r="181" spans="1:76" s="11" customFormat="1" ht="13.5" customHeight="1">
      <c r="A181" s="28"/>
      <c r="B181" s="31"/>
      <c r="C181" s="24"/>
      <c r="D181" s="24"/>
      <c r="E181" s="24"/>
      <c r="F181" s="24"/>
      <c r="G181" s="24"/>
      <c r="H181" s="23"/>
      <c r="I181" s="24"/>
      <c r="J181" s="24"/>
      <c r="K181" s="24"/>
      <c r="L181" s="24"/>
      <c r="M181" s="24"/>
      <c r="N181" s="24"/>
      <c r="O181" s="24"/>
      <c r="P181" s="31"/>
      <c r="Q181" s="24"/>
      <c r="R181" s="24"/>
      <c r="S181" s="24"/>
      <c r="T181" s="24"/>
      <c r="U181" s="24"/>
      <c r="V181" s="24"/>
      <c r="W181" s="31"/>
      <c r="X181" s="24"/>
      <c r="Y181" s="24"/>
      <c r="Z181" s="24"/>
      <c r="AA181" s="24"/>
      <c r="AB181" s="24"/>
      <c r="AC181" s="23"/>
      <c r="AD181" s="31"/>
      <c r="AE181" s="24"/>
      <c r="AF181" s="24"/>
      <c r="AG181" s="24"/>
      <c r="AH181" s="24"/>
      <c r="AI181" s="24"/>
      <c r="AJ181" s="23"/>
      <c r="AK181" s="24"/>
      <c r="AL181" s="16"/>
      <c r="AM181" s="51" t="s">
        <v>393</v>
      </c>
      <c r="AN181" s="52"/>
      <c r="AO181" s="52"/>
      <c r="AP181" s="52"/>
      <c r="AQ181" s="52"/>
      <c r="AR181" s="53"/>
      <c r="AS181" s="82" t="s">
        <v>394</v>
      </c>
      <c r="AT181" s="52"/>
      <c r="AU181" s="52"/>
      <c r="AV181" s="52"/>
      <c r="AW181" s="24"/>
      <c r="AX181" s="23"/>
      <c r="AY181" s="24"/>
      <c r="AZ181" s="24"/>
      <c r="BA181" s="31"/>
      <c r="BB181" s="24"/>
      <c r="BC181" s="24"/>
      <c r="BD181" s="24"/>
      <c r="BE181" s="23"/>
      <c r="BF181" s="13"/>
      <c r="BH181" s="64"/>
      <c r="BI181" s="8"/>
      <c r="BJ181" s="8"/>
      <c r="BK181" s="8"/>
      <c r="BL181" s="27"/>
      <c r="BM181" s="8"/>
      <c r="BN181" s="8"/>
      <c r="BO181" s="8"/>
      <c r="BP181" s="8"/>
      <c r="BQ181" s="8"/>
      <c r="BR181" s="8"/>
      <c r="BS181" s="8"/>
      <c r="BT181" s="8"/>
      <c r="BU181" s="8"/>
      <c r="BV181" s="8"/>
      <c r="BW181" s="14"/>
    </row>
    <row r="182" spans="1:76" s="11" customFormat="1" ht="13.5" customHeight="1">
      <c r="A182" s="28"/>
      <c r="B182" s="31"/>
      <c r="C182" s="24"/>
      <c r="D182" s="24"/>
      <c r="E182" s="24"/>
      <c r="F182" s="24"/>
      <c r="G182" s="24"/>
      <c r="H182" s="23"/>
      <c r="I182" s="24"/>
      <c r="J182" s="24"/>
      <c r="K182" s="24"/>
      <c r="L182" s="24"/>
      <c r="M182" s="24"/>
      <c r="N182" s="24"/>
      <c r="O182" s="24"/>
      <c r="P182" s="31"/>
      <c r="Q182" s="24"/>
      <c r="R182" s="24"/>
      <c r="S182" s="24"/>
      <c r="T182" s="24"/>
      <c r="U182" s="24"/>
      <c r="V182" s="24"/>
      <c r="W182" s="31"/>
      <c r="X182" s="24"/>
      <c r="Y182" s="24"/>
      <c r="Z182" s="24"/>
      <c r="AA182" s="24"/>
      <c r="AB182" s="24"/>
      <c r="AC182" s="23"/>
      <c r="AD182" s="31"/>
      <c r="AE182" s="24"/>
      <c r="AF182" s="24"/>
      <c r="AG182" s="24"/>
      <c r="AH182" s="24"/>
      <c r="AI182" s="24"/>
      <c r="AJ182" s="23"/>
      <c r="AK182" s="24"/>
      <c r="AM182" s="27"/>
      <c r="AN182" s="130" t="s">
        <v>395</v>
      </c>
      <c r="AO182" s="8"/>
      <c r="AP182" s="8"/>
      <c r="AQ182" s="8"/>
      <c r="AR182" s="14"/>
      <c r="AS182" s="8"/>
      <c r="AT182" s="130" t="s">
        <v>396</v>
      </c>
      <c r="AU182" s="8"/>
      <c r="AV182" s="8"/>
      <c r="AW182" s="24"/>
      <c r="AX182" s="23"/>
      <c r="AY182" s="24"/>
      <c r="AZ182" s="24"/>
      <c r="BA182" s="31"/>
      <c r="BB182" s="24"/>
      <c r="BC182" s="24"/>
      <c r="BD182" s="24"/>
      <c r="BE182" s="23"/>
      <c r="BF182" s="13"/>
      <c r="BH182" s="64"/>
      <c r="BI182" s="8"/>
      <c r="BJ182" s="8"/>
      <c r="BK182" s="8"/>
      <c r="BL182" s="27"/>
      <c r="BM182" s="8"/>
      <c r="BN182" s="8"/>
      <c r="BO182" s="8"/>
      <c r="BP182" s="8"/>
      <c r="BQ182" s="8"/>
      <c r="BR182" s="8"/>
      <c r="BS182" s="8"/>
      <c r="BT182" s="8"/>
      <c r="BU182" s="8"/>
      <c r="BV182" s="8"/>
      <c r="BW182" s="14"/>
    </row>
    <row r="183" spans="1:76" s="11" customFormat="1" ht="13.5" customHeight="1">
      <c r="A183" s="28"/>
      <c r="B183" s="31"/>
      <c r="C183" s="24"/>
      <c r="D183" s="24"/>
      <c r="E183" s="24"/>
      <c r="F183" s="24"/>
      <c r="G183" s="24"/>
      <c r="H183" s="23"/>
      <c r="I183" s="24"/>
      <c r="J183" s="24"/>
      <c r="K183" s="24"/>
      <c r="L183" s="24"/>
      <c r="M183" s="24"/>
      <c r="N183" s="24"/>
      <c r="O183" s="24"/>
      <c r="P183" s="31"/>
      <c r="Q183" s="24"/>
      <c r="R183" s="24"/>
      <c r="S183" s="24"/>
      <c r="T183" s="24"/>
      <c r="U183" s="24"/>
      <c r="V183" s="24"/>
      <c r="W183" s="31"/>
      <c r="X183" s="24"/>
      <c r="Y183" s="24"/>
      <c r="Z183" s="24"/>
      <c r="AA183" s="24"/>
      <c r="AB183" s="24"/>
      <c r="AC183" s="23"/>
      <c r="AD183" s="31"/>
      <c r="AE183" s="24"/>
      <c r="AF183" s="24"/>
      <c r="AG183" s="24"/>
      <c r="AH183" s="24"/>
      <c r="AI183" s="24"/>
      <c r="AJ183" s="23"/>
      <c r="AK183" s="24"/>
      <c r="AL183" s="16"/>
      <c r="AM183" s="27"/>
      <c r="AN183" s="8"/>
      <c r="AO183" s="8"/>
      <c r="AP183" s="8"/>
      <c r="AQ183" s="8"/>
      <c r="AR183" s="14"/>
      <c r="AS183" s="8" t="s">
        <v>397</v>
      </c>
      <c r="AT183" s="8"/>
      <c r="AU183" s="8"/>
      <c r="AV183" s="8"/>
      <c r="AW183" s="24"/>
      <c r="AX183" s="23"/>
      <c r="AY183" s="24"/>
      <c r="AZ183" s="24"/>
      <c r="BA183" s="31"/>
      <c r="BB183" s="24"/>
      <c r="BC183" s="24"/>
      <c r="BD183" s="24"/>
      <c r="BE183" s="23"/>
      <c r="BF183" s="13"/>
      <c r="BH183" s="64"/>
      <c r="BI183" s="8"/>
      <c r="BJ183" s="8"/>
      <c r="BK183" s="8"/>
      <c r="BL183" s="27"/>
      <c r="BM183" s="8"/>
      <c r="BN183" s="8"/>
      <c r="BO183" s="8"/>
      <c r="BP183" s="8"/>
      <c r="BQ183" s="8"/>
      <c r="BR183" s="8"/>
      <c r="BS183" s="8"/>
      <c r="BT183" s="8"/>
      <c r="BU183" s="8"/>
      <c r="BV183" s="8"/>
      <c r="BW183" s="14"/>
    </row>
    <row r="184" spans="1:76" s="11" customFormat="1" ht="13.5" customHeight="1">
      <c r="A184" s="28"/>
      <c r="B184" s="31"/>
      <c r="C184" s="24"/>
      <c r="D184" s="24"/>
      <c r="E184" s="24"/>
      <c r="F184" s="24"/>
      <c r="G184" s="24"/>
      <c r="H184" s="23"/>
      <c r="I184" s="24"/>
      <c r="J184" s="24"/>
      <c r="K184" s="24"/>
      <c r="L184" s="24"/>
      <c r="M184" s="24"/>
      <c r="N184" s="24"/>
      <c r="O184" s="24"/>
      <c r="P184" s="31"/>
      <c r="Q184" s="24"/>
      <c r="R184" s="24"/>
      <c r="S184" s="24"/>
      <c r="T184" s="24"/>
      <c r="U184" s="24"/>
      <c r="V184" s="24"/>
      <c r="W184" s="31"/>
      <c r="X184" s="24"/>
      <c r="Y184" s="24"/>
      <c r="Z184" s="24"/>
      <c r="AA184" s="24"/>
      <c r="AB184" s="24"/>
      <c r="AC184" s="23"/>
      <c r="AD184" s="31"/>
      <c r="AE184" s="24"/>
      <c r="AF184" s="24"/>
      <c r="AG184" s="24"/>
      <c r="AH184" s="24"/>
      <c r="AI184" s="24"/>
      <c r="AJ184" s="23"/>
      <c r="AK184" s="24"/>
      <c r="AL184" s="8"/>
      <c r="AM184" s="55"/>
      <c r="AN184" s="131"/>
      <c r="AO184" s="131"/>
      <c r="AP184" s="131"/>
      <c r="AQ184" s="131"/>
      <c r="AR184" s="131"/>
      <c r="AS184" s="134"/>
      <c r="AT184" s="132" t="s">
        <v>398</v>
      </c>
      <c r="AU184" s="131"/>
      <c r="AV184" s="131"/>
      <c r="AW184" s="131"/>
      <c r="AX184" s="133"/>
      <c r="AY184" s="24"/>
      <c r="AZ184" s="24"/>
      <c r="BA184" s="31"/>
      <c r="BB184" s="24"/>
      <c r="BC184" s="24"/>
      <c r="BD184" s="24"/>
      <c r="BE184" s="23"/>
      <c r="BF184" s="13"/>
      <c r="BH184" s="64"/>
      <c r="BI184" s="8"/>
      <c r="BJ184" s="8"/>
      <c r="BK184" s="8"/>
      <c r="BL184" s="27"/>
      <c r="BM184" s="8"/>
      <c r="BN184" s="8"/>
      <c r="BO184" s="8"/>
      <c r="BP184" s="8"/>
      <c r="BQ184" s="8"/>
      <c r="BR184" s="8"/>
      <c r="BS184" s="8"/>
      <c r="BT184" s="8"/>
      <c r="BU184" s="8"/>
      <c r="BV184" s="8"/>
      <c r="BW184" s="14"/>
    </row>
    <row r="185" spans="1:76" s="11" customFormat="1" ht="13.5" customHeight="1">
      <c r="A185" s="28"/>
      <c r="B185" s="31"/>
      <c r="C185" s="24"/>
      <c r="D185" s="24"/>
      <c r="E185" s="24"/>
      <c r="F185" s="24"/>
      <c r="G185" s="24"/>
      <c r="H185" s="23"/>
      <c r="I185" s="24"/>
      <c r="J185" s="24"/>
      <c r="K185" s="24"/>
      <c r="L185" s="24"/>
      <c r="M185" s="24"/>
      <c r="N185" s="24"/>
      <c r="O185" s="24"/>
      <c r="P185" s="31"/>
      <c r="Q185" s="24"/>
      <c r="R185" s="24"/>
      <c r="S185" s="24"/>
      <c r="T185" s="24"/>
      <c r="U185" s="24"/>
      <c r="V185" s="24"/>
      <c r="W185" s="31"/>
      <c r="X185" s="24"/>
      <c r="Y185" s="24"/>
      <c r="Z185" s="24"/>
      <c r="AA185" s="24"/>
      <c r="AB185" s="24"/>
      <c r="AC185" s="23"/>
      <c r="AD185" s="31"/>
      <c r="AE185" s="24"/>
      <c r="AF185" s="24"/>
      <c r="AG185" s="24"/>
      <c r="AH185" s="24"/>
      <c r="AI185" s="24"/>
      <c r="AJ185" s="23"/>
      <c r="AK185" s="24"/>
      <c r="AL185" s="24"/>
      <c r="AY185" s="24"/>
      <c r="AZ185" s="24"/>
      <c r="BA185" s="31"/>
      <c r="BB185" s="24"/>
      <c r="BC185" s="24"/>
      <c r="BD185" s="24"/>
      <c r="BE185" s="23"/>
      <c r="BF185" s="13"/>
      <c r="BH185" s="64"/>
      <c r="BI185" s="8"/>
      <c r="BJ185" s="8"/>
      <c r="BK185" s="8"/>
      <c r="BL185" s="27"/>
      <c r="BM185" s="8"/>
      <c r="BN185" s="8"/>
      <c r="BO185" s="8"/>
      <c r="BP185" s="8"/>
      <c r="BQ185" s="8"/>
      <c r="BR185" s="8"/>
      <c r="BS185" s="8"/>
      <c r="BT185" s="8"/>
      <c r="BU185" s="8"/>
      <c r="BV185" s="8"/>
      <c r="BW185" s="14"/>
    </row>
    <row r="186" spans="1:76" s="11" customFormat="1" ht="13.5" customHeight="1">
      <c r="A186" s="28"/>
      <c r="B186" s="31"/>
      <c r="C186" s="24"/>
      <c r="D186" s="24"/>
      <c r="E186" s="24"/>
      <c r="F186" s="24"/>
      <c r="G186" s="24"/>
      <c r="H186" s="23"/>
      <c r="I186" s="24"/>
      <c r="J186" s="24"/>
      <c r="K186" s="24"/>
      <c r="L186" s="24"/>
      <c r="M186" s="24"/>
      <c r="N186" s="24"/>
      <c r="O186" s="24"/>
      <c r="P186" s="31"/>
      <c r="Q186" s="24"/>
      <c r="R186" s="24"/>
      <c r="S186" s="24"/>
      <c r="T186" s="24"/>
      <c r="U186" s="24"/>
      <c r="V186" s="24"/>
      <c r="W186" s="31"/>
      <c r="X186" s="24"/>
      <c r="Y186" s="24"/>
      <c r="Z186" s="24"/>
      <c r="AA186" s="24"/>
      <c r="AB186" s="24"/>
      <c r="AC186" s="23"/>
      <c r="AD186" s="31"/>
      <c r="AE186" s="24"/>
      <c r="AF186" s="24"/>
      <c r="AG186" s="24"/>
      <c r="AH186" s="24"/>
      <c r="AI186" s="24"/>
      <c r="AJ186" s="23"/>
      <c r="AK186" s="24"/>
      <c r="AL186" s="24"/>
      <c r="AM186" s="11" t="s">
        <v>399</v>
      </c>
      <c r="AY186" s="24"/>
      <c r="AZ186" s="24"/>
      <c r="BA186" s="31"/>
      <c r="BB186" s="24"/>
      <c r="BC186" s="24"/>
      <c r="BD186" s="24"/>
      <c r="BE186" s="23"/>
      <c r="BF186" s="13"/>
      <c r="BH186" s="64"/>
      <c r="BI186" s="8"/>
      <c r="BJ186" s="8"/>
      <c r="BK186" s="8"/>
      <c r="BL186" s="27"/>
      <c r="BM186" s="8"/>
      <c r="BN186" s="8"/>
      <c r="BO186" s="8"/>
      <c r="BP186" s="8"/>
      <c r="BQ186" s="8"/>
      <c r="BR186" s="8"/>
      <c r="BS186" s="8"/>
      <c r="BT186" s="8"/>
      <c r="BU186" s="8"/>
      <c r="BV186" s="8"/>
      <c r="BW186" s="14"/>
    </row>
    <row r="187" spans="1:76" s="11" customFormat="1" ht="13.5" customHeight="1">
      <c r="A187" s="28"/>
      <c r="B187" s="31"/>
      <c r="C187" s="24"/>
      <c r="D187" s="24"/>
      <c r="E187" s="24"/>
      <c r="F187" s="24"/>
      <c r="G187" s="24"/>
      <c r="H187" s="23"/>
      <c r="I187" s="24"/>
      <c r="J187" s="24"/>
      <c r="K187" s="24"/>
      <c r="L187" s="24"/>
      <c r="M187" s="24"/>
      <c r="N187" s="24"/>
      <c r="O187" s="24"/>
      <c r="P187" s="31"/>
      <c r="Q187" s="24"/>
      <c r="R187" s="24"/>
      <c r="S187" s="24"/>
      <c r="T187" s="24"/>
      <c r="U187" s="24"/>
      <c r="V187" s="24"/>
      <c r="W187" s="31"/>
      <c r="X187" s="24"/>
      <c r="Y187" s="24"/>
      <c r="Z187" s="24"/>
      <c r="AA187" s="24"/>
      <c r="AB187" s="24"/>
      <c r="AC187" s="23"/>
      <c r="AD187" s="31"/>
      <c r="AE187" s="24"/>
      <c r="AF187" s="24"/>
      <c r="AG187" s="24"/>
      <c r="AH187" s="24"/>
      <c r="AI187" s="24"/>
      <c r="AJ187" s="23"/>
      <c r="AK187" s="24"/>
      <c r="AL187" s="24"/>
      <c r="AM187" s="72" t="s">
        <v>400</v>
      </c>
      <c r="AN187" s="73"/>
      <c r="AO187" s="73"/>
      <c r="AP187" s="73"/>
      <c r="AQ187" s="73"/>
      <c r="AR187" s="73"/>
      <c r="AS187" s="73"/>
      <c r="AT187" s="73"/>
      <c r="AU187" s="73"/>
      <c r="AV187" s="73"/>
      <c r="AW187" s="73"/>
      <c r="AX187" s="75"/>
      <c r="AY187" s="24"/>
      <c r="AZ187" s="24"/>
      <c r="BA187" s="31"/>
      <c r="BB187" s="24"/>
      <c r="BC187" s="24"/>
      <c r="BD187" s="24"/>
      <c r="BE187" s="23"/>
      <c r="BF187" s="13"/>
      <c r="BH187" s="62"/>
      <c r="BL187" s="194"/>
      <c r="BM187" s="195"/>
      <c r="BN187" s="195"/>
      <c r="BO187" s="195"/>
      <c r="BP187" s="195"/>
      <c r="BQ187" s="195"/>
      <c r="BR187" s="195"/>
      <c r="BS187" s="195"/>
      <c r="BT187" s="195"/>
      <c r="BU187" s="195"/>
      <c r="BV187" s="195"/>
      <c r="BW187" s="196"/>
      <c r="BX187" s="69"/>
    </row>
    <row r="188" spans="1:76" s="11" customFormat="1" ht="13.5" customHeight="1">
      <c r="A188" s="28"/>
      <c r="B188" s="31"/>
      <c r="C188" s="24"/>
      <c r="D188" s="24"/>
      <c r="E188" s="24"/>
      <c r="F188" s="24"/>
      <c r="G188" s="24"/>
      <c r="H188" s="23"/>
      <c r="I188" s="24"/>
      <c r="J188" s="24"/>
      <c r="K188" s="24"/>
      <c r="L188" s="24"/>
      <c r="M188" s="24"/>
      <c r="N188" s="24"/>
      <c r="O188" s="24"/>
      <c r="P188" s="31"/>
      <c r="Q188" s="24"/>
      <c r="R188" s="24"/>
      <c r="S188" s="24"/>
      <c r="T188" s="24"/>
      <c r="U188" s="24"/>
      <c r="V188" s="24"/>
      <c r="W188" s="31"/>
      <c r="X188" s="24"/>
      <c r="Y188" s="24"/>
      <c r="Z188" s="24"/>
      <c r="AA188" s="24"/>
      <c r="AB188" s="24"/>
      <c r="AC188" s="23"/>
      <c r="AD188" s="31"/>
      <c r="AE188" s="24"/>
      <c r="AF188" s="24"/>
      <c r="AG188" s="24"/>
      <c r="AH188" s="24"/>
      <c r="AI188" s="24"/>
      <c r="AJ188" s="23"/>
      <c r="AK188" s="24"/>
      <c r="AL188" s="24"/>
      <c r="AM188" s="51" t="s">
        <v>393</v>
      </c>
      <c r="AN188" s="52"/>
      <c r="AO188" s="52"/>
      <c r="AP188" s="52"/>
      <c r="AQ188" s="52"/>
      <c r="AR188" s="53"/>
      <c r="AS188" s="82" t="s">
        <v>394</v>
      </c>
      <c r="AT188" s="52"/>
      <c r="AU188" s="52"/>
      <c r="AV188" s="52"/>
      <c r="AW188" s="24"/>
      <c r="AX188" s="23"/>
      <c r="AY188" s="24"/>
      <c r="AZ188" s="24"/>
      <c r="BA188" s="31"/>
      <c r="BB188" s="24"/>
      <c r="BC188" s="24"/>
      <c r="BD188" s="24"/>
      <c r="BE188" s="23"/>
      <c r="BF188" s="13"/>
      <c r="BH188" s="62"/>
      <c r="BL188" s="194"/>
      <c r="BM188" s="195"/>
      <c r="BN188" s="195"/>
      <c r="BO188" s="195"/>
      <c r="BP188" s="195"/>
      <c r="BQ188" s="195"/>
      <c r="BR188" s="195"/>
      <c r="BS188" s="195"/>
      <c r="BT188" s="195"/>
      <c r="BU188" s="195"/>
      <c r="BV188" s="195"/>
      <c r="BW188" s="196"/>
    </row>
    <row r="189" spans="1:76" s="11" customFormat="1" ht="13.5" customHeight="1">
      <c r="A189" s="28"/>
      <c r="B189" s="31"/>
      <c r="C189" s="24"/>
      <c r="D189" s="24"/>
      <c r="E189" s="24"/>
      <c r="F189" s="24"/>
      <c r="G189" s="24"/>
      <c r="H189" s="23"/>
      <c r="I189" s="24"/>
      <c r="J189" s="24"/>
      <c r="K189" s="24"/>
      <c r="L189" s="24"/>
      <c r="M189" s="24"/>
      <c r="N189" s="24"/>
      <c r="O189" s="24"/>
      <c r="P189" s="31"/>
      <c r="Q189" s="24"/>
      <c r="R189" s="24"/>
      <c r="S189" s="24"/>
      <c r="T189" s="24"/>
      <c r="U189" s="24"/>
      <c r="V189" s="24"/>
      <c r="W189" s="31"/>
      <c r="X189" s="24"/>
      <c r="Y189" s="24"/>
      <c r="Z189" s="24"/>
      <c r="AA189" s="24"/>
      <c r="AB189" s="24"/>
      <c r="AC189" s="23"/>
      <c r="AD189" s="31"/>
      <c r="AE189" s="24"/>
      <c r="AF189" s="24"/>
      <c r="AG189" s="24"/>
      <c r="AH189" s="24"/>
      <c r="AI189" s="24"/>
      <c r="AJ189" s="23"/>
      <c r="AK189" s="24"/>
      <c r="AL189" s="24"/>
      <c r="AM189" s="27"/>
      <c r="AN189" s="130" t="s">
        <v>395</v>
      </c>
      <c r="AO189" s="8"/>
      <c r="AP189" s="8"/>
      <c r="AQ189" s="8"/>
      <c r="AR189" s="14"/>
      <c r="AS189" s="8"/>
      <c r="AT189" s="130" t="s">
        <v>401</v>
      </c>
      <c r="AU189" s="8"/>
      <c r="AV189" s="8"/>
      <c r="AW189" s="24"/>
      <c r="AX189" s="23"/>
      <c r="AY189" s="24"/>
      <c r="AZ189" s="24"/>
      <c r="BA189" s="31"/>
      <c r="BB189" s="24"/>
      <c r="BC189" s="24"/>
      <c r="BD189" s="24"/>
      <c r="BE189" s="23"/>
      <c r="BF189" s="13"/>
      <c r="BH189" s="62"/>
      <c r="BL189" s="194"/>
      <c r="BM189" s="195"/>
      <c r="BN189" s="195"/>
      <c r="BO189" s="195"/>
      <c r="BP189" s="195"/>
      <c r="BQ189" s="195"/>
      <c r="BR189" s="195"/>
      <c r="BS189" s="195"/>
      <c r="BT189" s="195"/>
      <c r="BU189" s="195"/>
      <c r="BV189" s="195"/>
      <c r="BW189" s="196"/>
    </row>
    <row r="190" spans="1:76" s="11" customFormat="1" ht="13.5" customHeight="1">
      <c r="A190" s="28"/>
      <c r="B190" s="31"/>
      <c r="C190" s="24"/>
      <c r="D190" s="24"/>
      <c r="E190" s="24"/>
      <c r="F190" s="24"/>
      <c r="G190" s="24"/>
      <c r="H190" s="23"/>
      <c r="I190" s="24"/>
      <c r="J190" s="24"/>
      <c r="K190" s="24"/>
      <c r="L190" s="24"/>
      <c r="M190" s="24"/>
      <c r="N190" s="24"/>
      <c r="O190" s="24"/>
      <c r="P190" s="31"/>
      <c r="Q190" s="24"/>
      <c r="R190" s="24"/>
      <c r="S190" s="24"/>
      <c r="T190" s="24"/>
      <c r="U190" s="24"/>
      <c r="V190" s="24"/>
      <c r="W190" s="31"/>
      <c r="X190" s="24"/>
      <c r="Y190" s="24"/>
      <c r="Z190" s="24"/>
      <c r="AA190" s="24"/>
      <c r="AB190" s="24"/>
      <c r="AC190" s="23"/>
      <c r="AD190" s="31"/>
      <c r="AE190" s="24"/>
      <c r="AF190" s="24"/>
      <c r="AG190" s="24"/>
      <c r="AH190" s="24"/>
      <c r="AI190" s="24"/>
      <c r="AJ190" s="23"/>
      <c r="AK190" s="24"/>
      <c r="AM190" s="27" t="s">
        <v>402</v>
      </c>
      <c r="AN190" s="8"/>
      <c r="AO190" s="8"/>
      <c r="AP190" s="8"/>
      <c r="AQ190" s="8"/>
      <c r="AR190" s="14"/>
      <c r="AS190" s="8"/>
      <c r="AT190" s="8"/>
      <c r="AU190" s="8"/>
      <c r="AV190" s="8"/>
      <c r="AW190" s="24"/>
      <c r="AX190" s="23"/>
      <c r="AY190" s="24"/>
      <c r="AZ190" s="24"/>
      <c r="BA190" s="31"/>
      <c r="BB190" s="24"/>
      <c r="BC190" s="24"/>
      <c r="BD190" s="24"/>
      <c r="BE190" s="23"/>
      <c r="BF190" s="13"/>
      <c r="BH190" s="62"/>
      <c r="BL190" s="194"/>
      <c r="BM190" s="195"/>
      <c r="BN190" s="195"/>
      <c r="BO190" s="195"/>
      <c r="BP190" s="195"/>
      <c r="BQ190" s="195"/>
      <c r="BR190" s="195"/>
      <c r="BS190" s="195"/>
      <c r="BT190" s="195"/>
      <c r="BU190" s="195"/>
      <c r="BV190" s="195"/>
      <c r="BW190" s="196"/>
    </row>
    <row r="191" spans="1:76" s="11" customFormat="1" ht="13.5" customHeight="1">
      <c r="A191" s="28"/>
      <c r="B191" s="31"/>
      <c r="C191" s="24"/>
      <c r="D191" s="24"/>
      <c r="E191" s="24"/>
      <c r="F191" s="24"/>
      <c r="G191" s="24"/>
      <c r="H191" s="23"/>
      <c r="I191" s="24"/>
      <c r="J191" s="24"/>
      <c r="K191" s="24"/>
      <c r="L191" s="24"/>
      <c r="M191" s="24"/>
      <c r="N191" s="24"/>
      <c r="O191" s="24"/>
      <c r="P191" s="31"/>
      <c r="Q191" s="24"/>
      <c r="R191" s="24"/>
      <c r="S191" s="24"/>
      <c r="T191" s="24"/>
      <c r="U191" s="24"/>
      <c r="V191" s="24"/>
      <c r="W191" s="31"/>
      <c r="X191" s="24"/>
      <c r="Y191" s="24"/>
      <c r="Z191" s="24"/>
      <c r="AA191" s="24"/>
      <c r="AB191" s="24"/>
      <c r="AC191" s="23"/>
      <c r="AD191" s="31"/>
      <c r="AE191" s="24"/>
      <c r="AF191" s="24"/>
      <c r="AG191" s="24"/>
      <c r="AH191" s="24"/>
      <c r="AI191" s="24"/>
      <c r="AJ191" s="23"/>
      <c r="AK191" s="24"/>
      <c r="AL191" s="25"/>
      <c r="AM191" s="134"/>
      <c r="AN191" s="132" t="s">
        <v>403</v>
      </c>
      <c r="AO191" s="131"/>
      <c r="AP191" s="131"/>
      <c r="AQ191" s="131"/>
      <c r="AR191" s="131"/>
      <c r="AS191" s="134"/>
      <c r="AT191" s="132"/>
      <c r="AU191" s="131"/>
      <c r="AV191" s="131"/>
      <c r="AW191" s="131"/>
      <c r="AX191" s="133"/>
      <c r="AY191" s="24"/>
      <c r="AZ191" s="24"/>
      <c r="BA191" s="31"/>
      <c r="BB191" s="24"/>
      <c r="BC191" s="24"/>
      <c r="BD191" s="24"/>
      <c r="BE191" s="23"/>
      <c r="BF191" s="13"/>
      <c r="BH191" s="64"/>
      <c r="BI191" s="8"/>
      <c r="BJ191" s="8"/>
      <c r="BK191" s="8"/>
      <c r="BL191" s="194"/>
      <c r="BM191" s="195"/>
      <c r="BN191" s="195"/>
      <c r="BO191" s="195"/>
      <c r="BP191" s="195"/>
      <c r="BQ191" s="195"/>
      <c r="BR191" s="195"/>
      <c r="BS191" s="195"/>
      <c r="BT191" s="195"/>
      <c r="BU191" s="195"/>
      <c r="BV191" s="195"/>
      <c r="BW191" s="196"/>
    </row>
    <row r="192" spans="1:76" s="11" customFormat="1" ht="13.5" customHeight="1">
      <c r="A192" s="28"/>
      <c r="B192" s="31"/>
      <c r="C192" s="24"/>
      <c r="D192" s="24"/>
      <c r="E192" s="24"/>
      <c r="F192" s="24"/>
      <c r="G192" s="24"/>
      <c r="H192" s="23"/>
      <c r="I192" s="24"/>
      <c r="J192" s="24"/>
      <c r="K192" s="24"/>
      <c r="L192" s="24"/>
      <c r="M192" s="24"/>
      <c r="N192" s="24"/>
      <c r="O192" s="24"/>
      <c r="P192" s="31"/>
      <c r="Q192" s="24"/>
      <c r="R192" s="24"/>
      <c r="S192" s="24"/>
      <c r="T192" s="24"/>
      <c r="U192" s="24"/>
      <c r="V192" s="24"/>
      <c r="W192" s="31"/>
      <c r="X192" s="24"/>
      <c r="Y192" s="24"/>
      <c r="Z192" s="24"/>
      <c r="AA192" s="24"/>
      <c r="AB192" s="24"/>
      <c r="AC192" s="23"/>
      <c r="AD192" s="31"/>
      <c r="AE192" s="24"/>
      <c r="AF192" s="24"/>
      <c r="AG192" s="24"/>
      <c r="AH192" s="24"/>
      <c r="AI192" s="24"/>
      <c r="AJ192" s="23"/>
      <c r="AK192" s="24"/>
      <c r="AL192" s="8"/>
      <c r="AM192" s="8"/>
      <c r="AN192" s="8"/>
      <c r="AO192" s="8"/>
      <c r="AP192" s="8"/>
      <c r="AQ192" s="24"/>
      <c r="AR192" s="24"/>
      <c r="AS192" s="24"/>
      <c r="AT192" s="24"/>
      <c r="AU192" s="24"/>
      <c r="AV192" s="24"/>
      <c r="AW192" s="24"/>
      <c r="AX192" s="24"/>
      <c r="AY192" s="24"/>
      <c r="AZ192" s="24"/>
      <c r="BA192" s="31"/>
      <c r="BB192" s="24"/>
      <c r="BC192" s="24"/>
      <c r="BD192" s="24"/>
      <c r="BE192" s="23"/>
      <c r="BF192" s="13"/>
      <c r="BH192" s="64"/>
      <c r="BI192" s="8"/>
      <c r="BJ192" s="8"/>
      <c r="BK192" s="8"/>
      <c r="BL192" s="194"/>
      <c r="BM192" s="195"/>
      <c r="BN192" s="195"/>
      <c r="BO192" s="195"/>
      <c r="BP192" s="195"/>
      <c r="BQ192" s="195"/>
      <c r="BR192" s="195"/>
      <c r="BS192" s="195"/>
      <c r="BT192" s="195"/>
      <c r="BU192" s="195"/>
      <c r="BV192" s="195"/>
      <c r="BW192" s="196"/>
    </row>
    <row r="193" spans="1:75" s="11" customFormat="1" ht="13.5" customHeight="1">
      <c r="A193" s="28"/>
      <c r="B193" s="31"/>
      <c r="C193" s="24"/>
      <c r="D193" s="24"/>
      <c r="E193" s="24"/>
      <c r="F193" s="24"/>
      <c r="G193" s="24"/>
      <c r="H193" s="23"/>
      <c r="I193" s="24"/>
      <c r="J193" s="24"/>
      <c r="K193" s="24"/>
      <c r="L193" s="24"/>
      <c r="M193" s="24"/>
      <c r="N193" s="24"/>
      <c r="O193" s="24"/>
      <c r="P193" s="31"/>
      <c r="Q193" s="24"/>
      <c r="R193" s="24"/>
      <c r="S193" s="24"/>
      <c r="T193" s="24"/>
      <c r="U193" s="24"/>
      <c r="V193" s="24"/>
      <c r="W193" s="31"/>
      <c r="X193" s="24"/>
      <c r="Y193" s="24"/>
      <c r="Z193" s="24"/>
      <c r="AA193" s="24"/>
      <c r="AB193" s="24"/>
      <c r="AC193" s="23"/>
      <c r="AD193" s="31"/>
      <c r="AE193" s="24"/>
      <c r="AF193" s="24"/>
      <c r="AG193" s="24"/>
      <c r="AH193" s="24"/>
      <c r="AI193" s="24"/>
      <c r="AJ193" s="23"/>
      <c r="AK193" s="24"/>
      <c r="AL193" s="8"/>
      <c r="AM193" s="8" t="s">
        <v>138</v>
      </c>
      <c r="AN193" s="8" t="s">
        <v>404</v>
      </c>
      <c r="AO193" s="8"/>
      <c r="AP193" s="8"/>
      <c r="AQ193" s="24"/>
      <c r="AR193" s="24"/>
      <c r="AS193" s="24"/>
      <c r="AT193" s="24"/>
      <c r="AU193" s="24"/>
      <c r="AV193" s="24"/>
      <c r="AW193" s="24"/>
      <c r="AX193" s="24"/>
      <c r="AY193" s="24"/>
      <c r="AZ193" s="24"/>
      <c r="BA193" s="31"/>
      <c r="BB193" s="24"/>
      <c r="BC193" s="24"/>
      <c r="BD193" s="24"/>
      <c r="BE193" s="23"/>
      <c r="BF193" s="13"/>
      <c r="BH193" s="64"/>
      <c r="BI193" s="8"/>
      <c r="BJ193" s="8"/>
      <c r="BK193" s="8"/>
      <c r="BL193" s="194"/>
      <c r="BM193" s="195"/>
      <c r="BN193" s="195"/>
      <c r="BO193" s="195"/>
      <c r="BP193" s="195"/>
      <c r="BQ193" s="195"/>
      <c r="BR193" s="195"/>
      <c r="BS193" s="195"/>
      <c r="BT193" s="195"/>
      <c r="BU193" s="195"/>
      <c r="BV193" s="195"/>
      <c r="BW193" s="196"/>
    </row>
    <row r="194" spans="1:75" s="11" customFormat="1" ht="13.5" customHeight="1">
      <c r="A194" s="28"/>
      <c r="B194" s="31"/>
      <c r="C194" s="24"/>
      <c r="D194" s="24"/>
      <c r="E194" s="24"/>
      <c r="F194" s="24"/>
      <c r="G194" s="24"/>
      <c r="H194" s="23"/>
      <c r="I194" s="24"/>
      <c r="J194" s="24"/>
      <c r="K194" s="24"/>
      <c r="L194" s="24"/>
      <c r="M194" s="24"/>
      <c r="N194" s="24"/>
      <c r="O194" s="24"/>
      <c r="P194" s="31"/>
      <c r="Q194" s="24"/>
      <c r="R194" s="24"/>
      <c r="S194" s="24"/>
      <c r="T194" s="24"/>
      <c r="U194" s="24"/>
      <c r="V194" s="24"/>
      <c r="W194" s="31"/>
      <c r="X194" s="24"/>
      <c r="Y194" s="24"/>
      <c r="Z194" s="24"/>
      <c r="AA194" s="24"/>
      <c r="AB194" s="24"/>
      <c r="AC194" s="23"/>
      <c r="AD194" s="31"/>
      <c r="AE194" s="24"/>
      <c r="AF194" s="24"/>
      <c r="AG194" s="24"/>
      <c r="AH194" s="24"/>
      <c r="AI194" s="24"/>
      <c r="AJ194" s="23"/>
      <c r="AK194" s="24"/>
      <c r="AL194" s="8"/>
      <c r="AM194" s="8"/>
      <c r="AN194" s="8" t="s">
        <v>405</v>
      </c>
      <c r="AO194" s="8"/>
      <c r="AP194" s="8" t="s">
        <v>73</v>
      </c>
      <c r="AQ194" s="91" t="s">
        <v>406</v>
      </c>
      <c r="AR194" s="24"/>
      <c r="AS194" s="24"/>
      <c r="AT194" s="24"/>
      <c r="AU194" s="24"/>
      <c r="AV194" s="24"/>
      <c r="AW194" s="24"/>
      <c r="AX194" s="24"/>
      <c r="AY194" s="24"/>
      <c r="AZ194" s="24"/>
      <c r="BA194" s="31"/>
      <c r="BB194" s="24"/>
      <c r="BC194" s="24"/>
      <c r="BD194" s="24"/>
      <c r="BE194" s="23"/>
      <c r="BF194" s="13"/>
      <c r="BH194" s="64"/>
      <c r="BI194" s="8"/>
      <c r="BJ194" s="8"/>
      <c r="BK194" s="8"/>
      <c r="BL194" s="194"/>
      <c r="BM194" s="195"/>
      <c r="BN194" s="195"/>
      <c r="BO194" s="195"/>
      <c r="BP194" s="195"/>
      <c r="BQ194" s="195"/>
      <c r="BR194" s="195"/>
      <c r="BS194" s="195"/>
      <c r="BT194" s="195"/>
      <c r="BU194" s="195"/>
      <c r="BV194" s="195"/>
      <c r="BW194" s="196"/>
    </row>
    <row r="195" spans="1:75" s="11" customFormat="1" ht="13.5" customHeight="1">
      <c r="A195" s="28"/>
      <c r="B195" s="31"/>
      <c r="C195" s="24"/>
      <c r="D195" s="24"/>
      <c r="E195" s="24"/>
      <c r="F195" s="24"/>
      <c r="G195" s="24"/>
      <c r="H195" s="23"/>
      <c r="I195" s="24"/>
      <c r="J195" s="24"/>
      <c r="K195" s="24"/>
      <c r="L195" s="24"/>
      <c r="M195" s="24"/>
      <c r="N195" s="24"/>
      <c r="O195" s="24"/>
      <c r="P195" s="31"/>
      <c r="Q195" s="24"/>
      <c r="R195" s="24"/>
      <c r="S195" s="24"/>
      <c r="T195" s="24"/>
      <c r="U195" s="24"/>
      <c r="V195" s="24"/>
      <c r="W195" s="31"/>
      <c r="X195" s="24"/>
      <c r="Y195" s="24"/>
      <c r="Z195" s="24"/>
      <c r="AA195" s="24"/>
      <c r="AB195" s="24"/>
      <c r="AC195" s="23"/>
      <c r="AD195" s="31"/>
      <c r="AE195" s="24"/>
      <c r="AF195" s="24"/>
      <c r="AG195" s="24"/>
      <c r="AH195" s="24"/>
      <c r="AI195" s="24"/>
      <c r="AJ195" s="23"/>
      <c r="AK195" s="24"/>
      <c r="AL195" s="8"/>
      <c r="AM195" s="8"/>
      <c r="AN195" s="8" t="s">
        <v>407</v>
      </c>
      <c r="AO195" s="8"/>
      <c r="AP195" s="8" t="s">
        <v>73</v>
      </c>
      <c r="AQ195" s="91" t="s">
        <v>408</v>
      </c>
      <c r="AR195" s="24"/>
      <c r="AS195" s="24"/>
      <c r="AT195" s="24"/>
      <c r="AU195" s="24"/>
      <c r="AV195" s="24"/>
      <c r="AW195" s="24"/>
      <c r="AX195" s="24"/>
      <c r="AY195" s="24"/>
      <c r="AZ195" s="24"/>
      <c r="BA195" s="31"/>
      <c r="BB195" s="24"/>
      <c r="BC195" s="24"/>
      <c r="BD195" s="24"/>
      <c r="BE195" s="23"/>
      <c r="BF195" s="13"/>
      <c r="BH195" s="64"/>
      <c r="BI195" s="8"/>
      <c r="BJ195" s="8"/>
      <c r="BK195" s="8"/>
      <c r="BL195" s="194"/>
      <c r="BM195" s="195"/>
      <c r="BN195" s="195"/>
      <c r="BO195" s="195"/>
      <c r="BP195" s="195"/>
      <c r="BQ195" s="195"/>
      <c r="BR195" s="195"/>
      <c r="BS195" s="195"/>
      <c r="BT195" s="195"/>
      <c r="BU195" s="195"/>
      <c r="BV195" s="195"/>
      <c r="BW195" s="196"/>
    </row>
    <row r="196" spans="1:75" s="11" customFormat="1" ht="13.5" customHeight="1">
      <c r="A196" s="28"/>
      <c r="B196" s="31"/>
      <c r="C196" s="24"/>
      <c r="D196" s="24"/>
      <c r="E196" s="24"/>
      <c r="F196" s="24"/>
      <c r="G196" s="24"/>
      <c r="H196" s="23"/>
      <c r="I196" s="24"/>
      <c r="J196" s="24"/>
      <c r="K196" s="24"/>
      <c r="L196" s="24"/>
      <c r="M196" s="24"/>
      <c r="N196" s="24"/>
      <c r="O196" s="24"/>
      <c r="P196" s="31"/>
      <c r="Q196" s="24"/>
      <c r="R196" s="24"/>
      <c r="S196" s="24"/>
      <c r="T196" s="24"/>
      <c r="U196" s="24"/>
      <c r="V196" s="24"/>
      <c r="W196" s="31"/>
      <c r="X196" s="24"/>
      <c r="Y196" s="24"/>
      <c r="Z196" s="24"/>
      <c r="AA196" s="24"/>
      <c r="AB196" s="24"/>
      <c r="AC196" s="23"/>
      <c r="AD196" s="31"/>
      <c r="AE196" s="24"/>
      <c r="AF196" s="24"/>
      <c r="AG196" s="24"/>
      <c r="AH196" s="24"/>
      <c r="AI196" s="24"/>
      <c r="AJ196" s="23"/>
      <c r="AK196" s="24"/>
      <c r="AL196" s="8"/>
      <c r="AM196" s="8"/>
      <c r="AN196" s="8" t="s">
        <v>409</v>
      </c>
      <c r="AO196" s="8"/>
      <c r="AP196" s="8" t="s">
        <v>73</v>
      </c>
      <c r="AQ196" s="91" t="s">
        <v>410</v>
      </c>
      <c r="AR196" s="24"/>
      <c r="AS196" s="24"/>
      <c r="AT196" s="24"/>
      <c r="AU196" s="24"/>
      <c r="AV196" s="24"/>
      <c r="AW196" s="24"/>
      <c r="AX196" s="24"/>
      <c r="AY196" s="24"/>
      <c r="AZ196" s="24"/>
      <c r="BA196" s="31"/>
      <c r="BB196" s="24"/>
      <c r="BC196" s="24"/>
      <c r="BD196" s="24"/>
      <c r="BE196" s="23"/>
      <c r="BF196" s="13"/>
      <c r="BH196" s="64"/>
      <c r="BI196" s="8"/>
      <c r="BJ196" s="8"/>
      <c r="BK196" s="8"/>
      <c r="BL196" s="129"/>
      <c r="BM196" s="101"/>
      <c r="BN196" s="101"/>
      <c r="BO196" s="101"/>
      <c r="BP196" s="101"/>
      <c r="BQ196" s="101"/>
      <c r="BR196" s="101"/>
      <c r="BS196" s="101"/>
      <c r="BT196" s="101"/>
      <c r="BU196" s="101"/>
      <c r="BV196" s="101"/>
      <c r="BW196" s="128"/>
    </row>
    <row r="197" spans="1:75" s="11" customFormat="1" ht="13.5" customHeight="1">
      <c r="A197" s="28"/>
      <c r="B197" s="31"/>
      <c r="C197" s="24"/>
      <c r="D197" s="24"/>
      <c r="E197" s="24"/>
      <c r="F197" s="24"/>
      <c r="G197" s="24"/>
      <c r="H197" s="23"/>
      <c r="I197" s="24"/>
      <c r="J197" s="24"/>
      <c r="K197" s="24"/>
      <c r="L197" s="24"/>
      <c r="M197" s="24"/>
      <c r="N197" s="24"/>
      <c r="O197" s="24"/>
      <c r="P197" s="31"/>
      <c r="Q197" s="24"/>
      <c r="R197" s="24"/>
      <c r="S197" s="24"/>
      <c r="T197" s="24"/>
      <c r="U197" s="24"/>
      <c r="V197" s="24"/>
      <c r="W197" s="31"/>
      <c r="X197" s="24"/>
      <c r="Y197" s="24"/>
      <c r="Z197" s="24"/>
      <c r="AA197" s="24"/>
      <c r="AB197" s="24"/>
      <c r="AC197" s="23"/>
      <c r="AD197" s="31"/>
      <c r="AE197" s="24"/>
      <c r="AF197" s="24"/>
      <c r="AG197" s="24"/>
      <c r="AH197" s="24"/>
      <c r="AI197" s="24"/>
      <c r="AJ197" s="23"/>
      <c r="AK197" s="24"/>
      <c r="AL197" s="8"/>
      <c r="AM197" s="8"/>
      <c r="AN197" s="8"/>
      <c r="AO197" s="8"/>
      <c r="AP197" s="8"/>
      <c r="AQ197" s="8"/>
      <c r="AR197" s="8"/>
      <c r="AS197" s="8"/>
      <c r="AT197" s="24"/>
      <c r="AU197" s="24"/>
      <c r="AV197" s="24"/>
      <c r="AW197" s="24"/>
      <c r="AX197" s="24"/>
      <c r="AY197" s="24"/>
      <c r="AZ197" s="24"/>
      <c r="BA197" s="31"/>
      <c r="BB197" s="24"/>
      <c r="BC197" s="24"/>
      <c r="BD197" s="24"/>
      <c r="BE197" s="23"/>
      <c r="BF197" s="13"/>
      <c r="BH197" s="64"/>
      <c r="BI197" s="8"/>
      <c r="BJ197" s="8"/>
      <c r="BK197" s="8"/>
      <c r="BL197" s="129"/>
      <c r="BM197" s="101"/>
      <c r="BN197" s="101"/>
      <c r="BO197" s="101"/>
      <c r="BP197" s="101"/>
      <c r="BQ197" s="101"/>
      <c r="BR197" s="101"/>
      <c r="BS197" s="101"/>
      <c r="BT197" s="101"/>
      <c r="BU197" s="101"/>
      <c r="BV197" s="101"/>
      <c r="BW197" s="128"/>
    </row>
    <row r="198" spans="1:75" s="11" customFormat="1" ht="13.5" customHeight="1">
      <c r="A198" s="28"/>
      <c r="B198" s="31"/>
      <c r="C198" s="24"/>
      <c r="D198" s="24"/>
      <c r="E198" s="24"/>
      <c r="F198" s="24"/>
      <c r="G198" s="24"/>
      <c r="H198" s="23"/>
      <c r="I198" s="24"/>
      <c r="J198" s="24"/>
      <c r="K198" s="24"/>
      <c r="L198" s="24"/>
      <c r="M198" s="24"/>
      <c r="N198" s="24"/>
      <c r="O198" s="24"/>
      <c r="P198" s="31"/>
      <c r="Q198" s="24"/>
      <c r="R198" s="24"/>
      <c r="S198" s="24"/>
      <c r="T198" s="24"/>
      <c r="U198" s="24"/>
      <c r="V198" s="24"/>
      <c r="W198" s="31"/>
      <c r="X198" s="24"/>
      <c r="Y198" s="24"/>
      <c r="Z198" s="24"/>
      <c r="AA198" s="24"/>
      <c r="AB198" s="24"/>
      <c r="AC198" s="23"/>
      <c r="AD198" s="31"/>
      <c r="AE198" s="24"/>
      <c r="AF198" s="24"/>
      <c r="AG198" s="24"/>
      <c r="AH198" s="24"/>
      <c r="AI198" s="24"/>
      <c r="AJ198" s="23"/>
      <c r="AK198" s="24"/>
      <c r="AL198" s="8"/>
      <c r="AM198" s="8"/>
      <c r="AN198" s="8"/>
      <c r="AO198" s="8"/>
      <c r="AP198" s="8"/>
      <c r="AQ198" s="8"/>
      <c r="AR198" s="8"/>
      <c r="AS198" s="8"/>
      <c r="AT198" s="24"/>
      <c r="AU198" s="24"/>
      <c r="AV198" s="24"/>
      <c r="AW198" s="24"/>
      <c r="AX198" s="24"/>
      <c r="AY198" s="24"/>
      <c r="AZ198" s="24"/>
      <c r="BA198" s="31"/>
      <c r="BB198" s="24"/>
      <c r="BC198" s="24"/>
      <c r="BD198" s="24"/>
      <c r="BE198" s="23"/>
      <c r="BF198" s="13"/>
      <c r="BH198" s="64"/>
      <c r="BI198" s="8"/>
      <c r="BJ198" s="8"/>
      <c r="BK198" s="8"/>
      <c r="BL198" s="129"/>
      <c r="BM198" s="101"/>
      <c r="BN198" s="101"/>
      <c r="BO198" s="101"/>
      <c r="BP198" s="101"/>
      <c r="BQ198" s="101"/>
      <c r="BR198" s="101"/>
      <c r="BS198" s="101"/>
      <c r="BT198" s="101"/>
      <c r="BU198" s="101"/>
      <c r="BV198" s="101"/>
      <c r="BW198" s="128"/>
    </row>
    <row r="199" spans="1:75" s="11" customFormat="1" ht="13.5" customHeight="1">
      <c r="A199" s="28"/>
      <c r="B199" s="31"/>
      <c r="C199" s="24"/>
      <c r="D199" s="24"/>
      <c r="E199" s="24"/>
      <c r="F199" s="24"/>
      <c r="G199" s="24"/>
      <c r="H199" s="23"/>
      <c r="I199" s="24"/>
      <c r="J199" s="24"/>
      <c r="K199" s="24"/>
      <c r="L199" s="24"/>
      <c r="M199" s="24"/>
      <c r="N199" s="24"/>
      <c r="O199" s="24"/>
      <c r="P199" s="31"/>
      <c r="Q199" s="24"/>
      <c r="R199" s="24"/>
      <c r="S199" s="24"/>
      <c r="T199" s="24"/>
      <c r="U199" s="24"/>
      <c r="V199" s="24"/>
      <c r="W199" s="31"/>
      <c r="X199" s="24"/>
      <c r="Y199" s="24"/>
      <c r="Z199" s="24"/>
      <c r="AA199" s="24"/>
      <c r="AB199" s="24"/>
      <c r="AC199" s="23"/>
      <c r="AD199" s="31"/>
      <c r="AE199" s="24"/>
      <c r="AF199" s="24"/>
      <c r="AG199" s="24"/>
      <c r="AH199" s="24"/>
      <c r="AI199" s="24"/>
      <c r="AJ199" s="23"/>
      <c r="AK199" s="24"/>
      <c r="AL199" s="8"/>
      <c r="AM199" s="8"/>
      <c r="AN199" s="8"/>
      <c r="AO199" s="8"/>
      <c r="AP199" s="8"/>
      <c r="AQ199" s="8"/>
      <c r="AR199" s="8"/>
      <c r="AS199" s="8"/>
      <c r="AT199" s="24"/>
      <c r="AU199" s="24"/>
      <c r="AV199" s="24"/>
      <c r="AW199" s="24"/>
      <c r="AX199" s="24"/>
      <c r="AY199" s="24"/>
      <c r="AZ199" s="24"/>
      <c r="BA199" s="31"/>
      <c r="BB199" s="24"/>
      <c r="BC199" s="24"/>
      <c r="BD199" s="24"/>
      <c r="BE199" s="23"/>
      <c r="BF199" s="13"/>
      <c r="BH199" s="64"/>
      <c r="BI199" s="8"/>
      <c r="BJ199" s="8"/>
      <c r="BK199" s="8"/>
      <c r="BL199" s="129"/>
      <c r="BM199" s="101"/>
      <c r="BN199" s="101"/>
      <c r="BO199" s="101"/>
      <c r="BP199" s="101"/>
      <c r="BQ199" s="101"/>
      <c r="BR199" s="101"/>
      <c r="BS199" s="101"/>
      <c r="BT199" s="101"/>
      <c r="BU199" s="101"/>
      <c r="BV199" s="101"/>
      <c r="BW199" s="128"/>
    </row>
    <row r="200" spans="1:75" s="11" customFormat="1" ht="13.5" customHeight="1">
      <c r="A200" s="28"/>
      <c r="B200" s="31"/>
      <c r="C200" s="24"/>
      <c r="D200" s="24"/>
      <c r="E200" s="24"/>
      <c r="F200" s="24"/>
      <c r="G200" s="24"/>
      <c r="H200" s="23"/>
      <c r="I200" s="24"/>
      <c r="J200" s="24"/>
      <c r="K200" s="24"/>
      <c r="L200" s="24"/>
      <c r="M200" s="24"/>
      <c r="N200" s="24"/>
      <c r="O200" s="24"/>
      <c r="P200" s="31"/>
      <c r="Q200" s="24"/>
      <c r="R200" s="24"/>
      <c r="S200" s="24"/>
      <c r="T200" s="24"/>
      <c r="U200" s="24"/>
      <c r="V200" s="24"/>
      <c r="W200" s="31"/>
      <c r="X200" s="24"/>
      <c r="Y200" s="24"/>
      <c r="Z200" s="24"/>
      <c r="AA200" s="24"/>
      <c r="AB200" s="24"/>
      <c r="AC200" s="23"/>
      <c r="AD200" s="31"/>
      <c r="AE200" s="24"/>
      <c r="AF200" s="24"/>
      <c r="AG200" s="24"/>
      <c r="AH200" s="24"/>
      <c r="AI200" s="24"/>
      <c r="AJ200" s="23"/>
      <c r="AK200" s="24"/>
      <c r="AL200" s="16"/>
      <c r="AM200" s="8"/>
      <c r="AN200" s="8"/>
      <c r="AO200" s="8"/>
      <c r="AP200" s="8"/>
      <c r="AQ200" s="24"/>
      <c r="AR200" s="24"/>
      <c r="AS200" s="24"/>
      <c r="AT200" s="24"/>
      <c r="AU200" s="24"/>
      <c r="AV200" s="24"/>
      <c r="AW200" s="24"/>
      <c r="AX200" s="24"/>
      <c r="AY200" s="24"/>
      <c r="AZ200" s="24"/>
      <c r="BA200" s="31"/>
      <c r="BB200" s="24"/>
      <c r="BC200" s="24"/>
      <c r="BD200" s="24"/>
      <c r="BE200" s="23"/>
      <c r="BF200" s="13"/>
      <c r="BH200" s="64"/>
      <c r="BI200" s="8"/>
      <c r="BJ200" s="8"/>
      <c r="BK200" s="8"/>
      <c r="BL200" s="27"/>
      <c r="BM200" s="8"/>
      <c r="BN200" s="8"/>
      <c r="BO200" s="8"/>
      <c r="BP200" s="8"/>
      <c r="BQ200" s="8"/>
      <c r="BR200" s="8"/>
      <c r="BS200" s="8"/>
      <c r="BT200" s="8"/>
      <c r="BU200" s="8"/>
      <c r="BV200" s="8"/>
      <c r="BW200" s="14"/>
    </row>
    <row r="201" spans="1:75" s="11" customFormat="1" ht="13.5" customHeight="1">
      <c r="A201" s="28"/>
      <c r="B201" s="134"/>
      <c r="C201" s="131"/>
      <c r="D201" s="131"/>
      <c r="E201" s="131"/>
      <c r="F201" s="131"/>
      <c r="G201" s="131"/>
      <c r="H201" s="133"/>
      <c r="I201" s="131"/>
      <c r="J201" s="131"/>
      <c r="K201" s="131"/>
      <c r="L201" s="131"/>
      <c r="M201" s="131"/>
      <c r="N201" s="131"/>
      <c r="O201" s="131"/>
      <c r="P201" s="134"/>
      <c r="Q201" s="131"/>
      <c r="R201" s="131"/>
      <c r="S201" s="131"/>
      <c r="T201" s="131"/>
      <c r="U201" s="131"/>
      <c r="V201" s="131"/>
      <c r="W201" s="134"/>
      <c r="X201" s="131"/>
      <c r="Y201" s="131"/>
      <c r="Z201" s="131"/>
      <c r="AA201" s="131"/>
      <c r="AB201" s="131"/>
      <c r="AC201" s="133"/>
      <c r="AD201" s="134"/>
      <c r="AE201" s="131"/>
      <c r="AF201" s="131"/>
      <c r="AG201" s="131"/>
      <c r="AH201" s="131"/>
      <c r="AI201" s="131"/>
      <c r="AJ201" s="133"/>
      <c r="AK201" s="131"/>
      <c r="AL201" s="10"/>
      <c r="AM201" s="10"/>
      <c r="AN201" s="131"/>
      <c r="AO201" s="131"/>
      <c r="AP201" s="131"/>
      <c r="AQ201" s="131"/>
      <c r="AR201" s="131"/>
      <c r="AS201" s="131"/>
      <c r="AT201" s="131"/>
      <c r="AU201" s="131"/>
      <c r="AV201" s="131"/>
      <c r="AW201" s="131"/>
      <c r="AX201" s="131"/>
      <c r="AY201" s="131"/>
      <c r="AZ201" s="131"/>
      <c r="BA201" s="134"/>
      <c r="BB201" s="131"/>
      <c r="BC201" s="131"/>
      <c r="BD201" s="131"/>
      <c r="BE201" s="133"/>
      <c r="BF201" s="13"/>
      <c r="BH201" s="135"/>
      <c r="BI201" s="10"/>
      <c r="BJ201" s="10"/>
      <c r="BK201" s="10"/>
      <c r="BL201" s="55"/>
      <c r="BM201" s="10"/>
      <c r="BN201" s="10"/>
      <c r="BO201" s="10"/>
      <c r="BP201" s="10"/>
      <c r="BQ201" s="10"/>
      <c r="BR201" s="10"/>
      <c r="BS201" s="10"/>
      <c r="BT201" s="10"/>
      <c r="BU201" s="10"/>
      <c r="BV201" s="10"/>
      <c r="BW201" s="15"/>
    </row>
    <row r="202" spans="1:75">
      <c r="A202" s="27"/>
      <c r="BF202" s="14"/>
    </row>
    <row r="203" spans="1:75">
      <c r="A203" s="5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5"/>
    </row>
  </sheetData>
  <mergeCells count="36">
    <mergeCell ref="BL187:BW195"/>
    <mergeCell ref="B8:O8"/>
    <mergeCell ref="B9:H9"/>
    <mergeCell ref="I9:O9"/>
    <mergeCell ref="BA8:BE9"/>
    <mergeCell ref="W8:AJ8"/>
    <mergeCell ref="AK8:AZ9"/>
    <mergeCell ref="W9:AC9"/>
    <mergeCell ref="AD9:AJ9"/>
    <mergeCell ref="BL156:BW167"/>
    <mergeCell ref="BH163:BK167"/>
    <mergeCell ref="BH168:BK171"/>
    <mergeCell ref="P8:V9"/>
    <mergeCell ref="BL60:BW154"/>
    <mergeCell ref="BL10:BW21"/>
    <mergeCell ref="BH17:BK22"/>
    <mergeCell ref="BL22:BW30"/>
    <mergeCell ref="BH31:BK35"/>
    <mergeCell ref="BL31:BW37"/>
    <mergeCell ref="BL38:BW58"/>
    <mergeCell ref="BH8:BK9"/>
    <mergeCell ref="BL8:BW9"/>
    <mergeCell ref="A1:E1"/>
    <mergeCell ref="F1:U1"/>
    <mergeCell ref="V1:AI1"/>
    <mergeCell ref="AJ1:AP1"/>
    <mergeCell ref="AQ1:AV1"/>
    <mergeCell ref="AQ2:AV2"/>
    <mergeCell ref="AJ3:AK3"/>
    <mergeCell ref="AL3:AP3"/>
    <mergeCell ref="AQ3:AV3"/>
    <mergeCell ref="A2:E3"/>
    <mergeCell ref="F2:U3"/>
    <mergeCell ref="V2:AI3"/>
    <mergeCell ref="AJ2:AK2"/>
    <mergeCell ref="AL2:AP2"/>
  </mergeCells>
  <phoneticPr fontId="2"/>
  <pageMargins left="0.7" right="0.7" top="0.75" bottom="0.75" header="0.3" footer="0.3"/>
  <pageSetup paperSize="9" scale="69" fitToHeight="0" orientation="portrait"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C2CB-AB3A-4ACA-8D3D-42E001D306FB}">
  <sheetPr codeName="Sheet14"/>
  <dimension ref="A1:BQ213"/>
  <sheetViews>
    <sheetView showGridLines="0" zoomScaleNormal="100" zoomScalePageLayoutView="93" workbookViewId="0">
      <pane ySplit="9" topLeftCell="A94" activePane="bottomLeft" state="frozen"/>
      <selection pane="bottomLeft" sqref="A1:E1"/>
      <selection activeCell="AE19" sqref="AE19:AS26"/>
    </sheetView>
  </sheetViews>
  <sheetFormatPr defaultColWidth="2.375" defaultRowHeight="13.5"/>
  <cols>
    <col min="1" max="35" width="2.375" style="8"/>
    <col min="36" max="36" width="2.375" style="8" customWidth="1"/>
    <col min="37" max="53" width="2.375" style="8"/>
    <col min="54" max="54" width="7.25" style="8" bestFit="1" customWidth="1"/>
    <col min="55" max="57" width="2.375" style="8"/>
    <col min="58" max="58" width="23.125" style="8" bestFit="1" customWidth="1"/>
    <col min="59" max="16384" width="2.375" style="8"/>
  </cols>
  <sheetData>
    <row r="1" spans="1:69"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69">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69"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4" spans="1:69">
      <c r="A4" s="27"/>
      <c r="AH4" s="9"/>
    </row>
    <row r="5" spans="1:69">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69"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41"/>
    </row>
    <row r="7" spans="1:69" s="11" customFormat="1">
      <c r="A7" s="28"/>
      <c r="AY7" s="13"/>
    </row>
    <row r="8" spans="1:69" s="11" customFormat="1" ht="15.75" customHeight="1">
      <c r="A8" s="28"/>
      <c r="B8" s="197" t="s">
        <v>172</v>
      </c>
      <c r="C8" s="198"/>
      <c r="D8" s="198"/>
      <c r="E8" s="198"/>
      <c r="F8" s="198"/>
      <c r="G8" s="198"/>
      <c r="H8" s="198"/>
      <c r="I8" s="198"/>
      <c r="J8" s="198"/>
      <c r="K8" s="198"/>
      <c r="L8" s="198"/>
      <c r="M8" s="198"/>
      <c r="N8" s="198"/>
      <c r="O8" s="199"/>
      <c r="P8" s="202" t="s">
        <v>83</v>
      </c>
      <c r="Q8" s="203"/>
      <c r="R8" s="203"/>
      <c r="S8" s="203"/>
      <c r="T8" s="203"/>
      <c r="U8" s="203"/>
      <c r="V8" s="203"/>
      <c r="W8" s="203"/>
      <c r="X8" s="203"/>
      <c r="Y8" s="203"/>
      <c r="Z8" s="203"/>
      <c r="AA8" s="203"/>
      <c r="AB8" s="203"/>
      <c r="AC8" s="204"/>
      <c r="AD8" s="343" t="s">
        <v>101</v>
      </c>
      <c r="AE8" s="344"/>
      <c r="AF8" s="344"/>
      <c r="AG8" s="344"/>
      <c r="AH8" s="344"/>
      <c r="AI8" s="344"/>
      <c r="AJ8" s="344"/>
      <c r="AK8" s="344"/>
      <c r="AL8" s="344"/>
      <c r="AM8" s="344"/>
      <c r="AN8" s="344"/>
      <c r="AO8" s="344"/>
      <c r="AP8" s="344"/>
      <c r="AQ8" s="344"/>
      <c r="AR8" s="344"/>
      <c r="AS8" s="345"/>
      <c r="AT8" s="361" t="s">
        <v>103</v>
      </c>
      <c r="AU8" s="362"/>
      <c r="AV8" s="362"/>
      <c r="AW8" s="362"/>
      <c r="AX8" s="363"/>
      <c r="AY8" s="13"/>
      <c r="BA8" s="355" t="s">
        <v>113</v>
      </c>
      <c r="BB8" s="356"/>
      <c r="BC8" s="356"/>
      <c r="BD8" s="357"/>
      <c r="BE8" s="349" t="s">
        <v>114</v>
      </c>
      <c r="BF8" s="350"/>
      <c r="BG8" s="350"/>
      <c r="BH8" s="350"/>
      <c r="BI8" s="350"/>
      <c r="BJ8" s="350"/>
      <c r="BK8" s="350"/>
      <c r="BL8" s="350"/>
      <c r="BM8" s="350"/>
      <c r="BN8" s="350"/>
      <c r="BO8" s="350"/>
      <c r="BP8" s="351"/>
    </row>
    <row r="9" spans="1:69" s="11" customFormat="1" ht="13.5" customHeight="1">
      <c r="A9" s="28"/>
      <c r="B9" s="197" t="s">
        <v>89</v>
      </c>
      <c r="C9" s="198"/>
      <c r="D9" s="198"/>
      <c r="E9" s="198"/>
      <c r="F9" s="198"/>
      <c r="G9" s="198"/>
      <c r="H9" s="199"/>
      <c r="I9" s="197" t="s">
        <v>90</v>
      </c>
      <c r="J9" s="198"/>
      <c r="K9" s="198"/>
      <c r="L9" s="198"/>
      <c r="M9" s="198"/>
      <c r="N9" s="198"/>
      <c r="O9" s="199"/>
      <c r="P9" s="202" t="s">
        <v>98</v>
      </c>
      <c r="Q9" s="203"/>
      <c r="R9" s="203"/>
      <c r="S9" s="203"/>
      <c r="T9" s="203"/>
      <c r="U9" s="203"/>
      <c r="V9" s="204"/>
      <c r="W9" s="202" t="s">
        <v>100</v>
      </c>
      <c r="X9" s="203"/>
      <c r="Y9" s="203"/>
      <c r="Z9" s="203"/>
      <c r="AA9" s="203"/>
      <c r="AB9" s="203"/>
      <c r="AC9" s="204"/>
      <c r="AD9" s="346"/>
      <c r="AE9" s="347"/>
      <c r="AF9" s="347"/>
      <c r="AG9" s="347"/>
      <c r="AH9" s="347"/>
      <c r="AI9" s="347"/>
      <c r="AJ9" s="347"/>
      <c r="AK9" s="347"/>
      <c r="AL9" s="347"/>
      <c r="AM9" s="347"/>
      <c r="AN9" s="347"/>
      <c r="AO9" s="347"/>
      <c r="AP9" s="347"/>
      <c r="AQ9" s="347"/>
      <c r="AR9" s="347"/>
      <c r="AS9" s="348"/>
      <c r="AT9" s="364"/>
      <c r="AU9" s="365"/>
      <c r="AV9" s="365"/>
      <c r="AW9" s="365"/>
      <c r="AX9" s="366"/>
      <c r="AY9" s="13"/>
      <c r="BA9" s="387"/>
      <c r="BB9" s="388"/>
      <c r="BC9" s="388"/>
      <c r="BD9" s="389"/>
      <c r="BE9" s="390"/>
      <c r="BF9" s="391"/>
      <c r="BG9" s="391"/>
      <c r="BH9" s="391"/>
      <c r="BI9" s="391"/>
      <c r="BJ9" s="391"/>
      <c r="BK9" s="391"/>
      <c r="BL9" s="391"/>
      <c r="BM9" s="391"/>
      <c r="BN9" s="391"/>
      <c r="BO9" s="391"/>
      <c r="BP9" s="392"/>
    </row>
    <row r="10" spans="1:69" s="11" customFormat="1" ht="13.5" customHeight="1">
      <c r="A10" s="28"/>
      <c r="B10" s="88" t="s">
        <v>411</v>
      </c>
      <c r="C10" s="77"/>
      <c r="D10" s="77"/>
      <c r="E10" s="77"/>
      <c r="F10" s="77"/>
      <c r="G10" s="77"/>
      <c r="H10" s="78"/>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13"/>
      <c r="BA10" s="59"/>
      <c r="BB10" s="60"/>
      <c r="BC10" s="60"/>
      <c r="BD10" s="60"/>
      <c r="BE10" s="217"/>
      <c r="BF10" s="206"/>
      <c r="BG10" s="206"/>
      <c r="BH10" s="206"/>
      <c r="BI10" s="206"/>
      <c r="BJ10" s="206"/>
      <c r="BK10" s="206"/>
      <c r="BL10" s="206"/>
      <c r="BM10" s="206"/>
      <c r="BN10" s="206"/>
      <c r="BO10" s="206"/>
      <c r="BP10" s="218"/>
    </row>
    <row r="11" spans="1:69" s="11" customFormat="1" ht="13.5" customHeight="1">
      <c r="A11" s="28"/>
      <c r="B11" s="47"/>
      <c r="C11" s="45"/>
      <c r="D11" s="45"/>
      <c r="E11" s="45"/>
      <c r="F11" s="45"/>
      <c r="G11" s="45"/>
      <c r="H11" s="46"/>
      <c r="I11" s="45"/>
      <c r="J11" s="45"/>
      <c r="K11" s="45"/>
      <c r="L11" s="45"/>
      <c r="M11" s="45"/>
      <c r="N11" s="45"/>
      <c r="O11" s="45"/>
      <c r="P11" s="47"/>
      <c r="Q11" s="45"/>
      <c r="R11" s="45"/>
      <c r="S11" s="45"/>
      <c r="T11" s="45"/>
      <c r="U11" s="45"/>
      <c r="V11" s="46"/>
      <c r="W11" s="47"/>
      <c r="X11" s="45"/>
      <c r="Y11" s="45"/>
      <c r="Z11" s="45"/>
      <c r="AA11" s="45"/>
      <c r="AB11" s="45"/>
      <c r="AC11" s="46"/>
      <c r="AD11" s="45"/>
      <c r="AE11" s="45"/>
      <c r="AF11" s="45"/>
      <c r="AG11" s="45"/>
      <c r="AH11" s="45"/>
      <c r="AI11" s="45"/>
      <c r="AJ11" s="45"/>
      <c r="AK11" s="45"/>
      <c r="AL11" s="45"/>
      <c r="AM11" s="45"/>
      <c r="AN11" s="45"/>
      <c r="AO11" s="45"/>
      <c r="AP11" s="45"/>
      <c r="AQ11" s="45"/>
      <c r="AR11" s="45"/>
      <c r="AS11" s="45"/>
      <c r="AT11" s="47"/>
      <c r="AU11" s="45"/>
      <c r="AV11" s="45"/>
      <c r="AW11" s="45"/>
      <c r="AX11" s="46"/>
      <c r="AY11" s="13"/>
      <c r="BA11" s="62"/>
      <c r="BE11" s="219"/>
      <c r="BF11" s="195"/>
      <c r="BG11" s="195"/>
      <c r="BH11" s="195"/>
      <c r="BI11" s="195"/>
      <c r="BJ11" s="195"/>
      <c r="BK11" s="195"/>
      <c r="BL11" s="195"/>
      <c r="BM11" s="195"/>
      <c r="BN11" s="195"/>
      <c r="BO11" s="195"/>
      <c r="BP11" s="220"/>
      <c r="BQ11" s="85"/>
    </row>
    <row r="12" spans="1:69" s="11" customFormat="1" ht="13.5" customHeight="1">
      <c r="A12" s="28"/>
      <c r="B12" s="31"/>
      <c r="C12" s="24"/>
      <c r="D12" s="24"/>
      <c r="E12" s="24"/>
      <c r="F12" s="24"/>
      <c r="G12" s="24"/>
      <c r="H12" s="23"/>
      <c r="I12" s="24"/>
      <c r="J12" s="24"/>
      <c r="K12" s="24"/>
      <c r="L12" s="24"/>
      <c r="M12" s="24"/>
      <c r="N12" s="24"/>
      <c r="O12" s="24"/>
      <c r="P12" s="31"/>
      <c r="Q12" s="24"/>
      <c r="R12" s="24"/>
      <c r="S12" s="24"/>
      <c r="T12" s="24"/>
      <c r="U12" s="24"/>
      <c r="V12" s="23"/>
      <c r="W12" s="31"/>
      <c r="X12" s="24"/>
      <c r="Y12" s="24"/>
      <c r="Z12" s="24"/>
      <c r="AA12" s="24"/>
      <c r="AB12" s="24"/>
      <c r="AC12" s="23"/>
      <c r="AD12" s="24"/>
      <c r="AE12" s="24"/>
      <c r="AF12" s="24"/>
      <c r="AG12" s="24"/>
      <c r="AH12" s="24"/>
      <c r="AI12" s="24"/>
      <c r="AJ12" s="24"/>
      <c r="AK12" s="24"/>
      <c r="AL12" s="24"/>
      <c r="AM12" s="24"/>
      <c r="AN12" s="24"/>
      <c r="AO12" s="24"/>
      <c r="AP12" s="24"/>
      <c r="AQ12" s="24"/>
      <c r="AR12" s="24"/>
      <c r="AS12" s="24"/>
      <c r="AT12" s="31"/>
      <c r="AU12" s="24"/>
      <c r="AV12" s="24"/>
      <c r="AW12" s="24"/>
      <c r="AX12" s="23"/>
      <c r="AY12" s="13"/>
      <c r="BA12" s="62"/>
      <c r="BE12" s="219"/>
      <c r="BF12" s="195"/>
      <c r="BG12" s="195"/>
      <c r="BH12" s="195"/>
      <c r="BI12" s="195"/>
      <c r="BJ12" s="195"/>
      <c r="BK12" s="195"/>
      <c r="BL12" s="195"/>
      <c r="BM12" s="195"/>
      <c r="BN12" s="195"/>
      <c r="BO12" s="195"/>
      <c r="BP12" s="220"/>
      <c r="BQ12" s="85"/>
    </row>
    <row r="13" spans="1:69" s="11" customFormat="1" ht="13.5" customHeight="1">
      <c r="A13" s="28"/>
      <c r="B13" s="31"/>
      <c r="C13" s="24"/>
      <c r="D13" s="24"/>
      <c r="E13" s="24"/>
      <c r="F13" s="24"/>
      <c r="G13" s="24"/>
      <c r="H13" s="23"/>
      <c r="I13" s="24"/>
      <c r="J13" s="24"/>
      <c r="K13" s="24"/>
      <c r="L13" s="24"/>
      <c r="M13" s="24"/>
      <c r="N13" s="24"/>
      <c r="O13" s="24"/>
      <c r="P13" s="31"/>
      <c r="Q13" s="24"/>
      <c r="R13" s="24"/>
      <c r="S13" s="24"/>
      <c r="T13" s="24"/>
      <c r="U13" s="24"/>
      <c r="V13" s="23"/>
      <c r="W13" s="31"/>
      <c r="X13" s="24"/>
      <c r="Y13" s="24"/>
      <c r="Z13" s="24"/>
      <c r="AA13" s="24"/>
      <c r="AB13" s="24"/>
      <c r="AC13" s="23"/>
      <c r="AD13" s="24"/>
      <c r="AE13" s="24"/>
      <c r="AF13" s="24"/>
      <c r="AG13" s="24"/>
      <c r="AH13" s="24"/>
      <c r="AI13" s="24"/>
      <c r="AJ13" s="24"/>
      <c r="AK13" s="24"/>
      <c r="AL13" s="24"/>
      <c r="AM13" s="24"/>
      <c r="AN13" s="24"/>
      <c r="AO13" s="24"/>
      <c r="AP13" s="24"/>
      <c r="AQ13" s="24"/>
      <c r="AR13" s="24"/>
      <c r="AS13" s="24"/>
      <c r="AT13" s="31"/>
      <c r="AU13" s="24"/>
      <c r="AV13" s="24"/>
      <c r="AW13" s="24"/>
      <c r="AX13" s="23"/>
      <c r="AY13" s="13"/>
      <c r="BA13" s="62"/>
      <c r="BE13" s="219"/>
      <c r="BF13" s="195"/>
      <c r="BG13" s="195"/>
      <c r="BH13" s="195"/>
      <c r="BI13" s="195"/>
      <c r="BJ13" s="195"/>
      <c r="BK13" s="195"/>
      <c r="BL13" s="195"/>
      <c r="BM13" s="195"/>
      <c r="BN13" s="195"/>
      <c r="BO13" s="195"/>
      <c r="BP13" s="220"/>
    </row>
    <row r="14" spans="1:69" s="11" customFormat="1" ht="13.5" customHeight="1">
      <c r="A14" s="28"/>
      <c r="B14" s="31"/>
      <c r="C14" s="24"/>
      <c r="D14" s="24"/>
      <c r="E14" s="24"/>
      <c r="F14" s="24"/>
      <c r="G14" s="24"/>
      <c r="H14" s="23"/>
      <c r="I14" s="24"/>
      <c r="J14" s="24"/>
      <c r="K14" s="24"/>
      <c r="L14" s="24"/>
      <c r="M14" s="24"/>
      <c r="N14" s="24"/>
      <c r="O14" s="24"/>
      <c r="P14" s="31"/>
      <c r="Q14" s="24"/>
      <c r="R14" s="24"/>
      <c r="S14" s="24"/>
      <c r="T14" s="24"/>
      <c r="U14" s="24"/>
      <c r="V14" s="23"/>
      <c r="W14" s="31"/>
      <c r="X14" s="24"/>
      <c r="Y14" s="24"/>
      <c r="Z14" s="24"/>
      <c r="AA14" s="24"/>
      <c r="AB14" s="24"/>
      <c r="AC14" s="23"/>
      <c r="AD14" s="24"/>
      <c r="AE14" s="24"/>
      <c r="AF14" s="24"/>
      <c r="AG14" s="24"/>
      <c r="AH14" s="24"/>
      <c r="AI14" s="24"/>
      <c r="AJ14" s="24"/>
      <c r="AK14" s="24"/>
      <c r="AL14" s="24"/>
      <c r="AM14" s="24"/>
      <c r="AN14" s="24"/>
      <c r="AO14" s="24"/>
      <c r="AP14" s="24"/>
      <c r="AQ14" s="24"/>
      <c r="AR14" s="24"/>
      <c r="AS14" s="24"/>
      <c r="AT14" s="31"/>
      <c r="AU14" s="24"/>
      <c r="AV14" s="24"/>
      <c r="AW14" s="24"/>
      <c r="AX14" s="23"/>
      <c r="AY14" s="13"/>
      <c r="BA14" s="62"/>
      <c r="BE14" s="219"/>
      <c r="BF14" s="195"/>
      <c r="BG14" s="195"/>
      <c r="BH14" s="195"/>
      <c r="BI14" s="195"/>
      <c r="BJ14" s="195"/>
      <c r="BK14" s="195"/>
      <c r="BL14" s="195"/>
      <c r="BM14" s="195"/>
      <c r="BN14" s="195"/>
      <c r="BO14" s="195"/>
      <c r="BP14" s="220"/>
    </row>
    <row r="15" spans="1:69" s="11" customFormat="1" ht="13.5" customHeight="1">
      <c r="A15" s="28"/>
      <c r="B15" s="31"/>
      <c r="C15" s="24"/>
      <c r="D15" s="24"/>
      <c r="E15" s="24"/>
      <c r="F15" s="24"/>
      <c r="G15" s="24"/>
      <c r="H15" s="23"/>
      <c r="I15" s="24"/>
      <c r="J15" s="24"/>
      <c r="K15" s="24"/>
      <c r="L15" s="24"/>
      <c r="M15" s="24"/>
      <c r="N15" s="24"/>
      <c r="O15" s="24"/>
      <c r="P15" s="31"/>
      <c r="Q15" s="24"/>
      <c r="R15" s="24"/>
      <c r="S15" s="24"/>
      <c r="T15" s="24"/>
      <c r="U15" s="24"/>
      <c r="V15" s="23"/>
      <c r="W15" s="31"/>
      <c r="X15" s="24"/>
      <c r="Y15" s="24"/>
      <c r="Z15" s="24"/>
      <c r="AA15" s="24"/>
      <c r="AB15" s="24"/>
      <c r="AC15" s="23"/>
      <c r="AD15" s="24"/>
      <c r="AE15" s="24"/>
      <c r="AF15" s="24"/>
      <c r="AG15" s="24"/>
      <c r="AH15" s="24"/>
      <c r="AI15" s="24"/>
      <c r="AJ15" s="24"/>
      <c r="AK15" s="24"/>
      <c r="AL15" s="24"/>
      <c r="AM15" s="24"/>
      <c r="AN15" s="24"/>
      <c r="AO15" s="24"/>
      <c r="AP15" s="24"/>
      <c r="AQ15" s="24"/>
      <c r="AR15" s="24"/>
      <c r="AS15" s="24"/>
      <c r="AT15" s="31"/>
      <c r="AU15" s="24"/>
      <c r="AV15" s="24"/>
      <c r="AW15" s="24"/>
      <c r="AX15" s="23"/>
      <c r="AY15" s="13"/>
      <c r="BA15" s="62"/>
      <c r="BE15" s="219"/>
      <c r="BF15" s="195"/>
      <c r="BG15" s="195"/>
      <c r="BH15" s="195"/>
      <c r="BI15" s="195"/>
      <c r="BJ15" s="195"/>
      <c r="BK15" s="195"/>
      <c r="BL15" s="195"/>
      <c r="BM15" s="195"/>
      <c r="BN15" s="195"/>
      <c r="BO15" s="195"/>
      <c r="BP15" s="220"/>
    </row>
    <row r="16" spans="1:69" s="11" customFormat="1" ht="13.5" customHeight="1">
      <c r="A16" s="28"/>
      <c r="B16" s="31"/>
      <c r="C16" s="24"/>
      <c r="D16" s="24"/>
      <c r="E16" s="24"/>
      <c r="F16" s="24"/>
      <c r="G16" s="24"/>
      <c r="H16" s="23"/>
      <c r="I16" s="24"/>
      <c r="J16" s="24"/>
      <c r="K16" s="24"/>
      <c r="L16" s="24"/>
      <c r="M16" s="24"/>
      <c r="N16" s="24"/>
      <c r="O16" s="24"/>
      <c r="P16" s="31"/>
      <c r="Q16" s="24"/>
      <c r="R16" s="24"/>
      <c r="S16" s="24"/>
      <c r="T16" s="24"/>
      <c r="U16" s="24"/>
      <c r="V16" s="23"/>
      <c r="W16" s="31"/>
      <c r="X16" s="24"/>
      <c r="Y16" s="24"/>
      <c r="Z16" s="24"/>
      <c r="AA16" s="24"/>
      <c r="AB16" s="24"/>
      <c r="AC16" s="23"/>
      <c r="AD16" s="24"/>
      <c r="AH16" s="8"/>
      <c r="AI16" s="8"/>
      <c r="AJ16" s="24"/>
      <c r="AK16" s="24"/>
      <c r="AL16" s="24"/>
      <c r="AM16" s="24"/>
      <c r="AN16" s="24"/>
      <c r="AO16" s="24"/>
      <c r="AP16" s="24"/>
      <c r="AQ16" s="24"/>
      <c r="AR16" s="24"/>
      <c r="AS16" s="24"/>
      <c r="AT16" s="31"/>
      <c r="AU16" s="24"/>
      <c r="AV16" s="24"/>
      <c r="AW16" s="24"/>
      <c r="AX16" s="23"/>
      <c r="AY16" s="13"/>
      <c r="BA16" s="62"/>
      <c r="BE16" s="219"/>
      <c r="BF16" s="195"/>
      <c r="BG16" s="195"/>
      <c r="BH16" s="195"/>
      <c r="BI16" s="195"/>
      <c r="BJ16" s="195"/>
      <c r="BK16" s="195"/>
      <c r="BL16" s="195"/>
      <c r="BM16" s="195"/>
      <c r="BN16" s="195"/>
      <c r="BO16" s="195"/>
      <c r="BP16" s="220"/>
    </row>
    <row r="17" spans="1:68" ht="13.5" customHeight="1">
      <c r="A17" s="27"/>
      <c r="B17" s="27"/>
      <c r="H17" s="14"/>
      <c r="P17" s="27"/>
      <c r="V17" s="14"/>
      <c r="W17" s="27"/>
      <c r="AC17" s="14"/>
      <c r="AT17" s="27"/>
      <c r="AX17" s="14"/>
      <c r="AY17" s="14"/>
      <c r="BA17" s="175"/>
      <c r="BB17" s="176"/>
      <c r="BC17" s="176"/>
      <c r="BD17" s="177"/>
      <c r="BE17" s="178"/>
      <c r="BF17" s="179"/>
      <c r="BG17" s="179"/>
      <c r="BH17" s="179"/>
      <c r="BI17" s="179"/>
      <c r="BJ17" s="179"/>
      <c r="BK17" s="179"/>
      <c r="BL17" s="179"/>
      <c r="BM17" s="179"/>
      <c r="BN17" s="179"/>
      <c r="BO17" s="179"/>
      <c r="BP17" s="180"/>
    </row>
    <row r="18" spans="1:68" ht="13.5" customHeight="1">
      <c r="A18" s="27"/>
      <c r="B18" s="27"/>
      <c r="H18" s="14"/>
      <c r="P18" s="27"/>
      <c r="V18" s="14"/>
      <c r="W18" s="27"/>
      <c r="AC18" s="14"/>
      <c r="AT18" s="27"/>
      <c r="AX18" s="14"/>
      <c r="AY18" s="14"/>
      <c r="BA18" s="175"/>
      <c r="BB18" s="176"/>
      <c r="BC18" s="176"/>
      <c r="BD18" s="177"/>
      <c r="BE18" s="178"/>
      <c r="BF18" s="179"/>
      <c r="BG18" s="179"/>
      <c r="BH18" s="179"/>
      <c r="BI18" s="179"/>
      <c r="BJ18" s="179"/>
      <c r="BK18" s="179"/>
      <c r="BL18" s="179"/>
      <c r="BM18" s="179"/>
      <c r="BN18" s="179"/>
      <c r="BO18" s="179"/>
      <c r="BP18" s="180"/>
    </row>
    <row r="19" spans="1:68" ht="13.5" customHeight="1">
      <c r="A19" s="27"/>
      <c r="B19" s="27"/>
      <c r="H19" s="14"/>
      <c r="P19" s="27"/>
      <c r="V19" s="14"/>
      <c r="W19" s="27"/>
      <c r="AC19" s="14"/>
      <c r="AT19" s="27"/>
      <c r="AX19" s="14"/>
      <c r="AY19" s="14"/>
      <c r="BA19" s="175"/>
      <c r="BB19" s="176"/>
      <c r="BC19" s="176"/>
      <c r="BD19" s="177"/>
      <c r="BE19" s="178"/>
      <c r="BF19" s="179"/>
      <c r="BG19" s="179"/>
      <c r="BH19" s="179"/>
      <c r="BI19" s="179"/>
      <c r="BJ19" s="179"/>
      <c r="BK19" s="179"/>
      <c r="BL19" s="179"/>
      <c r="BM19" s="179"/>
      <c r="BN19" s="179"/>
      <c r="BO19" s="179"/>
      <c r="BP19" s="180"/>
    </row>
    <row r="20" spans="1:68" ht="13.5" customHeight="1">
      <c r="A20" s="27"/>
      <c r="B20" s="27"/>
      <c r="H20" s="14"/>
      <c r="P20" s="27"/>
      <c r="V20" s="14"/>
      <c r="W20" s="27"/>
      <c r="AC20" s="14"/>
      <c r="AT20" s="27"/>
      <c r="AX20" s="14"/>
      <c r="AY20" s="14"/>
      <c r="BA20" s="175"/>
      <c r="BB20" s="176"/>
      <c r="BC20" s="176"/>
      <c r="BD20" s="177"/>
      <c r="BE20" s="178"/>
      <c r="BF20" s="179"/>
      <c r="BG20" s="179"/>
      <c r="BH20" s="179"/>
      <c r="BI20" s="179"/>
      <c r="BJ20" s="179"/>
      <c r="BK20" s="179"/>
      <c r="BL20" s="179"/>
      <c r="BM20" s="179"/>
      <c r="BN20" s="179"/>
      <c r="BO20" s="179"/>
      <c r="BP20" s="180"/>
    </row>
    <row r="21" spans="1:68" ht="13.5" customHeight="1">
      <c r="A21" s="27"/>
      <c r="B21" s="27"/>
      <c r="H21" s="14"/>
      <c r="P21" s="27"/>
      <c r="V21" s="14"/>
      <c r="W21" s="27"/>
      <c r="AC21" s="14"/>
      <c r="AE21" s="16" t="s">
        <v>336</v>
      </c>
      <c r="AT21" s="27"/>
      <c r="AX21" s="14"/>
      <c r="AY21" s="14"/>
      <c r="BA21" s="175"/>
      <c r="BB21" s="176"/>
      <c r="BC21" s="176"/>
      <c r="BD21" s="177"/>
      <c r="BE21" s="178"/>
      <c r="BF21" s="179"/>
      <c r="BG21" s="179"/>
      <c r="BH21" s="179"/>
      <c r="BI21" s="179"/>
      <c r="BJ21" s="179"/>
      <c r="BK21" s="179"/>
      <c r="BL21" s="179"/>
      <c r="BM21" s="179"/>
      <c r="BN21" s="179"/>
      <c r="BO21" s="179"/>
      <c r="BP21" s="180"/>
    </row>
    <row r="22" spans="1:68" ht="13.5" customHeight="1">
      <c r="A22" s="27"/>
      <c r="B22" s="27"/>
      <c r="H22" s="14"/>
      <c r="P22" s="27"/>
      <c r="V22" s="14"/>
      <c r="W22" s="27"/>
      <c r="AC22" s="14"/>
      <c r="AF22" s="8" t="s">
        <v>412</v>
      </c>
      <c r="AT22" s="27"/>
      <c r="AX22" s="14"/>
      <c r="AY22" s="14"/>
      <c r="BA22" s="64"/>
      <c r="BE22" s="178"/>
      <c r="BF22" s="179"/>
      <c r="BG22" s="179"/>
      <c r="BH22" s="179"/>
      <c r="BI22" s="179"/>
      <c r="BJ22" s="179"/>
      <c r="BK22" s="179"/>
      <c r="BL22" s="179"/>
      <c r="BM22" s="179"/>
      <c r="BN22" s="179"/>
      <c r="BO22" s="179"/>
      <c r="BP22" s="180"/>
    </row>
    <row r="23" spans="1:68" ht="13.5" customHeight="1">
      <c r="A23" s="27"/>
      <c r="B23" s="27"/>
      <c r="H23" s="14"/>
      <c r="P23" s="27"/>
      <c r="V23" s="14"/>
      <c r="W23" s="27"/>
      <c r="AC23" s="14"/>
      <c r="AF23" s="8" t="s">
        <v>413</v>
      </c>
      <c r="AT23" s="27"/>
      <c r="AX23" s="14"/>
      <c r="AY23" s="14"/>
      <c r="BA23" s="64"/>
      <c r="BE23" s="178"/>
      <c r="BF23" s="179"/>
      <c r="BG23" s="179"/>
      <c r="BH23" s="179"/>
      <c r="BI23" s="179"/>
      <c r="BJ23" s="179"/>
      <c r="BK23" s="179"/>
      <c r="BL23" s="179"/>
      <c r="BM23" s="179"/>
      <c r="BN23" s="179"/>
      <c r="BO23" s="179"/>
      <c r="BP23" s="180"/>
    </row>
    <row r="24" spans="1:68">
      <c r="A24" s="27"/>
      <c r="B24" s="27"/>
      <c r="H24" s="14"/>
      <c r="P24" s="27"/>
      <c r="V24" s="14"/>
      <c r="W24" s="27"/>
      <c r="AC24" s="14"/>
      <c r="AF24" s="8" t="s">
        <v>138</v>
      </c>
      <c r="AG24" s="8" t="s">
        <v>339</v>
      </c>
      <c r="AT24" s="27"/>
      <c r="AX24" s="14"/>
      <c r="AY24" s="14"/>
      <c r="BA24" s="64"/>
      <c r="BE24" s="181" t="s">
        <v>414</v>
      </c>
      <c r="BF24" s="385"/>
      <c r="BG24" s="385"/>
      <c r="BH24" s="385"/>
      <c r="BI24" s="385"/>
      <c r="BJ24" s="385"/>
      <c r="BK24" s="385"/>
      <c r="BL24" s="385"/>
      <c r="BM24" s="385"/>
      <c r="BN24" s="385"/>
      <c r="BO24" s="385"/>
      <c r="BP24" s="386"/>
    </row>
    <row r="25" spans="1:68">
      <c r="A25" s="27"/>
      <c r="B25" s="27"/>
      <c r="H25" s="14"/>
      <c r="P25" s="27"/>
      <c r="V25" s="14"/>
      <c r="W25" s="27"/>
      <c r="AC25" s="14"/>
      <c r="AG25" s="8" t="s">
        <v>341</v>
      </c>
      <c r="AT25" s="27"/>
      <c r="AX25" s="14"/>
      <c r="AY25" s="14"/>
      <c r="BA25" s="64"/>
      <c r="BE25" s="181"/>
      <c r="BF25" s="385"/>
      <c r="BG25" s="385"/>
      <c r="BH25" s="385"/>
      <c r="BI25" s="385"/>
      <c r="BJ25" s="385"/>
      <c r="BK25" s="385"/>
      <c r="BL25" s="385"/>
      <c r="BM25" s="385"/>
      <c r="BN25" s="385"/>
      <c r="BO25" s="385"/>
      <c r="BP25" s="386"/>
    </row>
    <row r="26" spans="1:68">
      <c r="A26" s="27"/>
      <c r="B26" s="27"/>
      <c r="H26" s="14"/>
      <c r="P26" s="27"/>
      <c r="V26" s="14"/>
      <c r="W26" s="27"/>
      <c r="AC26" s="14"/>
      <c r="AF26" s="8" t="s">
        <v>138</v>
      </c>
      <c r="AG26" s="8" t="s">
        <v>415</v>
      </c>
      <c r="AT26" s="89" t="s">
        <v>416</v>
      </c>
      <c r="AX26" s="14"/>
      <c r="AY26" s="14"/>
      <c r="BA26" s="64"/>
      <c r="BE26" s="181"/>
      <c r="BF26" s="385"/>
      <c r="BG26" s="385"/>
      <c r="BH26" s="385"/>
      <c r="BI26" s="385"/>
      <c r="BJ26" s="385"/>
      <c r="BK26" s="385"/>
      <c r="BL26" s="385"/>
      <c r="BM26" s="385"/>
      <c r="BN26" s="385"/>
      <c r="BO26" s="385"/>
      <c r="BP26" s="386"/>
    </row>
    <row r="27" spans="1:68" ht="13.5" customHeight="1">
      <c r="A27" s="27"/>
      <c r="B27" s="27"/>
      <c r="H27" s="14"/>
      <c r="P27" s="27"/>
      <c r="V27" s="14"/>
      <c r="W27" s="27"/>
      <c r="AC27" s="14"/>
      <c r="AT27" s="27"/>
      <c r="AX27" s="14"/>
      <c r="AY27" s="14"/>
      <c r="BA27" s="64"/>
      <c r="BE27" s="181"/>
      <c r="BF27" s="385"/>
      <c r="BG27" s="385"/>
      <c r="BH27" s="385"/>
      <c r="BI27" s="385"/>
      <c r="BJ27" s="385"/>
      <c r="BK27" s="385"/>
      <c r="BL27" s="385"/>
      <c r="BM27" s="385"/>
      <c r="BN27" s="385"/>
      <c r="BO27" s="385"/>
      <c r="BP27" s="386"/>
    </row>
    <row r="28" spans="1:68" ht="13.5" customHeight="1">
      <c r="A28" s="27"/>
      <c r="B28" s="27"/>
      <c r="H28" s="14"/>
      <c r="P28" s="27"/>
      <c r="V28" s="14"/>
      <c r="W28" s="27"/>
      <c r="AC28" s="14"/>
      <c r="AE28" s="16" t="s">
        <v>417</v>
      </c>
      <c r="AT28" s="27"/>
      <c r="AX28" s="14"/>
      <c r="AY28" s="14"/>
      <c r="BA28" s="64"/>
      <c r="BE28" s="181"/>
      <c r="BF28" s="385"/>
      <c r="BG28" s="385"/>
      <c r="BH28" s="385"/>
      <c r="BI28" s="385"/>
      <c r="BJ28" s="385"/>
      <c r="BK28" s="385"/>
      <c r="BL28" s="385"/>
      <c r="BM28" s="385"/>
      <c r="BN28" s="385"/>
      <c r="BO28" s="385"/>
      <c r="BP28" s="386"/>
    </row>
    <row r="29" spans="1:68">
      <c r="A29" s="27"/>
      <c r="B29" s="27"/>
      <c r="H29" s="14"/>
      <c r="P29" s="27"/>
      <c r="V29" s="14"/>
      <c r="W29" s="27"/>
      <c r="AC29" s="14"/>
      <c r="AF29" s="8" t="s">
        <v>418</v>
      </c>
      <c r="AT29" s="27"/>
      <c r="AX29" s="14"/>
      <c r="AY29" s="14"/>
      <c r="BA29" s="64"/>
      <c r="BE29" s="181"/>
      <c r="BF29" s="385"/>
      <c r="BG29" s="385"/>
      <c r="BH29" s="385"/>
      <c r="BI29" s="385"/>
      <c r="BJ29" s="385"/>
      <c r="BK29" s="385"/>
      <c r="BL29" s="385"/>
      <c r="BM29" s="385"/>
      <c r="BN29" s="385"/>
      <c r="BO29" s="385"/>
      <c r="BP29" s="386"/>
    </row>
    <row r="30" spans="1:68">
      <c r="A30" s="27"/>
      <c r="B30" s="27"/>
      <c r="H30" s="14"/>
      <c r="P30" s="27"/>
      <c r="V30" s="14"/>
      <c r="W30" s="27"/>
      <c r="AC30" s="14"/>
      <c r="AF30" s="8" t="s">
        <v>344</v>
      </c>
      <c r="AT30" s="27"/>
      <c r="AX30" s="14"/>
      <c r="AY30" s="14"/>
      <c r="BA30" s="64"/>
      <c r="BE30" s="181"/>
      <c r="BF30" s="385"/>
      <c r="BG30" s="385"/>
      <c r="BH30" s="385"/>
      <c r="BI30" s="385"/>
      <c r="BJ30" s="385"/>
      <c r="BK30" s="385"/>
      <c r="BL30" s="385"/>
      <c r="BM30" s="385"/>
      <c r="BN30" s="385"/>
      <c r="BO30" s="385"/>
      <c r="BP30" s="386"/>
    </row>
    <row r="31" spans="1:68">
      <c r="A31" s="27"/>
      <c r="B31" s="27"/>
      <c r="H31" s="14"/>
      <c r="P31" s="27"/>
      <c r="V31" s="14"/>
      <c r="W31" s="27"/>
      <c r="AC31" s="14"/>
      <c r="AF31" s="11"/>
      <c r="AG31" s="11"/>
      <c r="AH31" s="11"/>
      <c r="AI31" s="11"/>
      <c r="AJ31" s="11"/>
      <c r="AK31" s="11"/>
      <c r="AL31" s="11"/>
      <c r="AM31" s="11"/>
      <c r="AN31" s="11"/>
      <c r="AO31" s="11"/>
      <c r="AP31" s="11"/>
      <c r="AQ31" s="11"/>
      <c r="AR31" s="11"/>
      <c r="AS31" s="11"/>
      <c r="AT31" s="34"/>
      <c r="AU31" s="11"/>
      <c r="AV31" s="11"/>
      <c r="AX31" s="14"/>
      <c r="AY31" s="14"/>
      <c r="BA31" s="64"/>
      <c r="BE31" s="181"/>
      <c r="BF31" s="385"/>
      <c r="BG31" s="385"/>
      <c r="BH31" s="385"/>
      <c r="BI31" s="385"/>
      <c r="BJ31" s="385"/>
      <c r="BK31" s="385"/>
      <c r="BL31" s="385"/>
      <c r="BM31" s="385"/>
      <c r="BN31" s="385"/>
      <c r="BO31" s="385"/>
      <c r="BP31" s="386"/>
    </row>
    <row r="32" spans="1:68" ht="13.5" customHeight="1">
      <c r="A32" s="27"/>
      <c r="B32" s="27"/>
      <c r="H32" s="14"/>
      <c r="P32" s="27"/>
      <c r="V32" s="14"/>
      <c r="W32" s="27"/>
      <c r="AC32" s="14"/>
      <c r="AT32" s="27"/>
      <c r="AX32" s="14"/>
      <c r="AY32" s="14"/>
      <c r="BA32" s="64"/>
      <c r="BE32" s="181"/>
      <c r="BF32" s="385"/>
      <c r="BG32" s="385"/>
      <c r="BH32" s="385"/>
      <c r="BI32" s="385"/>
      <c r="BJ32" s="385"/>
      <c r="BK32" s="385"/>
      <c r="BL32" s="385"/>
      <c r="BM32" s="385"/>
      <c r="BN32" s="385"/>
      <c r="BO32" s="385"/>
      <c r="BP32" s="386"/>
    </row>
    <row r="33" spans="1:68" ht="13.5" customHeight="1">
      <c r="A33" s="27"/>
      <c r="B33" s="27"/>
      <c r="H33" s="14"/>
      <c r="P33" s="27"/>
      <c r="V33" s="14"/>
      <c r="W33" s="27"/>
      <c r="AC33" s="14"/>
      <c r="AT33" s="27"/>
      <c r="AX33" s="14"/>
      <c r="AY33" s="14"/>
      <c r="BA33" s="64"/>
      <c r="BE33" s="181"/>
      <c r="BF33" s="385"/>
      <c r="BG33" s="385"/>
      <c r="BH33" s="385"/>
      <c r="BI33" s="385"/>
      <c r="BJ33" s="385"/>
      <c r="BK33" s="385"/>
      <c r="BL33" s="385"/>
      <c r="BM33" s="385"/>
      <c r="BN33" s="385"/>
      <c r="BO33" s="385"/>
      <c r="BP33" s="386"/>
    </row>
    <row r="34" spans="1:68" ht="13.5" customHeight="1">
      <c r="A34" s="27"/>
      <c r="B34" s="27"/>
      <c r="H34" s="14"/>
      <c r="P34" s="27"/>
      <c r="V34" s="14"/>
      <c r="W34" s="27"/>
      <c r="AC34" s="14"/>
      <c r="AT34" s="27"/>
      <c r="AX34" s="14"/>
      <c r="AY34" s="14"/>
      <c r="BA34" s="64"/>
      <c r="BE34" s="181"/>
      <c r="BF34" s="385"/>
      <c r="BG34" s="385"/>
      <c r="BH34" s="385"/>
      <c r="BI34" s="385"/>
      <c r="BJ34" s="385"/>
      <c r="BK34" s="385"/>
      <c r="BL34" s="385"/>
      <c r="BM34" s="385"/>
      <c r="BN34" s="385"/>
      <c r="BO34" s="385"/>
      <c r="BP34" s="386"/>
    </row>
    <row r="35" spans="1:68" ht="13.5" customHeight="1">
      <c r="A35" s="27"/>
      <c r="B35" s="27"/>
      <c r="H35" s="14"/>
      <c r="P35" s="27"/>
      <c r="V35" s="14"/>
      <c r="W35" s="27"/>
      <c r="AC35" s="14"/>
      <c r="AT35" s="27"/>
      <c r="AX35" s="14"/>
      <c r="AY35" s="14"/>
      <c r="BA35" s="64"/>
      <c r="BE35" s="181"/>
      <c r="BF35" s="385"/>
      <c r="BG35" s="385"/>
      <c r="BH35" s="385"/>
      <c r="BI35" s="385"/>
      <c r="BJ35" s="385"/>
      <c r="BK35" s="385"/>
      <c r="BL35" s="385"/>
      <c r="BM35" s="385"/>
      <c r="BN35" s="385"/>
      <c r="BO35" s="385"/>
      <c r="BP35" s="386"/>
    </row>
    <row r="36" spans="1:68" ht="13.5" customHeight="1">
      <c r="A36" s="27"/>
      <c r="B36" s="27"/>
      <c r="H36" s="14"/>
      <c r="P36" s="27"/>
      <c r="V36" s="14"/>
      <c r="W36" s="27"/>
      <c r="AC36" s="14"/>
      <c r="AE36" s="16" t="s">
        <v>419</v>
      </c>
      <c r="AT36" s="27"/>
      <c r="AX36" s="14"/>
      <c r="AY36" s="14"/>
      <c r="BA36" s="64"/>
      <c r="BE36" s="181"/>
      <c r="BF36" s="385"/>
      <c r="BG36" s="385"/>
      <c r="BH36" s="385"/>
      <c r="BI36" s="385"/>
      <c r="BJ36" s="385"/>
      <c r="BK36" s="385"/>
      <c r="BL36" s="385"/>
      <c r="BM36" s="385"/>
      <c r="BN36" s="385"/>
      <c r="BO36" s="385"/>
      <c r="BP36" s="386"/>
    </row>
    <row r="37" spans="1:68" ht="13.5" customHeight="1">
      <c r="A37" s="27"/>
      <c r="B37" s="27"/>
      <c r="H37" s="14"/>
      <c r="P37" s="27"/>
      <c r="V37" s="14"/>
      <c r="W37" s="27"/>
      <c r="AC37" s="14"/>
      <c r="AF37" s="8" t="s">
        <v>420</v>
      </c>
      <c r="AT37" s="27"/>
      <c r="AX37" s="14"/>
      <c r="AY37" s="14"/>
      <c r="BA37" s="64"/>
      <c r="BE37" s="181"/>
      <c r="BF37" s="385"/>
      <c r="BG37" s="385"/>
      <c r="BH37" s="385"/>
      <c r="BI37" s="385"/>
      <c r="BJ37" s="385"/>
      <c r="BK37" s="385"/>
      <c r="BL37" s="385"/>
      <c r="BM37" s="385"/>
      <c r="BN37" s="385"/>
      <c r="BO37" s="385"/>
      <c r="BP37" s="386"/>
    </row>
    <row r="38" spans="1:68" ht="13.5" customHeight="1">
      <c r="A38" s="27"/>
      <c r="B38" s="27"/>
      <c r="H38" s="14"/>
      <c r="P38" s="27"/>
      <c r="V38" s="14"/>
      <c r="W38" s="27"/>
      <c r="AC38" s="14"/>
      <c r="AF38" s="8" t="s">
        <v>421</v>
      </c>
      <c r="AT38" s="27"/>
      <c r="AX38" s="14"/>
      <c r="AY38" s="14"/>
      <c r="BA38" s="64"/>
      <c r="BE38" s="181"/>
      <c r="BF38" s="385"/>
      <c r="BG38" s="385"/>
      <c r="BH38" s="385"/>
      <c r="BI38" s="385"/>
      <c r="BJ38" s="385"/>
      <c r="BK38" s="385"/>
      <c r="BL38" s="385"/>
      <c r="BM38" s="385"/>
      <c r="BN38" s="385"/>
      <c r="BO38" s="385"/>
      <c r="BP38" s="386"/>
    </row>
    <row r="39" spans="1:68" ht="13.5" customHeight="1">
      <c r="A39" s="27"/>
      <c r="B39" s="27"/>
      <c r="H39" s="14"/>
      <c r="P39" s="27"/>
      <c r="V39" s="14"/>
      <c r="W39" s="27"/>
      <c r="AC39" s="14"/>
      <c r="AF39" s="8" t="s">
        <v>348</v>
      </c>
      <c r="AT39" s="27"/>
      <c r="AX39" s="14"/>
      <c r="AY39" s="14"/>
      <c r="BA39" s="64"/>
      <c r="BE39" s="181"/>
      <c r="BF39" s="385"/>
      <c r="BG39" s="385"/>
      <c r="BH39" s="385"/>
      <c r="BI39" s="385"/>
      <c r="BJ39" s="385"/>
      <c r="BK39" s="385"/>
      <c r="BL39" s="385"/>
      <c r="BM39" s="385"/>
      <c r="BN39" s="385"/>
      <c r="BO39" s="385"/>
      <c r="BP39" s="386"/>
    </row>
    <row r="40" spans="1:68" ht="13.5" customHeight="1">
      <c r="A40" s="27"/>
      <c r="B40" s="27"/>
      <c r="H40" s="14"/>
      <c r="P40" s="27"/>
      <c r="V40" s="14"/>
      <c r="W40" s="27"/>
      <c r="AC40" s="14"/>
      <c r="AF40" s="8" t="s">
        <v>349</v>
      </c>
      <c r="AT40" s="27"/>
      <c r="AX40" s="14"/>
      <c r="AY40" s="14"/>
      <c r="BA40" s="64"/>
      <c r="BE40" s="181"/>
      <c r="BF40" s="385"/>
      <c r="BG40" s="385"/>
      <c r="BH40" s="385"/>
      <c r="BI40" s="385"/>
      <c r="BJ40" s="385"/>
      <c r="BK40" s="385"/>
      <c r="BL40" s="385"/>
      <c r="BM40" s="385"/>
      <c r="BN40" s="385"/>
      <c r="BO40" s="385"/>
      <c r="BP40" s="386"/>
    </row>
    <row r="41" spans="1:68" ht="13.5" customHeight="1">
      <c r="A41" s="27"/>
      <c r="B41" s="27"/>
      <c r="H41" s="14"/>
      <c r="P41" s="27"/>
      <c r="V41" s="14"/>
      <c r="W41" s="27"/>
      <c r="AC41" s="14"/>
      <c r="AF41" s="8" t="s">
        <v>350</v>
      </c>
      <c r="AT41" s="27"/>
      <c r="AX41" s="14"/>
      <c r="AY41" s="14"/>
      <c r="BA41" s="64"/>
      <c r="BE41" s="181"/>
      <c r="BF41" s="385"/>
      <c r="BG41" s="385"/>
      <c r="BH41" s="385"/>
      <c r="BI41" s="385"/>
      <c r="BJ41" s="385"/>
      <c r="BK41" s="385"/>
      <c r="BL41" s="385"/>
      <c r="BM41" s="385"/>
      <c r="BN41" s="385"/>
      <c r="BO41" s="385"/>
      <c r="BP41" s="386"/>
    </row>
    <row r="42" spans="1:68" ht="13.5" customHeight="1">
      <c r="A42" s="27"/>
      <c r="B42" s="27"/>
      <c r="H42" s="14"/>
      <c r="P42" s="27"/>
      <c r="V42" s="14"/>
      <c r="W42" s="27"/>
      <c r="AC42" s="14"/>
      <c r="AT42" s="27"/>
      <c r="AX42" s="14"/>
      <c r="AY42" s="14"/>
      <c r="BA42" s="64"/>
      <c r="BE42" s="181"/>
      <c r="BF42" s="385"/>
      <c r="BG42" s="385"/>
      <c r="BH42" s="385"/>
      <c r="BI42" s="385"/>
      <c r="BJ42" s="385"/>
      <c r="BK42" s="385"/>
      <c r="BL42" s="385"/>
      <c r="BM42" s="385"/>
      <c r="BN42" s="385"/>
      <c r="BO42" s="385"/>
      <c r="BP42" s="386"/>
    </row>
    <row r="43" spans="1:68" ht="13.5" customHeight="1">
      <c r="A43" s="27"/>
      <c r="B43" s="27"/>
      <c r="H43" s="14"/>
      <c r="P43" s="27"/>
      <c r="V43" s="14"/>
      <c r="W43" s="27"/>
      <c r="AC43" s="14"/>
      <c r="AT43" s="27"/>
      <c r="AX43" s="14"/>
      <c r="AY43" s="14"/>
      <c r="BA43" s="64"/>
      <c r="BE43" s="181"/>
      <c r="BF43" s="385"/>
      <c r="BG43" s="385"/>
      <c r="BH43" s="385"/>
      <c r="BI43" s="385"/>
      <c r="BJ43" s="385"/>
      <c r="BK43" s="385"/>
      <c r="BL43" s="385"/>
      <c r="BM43" s="385"/>
      <c r="BN43" s="385"/>
      <c r="BO43" s="385"/>
      <c r="BP43" s="386"/>
    </row>
    <row r="44" spans="1:68" ht="13.5" customHeight="1">
      <c r="A44" s="27"/>
      <c r="B44" s="27"/>
      <c r="H44" s="14"/>
      <c r="P44" s="27"/>
      <c r="V44" s="14"/>
      <c r="W44" s="27"/>
      <c r="AC44" s="14"/>
      <c r="AT44" s="27"/>
      <c r="AX44" s="14"/>
      <c r="AY44" s="14"/>
      <c r="BA44" s="64"/>
      <c r="BE44" s="181"/>
      <c r="BF44" s="385"/>
      <c r="BG44" s="385"/>
      <c r="BH44" s="385"/>
      <c r="BI44" s="385"/>
      <c r="BJ44" s="385"/>
      <c r="BK44" s="385"/>
      <c r="BL44" s="385"/>
      <c r="BM44" s="385"/>
      <c r="BN44" s="385"/>
      <c r="BO44" s="385"/>
      <c r="BP44" s="386"/>
    </row>
    <row r="45" spans="1:68" ht="13.5" customHeight="1">
      <c r="A45" s="27"/>
      <c r="B45" s="27"/>
      <c r="H45" s="14"/>
      <c r="P45" s="27"/>
      <c r="V45" s="14"/>
      <c r="W45" s="27"/>
      <c r="AC45" s="14"/>
      <c r="AT45" s="27"/>
      <c r="AX45" s="14"/>
      <c r="AY45" s="14"/>
      <c r="BA45" s="64"/>
      <c r="BE45" s="181"/>
      <c r="BF45" s="385"/>
      <c r="BG45" s="385"/>
      <c r="BH45" s="385"/>
      <c r="BI45" s="385"/>
      <c r="BJ45" s="385"/>
      <c r="BK45" s="385"/>
      <c r="BL45" s="385"/>
      <c r="BM45" s="385"/>
      <c r="BN45" s="385"/>
      <c r="BO45" s="385"/>
      <c r="BP45" s="386"/>
    </row>
    <row r="46" spans="1:68">
      <c r="A46" s="27"/>
      <c r="B46" s="27"/>
      <c r="H46" s="14"/>
      <c r="P46" s="27"/>
      <c r="V46" s="14"/>
      <c r="W46" s="27"/>
      <c r="AC46" s="14"/>
      <c r="AT46" s="27"/>
      <c r="AX46" s="14"/>
      <c r="AY46" s="14"/>
      <c r="BA46" s="64"/>
      <c r="BE46" s="64"/>
      <c r="BP46" s="65"/>
    </row>
    <row r="47" spans="1:68" ht="14.25" customHeight="1">
      <c r="A47" s="27"/>
      <c r="B47" s="27"/>
      <c r="H47" s="14"/>
      <c r="P47" s="27"/>
      <c r="V47" s="14"/>
      <c r="W47" s="27"/>
      <c r="AC47" s="14"/>
      <c r="AE47" s="16" t="s">
        <v>351</v>
      </c>
      <c r="AT47" s="27"/>
      <c r="AX47" s="14"/>
      <c r="AY47" s="14"/>
      <c r="BA47" s="64"/>
      <c r="BE47" s="214" t="s">
        <v>352</v>
      </c>
      <c r="BF47" s="215"/>
      <c r="BG47" s="215"/>
      <c r="BH47" s="215"/>
      <c r="BI47" s="215"/>
      <c r="BJ47" s="215"/>
      <c r="BK47" s="215"/>
      <c r="BL47" s="215"/>
      <c r="BM47" s="215"/>
      <c r="BN47" s="215"/>
      <c r="BO47" s="215"/>
      <c r="BP47" s="216"/>
    </row>
    <row r="48" spans="1:68" ht="13.5" customHeight="1">
      <c r="A48" s="27"/>
      <c r="B48" s="27"/>
      <c r="H48" s="14"/>
      <c r="P48" s="27"/>
      <c r="V48" s="14"/>
      <c r="W48" s="27"/>
      <c r="AC48" s="14"/>
      <c r="AF48" s="8" t="s">
        <v>422</v>
      </c>
      <c r="AT48" s="27"/>
      <c r="AX48" s="14"/>
      <c r="AY48" s="14"/>
      <c r="BA48" s="64"/>
      <c r="BE48" s="214"/>
      <c r="BF48" s="215"/>
      <c r="BG48" s="215"/>
      <c r="BH48" s="215"/>
      <c r="BI48" s="215"/>
      <c r="BJ48" s="215"/>
      <c r="BK48" s="215"/>
      <c r="BL48" s="215"/>
      <c r="BM48" s="215"/>
      <c r="BN48" s="215"/>
      <c r="BO48" s="215"/>
      <c r="BP48" s="216"/>
    </row>
    <row r="49" spans="1:68" ht="13.5" customHeight="1">
      <c r="A49" s="27"/>
      <c r="B49" s="27"/>
      <c r="H49" s="14"/>
      <c r="P49" s="27"/>
      <c r="V49" s="14"/>
      <c r="W49" s="27"/>
      <c r="AC49" s="14"/>
      <c r="AF49" s="8" t="s">
        <v>354</v>
      </c>
      <c r="AT49" s="27"/>
      <c r="AX49" s="14"/>
      <c r="AY49" s="14"/>
      <c r="BA49" s="64"/>
      <c r="BE49" s="214"/>
      <c r="BF49" s="215"/>
      <c r="BG49" s="215"/>
      <c r="BH49" s="215"/>
      <c r="BI49" s="215"/>
      <c r="BJ49" s="215"/>
      <c r="BK49" s="215"/>
      <c r="BL49" s="215"/>
      <c r="BM49" s="215"/>
      <c r="BN49" s="215"/>
      <c r="BO49" s="215"/>
      <c r="BP49" s="216"/>
    </row>
    <row r="50" spans="1:68" ht="13.5" customHeight="1">
      <c r="A50" s="27"/>
      <c r="B50" s="27"/>
      <c r="H50" s="14"/>
      <c r="P50" s="27"/>
      <c r="V50" s="14"/>
      <c r="W50" s="27"/>
      <c r="AC50" s="14"/>
      <c r="AT50" s="27"/>
      <c r="AX50" s="14"/>
      <c r="AY50" s="14"/>
      <c r="BA50" s="64"/>
      <c r="BE50" s="214"/>
      <c r="BF50" s="215"/>
      <c r="BG50" s="215"/>
      <c r="BH50" s="215"/>
      <c r="BI50" s="215"/>
      <c r="BJ50" s="215"/>
      <c r="BK50" s="215"/>
      <c r="BL50" s="215"/>
      <c r="BM50" s="215"/>
      <c r="BN50" s="215"/>
      <c r="BO50" s="215"/>
      <c r="BP50" s="216"/>
    </row>
    <row r="51" spans="1:68" ht="13.5" customHeight="1">
      <c r="A51" s="27"/>
      <c r="B51" s="27"/>
      <c r="H51" s="14"/>
      <c r="P51" s="27"/>
      <c r="V51" s="14"/>
      <c r="W51" s="27"/>
      <c r="AC51" s="14"/>
      <c r="AT51" s="27"/>
      <c r="AX51" s="14"/>
      <c r="AY51" s="14"/>
      <c r="BA51" s="64"/>
      <c r="BE51" s="214"/>
      <c r="BF51" s="215"/>
      <c r="BG51" s="215"/>
      <c r="BH51" s="215"/>
      <c r="BI51" s="215"/>
      <c r="BJ51" s="215"/>
      <c r="BK51" s="215"/>
      <c r="BL51" s="215"/>
      <c r="BM51" s="215"/>
      <c r="BN51" s="215"/>
      <c r="BO51" s="215"/>
      <c r="BP51" s="216"/>
    </row>
    <row r="52" spans="1:68" ht="13.5" customHeight="1">
      <c r="A52" s="27"/>
      <c r="B52" s="27"/>
      <c r="H52" s="14"/>
      <c r="P52" s="27"/>
      <c r="V52" s="14"/>
      <c r="W52" s="27"/>
      <c r="AC52" s="14"/>
      <c r="AT52" s="27"/>
      <c r="AX52" s="14"/>
      <c r="AY52" s="14"/>
      <c r="BA52" s="64"/>
      <c r="BE52" s="214"/>
      <c r="BF52" s="215"/>
      <c r="BG52" s="215"/>
      <c r="BH52" s="215"/>
      <c r="BI52" s="215"/>
      <c r="BJ52" s="215"/>
      <c r="BK52" s="215"/>
      <c r="BL52" s="215"/>
      <c r="BM52" s="215"/>
      <c r="BN52" s="215"/>
      <c r="BO52" s="215"/>
      <c r="BP52" s="216"/>
    </row>
    <row r="53" spans="1:68" ht="13.5" customHeight="1">
      <c r="A53" s="27"/>
      <c r="B53" s="27"/>
      <c r="H53" s="14"/>
      <c r="P53" s="27"/>
      <c r="V53" s="14"/>
      <c r="W53" s="27"/>
      <c r="AC53" s="14"/>
      <c r="AT53" s="27"/>
      <c r="AX53" s="14"/>
      <c r="AY53" s="14"/>
      <c r="BA53" s="64"/>
      <c r="BE53" s="214"/>
      <c r="BF53" s="215"/>
      <c r="BG53" s="215"/>
      <c r="BH53" s="215"/>
      <c r="BI53" s="215"/>
      <c r="BJ53" s="215"/>
      <c r="BK53" s="215"/>
      <c r="BL53" s="215"/>
      <c r="BM53" s="215"/>
      <c r="BN53" s="215"/>
      <c r="BO53" s="215"/>
      <c r="BP53" s="216"/>
    </row>
    <row r="54" spans="1:68" ht="13.5" customHeight="1">
      <c r="A54" s="27"/>
      <c r="B54" s="27"/>
      <c r="H54" s="14"/>
      <c r="P54" s="27"/>
      <c r="V54" s="14"/>
      <c r="W54" s="27"/>
      <c r="AC54" s="14"/>
      <c r="AT54" s="27"/>
      <c r="AX54" s="14"/>
      <c r="AY54" s="14"/>
      <c r="BA54" s="64"/>
      <c r="BE54" s="214"/>
      <c r="BF54" s="215"/>
      <c r="BG54" s="215"/>
      <c r="BH54" s="215"/>
      <c r="BI54" s="215"/>
      <c r="BJ54" s="215"/>
      <c r="BK54" s="215"/>
      <c r="BL54" s="215"/>
      <c r="BM54" s="215"/>
      <c r="BN54" s="215"/>
      <c r="BO54" s="215"/>
      <c r="BP54" s="216"/>
    </row>
    <row r="55" spans="1:68" ht="13.5" customHeight="1">
      <c r="A55" s="27"/>
      <c r="B55" s="27"/>
      <c r="H55" s="14"/>
      <c r="P55" s="27"/>
      <c r="V55" s="14"/>
      <c r="W55" s="27"/>
      <c r="AC55" s="14"/>
      <c r="AT55" s="27"/>
      <c r="AX55" s="14"/>
      <c r="AY55" s="14"/>
      <c r="BA55" s="64"/>
      <c r="BE55" s="214"/>
      <c r="BF55" s="215"/>
      <c r="BG55" s="215"/>
      <c r="BH55" s="215"/>
      <c r="BI55" s="215"/>
      <c r="BJ55" s="215"/>
      <c r="BK55" s="215"/>
      <c r="BL55" s="215"/>
      <c r="BM55" s="215"/>
      <c r="BN55" s="215"/>
      <c r="BO55" s="215"/>
      <c r="BP55" s="216"/>
    </row>
    <row r="56" spans="1:68" ht="13.5" customHeight="1">
      <c r="A56" s="27"/>
      <c r="B56" s="27"/>
      <c r="H56" s="14"/>
      <c r="P56" s="27"/>
      <c r="V56" s="14"/>
      <c r="W56" s="27"/>
      <c r="AC56" s="14"/>
      <c r="AT56" s="27"/>
      <c r="AX56" s="14"/>
      <c r="AY56" s="14"/>
      <c r="BA56" s="64"/>
      <c r="BE56" s="214"/>
      <c r="BF56" s="215"/>
      <c r="BG56" s="215"/>
      <c r="BH56" s="215"/>
      <c r="BI56" s="215"/>
      <c r="BJ56" s="215"/>
      <c r="BK56" s="215"/>
      <c r="BL56" s="215"/>
      <c r="BM56" s="215"/>
      <c r="BN56" s="215"/>
      <c r="BO56" s="215"/>
      <c r="BP56" s="216"/>
    </row>
    <row r="57" spans="1:68" ht="13.5" customHeight="1">
      <c r="A57" s="27"/>
      <c r="B57" s="27"/>
      <c r="H57" s="14"/>
      <c r="P57" s="27"/>
      <c r="V57" s="14"/>
      <c r="W57" s="27"/>
      <c r="AC57" s="14"/>
      <c r="AT57" s="27"/>
      <c r="AX57" s="14"/>
      <c r="AY57" s="14"/>
      <c r="BA57" s="64"/>
      <c r="BE57" s="214"/>
      <c r="BF57" s="215"/>
      <c r="BG57" s="215"/>
      <c r="BH57" s="215"/>
      <c r="BI57" s="215"/>
      <c r="BJ57" s="215"/>
      <c r="BK57" s="215"/>
      <c r="BL57" s="215"/>
      <c r="BM57" s="215"/>
      <c r="BN57" s="215"/>
      <c r="BO57" s="215"/>
      <c r="BP57" s="216"/>
    </row>
    <row r="58" spans="1:68" ht="13.5" customHeight="1">
      <c r="A58" s="27"/>
      <c r="B58" s="27"/>
      <c r="H58" s="14"/>
      <c r="P58" s="27"/>
      <c r="V58" s="14"/>
      <c r="W58" s="27"/>
      <c r="AC58" s="14"/>
      <c r="AT58" s="27"/>
      <c r="AX58" s="14"/>
      <c r="AY58" s="14"/>
      <c r="BA58" s="64"/>
      <c r="BE58" s="214"/>
      <c r="BF58" s="215"/>
      <c r="BG58" s="215"/>
      <c r="BH58" s="215"/>
      <c r="BI58" s="215"/>
      <c r="BJ58" s="215"/>
      <c r="BK58" s="215"/>
      <c r="BL58" s="215"/>
      <c r="BM58" s="215"/>
      <c r="BN58" s="215"/>
      <c r="BO58" s="215"/>
      <c r="BP58" s="216"/>
    </row>
    <row r="59" spans="1:68" ht="13.5" customHeight="1">
      <c r="A59" s="27"/>
      <c r="B59" s="27"/>
      <c r="H59" s="14"/>
      <c r="P59" s="27"/>
      <c r="V59" s="14"/>
      <c r="W59" s="27"/>
      <c r="AC59" s="14"/>
      <c r="AT59" s="27"/>
      <c r="AX59" s="14"/>
      <c r="AY59" s="14"/>
      <c r="BA59" s="64"/>
      <c r="BE59" s="214"/>
      <c r="BF59" s="215"/>
      <c r="BG59" s="215"/>
      <c r="BH59" s="215"/>
      <c r="BI59" s="215"/>
      <c r="BJ59" s="215"/>
      <c r="BK59" s="215"/>
      <c r="BL59" s="215"/>
      <c r="BM59" s="215"/>
      <c r="BN59" s="215"/>
      <c r="BO59" s="215"/>
      <c r="BP59" s="216"/>
    </row>
    <row r="60" spans="1:68" ht="13.5" customHeight="1">
      <c r="A60" s="27"/>
      <c r="B60" s="27"/>
      <c r="H60" s="14"/>
      <c r="P60" s="27"/>
      <c r="V60" s="14"/>
      <c r="W60" s="27"/>
      <c r="AC60" s="14"/>
      <c r="AT60" s="27"/>
      <c r="AX60" s="14"/>
      <c r="AY60" s="14"/>
      <c r="BA60" s="64"/>
      <c r="BE60" s="214"/>
      <c r="BF60" s="215"/>
      <c r="BG60" s="215"/>
      <c r="BH60" s="215"/>
      <c r="BI60" s="215"/>
      <c r="BJ60" s="215"/>
      <c r="BK60" s="215"/>
      <c r="BL60" s="215"/>
      <c r="BM60" s="215"/>
      <c r="BN60" s="215"/>
      <c r="BO60" s="215"/>
      <c r="BP60" s="216"/>
    </row>
    <row r="61" spans="1:68" ht="13.5" customHeight="1">
      <c r="A61" s="27"/>
      <c r="B61" s="27"/>
      <c r="H61" s="14"/>
      <c r="P61" s="27"/>
      <c r="V61" s="14"/>
      <c r="W61" s="27"/>
      <c r="AC61" s="14"/>
      <c r="AE61" s="16" t="s">
        <v>356</v>
      </c>
      <c r="AT61" s="27"/>
      <c r="AX61" s="14"/>
      <c r="AY61" s="14"/>
      <c r="BA61" s="64"/>
      <c r="BE61" s="214"/>
      <c r="BF61" s="215"/>
      <c r="BG61" s="215"/>
      <c r="BH61" s="215"/>
      <c r="BI61" s="215"/>
      <c r="BJ61" s="215"/>
      <c r="BK61" s="215"/>
      <c r="BL61" s="215"/>
      <c r="BM61" s="215"/>
      <c r="BN61" s="215"/>
      <c r="BO61" s="215"/>
      <c r="BP61" s="216"/>
    </row>
    <row r="62" spans="1:68" ht="13.5" customHeight="1">
      <c r="A62" s="27"/>
      <c r="B62" s="27"/>
      <c r="H62" s="14"/>
      <c r="P62" s="27"/>
      <c r="V62" s="14"/>
      <c r="W62" s="27"/>
      <c r="AC62" s="14"/>
      <c r="AF62" s="8" t="s">
        <v>423</v>
      </c>
      <c r="AT62" s="89" t="s">
        <v>424</v>
      </c>
      <c r="AX62" s="14"/>
      <c r="AY62" s="14"/>
      <c r="BA62" s="64"/>
      <c r="BE62" s="214"/>
      <c r="BF62" s="215"/>
      <c r="BG62" s="215"/>
      <c r="BH62" s="215"/>
      <c r="BI62" s="215"/>
      <c r="BJ62" s="215"/>
      <c r="BK62" s="215"/>
      <c r="BL62" s="215"/>
      <c r="BM62" s="215"/>
      <c r="BN62" s="215"/>
      <c r="BO62" s="215"/>
      <c r="BP62" s="216"/>
    </row>
    <row r="63" spans="1:68" ht="13.5" customHeight="1">
      <c r="A63" s="27"/>
      <c r="B63" s="27"/>
      <c r="H63" s="14"/>
      <c r="P63" s="27"/>
      <c r="V63" s="14"/>
      <c r="W63" s="27"/>
      <c r="AC63" s="14"/>
      <c r="AT63" s="27"/>
      <c r="AX63" s="14"/>
      <c r="AY63" s="14"/>
      <c r="BA63" s="64"/>
      <c r="BE63" s="214"/>
      <c r="BF63" s="215"/>
      <c r="BG63" s="215"/>
      <c r="BH63" s="215"/>
      <c r="BI63" s="215"/>
      <c r="BJ63" s="215"/>
      <c r="BK63" s="215"/>
      <c r="BL63" s="215"/>
      <c r="BM63" s="215"/>
      <c r="BN63" s="215"/>
      <c r="BO63" s="215"/>
      <c r="BP63" s="216"/>
    </row>
    <row r="64" spans="1:68" ht="13.5" customHeight="1">
      <c r="A64" s="27"/>
      <c r="B64" s="27"/>
      <c r="H64" s="14"/>
      <c r="P64" s="27"/>
      <c r="V64" s="14"/>
      <c r="W64" s="27"/>
      <c r="AC64" s="14"/>
      <c r="AT64" s="27"/>
      <c r="AX64" s="14"/>
      <c r="AY64" s="14"/>
      <c r="BA64" s="64"/>
      <c r="BE64" s="214"/>
      <c r="BF64" s="215"/>
      <c r="BG64" s="215"/>
      <c r="BH64" s="215"/>
      <c r="BI64" s="215"/>
      <c r="BJ64" s="215"/>
      <c r="BK64" s="215"/>
      <c r="BL64" s="215"/>
      <c r="BM64" s="215"/>
      <c r="BN64" s="215"/>
      <c r="BO64" s="215"/>
      <c r="BP64" s="216"/>
    </row>
    <row r="65" spans="1:68" ht="13.5" customHeight="1">
      <c r="A65" s="27"/>
      <c r="B65" s="27"/>
      <c r="H65" s="14"/>
      <c r="P65" s="27"/>
      <c r="V65" s="14"/>
      <c r="W65" s="27"/>
      <c r="AC65" s="14"/>
      <c r="AT65" s="27"/>
      <c r="AX65" s="14"/>
      <c r="AY65" s="14"/>
      <c r="BA65" s="64"/>
      <c r="BE65" s="214"/>
      <c r="BF65" s="215"/>
      <c r="BG65" s="215"/>
      <c r="BH65" s="215"/>
      <c r="BI65" s="215"/>
      <c r="BJ65" s="215"/>
      <c r="BK65" s="215"/>
      <c r="BL65" s="215"/>
      <c r="BM65" s="215"/>
      <c r="BN65" s="215"/>
      <c r="BO65" s="215"/>
      <c r="BP65" s="216"/>
    </row>
    <row r="66" spans="1:68" ht="13.5" customHeight="1">
      <c r="A66" s="27"/>
      <c r="B66" s="27"/>
      <c r="H66" s="14"/>
      <c r="P66" s="27"/>
      <c r="V66" s="14"/>
      <c r="W66" s="27"/>
      <c r="AC66" s="14"/>
      <c r="AT66" s="27"/>
      <c r="AX66" s="14"/>
      <c r="AY66" s="14"/>
      <c r="BA66" s="64"/>
      <c r="BE66" s="214"/>
      <c r="BF66" s="215"/>
      <c r="BG66" s="215"/>
      <c r="BH66" s="215"/>
      <c r="BI66" s="215"/>
      <c r="BJ66" s="215"/>
      <c r="BK66" s="215"/>
      <c r="BL66" s="215"/>
      <c r="BM66" s="215"/>
      <c r="BN66" s="215"/>
      <c r="BO66" s="215"/>
      <c r="BP66" s="216"/>
    </row>
    <row r="67" spans="1:68" ht="13.5" customHeight="1">
      <c r="A67" s="27"/>
      <c r="B67" s="27"/>
      <c r="H67" s="14"/>
      <c r="P67" s="27"/>
      <c r="V67" s="14"/>
      <c r="W67" s="27"/>
      <c r="AC67" s="14"/>
      <c r="AT67" s="27"/>
      <c r="AX67" s="14"/>
      <c r="AY67" s="14"/>
      <c r="BA67" s="64"/>
      <c r="BE67" s="214"/>
      <c r="BF67" s="215"/>
      <c r="BG67" s="215"/>
      <c r="BH67" s="215"/>
      <c r="BI67" s="215"/>
      <c r="BJ67" s="215"/>
      <c r="BK67" s="215"/>
      <c r="BL67" s="215"/>
      <c r="BM67" s="215"/>
      <c r="BN67" s="215"/>
      <c r="BO67" s="215"/>
      <c r="BP67" s="216"/>
    </row>
    <row r="68" spans="1:68" ht="13.5" customHeight="1">
      <c r="A68" s="27"/>
      <c r="B68" s="27"/>
      <c r="H68" s="14"/>
      <c r="P68" s="27"/>
      <c r="V68" s="14"/>
      <c r="W68" s="27"/>
      <c r="AC68" s="14"/>
      <c r="AT68" s="27"/>
      <c r="AX68" s="14"/>
      <c r="AY68" s="14"/>
      <c r="BA68" s="64"/>
      <c r="BE68" s="214"/>
      <c r="BF68" s="215"/>
      <c r="BG68" s="215"/>
      <c r="BH68" s="215"/>
      <c r="BI68" s="215"/>
      <c r="BJ68" s="215"/>
      <c r="BK68" s="215"/>
      <c r="BL68" s="215"/>
      <c r="BM68" s="215"/>
      <c r="BN68" s="215"/>
      <c r="BO68" s="215"/>
      <c r="BP68" s="216"/>
    </row>
    <row r="69" spans="1:68" ht="13.5" customHeight="1">
      <c r="A69" s="27"/>
      <c r="B69" s="27"/>
      <c r="H69" s="14"/>
      <c r="P69" s="27"/>
      <c r="V69" s="14"/>
      <c r="W69" s="27"/>
      <c r="AC69" s="14"/>
      <c r="AT69" s="27"/>
      <c r="AX69" s="14"/>
      <c r="AY69" s="14"/>
      <c r="BA69" s="64"/>
      <c r="BE69" s="214"/>
      <c r="BF69" s="215"/>
      <c r="BG69" s="215"/>
      <c r="BH69" s="215"/>
      <c r="BI69" s="215"/>
      <c r="BJ69" s="215"/>
      <c r="BK69" s="215"/>
      <c r="BL69" s="215"/>
      <c r="BM69" s="215"/>
      <c r="BN69" s="215"/>
      <c r="BO69" s="215"/>
      <c r="BP69" s="216"/>
    </row>
    <row r="70" spans="1:68" ht="13.5" customHeight="1">
      <c r="A70" s="27"/>
      <c r="B70" s="27"/>
      <c r="H70" s="14"/>
      <c r="P70" s="27"/>
      <c r="V70" s="14"/>
      <c r="W70" s="27"/>
      <c r="AC70" s="14"/>
      <c r="AT70" s="27"/>
      <c r="AX70" s="14"/>
      <c r="AY70" s="14"/>
      <c r="BA70" s="64"/>
      <c r="BE70" s="214"/>
      <c r="BF70" s="215"/>
      <c r="BG70" s="215"/>
      <c r="BH70" s="215"/>
      <c r="BI70" s="215"/>
      <c r="BJ70" s="215"/>
      <c r="BK70" s="215"/>
      <c r="BL70" s="215"/>
      <c r="BM70" s="215"/>
      <c r="BN70" s="215"/>
      <c r="BO70" s="215"/>
      <c r="BP70" s="216"/>
    </row>
    <row r="71" spans="1:68" ht="13.5" customHeight="1">
      <c r="A71" s="27"/>
      <c r="B71" s="27"/>
      <c r="H71" s="14"/>
      <c r="P71" s="27"/>
      <c r="V71" s="14"/>
      <c r="W71" s="27"/>
      <c r="AC71" s="14"/>
      <c r="AE71" s="16" t="s">
        <v>358</v>
      </c>
      <c r="AT71" s="27"/>
      <c r="AX71" s="14"/>
      <c r="AY71" s="14"/>
      <c r="BA71" s="64"/>
      <c r="BE71" s="214"/>
      <c r="BF71" s="215"/>
      <c r="BG71" s="215"/>
      <c r="BH71" s="215"/>
      <c r="BI71" s="215"/>
      <c r="BJ71" s="215"/>
      <c r="BK71" s="215"/>
      <c r="BL71" s="215"/>
      <c r="BM71" s="215"/>
      <c r="BN71" s="215"/>
      <c r="BO71" s="215"/>
      <c r="BP71" s="216"/>
    </row>
    <row r="72" spans="1:68" ht="13.5" customHeight="1">
      <c r="A72" s="27"/>
      <c r="B72" s="27"/>
      <c r="H72" s="14"/>
      <c r="P72" s="27"/>
      <c r="V72" s="14"/>
      <c r="W72" s="27"/>
      <c r="AC72" s="14"/>
      <c r="AF72" s="8" t="s">
        <v>425</v>
      </c>
      <c r="AT72" s="27"/>
      <c r="AX72" s="14"/>
      <c r="AY72" s="14"/>
      <c r="BA72" s="64"/>
      <c r="BE72" s="214"/>
      <c r="BF72" s="215"/>
      <c r="BG72" s="215"/>
      <c r="BH72" s="215"/>
      <c r="BI72" s="215"/>
      <c r="BJ72" s="215"/>
      <c r="BK72" s="215"/>
      <c r="BL72" s="215"/>
      <c r="BM72" s="215"/>
      <c r="BN72" s="215"/>
      <c r="BO72" s="215"/>
      <c r="BP72" s="216"/>
    </row>
    <row r="73" spans="1:68" ht="13.5" customHeight="1">
      <c r="A73" s="27"/>
      <c r="B73" s="27"/>
      <c r="H73" s="14"/>
      <c r="P73" s="27"/>
      <c r="V73" s="14"/>
      <c r="W73" s="27"/>
      <c r="AC73" s="14"/>
      <c r="AF73" s="8" t="s">
        <v>138</v>
      </c>
      <c r="AG73" s="8" t="s">
        <v>426</v>
      </c>
      <c r="AT73" s="27"/>
      <c r="AX73" s="14"/>
      <c r="AY73" s="14"/>
      <c r="BA73" s="64"/>
      <c r="BE73" s="214"/>
      <c r="BF73" s="215"/>
      <c r="BG73" s="215"/>
      <c r="BH73" s="215"/>
      <c r="BI73" s="215"/>
      <c r="BJ73" s="215"/>
      <c r="BK73" s="215"/>
      <c r="BL73" s="215"/>
      <c r="BM73" s="215"/>
      <c r="BN73" s="215"/>
      <c r="BO73" s="215"/>
      <c r="BP73" s="216"/>
    </row>
    <row r="74" spans="1:68" ht="13.5" customHeight="1">
      <c r="A74" s="27"/>
      <c r="B74" s="27"/>
      <c r="H74" s="14"/>
      <c r="P74" s="27"/>
      <c r="V74" s="14"/>
      <c r="W74" s="27"/>
      <c r="AC74" s="14"/>
      <c r="AF74" s="8" t="s">
        <v>138</v>
      </c>
      <c r="AG74" s="8" t="s">
        <v>427</v>
      </c>
      <c r="AT74" s="27"/>
      <c r="AX74" s="14"/>
      <c r="AY74" s="14"/>
      <c r="BA74" s="64"/>
      <c r="BE74" s="214"/>
      <c r="BF74" s="215"/>
      <c r="BG74" s="215"/>
      <c r="BH74" s="215"/>
      <c r="BI74" s="215"/>
      <c r="BJ74" s="215"/>
      <c r="BK74" s="215"/>
      <c r="BL74" s="215"/>
      <c r="BM74" s="215"/>
      <c r="BN74" s="215"/>
      <c r="BO74" s="215"/>
      <c r="BP74" s="216"/>
    </row>
    <row r="75" spans="1:68" ht="13.5" customHeight="1">
      <c r="A75" s="27"/>
      <c r="B75" s="27"/>
      <c r="H75" s="14"/>
      <c r="P75" s="27"/>
      <c r="V75" s="14"/>
      <c r="W75" s="27"/>
      <c r="AC75" s="14"/>
      <c r="AT75" s="27"/>
      <c r="AX75" s="14"/>
      <c r="AY75" s="14"/>
      <c r="BA75" s="64"/>
      <c r="BE75" s="214"/>
      <c r="BF75" s="215"/>
      <c r="BG75" s="215"/>
      <c r="BH75" s="215"/>
      <c r="BI75" s="215"/>
      <c r="BJ75" s="215"/>
      <c r="BK75" s="215"/>
      <c r="BL75" s="215"/>
      <c r="BM75" s="215"/>
      <c r="BN75" s="215"/>
      <c r="BO75" s="215"/>
      <c r="BP75" s="216"/>
    </row>
    <row r="76" spans="1:68" ht="13.5" customHeight="1">
      <c r="A76" s="27"/>
      <c r="B76" s="27"/>
      <c r="H76" s="14"/>
      <c r="P76" s="27"/>
      <c r="V76" s="14"/>
      <c r="W76" s="27"/>
      <c r="AC76" s="14"/>
      <c r="AT76" s="27"/>
      <c r="AX76" s="14"/>
      <c r="AY76" s="14"/>
      <c r="BA76" s="64"/>
      <c r="BE76" s="214"/>
      <c r="BF76" s="215"/>
      <c r="BG76" s="215"/>
      <c r="BH76" s="215"/>
      <c r="BI76" s="215"/>
      <c r="BJ76" s="215"/>
      <c r="BK76" s="215"/>
      <c r="BL76" s="215"/>
      <c r="BM76" s="215"/>
      <c r="BN76" s="215"/>
      <c r="BO76" s="215"/>
      <c r="BP76" s="216"/>
    </row>
    <row r="77" spans="1:68" ht="13.5" customHeight="1">
      <c r="A77" s="27"/>
      <c r="B77" s="27"/>
      <c r="H77" s="14"/>
      <c r="P77" s="27"/>
      <c r="V77" s="14"/>
      <c r="W77" s="27"/>
      <c r="AC77" s="14"/>
      <c r="AT77" s="27"/>
      <c r="AX77" s="14"/>
      <c r="AY77" s="14"/>
      <c r="BA77" s="64"/>
      <c r="BE77" s="214"/>
      <c r="BF77" s="215"/>
      <c r="BG77" s="215"/>
      <c r="BH77" s="215"/>
      <c r="BI77" s="215"/>
      <c r="BJ77" s="215"/>
      <c r="BK77" s="215"/>
      <c r="BL77" s="215"/>
      <c r="BM77" s="215"/>
      <c r="BN77" s="215"/>
      <c r="BO77" s="215"/>
      <c r="BP77" s="216"/>
    </row>
    <row r="78" spans="1:68" ht="13.5" customHeight="1">
      <c r="A78" s="27"/>
      <c r="B78" s="27"/>
      <c r="H78" s="14"/>
      <c r="P78" s="27"/>
      <c r="V78" s="14"/>
      <c r="W78" s="27"/>
      <c r="AC78" s="14"/>
      <c r="AT78" s="27"/>
      <c r="AX78" s="14"/>
      <c r="AY78" s="14"/>
      <c r="BA78" s="64"/>
      <c r="BE78" s="214"/>
      <c r="BF78" s="215"/>
      <c r="BG78" s="215"/>
      <c r="BH78" s="215"/>
      <c r="BI78" s="215"/>
      <c r="BJ78" s="215"/>
      <c r="BK78" s="215"/>
      <c r="BL78" s="215"/>
      <c r="BM78" s="215"/>
      <c r="BN78" s="215"/>
      <c r="BO78" s="215"/>
      <c r="BP78" s="216"/>
    </row>
    <row r="79" spans="1:68" ht="13.5" customHeight="1">
      <c r="A79" s="27"/>
      <c r="B79" s="27"/>
      <c r="H79" s="14"/>
      <c r="P79" s="27"/>
      <c r="V79" s="14"/>
      <c r="W79" s="27"/>
      <c r="AC79" s="14"/>
      <c r="AT79" s="27"/>
      <c r="AX79" s="14"/>
      <c r="AY79" s="14"/>
      <c r="BA79" s="64"/>
      <c r="BE79" s="214"/>
      <c r="BF79" s="215"/>
      <c r="BG79" s="215"/>
      <c r="BH79" s="215"/>
      <c r="BI79" s="215"/>
      <c r="BJ79" s="215"/>
      <c r="BK79" s="215"/>
      <c r="BL79" s="215"/>
      <c r="BM79" s="215"/>
      <c r="BN79" s="215"/>
      <c r="BO79" s="215"/>
      <c r="BP79" s="216"/>
    </row>
    <row r="80" spans="1:68" ht="13.5" customHeight="1">
      <c r="A80" s="27"/>
      <c r="B80" s="27"/>
      <c r="H80" s="14"/>
      <c r="P80" s="27"/>
      <c r="V80" s="14"/>
      <c r="W80" s="27"/>
      <c r="AC80" s="14"/>
      <c r="AT80" s="27"/>
      <c r="AX80" s="14"/>
      <c r="AY80" s="14"/>
      <c r="BA80" s="64"/>
      <c r="BE80" s="214"/>
      <c r="BF80" s="215"/>
      <c r="BG80" s="215"/>
      <c r="BH80" s="215"/>
      <c r="BI80" s="215"/>
      <c r="BJ80" s="215"/>
      <c r="BK80" s="215"/>
      <c r="BL80" s="215"/>
      <c r="BM80" s="215"/>
      <c r="BN80" s="215"/>
      <c r="BO80" s="215"/>
      <c r="BP80" s="216"/>
    </row>
    <row r="81" spans="1:68" ht="13.5" customHeight="1">
      <c r="A81" s="27"/>
      <c r="B81" s="27"/>
      <c r="H81" s="14"/>
      <c r="P81" s="27"/>
      <c r="V81" s="14"/>
      <c r="W81" s="27"/>
      <c r="AC81" s="14"/>
      <c r="AT81" s="27"/>
      <c r="AX81" s="14"/>
      <c r="AY81" s="14"/>
      <c r="BA81" s="64"/>
      <c r="BE81" s="214"/>
      <c r="BF81" s="215"/>
      <c r="BG81" s="215"/>
      <c r="BH81" s="215"/>
      <c r="BI81" s="215"/>
      <c r="BJ81" s="215"/>
      <c r="BK81" s="215"/>
      <c r="BL81" s="215"/>
      <c r="BM81" s="215"/>
      <c r="BN81" s="215"/>
      <c r="BO81" s="215"/>
      <c r="BP81" s="216"/>
    </row>
    <row r="82" spans="1:68" ht="13.5" customHeight="1">
      <c r="A82" s="27"/>
      <c r="B82" s="27"/>
      <c r="H82" s="14"/>
      <c r="P82" s="27"/>
      <c r="V82" s="14"/>
      <c r="W82" s="27"/>
      <c r="AC82" s="14"/>
      <c r="AT82" s="27"/>
      <c r="AX82" s="14"/>
      <c r="AY82" s="14"/>
      <c r="BA82" s="64"/>
      <c r="BE82" s="214"/>
      <c r="BF82" s="215"/>
      <c r="BG82" s="215"/>
      <c r="BH82" s="215"/>
      <c r="BI82" s="215"/>
      <c r="BJ82" s="215"/>
      <c r="BK82" s="215"/>
      <c r="BL82" s="215"/>
      <c r="BM82" s="215"/>
      <c r="BN82" s="215"/>
      <c r="BO82" s="215"/>
      <c r="BP82" s="216"/>
    </row>
    <row r="83" spans="1:68" ht="13.5" customHeight="1">
      <c r="A83" s="27"/>
      <c r="B83" s="27"/>
      <c r="H83" s="14"/>
      <c r="P83" s="27"/>
      <c r="V83" s="14"/>
      <c r="W83" s="27"/>
      <c r="AC83" s="14"/>
      <c r="AT83" s="27"/>
      <c r="AX83" s="14"/>
      <c r="AY83" s="14"/>
      <c r="BA83" s="64"/>
      <c r="BE83" s="214"/>
      <c r="BF83" s="215"/>
      <c r="BG83" s="215"/>
      <c r="BH83" s="215"/>
      <c r="BI83" s="215"/>
      <c r="BJ83" s="215"/>
      <c r="BK83" s="215"/>
      <c r="BL83" s="215"/>
      <c r="BM83" s="215"/>
      <c r="BN83" s="215"/>
      <c r="BO83" s="215"/>
      <c r="BP83" s="216"/>
    </row>
    <row r="84" spans="1:68" ht="13.5" customHeight="1">
      <c r="A84" s="27"/>
      <c r="B84" s="27"/>
      <c r="H84" s="14"/>
      <c r="P84" s="27"/>
      <c r="V84" s="14"/>
      <c r="W84" s="27"/>
      <c r="AC84" s="14"/>
      <c r="AT84" s="27"/>
      <c r="AX84" s="14"/>
      <c r="AY84" s="14"/>
      <c r="BA84" s="64"/>
      <c r="BE84" s="214"/>
      <c r="BF84" s="215"/>
      <c r="BG84" s="215"/>
      <c r="BH84" s="215"/>
      <c r="BI84" s="215"/>
      <c r="BJ84" s="215"/>
      <c r="BK84" s="215"/>
      <c r="BL84" s="215"/>
      <c r="BM84" s="215"/>
      <c r="BN84" s="215"/>
      <c r="BO84" s="215"/>
      <c r="BP84" s="216"/>
    </row>
    <row r="85" spans="1:68" ht="13.5" customHeight="1">
      <c r="A85" s="27"/>
      <c r="B85" s="27"/>
      <c r="H85" s="14"/>
      <c r="P85" s="27"/>
      <c r="V85" s="14"/>
      <c r="W85" s="27"/>
      <c r="AC85" s="14"/>
      <c r="AT85" s="27"/>
      <c r="AX85" s="14"/>
      <c r="AY85" s="14"/>
      <c r="BA85" s="64"/>
      <c r="BE85" s="214"/>
      <c r="BF85" s="215"/>
      <c r="BG85" s="215"/>
      <c r="BH85" s="215"/>
      <c r="BI85" s="215"/>
      <c r="BJ85" s="215"/>
      <c r="BK85" s="215"/>
      <c r="BL85" s="215"/>
      <c r="BM85" s="215"/>
      <c r="BN85" s="215"/>
      <c r="BO85" s="215"/>
      <c r="BP85" s="216"/>
    </row>
    <row r="86" spans="1:68" ht="13.5" customHeight="1">
      <c r="A86" s="27"/>
      <c r="B86" s="27"/>
      <c r="H86" s="14"/>
      <c r="P86" s="27"/>
      <c r="V86" s="14"/>
      <c r="W86" s="27"/>
      <c r="AC86" s="14"/>
      <c r="AE86" s="16" t="s">
        <v>360</v>
      </c>
      <c r="AT86" s="27"/>
      <c r="AX86" s="14"/>
      <c r="AY86" s="14"/>
      <c r="BA86" s="64"/>
      <c r="BE86" s="214"/>
      <c r="BF86" s="215"/>
      <c r="BG86" s="215"/>
      <c r="BH86" s="215"/>
      <c r="BI86" s="215"/>
      <c r="BJ86" s="215"/>
      <c r="BK86" s="215"/>
      <c r="BL86" s="215"/>
      <c r="BM86" s="215"/>
      <c r="BN86" s="215"/>
      <c r="BO86" s="215"/>
      <c r="BP86" s="216"/>
    </row>
    <row r="87" spans="1:68" ht="13.5" customHeight="1">
      <c r="A87" s="27"/>
      <c r="B87" s="27"/>
      <c r="H87" s="14"/>
      <c r="P87" s="27"/>
      <c r="V87" s="14"/>
      <c r="W87" s="27"/>
      <c r="AC87" s="14"/>
      <c r="AF87" s="8" t="s">
        <v>428</v>
      </c>
      <c r="AT87" s="27"/>
      <c r="AX87" s="14"/>
      <c r="AY87" s="14"/>
      <c r="BA87" s="64"/>
      <c r="BE87" s="214"/>
      <c r="BF87" s="215"/>
      <c r="BG87" s="215"/>
      <c r="BH87" s="215"/>
      <c r="BI87" s="215"/>
      <c r="BJ87" s="215"/>
      <c r="BK87" s="215"/>
      <c r="BL87" s="215"/>
      <c r="BM87" s="215"/>
      <c r="BN87" s="215"/>
      <c r="BO87" s="215"/>
      <c r="BP87" s="216"/>
    </row>
    <row r="88" spans="1:68" ht="13.5" customHeight="1">
      <c r="A88" s="27"/>
      <c r="B88" s="27"/>
      <c r="H88" s="14"/>
      <c r="P88" s="27"/>
      <c r="V88" s="14"/>
      <c r="W88" s="27"/>
      <c r="AC88" s="14"/>
      <c r="AF88" s="8" t="s">
        <v>429</v>
      </c>
      <c r="AT88" s="27"/>
      <c r="AX88" s="14"/>
      <c r="AY88" s="14"/>
      <c r="BA88" s="64"/>
      <c r="BE88" s="214"/>
      <c r="BF88" s="215"/>
      <c r="BG88" s="215"/>
      <c r="BH88" s="215"/>
      <c r="BI88" s="215"/>
      <c r="BJ88" s="215"/>
      <c r="BK88" s="215"/>
      <c r="BL88" s="215"/>
      <c r="BM88" s="215"/>
      <c r="BN88" s="215"/>
      <c r="BO88" s="215"/>
      <c r="BP88" s="216"/>
    </row>
    <row r="89" spans="1:68" ht="13.5" customHeight="1">
      <c r="A89" s="27"/>
      <c r="B89" s="27"/>
      <c r="H89" s="14"/>
      <c r="P89" s="27"/>
      <c r="V89" s="14"/>
      <c r="W89" s="27"/>
      <c r="AC89" s="14"/>
      <c r="AT89" s="27"/>
      <c r="AX89" s="14"/>
      <c r="AY89" s="14"/>
      <c r="BA89" s="64"/>
      <c r="BE89" s="214"/>
      <c r="BF89" s="215"/>
      <c r="BG89" s="215"/>
      <c r="BH89" s="215"/>
      <c r="BI89" s="215"/>
      <c r="BJ89" s="215"/>
      <c r="BK89" s="215"/>
      <c r="BL89" s="215"/>
      <c r="BM89" s="215"/>
      <c r="BN89" s="215"/>
      <c r="BO89" s="215"/>
      <c r="BP89" s="216"/>
    </row>
    <row r="90" spans="1:68" ht="13.5" customHeight="1">
      <c r="A90" s="27"/>
      <c r="B90" s="27"/>
      <c r="H90" s="14"/>
      <c r="P90" s="27"/>
      <c r="V90" s="14"/>
      <c r="W90" s="27"/>
      <c r="AC90" s="14"/>
      <c r="AT90" s="27"/>
      <c r="AX90" s="14"/>
      <c r="AY90" s="14"/>
      <c r="BA90" s="64"/>
      <c r="BE90" s="214"/>
      <c r="BF90" s="215"/>
      <c r="BG90" s="215"/>
      <c r="BH90" s="215"/>
      <c r="BI90" s="215"/>
      <c r="BJ90" s="215"/>
      <c r="BK90" s="215"/>
      <c r="BL90" s="215"/>
      <c r="BM90" s="215"/>
      <c r="BN90" s="215"/>
      <c r="BO90" s="215"/>
      <c r="BP90" s="216"/>
    </row>
    <row r="91" spans="1:68" ht="13.5" customHeight="1">
      <c r="A91" s="27"/>
      <c r="B91" s="27"/>
      <c r="H91" s="14"/>
      <c r="P91" s="27"/>
      <c r="V91" s="14"/>
      <c r="W91" s="27"/>
      <c r="AC91" s="14"/>
      <c r="AT91" s="27"/>
      <c r="AX91" s="14"/>
      <c r="AY91" s="14"/>
      <c r="BA91" s="64"/>
      <c r="BE91" s="214"/>
      <c r="BF91" s="215"/>
      <c r="BG91" s="215"/>
      <c r="BH91" s="215"/>
      <c r="BI91" s="215"/>
      <c r="BJ91" s="215"/>
      <c r="BK91" s="215"/>
      <c r="BL91" s="215"/>
      <c r="BM91" s="215"/>
      <c r="BN91" s="215"/>
      <c r="BO91" s="215"/>
      <c r="BP91" s="216"/>
    </row>
    <row r="92" spans="1:68" ht="13.5" customHeight="1">
      <c r="A92" s="27"/>
      <c r="B92" s="27"/>
      <c r="H92" s="14"/>
      <c r="P92" s="27"/>
      <c r="V92" s="14"/>
      <c r="W92" s="27"/>
      <c r="AC92" s="14"/>
      <c r="AT92" s="27"/>
      <c r="AX92" s="14"/>
      <c r="AY92" s="14"/>
      <c r="BA92" s="64"/>
      <c r="BE92" s="214"/>
      <c r="BF92" s="215"/>
      <c r="BG92" s="215"/>
      <c r="BH92" s="215"/>
      <c r="BI92" s="215"/>
      <c r="BJ92" s="215"/>
      <c r="BK92" s="215"/>
      <c r="BL92" s="215"/>
      <c r="BM92" s="215"/>
      <c r="BN92" s="215"/>
      <c r="BO92" s="215"/>
      <c r="BP92" s="216"/>
    </row>
    <row r="93" spans="1:68" ht="13.5" customHeight="1">
      <c r="A93" s="27"/>
      <c r="B93" s="27"/>
      <c r="H93" s="14"/>
      <c r="P93" s="27"/>
      <c r="V93" s="14"/>
      <c r="W93" s="27"/>
      <c r="AC93" s="14"/>
      <c r="AT93" s="27"/>
      <c r="AX93" s="14"/>
      <c r="AY93" s="14"/>
      <c r="BA93" s="64"/>
      <c r="BE93" s="214"/>
      <c r="BF93" s="215"/>
      <c r="BG93" s="215"/>
      <c r="BH93" s="215"/>
      <c r="BI93" s="215"/>
      <c r="BJ93" s="215"/>
      <c r="BK93" s="215"/>
      <c r="BL93" s="215"/>
      <c r="BM93" s="215"/>
      <c r="BN93" s="215"/>
      <c r="BO93" s="215"/>
      <c r="BP93" s="216"/>
    </row>
    <row r="94" spans="1:68" ht="13.5" customHeight="1">
      <c r="A94" s="27"/>
      <c r="B94" s="27"/>
      <c r="H94" s="14"/>
      <c r="P94" s="27"/>
      <c r="V94" s="14"/>
      <c r="W94" s="27"/>
      <c r="AC94" s="14"/>
      <c r="AT94" s="27"/>
      <c r="AX94" s="14"/>
      <c r="AY94" s="14"/>
      <c r="BA94" s="64"/>
      <c r="BE94" s="214"/>
      <c r="BF94" s="215"/>
      <c r="BG94" s="215"/>
      <c r="BH94" s="215"/>
      <c r="BI94" s="215"/>
      <c r="BJ94" s="215"/>
      <c r="BK94" s="215"/>
      <c r="BL94" s="215"/>
      <c r="BM94" s="215"/>
      <c r="BN94" s="215"/>
      <c r="BO94" s="215"/>
      <c r="BP94" s="216"/>
    </row>
    <row r="95" spans="1:68" ht="13.5" customHeight="1">
      <c r="A95" s="27"/>
      <c r="B95" s="27"/>
      <c r="H95" s="14"/>
      <c r="P95" s="27"/>
      <c r="V95" s="14"/>
      <c r="W95" s="27"/>
      <c r="AC95" s="14"/>
      <c r="AT95" s="27"/>
      <c r="AX95" s="14"/>
      <c r="AY95" s="14"/>
      <c r="BA95" s="64"/>
      <c r="BE95" s="214"/>
      <c r="BF95" s="215"/>
      <c r="BG95" s="215"/>
      <c r="BH95" s="215"/>
      <c r="BI95" s="215"/>
      <c r="BJ95" s="215"/>
      <c r="BK95" s="215"/>
      <c r="BL95" s="215"/>
      <c r="BM95" s="215"/>
      <c r="BN95" s="215"/>
      <c r="BO95" s="215"/>
      <c r="BP95" s="216"/>
    </row>
    <row r="96" spans="1:68" ht="13.5" customHeight="1">
      <c r="A96" s="27"/>
      <c r="B96" s="27"/>
      <c r="H96" s="14"/>
      <c r="P96" s="27"/>
      <c r="V96" s="14"/>
      <c r="W96" s="27"/>
      <c r="AC96" s="14"/>
      <c r="AT96" s="27"/>
      <c r="AX96" s="14"/>
      <c r="AY96" s="14"/>
      <c r="BA96" s="64"/>
      <c r="BE96" s="214"/>
      <c r="BF96" s="215"/>
      <c r="BG96" s="215"/>
      <c r="BH96" s="215"/>
      <c r="BI96" s="215"/>
      <c r="BJ96" s="215"/>
      <c r="BK96" s="215"/>
      <c r="BL96" s="215"/>
      <c r="BM96" s="215"/>
      <c r="BN96" s="215"/>
      <c r="BO96" s="215"/>
      <c r="BP96" s="216"/>
    </row>
    <row r="97" spans="1:68" ht="13.5" customHeight="1">
      <c r="A97" s="27"/>
      <c r="B97" s="27"/>
      <c r="H97" s="14"/>
      <c r="P97" s="27"/>
      <c r="V97" s="14"/>
      <c r="W97" s="27"/>
      <c r="AC97" s="14"/>
      <c r="AE97" s="16" t="s">
        <v>430</v>
      </c>
      <c r="AT97" s="89" t="s">
        <v>364</v>
      </c>
      <c r="AX97" s="14"/>
      <c r="AY97" s="14"/>
      <c r="BA97" s="64"/>
      <c r="BE97" s="214"/>
      <c r="BF97" s="215"/>
      <c r="BG97" s="215"/>
      <c r="BH97" s="215"/>
      <c r="BI97" s="215"/>
      <c r="BJ97" s="215"/>
      <c r="BK97" s="215"/>
      <c r="BL97" s="215"/>
      <c r="BM97" s="215"/>
      <c r="BN97" s="215"/>
      <c r="BO97" s="215"/>
      <c r="BP97" s="216"/>
    </row>
    <row r="98" spans="1:68" ht="13.5" customHeight="1">
      <c r="A98" s="27"/>
      <c r="B98" s="27"/>
      <c r="H98" s="14"/>
      <c r="P98" s="27"/>
      <c r="V98" s="14"/>
      <c r="W98" s="27"/>
      <c r="AC98" s="14"/>
      <c r="AF98" s="8" t="s">
        <v>365</v>
      </c>
      <c r="AT98" s="114" t="s">
        <v>219</v>
      </c>
      <c r="AX98" s="14"/>
      <c r="AY98" s="14"/>
      <c r="BA98" s="64"/>
      <c r="BE98" s="214"/>
      <c r="BF98" s="215"/>
      <c r="BG98" s="215"/>
      <c r="BH98" s="215"/>
      <c r="BI98" s="215"/>
      <c r="BJ98" s="215"/>
      <c r="BK98" s="215"/>
      <c r="BL98" s="215"/>
      <c r="BM98" s="215"/>
      <c r="BN98" s="215"/>
      <c r="BO98" s="215"/>
      <c r="BP98" s="216"/>
    </row>
    <row r="99" spans="1:68" ht="13.5" customHeight="1">
      <c r="A99" s="27"/>
      <c r="B99" s="27"/>
      <c r="H99" s="14"/>
      <c r="P99" s="27"/>
      <c r="V99" s="14"/>
      <c r="W99" s="27"/>
      <c r="AC99" s="14"/>
      <c r="AF99" s="72" t="s">
        <v>128</v>
      </c>
      <c r="AG99" s="73"/>
      <c r="AH99" s="73"/>
      <c r="AI99" s="73"/>
      <c r="AJ99" s="73"/>
      <c r="AK99" s="73"/>
      <c r="AL99" s="73"/>
      <c r="AM99" s="73"/>
      <c r="AN99" s="73"/>
      <c r="AO99" s="73"/>
      <c r="AP99" s="75"/>
      <c r="AT99" s="27"/>
      <c r="AX99" s="14"/>
      <c r="AY99" s="14"/>
      <c r="BA99" s="64"/>
      <c r="BE99" s="214"/>
      <c r="BF99" s="215"/>
      <c r="BG99" s="215"/>
      <c r="BH99" s="215"/>
      <c r="BI99" s="215"/>
      <c r="BJ99" s="215"/>
      <c r="BK99" s="215"/>
      <c r="BL99" s="215"/>
      <c r="BM99" s="215"/>
      <c r="BN99" s="215"/>
      <c r="BO99" s="215"/>
      <c r="BP99" s="216"/>
    </row>
    <row r="100" spans="1:68" ht="13.5" customHeight="1">
      <c r="A100" s="27"/>
      <c r="B100" s="27"/>
      <c r="H100" s="14"/>
      <c r="P100" s="27"/>
      <c r="V100" s="14"/>
      <c r="W100" s="27"/>
      <c r="AC100" s="14"/>
      <c r="AF100" s="51" t="s">
        <v>130</v>
      </c>
      <c r="AG100" s="52"/>
      <c r="AH100" s="52"/>
      <c r="AI100" s="52"/>
      <c r="AJ100" s="52"/>
      <c r="AK100" s="53"/>
      <c r="AL100" s="84" t="s">
        <v>431</v>
      </c>
      <c r="AM100" s="52"/>
      <c r="AN100" s="52"/>
      <c r="AO100" s="52"/>
      <c r="AP100" s="53"/>
      <c r="AT100" s="27"/>
      <c r="AX100" s="14"/>
      <c r="AY100" s="14"/>
      <c r="BA100" s="64"/>
      <c r="BE100" s="214"/>
      <c r="BF100" s="215"/>
      <c r="BG100" s="215"/>
      <c r="BH100" s="215"/>
      <c r="BI100" s="215"/>
      <c r="BJ100" s="215"/>
      <c r="BK100" s="215"/>
      <c r="BL100" s="215"/>
      <c r="BM100" s="215"/>
      <c r="BN100" s="215"/>
      <c r="BO100" s="215"/>
      <c r="BP100" s="216"/>
    </row>
    <row r="101" spans="1:68" ht="13.5" customHeight="1">
      <c r="A101" s="27"/>
      <c r="B101" s="27"/>
      <c r="H101" s="14"/>
      <c r="P101" s="27"/>
      <c r="V101" s="14"/>
      <c r="W101" s="27"/>
      <c r="AC101" s="14"/>
      <c r="AF101" s="27" t="s">
        <v>367</v>
      </c>
      <c r="AK101" s="14"/>
      <c r="AP101" s="14"/>
      <c r="AT101" s="27"/>
      <c r="AX101" s="14"/>
      <c r="AY101" s="14"/>
      <c r="BA101" s="64"/>
      <c r="BE101" s="214"/>
      <c r="BF101" s="215"/>
      <c r="BG101" s="215"/>
      <c r="BH101" s="215"/>
      <c r="BI101" s="215"/>
      <c r="BJ101" s="215"/>
      <c r="BK101" s="215"/>
      <c r="BL101" s="215"/>
      <c r="BM101" s="215"/>
      <c r="BN101" s="215"/>
      <c r="BO101" s="215"/>
      <c r="BP101" s="216"/>
    </row>
    <row r="102" spans="1:68" ht="13.5" customHeight="1">
      <c r="A102" s="27"/>
      <c r="B102" s="27"/>
      <c r="H102" s="14"/>
      <c r="P102" s="27"/>
      <c r="V102" s="14"/>
      <c r="W102" s="27"/>
      <c r="AC102" s="14"/>
      <c r="AF102" s="27" t="s">
        <v>368</v>
      </c>
      <c r="AK102" s="14"/>
      <c r="AP102" s="14"/>
      <c r="AT102" s="27"/>
      <c r="AX102" s="14"/>
      <c r="AY102" s="14"/>
      <c r="BA102" s="64"/>
      <c r="BE102" s="214"/>
      <c r="BF102" s="215"/>
      <c r="BG102" s="215"/>
      <c r="BH102" s="215"/>
      <c r="BI102" s="215"/>
      <c r="BJ102" s="215"/>
      <c r="BK102" s="215"/>
      <c r="BL102" s="215"/>
      <c r="BM102" s="215"/>
      <c r="BN102" s="215"/>
      <c r="BO102" s="215"/>
      <c r="BP102" s="216"/>
    </row>
    <row r="103" spans="1:68" ht="13.5" customHeight="1">
      <c r="A103" s="27"/>
      <c r="B103" s="27"/>
      <c r="H103" s="14"/>
      <c r="P103" s="27"/>
      <c r="V103" s="14"/>
      <c r="W103" s="27"/>
      <c r="AC103" s="14"/>
      <c r="AF103" s="55" t="s">
        <v>369</v>
      </c>
      <c r="AG103" s="10"/>
      <c r="AH103" s="10"/>
      <c r="AI103" s="10"/>
      <c r="AJ103" s="10"/>
      <c r="AK103" s="15"/>
      <c r="AL103" s="10"/>
      <c r="AM103" s="10"/>
      <c r="AN103" s="10"/>
      <c r="AO103" s="10"/>
      <c r="AP103" s="15"/>
      <c r="AT103" s="27"/>
      <c r="AX103" s="14"/>
      <c r="AY103" s="14"/>
      <c r="BA103" s="64"/>
      <c r="BE103" s="214"/>
      <c r="BF103" s="215"/>
      <c r="BG103" s="215"/>
      <c r="BH103" s="215"/>
      <c r="BI103" s="215"/>
      <c r="BJ103" s="215"/>
      <c r="BK103" s="215"/>
      <c r="BL103" s="215"/>
      <c r="BM103" s="215"/>
      <c r="BN103" s="215"/>
      <c r="BO103" s="215"/>
      <c r="BP103" s="216"/>
    </row>
    <row r="104" spans="1:68" ht="13.5" customHeight="1">
      <c r="A104" s="27"/>
      <c r="B104" s="27"/>
      <c r="H104" s="14"/>
      <c r="P104" s="27"/>
      <c r="V104" s="14"/>
      <c r="W104" s="27"/>
      <c r="AC104" s="14"/>
      <c r="AT104" s="27"/>
      <c r="AX104" s="14"/>
      <c r="AY104" s="14"/>
      <c r="BA104" s="64"/>
      <c r="BE104" s="214"/>
      <c r="BF104" s="215"/>
      <c r="BG104" s="215"/>
      <c r="BH104" s="215"/>
      <c r="BI104" s="215"/>
      <c r="BJ104" s="215"/>
      <c r="BK104" s="215"/>
      <c r="BL104" s="215"/>
      <c r="BM104" s="215"/>
      <c r="BN104" s="215"/>
      <c r="BO104" s="215"/>
      <c r="BP104" s="216"/>
    </row>
    <row r="105" spans="1:68" ht="13.5" customHeight="1">
      <c r="A105" s="27"/>
      <c r="B105" s="27"/>
      <c r="H105" s="14"/>
      <c r="P105" s="27"/>
      <c r="V105" s="14"/>
      <c r="W105" s="27"/>
      <c r="AC105" s="14"/>
      <c r="AT105" s="27"/>
      <c r="AX105" s="14"/>
      <c r="AY105" s="14"/>
      <c r="BA105" s="64"/>
      <c r="BE105" s="214"/>
      <c r="BF105" s="215"/>
      <c r="BG105" s="215"/>
      <c r="BH105" s="215"/>
      <c r="BI105" s="215"/>
      <c r="BJ105" s="215"/>
      <c r="BK105" s="215"/>
      <c r="BL105" s="215"/>
      <c r="BM105" s="215"/>
      <c r="BN105" s="215"/>
      <c r="BO105" s="215"/>
      <c r="BP105" s="216"/>
    </row>
    <row r="106" spans="1:68" ht="13.5" customHeight="1">
      <c r="A106" s="27"/>
      <c r="B106" s="27"/>
      <c r="H106" s="14"/>
      <c r="P106" s="27"/>
      <c r="V106" s="14"/>
      <c r="W106" s="27"/>
      <c r="AC106" s="14"/>
      <c r="AE106" s="16" t="s">
        <v>432</v>
      </c>
      <c r="AT106" s="27"/>
      <c r="AX106" s="14"/>
      <c r="AY106" s="14"/>
      <c r="BA106" s="64"/>
      <c r="BE106" s="214"/>
      <c r="BF106" s="215"/>
      <c r="BG106" s="215"/>
      <c r="BH106" s="215"/>
      <c r="BI106" s="215"/>
      <c r="BJ106" s="215"/>
      <c r="BK106" s="215"/>
      <c r="BL106" s="215"/>
      <c r="BM106" s="215"/>
      <c r="BN106" s="215"/>
      <c r="BO106" s="215"/>
      <c r="BP106" s="216"/>
    </row>
    <row r="107" spans="1:68" ht="13.5" customHeight="1">
      <c r="A107" s="27"/>
      <c r="B107" s="27"/>
      <c r="H107" s="14"/>
      <c r="P107" s="27"/>
      <c r="V107" s="14"/>
      <c r="W107" s="27"/>
      <c r="AC107" s="14"/>
      <c r="AF107" s="8" t="s">
        <v>433</v>
      </c>
      <c r="AT107" s="27"/>
      <c r="AX107" s="14"/>
      <c r="AY107" s="14"/>
      <c r="BA107" s="64"/>
      <c r="BE107" s="214"/>
      <c r="BF107" s="215"/>
      <c r="BG107" s="215"/>
      <c r="BH107" s="215"/>
      <c r="BI107" s="215"/>
      <c r="BJ107" s="215"/>
      <c r="BK107" s="215"/>
      <c r="BL107" s="215"/>
      <c r="BM107" s="215"/>
      <c r="BN107" s="215"/>
      <c r="BO107" s="215"/>
      <c r="BP107" s="216"/>
    </row>
    <row r="108" spans="1:68" ht="13.5" customHeight="1">
      <c r="A108" s="27"/>
      <c r="B108" s="27"/>
      <c r="H108" s="14"/>
      <c r="P108" s="27"/>
      <c r="V108" s="14"/>
      <c r="W108" s="27"/>
      <c r="AC108" s="14"/>
      <c r="AF108" s="8" t="s">
        <v>434</v>
      </c>
      <c r="AT108" s="27"/>
      <c r="AX108" s="14"/>
      <c r="AY108" s="14"/>
      <c r="BA108" s="64"/>
      <c r="BE108" s="214"/>
      <c r="BF108" s="215"/>
      <c r="BG108" s="215"/>
      <c r="BH108" s="215"/>
      <c r="BI108" s="215"/>
      <c r="BJ108" s="215"/>
      <c r="BK108" s="215"/>
      <c r="BL108" s="215"/>
      <c r="BM108" s="215"/>
      <c r="BN108" s="215"/>
      <c r="BO108" s="215"/>
      <c r="BP108" s="216"/>
    </row>
    <row r="109" spans="1:68" ht="13.5" customHeight="1">
      <c r="A109" s="27"/>
      <c r="B109" s="27"/>
      <c r="H109" s="14"/>
      <c r="P109" s="27"/>
      <c r="V109" s="14"/>
      <c r="W109" s="27"/>
      <c r="AC109" s="14"/>
      <c r="AF109" s="8" t="s">
        <v>435</v>
      </c>
      <c r="AT109" s="27"/>
      <c r="AX109" s="14"/>
      <c r="AY109" s="14"/>
      <c r="BA109" s="64"/>
      <c r="BE109" s="214"/>
      <c r="BF109" s="215"/>
      <c r="BG109" s="215"/>
      <c r="BH109" s="215"/>
      <c r="BI109" s="215"/>
      <c r="BJ109" s="215"/>
      <c r="BK109" s="215"/>
      <c r="BL109" s="215"/>
      <c r="BM109" s="215"/>
      <c r="BN109" s="215"/>
      <c r="BO109" s="215"/>
      <c r="BP109" s="216"/>
    </row>
    <row r="110" spans="1:68" ht="13.5" customHeight="1">
      <c r="A110" s="27"/>
      <c r="B110" s="27"/>
      <c r="H110" s="14"/>
      <c r="P110" s="27"/>
      <c r="V110" s="14"/>
      <c r="W110" s="27"/>
      <c r="AC110" s="14"/>
      <c r="AF110" s="8" t="s">
        <v>374</v>
      </c>
      <c r="AT110" s="27"/>
      <c r="AX110" s="14"/>
      <c r="AY110" s="14"/>
      <c r="BA110" s="64"/>
      <c r="BE110" s="214"/>
      <c r="BF110" s="215"/>
      <c r="BG110" s="215"/>
      <c r="BH110" s="215"/>
      <c r="BI110" s="215"/>
      <c r="BJ110" s="215"/>
      <c r="BK110" s="215"/>
      <c r="BL110" s="215"/>
      <c r="BM110" s="215"/>
      <c r="BN110" s="215"/>
      <c r="BO110" s="215"/>
      <c r="BP110" s="216"/>
    </row>
    <row r="111" spans="1:68" ht="13.5" customHeight="1">
      <c r="A111" s="27"/>
      <c r="B111" s="27"/>
      <c r="H111" s="14"/>
      <c r="P111" s="27"/>
      <c r="V111" s="14"/>
      <c r="W111" s="27"/>
      <c r="AC111" s="14"/>
      <c r="AF111" s="8" t="s">
        <v>436</v>
      </c>
      <c r="AT111" s="27"/>
      <c r="AX111" s="14"/>
      <c r="AY111" s="14"/>
      <c r="BA111" s="64"/>
      <c r="BE111" s="214"/>
      <c r="BF111" s="215"/>
      <c r="BG111" s="215"/>
      <c r="BH111" s="215"/>
      <c r="BI111" s="215"/>
      <c r="BJ111" s="215"/>
      <c r="BK111" s="215"/>
      <c r="BL111" s="215"/>
      <c r="BM111" s="215"/>
      <c r="BN111" s="215"/>
      <c r="BO111" s="215"/>
      <c r="BP111" s="216"/>
    </row>
    <row r="112" spans="1:68" ht="13.5" customHeight="1">
      <c r="A112" s="27"/>
      <c r="B112" s="27"/>
      <c r="H112" s="14"/>
      <c r="P112" s="27"/>
      <c r="V112" s="14"/>
      <c r="W112" s="27"/>
      <c r="AC112" s="14"/>
      <c r="AF112" s="8" t="s">
        <v>437</v>
      </c>
      <c r="AT112" s="27"/>
      <c r="AX112" s="14"/>
      <c r="AY112" s="14"/>
      <c r="BA112" s="64"/>
      <c r="BE112" s="214"/>
      <c r="BF112" s="215"/>
      <c r="BG112" s="215"/>
      <c r="BH112" s="215"/>
      <c r="BI112" s="215"/>
      <c r="BJ112" s="215"/>
      <c r="BK112" s="215"/>
      <c r="BL112" s="215"/>
      <c r="BM112" s="215"/>
      <c r="BN112" s="215"/>
      <c r="BO112" s="215"/>
      <c r="BP112" s="216"/>
    </row>
    <row r="113" spans="1:69" ht="13.5" customHeight="1">
      <c r="A113" s="27"/>
      <c r="B113" s="27"/>
      <c r="H113" s="14"/>
      <c r="P113" s="27"/>
      <c r="V113" s="14"/>
      <c r="W113" s="27"/>
      <c r="AC113" s="14"/>
      <c r="AT113" s="27"/>
      <c r="AX113" s="14"/>
      <c r="AY113" s="14"/>
      <c r="BA113" s="64"/>
      <c r="BE113" s="214"/>
      <c r="BF113" s="215"/>
      <c r="BG113" s="215"/>
      <c r="BH113" s="215"/>
      <c r="BI113" s="215"/>
      <c r="BJ113" s="215"/>
      <c r="BK113" s="215"/>
      <c r="BL113" s="215"/>
      <c r="BM113" s="215"/>
      <c r="BN113" s="215"/>
      <c r="BO113" s="215"/>
      <c r="BP113" s="216"/>
    </row>
    <row r="114" spans="1:69" ht="13.5" customHeight="1">
      <c r="A114" s="27"/>
      <c r="B114" s="27"/>
      <c r="H114" s="14"/>
      <c r="P114" s="27"/>
      <c r="V114" s="14"/>
      <c r="W114" s="27"/>
      <c r="AC114" s="14"/>
      <c r="AT114" s="27"/>
      <c r="AX114" s="14"/>
      <c r="AY114" s="14"/>
      <c r="BA114" s="64"/>
      <c r="BE114" s="214"/>
      <c r="BF114" s="215"/>
      <c r="BG114" s="215"/>
      <c r="BH114" s="215"/>
      <c r="BI114" s="215"/>
      <c r="BJ114" s="215"/>
      <c r="BK114" s="215"/>
      <c r="BL114" s="215"/>
      <c r="BM114" s="215"/>
      <c r="BN114" s="215"/>
      <c r="BO114" s="215"/>
      <c r="BP114" s="216"/>
    </row>
    <row r="115" spans="1:69" ht="13.5" customHeight="1">
      <c r="A115" s="27"/>
      <c r="B115" s="27"/>
      <c r="H115" s="14"/>
      <c r="P115" s="27"/>
      <c r="V115" s="14"/>
      <c r="W115" s="27"/>
      <c r="AC115" s="14"/>
      <c r="AT115" s="27"/>
      <c r="AX115" s="14"/>
      <c r="AY115" s="14"/>
      <c r="BA115" s="64"/>
      <c r="BE115" s="214"/>
      <c r="BF115" s="215"/>
      <c r="BG115" s="215"/>
      <c r="BH115" s="215"/>
      <c r="BI115" s="215"/>
      <c r="BJ115" s="215"/>
      <c r="BK115" s="215"/>
      <c r="BL115" s="215"/>
      <c r="BM115" s="215"/>
      <c r="BN115" s="215"/>
      <c r="BO115" s="215"/>
      <c r="BP115" s="216"/>
    </row>
    <row r="116" spans="1:69" ht="13.5" customHeight="1">
      <c r="A116" s="27"/>
      <c r="B116" s="27"/>
      <c r="H116" s="14"/>
      <c r="P116" s="27"/>
      <c r="V116" s="14"/>
      <c r="W116" s="27"/>
      <c r="AC116" s="14"/>
      <c r="AT116" s="27"/>
      <c r="AX116" s="14"/>
      <c r="AY116" s="14"/>
      <c r="BA116" s="64"/>
      <c r="BE116" s="214"/>
      <c r="BF116" s="215"/>
      <c r="BG116" s="215"/>
      <c r="BH116" s="215"/>
      <c r="BI116" s="215"/>
      <c r="BJ116" s="215"/>
      <c r="BK116" s="215"/>
      <c r="BL116" s="215"/>
      <c r="BM116" s="215"/>
      <c r="BN116" s="215"/>
      <c r="BO116" s="215"/>
      <c r="BP116" s="216"/>
    </row>
    <row r="117" spans="1:69" ht="13.5" customHeight="1">
      <c r="A117" s="27"/>
      <c r="B117" s="27"/>
      <c r="H117" s="14"/>
      <c r="P117" s="27"/>
      <c r="V117" s="14"/>
      <c r="W117" s="27"/>
      <c r="AC117" s="14"/>
      <c r="AT117" s="27"/>
      <c r="AX117" s="14"/>
      <c r="AY117" s="14"/>
      <c r="BA117" s="64"/>
      <c r="BE117" s="214"/>
      <c r="BF117" s="215"/>
      <c r="BG117" s="215"/>
      <c r="BH117" s="215"/>
      <c r="BI117" s="215"/>
      <c r="BJ117" s="215"/>
      <c r="BK117" s="215"/>
      <c r="BL117" s="215"/>
      <c r="BM117" s="215"/>
      <c r="BN117" s="215"/>
      <c r="BO117" s="215"/>
      <c r="BP117" s="216"/>
    </row>
    <row r="118" spans="1:69" ht="13.5" customHeight="1">
      <c r="A118" s="27"/>
      <c r="B118" s="27"/>
      <c r="H118" s="14"/>
      <c r="P118" s="27"/>
      <c r="V118" s="14"/>
      <c r="W118" s="27"/>
      <c r="AC118" s="14"/>
      <c r="AT118" s="27"/>
      <c r="AX118" s="14"/>
      <c r="AY118" s="14"/>
      <c r="BA118" s="64"/>
      <c r="BE118" s="214"/>
      <c r="BF118" s="215"/>
      <c r="BG118" s="215"/>
      <c r="BH118" s="215"/>
      <c r="BI118" s="215"/>
      <c r="BJ118" s="215"/>
      <c r="BK118" s="215"/>
      <c r="BL118" s="215"/>
      <c r="BM118" s="215"/>
      <c r="BN118" s="215"/>
      <c r="BO118" s="215"/>
      <c r="BP118" s="216"/>
    </row>
    <row r="119" spans="1:69" s="11" customFormat="1" ht="13.5" customHeight="1">
      <c r="A119" s="28"/>
      <c r="B119" s="88" t="s">
        <v>438</v>
      </c>
      <c r="C119" s="77"/>
      <c r="D119" s="77"/>
      <c r="E119" s="77"/>
      <c r="F119" s="77"/>
      <c r="G119" s="77"/>
      <c r="H119" s="78"/>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13"/>
      <c r="BA119" s="59"/>
      <c r="BB119" s="60"/>
      <c r="BC119" s="60"/>
      <c r="BD119" s="60"/>
      <c r="BE119" s="214"/>
      <c r="BF119" s="215"/>
      <c r="BG119" s="215"/>
      <c r="BH119" s="215"/>
      <c r="BI119" s="215"/>
      <c r="BJ119" s="215"/>
      <c r="BK119" s="215"/>
      <c r="BL119" s="215"/>
      <c r="BM119" s="215"/>
      <c r="BN119" s="215"/>
      <c r="BO119" s="215"/>
      <c r="BP119" s="216"/>
    </row>
    <row r="120" spans="1:69" s="11" customFormat="1" ht="13.5" customHeight="1">
      <c r="A120" s="28"/>
      <c r="B120" s="47"/>
      <c r="C120" s="45"/>
      <c r="D120" s="45"/>
      <c r="E120" s="45"/>
      <c r="F120" s="45"/>
      <c r="G120" s="45"/>
      <c r="H120" s="46"/>
      <c r="I120" s="45"/>
      <c r="J120" s="45"/>
      <c r="K120" s="45"/>
      <c r="L120" s="45"/>
      <c r="M120" s="45"/>
      <c r="N120" s="45"/>
      <c r="O120" s="45"/>
      <c r="P120" s="47"/>
      <c r="Q120" s="45"/>
      <c r="R120" s="45"/>
      <c r="S120" s="45"/>
      <c r="T120" s="45"/>
      <c r="U120" s="45"/>
      <c r="V120" s="46"/>
      <c r="W120" s="47"/>
      <c r="X120" s="45"/>
      <c r="Y120" s="45"/>
      <c r="Z120" s="45"/>
      <c r="AA120" s="45"/>
      <c r="AB120" s="45"/>
      <c r="AC120" s="46"/>
      <c r="AD120" s="45"/>
      <c r="AE120" s="45"/>
      <c r="AF120" s="45"/>
      <c r="AG120" s="45"/>
      <c r="AH120" s="45"/>
      <c r="AI120" s="45"/>
      <c r="AJ120" s="45"/>
      <c r="AK120" s="45"/>
      <c r="AL120" s="45"/>
      <c r="AM120" s="45"/>
      <c r="AN120" s="45"/>
      <c r="AO120" s="45"/>
      <c r="AP120" s="45"/>
      <c r="AQ120" s="45"/>
      <c r="AR120" s="45"/>
      <c r="AS120" s="45"/>
      <c r="AT120" s="47"/>
      <c r="AU120" s="45"/>
      <c r="AV120" s="45"/>
      <c r="AW120" s="45"/>
      <c r="AX120" s="46"/>
      <c r="AY120" s="13"/>
      <c r="BA120" s="62"/>
      <c r="BE120" s="214"/>
      <c r="BF120" s="215"/>
      <c r="BG120" s="215"/>
      <c r="BH120" s="215"/>
      <c r="BI120" s="215"/>
      <c r="BJ120" s="215"/>
      <c r="BK120" s="215"/>
      <c r="BL120" s="215"/>
      <c r="BM120" s="215"/>
      <c r="BN120" s="215"/>
      <c r="BO120" s="215"/>
      <c r="BP120" s="216"/>
      <c r="BQ120" s="85"/>
    </row>
    <row r="121" spans="1:69" s="11" customFormat="1" ht="13.5" customHeight="1">
      <c r="A121" s="28"/>
      <c r="B121" s="31"/>
      <c r="C121" s="24"/>
      <c r="D121" s="24"/>
      <c r="E121" s="24"/>
      <c r="F121" s="24"/>
      <c r="G121" s="24"/>
      <c r="H121" s="23"/>
      <c r="I121" s="24"/>
      <c r="J121" s="24"/>
      <c r="K121" s="24"/>
      <c r="L121" s="24"/>
      <c r="M121" s="24"/>
      <c r="N121" s="24"/>
      <c r="O121" s="24"/>
      <c r="P121" s="31"/>
      <c r="Q121" s="24"/>
      <c r="R121" s="24"/>
      <c r="S121" s="24"/>
      <c r="T121" s="24"/>
      <c r="U121" s="24"/>
      <c r="V121" s="23"/>
      <c r="W121" s="31"/>
      <c r="X121" s="24"/>
      <c r="Y121" s="24"/>
      <c r="Z121" s="24"/>
      <c r="AA121" s="24"/>
      <c r="AB121" s="24"/>
      <c r="AC121" s="23"/>
      <c r="AD121" s="24"/>
      <c r="AE121" s="24"/>
      <c r="AF121" s="24"/>
      <c r="AG121" s="24"/>
      <c r="AH121" s="24"/>
      <c r="AI121" s="24"/>
      <c r="AJ121" s="24"/>
      <c r="AK121" s="24"/>
      <c r="AL121" s="24"/>
      <c r="AM121" s="24"/>
      <c r="AN121" s="24"/>
      <c r="AO121" s="24"/>
      <c r="AP121" s="24"/>
      <c r="AQ121" s="24"/>
      <c r="AR121" s="24"/>
      <c r="AS121" s="24"/>
      <c r="AT121" s="31"/>
      <c r="AU121" s="24"/>
      <c r="AV121" s="24"/>
      <c r="AW121" s="24"/>
      <c r="AX121" s="23"/>
      <c r="AY121" s="13"/>
      <c r="BA121" s="62"/>
      <c r="BE121" s="214"/>
      <c r="BF121" s="215"/>
      <c r="BG121" s="215"/>
      <c r="BH121" s="215"/>
      <c r="BI121" s="215"/>
      <c r="BJ121" s="215"/>
      <c r="BK121" s="215"/>
      <c r="BL121" s="215"/>
      <c r="BM121" s="215"/>
      <c r="BN121" s="215"/>
      <c r="BO121" s="215"/>
      <c r="BP121" s="216"/>
      <c r="BQ121" s="85"/>
    </row>
    <row r="122" spans="1:69" s="11" customFormat="1" ht="13.5" customHeight="1">
      <c r="A122" s="28"/>
      <c r="B122" s="31"/>
      <c r="C122" s="24"/>
      <c r="D122" s="24"/>
      <c r="E122" s="24"/>
      <c r="F122" s="24"/>
      <c r="G122" s="24"/>
      <c r="H122" s="23"/>
      <c r="I122" s="24"/>
      <c r="J122" s="24"/>
      <c r="K122" s="24"/>
      <c r="L122" s="24"/>
      <c r="M122" s="24"/>
      <c r="N122" s="24"/>
      <c r="O122" s="24"/>
      <c r="P122" s="31"/>
      <c r="Q122" s="24"/>
      <c r="R122" s="24"/>
      <c r="S122" s="24"/>
      <c r="T122" s="24"/>
      <c r="U122" s="24"/>
      <c r="V122" s="23"/>
      <c r="W122" s="31"/>
      <c r="X122" s="24"/>
      <c r="Y122" s="24"/>
      <c r="Z122" s="24"/>
      <c r="AA122" s="24"/>
      <c r="AB122" s="24"/>
      <c r="AC122" s="23"/>
      <c r="AD122" s="24"/>
      <c r="AE122" s="24"/>
      <c r="AF122" s="24"/>
      <c r="AG122" s="24"/>
      <c r="AH122" s="24"/>
      <c r="AI122" s="24"/>
      <c r="AJ122" s="24"/>
      <c r="AK122" s="24"/>
      <c r="AL122" s="24"/>
      <c r="AM122" s="24"/>
      <c r="AN122" s="24"/>
      <c r="AO122" s="24"/>
      <c r="AP122" s="24"/>
      <c r="AQ122" s="24"/>
      <c r="AR122" s="24"/>
      <c r="AS122" s="24"/>
      <c r="AT122" s="31"/>
      <c r="AU122" s="24"/>
      <c r="AV122" s="24"/>
      <c r="AW122" s="24"/>
      <c r="AX122" s="23"/>
      <c r="AY122" s="13"/>
      <c r="BA122" s="62"/>
      <c r="BE122" s="214"/>
      <c r="BF122" s="215"/>
      <c r="BG122" s="215"/>
      <c r="BH122" s="215"/>
      <c r="BI122" s="215"/>
      <c r="BJ122" s="215"/>
      <c r="BK122" s="215"/>
      <c r="BL122" s="215"/>
      <c r="BM122" s="215"/>
      <c r="BN122" s="215"/>
      <c r="BO122" s="215"/>
      <c r="BP122" s="216"/>
    </row>
    <row r="123" spans="1:69" s="11" customFormat="1" ht="13.5" customHeight="1">
      <c r="A123" s="28"/>
      <c r="B123" s="31"/>
      <c r="C123" s="24"/>
      <c r="D123" s="24"/>
      <c r="E123" s="24"/>
      <c r="F123" s="24"/>
      <c r="G123" s="24"/>
      <c r="H123" s="23"/>
      <c r="I123" s="24"/>
      <c r="J123" s="24"/>
      <c r="K123" s="24"/>
      <c r="L123" s="24"/>
      <c r="M123" s="24"/>
      <c r="N123" s="24"/>
      <c r="O123" s="24"/>
      <c r="P123" s="31"/>
      <c r="Q123" s="24"/>
      <c r="R123" s="24"/>
      <c r="S123" s="24"/>
      <c r="T123" s="24"/>
      <c r="U123" s="24"/>
      <c r="V123" s="23"/>
      <c r="W123" s="31"/>
      <c r="X123" s="24"/>
      <c r="Y123" s="24"/>
      <c r="Z123" s="24"/>
      <c r="AA123" s="24"/>
      <c r="AB123" s="24"/>
      <c r="AC123" s="23"/>
      <c r="AD123" s="24"/>
      <c r="AE123" s="24"/>
      <c r="AF123" s="24"/>
      <c r="AG123" s="24"/>
      <c r="AH123" s="24"/>
      <c r="AI123" s="24"/>
      <c r="AJ123" s="24"/>
      <c r="AK123" s="24"/>
      <c r="AL123" s="24"/>
      <c r="AM123" s="24"/>
      <c r="AN123" s="24"/>
      <c r="AO123" s="24"/>
      <c r="AP123" s="24"/>
      <c r="AQ123" s="24"/>
      <c r="AR123" s="24"/>
      <c r="AS123" s="24"/>
      <c r="AT123" s="31"/>
      <c r="AU123" s="24"/>
      <c r="AV123" s="24"/>
      <c r="AW123" s="24"/>
      <c r="AX123" s="23"/>
      <c r="AY123" s="13"/>
      <c r="BA123" s="62"/>
      <c r="BE123" s="214"/>
      <c r="BF123" s="215"/>
      <c r="BG123" s="215"/>
      <c r="BH123" s="215"/>
      <c r="BI123" s="215"/>
      <c r="BJ123" s="215"/>
      <c r="BK123" s="215"/>
      <c r="BL123" s="215"/>
      <c r="BM123" s="215"/>
      <c r="BN123" s="215"/>
      <c r="BO123" s="215"/>
      <c r="BP123" s="216"/>
    </row>
    <row r="124" spans="1:69" s="11" customFormat="1" ht="13.5" customHeight="1">
      <c r="A124" s="28"/>
      <c r="B124" s="31"/>
      <c r="C124" s="24"/>
      <c r="D124" s="24"/>
      <c r="E124" s="24"/>
      <c r="F124" s="24"/>
      <c r="G124" s="24"/>
      <c r="H124" s="23"/>
      <c r="I124" s="24"/>
      <c r="J124" s="24"/>
      <c r="K124" s="24"/>
      <c r="L124" s="24"/>
      <c r="M124" s="24"/>
      <c r="N124" s="24"/>
      <c r="O124" s="24"/>
      <c r="P124" s="31"/>
      <c r="Q124" s="24"/>
      <c r="R124" s="24"/>
      <c r="S124" s="24"/>
      <c r="T124" s="24"/>
      <c r="U124" s="24"/>
      <c r="V124" s="23"/>
      <c r="W124" s="31"/>
      <c r="X124" s="24"/>
      <c r="Y124" s="24"/>
      <c r="Z124" s="24"/>
      <c r="AA124" s="24"/>
      <c r="AB124" s="24"/>
      <c r="AC124" s="23"/>
      <c r="AD124" s="24"/>
      <c r="AE124" s="24"/>
      <c r="AF124" s="24"/>
      <c r="AG124" s="24"/>
      <c r="AH124" s="24"/>
      <c r="AI124" s="24"/>
      <c r="AJ124" s="24"/>
      <c r="AK124" s="24"/>
      <c r="AL124" s="24"/>
      <c r="AM124" s="24"/>
      <c r="AN124" s="24"/>
      <c r="AO124" s="24"/>
      <c r="AP124" s="24"/>
      <c r="AQ124" s="24"/>
      <c r="AR124" s="24"/>
      <c r="AS124" s="24"/>
      <c r="AT124" s="31"/>
      <c r="AU124" s="24"/>
      <c r="AV124" s="24"/>
      <c r="AW124" s="24"/>
      <c r="AX124" s="23"/>
      <c r="AY124" s="13"/>
      <c r="BA124" s="62"/>
      <c r="BE124" s="214"/>
      <c r="BF124" s="215"/>
      <c r="BG124" s="215"/>
      <c r="BH124" s="215"/>
      <c r="BI124" s="215"/>
      <c r="BJ124" s="215"/>
      <c r="BK124" s="215"/>
      <c r="BL124" s="215"/>
      <c r="BM124" s="215"/>
      <c r="BN124" s="215"/>
      <c r="BO124" s="215"/>
      <c r="BP124" s="216"/>
    </row>
    <row r="125" spans="1:69" s="11" customFormat="1" ht="13.5" customHeight="1">
      <c r="A125" s="28"/>
      <c r="B125" s="31"/>
      <c r="C125" s="24"/>
      <c r="D125" s="24"/>
      <c r="E125" s="24"/>
      <c r="F125" s="24"/>
      <c r="G125" s="24"/>
      <c r="H125" s="23"/>
      <c r="I125" s="24"/>
      <c r="J125" s="24"/>
      <c r="K125" s="24"/>
      <c r="L125" s="24"/>
      <c r="M125" s="24"/>
      <c r="N125" s="24"/>
      <c r="O125" s="24"/>
      <c r="P125" s="31"/>
      <c r="Q125" s="24"/>
      <c r="R125" s="24"/>
      <c r="S125" s="24"/>
      <c r="T125" s="24"/>
      <c r="U125" s="24"/>
      <c r="V125" s="23"/>
      <c r="W125" s="31"/>
      <c r="X125" s="24"/>
      <c r="Y125" s="24"/>
      <c r="Z125" s="24"/>
      <c r="AA125" s="24"/>
      <c r="AB125" s="24"/>
      <c r="AC125" s="23"/>
      <c r="AD125" s="24"/>
      <c r="AH125" s="8"/>
      <c r="AI125" s="8"/>
      <c r="AJ125" s="24"/>
      <c r="AK125" s="24"/>
      <c r="AL125" s="24"/>
      <c r="AM125" s="24"/>
      <c r="AN125" s="24"/>
      <c r="AO125" s="24"/>
      <c r="AP125" s="24"/>
      <c r="AQ125" s="24"/>
      <c r="AR125" s="24"/>
      <c r="AS125" s="24"/>
      <c r="AT125" s="31"/>
      <c r="AU125" s="24"/>
      <c r="AV125" s="24"/>
      <c r="AW125" s="24"/>
      <c r="AX125" s="23"/>
      <c r="AY125" s="13"/>
      <c r="BA125" s="62"/>
      <c r="BE125" s="214"/>
      <c r="BF125" s="215"/>
      <c r="BG125" s="215"/>
      <c r="BH125" s="215"/>
      <c r="BI125" s="215"/>
      <c r="BJ125" s="215"/>
      <c r="BK125" s="215"/>
      <c r="BL125" s="215"/>
      <c r="BM125" s="215"/>
      <c r="BN125" s="215"/>
      <c r="BO125" s="215"/>
      <c r="BP125" s="216"/>
    </row>
    <row r="126" spans="1:69" ht="13.5" customHeight="1">
      <c r="A126" s="27"/>
      <c r="B126" s="27"/>
      <c r="H126" s="14"/>
      <c r="P126" s="27"/>
      <c r="V126" s="14"/>
      <c r="W126" s="27"/>
      <c r="AC126" s="14"/>
      <c r="AT126" s="27"/>
      <c r="AX126" s="14"/>
      <c r="AY126" s="14"/>
      <c r="BA126" s="175"/>
      <c r="BB126" s="176"/>
      <c r="BC126" s="176"/>
      <c r="BD126" s="177"/>
      <c r="BE126" s="214"/>
      <c r="BF126" s="215"/>
      <c r="BG126" s="215"/>
      <c r="BH126" s="215"/>
      <c r="BI126" s="215"/>
      <c r="BJ126" s="215"/>
      <c r="BK126" s="215"/>
      <c r="BL126" s="215"/>
      <c r="BM126" s="215"/>
      <c r="BN126" s="215"/>
      <c r="BO126" s="215"/>
      <c r="BP126" s="216"/>
    </row>
    <row r="127" spans="1:69" ht="13.5" customHeight="1">
      <c r="A127" s="27"/>
      <c r="B127" s="27"/>
      <c r="H127" s="14"/>
      <c r="P127" s="27"/>
      <c r="V127" s="14"/>
      <c r="W127" s="27"/>
      <c r="AC127" s="14"/>
      <c r="AT127" s="27"/>
      <c r="AX127" s="14"/>
      <c r="AY127" s="14"/>
      <c r="BA127" s="175"/>
      <c r="BB127" s="176"/>
      <c r="BC127" s="176"/>
      <c r="BD127" s="177"/>
      <c r="BE127" s="214"/>
      <c r="BF127" s="215"/>
      <c r="BG127" s="215"/>
      <c r="BH127" s="215"/>
      <c r="BI127" s="215"/>
      <c r="BJ127" s="215"/>
      <c r="BK127" s="215"/>
      <c r="BL127" s="215"/>
      <c r="BM127" s="215"/>
      <c r="BN127" s="215"/>
      <c r="BO127" s="215"/>
      <c r="BP127" s="216"/>
    </row>
    <row r="128" spans="1:69" ht="13.5" customHeight="1">
      <c r="A128" s="27"/>
      <c r="B128" s="27"/>
      <c r="H128" s="14"/>
      <c r="P128" s="27"/>
      <c r="V128" s="14"/>
      <c r="W128" s="27"/>
      <c r="AC128" s="14"/>
      <c r="AT128" s="27"/>
      <c r="AX128" s="14"/>
      <c r="AY128" s="14"/>
      <c r="BA128" s="175"/>
      <c r="BB128" s="176"/>
      <c r="BC128" s="176"/>
      <c r="BD128" s="177"/>
      <c r="BE128" s="214"/>
      <c r="BF128" s="215"/>
      <c r="BG128" s="215"/>
      <c r="BH128" s="215"/>
      <c r="BI128" s="215"/>
      <c r="BJ128" s="215"/>
      <c r="BK128" s="215"/>
      <c r="BL128" s="215"/>
      <c r="BM128" s="215"/>
      <c r="BN128" s="215"/>
      <c r="BO128" s="215"/>
      <c r="BP128" s="216"/>
    </row>
    <row r="129" spans="1:68" ht="13.5" customHeight="1">
      <c r="A129" s="27"/>
      <c r="B129" s="27"/>
      <c r="H129" s="14"/>
      <c r="P129" s="27"/>
      <c r="V129" s="14"/>
      <c r="W129" s="27"/>
      <c r="AC129" s="14"/>
      <c r="AT129" s="27"/>
      <c r="AX129" s="14"/>
      <c r="AY129" s="14"/>
      <c r="BA129" s="175"/>
      <c r="BB129" s="176"/>
      <c r="BC129" s="176"/>
      <c r="BD129" s="177"/>
      <c r="BE129" s="214"/>
      <c r="BF129" s="215"/>
      <c r="BG129" s="215"/>
      <c r="BH129" s="215"/>
      <c r="BI129" s="215"/>
      <c r="BJ129" s="215"/>
      <c r="BK129" s="215"/>
      <c r="BL129" s="215"/>
      <c r="BM129" s="215"/>
      <c r="BN129" s="215"/>
      <c r="BO129" s="215"/>
      <c r="BP129" s="216"/>
    </row>
    <row r="130" spans="1:68" ht="13.5" customHeight="1">
      <c r="A130" s="27"/>
      <c r="B130" s="27"/>
      <c r="H130" s="14"/>
      <c r="P130" s="27"/>
      <c r="V130" s="14"/>
      <c r="W130" s="27"/>
      <c r="AC130" s="14"/>
      <c r="AE130" s="16" t="s">
        <v>439</v>
      </c>
      <c r="AT130" s="27"/>
      <c r="AX130" s="14"/>
      <c r="AY130" s="14"/>
      <c r="BA130" s="175"/>
      <c r="BB130" s="176"/>
      <c r="BC130" s="176"/>
      <c r="BD130" s="177"/>
      <c r="BE130" s="214"/>
      <c r="BF130" s="215"/>
      <c r="BG130" s="215"/>
      <c r="BH130" s="215"/>
      <c r="BI130" s="215"/>
      <c r="BJ130" s="215"/>
      <c r="BK130" s="215"/>
      <c r="BL130" s="215"/>
      <c r="BM130" s="215"/>
      <c r="BN130" s="215"/>
      <c r="BO130" s="215"/>
      <c r="BP130" s="216"/>
    </row>
    <row r="131" spans="1:68" ht="13.5" customHeight="1">
      <c r="A131" s="27"/>
      <c r="B131" s="27"/>
      <c r="H131" s="14"/>
      <c r="P131" s="27"/>
      <c r="V131" s="14"/>
      <c r="W131" s="27"/>
      <c r="AC131" s="14"/>
      <c r="AF131" s="8" t="s">
        <v>440</v>
      </c>
      <c r="AT131" s="27"/>
      <c r="AX131" s="14"/>
      <c r="AY131" s="14"/>
      <c r="BA131" s="64"/>
      <c r="BE131" s="214"/>
      <c r="BF131" s="215"/>
      <c r="BG131" s="215"/>
      <c r="BH131" s="215"/>
      <c r="BI131" s="215"/>
      <c r="BJ131" s="215"/>
      <c r="BK131" s="215"/>
      <c r="BL131" s="215"/>
      <c r="BM131" s="215"/>
      <c r="BN131" s="215"/>
      <c r="BO131" s="215"/>
      <c r="BP131" s="216"/>
    </row>
    <row r="132" spans="1:68" ht="13.5" customHeight="1">
      <c r="A132" s="27"/>
      <c r="B132" s="27"/>
      <c r="H132" s="14"/>
      <c r="P132" s="27"/>
      <c r="V132" s="14"/>
      <c r="W132" s="27"/>
      <c r="AC132" s="14"/>
      <c r="AF132" s="8" t="s">
        <v>441</v>
      </c>
      <c r="AT132" s="27"/>
      <c r="AX132" s="14"/>
      <c r="AY132" s="14"/>
      <c r="BA132" s="64"/>
      <c r="BE132" s="214"/>
      <c r="BF132" s="215"/>
      <c r="BG132" s="215"/>
      <c r="BH132" s="215"/>
      <c r="BI132" s="215"/>
      <c r="BJ132" s="215"/>
      <c r="BK132" s="215"/>
      <c r="BL132" s="215"/>
      <c r="BM132" s="215"/>
      <c r="BN132" s="215"/>
      <c r="BO132" s="215"/>
      <c r="BP132" s="216"/>
    </row>
    <row r="133" spans="1:68">
      <c r="A133" s="27"/>
      <c r="B133" s="27"/>
      <c r="H133" s="14"/>
      <c r="P133" s="27"/>
      <c r="V133" s="14"/>
      <c r="W133" s="27"/>
      <c r="AC133" s="14"/>
      <c r="AT133" s="27"/>
      <c r="AX133" s="14"/>
      <c r="AY133" s="14"/>
      <c r="BA133" s="64"/>
      <c r="BE133" s="214"/>
      <c r="BF133" s="215"/>
      <c r="BG133" s="215"/>
      <c r="BH133" s="215"/>
      <c r="BI133" s="215"/>
      <c r="BJ133" s="215"/>
      <c r="BK133" s="215"/>
      <c r="BL133" s="215"/>
      <c r="BM133" s="215"/>
      <c r="BN133" s="215"/>
      <c r="BO133" s="215"/>
      <c r="BP133" s="216"/>
    </row>
    <row r="134" spans="1:68">
      <c r="A134" s="27"/>
      <c r="B134" s="27"/>
      <c r="H134" s="14"/>
      <c r="P134" s="27"/>
      <c r="V134" s="14"/>
      <c r="W134" s="27"/>
      <c r="AC134" s="14"/>
      <c r="AT134" s="27"/>
      <c r="AX134" s="14"/>
      <c r="AY134" s="14"/>
      <c r="BA134" s="64"/>
    </row>
    <row r="135" spans="1:68" ht="13.5" customHeight="1">
      <c r="A135" s="27"/>
      <c r="B135" s="27"/>
      <c r="H135" s="14"/>
      <c r="P135" s="27"/>
      <c r="V135" s="14"/>
      <c r="W135" s="27"/>
      <c r="AC135" s="14"/>
      <c r="AT135" s="27"/>
      <c r="AX135" s="14"/>
      <c r="AY135" s="14"/>
      <c r="BA135" s="64"/>
    </row>
    <row r="136" spans="1:68" ht="13.5" customHeight="1">
      <c r="A136" s="27"/>
      <c r="B136" s="27"/>
      <c r="H136" s="14"/>
      <c r="P136" s="27"/>
      <c r="V136" s="14"/>
      <c r="W136" s="27"/>
      <c r="AC136" s="14"/>
      <c r="AE136" s="16" t="s">
        <v>442</v>
      </c>
      <c r="AT136" s="27"/>
      <c r="AX136" s="14"/>
      <c r="AY136" s="14"/>
      <c r="BA136" s="64"/>
    </row>
    <row r="137" spans="1:68">
      <c r="A137" s="27"/>
      <c r="B137" s="27"/>
      <c r="H137" s="14"/>
      <c r="P137" s="27"/>
      <c r="V137" s="14"/>
      <c r="W137" s="27"/>
      <c r="AC137" s="14"/>
      <c r="AF137" s="8" t="s">
        <v>418</v>
      </c>
      <c r="AT137" s="27"/>
      <c r="AX137" s="14"/>
      <c r="AY137" s="14"/>
      <c r="BA137" s="64"/>
    </row>
    <row r="138" spans="1:68">
      <c r="A138" s="27"/>
      <c r="B138" s="27"/>
      <c r="H138" s="14"/>
      <c r="P138" s="27"/>
      <c r="V138" s="14"/>
      <c r="W138" s="27"/>
      <c r="AC138" s="14"/>
      <c r="AF138" s="8" t="s">
        <v>344</v>
      </c>
      <c r="AT138" s="27"/>
      <c r="AX138" s="14"/>
      <c r="AY138" s="14"/>
      <c r="BA138" s="64"/>
    </row>
    <row r="139" spans="1:68">
      <c r="A139" s="27"/>
      <c r="B139" s="27"/>
      <c r="H139" s="14"/>
      <c r="P139" s="27"/>
      <c r="V139" s="14"/>
      <c r="W139" s="27"/>
      <c r="AC139" s="14"/>
      <c r="AT139" s="27"/>
      <c r="AX139" s="14"/>
      <c r="AY139" s="14"/>
      <c r="BA139" s="64"/>
    </row>
    <row r="140" spans="1:68" ht="13.5" customHeight="1">
      <c r="A140" s="27"/>
      <c r="B140" s="27"/>
      <c r="H140" s="14"/>
      <c r="P140" s="27"/>
      <c r="V140" s="14"/>
      <c r="W140" s="27"/>
      <c r="AC140" s="14"/>
      <c r="AT140" s="27"/>
      <c r="AX140" s="14"/>
      <c r="AY140" s="14"/>
      <c r="BA140" s="64"/>
    </row>
    <row r="141" spans="1:68" ht="13.5" customHeight="1">
      <c r="A141" s="27"/>
      <c r="B141" s="27"/>
      <c r="H141" s="14"/>
      <c r="P141" s="27"/>
      <c r="V141" s="14"/>
      <c r="W141" s="27"/>
      <c r="AC141" s="14"/>
      <c r="AT141" s="27"/>
      <c r="AX141" s="14"/>
      <c r="AY141" s="14"/>
      <c r="BA141" s="64"/>
    </row>
    <row r="142" spans="1:68" ht="13.5" customHeight="1">
      <c r="A142" s="27"/>
      <c r="B142" s="27"/>
      <c r="H142" s="14"/>
      <c r="P142" s="27"/>
      <c r="V142" s="14"/>
      <c r="W142" s="27"/>
      <c r="AC142" s="14"/>
      <c r="AT142" s="27"/>
      <c r="AX142" s="14"/>
      <c r="AY142" s="14"/>
      <c r="BA142" s="64"/>
    </row>
    <row r="143" spans="1:68" ht="13.5" customHeight="1">
      <c r="A143" s="27"/>
      <c r="B143" s="27"/>
      <c r="H143" s="14"/>
      <c r="P143" s="27"/>
      <c r="V143" s="14"/>
      <c r="W143" s="27"/>
      <c r="AC143" s="14"/>
      <c r="AT143" s="27"/>
      <c r="AX143" s="14"/>
      <c r="AY143" s="14"/>
      <c r="BA143" s="64"/>
    </row>
    <row r="144" spans="1:68" ht="13.5" customHeight="1">
      <c r="A144" s="27"/>
      <c r="B144" s="27"/>
      <c r="H144" s="14"/>
      <c r="P144" s="27"/>
      <c r="V144" s="14"/>
      <c r="W144" s="27"/>
      <c r="AC144" s="14"/>
      <c r="AE144" s="16" t="s">
        <v>443</v>
      </c>
      <c r="AT144" s="27"/>
      <c r="AX144" s="14"/>
      <c r="AY144" s="14"/>
      <c r="BA144" s="64"/>
    </row>
    <row r="145" spans="1:53" ht="13.5" customHeight="1">
      <c r="A145" s="27"/>
      <c r="B145" s="27"/>
      <c r="H145" s="14"/>
      <c r="P145" s="27"/>
      <c r="V145" s="14"/>
      <c r="W145" s="27"/>
      <c r="AC145" s="14"/>
      <c r="AF145" s="8" t="s">
        <v>444</v>
      </c>
      <c r="AT145" s="27"/>
      <c r="AX145" s="14"/>
      <c r="AY145" s="14"/>
      <c r="BA145" s="64"/>
    </row>
    <row r="146" spans="1:53" ht="13.5" customHeight="1">
      <c r="A146" s="27"/>
      <c r="B146" s="27"/>
      <c r="H146" s="14"/>
      <c r="P146" s="27"/>
      <c r="V146" s="14"/>
      <c r="W146" s="27"/>
      <c r="AC146" s="14"/>
      <c r="AF146" s="8" t="s">
        <v>445</v>
      </c>
      <c r="AT146" s="27"/>
      <c r="AX146" s="14"/>
      <c r="AY146" s="14"/>
      <c r="BA146" s="64"/>
    </row>
    <row r="147" spans="1:53" ht="13.5" customHeight="1">
      <c r="A147" s="27"/>
      <c r="B147" s="27"/>
      <c r="H147" s="14"/>
      <c r="P147" s="27"/>
      <c r="V147" s="14"/>
      <c r="W147" s="27"/>
      <c r="AC147" s="14"/>
      <c r="AF147" s="8" t="s">
        <v>348</v>
      </c>
      <c r="AT147" s="27"/>
      <c r="AX147" s="14"/>
      <c r="AY147" s="14"/>
      <c r="BA147" s="64"/>
    </row>
    <row r="148" spans="1:53" ht="13.5" customHeight="1">
      <c r="A148" s="27"/>
      <c r="B148" s="27"/>
      <c r="H148" s="14"/>
      <c r="P148" s="27"/>
      <c r="V148" s="14"/>
      <c r="W148" s="27"/>
      <c r="AC148" s="14"/>
      <c r="AF148" s="8" t="s">
        <v>349</v>
      </c>
      <c r="AT148" s="27"/>
      <c r="AX148" s="14"/>
      <c r="AY148" s="14"/>
      <c r="BA148" s="64"/>
    </row>
    <row r="149" spans="1:53" ht="13.5" customHeight="1">
      <c r="A149" s="27"/>
      <c r="B149" s="27"/>
      <c r="H149" s="14"/>
      <c r="P149" s="27"/>
      <c r="V149" s="14"/>
      <c r="W149" s="27"/>
      <c r="AC149" s="14"/>
      <c r="AF149" s="8" t="s">
        <v>350</v>
      </c>
      <c r="AT149" s="27"/>
      <c r="AX149" s="14"/>
      <c r="AY149" s="14"/>
      <c r="BA149" s="64"/>
    </row>
    <row r="150" spans="1:53" ht="13.5" customHeight="1">
      <c r="A150" s="27"/>
      <c r="B150" s="27"/>
      <c r="H150" s="14"/>
      <c r="P150" s="27"/>
      <c r="V150" s="14"/>
      <c r="W150" s="27"/>
      <c r="AC150" s="14"/>
      <c r="AT150" s="27"/>
      <c r="AX150" s="14"/>
      <c r="AY150" s="14"/>
      <c r="BA150" s="64"/>
    </row>
    <row r="151" spans="1:53" ht="13.5" customHeight="1">
      <c r="A151" s="27"/>
      <c r="B151" s="27"/>
      <c r="H151" s="14"/>
      <c r="P151" s="27"/>
      <c r="V151" s="14"/>
      <c r="W151" s="27"/>
      <c r="AC151" s="14"/>
      <c r="AT151" s="27"/>
      <c r="AX151" s="14"/>
      <c r="AY151" s="14"/>
      <c r="BA151" s="64"/>
    </row>
    <row r="152" spans="1:53" ht="13.5" customHeight="1">
      <c r="A152" s="27"/>
      <c r="B152" s="27"/>
      <c r="H152" s="14"/>
      <c r="P152" s="27"/>
      <c r="V152" s="14"/>
      <c r="W152" s="27"/>
      <c r="AC152" s="14"/>
      <c r="AT152" s="27"/>
      <c r="AX152" s="14"/>
      <c r="AY152" s="14"/>
      <c r="BA152" s="64"/>
    </row>
    <row r="153" spans="1:53" ht="13.5" customHeight="1">
      <c r="A153" s="27"/>
      <c r="B153" s="27"/>
      <c r="H153" s="14"/>
      <c r="P153" s="27"/>
      <c r="V153" s="14"/>
      <c r="W153" s="27"/>
      <c r="AC153" s="14"/>
      <c r="AT153" s="27"/>
      <c r="AX153" s="14"/>
      <c r="AY153" s="14"/>
      <c r="BA153" s="64"/>
    </row>
    <row r="154" spans="1:53">
      <c r="A154" s="27"/>
      <c r="B154" s="27"/>
      <c r="H154" s="14"/>
      <c r="P154" s="27"/>
      <c r="V154" s="14"/>
      <c r="W154" s="27"/>
      <c r="AC154" s="14"/>
      <c r="AT154" s="27"/>
      <c r="AX154" s="14"/>
      <c r="AY154" s="14"/>
      <c r="BA154" s="64"/>
    </row>
    <row r="155" spans="1:53" ht="14.25" customHeight="1">
      <c r="A155" s="27"/>
      <c r="B155" s="27"/>
      <c r="H155" s="14"/>
      <c r="P155" s="27"/>
      <c r="V155" s="14"/>
      <c r="W155" s="27"/>
      <c r="AC155" s="14"/>
      <c r="AE155" s="16" t="s">
        <v>351</v>
      </c>
      <c r="AT155" s="27"/>
      <c r="AX155" s="14"/>
      <c r="AY155" s="14"/>
      <c r="BA155" s="64"/>
    </row>
    <row r="156" spans="1:53" ht="13.5" customHeight="1">
      <c r="A156" s="27"/>
      <c r="B156" s="27"/>
      <c r="H156" s="14"/>
      <c r="P156" s="27"/>
      <c r="V156" s="14"/>
      <c r="W156" s="27"/>
      <c r="AC156" s="14"/>
      <c r="AF156" s="8" t="s">
        <v>446</v>
      </c>
      <c r="AT156" s="27"/>
      <c r="AX156" s="14"/>
      <c r="AY156" s="14"/>
      <c r="BA156" s="64"/>
    </row>
    <row r="157" spans="1:53" ht="13.5" customHeight="1">
      <c r="A157" s="27"/>
      <c r="B157" s="27"/>
      <c r="H157" s="14"/>
      <c r="P157" s="27"/>
      <c r="V157" s="14"/>
      <c r="W157" s="27"/>
      <c r="AC157" s="14"/>
      <c r="AF157" s="8" t="s">
        <v>354</v>
      </c>
      <c r="AT157" s="27"/>
      <c r="AX157" s="14"/>
      <c r="AY157" s="14"/>
      <c r="BA157" s="64"/>
    </row>
    <row r="158" spans="1:53" ht="13.5" customHeight="1">
      <c r="A158" s="27"/>
      <c r="B158" s="27"/>
      <c r="H158" s="14"/>
      <c r="P158" s="27"/>
      <c r="V158" s="14"/>
      <c r="W158" s="27"/>
      <c r="AC158" s="14"/>
      <c r="AT158" s="27"/>
      <c r="AX158" s="14"/>
      <c r="AY158" s="14"/>
      <c r="BA158" s="64"/>
    </row>
    <row r="159" spans="1:53" ht="13.5" customHeight="1">
      <c r="A159" s="27"/>
      <c r="B159" s="27"/>
      <c r="H159" s="14"/>
      <c r="P159" s="27"/>
      <c r="V159" s="14"/>
      <c r="W159" s="27"/>
      <c r="AC159" s="14"/>
      <c r="AT159" s="27"/>
      <c r="AX159" s="14"/>
      <c r="AY159" s="14"/>
      <c r="BA159" s="64"/>
    </row>
    <row r="160" spans="1:53" ht="13.5" customHeight="1">
      <c r="A160" s="27"/>
      <c r="B160" s="27"/>
      <c r="H160" s="14"/>
      <c r="P160" s="27"/>
      <c r="V160" s="14"/>
      <c r="W160" s="27"/>
      <c r="AC160" s="14"/>
      <c r="AT160" s="27"/>
      <c r="AX160" s="14"/>
      <c r="AY160" s="14"/>
      <c r="BA160" s="64"/>
    </row>
    <row r="161" spans="1:58" ht="13.5" customHeight="1">
      <c r="A161" s="27"/>
      <c r="B161" s="27"/>
      <c r="H161" s="14"/>
      <c r="P161" s="27"/>
      <c r="V161" s="14"/>
      <c r="W161" s="27"/>
      <c r="AC161" s="14"/>
      <c r="AT161" s="27"/>
      <c r="AX161" s="14"/>
      <c r="AY161" s="14"/>
      <c r="BA161" s="64"/>
    </row>
    <row r="162" spans="1:58" ht="13.5" customHeight="1">
      <c r="A162" s="27"/>
      <c r="B162" s="27"/>
      <c r="H162" s="14"/>
      <c r="P162" s="27"/>
      <c r="V162" s="14"/>
      <c r="W162" s="27"/>
      <c r="AC162" s="14"/>
      <c r="AT162" s="27"/>
      <c r="AX162" s="14"/>
      <c r="AY162" s="14"/>
      <c r="BA162" s="64"/>
    </row>
    <row r="163" spans="1:58" ht="13.5" customHeight="1">
      <c r="A163" s="27"/>
      <c r="B163" s="27"/>
      <c r="H163" s="14"/>
      <c r="P163" s="27"/>
      <c r="V163" s="14"/>
      <c r="W163" s="27"/>
      <c r="AC163" s="14"/>
      <c r="AT163" s="27"/>
      <c r="AX163" s="14"/>
      <c r="AY163" s="14"/>
      <c r="BA163" s="64"/>
    </row>
    <row r="164" spans="1:58" ht="13.5" customHeight="1">
      <c r="A164" s="27"/>
      <c r="B164" s="27"/>
      <c r="H164" s="14"/>
      <c r="P164" s="27"/>
      <c r="V164" s="14"/>
      <c r="W164" s="27"/>
      <c r="AC164" s="14"/>
      <c r="AE164" s="16" t="s">
        <v>447</v>
      </c>
      <c r="AT164" s="89" t="s">
        <v>364</v>
      </c>
      <c r="AX164" s="14"/>
      <c r="AY164" s="14"/>
      <c r="BA164" s="64"/>
    </row>
    <row r="165" spans="1:58" ht="13.5" customHeight="1">
      <c r="A165" s="27"/>
      <c r="B165" s="27"/>
      <c r="H165" s="14"/>
      <c r="P165" s="27"/>
      <c r="V165" s="14"/>
      <c r="W165" s="27"/>
      <c r="AC165" s="14"/>
      <c r="AF165" s="8" t="s">
        <v>365</v>
      </c>
      <c r="AT165" s="27"/>
      <c r="AX165" s="14"/>
      <c r="AY165" s="14"/>
      <c r="BA165" s="64"/>
    </row>
    <row r="166" spans="1:58" ht="13.5" customHeight="1">
      <c r="A166" s="27"/>
      <c r="B166" s="27"/>
      <c r="H166" s="14"/>
      <c r="P166" s="27"/>
      <c r="V166" s="14"/>
      <c r="W166" s="27"/>
      <c r="AC166" s="14"/>
      <c r="AF166" s="72" t="s">
        <v>128</v>
      </c>
      <c r="AG166" s="73"/>
      <c r="AH166" s="73"/>
      <c r="AI166" s="73"/>
      <c r="AJ166" s="73"/>
      <c r="AK166" s="73"/>
      <c r="AL166" s="73"/>
      <c r="AM166" s="73"/>
      <c r="AN166" s="73"/>
      <c r="AO166" s="73"/>
      <c r="AP166" s="75"/>
      <c r="AT166" s="27"/>
      <c r="AX166" s="14"/>
      <c r="AY166" s="14"/>
      <c r="BA166" s="64"/>
    </row>
    <row r="167" spans="1:58" ht="13.5" customHeight="1">
      <c r="A167" s="27"/>
      <c r="B167" s="27"/>
      <c r="H167" s="14"/>
      <c r="P167" s="27"/>
      <c r="V167" s="14"/>
      <c r="W167" s="27"/>
      <c r="AC167" s="14"/>
      <c r="AF167" s="87" t="s">
        <v>431</v>
      </c>
      <c r="AG167" s="58"/>
      <c r="AH167" s="58"/>
      <c r="AI167" s="58"/>
      <c r="AJ167" s="58"/>
      <c r="AK167" s="74"/>
      <c r="AL167" s="87" t="s">
        <v>448</v>
      </c>
      <c r="AM167" s="58"/>
      <c r="AN167" s="58"/>
      <c r="AO167" s="58"/>
      <c r="AP167" s="74"/>
      <c r="AT167" s="27"/>
      <c r="AX167" s="14"/>
      <c r="AY167" s="14"/>
      <c r="BA167" s="64"/>
    </row>
    <row r="168" spans="1:58" ht="13.5" customHeight="1">
      <c r="A168" s="27"/>
      <c r="B168" s="27"/>
      <c r="H168" s="14"/>
      <c r="P168" s="27"/>
      <c r="V168" s="14"/>
      <c r="W168" s="27"/>
      <c r="AC168" s="14"/>
      <c r="AT168" s="27"/>
      <c r="AX168" s="14"/>
      <c r="AY168" s="14"/>
      <c r="BA168" s="64"/>
    </row>
    <row r="169" spans="1:58" ht="13.5" customHeight="1">
      <c r="A169" s="27"/>
      <c r="B169" s="27"/>
      <c r="H169" s="14"/>
      <c r="P169" s="27"/>
      <c r="V169" s="14"/>
      <c r="W169" s="27"/>
      <c r="AC169" s="14"/>
      <c r="AF169" s="8" t="s">
        <v>138</v>
      </c>
      <c r="AG169" s="8" t="s">
        <v>449</v>
      </c>
      <c r="AT169" s="27"/>
      <c r="AX169" s="14"/>
      <c r="AY169" s="14"/>
      <c r="BA169" s="64"/>
    </row>
    <row r="170" spans="1:58" ht="13.5" customHeight="1">
      <c r="A170" s="27"/>
      <c r="B170" s="27"/>
      <c r="H170" s="14"/>
      <c r="P170" s="27"/>
      <c r="V170" s="14"/>
      <c r="W170" s="27"/>
      <c r="AC170" s="14"/>
      <c r="AF170" s="72" t="s">
        <v>128</v>
      </c>
      <c r="AG170" s="73"/>
      <c r="AH170" s="73"/>
      <c r="AI170" s="73"/>
      <c r="AJ170" s="73"/>
      <c r="AK170" s="73"/>
      <c r="AL170" s="73"/>
      <c r="AM170" s="73"/>
      <c r="AN170" s="73"/>
      <c r="AO170" s="75"/>
      <c r="AT170" s="27"/>
      <c r="AX170" s="14"/>
      <c r="AY170" s="14"/>
      <c r="BA170" s="64"/>
      <c r="BB170" s="8" t="s">
        <v>175</v>
      </c>
      <c r="BF170" s="69" t="s">
        <v>450</v>
      </c>
    </row>
    <row r="171" spans="1:58" ht="13.5" customHeight="1">
      <c r="A171" s="27"/>
      <c r="B171" s="27"/>
      <c r="H171" s="14"/>
      <c r="P171" s="27"/>
      <c r="V171" s="14"/>
      <c r="W171" s="27"/>
      <c r="AC171" s="14"/>
      <c r="AF171" s="93" t="s">
        <v>431</v>
      </c>
      <c r="AG171" s="94"/>
      <c r="AH171" s="94"/>
      <c r="AI171" s="94"/>
      <c r="AJ171" s="94"/>
      <c r="AK171" s="95"/>
      <c r="AL171" s="96" t="s">
        <v>451</v>
      </c>
      <c r="AM171" s="94"/>
      <c r="AN171" s="94"/>
      <c r="AO171" s="95"/>
      <c r="AT171" s="27"/>
      <c r="AX171" s="14"/>
      <c r="AY171" s="14"/>
      <c r="BA171" s="64"/>
      <c r="BB171" s="8" t="s">
        <v>268</v>
      </c>
      <c r="BF171" s="69" t="s">
        <v>452</v>
      </c>
    </row>
    <row r="172" spans="1:58" ht="13.5" customHeight="1">
      <c r="A172" s="27"/>
      <c r="B172" s="27"/>
      <c r="H172" s="14"/>
      <c r="P172" s="27"/>
      <c r="V172" s="14"/>
      <c r="W172" s="27"/>
      <c r="AC172" s="14"/>
      <c r="AF172" s="89" t="s">
        <v>451</v>
      </c>
      <c r="AK172" s="14"/>
      <c r="AL172" s="8" t="s">
        <v>453</v>
      </c>
      <c r="AO172" s="14"/>
      <c r="AT172" s="27"/>
      <c r="AX172" s="14"/>
      <c r="AY172" s="14"/>
      <c r="BA172" s="64"/>
    </row>
    <row r="173" spans="1:58" ht="13.5" customHeight="1">
      <c r="A173" s="27"/>
      <c r="B173" s="27"/>
      <c r="H173" s="14"/>
      <c r="P173" s="27"/>
      <c r="V173" s="14"/>
      <c r="W173" s="27"/>
      <c r="AC173" s="14"/>
      <c r="AF173" s="55"/>
      <c r="AG173" s="10"/>
      <c r="AH173" s="10"/>
      <c r="AI173" s="10"/>
      <c r="AJ173" s="10"/>
      <c r="AK173" s="15"/>
      <c r="AL173" s="10" t="s">
        <v>454</v>
      </c>
      <c r="AM173" s="10"/>
      <c r="AN173" s="10"/>
      <c r="AO173" s="15"/>
      <c r="AT173" s="27"/>
      <c r="AX173" s="14"/>
      <c r="AY173" s="14"/>
      <c r="BA173" s="64"/>
    </row>
    <row r="174" spans="1:58" ht="13.5" customHeight="1">
      <c r="A174" s="27"/>
      <c r="B174" s="27"/>
      <c r="H174" s="14"/>
      <c r="P174" s="27"/>
      <c r="V174" s="14"/>
      <c r="W174" s="27"/>
      <c r="AC174" s="14"/>
      <c r="AT174" s="27"/>
      <c r="AX174" s="14"/>
      <c r="AY174" s="14"/>
      <c r="BA174" s="64"/>
    </row>
    <row r="175" spans="1:58" ht="13.5" customHeight="1">
      <c r="A175" s="27"/>
      <c r="B175" s="27"/>
      <c r="H175" s="14"/>
      <c r="P175" s="27"/>
      <c r="V175" s="14"/>
      <c r="W175" s="27"/>
      <c r="AC175" s="14"/>
      <c r="AF175" s="8" t="s">
        <v>138</v>
      </c>
      <c r="AG175" s="8" t="s">
        <v>455</v>
      </c>
      <c r="AT175" s="27"/>
      <c r="AX175" s="14"/>
      <c r="AY175" s="14"/>
      <c r="BA175" s="64"/>
    </row>
    <row r="176" spans="1:58" ht="13.5" customHeight="1">
      <c r="A176" s="27"/>
      <c r="B176" s="27"/>
      <c r="H176" s="14"/>
      <c r="P176" s="27"/>
      <c r="V176" s="14"/>
      <c r="W176" s="27"/>
      <c r="AC176" s="14"/>
      <c r="AG176" s="8" t="s">
        <v>456</v>
      </c>
      <c r="AT176" s="27"/>
      <c r="AX176" s="14"/>
      <c r="AY176" s="14"/>
      <c r="BA176" s="64"/>
    </row>
    <row r="177" spans="1:53" ht="13.5" customHeight="1">
      <c r="A177" s="27"/>
      <c r="B177" s="27"/>
      <c r="H177" s="14"/>
      <c r="P177" s="27"/>
      <c r="V177" s="14"/>
      <c r="W177" s="27"/>
      <c r="AC177" s="14"/>
      <c r="AT177" s="27"/>
      <c r="AX177" s="14"/>
      <c r="AY177" s="14"/>
      <c r="BA177" s="64"/>
    </row>
    <row r="178" spans="1:53" ht="13.5" customHeight="1">
      <c r="A178" s="27"/>
      <c r="B178" s="27"/>
      <c r="H178" s="14"/>
      <c r="P178" s="27"/>
      <c r="V178" s="14"/>
      <c r="W178" s="27"/>
      <c r="AC178" s="14"/>
      <c r="AT178" s="27"/>
      <c r="AX178" s="14"/>
      <c r="AY178" s="14"/>
      <c r="BA178" s="64"/>
    </row>
    <row r="179" spans="1:53" ht="13.5" customHeight="1">
      <c r="A179" s="27"/>
      <c r="B179" s="27"/>
      <c r="H179" s="14"/>
      <c r="P179" s="27"/>
      <c r="V179" s="14"/>
      <c r="W179" s="27"/>
      <c r="AC179" s="14"/>
      <c r="AT179" s="27"/>
      <c r="AX179" s="14"/>
      <c r="AY179" s="14"/>
      <c r="BA179" s="64"/>
    </row>
    <row r="180" spans="1:53" ht="13.5" customHeight="1">
      <c r="A180" s="27"/>
      <c r="B180" s="27"/>
      <c r="H180" s="14"/>
      <c r="P180" s="27"/>
      <c r="V180" s="14"/>
      <c r="W180" s="27"/>
      <c r="AC180" s="14"/>
      <c r="AT180" s="27"/>
      <c r="AX180" s="14"/>
      <c r="AY180" s="14"/>
      <c r="BA180" s="64"/>
    </row>
    <row r="181" spans="1:53" ht="13.5" customHeight="1">
      <c r="A181" s="27"/>
      <c r="B181" s="27"/>
      <c r="H181" s="14"/>
      <c r="P181" s="27"/>
      <c r="V181" s="14"/>
      <c r="W181" s="27"/>
      <c r="AC181" s="14"/>
      <c r="AT181" s="27"/>
      <c r="AX181" s="14"/>
      <c r="AY181" s="14"/>
      <c r="BA181" s="64"/>
    </row>
    <row r="182" spans="1:53" ht="13.5" customHeight="1">
      <c r="A182" s="27"/>
      <c r="B182" s="27"/>
      <c r="H182" s="14"/>
      <c r="P182" s="27"/>
      <c r="V182" s="14"/>
      <c r="W182" s="27"/>
      <c r="AC182" s="14"/>
      <c r="AT182" s="27"/>
      <c r="AX182" s="14"/>
      <c r="AY182" s="14"/>
      <c r="BA182" s="64"/>
    </row>
    <row r="183" spans="1:53" ht="13.5" customHeight="1">
      <c r="A183" s="27"/>
      <c r="B183" s="27"/>
      <c r="H183" s="14"/>
      <c r="P183" s="27"/>
      <c r="V183" s="14"/>
      <c r="W183" s="27"/>
      <c r="AC183" s="14"/>
      <c r="AT183" s="27"/>
      <c r="AX183" s="14"/>
      <c r="AY183" s="14"/>
      <c r="BA183" s="64"/>
    </row>
    <row r="184" spans="1:53" ht="13.5" customHeight="1">
      <c r="A184" s="27"/>
      <c r="B184" s="27"/>
      <c r="H184" s="14"/>
      <c r="P184" s="27"/>
      <c r="V184" s="14"/>
      <c r="W184" s="27"/>
      <c r="AC184" s="14"/>
      <c r="AT184" s="27"/>
      <c r="AX184" s="14"/>
      <c r="AY184" s="14"/>
      <c r="BA184" s="64"/>
    </row>
    <row r="185" spans="1:53" ht="13.5" customHeight="1">
      <c r="A185" s="27"/>
      <c r="B185" s="27"/>
      <c r="H185" s="14"/>
      <c r="P185" s="27"/>
      <c r="V185" s="14"/>
      <c r="W185" s="27"/>
      <c r="AC185" s="14"/>
      <c r="AE185" s="16" t="s">
        <v>457</v>
      </c>
      <c r="AT185" s="27"/>
      <c r="AX185" s="14"/>
      <c r="AY185" s="14"/>
      <c r="BA185" s="64"/>
    </row>
    <row r="186" spans="1:53" ht="13.5" customHeight="1">
      <c r="A186" s="27"/>
      <c r="B186" s="27"/>
      <c r="H186" s="14"/>
      <c r="P186" s="27"/>
      <c r="V186" s="14"/>
      <c r="W186" s="27"/>
      <c r="AC186" s="14"/>
      <c r="AF186" s="8" t="s">
        <v>458</v>
      </c>
      <c r="AT186" s="27"/>
      <c r="AX186" s="14"/>
      <c r="AY186" s="14"/>
      <c r="BA186" s="64"/>
    </row>
    <row r="187" spans="1:53" ht="13.5" customHeight="1">
      <c r="A187" s="27"/>
      <c r="B187" s="27"/>
      <c r="H187" s="14"/>
      <c r="P187" s="27"/>
      <c r="V187" s="14"/>
      <c r="W187" s="27"/>
      <c r="AC187" s="14"/>
      <c r="AF187" s="8" t="s">
        <v>459</v>
      </c>
      <c r="AT187" s="27"/>
      <c r="AX187" s="14"/>
      <c r="AY187" s="14"/>
      <c r="BA187" s="64"/>
    </row>
    <row r="188" spans="1:53" ht="13.5" customHeight="1">
      <c r="A188" s="27"/>
      <c r="B188" s="27"/>
      <c r="H188" s="14"/>
      <c r="P188" s="27"/>
      <c r="V188" s="14"/>
      <c r="W188" s="27"/>
      <c r="AC188" s="14"/>
      <c r="AF188" s="8" t="s">
        <v>460</v>
      </c>
      <c r="AT188" s="27"/>
      <c r="AX188" s="14"/>
      <c r="AY188" s="14"/>
      <c r="BA188" s="64"/>
    </row>
    <row r="189" spans="1:53" ht="13.5" customHeight="1">
      <c r="A189" s="27"/>
      <c r="B189" s="27"/>
      <c r="H189" s="14"/>
      <c r="P189" s="27"/>
      <c r="V189" s="14"/>
      <c r="W189" s="27"/>
      <c r="AC189" s="14"/>
      <c r="AF189" s="8" t="s">
        <v>374</v>
      </c>
      <c r="AT189" s="27"/>
      <c r="AX189" s="14"/>
      <c r="AY189" s="14"/>
      <c r="BA189" s="64"/>
    </row>
    <row r="190" spans="1:53" ht="13.5" customHeight="1">
      <c r="A190" s="27"/>
      <c r="B190" s="27"/>
      <c r="H190" s="14"/>
      <c r="P190" s="27"/>
      <c r="V190" s="14"/>
      <c r="W190" s="27"/>
      <c r="AC190" s="14"/>
      <c r="AF190" s="8" t="s">
        <v>436</v>
      </c>
      <c r="AT190" s="27"/>
      <c r="AX190" s="14"/>
      <c r="AY190" s="14"/>
      <c r="BA190" s="64"/>
    </row>
    <row r="191" spans="1:53" ht="13.5" customHeight="1">
      <c r="A191" s="27"/>
      <c r="B191" s="27"/>
      <c r="H191" s="14"/>
      <c r="P191" s="27"/>
      <c r="V191" s="14"/>
      <c r="W191" s="27"/>
      <c r="AC191" s="14"/>
      <c r="AF191" s="8" t="s">
        <v>437</v>
      </c>
      <c r="AT191" s="27"/>
      <c r="AX191" s="14"/>
      <c r="AY191" s="14"/>
      <c r="BA191" s="64"/>
    </row>
    <row r="192" spans="1:53" ht="13.5" customHeight="1">
      <c r="A192" s="27"/>
      <c r="B192" s="27"/>
      <c r="H192" s="14"/>
      <c r="P192" s="27"/>
      <c r="V192" s="14"/>
      <c r="W192" s="27"/>
      <c r="AC192" s="14"/>
      <c r="AT192" s="27"/>
      <c r="AX192" s="14"/>
      <c r="AY192" s="14"/>
      <c r="BA192" s="64"/>
    </row>
    <row r="193" spans="1:53" ht="13.5" customHeight="1">
      <c r="A193" s="27"/>
      <c r="B193" s="27"/>
      <c r="H193" s="14"/>
      <c r="P193" s="27"/>
      <c r="V193" s="14"/>
      <c r="W193" s="27"/>
      <c r="AC193" s="14"/>
      <c r="AT193" s="27"/>
      <c r="AX193" s="14"/>
      <c r="AY193" s="14"/>
      <c r="BA193" s="64"/>
    </row>
    <row r="194" spans="1:53" ht="13.5" customHeight="1">
      <c r="A194" s="27"/>
      <c r="B194" s="27"/>
      <c r="H194" s="14"/>
      <c r="P194" s="27"/>
      <c r="V194" s="14"/>
      <c r="W194" s="27"/>
      <c r="AC194" s="14"/>
      <c r="AT194" s="27"/>
      <c r="AX194" s="14"/>
      <c r="AY194" s="14"/>
      <c r="BA194" s="64"/>
    </row>
    <row r="195" spans="1:53" ht="13.5" customHeight="1">
      <c r="A195" s="27"/>
      <c r="B195" s="27"/>
      <c r="H195" s="14"/>
      <c r="P195" s="27"/>
      <c r="V195" s="14"/>
      <c r="W195" s="27"/>
      <c r="AC195" s="14"/>
      <c r="AT195" s="27"/>
      <c r="AX195" s="14"/>
      <c r="AY195" s="14"/>
      <c r="BA195" s="64"/>
    </row>
    <row r="196" spans="1:53" ht="13.5" customHeight="1">
      <c r="A196" s="27"/>
      <c r="B196" s="27"/>
      <c r="H196" s="14"/>
      <c r="P196" s="27"/>
      <c r="V196" s="14"/>
      <c r="W196" s="27"/>
      <c r="AC196" s="14"/>
      <c r="AT196" s="27"/>
      <c r="AX196" s="14"/>
      <c r="AY196" s="14"/>
      <c r="BA196" s="64"/>
    </row>
    <row r="197" spans="1:53" ht="13.5" customHeight="1">
      <c r="A197" s="27"/>
      <c r="B197" s="27"/>
      <c r="H197" s="14"/>
      <c r="P197" s="27"/>
      <c r="V197" s="14"/>
      <c r="W197" s="27"/>
      <c r="AC197" s="14"/>
      <c r="AT197" s="27"/>
      <c r="AX197" s="14"/>
      <c r="AY197" s="14"/>
      <c r="BA197" s="64"/>
    </row>
    <row r="198" spans="1:53" ht="13.5" customHeight="1">
      <c r="A198" s="27"/>
      <c r="B198" s="27"/>
      <c r="H198" s="14"/>
      <c r="P198" s="27"/>
      <c r="V198" s="14"/>
      <c r="W198" s="27"/>
      <c r="AC198" s="14"/>
      <c r="AT198" s="27"/>
      <c r="AX198" s="14"/>
      <c r="AY198" s="14"/>
      <c r="BA198" s="64"/>
    </row>
    <row r="199" spans="1:53" ht="13.5" customHeight="1">
      <c r="A199" s="27"/>
      <c r="B199" s="27"/>
      <c r="H199" s="14"/>
      <c r="P199" s="27"/>
      <c r="V199" s="14"/>
      <c r="W199" s="27"/>
      <c r="AC199" s="14"/>
      <c r="AT199" s="27"/>
      <c r="AX199" s="14"/>
      <c r="AY199" s="14"/>
      <c r="BA199" s="64"/>
    </row>
    <row r="200" spans="1:53" ht="13.5" customHeight="1">
      <c r="A200" s="27"/>
      <c r="B200" s="27"/>
      <c r="H200" s="14"/>
      <c r="P200" s="27"/>
      <c r="V200" s="14"/>
      <c r="W200" s="27"/>
      <c r="AC200" s="14"/>
      <c r="AE200" s="16" t="s">
        <v>461</v>
      </c>
      <c r="AT200" s="89" t="s">
        <v>371</v>
      </c>
      <c r="AX200" s="14"/>
      <c r="AY200" s="14"/>
      <c r="BA200" s="64"/>
    </row>
    <row r="201" spans="1:53" ht="13.5" customHeight="1">
      <c r="A201" s="27"/>
      <c r="B201" s="27"/>
      <c r="H201" s="14"/>
      <c r="P201" s="27"/>
      <c r="V201" s="14"/>
      <c r="W201" s="27"/>
      <c r="AC201" s="14"/>
      <c r="AF201" s="8" t="s">
        <v>377</v>
      </c>
      <c r="AT201" s="27"/>
      <c r="AX201" s="14"/>
      <c r="AY201" s="14"/>
      <c r="BA201" s="64"/>
    </row>
    <row r="202" spans="1:53" ht="13.5" customHeight="1">
      <c r="A202" s="27"/>
      <c r="B202" s="27"/>
      <c r="H202" s="14"/>
      <c r="P202" s="27"/>
      <c r="V202" s="14"/>
      <c r="W202" s="27"/>
      <c r="AC202" s="14"/>
      <c r="AF202" s="8" t="s">
        <v>374</v>
      </c>
      <c r="AT202" s="27"/>
      <c r="AX202" s="14"/>
      <c r="AY202" s="14"/>
      <c r="BA202" s="64"/>
    </row>
    <row r="203" spans="1:53" ht="13.5" customHeight="1">
      <c r="A203" s="27"/>
      <c r="B203" s="27"/>
      <c r="H203" s="14"/>
      <c r="P203" s="27"/>
      <c r="V203" s="14"/>
      <c r="W203" s="27"/>
      <c r="AC203" s="14"/>
      <c r="AF203" s="8" t="s">
        <v>378</v>
      </c>
      <c r="AT203" s="27"/>
      <c r="AX203" s="14"/>
      <c r="AY203" s="14"/>
      <c r="BA203" s="64"/>
    </row>
    <row r="204" spans="1:53" ht="13.5" customHeight="1">
      <c r="A204" s="27"/>
      <c r="B204" s="27"/>
      <c r="H204" s="14"/>
      <c r="P204" s="27"/>
      <c r="V204" s="14"/>
      <c r="W204" s="27"/>
      <c r="AC204" s="14"/>
      <c r="AT204" s="27"/>
      <c r="AX204" s="14"/>
      <c r="AY204" s="14"/>
      <c r="BA204" s="64"/>
    </row>
    <row r="205" spans="1:53" ht="13.5" customHeight="1">
      <c r="A205" s="27"/>
      <c r="B205" s="27"/>
      <c r="H205" s="14"/>
      <c r="P205" s="27"/>
      <c r="V205" s="14"/>
      <c r="W205" s="27"/>
      <c r="AC205" s="14"/>
      <c r="AT205" s="27"/>
      <c r="AX205" s="14"/>
      <c r="AY205" s="14"/>
      <c r="BA205" s="64"/>
    </row>
    <row r="206" spans="1:53" ht="13.5" customHeight="1">
      <c r="A206" s="27"/>
      <c r="B206" s="27"/>
      <c r="H206" s="14"/>
      <c r="P206" s="27"/>
      <c r="V206" s="14"/>
      <c r="W206" s="27"/>
      <c r="AC206" s="14"/>
      <c r="AT206" s="27"/>
      <c r="AX206" s="14"/>
      <c r="AY206" s="14"/>
      <c r="BA206" s="64"/>
    </row>
    <row r="207" spans="1:53" ht="13.5" customHeight="1">
      <c r="A207" s="27"/>
      <c r="B207" s="27"/>
      <c r="H207" s="14"/>
      <c r="P207" s="27"/>
      <c r="V207" s="14"/>
      <c r="W207" s="27"/>
      <c r="AC207" s="14"/>
      <c r="AT207" s="27"/>
      <c r="AX207" s="14"/>
      <c r="AY207" s="14"/>
      <c r="BA207" s="64"/>
    </row>
    <row r="208" spans="1:53" ht="13.5" customHeight="1">
      <c r="A208" s="27"/>
      <c r="B208" s="27"/>
      <c r="H208" s="14"/>
      <c r="P208" s="27"/>
      <c r="V208" s="14"/>
      <c r="W208" s="27"/>
      <c r="AC208" s="14"/>
      <c r="AT208" s="27"/>
      <c r="AX208" s="14"/>
      <c r="AY208" s="14"/>
      <c r="BA208" s="64"/>
    </row>
    <row r="209" spans="1:53" ht="13.5" customHeight="1">
      <c r="A209" s="27"/>
      <c r="B209" s="27"/>
      <c r="H209" s="14"/>
      <c r="P209" s="27"/>
      <c r="V209" s="14"/>
      <c r="W209" s="27"/>
      <c r="AC209" s="14"/>
      <c r="AT209" s="27"/>
      <c r="AX209" s="14"/>
      <c r="AY209" s="14"/>
      <c r="BA209" s="64"/>
    </row>
    <row r="210" spans="1:53" ht="13.5" customHeight="1">
      <c r="A210" s="27"/>
      <c r="B210" s="27"/>
      <c r="H210" s="14"/>
      <c r="P210" s="27"/>
      <c r="V210" s="14"/>
      <c r="W210" s="27"/>
      <c r="AC210" s="14"/>
      <c r="AT210" s="27"/>
      <c r="AX210" s="14"/>
      <c r="AY210" s="14"/>
      <c r="BA210" s="64"/>
    </row>
    <row r="211" spans="1:53" ht="13.5" customHeight="1">
      <c r="A211" s="27"/>
      <c r="B211" s="55"/>
      <c r="C211" s="10"/>
      <c r="D211" s="10"/>
      <c r="E211" s="10"/>
      <c r="F211" s="10"/>
      <c r="G211" s="10"/>
      <c r="H211" s="15"/>
      <c r="I211" s="10"/>
      <c r="J211" s="10"/>
      <c r="K211" s="10"/>
      <c r="L211" s="10"/>
      <c r="M211" s="10"/>
      <c r="N211" s="10"/>
      <c r="O211" s="10"/>
      <c r="P211" s="55"/>
      <c r="Q211" s="10"/>
      <c r="R211" s="10"/>
      <c r="S211" s="10"/>
      <c r="T211" s="10"/>
      <c r="U211" s="10"/>
      <c r="V211" s="15"/>
      <c r="W211" s="55"/>
      <c r="X211" s="10"/>
      <c r="Y211" s="10"/>
      <c r="Z211" s="10"/>
      <c r="AA211" s="10"/>
      <c r="AB211" s="10"/>
      <c r="AC211" s="15"/>
      <c r="AD211" s="10"/>
      <c r="AE211" s="10"/>
      <c r="AF211" s="10"/>
      <c r="AG211" s="10"/>
      <c r="AH211" s="10"/>
      <c r="AI211" s="10"/>
      <c r="AJ211" s="10"/>
      <c r="AK211" s="10"/>
      <c r="AL211" s="10"/>
      <c r="AM211" s="10"/>
      <c r="AN211" s="10"/>
      <c r="AO211" s="10"/>
      <c r="AP211" s="10"/>
      <c r="AQ211" s="10"/>
      <c r="AR211" s="10"/>
      <c r="AS211" s="10"/>
      <c r="AT211" s="55"/>
      <c r="AU211" s="10"/>
      <c r="AV211" s="10"/>
      <c r="AW211" s="10"/>
      <c r="AX211" s="15"/>
      <c r="AY211" s="14"/>
      <c r="BA211" s="64"/>
    </row>
    <row r="212" spans="1:53">
      <c r="A212" s="27"/>
      <c r="AY212" s="14"/>
    </row>
    <row r="213" spans="1:53">
      <c r="A213" s="55"/>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5"/>
    </row>
  </sheetData>
  <mergeCells count="30">
    <mergeCell ref="A1:E1"/>
    <mergeCell ref="AT8:AX9"/>
    <mergeCell ref="F1:U1"/>
    <mergeCell ref="V1:AI1"/>
    <mergeCell ref="AJ1:AP1"/>
    <mergeCell ref="AQ1:AV1"/>
    <mergeCell ref="A2:E3"/>
    <mergeCell ref="F2:U3"/>
    <mergeCell ref="V2:AI3"/>
    <mergeCell ref="AJ2:AK2"/>
    <mergeCell ref="AL2:AP2"/>
    <mergeCell ref="AQ2:AV2"/>
    <mergeCell ref="AJ3:AK3"/>
    <mergeCell ref="AL3:AP3"/>
    <mergeCell ref="AQ3:AV3"/>
    <mergeCell ref="BA8:BD9"/>
    <mergeCell ref="BE8:BP9"/>
    <mergeCell ref="P9:V9"/>
    <mergeCell ref="W9:AC9"/>
    <mergeCell ref="B9:H9"/>
    <mergeCell ref="I9:O9"/>
    <mergeCell ref="P8:AC8"/>
    <mergeCell ref="B8:O8"/>
    <mergeCell ref="AD8:AS9"/>
    <mergeCell ref="BE47:BP133"/>
    <mergeCell ref="BE10:BP16"/>
    <mergeCell ref="BA17:BD21"/>
    <mergeCell ref="BE17:BP23"/>
    <mergeCell ref="BE24:BP45"/>
    <mergeCell ref="BA126:BD130"/>
  </mergeCells>
  <phoneticPr fontId="2"/>
  <pageMargins left="0.7" right="0.7" top="0.75" bottom="0.75" header="0.3" footer="0.3"/>
  <pageSetup paperSize="9" scale="69" fitToHeight="0" orientation="portrait"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FF70-ED6F-435E-B2AB-E6F91C80C9FC}">
  <sheetPr codeName="Sheet17"/>
  <dimension ref="A1:AY167"/>
  <sheetViews>
    <sheetView showGridLines="0" zoomScaleNormal="100" workbookViewId="0">
      <pane ySplit="9" topLeftCell="A10" activePane="bottomLeft" state="frozen"/>
      <selection pane="bottomLeft" sqref="A1:E1"/>
      <selection activeCell="AE19" sqref="AE19:AS26"/>
    </sheetView>
  </sheetViews>
  <sheetFormatPr defaultColWidth="2.375" defaultRowHeight="13.5"/>
  <cols>
    <col min="1" max="35" width="2.375" style="8"/>
    <col min="36" max="36" width="2.375" style="8" customWidth="1"/>
    <col min="37" max="16384" width="2.375" style="8"/>
  </cols>
  <sheetData>
    <row r="1" spans="1:51"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51">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51"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5" spans="1:51">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row>
    <row r="7" spans="1:51" s="11" customFormat="1">
      <c r="A7" s="28"/>
      <c r="AY7" s="13"/>
    </row>
    <row r="8" spans="1:51" s="11" customFormat="1" ht="15.75" customHeight="1">
      <c r="A8" s="28"/>
      <c r="B8" s="197" t="s">
        <v>172</v>
      </c>
      <c r="C8" s="198"/>
      <c r="D8" s="198"/>
      <c r="E8" s="198"/>
      <c r="F8" s="198"/>
      <c r="G8" s="198"/>
      <c r="H8" s="198"/>
      <c r="I8" s="198"/>
      <c r="J8" s="198"/>
      <c r="K8" s="198"/>
      <c r="L8" s="198"/>
      <c r="M8" s="198"/>
      <c r="N8" s="198"/>
      <c r="O8" s="199"/>
      <c r="P8" s="202" t="s">
        <v>83</v>
      </c>
      <c r="Q8" s="203"/>
      <c r="R8" s="203"/>
      <c r="S8" s="203"/>
      <c r="T8" s="203"/>
      <c r="U8" s="203"/>
      <c r="V8" s="204"/>
      <c r="W8" s="203"/>
      <c r="X8" s="203"/>
      <c r="Y8" s="203"/>
      <c r="Z8" s="203"/>
      <c r="AA8" s="203"/>
      <c r="AB8" s="203"/>
      <c r="AC8" s="204"/>
      <c r="AD8" s="201" t="s">
        <v>101</v>
      </c>
      <c r="AE8" s="201"/>
      <c r="AF8" s="201"/>
      <c r="AG8" s="201"/>
      <c r="AH8" s="201"/>
      <c r="AI8" s="201"/>
      <c r="AJ8" s="201"/>
      <c r="AK8" s="201"/>
      <c r="AL8" s="201"/>
      <c r="AM8" s="201"/>
      <c r="AN8" s="201"/>
      <c r="AO8" s="201"/>
      <c r="AP8" s="201"/>
      <c r="AQ8" s="201"/>
      <c r="AR8" s="201"/>
      <c r="AS8" s="201"/>
      <c r="AT8" s="200" t="s">
        <v>103</v>
      </c>
      <c r="AU8" s="201"/>
      <c r="AV8" s="201"/>
      <c r="AW8" s="201"/>
      <c r="AX8" s="201"/>
      <c r="AY8" s="13"/>
    </row>
    <row r="9" spans="1:51" s="11" customFormat="1">
      <c r="A9" s="28"/>
      <c r="B9" s="197" t="s">
        <v>89</v>
      </c>
      <c r="C9" s="198"/>
      <c r="D9" s="198"/>
      <c r="E9" s="198"/>
      <c r="F9" s="198"/>
      <c r="G9" s="198"/>
      <c r="H9" s="199"/>
      <c r="I9" s="197" t="s">
        <v>90</v>
      </c>
      <c r="J9" s="198"/>
      <c r="K9" s="198"/>
      <c r="L9" s="198"/>
      <c r="M9" s="198"/>
      <c r="N9" s="198"/>
      <c r="O9" s="199"/>
      <c r="P9" s="202" t="s">
        <v>98</v>
      </c>
      <c r="Q9" s="203"/>
      <c r="R9" s="203"/>
      <c r="S9" s="203"/>
      <c r="T9" s="203"/>
      <c r="U9" s="203"/>
      <c r="V9" s="204"/>
      <c r="W9" s="202" t="s">
        <v>100</v>
      </c>
      <c r="X9" s="203"/>
      <c r="Y9" s="203"/>
      <c r="Z9" s="203"/>
      <c r="AA9" s="203"/>
      <c r="AB9" s="203"/>
      <c r="AC9" s="204"/>
      <c r="AD9" s="201"/>
      <c r="AE9" s="201"/>
      <c r="AF9" s="201"/>
      <c r="AG9" s="201"/>
      <c r="AH9" s="201"/>
      <c r="AI9" s="201"/>
      <c r="AJ9" s="201"/>
      <c r="AK9" s="201"/>
      <c r="AL9" s="201"/>
      <c r="AM9" s="201"/>
      <c r="AN9" s="201"/>
      <c r="AO9" s="201"/>
      <c r="AP9" s="201"/>
      <c r="AQ9" s="201"/>
      <c r="AR9" s="201"/>
      <c r="AS9" s="201"/>
      <c r="AT9" s="201"/>
      <c r="AU9" s="201"/>
      <c r="AV9" s="201"/>
      <c r="AW9" s="201"/>
      <c r="AX9" s="201"/>
      <c r="AY9" s="13"/>
    </row>
    <row r="10" spans="1:51" s="11" customFormat="1">
      <c r="A10" s="28"/>
      <c r="B10" s="36" t="s">
        <v>462</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13"/>
    </row>
    <row r="11" spans="1:51" s="11" customFormat="1">
      <c r="A11" s="28"/>
      <c r="B11" s="47"/>
      <c r="C11" s="45"/>
      <c r="D11" s="45"/>
      <c r="E11" s="45"/>
      <c r="F11" s="45"/>
      <c r="G11" s="45"/>
      <c r="H11" s="45"/>
      <c r="I11" s="47"/>
      <c r="J11" s="45"/>
      <c r="K11" s="45"/>
      <c r="L11" s="45"/>
      <c r="M11" s="45"/>
      <c r="N11" s="45"/>
      <c r="O11" s="45"/>
      <c r="P11" s="47"/>
      <c r="Q11" s="45"/>
      <c r="R11" s="45"/>
      <c r="S11" s="45"/>
      <c r="T11" s="45"/>
      <c r="U11" s="45"/>
      <c r="V11" s="46"/>
      <c r="W11" s="47"/>
      <c r="X11" s="45"/>
      <c r="Y11" s="45"/>
      <c r="Z11" s="45"/>
      <c r="AA11" s="45"/>
      <c r="AB11" s="45"/>
      <c r="AC11" s="46"/>
      <c r="AD11" s="45"/>
      <c r="AE11" s="45"/>
      <c r="AF11" s="45"/>
      <c r="AG11" s="45"/>
      <c r="AH11" s="45"/>
      <c r="AI11" s="45"/>
      <c r="AJ11" s="45"/>
      <c r="AK11" s="45"/>
      <c r="AL11" s="45"/>
      <c r="AM11" s="45"/>
      <c r="AN11" s="45"/>
      <c r="AO11" s="45"/>
      <c r="AP11" s="45"/>
      <c r="AQ11" s="45"/>
      <c r="AR11" s="45"/>
      <c r="AS11" s="45"/>
      <c r="AT11" s="47"/>
      <c r="AU11" s="45"/>
      <c r="AV11" s="45"/>
      <c r="AW11" s="45"/>
      <c r="AX11" s="46"/>
      <c r="AY11" s="13"/>
    </row>
    <row r="12" spans="1:51" s="11" customFormat="1">
      <c r="A12" s="28"/>
      <c r="B12" s="31"/>
      <c r="C12" s="24"/>
      <c r="D12" s="24"/>
      <c r="E12" s="24"/>
      <c r="F12" s="24"/>
      <c r="G12" s="24"/>
      <c r="H12" s="24"/>
      <c r="I12" s="31"/>
      <c r="J12" s="24"/>
      <c r="K12" s="24"/>
      <c r="L12" s="24"/>
      <c r="M12" s="24"/>
      <c r="N12" s="24"/>
      <c r="O12" s="24"/>
      <c r="P12" s="31"/>
      <c r="Q12" s="24"/>
      <c r="R12" s="24"/>
      <c r="S12" s="24"/>
      <c r="T12" s="24"/>
      <c r="U12" s="24"/>
      <c r="V12" s="23"/>
      <c r="W12" s="31"/>
      <c r="X12" s="24"/>
      <c r="Y12" s="24"/>
      <c r="Z12" s="24"/>
      <c r="AA12" s="24"/>
      <c r="AB12" s="24"/>
      <c r="AC12" s="23"/>
      <c r="AD12" s="24"/>
      <c r="AE12" s="8"/>
      <c r="AF12" s="8"/>
      <c r="AG12" s="8"/>
      <c r="AH12" s="8"/>
      <c r="AI12" s="8"/>
      <c r="AJ12" s="24"/>
      <c r="AK12" s="24"/>
      <c r="AL12" s="24"/>
      <c r="AM12" s="24"/>
      <c r="AN12" s="24"/>
      <c r="AO12" s="24"/>
      <c r="AP12" s="24"/>
      <c r="AQ12" s="24"/>
      <c r="AR12" s="24"/>
      <c r="AS12" s="24"/>
      <c r="AT12" s="31"/>
      <c r="AU12" s="24"/>
      <c r="AV12" s="24"/>
      <c r="AW12" s="24"/>
      <c r="AX12" s="23"/>
      <c r="AY12" s="13"/>
    </row>
    <row r="13" spans="1:51" s="11" customFormat="1">
      <c r="A13" s="28"/>
      <c r="B13" s="31"/>
      <c r="C13" s="24"/>
      <c r="D13" s="24"/>
      <c r="E13" s="24"/>
      <c r="F13" s="24"/>
      <c r="G13" s="24"/>
      <c r="H13" s="24"/>
      <c r="I13" s="31"/>
      <c r="J13" s="24"/>
      <c r="K13" s="24"/>
      <c r="L13" s="24"/>
      <c r="M13" s="24"/>
      <c r="N13" s="24"/>
      <c r="O13" s="24"/>
      <c r="P13" s="31"/>
      <c r="Q13" s="24"/>
      <c r="R13" s="24"/>
      <c r="S13" s="24"/>
      <c r="T13" s="24"/>
      <c r="U13" s="24"/>
      <c r="V13" s="23"/>
      <c r="W13" s="31"/>
      <c r="X13" s="24"/>
      <c r="Y13" s="24"/>
      <c r="Z13" s="24"/>
      <c r="AA13" s="24"/>
      <c r="AB13" s="24"/>
      <c r="AC13" s="23"/>
      <c r="AD13" s="24"/>
      <c r="AE13" s="8"/>
      <c r="AF13" s="8"/>
      <c r="AG13" s="8"/>
      <c r="AH13" s="8"/>
      <c r="AI13" s="8"/>
      <c r="AJ13" s="24"/>
      <c r="AK13" s="24"/>
      <c r="AL13" s="24"/>
      <c r="AM13" s="24"/>
      <c r="AN13" s="24"/>
      <c r="AO13" s="24"/>
      <c r="AP13" s="24"/>
      <c r="AQ13" s="24"/>
      <c r="AR13" s="24"/>
      <c r="AS13" s="24"/>
      <c r="AT13" s="31"/>
      <c r="AU13" s="24"/>
      <c r="AV13" s="24"/>
      <c r="AW13" s="24"/>
      <c r="AX13" s="23"/>
      <c r="AY13" s="13"/>
    </row>
    <row r="14" spans="1:51" s="11" customFormat="1">
      <c r="A14" s="28"/>
      <c r="B14" s="31"/>
      <c r="C14" s="24"/>
      <c r="D14" s="24"/>
      <c r="E14" s="24"/>
      <c r="F14" s="24"/>
      <c r="G14" s="24"/>
      <c r="H14" s="24"/>
      <c r="I14" s="31"/>
      <c r="J14" s="24"/>
      <c r="K14" s="24"/>
      <c r="L14" s="24"/>
      <c r="M14" s="24"/>
      <c r="N14" s="24"/>
      <c r="O14" s="24"/>
      <c r="P14" s="31"/>
      <c r="Q14" s="24"/>
      <c r="R14" s="24"/>
      <c r="S14" s="24"/>
      <c r="T14" s="24"/>
      <c r="U14" s="24"/>
      <c r="V14" s="23"/>
      <c r="W14" s="31"/>
      <c r="X14" s="24"/>
      <c r="Y14" s="24"/>
      <c r="Z14" s="24"/>
      <c r="AA14" s="24"/>
      <c r="AB14" s="24"/>
      <c r="AC14" s="23"/>
      <c r="AD14" s="24"/>
      <c r="AE14" s="8"/>
      <c r="AF14" s="8"/>
      <c r="AG14" s="8"/>
      <c r="AH14" s="8"/>
      <c r="AI14" s="8"/>
      <c r="AJ14" s="24"/>
      <c r="AK14" s="24"/>
      <c r="AL14" s="24"/>
      <c r="AM14" s="24"/>
      <c r="AN14" s="24"/>
      <c r="AO14" s="24"/>
      <c r="AP14" s="24"/>
      <c r="AQ14" s="24"/>
      <c r="AR14" s="24"/>
      <c r="AS14" s="24"/>
      <c r="AT14" s="31"/>
      <c r="AU14" s="24"/>
      <c r="AV14" s="24"/>
      <c r="AW14" s="24"/>
      <c r="AX14" s="23"/>
      <c r="AY14" s="13"/>
    </row>
    <row r="15" spans="1:51" s="11" customFormat="1">
      <c r="A15" s="28"/>
      <c r="B15" s="31"/>
      <c r="C15" s="24"/>
      <c r="D15" s="24"/>
      <c r="E15" s="24"/>
      <c r="F15" s="24"/>
      <c r="G15" s="24"/>
      <c r="H15" s="24"/>
      <c r="I15" s="31"/>
      <c r="J15" s="24"/>
      <c r="K15" s="24"/>
      <c r="L15" s="24"/>
      <c r="M15" s="24"/>
      <c r="N15" s="24"/>
      <c r="O15" s="24"/>
      <c r="P15" s="31"/>
      <c r="Q15" s="24"/>
      <c r="R15" s="24"/>
      <c r="S15" s="24"/>
      <c r="T15" s="24"/>
      <c r="U15" s="24"/>
      <c r="V15" s="23"/>
      <c r="W15" s="31"/>
      <c r="X15" s="24"/>
      <c r="Y15" s="24"/>
      <c r="Z15" s="24"/>
      <c r="AA15" s="24"/>
      <c r="AB15" s="24"/>
      <c r="AC15" s="23"/>
      <c r="AD15" s="24"/>
      <c r="AE15" s="8"/>
      <c r="AF15" s="8"/>
      <c r="AG15" s="8"/>
      <c r="AH15" s="8"/>
      <c r="AI15" s="8"/>
      <c r="AJ15" s="24"/>
      <c r="AK15" s="24"/>
      <c r="AL15" s="24"/>
      <c r="AM15" s="24"/>
      <c r="AN15" s="24"/>
      <c r="AO15" s="24"/>
      <c r="AP15" s="24"/>
      <c r="AQ15" s="24"/>
      <c r="AR15" s="24"/>
      <c r="AS15" s="24"/>
      <c r="AT15" s="31"/>
      <c r="AU15" s="24"/>
      <c r="AV15" s="24"/>
      <c r="AW15" s="24"/>
      <c r="AX15" s="23"/>
      <c r="AY15" s="13"/>
    </row>
    <row r="16" spans="1:51" s="11" customFormat="1">
      <c r="A16" s="28"/>
      <c r="B16" s="31"/>
      <c r="C16" s="24"/>
      <c r="D16" s="24"/>
      <c r="E16" s="24"/>
      <c r="F16" s="24"/>
      <c r="G16" s="24"/>
      <c r="H16" s="24"/>
      <c r="I16" s="31"/>
      <c r="J16" s="24"/>
      <c r="K16" s="24"/>
      <c r="L16" s="24"/>
      <c r="M16" s="24"/>
      <c r="N16" s="24"/>
      <c r="O16" s="24"/>
      <c r="P16" s="31"/>
      <c r="Q16" s="24"/>
      <c r="R16" s="24"/>
      <c r="S16" s="24"/>
      <c r="T16" s="24"/>
      <c r="U16" s="24"/>
      <c r="V16" s="23"/>
      <c r="W16" s="31"/>
      <c r="X16" s="24"/>
      <c r="Y16" s="24"/>
      <c r="Z16" s="24"/>
      <c r="AA16" s="24"/>
      <c r="AB16" s="24"/>
      <c r="AC16" s="23"/>
      <c r="AD16" s="24"/>
      <c r="AF16" s="8"/>
      <c r="AG16" s="8"/>
      <c r="AH16" s="8"/>
      <c r="AI16" s="8"/>
      <c r="AJ16" s="24"/>
      <c r="AK16" s="24"/>
      <c r="AL16" s="24"/>
      <c r="AM16" s="24"/>
      <c r="AN16" s="24"/>
      <c r="AO16" s="24"/>
      <c r="AP16" s="24"/>
      <c r="AQ16" s="24"/>
      <c r="AR16" s="24"/>
      <c r="AS16" s="24"/>
      <c r="AT16" s="31"/>
      <c r="AU16" s="24"/>
      <c r="AV16" s="24"/>
      <c r="AW16" s="24"/>
      <c r="AX16" s="23"/>
      <c r="AY16" s="13"/>
    </row>
    <row r="17" spans="1:51" ht="13.5" customHeight="1">
      <c r="A17" s="27"/>
      <c r="B17" s="27"/>
      <c r="I17" s="27"/>
      <c r="P17" s="27"/>
      <c r="V17" s="14"/>
      <c r="W17" s="27"/>
      <c r="AC17" s="14"/>
      <c r="AT17" s="27"/>
      <c r="AX17" s="14"/>
      <c r="AY17" s="14"/>
    </row>
    <row r="18" spans="1:51" ht="13.5" customHeight="1">
      <c r="A18" s="27"/>
      <c r="B18" s="27"/>
      <c r="I18" s="27"/>
      <c r="P18" s="27"/>
      <c r="V18" s="14"/>
      <c r="W18" s="27"/>
      <c r="AC18" s="14"/>
      <c r="AT18" s="27"/>
      <c r="AX18" s="14"/>
      <c r="AY18" s="14"/>
    </row>
    <row r="19" spans="1:51" ht="13.5" customHeight="1">
      <c r="A19" s="27"/>
      <c r="B19" s="27"/>
      <c r="I19" s="27"/>
      <c r="P19" s="27"/>
      <c r="V19" s="14"/>
      <c r="W19" s="27"/>
      <c r="AC19" s="14"/>
      <c r="AE19" s="16" t="s">
        <v>463</v>
      </c>
      <c r="AT19" s="27" t="s">
        <v>464</v>
      </c>
      <c r="AX19" s="14"/>
      <c r="AY19" s="14"/>
    </row>
    <row r="20" spans="1:51" ht="13.5" customHeight="1">
      <c r="A20" s="27"/>
      <c r="B20" s="27"/>
      <c r="I20" s="27"/>
      <c r="P20" s="27"/>
      <c r="V20" s="14"/>
      <c r="W20" s="27"/>
      <c r="AC20" s="14"/>
      <c r="AE20" s="86"/>
      <c r="AF20" s="8" t="s">
        <v>465</v>
      </c>
      <c r="AT20" s="27"/>
      <c r="AX20" s="14"/>
      <c r="AY20" s="14"/>
    </row>
    <row r="21" spans="1:51" ht="13.5" customHeight="1">
      <c r="A21" s="27"/>
      <c r="B21" s="27"/>
      <c r="I21" s="27"/>
      <c r="P21" s="27"/>
      <c r="V21" s="14"/>
      <c r="W21" s="27"/>
      <c r="AC21" s="14"/>
      <c r="AE21" s="86"/>
      <c r="AF21" s="8" t="s">
        <v>466</v>
      </c>
      <c r="AT21" s="27"/>
      <c r="AX21" s="14"/>
      <c r="AY21" s="14"/>
    </row>
    <row r="22" spans="1:51" ht="13.5" customHeight="1">
      <c r="A22" s="27"/>
      <c r="B22" s="27"/>
      <c r="I22" s="27"/>
      <c r="P22" s="27"/>
      <c r="V22" s="14"/>
      <c r="W22" s="27"/>
      <c r="AC22" s="14"/>
      <c r="AE22" s="86"/>
      <c r="AF22" s="69" t="s">
        <v>138</v>
      </c>
      <c r="AG22" s="69" t="s">
        <v>467</v>
      </c>
      <c r="AT22" s="27"/>
      <c r="AX22" s="14"/>
      <c r="AY22" s="14"/>
    </row>
    <row r="23" spans="1:51" ht="13.5" customHeight="1">
      <c r="A23" s="27"/>
      <c r="B23" s="27"/>
      <c r="I23" s="27"/>
      <c r="P23" s="27"/>
      <c r="V23" s="14"/>
      <c r="W23" s="27"/>
      <c r="AC23" s="14"/>
      <c r="AF23" s="8" t="s">
        <v>138</v>
      </c>
      <c r="AG23" s="8" t="s">
        <v>468</v>
      </c>
      <c r="AT23" s="27"/>
      <c r="AX23" s="14"/>
      <c r="AY23" s="14"/>
    </row>
    <row r="24" spans="1:51" ht="13.5" customHeight="1">
      <c r="A24" s="27"/>
      <c r="B24" s="27"/>
      <c r="I24" s="27"/>
      <c r="P24" s="27"/>
      <c r="V24" s="14"/>
      <c r="W24" s="27"/>
      <c r="AC24" s="14"/>
      <c r="AG24" s="8" t="s">
        <v>469</v>
      </c>
      <c r="AT24" s="27"/>
      <c r="AX24" s="14"/>
      <c r="AY24" s="14"/>
    </row>
    <row r="25" spans="1:51" ht="13.5" customHeight="1">
      <c r="A25" s="27"/>
      <c r="B25" s="27"/>
      <c r="I25" s="27"/>
      <c r="P25" s="27"/>
      <c r="V25" s="14"/>
      <c r="W25" s="27"/>
      <c r="AC25" s="14"/>
      <c r="AE25" s="86"/>
      <c r="AT25" s="27"/>
      <c r="AX25" s="14"/>
      <c r="AY25" s="14"/>
    </row>
    <row r="26" spans="1:51" ht="13.5" customHeight="1">
      <c r="A26" s="27"/>
      <c r="B26" s="27"/>
      <c r="I26" s="27"/>
      <c r="P26" s="27"/>
      <c r="V26" s="14"/>
      <c r="W26" s="27"/>
      <c r="AC26" s="14"/>
      <c r="AT26" s="27"/>
      <c r="AX26" s="14"/>
      <c r="AY26" s="14"/>
    </row>
    <row r="27" spans="1:51" ht="13.5" customHeight="1">
      <c r="A27" s="27"/>
      <c r="B27" s="27"/>
      <c r="I27" s="27"/>
      <c r="P27" s="27"/>
      <c r="V27" s="14"/>
      <c r="W27" s="27"/>
      <c r="AC27" s="14"/>
      <c r="AT27" s="27"/>
      <c r="AX27" s="14"/>
      <c r="AY27" s="14"/>
    </row>
    <row r="28" spans="1:51" ht="13.5" customHeight="1">
      <c r="A28" s="27"/>
      <c r="B28" s="27"/>
      <c r="I28" s="27"/>
      <c r="P28" s="27"/>
      <c r="V28" s="14"/>
      <c r="W28" s="27"/>
      <c r="AC28" s="14"/>
      <c r="AT28" s="27"/>
      <c r="AX28" s="14"/>
      <c r="AY28" s="14"/>
    </row>
    <row r="29" spans="1:51" ht="13.5" customHeight="1">
      <c r="A29" s="27"/>
      <c r="B29" s="27"/>
      <c r="I29" s="27"/>
      <c r="P29" s="27"/>
      <c r="V29" s="14"/>
      <c r="W29" s="27"/>
      <c r="AC29" s="14"/>
      <c r="AT29" s="27"/>
      <c r="AX29" s="14"/>
      <c r="AY29" s="14"/>
    </row>
    <row r="30" spans="1:51" ht="13.5" customHeight="1">
      <c r="A30" s="27"/>
      <c r="B30" s="27"/>
      <c r="I30" s="27"/>
      <c r="P30" s="27"/>
      <c r="V30" s="14"/>
      <c r="W30" s="27"/>
      <c r="AC30" s="14"/>
      <c r="AE30" s="86"/>
      <c r="AT30" s="27"/>
      <c r="AX30" s="14"/>
      <c r="AY30" s="14"/>
    </row>
    <row r="31" spans="1:51" ht="13.5" customHeight="1">
      <c r="A31" s="27"/>
      <c r="B31" s="27"/>
      <c r="I31" s="27"/>
      <c r="P31" s="27"/>
      <c r="V31" s="14"/>
      <c r="W31" s="27"/>
      <c r="AC31" s="14"/>
      <c r="AE31" s="86"/>
      <c r="AT31" s="27"/>
      <c r="AX31" s="14"/>
      <c r="AY31" s="14"/>
    </row>
    <row r="32" spans="1:51" ht="13.5" customHeight="1">
      <c r="A32" s="27"/>
      <c r="B32" s="27"/>
      <c r="I32" s="27"/>
      <c r="P32" s="27"/>
      <c r="V32" s="14"/>
      <c r="W32" s="27"/>
      <c r="AC32" s="14"/>
      <c r="AE32" s="86"/>
      <c r="AT32" s="27"/>
      <c r="AX32" s="14"/>
      <c r="AY32" s="14"/>
    </row>
    <row r="33" spans="1:51" ht="13.5" customHeight="1">
      <c r="A33" s="27"/>
      <c r="B33" s="55"/>
      <c r="C33" s="10"/>
      <c r="D33" s="10"/>
      <c r="E33" s="10"/>
      <c r="F33" s="10"/>
      <c r="G33" s="10"/>
      <c r="H33" s="10"/>
      <c r="I33" s="55"/>
      <c r="J33" s="10"/>
      <c r="K33" s="10"/>
      <c r="L33" s="10"/>
      <c r="M33" s="10"/>
      <c r="N33" s="10"/>
      <c r="O33" s="10"/>
      <c r="P33" s="55"/>
      <c r="Q33" s="10"/>
      <c r="R33" s="10"/>
      <c r="S33" s="10"/>
      <c r="T33" s="10"/>
      <c r="U33" s="10"/>
      <c r="V33" s="15"/>
      <c r="W33" s="55"/>
      <c r="X33" s="10"/>
      <c r="Y33" s="10"/>
      <c r="Z33" s="10"/>
      <c r="AA33" s="10"/>
      <c r="AB33" s="10"/>
      <c r="AC33" s="15"/>
      <c r="AD33" s="10"/>
      <c r="AE33" s="10"/>
      <c r="AF33" s="10"/>
      <c r="AG33" s="10"/>
      <c r="AH33" s="10"/>
      <c r="AI33" s="10"/>
      <c r="AJ33" s="10"/>
      <c r="AK33" s="10"/>
      <c r="AL33" s="10"/>
      <c r="AM33" s="10"/>
      <c r="AN33" s="10"/>
      <c r="AO33" s="10"/>
      <c r="AP33" s="10"/>
      <c r="AQ33" s="10"/>
      <c r="AR33" s="10"/>
      <c r="AS33" s="10"/>
      <c r="AT33" s="55"/>
      <c r="AU33" s="10"/>
      <c r="AV33" s="10"/>
      <c r="AW33" s="10"/>
      <c r="AX33" s="15"/>
      <c r="AY33" s="14"/>
    </row>
    <row r="34" spans="1:51" s="11" customFormat="1">
      <c r="A34" s="28"/>
      <c r="B34" s="36" t="s">
        <v>470</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13"/>
    </row>
    <row r="35" spans="1:51" s="11" customFormat="1">
      <c r="A35" s="28"/>
      <c r="B35" s="47"/>
      <c r="C35" s="45"/>
      <c r="D35" s="45"/>
      <c r="E35" s="45"/>
      <c r="F35" s="45"/>
      <c r="G35" s="45"/>
      <c r="H35" s="45"/>
      <c r="I35" s="47"/>
      <c r="J35" s="45"/>
      <c r="K35" s="45"/>
      <c r="L35" s="45"/>
      <c r="M35" s="45"/>
      <c r="N35" s="45"/>
      <c r="O35" s="45"/>
      <c r="P35" s="47"/>
      <c r="Q35" s="45"/>
      <c r="R35" s="45"/>
      <c r="S35" s="45"/>
      <c r="T35" s="45"/>
      <c r="U35" s="45"/>
      <c r="V35" s="46"/>
      <c r="W35" s="47"/>
      <c r="X35" s="45"/>
      <c r="Y35" s="45"/>
      <c r="Z35" s="45"/>
      <c r="AA35" s="45"/>
      <c r="AB35" s="45"/>
      <c r="AC35" s="46"/>
      <c r="AD35" s="45"/>
      <c r="AE35" s="45"/>
      <c r="AF35" s="45"/>
      <c r="AG35" s="45"/>
      <c r="AH35" s="45"/>
      <c r="AI35" s="45"/>
      <c r="AJ35" s="45"/>
      <c r="AK35" s="45"/>
      <c r="AL35" s="45"/>
      <c r="AM35" s="45"/>
      <c r="AN35" s="45"/>
      <c r="AO35" s="45"/>
      <c r="AP35" s="45"/>
      <c r="AQ35" s="45"/>
      <c r="AR35" s="45"/>
      <c r="AS35" s="45"/>
      <c r="AT35" s="47"/>
      <c r="AU35" s="45"/>
      <c r="AV35" s="45"/>
      <c r="AW35" s="45"/>
      <c r="AX35" s="46"/>
      <c r="AY35" s="13"/>
    </row>
    <row r="36" spans="1:51" s="11" customFormat="1">
      <c r="A36" s="28"/>
      <c r="B36" s="31"/>
      <c r="C36" s="24"/>
      <c r="D36" s="24"/>
      <c r="E36" s="24"/>
      <c r="F36" s="24"/>
      <c r="G36" s="24"/>
      <c r="H36" s="24"/>
      <c r="I36" s="31"/>
      <c r="J36" s="24"/>
      <c r="K36" s="24"/>
      <c r="L36" s="24"/>
      <c r="M36" s="24"/>
      <c r="N36" s="24"/>
      <c r="O36" s="24"/>
      <c r="P36" s="31"/>
      <c r="Q36" s="24"/>
      <c r="R36" s="24"/>
      <c r="S36" s="24"/>
      <c r="T36" s="24"/>
      <c r="U36" s="24"/>
      <c r="V36" s="23"/>
      <c r="W36" s="31"/>
      <c r="X36" s="24"/>
      <c r="Y36" s="24"/>
      <c r="Z36" s="24"/>
      <c r="AA36" s="24"/>
      <c r="AB36" s="24"/>
      <c r="AC36" s="23"/>
      <c r="AD36" s="24"/>
      <c r="AE36" s="8"/>
      <c r="AF36" s="8"/>
      <c r="AG36" s="8"/>
      <c r="AH36" s="8"/>
      <c r="AI36" s="8"/>
      <c r="AJ36" s="24"/>
      <c r="AK36" s="24"/>
      <c r="AL36" s="24"/>
      <c r="AM36" s="24"/>
      <c r="AN36" s="24"/>
      <c r="AO36" s="24"/>
      <c r="AP36" s="24"/>
      <c r="AQ36" s="24"/>
      <c r="AR36" s="24"/>
      <c r="AS36" s="24"/>
      <c r="AT36" s="31"/>
      <c r="AU36" s="24"/>
      <c r="AV36" s="24"/>
      <c r="AW36" s="24"/>
      <c r="AX36" s="23"/>
      <c r="AY36" s="13"/>
    </row>
    <row r="37" spans="1:51" s="11" customFormat="1">
      <c r="A37" s="28"/>
      <c r="B37" s="31"/>
      <c r="C37" s="24"/>
      <c r="D37" s="24"/>
      <c r="E37" s="24"/>
      <c r="F37" s="24"/>
      <c r="G37" s="24"/>
      <c r="H37" s="24"/>
      <c r="I37" s="31"/>
      <c r="J37" s="24"/>
      <c r="K37" s="24"/>
      <c r="L37" s="24"/>
      <c r="M37" s="24"/>
      <c r="N37" s="24"/>
      <c r="O37" s="24"/>
      <c r="P37" s="31"/>
      <c r="Q37" s="24"/>
      <c r="R37" s="24"/>
      <c r="S37" s="24"/>
      <c r="T37" s="24"/>
      <c r="U37" s="24"/>
      <c r="V37" s="23"/>
      <c r="W37" s="31"/>
      <c r="X37" s="24"/>
      <c r="Y37" s="24"/>
      <c r="Z37" s="24"/>
      <c r="AA37" s="24"/>
      <c r="AB37" s="24"/>
      <c r="AC37" s="23"/>
      <c r="AD37" s="24"/>
      <c r="AE37" s="8"/>
      <c r="AF37" s="8"/>
      <c r="AG37" s="8"/>
      <c r="AH37" s="8"/>
      <c r="AI37" s="8"/>
      <c r="AJ37" s="24"/>
      <c r="AK37" s="24"/>
      <c r="AL37" s="24"/>
      <c r="AM37" s="24"/>
      <c r="AN37" s="24"/>
      <c r="AO37" s="24"/>
      <c r="AP37" s="24"/>
      <c r="AQ37" s="24"/>
      <c r="AR37" s="24"/>
      <c r="AS37" s="24"/>
      <c r="AT37" s="31"/>
      <c r="AU37" s="24"/>
      <c r="AV37" s="24"/>
      <c r="AW37" s="24"/>
      <c r="AX37" s="23"/>
      <c r="AY37" s="13"/>
    </row>
    <row r="38" spans="1:51" s="11" customFormat="1">
      <c r="A38" s="28"/>
      <c r="B38" s="31"/>
      <c r="C38" s="24"/>
      <c r="D38" s="24"/>
      <c r="E38" s="24"/>
      <c r="F38" s="24"/>
      <c r="G38" s="24"/>
      <c r="H38" s="24"/>
      <c r="I38" s="31"/>
      <c r="J38" s="24"/>
      <c r="K38" s="24"/>
      <c r="L38" s="24"/>
      <c r="M38" s="24"/>
      <c r="N38" s="24"/>
      <c r="O38" s="24"/>
      <c r="P38" s="31"/>
      <c r="Q38" s="24"/>
      <c r="R38" s="24"/>
      <c r="S38" s="24"/>
      <c r="T38" s="24"/>
      <c r="U38" s="24"/>
      <c r="V38" s="23"/>
      <c r="W38" s="31"/>
      <c r="X38" s="24"/>
      <c r="Y38" s="24"/>
      <c r="Z38" s="24"/>
      <c r="AA38" s="24"/>
      <c r="AB38" s="24"/>
      <c r="AC38" s="23"/>
      <c r="AD38" s="24"/>
      <c r="AE38" s="8"/>
      <c r="AF38" s="8"/>
      <c r="AG38" s="8"/>
      <c r="AH38" s="8"/>
      <c r="AI38" s="8"/>
      <c r="AJ38" s="24"/>
      <c r="AK38" s="24"/>
      <c r="AL38" s="24"/>
      <c r="AM38" s="24"/>
      <c r="AN38" s="24"/>
      <c r="AO38" s="24"/>
      <c r="AP38" s="24"/>
      <c r="AQ38" s="24"/>
      <c r="AR38" s="24"/>
      <c r="AS38" s="24"/>
      <c r="AT38" s="31"/>
      <c r="AU38" s="24"/>
      <c r="AV38" s="24"/>
      <c r="AW38" s="24"/>
      <c r="AX38" s="23"/>
      <c r="AY38" s="13"/>
    </row>
    <row r="39" spans="1:51" s="11" customFormat="1">
      <c r="A39" s="28"/>
      <c r="B39" s="31"/>
      <c r="C39" s="24"/>
      <c r="D39" s="24"/>
      <c r="E39" s="24"/>
      <c r="F39" s="24"/>
      <c r="G39" s="24"/>
      <c r="H39" s="24"/>
      <c r="I39" s="31"/>
      <c r="J39" s="24"/>
      <c r="K39" s="24"/>
      <c r="L39" s="24"/>
      <c r="M39" s="24"/>
      <c r="N39" s="24"/>
      <c r="O39" s="24"/>
      <c r="P39" s="31"/>
      <c r="Q39" s="24"/>
      <c r="R39" s="24"/>
      <c r="S39" s="24"/>
      <c r="T39" s="24"/>
      <c r="U39" s="24"/>
      <c r="V39" s="23"/>
      <c r="W39" s="31"/>
      <c r="X39" s="24"/>
      <c r="Y39" s="24"/>
      <c r="Z39" s="24"/>
      <c r="AA39" s="24"/>
      <c r="AB39" s="24"/>
      <c r="AC39" s="23"/>
      <c r="AD39" s="24"/>
      <c r="AE39" s="8"/>
      <c r="AF39" s="8"/>
      <c r="AG39" s="8"/>
      <c r="AH39" s="8"/>
      <c r="AI39" s="8"/>
      <c r="AJ39" s="24"/>
      <c r="AK39" s="24"/>
      <c r="AL39" s="24"/>
      <c r="AM39" s="24"/>
      <c r="AN39" s="24"/>
      <c r="AO39" s="24"/>
      <c r="AP39" s="24"/>
      <c r="AQ39" s="24"/>
      <c r="AR39" s="24"/>
      <c r="AS39" s="24"/>
      <c r="AT39" s="31"/>
      <c r="AU39" s="24"/>
      <c r="AV39" s="24"/>
      <c r="AW39" s="24"/>
      <c r="AX39" s="23"/>
      <c r="AY39" s="13"/>
    </row>
    <row r="40" spans="1:51" s="11" customFormat="1">
      <c r="A40" s="28"/>
      <c r="B40" s="31"/>
      <c r="C40" s="24"/>
      <c r="D40" s="24"/>
      <c r="E40" s="24"/>
      <c r="F40" s="24"/>
      <c r="G40" s="24"/>
      <c r="H40" s="24"/>
      <c r="I40" s="31"/>
      <c r="J40" s="24"/>
      <c r="K40" s="24"/>
      <c r="L40" s="24"/>
      <c r="M40" s="24"/>
      <c r="N40" s="24"/>
      <c r="O40" s="24"/>
      <c r="P40" s="31"/>
      <c r="Q40" s="24"/>
      <c r="R40" s="24"/>
      <c r="S40" s="24"/>
      <c r="T40" s="24"/>
      <c r="U40" s="24"/>
      <c r="V40" s="23"/>
      <c r="W40" s="31"/>
      <c r="X40" s="24"/>
      <c r="Y40" s="24"/>
      <c r="Z40" s="24"/>
      <c r="AA40" s="24"/>
      <c r="AB40" s="24"/>
      <c r="AC40" s="23"/>
      <c r="AD40" s="24"/>
      <c r="AF40" s="8"/>
      <c r="AG40" s="8"/>
      <c r="AH40" s="8"/>
      <c r="AI40" s="8"/>
      <c r="AJ40" s="24"/>
      <c r="AK40" s="24"/>
      <c r="AL40" s="24"/>
      <c r="AM40" s="24"/>
      <c r="AN40" s="24"/>
      <c r="AO40" s="24"/>
      <c r="AP40" s="24"/>
      <c r="AQ40" s="24"/>
      <c r="AR40" s="24"/>
      <c r="AS40" s="24"/>
      <c r="AT40" s="31"/>
      <c r="AU40" s="24"/>
      <c r="AV40" s="24"/>
      <c r="AW40" s="24"/>
      <c r="AX40" s="23"/>
      <c r="AY40" s="13"/>
    </row>
    <row r="41" spans="1:51" s="11" customFormat="1">
      <c r="A41" s="28"/>
      <c r="B41" s="31"/>
      <c r="C41" s="24"/>
      <c r="D41" s="24"/>
      <c r="E41" s="24"/>
      <c r="F41" s="24"/>
      <c r="G41" s="24"/>
      <c r="H41" s="24"/>
      <c r="I41" s="31"/>
      <c r="J41" s="24"/>
      <c r="K41" s="24"/>
      <c r="L41" s="24"/>
      <c r="M41" s="24"/>
      <c r="N41" s="24"/>
      <c r="O41" s="24"/>
      <c r="P41" s="31"/>
      <c r="Q41" s="24"/>
      <c r="R41" s="24"/>
      <c r="S41" s="24"/>
      <c r="T41" s="24"/>
      <c r="U41" s="24"/>
      <c r="V41" s="23"/>
      <c r="W41" s="31"/>
      <c r="X41" s="24"/>
      <c r="Y41" s="24"/>
      <c r="Z41" s="24"/>
      <c r="AA41" s="24"/>
      <c r="AB41" s="24"/>
      <c r="AC41" s="23"/>
      <c r="AD41" s="24"/>
      <c r="AE41" s="8"/>
      <c r="AF41" s="8"/>
      <c r="AG41" s="8"/>
      <c r="AH41" s="8"/>
      <c r="AI41" s="24"/>
      <c r="AJ41" s="24"/>
      <c r="AK41" s="24"/>
      <c r="AL41" s="24"/>
      <c r="AM41" s="24"/>
      <c r="AN41" s="24"/>
      <c r="AO41" s="24"/>
      <c r="AP41" s="24"/>
      <c r="AQ41" s="24"/>
      <c r="AR41" s="24"/>
      <c r="AS41" s="24"/>
      <c r="AT41" s="31"/>
      <c r="AU41" s="24"/>
      <c r="AV41" s="24"/>
      <c r="AW41" s="24"/>
      <c r="AX41" s="23"/>
      <c r="AY41" s="13"/>
    </row>
    <row r="42" spans="1:51" s="11" customFormat="1">
      <c r="A42" s="28"/>
      <c r="B42" s="31"/>
      <c r="C42" s="24"/>
      <c r="D42" s="24"/>
      <c r="E42" s="24"/>
      <c r="F42" s="24"/>
      <c r="G42" s="24"/>
      <c r="H42" s="24"/>
      <c r="I42" s="31"/>
      <c r="J42" s="24"/>
      <c r="K42" s="24"/>
      <c r="L42" s="24"/>
      <c r="M42" s="24"/>
      <c r="N42" s="24"/>
      <c r="O42" s="24"/>
      <c r="P42" s="31"/>
      <c r="Q42" s="24"/>
      <c r="R42" s="24"/>
      <c r="S42" s="24"/>
      <c r="T42" s="24"/>
      <c r="U42" s="24"/>
      <c r="V42" s="23"/>
      <c r="W42" s="31"/>
      <c r="X42" s="24"/>
      <c r="Y42" s="24"/>
      <c r="Z42" s="24"/>
      <c r="AA42" s="24"/>
      <c r="AB42" s="24"/>
      <c r="AC42" s="23"/>
      <c r="AD42" s="24"/>
      <c r="AE42" s="8"/>
      <c r="AF42" s="8"/>
      <c r="AG42" s="8"/>
      <c r="AH42" s="8"/>
      <c r="AI42" s="8"/>
      <c r="AJ42" s="8"/>
      <c r="AK42" s="8"/>
      <c r="AL42" s="8"/>
      <c r="AM42" s="8"/>
      <c r="AN42" s="8"/>
      <c r="AO42" s="24"/>
      <c r="AP42" s="24"/>
      <c r="AQ42" s="24"/>
      <c r="AR42" s="24"/>
      <c r="AS42" s="24"/>
      <c r="AT42" s="31"/>
      <c r="AU42" s="24"/>
      <c r="AV42" s="24"/>
      <c r="AW42" s="24"/>
      <c r="AX42" s="23"/>
      <c r="AY42" s="13"/>
    </row>
    <row r="43" spans="1:51" s="11" customFormat="1">
      <c r="A43" s="28"/>
      <c r="B43" s="31"/>
      <c r="C43" s="24"/>
      <c r="D43" s="24"/>
      <c r="E43" s="24"/>
      <c r="F43" s="24"/>
      <c r="G43" s="24"/>
      <c r="H43" s="24"/>
      <c r="I43" s="31"/>
      <c r="J43" s="24"/>
      <c r="K43" s="24"/>
      <c r="L43" s="24"/>
      <c r="M43" s="24"/>
      <c r="N43" s="24"/>
      <c r="O43" s="24"/>
      <c r="P43" s="31"/>
      <c r="Q43" s="24"/>
      <c r="R43" s="24"/>
      <c r="S43" s="24"/>
      <c r="T43" s="24"/>
      <c r="U43" s="24"/>
      <c r="V43" s="23"/>
      <c r="W43" s="31"/>
      <c r="X43" s="24"/>
      <c r="Y43" s="24"/>
      <c r="Z43" s="24"/>
      <c r="AA43" s="24"/>
      <c r="AB43" s="24"/>
      <c r="AC43" s="23"/>
      <c r="AD43" s="24"/>
      <c r="AE43" s="8"/>
      <c r="AF43" s="8"/>
      <c r="AG43" s="8"/>
      <c r="AH43" s="8"/>
      <c r="AI43" s="8"/>
      <c r="AJ43" s="8"/>
      <c r="AK43" s="8"/>
      <c r="AL43" s="8"/>
      <c r="AM43" s="8"/>
      <c r="AN43" s="8"/>
      <c r="AO43" s="24"/>
      <c r="AP43" s="24"/>
      <c r="AQ43" s="24"/>
      <c r="AR43" s="24"/>
      <c r="AS43" s="24"/>
      <c r="AT43" s="31"/>
      <c r="AU43" s="24"/>
      <c r="AV43" s="24"/>
      <c r="AW43" s="24"/>
      <c r="AX43" s="23"/>
      <c r="AY43" s="13"/>
    </row>
    <row r="44" spans="1:51" s="11" customFormat="1">
      <c r="A44" s="28"/>
      <c r="B44" s="31"/>
      <c r="C44" s="24"/>
      <c r="D44" s="24"/>
      <c r="E44" s="24"/>
      <c r="F44" s="24"/>
      <c r="G44" s="24"/>
      <c r="H44" s="24"/>
      <c r="I44" s="31"/>
      <c r="J44" s="24"/>
      <c r="K44" s="24"/>
      <c r="L44" s="24"/>
      <c r="M44" s="24"/>
      <c r="N44" s="24"/>
      <c r="O44" s="24"/>
      <c r="P44" s="31"/>
      <c r="Q44" s="24"/>
      <c r="R44" s="24"/>
      <c r="S44" s="24"/>
      <c r="T44" s="24"/>
      <c r="U44" s="24"/>
      <c r="V44" s="23"/>
      <c r="W44" s="31"/>
      <c r="X44" s="24"/>
      <c r="Y44" s="24"/>
      <c r="Z44" s="24"/>
      <c r="AA44" s="24"/>
      <c r="AB44" s="24"/>
      <c r="AC44" s="23"/>
      <c r="AD44" s="24"/>
      <c r="AE44" s="8"/>
      <c r="AF44" s="8"/>
      <c r="AG44" s="8"/>
      <c r="AH44" s="8"/>
      <c r="AI44" s="8"/>
      <c r="AJ44" s="8"/>
      <c r="AK44" s="8"/>
      <c r="AL44" s="8"/>
      <c r="AM44" s="8"/>
      <c r="AN44" s="8"/>
      <c r="AO44" s="24"/>
      <c r="AP44" s="24"/>
      <c r="AQ44" s="24"/>
      <c r="AR44" s="24"/>
      <c r="AS44" s="24"/>
      <c r="AT44" s="31"/>
      <c r="AU44" s="24"/>
      <c r="AV44" s="24"/>
      <c r="AW44" s="24"/>
      <c r="AX44" s="23"/>
      <c r="AY44" s="13"/>
    </row>
    <row r="45" spans="1:51" s="11" customFormat="1">
      <c r="A45" s="28"/>
      <c r="B45" s="31"/>
      <c r="C45" s="24"/>
      <c r="D45" s="24"/>
      <c r="E45" s="24"/>
      <c r="F45" s="24"/>
      <c r="G45" s="24"/>
      <c r="H45" s="24"/>
      <c r="I45" s="31"/>
      <c r="J45" s="24"/>
      <c r="K45" s="24"/>
      <c r="L45" s="24"/>
      <c r="M45" s="24"/>
      <c r="N45" s="24"/>
      <c r="O45" s="24"/>
      <c r="P45" s="31"/>
      <c r="Q45" s="24"/>
      <c r="R45" s="24"/>
      <c r="S45" s="24"/>
      <c r="T45" s="24"/>
      <c r="U45" s="24"/>
      <c r="V45" s="23"/>
      <c r="W45" s="31"/>
      <c r="X45" s="24"/>
      <c r="Y45" s="24"/>
      <c r="Z45" s="24"/>
      <c r="AA45" s="24"/>
      <c r="AB45" s="24"/>
      <c r="AC45" s="23"/>
      <c r="AD45" s="24"/>
      <c r="AE45" s="8"/>
      <c r="AF45" s="8"/>
      <c r="AG45" s="8"/>
      <c r="AH45" s="8"/>
      <c r="AI45" s="8"/>
      <c r="AJ45" s="8"/>
      <c r="AK45" s="8"/>
      <c r="AL45" s="8"/>
      <c r="AM45" s="8"/>
      <c r="AN45" s="8"/>
      <c r="AO45" s="24"/>
      <c r="AP45" s="24"/>
      <c r="AQ45" s="24"/>
      <c r="AR45" s="24"/>
      <c r="AS45" s="24"/>
      <c r="AT45" s="31"/>
      <c r="AU45" s="24"/>
      <c r="AV45" s="24"/>
      <c r="AW45" s="24"/>
      <c r="AX45" s="23"/>
      <c r="AY45" s="13"/>
    </row>
    <row r="46" spans="1:51" s="11" customFormat="1">
      <c r="A46" s="28"/>
      <c r="B46" s="33"/>
      <c r="C46"/>
      <c r="D46"/>
      <c r="E46"/>
      <c r="F46"/>
      <c r="G46"/>
      <c r="H46"/>
      <c r="I46" s="33"/>
      <c r="J46"/>
      <c r="K46"/>
      <c r="L46"/>
      <c r="M46"/>
      <c r="N46"/>
      <c r="O46"/>
      <c r="P46" s="33"/>
      <c r="Q46"/>
      <c r="R46"/>
      <c r="S46"/>
      <c r="T46"/>
      <c r="U46"/>
      <c r="V46" s="22"/>
      <c r="W46" s="33"/>
      <c r="X46"/>
      <c r="Y46"/>
      <c r="Z46"/>
      <c r="AA46"/>
      <c r="AB46"/>
      <c r="AC46" s="22"/>
      <c r="AT46" s="34"/>
      <c r="AX46" s="13"/>
      <c r="AY46" s="13"/>
    </row>
    <row r="47" spans="1:51" s="11" customFormat="1">
      <c r="A47" s="28"/>
      <c r="B47" s="34"/>
      <c r="I47" s="34"/>
      <c r="P47" s="34"/>
      <c r="V47" s="13"/>
      <c r="W47" s="34"/>
      <c r="AC47" s="13"/>
      <c r="AE47" s="25"/>
      <c r="AG47" s="8"/>
      <c r="AH47" s="8"/>
      <c r="AT47" s="34"/>
      <c r="AX47" s="13"/>
      <c r="AY47" s="13"/>
    </row>
    <row r="48" spans="1:51" ht="13.5" customHeight="1">
      <c r="A48" s="27"/>
      <c r="B48" s="27"/>
      <c r="I48" s="27"/>
      <c r="P48" s="27"/>
      <c r="V48" s="14"/>
      <c r="W48" s="27"/>
      <c r="AC48" s="14"/>
      <c r="AT48" s="27"/>
      <c r="AX48" s="14"/>
      <c r="AY48" s="14"/>
    </row>
    <row r="49" spans="1:51" ht="13.5" customHeight="1">
      <c r="A49" s="27"/>
      <c r="B49" s="27"/>
      <c r="I49" s="27"/>
      <c r="P49" s="27"/>
      <c r="V49" s="14"/>
      <c r="W49" s="27"/>
      <c r="AC49" s="14"/>
      <c r="AT49" s="27"/>
      <c r="AX49" s="14"/>
      <c r="AY49" s="14"/>
    </row>
    <row r="50" spans="1:51" ht="13.5" customHeight="1">
      <c r="A50" s="27"/>
      <c r="B50" s="27"/>
      <c r="I50" s="27"/>
      <c r="P50" s="27"/>
      <c r="V50" s="14"/>
      <c r="W50" s="27"/>
      <c r="AC50" s="14"/>
      <c r="AT50" s="27"/>
      <c r="AX50" s="14"/>
      <c r="AY50" s="14"/>
    </row>
    <row r="51" spans="1:51" ht="13.5" customHeight="1">
      <c r="A51" s="27"/>
      <c r="B51" s="27"/>
      <c r="I51" s="27"/>
      <c r="P51" s="27"/>
      <c r="V51" s="14"/>
      <c r="W51" s="27"/>
      <c r="AC51" s="14"/>
      <c r="AT51" s="27"/>
      <c r="AX51" s="14"/>
      <c r="AY51" s="14"/>
    </row>
    <row r="52" spans="1:51" ht="13.5" customHeight="1">
      <c r="A52" s="27"/>
      <c r="B52" s="27"/>
      <c r="I52" s="27"/>
      <c r="P52" s="27"/>
      <c r="V52" s="14"/>
      <c r="W52" s="27"/>
      <c r="AC52" s="14"/>
      <c r="AT52" s="27"/>
      <c r="AX52" s="14"/>
      <c r="AY52" s="14"/>
    </row>
    <row r="53" spans="1:51" ht="13.5" customHeight="1">
      <c r="A53" s="27"/>
      <c r="B53" s="27"/>
      <c r="I53" s="27"/>
      <c r="P53" s="27"/>
      <c r="V53" s="14"/>
      <c r="W53" s="27"/>
      <c r="AC53" s="14"/>
      <c r="AT53" s="27"/>
      <c r="AX53" s="14"/>
      <c r="AY53" s="14"/>
    </row>
    <row r="54" spans="1:51" ht="13.5" customHeight="1">
      <c r="A54" s="27"/>
      <c r="B54" s="27"/>
      <c r="I54" s="27"/>
      <c r="P54" s="27"/>
      <c r="V54" s="14"/>
      <c r="W54" s="27"/>
      <c r="AC54" s="14"/>
      <c r="AT54" s="27"/>
      <c r="AX54" s="14"/>
      <c r="AY54" s="14"/>
    </row>
    <row r="55" spans="1:51" ht="13.5" customHeight="1">
      <c r="A55" s="27"/>
      <c r="B55" s="27"/>
      <c r="I55" s="27"/>
      <c r="P55" s="27"/>
      <c r="V55" s="14"/>
      <c r="W55" s="27"/>
      <c r="AC55" s="14"/>
      <c r="AT55" s="27"/>
      <c r="AX55" s="14"/>
      <c r="AY55" s="14"/>
    </row>
    <row r="56" spans="1:51" ht="13.5" customHeight="1">
      <c r="A56" s="27"/>
      <c r="B56" s="27"/>
      <c r="I56" s="27"/>
      <c r="P56" s="27"/>
      <c r="V56" s="14"/>
      <c r="W56" s="27"/>
      <c r="AC56" s="14"/>
      <c r="AT56" s="27"/>
      <c r="AX56" s="14"/>
      <c r="AY56" s="14"/>
    </row>
    <row r="57" spans="1:51" ht="13.5" customHeight="1">
      <c r="A57" s="27"/>
      <c r="B57" s="27"/>
      <c r="I57" s="27"/>
      <c r="P57" s="27"/>
      <c r="V57" s="14"/>
      <c r="W57" s="27"/>
      <c r="AC57" s="14"/>
      <c r="AT57" s="27" t="s">
        <v>471</v>
      </c>
      <c r="AX57" s="14"/>
      <c r="AY57" s="14"/>
    </row>
    <row r="58" spans="1:51" ht="13.5" customHeight="1">
      <c r="A58" s="27"/>
      <c r="B58" s="27"/>
      <c r="I58" s="27"/>
      <c r="P58" s="27"/>
      <c r="V58" s="14"/>
      <c r="W58" s="27"/>
      <c r="AC58" s="14"/>
      <c r="AT58" s="27"/>
      <c r="AX58" s="14"/>
      <c r="AY58" s="14"/>
    </row>
    <row r="59" spans="1:51" ht="13.5" customHeight="1">
      <c r="A59" s="27"/>
      <c r="B59" s="27"/>
      <c r="I59" s="27"/>
      <c r="P59" s="27"/>
      <c r="V59" s="14"/>
      <c r="W59" s="27"/>
      <c r="AC59" s="14"/>
      <c r="AT59" s="27"/>
      <c r="AX59" s="14"/>
      <c r="AY59" s="14"/>
    </row>
    <row r="60" spans="1:51" ht="13.5" customHeight="1">
      <c r="A60" s="27"/>
      <c r="B60" s="27"/>
      <c r="I60" s="27"/>
      <c r="P60" s="27"/>
      <c r="V60" s="14"/>
      <c r="W60" s="27"/>
      <c r="AC60" s="14"/>
      <c r="AT60" s="27"/>
      <c r="AX60" s="14"/>
      <c r="AY60" s="14"/>
    </row>
    <row r="61" spans="1:51" ht="13.5" customHeight="1">
      <c r="A61" s="27"/>
      <c r="B61" s="27"/>
      <c r="I61" s="27"/>
      <c r="P61" s="27"/>
      <c r="V61" s="14"/>
      <c r="W61" s="27"/>
      <c r="AC61" s="14"/>
      <c r="AT61" s="27"/>
      <c r="AX61" s="14"/>
      <c r="AY61" s="14"/>
    </row>
    <row r="62" spans="1:51" ht="13.5" customHeight="1">
      <c r="A62" s="27"/>
      <c r="B62" s="27"/>
      <c r="I62" s="27"/>
      <c r="P62" s="27"/>
      <c r="V62" s="14"/>
      <c r="W62" s="27"/>
      <c r="AC62" s="14"/>
      <c r="AT62" s="27"/>
      <c r="AX62" s="14"/>
      <c r="AY62" s="14"/>
    </row>
    <row r="63" spans="1:51" ht="13.5" customHeight="1">
      <c r="A63" s="27"/>
      <c r="B63" s="27"/>
      <c r="I63" s="27"/>
      <c r="P63" s="27"/>
      <c r="V63" s="14"/>
      <c r="W63" s="27"/>
      <c r="AC63" s="14"/>
      <c r="AT63" s="27"/>
      <c r="AX63" s="14"/>
      <c r="AY63" s="14"/>
    </row>
    <row r="64" spans="1:51" ht="13.5" customHeight="1">
      <c r="A64" s="27"/>
      <c r="B64" s="27"/>
      <c r="I64" s="27"/>
      <c r="P64" s="27"/>
      <c r="V64" s="14"/>
      <c r="W64" s="27"/>
      <c r="AC64" s="14"/>
      <c r="AE64" s="86"/>
      <c r="AT64" s="27"/>
      <c r="AX64" s="14"/>
      <c r="AY64" s="14"/>
    </row>
    <row r="65" spans="1:51" ht="13.5" customHeight="1">
      <c r="A65" s="27"/>
      <c r="B65" s="27"/>
      <c r="I65" s="27"/>
      <c r="P65" s="27"/>
      <c r="V65" s="14"/>
      <c r="W65" s="27"/>
      <c r="AC65" s="14"/>
      <c r="AT65" s="27" t="s">
        <v>464</v>
      </c>
      <c r="AX65" s="14"/>
      <c r="AY65" s="14"/>
    </row>
    <row r="66" spans="1:51" ht="13.5" customHeight="1">
      <c r="A66" s="27"/>
      <c r="B66" s="27"/>
      <c r="I66" s="27"/>
      <c r="P66" s="27"/>
      <c r="V66" s="14"/>
      <c r="W66" s="27"/>
      <c r="AC66" s="14"/>
      <c r="AT66" s="27"/>
      <c r="AX66" s="14"/>
      <c r="AY66" s="14"/>
    </row>
    <row r="67" spans="1:51" ht="13.5" customHeight="1">
      <c r="A67" s="27"/>
      <c r="B67" s="27"/>
      <c r="I67" s="27"/>
      <c r="P67" s="27"/>
      <c r="V67" s="14"/>
      <c r="W67" s="27"/>
      <c r="AC67" s="14"/>
      <c r="AT67" s="27"/>
      <c r="AX67" s="14"/>
      <c r="AY67" s="14"/>
    </row>
    <row r="68" spans="1:51" ht="13.5" customHeight="1">
      <c r="A68" s="27"/>
      <c r="B68" s="27"/>
      <c r="I68" s="27"/>
      <c r="P68" s="27"/>
      <c r="V68" s="14"/>
      <c r="W68" s="27"/>
      <c r="AC68" s="14"/>
      <c r="AT68" s="27"/>
      <c r="AX68" s="14"/>
      <c r="AY68" s="14"/>
    </row>
    <row r="69" spans="1:51" ht="13.5" customHeight="1">
      <c r="A69" s="27"/>
      <c r="B69" s="27"/>
      <c r="I69" s="27"/>
      <c r="P69" s="27"/>
      <c r="V69" s="14"/>
      <c r="W69" s="27"/>
      <c r="AC69" s="14"/>
      <c r="AE69" s="86"/>
      <c r="AT69" s="27"/>
      <c r="AX69" s="14"/>
      <c r="AY69" s="14"/>
    </row>
    <row r="70" spans="1:51" ht="13.5" customHeight="1">
      <c r="A70" s="27"/>
      <c r="B70" s="27"/>
      <c r="I70" s="27"/>
      <c r="P70" s="27"/>
      <c r="V70" s="14"/>
      <c r="W70" s="27"/>
      <c r="AC70" s="14"/>
      <c r="AE70" s="86"/>
      <c r="AT70" s="27"/>
      <c r="AX70" s="14"/>
      <c r="AY70" s="14"/>
    </row>
    <row r="71" spans="1:51" ht="13.5" customHeight="1">
      <c r="A71" s="27"/>
      <c r="B71" s="27"/>
      <c r="I71" s="27"/>
      <c r="P71" s="27"/>
      <c r="V71" s="14"/>
      <c r="W71" s="27"/>
      <c r="AC71" s="14"/>
      <c r="AE71" s="86"/>
      <c r="AT71" s="27"/>
      <c r="AX71" s="14"/>
      <c r="AY71" s="14"/>
    </row>
    <row r="72" spans="1:51" ht="13.5" customHeight="1">
      <c r="A72" s="27"/>
      <c r="B72" s="27"/>
      <c r="I72" s="27"/>
      <c r="P72" s="27"/>
      <c r="V72" s="14"/>
      <c r="W72" s="27"/>
      <c r="AC72" s="14"/>
      <c r="AE72" s="16" t="s">
        <v>472</v>
      </c>
      <c r="AT72" s="27" t="s">
        <v>464</v>
      </c>
      <c r="AX72" s="14"/>
      <c r="AY72" s="14"/>
    </row>
    <row r="73" spans="1:51" ht="13.5" customHeight="1">
      <c r="A73" s="27"/>
      <c r="B73" s="27"/>
      <c r="I73" s="27"/>
      <c r="P73" s="27"/>
      <c r="V73" s="14"/>
      <c r="W73" s="27"/>
      <c r="AC73" s="14"/>
      <c r="AE73" s="86"/>
      <c r="AF73" s="8" t="s">
        <v>473</v>
      </c>
      <c r="AT73" s="27"/>
      <c r="AX73" s="14"/>
      <c r="AY73" s="14"/>
    </row>
    <row r="74" spans="1:51" ht="13.5" customHeight="1">
      <c r="A74" s="27"/>
      <c r="B74" s="27"/>
      <c r="I74" s="27"/>
      <c r="P74" s="27"/>
      <c r="V74" s="14"/>
      <c r="W74" s="27"/>
      <c r="AC74" s="14"/>
      <c r="AE74" s="86"/>
      <c r="AF74" s="48" t="s">
        <v>128</v>
      </c>
      <c r="AG74" s="49"/>
      <c r="AH74" s="49"/>
      <c r="AI74" s="49"/>
      <c r="AJ74" s="49"/>
      <c r="AK74" s="49"/>
      <c r="AL74" s="49"/>
      <c r="AM74" s="50"/>
      <c r="AT74" s="27"/>
      <c r="AX74" s="14"/>
      <c r="AY74" s="14"/>
    </row>
    <row r="75" spans="1:51" ht="13.5" customHeight="1">
      <c r="A75" s="27"/>
      <c r="B75" s="27"/>
      <c r="I75" s="27"/>
      <c r="P75" s="27"/>
      <c r="V75" s="14"/>
      <c r="W75" s="27"/>
      <c r="AC75" s="14"/>
      <c r="AE75" s="86"/>
      <c r="AF75" s="79" t="s">
        <v>131</v>
      </c>
      <c r="AG75" s="58"/>
      <c r="AH75" s="58"/>
      <c r="AI75" s="74"/>
      <c r="AJ75" s="79" t="s">
        <v>474</v>
      </c>
      <c r="AK75" s="58"/>
      <c r="AL75" s="58"/>
      <c r="AM75" s="74"/>
      <c r="AT75" s="27"/>
      <c r="AX75" s="14"/>
      <c r="AY75" s="14"/>
    </row>
    <row r="76" spans="1:51" ht="13.5" customHeight="1">
      <c r="A76" s="27"/>
      <c r="B76" s="27"/>
      <c r="I76" s="27"/>
      <c r="P76" s="27"/>
      <c r="V76" s="14"/>
      <c r="W76" s="27"/>
      <c r="AC76" s="14"/>
      <c r="AE76" s="86"/>
      <c r="AT76" s="27"/>
      <c r="AX76" s="14"/>
      <c r="AY76" s="14"/>
    </row>
    <row r="77" spans="1:51" ht="13.5" customHeight="1">
      <c r="A77" s="27"/>
      <c r="B77" s="27"/>
      <c r="I77" s="27"/>
      <c r="P77" s="27"/>
      <c r="V77" s="14"/>
      <c r="W77" s="27"/>
      <c r="AC77" s="14"/>
      <c r="AE77" s="86"/>
      <c r="AT77" s="27"/>
      <c r="AX77" s="14"/>
      <c r="AY77" s="14"/>
    </row>
    <row r="78" spans="1:51" ht="13.5" customHeight="1">
      <c r="A78" s="27"/>
      <c r="B78" s="27"/>
      <c r="I78" s="27"/>
      <c r="P78" s="27"/>
      <c r="V78" s="14"/>
      <c r="W78" s="27"/>
      <c r="AC78" s="14"/>
      <c r="AE78" s="86"/>
      <c r="AT78" s="27"/>
      <c r="AX78" s="14"/>
      <c r="AY78" s="14"/>
    </row>
    <row r="79" spans="1:51" ht="13.5" customHeight="1">
      <c r="A79" s="27"/>
      <c r="B79" s="27"/>
      <c r="I79" s="27"/>
      <c r="P79" s="27"/>
      <c r="V79" s="14"/>
      <c r="W79" s="27"/>
      <c r="AC79" s="14"/>
      <c r="AE79" s="86"/>
      <c r="AT79" s="27"/>
      <c r="AX79" s="14"/>
      <c r="AY79" s="14"/>
    </row>
    <row r="80" spans="1:51" ht="13.5" customHeight="1">
      <c r="A80" s="27"/>
      <c r="B80" s="27"/>
      <c r="I80" s="27"/>
      <c r="P80" s="27"/>
      <c r="V80" s="14"/>
      <c r="W80" s="27"/>
      <c r="AC80" s="14"/>
      <c r="AE80" s="86"/>
      <c r="AT80" s="27"/>
      <c r="AX80" s="14"/>
      <c r="AY80" s="14"/>
    </row>
    <row r="81" spans="1:51" ht="13.5" customHeight="1">
      <c r="A81" s="27"/>
      <c r="B81" s="27"/>
      <c r="I81" s="27"/>
      <c r="P81" s="27"/>
      <c r="V81" s="14"/>
      <c r="W81" s="27"/>
      <c r="AC81" s="14"/>
      <c r="AE81" s="86"/>
      <c r="AT81" s="27"/>
      <c r="AX81" s="14"/>
      <c r="AY81" s="14"/>
    </row>
    <row r="82" spans="1:51" ht="13.5" customHeight="1">
      <c r="A82" s="27"/>
      <c r="B82" s="27"/>
      <c r="I82" s="27"/>
      <c r="P82" s="27"/>
      <c r="V82" s="14"/>
      <c r="W82" s="27"/>
      <c r="AC82" s="14"/>
      <c r="AE82" s="86"/>
      <c r="AT82" s="27"/>
      <c r="AX82" s="14"/>
      <c r="AY82" s="14"/>
    </row>
    <row r="83" spans="1:51" ht="13.5" customHeight="1">
      <c r="A83" s="27"/>
      <c r="B83" s="27"/>
      <c r="I83" s="27"/>
      <c r="P83" s="27"/>
      <c r="V83" s="14"/>
      <c r="W83" s="27"/>
      <c r="AC83" s="14"/>
      <c r="AE83" s="86"/>
      <c r="AT83" s="27"/>
      <c r="AX83" s="14"/>
      <c r="AY83" s="14"/>
    </row>
    <row r="84" spans="1:51" ht="13.5" customHeight="1">
      <c r="A84" s="27"/>
      <c r="B84" s="27"/>
      <c r="I84" s="27"/>
      <c r="P84" s="27"/>
      <c r="V84" s="14"/>
      <c r="W84" s="27"/>
      <c r="AC84" s="14"/>
      <c r="AE84" s="86"/>
      <c r="AT84" s="27"/>
      <c r="AX84" s="14"/>
      <c r="AY84" s="14"/>
    </row>
    <row r="85" spans="1:51" ht="13.5" customHeight="1">
      <c r="A85" s="27"/>
      <c r="B85" s="27"/>
      <c r="I85" s="27"/>
      <c r="P85" s="27"/>
      <c r="V85" s="14"/>
      <c r="W85" s="27"/>
      <c r="AC85" s="14"/>
      <c r="AE85" s="86"/>
      <c r="AT85" s="27"/>
      <c r="AX85" s="14"/>
      <c r="AY85" s="14"/>
    </row>
    <row r="86" spans="1:51" ht="13.5" customHeight="1">
      <c r="A86" s="27"/>
      <c r="B86" s="27"/>
      <c r="I86" s="27"/>
      <c r="P86" s="27"/>
      <c r="V86" s="14"/>
      <c r="W86" s="27"/>
      <c r="AC86" s="14"/>
      <c r="AE86" s="86"/>
      <c r="AT86" s="27"/>
      <c r="AX86" s="14"/>
      <c r="AY86" s="14"/>
    </row>
    <row r="87" spans="1:51" ht="13.5" customHeight="1">
      <c r="A87" s="27"/>
      <c r="B87" s="27"/>
      <c r="I87" s="27"/>
      <c r="P87" s="27"/>
      <c r="V87" s="14"/>
      <c r="W87" s="27"/>
      <c r="AC87" s="14"/>
      <c r="AE87" s="86"/>
      <c r="AT87" s="27"/>
      <c r="AX87" s="14"/>
      <c r="AY87" s="14"/>
    </row>
    <row r="88" spans="1:51" ht="13.5" customHeight="1">
      <c r="A88" s="27"/>
      <c r="B88" s="27"/>
      <c r="I88" s="27"/>
      <c r="P88" s="27"/>
      <c r="V88" s="14"/>
      <c r="W88" s="27"/>
      <c r="AC88" s="14"/>
      <c r="AE88" s="86"/>
      <c r="AT88" s="27"/>
      <c r="AX88" s="14"/>
      <c r="AY88" s="14"/>
    </row>
    <row r="89" spans="1:51" ht="13.5" customHeight="1">
      <c r="A89" s="27"/>
      <c r="B89" s="27"/>
      <c r="I89" s="27"/>
      <c r="P89" s="27"/>
      <c r="V89" s="14"/>
      <c r="W89" s="27"/>
      <c r="AC89" s="14"/>
      <c r="AE89" s="86"/>
      <c r="AT89" s="27"/>
      <c r="AX89" s="14"/>
      <c r="AY89" s="14"/>
    </row>
    <row r="90" spans="1:51" ht="13.5" customHeight="1">
      <c r="A90" s="27"/>
      <c r="B90" s="27"/>
      <c r="I90" s="27"/>
      <c r="P90" s="27"/>
      <c r="V90" s="14"/>
      <c r="W90" s="27"/>
      <c r="AC90" s="14"/>
      <c r="AE90" s="16" t="s">
        <v>475</v>
      </c>
      <c r="AT90" s="27"/>
      <c r="AX90" s="14"/>
      <c r="AY90" s="14"/>
    </row>
    <row r="91" spans="1:51" ht="13.5" customHeight="1">
      <c r="A91" s="27"/>
      <c r="B91" s="27"/>
      <c r="I91" s="27"/>
      <c r="P91" s="27"/>
      <c r="V91" s="14"/>
      <c r="W91" s="27"/>
      <c r="AC91" s="14"/>
      <c r="AE91" s="86"/>
      <c r="AF91" s="8" t="s">
        <v>476</v>
      </c>
      <c r="AT91" s="27"/>
      <c r="AX91" s="14"/>
      <c r="AY91" s="14"/>
    </row>
    <row r="92" spans="1:51" ht="13.5" customHeight="1">
      <c r="A92" s="27"/>
      <c r="B92" s="27"/>
      <c r="I92" s="27"/>
      <c r="P92" s="27"/>
      <c r="V92" s="14"/>
      <c r="W92" s="27"/>
      <c r="AC92" s="14"/>
      <c r="AE92" s="86"/>
      <c r="AF92" s="8" t="s">
        <v>477</v>
      </c>
      <c r="AT92" s="27"/>
      <c r="AX92" s="14"/>
      <c r="AY92" s="14"/>
    </row>
    <row r="93" spans="1:51" ht="13.5" customHeight="1">
      <c r="A93" s="27"/>
      <c r="B93" s="27"/>
      <c r="I93" s="27"/>
      <c r="P93" s="27"/>
      <c r="V93" s="14"/>
      <c r="W93" s="27"/>
      <c r="AC93" s="14"/>
      <c r="AE93" s="86"/>
      <c r="AF93" s="8" t="s">
        <v>478</v>
      </c>
      <c r="AT93" s="27"/>
      <c r="AX93" s="14"/>
      <c r="AY93" s="14"/>
    </row>
    <row r="94" spans="1:51" ht="13.5" customHeight="1">
      <c r="A94" s="27"/>
      <c r="B94" s="27"/>
      <c r="I94" s="27"/>
      <c r="P94" s="27"/>
      <c r="V94" s="14"/>
      <c r="W94" s="27"/>
      <c r="AC94" s="14"/>
      <c r="AE94" s="86"/>
      <c r="AT94" s="27"/>
      <c r="AX94" s="14"/>
      <c r="AY94" s="14"/>
    </row>
    <row r="95" spans="1:51" ht="13.5" customHeight="1">
      <c r="A95" s="27"/>
      <c r="B95" s="27"/>
      <c r="I95" s="27"/>
      <c r="P95" s="27"/>
      <c r="V95" s="14"/>
      <c r="W95" s="27"/>
      <c r="AC95" s="14"/>
      <c r="AE95" s="86"/>
      <c r="AT95" s="27"/>
      <c r="AX95" s="14"/>
      <c r="AY95" s="14"/>
    </row>
    <row r="96" spans="1:51" ht="13.5" customHeight="1">
      <c r="A96" s="27"/>
      <c r="B96" s="27"/>
      <c r="I96" s="27"/>
      <c r="P96" s="27"/>
      <c r="V96" s="14"/>
      <c r="W96" s="27"/>
      <c r="AC96" s="14"/>
      <c r="AE96" s="86"/>
      <c r="AT96" s="27"/>
      <c r="AX96" s="14"/>
      <c r="AY96" s="14"/>
    </row>
    <row r="97" spans="1:51" ht="13.5" customHeight="1">
      <c r="A97" s="27"/>
      <c r="B97" s="27"/>
      <c r="I97" s="27"/>
      <c r="P97" s="27"/>
      <c r="V97" s="14"/>
      <c r="W97" s="27"/>
      <c r="AC97" s="14"/>
      <c r="AE97" s="16" t="s">
        <v>479</v>
      </c>
      <c r="AT97" s="27"/>
      <c r="AX97" s="14"/>
      <c r="AY97" s="14"/>
    </row>
    <row r="98" spans="1:51" ht="13.5" customHeight="1">
      <c r="A98" s="27"/>
      <c r="B98" s="27"/>
      <c r="I98" s="27"/>
      <c r="P98" s="27"/>
      <c r="V98" s="14"/>
      <c r="W98" s="27"/>
      <c r="AC98" s="14"/>
      <c r="AE98" s="86"/>
      <c r="AF98" s="8" t="s">
        <v>476</v>
      </c>
      <c r="AT98" s="27"/>
      <c r="AX98" s="14"/>
      <c r="AY98" s="14"/>
    </row>
    <row r="99" spans="1:51" ht="13.5" customHeight="1">
      <c r="A99" s="27"/>
      <c r="B99" s="27"/>
      <c r="I99" s="27"/>
      <c r="P99" s="27"/>
      <c r="V99" s="14"/>
      <c r="W99" s="27"/>
      <c r="AC99" s="14"/>
      <c r="AE99" s="86"/>
      <c r="AF99" s="8" t="s">
        <v>480</v>
      </c>
      <c r="AT99" s="27"/>
      <c r="AX99" s="14"/>
      <c r="AY99" s="14"/>
    </row>
    <row r="100" spans="1:51" ht="13.5" customHeight="1">
      <c r="A100" s="27"/>
      <c r="B100" s="27"/>
      <c r="I100" s="27"/>
      <c r="P100" s="27"/>
      <c r="V100" s="14"/>
      <c r="W100" s="27"/>
      <c r="AC100" s="14"/>
      <c r="AE100" s="86"/>
      <c r="AF100" s="8" t="s">
        <v>481</v>
      </c>
      <c r="AT100" s="27"/>
      <c r="AX100" s="14"/>
      <c r="AY100" s="14"/>
    </row>
    <row r="101" spans="1:51" ht="13.5" customHeight="1">
      <c r="A101" s="27"/>
      <c r="B101" s="27"/>
      <c r="I101" s="27"/>
      <c r="P101" s="27"/>
      <c r="V101" s="14"/>
      <c r="W101" s="27"/>
      <c r="AC101" s="14"/>
      <c r="AE101" s="86"/>
      <c r="AT101" s="27"/>
      <c r="AX101" s="14"/>
      <c r="AY101" s="14"/>
    </row>
    <row r="102" spans="1:51" ht="13.5" customHeight="1">
      <c r="A102" s="27"/>
      <c r="B102" s="27"/>
      <c r="I102" s="27"/>
      <c r="P102" s="27"/>
      <c r="V102" s="14"/>
      <c r="W102" s="27"/>
      <c r="AC102" s="14"/>
      <c r="AE102" s="86"/>
      <c r="AT102" s="27"/>
      <c r="AX102" s="14"/>
      <c r="AY102" s="14"/>
    </row>
    <row r="103" spans="1:51" ht="13.5" customHeight="1">
      <c r="A103" s="27"/>
      <c r="B103" s="27"/>
      <c r="I103" s="27"/>
      <c r="P103" s="27"/>
      <c r="V103" s="14"/>
      <c r="W103" s="27"/>
      <c r="AC103" s="14"/>
      <c r="AE103" s="86"/>
      <c r="AT103" s="27"/>
      <c r="AX103" s="14"/>
      <c r="AY103" s="14"/>
    </row>
    <row r="104" spans="1:51" ht="13.5" customHeight="1">
      <c r="A104" s="27"/>
      <c r="B104" s="27"/>
      <c r="I104" s="27"/>
      <c r="P104" s="27"/>
      <c r="V104" s="14"/>
      <c r="W104" s="27"/>
      <c r="AC104" s="14"/>
      <c r="AE104" s="86"/>
      <c r="AT104" s="27"/>
      <c r="AX104" s="14"/>
      <c r="AY104" s="14"/>
    </row>
    <row r="105" spans="1:51" ht="13.5" customHeight="1">
      <c r="A105" s="27"/>
      <c r="B105" s="27"/>
      <c r="I105" s="27"/>
      <c r="P105" s="27"/>
      <c r="V105" s="14"/>
      <c r="W105" s="27"/>
      <c r="AC105" s="14"/>
      <c r="AE105" s="16" t="s">
        <v>482</v>
      </c>
      <c r="AT105" s="27"/>
      <c r="AX105" s="14"/>
      <c r="AY105" s="14"/>
    </row>
    <row r="106" spans="1:51" ht="13.5" customHeight="1">
      <c r="A106" s="27"/>
      <c r="B106" s="27"/>
      <c r="I106" s="27"/>
      <c r="P106" s="27"/>
      <c r="V106" s="14"/>
      <c r="W106" s="27"/>
      <c r="AC106" s="14"/>
      <c r="AE106" s="86"/>
      <c r="AF106" s="8" t="s">
        <v>483</v>
      </c>
      <c r="AT106" s="27"/>
      <c r="AX106" s="14"/>
      <c r="AY106" s="14"/>
    </row>
    <row r="107" spans="1:51" ht="13.5" customHeight="1">
      <c r="A107" s="27"/>
      <c r="B107" s="27"/>
      <c r="I107" s="27"/>
      <c r="P107" s="27"/>
      <c r="V107" s="14"/>
      <c r="W107" s="27"/>
      <c r="AC107" s="14"/>
      <c r="AE107" s="86"/>
      <c r="AF107" s="8" t="s">
        <v>484</v>
      </c>
      <c r="AT107" s="27"/>
      <c r="AX107" s="14"/>
      <c r="AY107" s="14"/>
    </row>
    <row r="108" spans="1:51" ht="13.5" customHeight="1">
      <c r="A108" s="27"/>
      <c r="B108" s="27"/>
      <c r="I108" s="27"/>
      <c r="P108" s="27"/>
      <c r="V108" s="14"/>
      <c r="W108" s="27"/>
      <c r="AC108" s="14"/>
      <c r="AE108" s="86"/>
      <c r="AT108" s="27"/>
      <c r="AX108" s="14"/>
      <c r="AY108" s="14"/>
    </row>
    <row r="109" spans="1:51" ht="13.5" customHeight="1">
      <c r="A109" s="27"/>
      <c r="B109" s="27"/>
      <c r="I109" s="27"/>
      <c r="P109" s="27"/>
      <c r="V109" s="14"/>
      <c r="W109" s="27"/>
      <c r="AC109" s="14"/>
      <c r="AE109" s="86"/>
      <c r="AT109" s="27"/>
      <c r="AX109" s="14"/>
      <c r="AY109" s="14"/>
    </row>
    <row r="110" spans="1:51" ht="13.5" customHeight="1">
      <c r="A110" s="27"/>
      <c r="B110" s="27"/>
      <c r="I110" s="27"/>
      <c r="P110" s="27"/>
      <c r="V110" s="14"/>
      <c r="W110" s="27"/>
      <c r="AC110" s="14"/>
      <c r="AE110" s="86"/>
      <c r="AT110" s="27"/>
      <c r="AX110" s="14"/>
      <c r="AY110" s="14"/>
    </row>
    <row r="111" spans="1:51" ht="13.5" customHeight="1">
      <c r="A111" s="27"/>
      <c r="B111" s="27"/>
      <c r="I111" s="27"/>
      <c r="P111" s="27"/>
      <c r="V111" s="14"/>
      <c r="W111" s="27"/>
      <c r="AC111" s="14"/>
      <c r="AE111" s="86"/>
      <c r="AT111" s="27"/>
      <c r="AX111" s="14"/>
      <c r="AY111" s="14"/>
    </row>
    <row r="112" spans="1:51" ht="13.5" customHeight="1">
      <c r="A112" s="27"/>
      <c r="B112" s="27"/>
      <c r="I112" s="27"/>
      <c r="P112" s="27"/>
      <c r="V112" s="14"/>
      <c r="W112" s="27"/>
      <c r="AC112" s="14"/>
      <c r="AE112" s="86"/>
      <c r="AT112" s="27"/>
      <c r="AX112" s="14"/>
      <c r="AY112" s="14"/>
    </row>
    <row r="113" spans="1:51" ht="13.5" customHeight="1">
      <c r="A113" s="27"/>
      <c r="B113" s="55"/>
      <c r="C113" s="10"/>
      <c r="D113" s="10"/>
      <c r="E113" s="10"/>
      <c r="F113" s="10"/>
      <c r="G113" s="10"/>
      <c r="H113" s="10"/>
      <c r="I113" s="55"/>
      <c r="J113" s="10"/>
      <c r="K113" s="10"/>
      <c r="L113" s="10"/>
      <c r="M113" s="10"/>
      <c r="N113" s="10"/>
      <c r="O113" s="10"/>
      <c r="P113" s="55"/>
      <c r="Q113" s="10"/>
      <c r="R113" s="10"/>
      <c r="S113" s="10"/>
      <c r="T113" s="10"/>
      <c r="U113" s="10"/>
      <c r="V113" s="15"/>
      <c r="W113" s="55"/>
      <c r="X113" s="10"/>
      <c r="Y113" s="10"/>
      <c r="Z113" s="10"/>
      <c r="AA113" s="10"/>
      <c r="AB113" s="10"/>
      <c r="AC113" s="15"/>
      <c r="AD113" s="10"/>
      <c r="AE113" s="10"/>
      <c r="AF113" s="10"/>
      <c r="AG113" s="10"/>
      <c r="AH113" s="10"/>
      <c r="AI113" s="10"/>
      <c r="AJ113" s="10"/>
      <c r="AK113" s="10"/>
      <c r="AL113" s="10"/>
      <c r="AM113" s="10"/>
      <c r="AN113" s="10"/>
      <c r="AO113" s="10"/>
      <c r="AP113" s="10"/>
      <c r="AQ113" s="10"/>
      <c r="AR113" s="10"/>
      <c r="AS113" s="10"/>
      <c r="AT113" s="55"/>
      <c r="AU113" s="10"/>
      <c r="AV113" s="10"/>
      <c r="AW113" s="10"/>
      <c r="AX113" s="15"/>
      <c r="AY113" s="14"/>
    </row>
    <row r="114" spans="1:51" s="11" customFormat="1">
      <c r="A114" s="28"/>
      <c r="B114" s="36" t="s">
        <v>485</v>
      </c>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13"/>
    </row>
    <row r="115" spans="1:51" s="11" customFormat="1">
      <c r="A115" s="28"/>
      <c r="B115" s="47"/>
      <c r="C115" s="45"/>
      <c r="D115" s="45"/>
      <c r="E115" s="45"/>
      <c r="F115" s="45"/>
      <c r="G115" s="45"/>
      <c r="H115" s="45"/>
      <c r="I115" s="47"/>
      <c r="J115" s="45"/>
      <c r="K115" s="45"/>
      <c r="L115" s="45"/>
      <c r="M115" s="45"/>
      <c r="N115" s="45"/>
      <c r="O115" s="45"/>
      <c r="P115" s="47"/>
      <c r="Q115" s="45"/>
      <c r="R115" s="45"/>
      <c r="S115" s="45"/>
      <c r="T115" s="45"/>
      <c r="U115" s="45"/>
      <c r="V115" s="46"/>
      <c r="W115" s="47"/>
      <c r="X115" s="45"/>
      <c r="Y115" s="45"/>
      <c r="Z115" s="45"/>
      <c r="AA115" s="45"/>
      <c r="AB115" s="45"/>
      <c r="AC115" s="46"/>
      <c r="AD115" s="45"/>
      <c r="AE115" s="45"/>
      <c r="AF115" s="45"/>
      <c r="AG115" s="45"/>
      <c r="AH115" s="45"/>
      <c r="AI115" s="45"/>
      <c r="AJ115" s="45"/>
      <c r="AK115" s="45"/>
      <c r="AL115" s="45"/>
      <c r="AM115" s="45"/>
      <c r="AN115" s="45"/>
      <c r="AO115" s="45"/>
      <c r="AP115" s="45"/>
      <c r="AQ115" s="45"/>
      <c r="AR115" s="45"/>
      <c r="AS115" s="45"/>
      <c r="AT115" s="47"/>
      <c r="AU115" s="45"/>
      <c r="AV115" s="45"/>
      <c r="AW115" s="45"/>
      <c r="AX115" s="46"/>
      <c r="AY115" s="13"/>
    </row>
    <row r="116" spans="1:51" s="11" customFormat="1">
      <c r="A116" s="28"/>
      <c r="B116" s="31"/>
      <c r="C116" s="24"/>
      <c r="D116" s="24"/>
      <c r="E116" s="24"/>
      <c r="F116" s="24"/>
      <c r="G116" s="24"/>
      <c r="H116" s="24"/>
      <c r="I116" s="31"/>
      <c r="J116" s="24"/>
      <c r="K116" s="24"/>
      <c r="L116" s="24"/>
      <c r="M116" s="24"/>
      <c r="N116" s="24"/>
      <c r="O116" s="24"/>
      <c r="P116" s="31"/>
      <c r="Q116" s="24"/>
      <c r="R116" s="24"/>
      <c r="S116" s="24"/>
      <c r="T116" s="24"/>
      <c r="U116" s="24"/>
      <c r="V116" s="23"/>
      <c r="W116" s="31"/>
      <c r="X116" s="24"/>
      <c r="Y116" s="24"/>
      <c r="Z116" s="24"/>
      <c r="AA116" s="24"/>
      <c r="AB116" s="24"/>
      <c r="AC116" s="23"/>
      <c r="AD116" s="24"/>
      <c r="AE116" s="8"/>
      <c r="AF116" s="8"/>
      <c r="AG116" s="8"/>
      <c r="AH116" s="8"/>
      <c r="AI116" s="8"/>
      <c r="AJ116" s="24"/>
      <c r="AK116" s="24"/>
      <c r="AL116" s="24"/>
      <c r="AM116" s="24"/>
      <c r="AN116" s="24"/>
      <c r="AO116" s="24"/>
      <c r="AP116" s="24"/>
      <c r="AQ116" s="24"/>
      <c r="AR116" s="24"/>
      <c r="AS116" s="24"/>
      <c r="AT116" s="31"/>
      <c r="AU116" s="24"/>
      <c r="AV116" s="24"/>
      <c r="AW116" s="24"/>
      <c r="AX116" s="23"/>
      <c r="AY116" s="13"/>
    </row>
    <row r="117" spans="1:51" s="11" customFormat="1">
      <c r="A117" s="28"/>
      <c r="B117" s="31"/>
      <c r="C117" s="24"/>
      <c r="D117" s="24"/>
      <c r="E117" s="24"/>
      <c r="F117" s="24"/>
      <c r="G117" s="24"/>
      <c r="H117" s="24"/>
      <c r="I117" s="31"/>
      <c r="J117" s="24"/>
      <c r="K117" s="24"/>
      <c r="L117" s="24"/>
      <c r="M117" s="24"/>
      <c r="N117" s="24"/>
      <c r="O117" s="24"/>
      <c r="P117" s="31"/>
      <c r="Q117" s="24"/>
      <c r="R117" s="24"/>
      <c r="S117" s="24"/>
      <c r="T117" s="24"/>
      <c r="U117" s="24"/>
      <c r="V117" s="23"/>
      <c r="W117" s="31"/>
      <c r="X117" s="24"/>
      <c r="Y117" s="24"/>
      <c r="Z117" s="24"/>
      <c r="AA117" s="24"/>
      <c r="AB117" s="24"/>
      <c r="AC117" s="23"/>
      <c r="AD117" s="24"/>
      <c r="AE117" s="8"/>
      <c r="AF117" s="8"/>
      <c r="AG117" s="8"/>
      <c r="AH117" s="8"/>
      <c r="AI117" s="8"/>
      <c r="AJ117" s="24"/>
      <c r="AK117" s="24"/>
      <c r="AL117" s="24"/>
      <c r="AM117" s="24"/>
      <c r="AN117" s="24"/>
      <c r="AO117" s="24"/>
      <c r="AP117" s="24"/>
      <c r="AQ117" s="24"/>
      <c r="AR117" s="24"/>
      <c r="AS117" s="24"/>
      <c r="AT117" s="31"/>
      <c r="AU117" s="24"/>
      <c r="AV117" s="24"/>
      <c r="AW117" s="24"/>
      <c r="AX117" s="23"/>
      <c r="AY117" s="13"/>
    </row>
    <row r="118" spans="1:51" s="11" customFormat="1">
      <c r="A118" s="28"/>
      <c r="B118" s="31"/>
      <c r="C118" s="24"/>
      <c r="D118" s="24"/>
      <c r="E118" s="24"/>
      <c r="F118" s="24"/>
      <c r="G118" s="24"/>
      <c r="H118" s="24"/>
      <c r="I118" s="31"/>
      <c r="J118" s="24"/>
      <c r="K118" s="24"/>
      <c r="L118" s="24"/>
      <c r="M118" s="24"/>
      <c r="N118" s="24"/>
      <c r="O118" s="24"/>
      <c r="P118" s="31"/>
      <c r="Q118" s="24"/>
      <c r="R118" s="24"/>
      <c r="S118" s="24"/>
      <c r="T118" s="24"/>
      <c r="U118" s="24"/>
      <c r="V118" s="23"/>
      <c r="W118" s="31"/>
      <c r="X118" s="24"/>
      <c r="Y118" s="24"/>
      <c r="Z118" s="24"/>
      <c r="AA118" s="24"/>
      <c r="AB118" s="24"/>
      <c r="AC118" s="23"/>
      <c r="AD118" s="24"/>
      <c r="AE118" s="8"/>
      <c r="AF118" s="8"/>
      <c r="AG118" s="8"/>
      <c r="AH118" s="8"/>
      <c r="AI118" s="8"/>
      <c r="AJ118" s="24"/>
      <c r="AK118" s="24"/>
      <c r="AL118" s="24"/>
      <c r="AM118" s="24"/>
      <c r="AN118" s="24"/>
      <c r="AO118" s="24"/>
      <c r="AP118" s="24"/>
      <c r="AQ118" s="24"/>
      <c r="AR118" s="24"/>
      <c r="AS118" s="24"/>
      <c r="AT118" s="31"/>
      <c r="AU118" s="24"/>
      <c r="AV118" s="24"/>
      <c r="AW118" s="24"/>
      <c r="AX118" s="23"/>
      <c r="AY118" s="13"/>
    </row>
    <row r="119" spans="1:51" s="11" customFormat="1">
      <c r="A119" s="28"/>
      <c r="B119" s="31"/>
      <c r="C119" s="24"/>
      <c r="D119" s="24"/>
      <c r="E119" s="24"/>
      <c r="F119" s="24"/>
      <c r="G119" s="24"/>
      <c r="H119" s="24"/>
      <c r="I119" s="31"/>
      <c r="J119" s="24"/>
      <c r="K119" s="24"/>
      <c r="L119" s="24"/>
      <c r="M119" s="24"/>
      <c r="N119" s="24"/>
      <c r="O119" s="24"/>
      <c r="P119" s="31"/>
      <c r="Q119" s="24"/>
      <c r="R119" s="24"/>
      <c r="S119" s="24"/>
      <c r="T119" s="24"/>
      <c r="U119" s="24"/>
      <c r="V119" s="23"/>
      <c r="W119" s="31"/>
      <c r="X119" s="24"/>
      <c r="Y119" s="24"/>
      <c r="Z119" s="24"/>
      <c r="AA119" s="24"/>
      <c r="AB119" s="24"/>
      <c r="AC119" s="23"/>
      <c r="AD119" s="24"/>
      <c r="AE119" s="8"/>
      <c r="AF119" s="8"/>
      <c r="AG119" s="8"/>
      <c r="AH119" s="8"/>
      <c r="AI119" s="8"/>
      <c r="AJ119" s="24"/>
      <c r="AK119" s="24"/>
      <c r="AL119" s="24"/>
      <c r="AM119" s="24"/>
      <c r="AN119" s="24"/>
      <c r="AO119" s="24"/>
      <c r="AP119" s="24"/>
      <c r="AQ119" s="24"/>
      <c r="AR119" s="24"/>
      <c r="AS119" s="24"/>
      <c r="AT119" s="31"/>
      <c r="AU119" s="24"/>
      <c r="AV119" s="24"/>
      <c r="AW119" s="24"/>
      <c r="AX119" s="23"/>
      <c r="AY119" s="13"/>
    </row>
    <row r="120" spans="1:51" s="11" customFormat="1">
      <c r="A120" s="28"/>
      <c r="B120" s="31"/>
      <c r="C120" s="24"/>
      <c r="D120" s="24"/>
      <c r="E120" s="24"/>
      <c r="F120" s="24"/>
      <c r="G120" s="24"/>
      <c r="H120" s="24"/>
      <c r="I120" s="31"/>
      <c r="J120" s="24"/>
      <c r="K120" s="24"/>
      <c r="L120" s="24"/>
      <c r="M120" s="24"/>
      <c r="N120" s="24"/>
      <c r="O120" s="24"/>
      <c r="P120" s="31"/>
      <c r="Q120" s="24"/>
      <c r="R120" s="24"/>
      <c r="S120" s="24"/>
      <c r="T120" s="24"/>
      <c r="U120" s="24"/>
      <c r="V120" s="23"/>
      <c r="W120" s="31"/>
      <c r="X120" s="24"/>
      <c r="Y120" s="24"/>
      <c r="Z120" s="24"/>
      <c r="AA120" s="24"/>
      <c r="AB120" s="24"/>
      <c r="AC120" s="23"/>
      <c r="AD120" s="24"/>
      <c r="AF120" s="8"/>
      <c r="AG120" s="8"/>
      <c r="AH120" s="8"/>
      <c r="AI120" s="8"/>
      <c r="AJ120" s="24"/>
      <c r="AK120" s="24"/>
      <c r="AL120" s="24"/>
      <c r="AM120" s="24"/>
      <c r="AN120" s="24"/>
      <c r="AO120" s="24"/>
      <c r="AP120" s="24"/>
      <c r="AQ120" s="24"/>
      <c r="AR120" s="24"/>
      <c r="AS120" s="24"/>
      <c r="AT120" s="31"/>
      <c r="AU120" s="24"/>
      <c r="AV120" s="24"/>
      <c r="AW120" s="24"/>
      <c r="AX120" s="23"/>
      <c r="AY120" s="13"/>
    </row>
    <row r="121" spans="1:51" s="11" customFormat="1">
      <c r="A121" s="28"/>
      <c r="B121" s="31"/>
      <c r="C121" s="24"/>
      <c r="D121" s="24"/>
      <c r="E121" s="24"/>
      <c r="F121" s="24"/>
      <c r="G121" s="24"/>
      <c r="H121" s="24"/>
      <c r="I121" s="31"/>
      <c r="J121" s="24"/>
      <c r="K121" s="24"/>
      <c r="L121" s="24"/>
      <c r="M121" s="24"/>
      <c r="N121" s="24"/>
      <c r="O121" s="24"/>
      <c r="P121" s="31"/>
      <c r="Q121" s="24"/>
      <c r="R121" s="24"/>
      <c r="S121" s="24"/>
      <c r="T121" s="24"/>
      <c r="U121" s="24"/>
      <c r="V121" s="23"/>
      <c r="W121" s="31"/>
      <c r="X121" s="24"/>
      <c r="Y121" s="24"/>
      <c r="Z121" s="24"/>
      <c r="AA121" s="24"/>
      <c r="AB121" s="24"/>
      <c r="AC121" s="23"/>
      <c r="AD121" s="24"/>
      <c r="AE121" s="8"/>
      <c r="AF121" s="8"/>
      <c r="AG121" s="8"/>
      <c r="AH121" s="8"/>
      <c r="AI121" s="24"/>
      <c r="AJ121" s="24"/>
      <c r="AK121" s="24"/>
      <c r="AL121" s="24"/>
      <c r="AM121" s="24"/>
      <c r="AN121" s="24"/>
      <c r="AO121" s="24"/>
      <c r="AP121" s="24"/>
      <c r="AQ121" s="24"/>
      <c r="AR121" s="24"/>
      <c r="AS121" s="24"/>
      <c r="AT121" s="31"/>
      <c r="AU121" s="24"/>
      <c r="AV121" s="24"/>
      <c r="AW121" s="24"/>
      <c r="AX121" s="23"/>
      <c r="AY121" s="13"/>
    </row>
    <row r="122" spans="1:51" s="11" customFormat="1">
      <c r="A122" s="28"/>
      <c r="B122" s="31"/>
      <c r="C122" s="24"/>
      <c r="D122" s="24"/>
      <c r="E122" s="24"/>
      <c r="F122" s="24"/>
      <c r="G122" s="24"/>
      <c r="H122" s="24"/>
      <c r="I122" s="31"/>
      <c r="J122" s="24"/>
      <c r="K122" s="24"/>
      <c r="L122" s="24"/>
      <c r="M122" s="24"/>
      <c r="N122" s="24"/>
      <c r="O122" s="24"/>
      <c r="P122" s="31"/>
      <c r="Q122" s="24"/>
      <c r="R122" s="24"/>
      <c r="S122" s="24"/>
      <c r="T122" s="24"/>
      <c r="U122" s="24"/>
      <c r="V122" s="23"/>
      <c r="W122" s="31"/>
      <c r="X122" s="24"/>
      <c r="Y122" s="24"/>
      <c r="Z122" s="24"/>
      <c r="AA122" s="24"/>
      <c r="AB122" s="24"/>
      <c r="AC122" s="23"/>
      <c r="AD122" s="24"/>
      <c r="AE122" s="8"/>
      <c r="AF122" s="8"/>
      <c r="AG122" s="8"/>
      <c r="AH122" s="8"/>
      <c r="AI122" s="8"/>
      <c r="AJ122" s="8"/>
      <c r="AK122" s="8"/>
      <c r="AL122" s="8"/>
      <c r="AM122" s="8"/>
      <c r="AN122" s="8"/>
      <c r="AO122" s="24"/>
      <c r="AP122" s="24"/>
      <c r="AQ122" s="24"/>
      <c r="AR122" s="24"/>
      <c r="AS122" s="24"/>
      <c r="AT122" s="31"/>
      <c r="AU122" s="24"/>
      <c r="AV122" s="24"/>
      <c r="AW122" s="24"/>
      <c r="AX122" s="23"/>
      <c r="AY122" s="13"/>
    </row>
    <row r="123" spans="1:51" s="11" customFormat="1">
      <c r="A123" s="28"/>
      <c r="B123" s="31"/>
      <c r="C123" s="24"/>
      <c r="D123" s="24"/>
      <c r="E123" s="24"/>
      <c r="F123" s="24"/>
      <c r="G123" s="24"/>
      <c r="H123" s="24"/>
      <c r="I123" s="31"/>
      <c r="J123" s="24"/>
      <c r="K123" s="24"/>
      <c r="L123" s="24"/>
      <c r="M123" s="24"/>
      <c r="N123" s="24"/>
      <c r="O123" s="24"/>
      <c r="P123" s="31"/>
      <c r="Q123" s="24"/>
      <c r="R123" s="24"/>
      <c r="S123" s="24"/>
      <c r="T123" s="24"/>
      <c r="U123" s="24"/>
      <c r="V123" s="23"/>
      <c r="W123" s="31"/>
      <c r="X123" s="24"/>
      <c r="Y123" s="24"/>
      <c r="Z123" s="24"/>
      <c r="AA123" s="24"/>
      <c r="AB123" s="24"/>
      <c r="AC123" s="23"/>
      <c r="AD123" s="24"/>
      <c r="AE123" s="8"/>
      <c r="AF123" s="8"/>
      <c r="AG123" s="8"/>
      <c r="AH123" s="8"/>
      <c r="AI123" s="8"/>
      <c r="AJ123" s="8"/>
      <c r="AK123" s="8"/>
      <c r="AL123" s="8"/>
      <c r="AM123" s="8"/>
      <c r="AN123" s="8"/>
      <c r="AO123" s="24"/>
      <c r="AP123" s="24"/>
      <c r="AQ123" s="24"/>
      <c r="AR123" s="24"/>
      <c r="AS123" s="24"/>
      <c r="AT123" s="31"/>
      <c r="AU123" s="24"/>
      <c r="AV123" s="24"/>
      <c r="AW123" s="24"/>
      <c r="AX123" s="23"/>
      <c r="AY123" s="13"/>
    </row>
    <row r="124" spans="1:51" s="11" customFormat="1">
      <c r="A124" s="28"/>
      <c r="B124" s="31"/>
      <c r="C124" s="24"/>
      <c r="D124" s="24"/>
      <c r="E124" s="24"/>
      <c r="F124" s="24"/>
      <c r="G124" s="24"/>
      <c r="H124" s="24"/>
      <c r="I124" s="31"/>
      <c r="J124" s="24"/>
      <c r="K124" s="24"/>
      <c r="L124" s="24"/>
      <c r="M124" s="24"/>
      <c r="N124" s="24"/>
      <c r="O124" s="24"/>
      <c r="P124" s="31"/>
      <c r="Q124" s="24"/>
      <c r="R124" s="24"/>
      <c r="S124" s="24"/>
      <c r="T124" s="24"/>
      <c r="U124" s="24"/>
      <c r="V124" s="23"/>
      <c r="W124" s="31"/>
      <c r="X124" s="24"/>
      <c r="Y124" s="24"/>
      <c r="Z124" s="24"/>
      <c r="AA124" s="24"/>
      <c r="AB124" s="24"/>
      <c r="AC124" s="23"/>
      <c r="AD124" s="24"/>
      <c r="AE124" s="8"/>
      <c r="AF124" s="8"/>
      <c r="AG124" s="8"/>
      <c r="AH124" s="8"/>
      <c r="AI124" s="8"/>
      <c r="AJ124" s="8"/>
      <c r="AK124" s="8"/>
      <c r="AL124" s="8"/>
      <c r="AM124" s="8"/>
      <c r="AN124" s="8"/>
      <c r="AO124" s="24"/>
      <c r="AP124" s="24"/>
      <c r="AQ124" s="24"/>
      <c r="AR124" s="24"/>
      <c r="AS124" s="24"/>
      <c r="AT124" s="31"/>
      <c r="AU124" s="24"/>
      <c r="AV124" s="24"/>
      <c r="AW124" s="24"/>
      <c r="AX124" s="23"/>
      <c r="AY124" s="13"/>
    </row>
    <row r="125" spans="1:51" s="11" customFormat="1">
      <c r="A125" s="28"/>
      <c r="B125" s="31"/>
      <c r="C125" s="24"/>
      <c r="D125" s="24"/>
      <c r="E125" s="24"/>
      <c r="F125" s="24"/>
      <c r="H125" s="24"/>
      <c r="I125" s="34"/>
      <c r="J125" s="24"/>
      <c r="K125" s="24"/>
      <c r="L125" s="24"/>
      <c r="M125" s="24"/>
      <c r="N125" s="24"/>
      <c r="O125" s="24"/>
      <c r="P125" s="31"/>
      <c r="Q125" s="24"/>
      <c r="R125" s="24"/>
      <c r="S125" s="24"/>
      <c r="T125" s="24"/>
      <c r="U125" s="24"/>
      <c r="V125" s="23"/>
      <c r="W125" s="31"/>
      <c r="X125" s="24"/>
      <c r="Y125" s="24"/>
      <c r="Z125" s="24"/>
      <c r="AA125" s="24"/>
      <c r="AB125" s="24"/>
      <c r="AC125" s="23"/>
      <c r="AD125" s="24"/>
      <c r="AE125" s="8"/>
      <c r="AF125" s="8"/>
      <c r="AG125" s="8"/>
      <c r="AH125" s="8"/>
      <c r="AI125" s="8"/>
      <c r="AJ125" s="8"/>
      <c r="AK125" s="8"/>
      <c r="AL125" s="8"/>
      <c r="AM125" s="8"/>
      <c r="AN125" s="8"/>
      <c r="AO125" s="24"/>
      <c r="AP125" s="24"/>
      <c r="AQ125" s="24"/>
      <c r="AR125" s="24"/>
      <c r="AS125" s="24"/>
      <c r="AT125" s="31"/>
      <c r="AU125" s="24"/>
      <c r="AV125" s="24"/>
      <c r="AW125" s="24"/>
      <c r="AX125" s="23"/>
      <c r="AY125" s="13"/>
    </row>
    <row r="126" spans="1:51" s="11" customFormat="1">
      <c r="A126" s="28"/>
      <c r="B126" s="33"/>
      <c r="C126"/>
      <c r="D126"/>
      <c r="E126"/>
      <c r="F126"/>
      <c r="G126"/>
      <c r="H126"/>
      <c r="I126" s="33"/>
      <c r="J126"/>
      <c r="K126"/>
      <c r="L126"/>
      <c r="M126"/>
      <c r="N126"/>
      <c r="O126"/>
      <c r="P126" s="33"/>
      <c r="Q126"/>
      <c r="R126"/>
      <c r="S126"/>
      <c r="T126"/>
      <c r="U126"/>
      <c r="V126" s="22"/>
      <c r="W126" s="33"/>
      <c r="X126"/>
      <c r="Y126"/>
      <c r="Z126"/>
      <c r="AA126"/>
      <c r="AB126"/>
      <c r="AC126" s="22"/>
      <c r="AT126" s="34"/>
      <c r="AX126" s="13"/>
      <c r="AY126" s="13"/>
    </row>
    <row r="127" spans="1:51" s="11" customFormat="1">
      <c r="A127" s="28"/>
      <c r="B127" s="34"/>
      <c r="I127" s="34"/>
      <c r="P127" s="34"/>
      <c r="V127" s="13"/>
      <c r="W127" s="34"/>
      <c r="AC127" s="13"/>
      <c r="AE127" s="25"/>
      <c r="AG127" s="8"/>
      <c r="AH127" s="8"/>
      <c r="AT127" s="34"/>
      <c r="AX127" s="13"/>
      <c r="AY127" s="13"/>
    </row>
    <row r="128" spans="1:51" ht="13.5" customHeight="1">
      <c r="A128" s="27"/>
      <c r="B128" s="27"/>
      <c r="I128" s="27"/>
      <c r="P128" s="27"/>
      <c r="V128" s="14"/>
      <c r="W128" s="27"/>
      <c r="AC128" s="14"/>
      <c r="AT128" s="27"/>
      <c r="AX128" s="14"/>
      <c r="AY128" s="14"/>
    </row>
    <row r="129" spans="1:51" ht="13.5" customHeight="1">
      <c r="A129" s="27"/>
      <c r="B129" s="27"/>
      <c r="I129" s="27"/>
      <c r="P129" s="27"/>
      <c r="V129" s="14"/>
      <c r="W129" s="27"/>
      <c r="AC129" s="14"/>
      <c r="AT129" s="27"/>
      <c r="AX129" s="14"/>
      <c r="AY129" s="14"/>
    </row>
    <row r="130" spans="1:51" ht="13.5" customHeight="1">
      <c r="A130" s="27"/>
      <c r="B130" s="27"/>
      <c r="I130" s="27"/>
      <c r="P130" s="27"/>
      <c r="V130" s="14"/>
      <c r="W130" s="27"/>
      <c r="AC130" s="14"/>
      <c r="AT130" s="27"/>
      <c r="AX130" s="14"/>
      <c r="AY130" s="14"/>
    </row>
    <row r="131" spans="1:51" ht="13.5" customHeight="1">
      <c r="A131" s="27"/>
      <c r="B131" s="27"/>
      <c r="I131" s="27"/>
      <c r="P131" s="27"/>
      <c r="V131" s="14"/>
      <c r="W131" s="27"/>
      <c r="AC131" s="14"/>
      <c r="AT131" s="27"/>
      <c r="AX131" s="14"/>
      <c r="AY131" s="14"/>
    </row>
    <row r="132" spans="1:51" ht="13.5" customHeight="1">
      <c r="A132" s="27"/>
      <c r="B132" s="27"/>
      <c r="I132" s="27"/>
      <c r="P132" s="27"/>
      <c r="V132" s="14"/>
      <c r="W132" s="27"/>
      <c r="AC132" s="14"/>
      <c r="AT132" s="27"/>
      <c r="AX132" s="14"/>
      <c r="AY132" s="14"/>
    </row>
    <row r="133" spans="1:51" ht="13.5" customHeight="1">
      <c r="A133" s="27"/>
      <c r="B133" s="27"/>
      <c r="I133" s="27"/>
      <c r="P133" s="27"/>
      <c r="V133" s="14"/>
      <c r="W133" s="27"/>
      <c r="AC133" s="14"/>
      <c r="AT133" s="27"/>
      <c r="AX133" s="14"/>
      <c r="AY133" s="14"/>
    </row>
    <row r="134" spans="1:51" ht="13.5" customHeight="1">
      <c r="A134" s="27"/>
      <c r="B134" s="27"/>
      <c r="I134" s="27"/>
      <c r="P134" s="27"/>
      <c r="V134" s="14"/>
      <c r="W134" s="27"/>
      <c r="AC134" s="14"/>
      <c r="AT134" s="27"/>
      <c r="AX134" s="14"/>
      <c r="AY134" s="14"/>
    </row>
    <row r="135" spans="1:51" ht="13.5" customHeight="1">
      <c r="A135" s="27"/>
      <c r="B135" s="27"/>
      <c r="I135" s="27"/>
      <c r="P135" s="27"/>
      <c r="V135" s="14"/>
      <c r="W135" s="27"/>
      <c r="AC135" s="14"/>
      <c r="AT135" s="27"/>
      <c r="AX135" s="14"/>
      <c r="AY135" s="14"/>
    </row>
    <row r="136" spans="1:51" ht="13.5" customHeight="1">
      <c r="A136" s="27"/>
      <c r="B136" s="27"/>
      <c r="I136" s="27"/>
      <c r="P136" s="27"/>
      <c r="V136" s="14"/>
      <c r="W136" s="27"/>
      <c r="AC136" s="14"/>
      <c r="AT136" s="27"/>
      <c r="AX136" s="14"/>
      <c r="AY136" s="14"/>
    </row>
    <row r="137" spans="1:51" ht="13.5" customHeight="1">
      <c r="A137" s="27"/>
      <c r="B137" s="27"/>
      <c r="I137" s="27"/>
      <c r="P137" s="27"/>
      <c r="V137" s="14"/>
      <c r="W137" s="27"/>
      <c r="AC137" s="14"/>
      <c r="AT137" s="27"/>
      <c r="AX137" s="14"/>
      <c r="AY137" s="14"/>
    </row>
    <row r="138" spans="1:51" ht="13.5" customHeight="1">
      <c r="A138" s="27"/>
      <c r="B138" s="27"/>
      <c r="I138" s="27"/>
      <c r="P138" s="27"/>
      <c r="V138" s="14"/>
      <c r="W138" s="27"/>
      <c r="AC138" s="14"/>
      <c r="AT138" s="27"/>
      <c r="AX138" s="14"/>
      <c r="AY138" s="14"/>
    </row>
    <row r="139" spans="1:51" ht="13.5" customHeight="1">
      <c r="A139" s="27"/>
      <c r="B139" s="27"/>
      <c r="I139" s="27"/>
      <c r="P139" s="27"/>
      <c r="V139" s="14"/>
      <c r="W139" s="27"/>
      <c r="AC139" s="14"/>
      <c r="AT139" s="27"/>
      <c r="AX139" s="14"/>
      <c r="AY139" s="14"/>
    </row>
    <row r="140" spans="1:51" ht="13.5" customHeight="1">
      <c r="A140" s="27"/>
      <c r="B140" s="27"/>
      <c r="I140" s="27"/>
      <c r="P140" s="27"/>
      <c r="V140" s="14"/>
      <c r="W140" s="27"/>
      <c r="AC140" s="14"/>
      <c r="AF140" s="8" t="s">
        <v>138</v>
      </c>
      <c r="AG140" s="8" t="s">
        <v>486</v>
      </c>
      <c r="AT140" s="27"/>
      <c r="AX140" s="14"/>
      <c r="AY140" s="14"/>
    </row>
    <row r="141" spans="1:51" ht="13.5" customHeight="1">
      <c r="A141" s="27"/>
      <c r="B141" s="27"/>
      <c r="I141" s="27"/>
      <c r="P141" s="27"/>
      <c r="V141" s="14"/>
      <c r="W141" s="27"/>
      <c r="AC141" s="14"/>
      <c r="AF141" s="8" t="s">
        <v>138</v>
      </c>
      <c r="AG141" s="8" t="s">
        <v>487</v>
      </c>
      <c r="AT141" s="27"/>
      <c r="AX141" s="14"/>
      <c r="AY141" s="14"/>
    </row>
    <row r="142" spans="1:51" ht="13.5" customHeight="1">
      <c r="A142" s="27"/>
      <c r="B142" s="27"/>
      <c r="I142" s="27"/>
      <c r="P142" s="27"/>
      <c r="V142" s="14"/>
      <c r="W142" s="27"/>
      <c r="AC142" s="14"/>
      <c r="AT142" s="27"/>
      <c r="AX142" s="14"/>
      <c r="AY142" s="14"/>
    </row>
    <row r="143" spans="1:51" ht="13.5" customHeight="1">
      <c r="A143" s="27"/>
      <c r="B143" s="27"/>
      <c r="I143" s="27"/>
      <c r="P143" s="27"/>
      <c r="V143" s="14"/>
      <c r="W143" s="27"/>
      <c r="AC143" s="14"/>
      <c r="AT143" s="27"/>
      <c r="AX143" s="14"/>
      <c r="AY143" s="14"/>
    </row>
    <row r="144" spans="1:51" ht="13.5" customHeight="1">
      <c r="A144" s="27"/>
      <c r="B144" s="27"/>
      <c r="I144" s="27"/>
      <c r="P144" s="27"/>
      <c r="V144" s="14"/>
      <c r="W144" s="27"/>
      <c r="AC144" s="14"/>
      <c r="AT144" s="27"/>
      <c r="AX144" s="14"/>
      <c r="AY144" s="14"/>
    </row>
    <row r="145" spans="1:51" ht="13.5" customHeight="1">
      <c r="A145" s="27"/>
      <c r="B145" s="27"/>
      <c r="I145" s="27"/>
      <c r="P145" s="27"/>
      <c r="V145" s="14"/>
      <c r="W145" s="27"/>
      <c r="AC145" s="14"/>
      <c r="AT145" s="27"/>
      <c r="AX145" s="14"/>
      <c r="AY145" s="14"/>
    </row>
    <row r="146" spans="1:51" ht="13.5" customHeight="1">
      <c r="A146" s="27"/>
      <c r="B146" s="27"/>
      <c r="I146" s="27"/>
      <c r="P146" s="27"/>
      <c r="V146" s="14"/>
      <c r="W146" s="27"/>
      <c r="AC146" s="14"/>
      <c r="AT146" s="27"/>
      <c r="AX146" s="14"/>
      <c r="AY146" s="14"/>
    </row>
    <row r="147" spans="1:51" ht="13.5" customHeight="1">
      <c r="A147" s="27"/>
      <c r="B147" s="27"/>
      <c r="I147" s="27"/>
      <c r="P147" s="27"/>
      <c r="V147" s="14"/>
      <c r="W147" s="27"/>
      <c r="AC147" s="14"/>
      <c r="AT147" s="27"/>
      <c r="AX147" s="14"/>
      <c r="AY147" s="14"/>
    </row>
    <row r="148" spans="1:51" ht="13.5" customHeight="1">
      <c r="A148" s="27"/>
      <c r="B148" s="27"/>
      <c r="I148" s="27"/>
      <c r="P148" s="27"/>
      <c r="V148" s="14"/>
      <c r="W148" s="27"/>
      <c r="AC148" s="14"/>
      <c r="AT148" s="27"/>
      <c r="AX148" s="14"/>
      <c r="AY148" s="14"/>
    </row>
    <row r="149" spans="1:51" ht="13.5" customHeight="1">
      <c r="A149" s="27"/>
      <c r="B149" s="27"/>
      <c r="I149" s="27"/>
      <c r="P149" s="27"/>
      <c r="V149" s="14"/>
      <c r="W149" s="27"/>
      <c r="AC149" s="14"/>
      <c r="AT149" s="27"/>
      <c r="AX149" s="14"/>
      <c r="AY149" s="14"/>
    </row>
    <row r="150" spans="1:51" ht="13.5" customHeight="1">
      <c r="A150" s="27"/>
      <c r="B150" s="27"/>
      <c r="I150" s="27"/>
      <c r="P150" s="27"/>
      <c r="V150" s="14"/>
      <c r="W150" s="27"/>
      <c r="AC150" s="14"/>
      <c r="AT150" s="27"/>
      <c r="AX150" s="14"/>
      <c r="AY150" s="14"/>
    </row>
    <row r="151" spans="1:51" ht="13.5" customHeight="1">
      <c r="A151" s="27"/>
      <c r="B151" s="27"/>
      <c r="I151" s="27"/>
      <c r="P151" s="27"/>
      <c r="V151" s="14"/>
      <c r="W151" s="27"/>
      <c r="AC151" s="14"/>
      <c r="AT151" s="27"/>
      <c r="AX151" s="14"/>
      <c r="AY151" s="14"/>
    </row>
    <row r="152" spans="1:51" ht="13.5" customHeight="1">
      <c r="A152" s="27"/>
      <c r="B152" s="27"/>
      <c r="I152" s="27"/>
      <c r="P152" s="27"/>
      <c r="V152" s="14"/>
      <c r="W152" s="27"/>
      <c r="AC152" s="14"/>
      <c r="AT152" s="27"/>
      <c r="AX152" s="14"/>
      <c r="AY152" s="14"/>
    </row>
    <row r="153" spans="1:51" ht="13.5" customHeight="1">
      <c r="A153" s="27"/>
      <c r="B153" s="27"/>
      <c r="I153" s="27"/>
      <c r="P153" s="27"/>
      <c r="V153" s="14"/>
      <c r="W153" s="27"/>
      <c r="AC153" s="14"/>
      <c r="AT153" s="27"/>
      <c r="AX153" s="14"/>
      <c r="AY153" s="14"/>
    </row>
    <row r="154" spans="1:51" ht="13.5" customHeight="1">
      <c r="A154" s="27"/>
      <c r="B154" s="27"/>
      <c r="I154" s="27"/>
      <c r="P154" s="27"/>
      <c r="V154" s="14"/>
      <c r="W154" s="27"/>
      <c r="AC154" s="14"/>
      <c r="AT154" s="27"/>
      <c r="AX154" s="14"/>
      <c r="AY154" s="14"/>
    </row>
    <row r="155" spans="1:51" ht="13.5" customHeight="1">
      <c r="A155" s="27"/>
      <c r="B155" s="27"/>
      <c r="I155" s="27"/>
      <c r="P155" s="27"/>
      <c r="V155" s="14"/>
      <c r="W155" s="27"/>
      <c r="AC155" s="14"/>
      <c r="AT155" s="27"/>
      <c r="AX155" s="14"/>
      <c r="AY155" s="14"/>
    </row>
    <row r="156" spans="1:51" ht="13.5" customHeight="1">
      <c r="A156" s="27"/>
      <c r="B156" s="27"/>
      <c r="I156" s="27"/>
      <c r="P156" s="27"/>
      <c r="V156" s="14"/>
      <c r="W156" s="27"/>
      <c r="AC156" s="14"/>
      <c r="AF156" s="48" t="s">
        <v>128</v>
      </c>
      <c r="AG156" s="49"/>
      <c r="AH156" s="49"/>
      <c r="AI156" s="49"/>
      <c r="AJ156" s="49"/>
      <c r="AK156" s="49"/>
      <c r="AL156" s="49"/>
      <c r="AM156" s="50"/>
      <c r="AT156" s="27"/>
      <c r="AX156" s="14"/>
      <c r="AY156" s="14"/>
    </row>
    <row r="157" spans="1:51" ht="13.5" customHeight="1">
      <c r="A157" s="27"/>
      <c r="B157" s="27"/>
      <c r="I157" s="27"/>
      <c r="P157" s="27"/>
      <c r="V157" s="14"/>
      <c r="W157" s="27"/>
      <c r="AC157" s="14"/>
      <c r="AF157" s="79" t="s">
        <v>131</v>
      </c>
      <c r="AG157" s="58"/>
      <c r="AH157" s="58"/>
      <c r="AI157" s="74"/>
      <c r="AJ157" s="79" t="s">
        <v>474</v>
      </c>
      <c r="AK157" s="58"/>
      <c r="AL157" s="58"/>
      <c r="AM157" s="74"/>
      <c r="AT157" s="27"/>
      <c r="AX157" s="14"/>
      <c r="AY157" s="14"/>
    </row>
    <row r="158" spans="1:51" ht="13.5" customHeight="1">
      <c r="A158" s="27"/>
      <c r="B158" s="27"/>
      <c r="I158" s="27"/>
      <c r="P158" s="27"/>
      <c r="V158" s="14"/>
      <c r="W158" s="27"/>
      <c r="AC158" s="14"/>
      <c r="AT158" s="27"/>
      <c r="AX158" s="14"/>
      <c r="AY158" s="14"/>
    </row>
    <row r="159" spans="1:51" ht="13.5" customHeight="1">
      <c r="A159" s="27"/>
      <c r="B159" s="27"/>
      <c r="I159" s="27"/>
      <c r="P159" s="27"/>
      <c r="V159" s="14"/>
      <c r="W159" s="27"/>
      <c r="AC159" s="14"/>
      <c r="AT159" s="27"/>
      <c r="AX159" s="14"/>
      <c r="AY159" s="14"/>
    </row>
    <row r="160" spans="1:51" ht="13.5" customHeight="1">
      <c r="A160" s="27"/>
      <c r="B160" s="27"/>
      <c r="I160" s="27"/>
      <c r="P160" s="27"/>
      <c r="V160" s="14"/>
      <c r="W160" s="27"/>
      <c r="AC160" s="14"/>
      <c r="AT160" s="27"/>
      <c r="AX160" s="14"/>
      <c r="AY160" s="14"/>
    </row>
    <row r="161" spans="1:51" ht="13.5" customHeight="1">
      <c r="A161" s="27"/>
      <c r="B161" s="27"/>
      <c r="I161" s="27"/>
      <c r="P161" s="27"/>
      <c r="V161" s="14"/>
      <c r="W161" s="27"/>
      <c r="AC161" s="14"/>
      <c r="AT161" s="27"/>
      <c r="AX161" s="14"/>
      <c r="AY161" s="14"/>
    </row>
    <row r="162" spans="1:51" ht="13.5" customHeight="1">
      <c r="A162" s="27"/>
      <c r="B162" s="27"/>
      <c r="I162" s="27"/>
      <c r="P162" s="27"/>
      <c r="V162" s="14"/>
      <c r="W162" s="27"/>
      <c r="AC162" s="14"/>
      <c r="AT162" s="27"/>
      <c r="AX162" s="14"/>
      <c r="AY162" s="14"/>
    </row>
    <row r="163" spans="1:51" ht="13.5" customHeight="1">
      <c r="A163" s="27"/>
      <c r="B163" s="27"/>
      <c r="I163" s="27"/>
      <c r="P163" s="27"/>
      <c r="V163" s="14"/>
      <c r="W163" s="27"/>
      <c r="AC163" s="14"/>
      <c r="AT163" s="27"/>
      <c r="AX163" s="14"/>
      <c r="AY163" s="14"/>
    </row>
    <row r="164" spans="1:51" ht="13.5" customHeight="1">
      <c r="A164" s="27"/>
      <c r="B164" s="27"/>
      <c r="I164" s="27"/>
      <c r="P164" s="27"/>
      <c r="V164" s="14"/>
      <c r="W164" s="27"/>
      <c r="AC164" s="14"/>
      <c r="AT164" s="27"/>
      <c r="AX164" s="14"/>
      <c r="AY164" s="14"/>
    </row>
    <row r="165" spans="1:51" ht="13.5" customHeight="1">
      <c r="A165" s="27"/>
      <c r="B165" s="55"/>
      <c r="C165" s="10"/>
      <c r="D165" s="10"/>
      <c r="E165" s="10"/>
      <c r="F165" s="10"/>
      <c r="G165" s="10"/>
      <c r="H165" s="10"/>
      <c r="I165" s="55"/>
      <c r="J165" s="10"/>
      <c r="K165" s="10"/>
      <c r="L165" s="10"/>
      <c r="M165" s="10"/>
      <c r="N165" s="10"/>
      <c r="O165" s="10"/>
      <c r="P165" s="55"/>
      <c r="Q165" s="10"/>
      <c r="R165" s="10"/>
      <c r="S165" s="10"/>
      <c r="T165" s="10"/>
      <c r="U165" s="10"/>
      <c r="V165" s="15"/>
      <c r="W165" s="55"/>
      <c r="X165" s="10"/>
      <c r="Y165" s="10"/>
      <c r="Z165" s="10"/>
      <c r="AA165" s="10"/>
      <c r="AB165" s="10"/>
      <c r="AC165" s="15"/>
      <c r="AD165" s="10"/>
      <c r="AE165" s="10"/>
      <c r="AF165" s="10"/>
      <c r="AG165" s="10"/>
      <c r="AH165" s="10"/>
      <c r="AI165" s="10"/>
      <c r="AJ165" s="10"/>
      <c r="AK165" s="10"/>
      <c r="AL165" s="10"/>
      <c r="AM165" s="10"/>
      <c r="AN165" s="10"/>
      <c r="AO165" s="10"/>
      <c r="AP165" s="10"/>
      <c r="AQ165" s="10"/>
      <c r="AR165" s="10"/>
      <c r="AS165" s="10"/>
      <c r="AT165" s="55"/>
      <c r="AU165" s="10"/>
      <c r="AV165" s="10"/>
      <c r="AW165" s="10"/>
      <c r="AX165" s="15"/>
      <c r="AY165" s="14"/>
    </row>
    <row r="166" spans="1:51">
      <c r="A166" s="27"/>
      <c r="AY166" s="14"/>
    </row>
    <row r="167" spans="1:51">
      <c r="A167" s="55"/>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5"/>
    </row>
  </sheetData>
  <mergeCells count="22">
    <mergeCell ref="AL2:AP2"/>
    <mergeCell ref="A1:E1"/>
    <mergeCell ref="F1:U1"/>
    <mergeCell ref="V1:AI1"/>
    <mergeCell ref="AJ1:AP1"/>
    <mergeCell ref="AJ2:AK2"/>
    <mergeCell ref="AQ1:AV1"/>
    <mergeCell ref="B9:H9"/>
    <mergeCell ref="I9:O9"/>
    <mergeCell ref="P9:V9"/>
    <mergeCell ref="W9:AC9"/>
    <mergeCell ref="AQ2:AV2"/>
    <mergeCell ref="AJ3:AK3"/>
    <mergeCell ref="AL3:AP3"/>
    <mergeCell ref="AQ3:AV3"/>
    <mergeCell ref="B8:O8"/>
    <mergeCell ref="P8:AC8"/>
    <mergeCell ref="AD8:AS9"/>
    <mergeCell ref="AT8:AX9"/>
    <mergeCell ref="A2:E3"/>
    <mergeCell ref="F2:U3"/>
    <mergeCell ref="V2:AI3"/>
  </mergeCells>
  <phoneticPr fontId="2"/>
  <pageMargins left="0.7" right="0.7" top="0.75" bottom="0.75" header="0.3" footer="0.3"/>
  <pageSetup paperSize="9" scale="69" fitToHeight="0" orientation="portrait"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605DD-6697-4B8F-A78E-956179D9AB3C}">
  <dimension ref="A1:AY44"/>
  <sheetViews>
    <sheetView showGridLines="0" zoomScaleNormal="100" workbookViewId="0">
      <pane ySplit="9" topLeftCell="A10" activePane="bottomLeft" state="frozen"/>
      <selection pane="bottomLeft" sqref="A1:E1"/>
      <selection activeCell="AE19" sqref="AE19:AS26"/>
    </sheetView>
  </sheetViews>
  <sheetFormatPr defaultColWidth="2.375" defaultRowHeight="13.5"/>
  <cols>
    <col min="1" max="35" width="2.375" style="8"/>
    <col min="36" max="36" width="2.375" style="8" customWidth="1"/>
    <col min="37" max="16384" width="2.375" style="8"/>
  </cols>
  <sheetData>
    <row r="1" spans="1:51"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51">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51"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5" spans="1:51">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row>
    <row r="7" spans="1:51" s="11" customFormat="1">
      <c r="A7" s="28"/>
      <c r="AY7" s="13"/>
    </row>
    <row r="8" spans="1:51" s="11" customFormat="1" ht="15.75" customHeight="1">
      <c r="A8" s="28"/>
      <c r="B8" s="197" t="s">
        <v>173</v>
      </c>
      <c r="C8" s="198"/>
      <c r="D8" s="198"/>
      <c r="E8" s="198"/>
      <c r="F8" s="198"/>
      <c r="G8" s="198"/>
      <c r="H8" s="198"/>
      <c r="I8" s="198"/>
      <c r="J8" s="198"/>
      <c r="K8" s="198"/>
      <c r="L8" s="198"/>
      <c r="M8" s="198"/>
      <c r="N8" s="198"/>
      <c r="O8" s="199"/>
      <c r="P8" s="202" t="s">
        <v>83</v>
      </c>
      <c r="Q8" s="203"/>
      <c r="R8" s="203"/>
      <c r="S8" s="203"/>
      <c r="T8" s="203"/>
      <c r="U8" s="203"/>
      <c r="V8" s="204"/>
      <c r="W8" s="203"/>
      <c r="X8" s="203"/>
      <c r="Y8" s="203"/>
      <c r="Z8" s="203"/>
      <c r="AA8" s="203"/>
      <c r="AB8" s="203"/>
      <c r="AC8" s="204"/>
      <c r="AD8" s="201" t="s">
        <v>101</v>
      </c>
      <c r="AE8" s="201"/>
      <c r="AF8" s="201"/>
      <c r="AG8" s="201"/>
      <c r="AH8" s="201"/>
      <c r="AI8" s="201"/>
      <c r="AJ8" s="201"/>
      <c r="AK8" s="201"/>
      <c r="AL8" s="201"/>
      <c r="AM8" s="201"/>
      <c r="AN8" s="201"/>
      <c r="AO8" s="201"/>
      <c r="AP8" s="201"/>
      <c r="AQ8" s="201"/>
      <c r="AR8" s="201"/>
      <c r="AS8" s="201"/>
      <c r="AT8" s="200" t="s">
        <v>103</v>
      </c>
      <c r="AU8" s="201"/>
      <c r="AV8" s="201"/>
      <c r="AW8" s="201"/>
      <c r="AX8" s="201"/>
      <c r="AY8" s="13"/>
    </row>
    <row r="9" spans="1:51" s="11" customFormat="1">
      <c r="A9" s="28"/>
      <c r="B9" s="197" t="s">
        <v>89</v>
      </c>
      <c r="C9" s="198"/>
      <c r="D9" s="198"/>
      <c r="E9" s="198"/>
      <c r="F9" s="198"/>
      <c r="G9" s="198"/>
      <c r="H9" s="199"/>
      <c r="I9" s="197" t="s">
        <v>90</v>
      </c>
      <c r="J9" s="198"/>
      <c r="K9" s="198"/>
      <c r="L9" s="198"/>
      <c r="M9" s="198"/>
      <c r="N9" s="198"/>
      <c r="O9" s="199"/>
      <c r="P9" s="202" t="s">
        <v>98</v>
      </c>
      <c r="Q9" s="203"/>
      <c r="R9" s="203"/>
      <c r="S9" s="203"/>
      <c r="T9" s="203"/>
      <c r="U9" s="203"/>
      <c r="V9" s="204"/>
      <c r="W9" s="202" t="s">
        <v>100</v>
      </c>
      <c r="X9" s="203"/>
      <c r="Y9" s="203"/>
      <c r="Z9" s="203"/>
      <c r="AA9" s="203"/>
      <c r="AB9" s="203"/>
      <c r="AC9" s="204"/>
      <c r="AD9" s="201"/>
      <c r="AE9" s="201"/>
      <c r="AF9" s="201"/>
      <c r="AG9" s="201"/>
      <c r="AH9" s="201"/>
      <c r="AI9" s="201"/>
      <c r="AJ9" s="201"/>
      <c r="AK9" s="201"/>
      <c r="AL9" s="201"/>
      <c r="AM9" s="201"/>
      <c r="AN9" s="201"/>
      <c r="AO9" s="201"/>
      <c r="AP9" s="201"/>
      <c r="AQ9" s="201"/>
      <c r="AR9" s="201"/>
      <c r="AS9" s="201"/>
      <c r="AT9" s="201"/>
      <c r="AU9" s="201"/>
      <c r="AV9" s="201"/>
      <c r="AW9" s="201"/>
      <c r="AX9" s="201"/>
      <c r="AY9" s="13"/>
    </row>
    <row r="10" spans="1:51" s="11" customFormat="1">
      <c r="A10" s="28"/>
      <c r="B10" s="36" t="s">
        <v>488</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13"/>
    </row>
    <row r="11" spans="1:51" s="11" customFormat="1">
      <c r="A11" s="28"/>
      <c r="B11" s="47"/>
      <c r="C11" s="45"/>
      <c r="D11" s="45"/>
      <c r="E11" s="45"/>
      <c r="F11" s="45"/>
      <c r="G11" s="45"/>
      <c r="H11" s="45"/>
      <c r="I11" s="47"/>
      <c r="J11" s="45"/>
      <c r="K11" s="45"/>
      <c r="L11" s="45"/>
      <c r="M11" s="45"/>
      <c r="N11" s="45"/>
      <c r="O11" s="45"/>
      <c r="P11" s="47"/>
      <c r="Q11" s="45"/>
      <c r="R11" s="45"/>
      <c r="S11" s="45"/>
      <c r="T11" s="45"/>
      <c r="U11" s="45"/>
      <c r="V11" s="46"/>
      <c r="W11" s="47"/>
      <c r="X11" s="45"/>
      <c r="Y11" s="45"/>
      <c r="Z11" s="45"/>
      <c r="AA11" s="45"/>
      <c r="AB11" s="45"/>
      <c r="AC11" s="46"/>
      <c r="AD11" s="45"/>
      <c r="AE11" s="45"/>
      <c r="AF11" s="45"/>
      <c r="AG11" s="45"/>
      <c r="AH11" s="45"/>
      <c r="AI11" s="45"/>
      <c r="AJ11" s="45"/>
      <c r="AK11" s="45"/>
      <c r="AL11" s="45"/>
      <c r="AM11" s="45"/>
      <c r="AN11" s="45"/>
      <c r="AO11" s="45"/>
      <c r="AP11" s="45"/>
      <c r="AQ11" s="45"/>
      <c r="AR11" s="45"/>
      <c r="AS11" s="45"/>
      <c r="AT11" s="47"/>
      <c r="AU11" s="45"/>
      <c r="AV11" s="45"/>
      <c r="AW11" s="45"/>
      <c r="AX11" s="46"/>
      <c r="AY11" s="13"/>
    </row>
    <row r="12" spans="1:51" s="11" customFormat="1">
      <c r="A12" s="28"/>
      <c r="B12" s="31"/>
      <c r="C12" s="24"/>
      <c r="D12" s="24"/>
      <c r="E12" s="24"/>
      <c r="F12" s="24"/>
      <c r="G12" s="24"/>
      <c r="H12" s="24"/>
      <c r="I12" s="31"/>
      <c r="J12" s="24"/>
      <c r="K12" s="24"/>
      <c r="L12" s="24"/>
      <c r="M12" s="24"/>
      <c r="N12" s="24"/>
      <c r="O12" s="24"/>
      <c r="P12" s="31"/>
      <c r="Q12" s="24"/>
      <c r="R12" s="24"/>
      <c r="S12" s="24"/>
      <c r="T12" s="24"/>
      <c r="U12" s="24"/>
      <c r="V12" s="23"/>
      <c r="W12" s="31"/>
      <c r="X12" s="24"/>
      <c r="Y12" s="24"/>
      <c r="Z12" s="24"/>
      <c r="AA12" s="24"/>
      <c r="AB12" s="24"/>
      <c r="AC12" s="23"/>
      <c r="AD12" s="24"/>
      <c r="AE12" s="8"/>
      <c r="AF12" s="8"/>
      <c r="AG12" s="8"/>
      <c r="AH12" s="8"/>
      <c r="AI12" s="8"/>
      <c r="AJ12" s="24"/>
      <c r="AK12" s="24"/>
      <c r="AL12" s="24"/>
      <c r="AM12" s="24"/>
      <c r="AN12" s="24"/>
      <c r="AO12" s="24"/>
      <c r="AP12" s="24"/>
      <c r="AQ12" s="24"/>
      <c r="AR12" s="24"/>
      <c r="AS12" s="24"/>
      <c r="AT12" s="31"/>
      <c r="AU12" s="24"/>
      <c r="AV12" s="24"/>
      <c r="AW12" s="24"/>
      <c r="AX12" s="23"/>
      <c r="AY12" s="13"/>
    </row>
    <row r="13" spans="1:51" s="11" customFormat="1">
      <c r="A13" s="28"/>
      <c r="B13" s="31"/>
      <c r="C13" s="24"/>
      <c r="D13" s="24"/>
      <c r="E13" s="24"/>
      <c r="F13" s="24"/>
      <c r="G13" s="24"/>
      <c r="H13" s="24"/>
      <c r="I13" s="31"/>
      <c r="J13" s="24"/>
      <c r="K13" s="24"/>
      <c r="L13" s="24"/>
      <c r="M13" s="24"/>
      <c r="N13" s="24"/>
      <c r="O13" s="24"/>
      <c r="P13" s="31"/>
      <c r="Q13" s="24"/>
      <c r="R13" s="24"/>
      <c r="S13" s="24"/>
      <c r="T13" s="24"/>
      <c r="U13" s="24"/>
      <c r="V13" s="23"/>
      <c r="W13" s="31"/>
      <c r="X13" s="24"/>
      <c r="Y13" s="24"/>
      <c r="Z13" s="24"/>
      <c r="AA13" s="24"/>
      <c r="AB13" s="24"/>
      <c r="AC13" s="23"/>
      <c r="AD13" s="24"/>
      <c r="AE13" s="8"/>
      <c r="AF13" s="8"/>
      <c r="AG13" s="8"/>
      <c r="AH13" s="8"/>
      <c r="AI13" s="8"/>
      <c r="AJ13" s="24"/>
      <c r="AK13" s="24"/>
      <c r="AL13" s="24"/>
      <c r="AM13" s="24"/>
      <c r="AN13" s="24"/>
      <c r="AO13" s="24"/>
      <c r="AP13" s="24"/>
      <c r="AQ13" s="24"/>
      <c r="AR13" s="24"/>
      <c r="AS13" s="24"/>
      <c r="AT13" s="31"/>
      <c r="AU13" s="24"/>
      <c r="AV13" s="24"/>
      <c r="AW13" s="24"/>
      <c r="AX13" s="23"/>
      <c r="AY13" s="13"/>
    </row>
    <row r="14" spans="1:51" s="11" customFormat="1">
      <c r="A14" s="28"/>
      <c r="B14" s="31"/>
      <c r="C14" s="24"/>
      <c r="D14" s="24"/>
      <c r="E14" s="24"/>
      <c r="F14" s="24"/>
      <c r="G14" s="24"/>
      <c r="H14" s="24"/>
      <c r="I14" s="31"/>
      <c r="J14" s="24"/>
      <c r="K14" s="24"/>
      <c r="L14" s="24"/>
      <c r="M14" s="24"/>
      <c r="N14" s="24"/>
      <c r="O14" s="24"/>
      <c r="P14" s="31"/>
      <c r="Q14" s="24"/>
      <c r="R14" s="24"/>
      <c r="S14" s="24"/>
      <c r="T14" s="24"/>
      <c r="U14" s="24"/>
      <c r="V14" s="23"/>
      <c r="W14" s="31"/>
      <c r="X14" s="24"/>
      <c r="Y14" s="24"/>
      <c r="Z14" s="24"/>
      <c r="AA14" s="24"/>
      <c r="AB14" s="24"/>
      <c r="AC14" s="23"/>
      <c r="AD14" s="24"/>
      <c r="AE14" s="8"/>
      <c r="AF14" s="8"/>
      <c r="AG14" s="8"/>
      <c r="AH14" s="8"/>
      <c r="AI14" s="8"/>
      <c r="AJ14" s="24"/>
      <c r="AK14" s="24"/>
      <c r="AL14" s="24"/>
      <c r="AM14" s="24"/>
      <c r="AN14" s="24"/>
      <c r="AO14" s="24"/>
      <c r="AP14" s="24"/>
      <c r="AQ14" s="24"/>
      <c r="AR14" s="24"/>
      <c r="AS14" s="24"/>
      <c r="AT14" s="31"/>
      <c r="AU14" s="24"/>
      <c r="AV14" s="24"/>
      <c r="AW14" s="24"/>
      <c r="AX14" s="23"/>
      <c r="AY14" s="13"/>
    </row>
    <row r="15" spans="1:51" s="11" customFormat="1">
      <c r="A15" s="28"/>
      <c r="B15" s="31"/>
      <c r="C15" s="24"/>
      <c r="D15" s="24"/>
      <c r="E15" s="24"/>
      <c r="F15" s="24"/>
      <c r="G15" s="24"/>
      <c r="H15" s="24"/>
      <c r="I15" s="31"/>
      <c r="J15" s="24"/>
      <c r="K15" s="24"/>
      <c r="L15" s="24"/>
      <c r="M15" s="24"/>
      <c r="N15" s="24"/>
      <c r="O15" s="24"/>
      <c r="P15" s="31"/>
      <c r="Q15" s="24"/>
      <c r="R15" s="24"/>
      <c r="S15" s="24"/>
      <c r="T15" s="24"/>
      <c r="U15" s="24"/>
      <c r="V15" s="23"/>
      <c r="W15" s="31"/>
      <c r="X15" s="24"/>
      <c r="Y15" s="24"/>
      <c r="Z15" s="24"/>
      <c r="AA15" s="24"/>
      <c r="AB15" s="24"/>
      <c r="AC15" s="23"/>
      <c r="AD15" s="24"/>
      <c r="AE15" s="16" t="s">
        <v>489</v>
      </c>
      <c r="AF15" s="8"/>
      <c r="AG15" s="8"/>
      <c r="AH15" s="8"/>
      <c r="AI15" s="8"/>
      <c r="AJ15" s="8"/>
      <c r="AK15" s="24"/>
      <c r="AL15" s="24"/>
      <c r="AM15" s="24"/>
      <c r="AN15" s="24"/>
      <c r="AO15" s="24"/>
      <c r="AP15" s="24"/>
      <c r="AQ15" s="24"/>
      <c r="AR15" s="24"/>
      <c r="AS15" s="24"/>
      <c r="AT15" s="31"/>
      <c r="AU15" s="24"/>
      <c r="AV15" s="24"/>
      <c r="AW15" s="24"/>
      <c r="AX15" s="23"/>
      <c r="AY15" s="13"/>
    </row>
    <row r="16" spans="1:51" s="11" customFormat="1">
      <c r="A16" s="28"/>
      <c r="B16" s="31"/>
      <c r="C16" s="24"/>
      <c r="D16" s="24"/>
      <c r="E16" s="24"/>
      <c r="F16" s="24"/>
      <c r="G16" s="24"/>
      <c r="H16" s="24"/>
      <c r="I16" s="31"/>
      <c r="J16" s="24"/>
      <c r="K16" s="24"/>
      <c r="L16" s="24"/>
      <c r="M16" s="24"/>
      <c r="N16" s="24"/>
      <c r="O16" s="24"/>
      <c r="P16" s="31"/>
      <c r="Q16" s="24"/>
      <c r="R16" s="24"/>
      <c r="S16" s="24"/>
      <c r="T16" s="24"/>
      <c r="U16" s="24"/>
      <c r="V16" s="23"/>
      <c r="W16" s="31"/>
      <c r="X16" s="24"/>
      <c r="Y16" s="24"/>
      <c r="Z16" s="24"/>
      <c r="AA16" s="24"/>
      <c r="AB16" s="24"/>
      <c r="AC16" s="23"/>
      <c r="AD16" s="24"/>
      <c r="AE16" s="8"/>
      <c r="AF16" s="8" t="s">
        <v>490</v>
      </c>
      <c r="AG16" s="8"/>
      <c r="AH16" s="8"/>
      <c r="AI16" s="8"/>
      <c r="AJ16" s="8"/>
      <c r="AK16" s="24"/>
      <c r="AL16" s="24"/>
      <c r="AM16" s="24"/>
      <c r="AN16" s="24"/>
      <c r="AO16" s="24"/>
      <c r="AP16" s="24"/>
      <c r="AQ16" s="24"/>
      <c r="AR16" s="24"/>
      <c r="AS16" s="24"/>
      <c r="AT16" s="31"/>
      <c r="AU16" s="24"/>
      <c r="AV16" s="24"/>
      <c r="AW16" s="24"/>
      <c r="AX16" s="23"/>
      <c r="AY16" s="13"/>
    </row>
    <row r="17" spans="1:51" s="11" customFormat="1">
      <c r="A17" s="28"/>
      <c r="B17" s="31"/>
      <c r="C17" s="24"/>
      <c r="D17" s="24"/>
      <c r="E17" s="24"/>
      <c r="F17" s="24"/>
      <c r="G17" s="24"/>
      <c r="H17" s="24"/>
      <c r="I17" s="31"/>
      <c r="J17" s="24"/>
      <c r="K17" s="24"/>
      <c r="L17" s="24"/>
      <c r="M17" s="24"/>
      <c r="N17" s="24"/>
      <c r="O17" s="24"/>
      <c r="P17" s="31"/>
      <c r="Q17" s="24"/>
      <c r="R17" s="24"/>
      <c r="S17" s="24"/>
      <c r="T17" s="24"/>
      <c r="U17" s="24"/>
      <c r="V17" s="23"/>
      <c r="W17" s="31"/>
      <c r="X17" s="24"/>
      <c r="Y17" s="24"/>
      <c r="Z17" s="24"/>
      <c r="AA17" s="24"/>
      <c r="AB17" s="24"/>
      <c r="AC17" s="23"/>
      <c r="AD17" s="24"/>
      <c r="AE17" s="8"/>
      <c r="AF17" s="11" t="s">
        <v>138</v>
      </c>
      <c r="AG17" s="11" t="s">
        <v>491</v>
      </c>
      <c r="AJ17" s="8"/>
      <c r="AK17" s="24"/>
      <c r="AL17" s="24"/>
      <c r="AM17" s="24"/>
      <c r="AN17" s="24"/>
      <c r="AO17" s="24"/>
      <c r="AP17" s="24"/>
      <c r="AQ17" s="24"/>
      <c r="AR17" s="24"/>
      <c r="AS17" s="24"/>
      <c r="AT17" s="31"/>
      <c r="AU17" s="24"/>
      <c r="AV17" s="24"/>
      <c r="AW17" s="24"/>
      <c r="AX17" s="23"/>
      <c r="AY17" s="13"/>
    </row>
    <row r="18" spans="1:51" s="11" customFormat="1">
      <c r="A18" s="28"/>
      <c r="B18" s="31"/>
      <c r="C18" s="24"/>
      <c r="D18" s="24"/>
      <c r="E18" s="24"/>
      <c r="F18" s="24"/>
      <c r="G18" s="24"/>
      <c r="H18" s="24"/>
      <c r="I18" s="31"/>
      <c r="J18" s="24"/>
      <c r="K18" s="24"/>
      <c r="L18" s="24"/>
      <c r="M18" s="24"/>
      <c r="N18" s="24"/>
      <c r="O18" s="24"/>
      <c r="P18" s="31"/>
      <c r="Q18" s="24"/>
      <c r="R18" s="24"/>
      <c r="S18" s="24"/>
      <c r="T18" s="24"/>
      <c r="U18" s="24"/>
      <c r="V18" s="23"/>
      <c r="W18" s="31"/>
      <c r="X18" s="24"/>
      <c r="Y18" s="24"/>
      <c r="Z18" s="24"/>
      <c r="AA18" s="24"/>
      <c r="AB18" s="24"/>
      <c r="AC18" s="23"/>
      <c r="AD18" s="24"/>
      <c r="AE18" s="8"/>
      <c r="AF18" s="8"/>
      <c r="AG18" s="8"/>
      <c r="AH18" s="8"/>
      <c r="AI18" s="8"/>
      <c r="AJ18" s="24"/>
      <c r="AK18" s="24"/>
      <c r="AL18" s="24"/>
      <c r="AM18" s="24"/>
      <c r="AN18" s="24"/>
      <c r="AO18" s="24"/>
      <c r="AP18" s="24"/>
      <c r="AQ18" s="24"/>
      <c r="AR18" s="24"/>
      <c r="AS18" s="24"/>
      <c r="AT18" s="31"/>
      <c r="AU18" s="24"/>
      <c r="AV18" s="24"/>
      <c r="AW18" s="24"/>
      <c r="AX18" s="23"/>
      <c r="AY18" s="13"/>
    </row>
    <row r="19" spans="1:51" s="11" customFormat="1">
      <c r="A19" s="28"/>
      <c r="B19" s="31"/>
      <c r="C19" s="24"/>
      <c r="D19" s="24"/>
      <c r="E19" s="24"/>
      <c r="F19" s="24"/>
      <c r="G19" s="24"/>
      <c r="H19" s="24"/>
      <c r="I19" s="31"/>
      <c r="J19" s="24"/>
      <c r="K19" s="24"/>
      <c r="L19" s="24"/>
      <c r="M19" s="24"/>
      <c r="N19" s="24"/>
      <c r="O19" s="24"/>
      <c r="P19" s="31"/>
      <c r="Q19" s="24"/>
      <c r="R19" s="24"/>
      <c r="S19" s="24"/>
      <c r="T19" s="24"/>
      <c r="U19" s="24"/>
      <c r="V19" s="23"/>
      <c r="W19" s="31"/>
      <c r="X19" s="24"/>
      <c r="Y19" s="24"/>
      <c r="Z19" s="24"/>
      <c r="AA19" s="24"/>
      <c r="AB19" s="24"/>
      <c r="AC19" s="23"/>
      <c r="AD19" s="24"/>
      <c r="AE19" s="8"/>
      <c r="AF19" s="8"/>
      <c r="AG19" s="8"/>
      <c r="AH19" s="8"/>
      <c r="AI19" s="8"/>
      <c r="AJ19" s="24"/>
      <c r="AK19" s="24"/>
      <c r="AL19" s="24"/>
      <c r="AM19" s="24"/>
      <c r="AN19" s="24"/>
      <c r="AO19" s="24"/>
      <c r="AP19" s="24"/>
      <c r="AQ19" s="24"/>
      <c r="AR19" s="24"/>
      <c r="AS19" s="24"/>
      <c r="AT19" s="31"/>
      <c r="AU19" s="24"/>
      <c r="AV19" s="24"/>
      <c r="AW19" s="24"/>
      <c r="AX19" s="23"/>
      <c r="AY19" s="13"/>
    </row>
    <row r="20" spans="1:51" s="11" customFormat="1">
      <c r="A20" s="28"/>
      <c r="B20" s="31"/>
      <c r="C20" s="24"/>
      <c r="D20" s="24"/>
      <c r="E20" s="24"/>
      <c r="F20" s="24"/>
      <c r="G20" s="24"/>
      <c r="H20" s="24"/>
      <c r="I20" s="31"/>
      <c r="J20" s="24"/>
      <c r="K20" s="24"/>
      <c r="L20" s="24"/>
      <c r="M20" s="24"/>
      <c r="N20" s="24"/>
      <c r="O20" s="24"/>
      <c r="P20" s="31"/>
      <c r="Q20" s="24"/>
      <c r="R20" s="24"/>
      <c r="S20" s="24"/>
      <c r="T20" s="24"/>
      <c r="U20" s="24"/>
      <c r="V20" s="23"/>
      <c r="W20" s="31"/>
      <c r="X20" s="24"/>
      <c r="Y20" s="24"/>
      <c r="Z20" s="24"/>
      <c r="AA20" s="24"/>
      <c r="AB20" s="24"/>
      <c r="AC20" s="23"/>
      <c r="AD20" s="24"/>
      <c r="AE20" s="8"/>
      <c r="AF20" s="8"/>
      <c r="AG20" s="8"/>
      <c r="AH20" s="8"/>
      <c r="AI20" s="8"/>
      <c r="AJ20" s="24"/>
      <c r="AK20" s="24"/>
      <c r="AL20" s="24"/>
      <c r="AM20" s="24"/>
      <c r="AN20" s="24"/>
      <c r="AO20" s="24"/>
      <c r="AP20" s="24"/>
      <c r="AQ20" s="24"/>
      <c r="AR20" s="24"/>
      <c r="AS20" s="24"/>
      <c r="AT20" s="31"/>
      <c r="AU20" s="24"/>
      <c r="AV20" s="24"/>
      <c r="AW20" s="24"/>
      <c r="AX20" s="23"/>
      <c r="AY20" s="13"/>
    </row>
    <row r="21" spans="1:51" s="11" customFormat="1">
      <c r="A21" s="28"/>
      <c r="B21" s="31"/>
      <c r="C21" s="24"/>
      <c r="D21" s="24"/>
      <c r="E21" s="24"/>
      <c r="F21" s="24"/>
      <c r="G21" s="24"/>
      <c r="H21" s="24"/>
      <c r="I21" s="31"/>
      <c r="J21" s="24"/>
      <c r="K21" s="24"/>
      <c r="L21" s="24"/>
      <c r="M21" s="24"/>
      <c r="N21" s="24"/>
      <c r="O21" s="24"/>
      <c r="P21" s="31"/>
      <c r="Q21" s="24"/>
      <c r="R21" s="24"/>
      <c r="S21" s="24"/>
      <c r="T21" s="24"/>
      <c r="U21" s="24"/>
      <c r="V21" s="23"/>
      <c r="W21" s="31"/>
      <c r="X21" s="24"/>
      <c r="Y21" s="24"/>
      <c r="Z21" s="24"/>
      <c r="AA21" s="24"/>
      <c r="AB21" s="24"/>
      <c r="AC21" s="23"/>
      <c r="AD21" s="24"/>
      <c r="AK21" s="24"/>
      <c r="AL21" s="24"/>
      <c r="AM21" s="24"/>
      <c r="AN21" s="24"/>
      <c r="AO21" s="24"/>
      <c r="AP21" s="24"/>
      <c r="AQ21" s="24"/>
      <c r="AR21" s="24"/>
      <c r="AS21" s="24"/>
      <c r="AT21" s="31"/>
      <c r="AU21" s="24"/>
      <c r="AV21" s="24"/>
      <c r="AW21" s="24"/>
      <c r="AX21" s="23"/>
      <c r="AY21" s="13"/>
    </row>
    <row r="22" spans="1:51" ht="13.5" customHeight="1">
      <c r="A22" s="27"/>
      <c r="B22" s="27"/>
      <c r="I22" s="27"/>
      <c r="P22" s="27"/>
      <c r="V22" s="14"/>
      <c r="W22" s="27"/>
      <c r="AC22" s="14"/>
      <c r="AT22" s="27"/>
      <c r="AX22" s="14"/>
      <c r="AY22" s="14"/>
    </row>
    <row r="23" spans="1:51" ht="13.5" customHeight="1">
      <c r="A23" s="27"/>
      <c r="B23" s="27"/>
      <c r="I23" s="27"/>
      <c r="P23" s="27"/>
      <c r="V23" s="14"/>
      <c r="W23" s="27"/>
      <c r="AC23" s="14"/>
      <c r="AT23" s="27"/>
      <c r="AX23" s="14"/>
      <c r="AY23" s="14"/>
    </row>
    <row r="24" spans="1:51" ht="13.5" customHeight="1">
      <c r="A24" s="27"/>
      <c r="B24" s="27"/>
      <c r="I24" s="27"/>
      <c r="P24" s="27"/>
      <c r="V24" s="14"/>
      <c r="W24" s="27"/>
      <c r="AC24" s="14"/>
      <c r="AE24" s="16"/>
      <c r="AT24" s="27"/>
      <c r="AX24" s="14"/>
      <c r="AY24" s="14"/>
    </row>
    <row r="25" spans="1:51" ht="13.5" customHeight="1">
      <c r="A25" s="27"/>
      <c r="B25" s="27"/>
      <c r="I25" s="27"/>
      <c r="P25" s="27"/>
      <c r="V25" s="14"/>
      <c r="W25" s="27"/>
      <c r="AC25" s="14"/>
      <c r="AE25" s="86"/>
      <c r="AT25" s="27"/>
      <c r="AX25" s="14"/>
      <c r="AY25" s="14"/>
    </row>
    <row r="26" spans="1:51" ht="13.5" customHeight="1">
      <c r="A26" s="27"/>
      <c r="B26" s="27"/>
      <c r="I26" s="27"/>
      <c r="P26" s="27"/>
      <c r="V26" s="14"/>
      <c r="W26" s="27"/>
      <c r="AC26" s="14"/>
      <c r="AE26" s="16" t="s">
        <v>492</v>
      </c>
      <c r="AT26" s="27"/>
      <c r="AX26" s="14"/>
      <c r="AY26" s="14"/>
    </row>
    <row r="27" spans="1:51" ht="13.5" customHeight="1">
      <c r="A27" s="27"/>
      <c r="B27" s="27"/>
      <c r="I27" s="27"/>
      <c r="P27" s="27"/>
      <c r="V27" s="14"/>
      <c r="W27" s="27"/>
      <c r="AC27" s="14"/>
      <c r="AF27" s="8" t="s">
        <v>493</v>
      </c>
      <c r="AT27" s="27"/>
      <c r="AX27" s="14"/>
      <c r="AY27" s="14"/>
    </row>
    <row r="28" spans="1:51" ht="13.5" customHeight="1">
      <c r="A28" s="27"/>
      <c r="B28" s="27"/>
      <c r="I28" s="27"/>
      <c r="P28" s="27"/>
      <c r="V28" s="14"/>
      <c r="W28" s="27"/>
      <c r="AC28" s="14"/>
      <c r="AF28" s="8" t="s">
        <v>138</v>
      </c>
      <c r="AG28" s="8" t="s">
        <v>494</v>
      </c>
      <c r="AT28" s="27"/>
      <c r="AX28" s="14"/>
      <c r="AY28" s="14"/>
    </row>
    <row r="29" spans="1:51" ht="13.5" customHeight="1">
      <c r="A29" s="27"/>
      <c r="B29" s="27"/>
      <c r="I29" s="27"/>
      <c r="P29" s="27"/>
      <c r="V29" s="14"/>
      <c r="W29" s="27"/>
      <c r="AC29" s="14"/>
      <c r="AT29" s="27"/>
      <c r="AX29" s="14"/>
      <c r="AY29" s="14"/>
    </row>
    <row r="30" spans="1:51" ht="13.5" customHeight="1">
      <c r="A30" s="27"/>
      <c r="B30" s="27"/>
      <c r="I30" s="27"/>
      <c r="P30" s="27"/>
      <c r="V30" s="14"/>
      <c r="W30" s="27"/>
      <c r="AC30" s="14"/>
      <c r="AE30" s="86"/>
      <c r="AT30" s="27"/>
      <c r="AX30" s="14"/>
      <c r="AY30" s="14"/>
    </row>
    <row r="31" spans="1:51" ht="13.5" customHeight="1">
      <c r="A31" s="27"/>
      <c r="B31" s="27"/>
      <c r="I31" s="27"/>
      <c r="P31" s="27"/>
      <c r="V31" s="14"/>
      <c r="W31" s="27"/>
      <c r="AC31" s="14"/>
      <c r="AE31" s="86"/>
      <c r="AT31" s="27"/>
      <c r="AX31" s="14"/>
      <c r="AY31" s="14"/>
    </row>
    <row r="32" spans="1:51" ht="13.5" customHeight="1">
      <c r="A32" s="27"/>
      <c r="B32" s="27"/>
      <c r="I32" s="27"/>
      <c r="P32" s="27"/>
      <c r="V32" s="14"/>
      <c r="W32" s="27"/>
      <c r="AC32" s="14"/>
      <c r="AE32" s="86"/>
      <c r="AT32" s="27"/>
      <c r="AX32" s="14"/>
      <c r="AY32" s="14"/>
    </row>
    <row r="33" spans="1:51" ht="13.5" customHeight="1">
      <c r="A33" s="27"/>
      <c r="B33" s="27"/>
      <c r="I33" s="27"/>
      <c r="P33" s="27"/>
      <c r="V33" s="14"/>
      <c r="W33" s="27"/>
      <c r="AC33" s="14"/>
      <c r="AE33" s="86"/>
      <c r="AT33" s="27"/>
      <c r="AX33" s="14"/>
      <c r="AY33" s="14"/>
    </row>
    <row r="34" spans="1:51" ht="13.5" customHeight="1">
      <c r="A34" s="27"/>
      <c r="B34" s="27"/>
      <c r="I34" s="27"/>
      <c r="P34" s="27"/>
      <c r="V34" s="14"/>
      <c r="W34" s="27"/>
      <c r="AC34" s="14"/>
      <c r="AE34" s="16" t="s">
        <v>495</v>
      </c>
      <c r="AT34" s="27"/>
      <c r="AX34" s="14"/>
      <c r="AY34" s="14"/>
    </row>
    <row r="35" spans="1:51" ht="13.5" customHeight="1">
      <c r="A35" s="27"/>
      <c r="B35" s="27"/>
      <c r="I35" s="27"/>
      <c r="P35" s="27"/>
      <c r="V35" s="14"/>
      <c r="W35" s="27"/>
      <c r="AC35" s="14"/>
      <c r="AF35" s="8" t="s">
        <v>496</v>
      </c>
      <c r="AT35" s="27"/>
      <c r="AX35" s="14"/>
      <c r="AY35" s="14"/>
    </row>
    <row r="36" spans="1:51" ht="13.5" customHeight="1">
      <c r="A36" s="27"/>
      <c r="B36" s="27"/>
      <c r="I36" s="27"/>
      <c r="P36" s="27"/>
      <c r="V36" s="14"/>
      <c r="W36" s="27"/>
      <c r="AC36" s="14"/>
      <c r="AF36" s="8" t="s">
        <v>138</v>
      </c>
      <c r="AG36" s="8" t="s">
        <v>497</v>
      </c>
      <c r="AT36" s="27"/>
      <c r="AX36" s="14"/>
      <c r="AY36" s="14"/>
    </row>
    <row r="37" spans="1:51" ht="13.5" customHeight="1">
      <c r="A37" s="27"/>
      <c r="B37" s="27"/>
      <c r="I37" s="27"/>
      <c r="P37" s="27"/>
      <c r="V37" s="14"/>
      <c r="W37" s="27"/>
      <c r="AC37" s="14"/>
      <c r="AE37" s="86"/>
      <c r="AF37" s="8" t="s">
        <v>138</v>
      </c>
      <c r="AG37" s="8" t="s">
        <v>498</v>
      </c>
      <c r="AT37" s="27"/>
      <c r="AX37" s="14"/>
      <c r="AY37" s="14"/>
    </row>
    <row r="38" spans="1:51" ht="13.5" customHeight="1">
      <c r="A38" s="27"/>
      <c r="B38" s="27"/>
      <c r="I38" s="27"/>
      <c r="P38" s="27"/>
      <c r="V38" s="14"/>
      <c r="W38" s="27"/>
      <c r="AC38" s="14"/>
      <c r="AM38" s="116"/>
      <c r="AN38" s="116"/>
      <c r="AO38" s="116"/>
      <c r="AP38" s="116"/>
      <c r="AQ38" s="116"/>
      <c r="AR38" s="116"/>
      <c r="AS38" s="116"/>
      <c r="AT38" s="27"/>
      <c r="AX38" s="14"/>
      <c r="AY38" s="14"/>
    </row>
    <row r="39" spans="1:51" ht="13.5" customHeight="1">
      <c r="A39" s="27"/>
      <c r="B39" s="27"/>
      <c r="I39" s="27"/>
      <c r="P39" s="27"/>
      <c r="V39" s="14"/>
      <c r="W39" s="27"/>
      <c r="AC39" s="14"/>
      <c r="AE39" s="86"/>
      <c r="AM39" s="116"/>
      <c r="AN39" s="116"/>
      <c r="AO39" s="116"/>
      <c r="AP39" s="116"/>
      <c r="AQ39" s="116"/>
      <c r="AR39" s="116"/>
      <c r="AS39" s="116"/>
      <c r="AT39" s="27"/>
      <c r="AX39" s="14"/>
      <c r="AY39" s="14"/>
    </row>
    <row r="40" spans="1:51" ht="13.5" customHeight="1">
      <c r="A40" s="27"/>
      <c r="B40" s="27"/>
      <c r="I40" s="27"/>
      <c r="P40" s="27"/>
      <c r="V40" s="14"/>
      <c r="W40" s="27"/>
      <c r="AC40" s="14"/>
      <c r="AE40" s="86"/>
      <c r="AM40" s="116"/>
      <c r="AN40" s="116"/>
      <c r="AO40" s="116"/>
      <c r="AP40" s="116"/>
      <c r="AQ40" s="116"/>
      <c r="AR40" s="116"/>
      <c r="AS40" s="116"/>
      <c r="AT40" s="27"/>
      <c r="AX40" s="14"/>
      <c r="AY40" s="14"/>
    </row>
    <row r="41" spans="1:51" ht="13.5" customHeight="1">
      <c r="A41" s="27"/>
      <c r="B41" s="27"/>
      <c r="I41" s="27"/>
      <c r="P41" s="27"/>
      <c r="V41" s="14"/>
      <c r="W41" s="27"/>
      <c r="AC41" s="14"/>
      <c r="AE41" s="86"/>
      <c r="AT41" s="27"/>
      <c r="AX41" s="14"/>
      <c r="AY41" s="14"/>
    </row>
    <row r="42" spans="1:51" ht="13.5" customHeight="1">
      <c r="A42" s="27"/>
      <c r="B42" s="55"/>
      <c r="C42" s="10"/>
      <c r="D42" s="10"/>
      <c r="E42" s="10"/>
      <c r="F42" s="10"/>
      <c r="G42" s="10"/>
      <c r="H42" s="10"/>
      <c r="I42" s="55"/>
      <c r="J42" s="10"/>
      <c r="K42" s="10"/>
      <c r="L42" s="10"/>
      <c r="M42" s="10"/>
      <c r="N42" s="10"/>
      <c r="O42" s="10"/>
      <c r="P42" s="55"/>
      <c r="Q42" s="10"/>
      <c r="R42" s="10"/>
      <c r="S42" s="10"/>
      <c r="T42" s="10"/>
      <c r="U42" s="10"/>
      <c r="V42" s="15"/>
      <c r="W42" s="55"/>
      <c r="X42" s="10"/>
      <c r="Y42" s="10"/>
      <c r="Z42" s="10"/>
      <c r="AA42" s="10"/>
      <c r="AB42" s="10"/>
      <c r="AC42" s="15"/>
      <c r="AD42" s="10"/>
      <c r="AE42" s="10"/>
      <c r="AF42" s="10"/>
      <c r="AG42" s="10"/>
      <c r="AH42" s="10"/>
      <c r="AI42" s="10"/>
      <c r="AJ42" s="10"/>
      <c r="AK42" s="10"/>
      <c r="AL42" s="10"/>
      <c r="AM42" s="10"/>
      <c r="AN42" s="10"/>
      <c r="AO42" s="10"/>
      <c r="AP42" s="10"/>
      <c r="AQ42" s="10"/>
      <c r="AR42" s="10"/>
      <c r="AS42" s="10"/>
      <c r="AT42" s="55"/>
      <c r="AU42" s="10"/>
      <c r="AV42" s="10"/>
      <c r="AW42" s="10"/>
      <c r="AX42" s="15"/>
      <c r="AY42" s="14"/>
    </row>
    <row r="43" spans="1:51">
      <c r="A43" s="27"/>
      <c r="AY43" s="14"/>
    </row>
    <row r="44" spans="1:51">
      <c r="A44" s="55"/>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5"/>
    </row>
  </sheetData>
  <mergeCells count="22">
    <mergeCell ref="B8:O8"/>
    <mergeCell ref="P8:AC8"/>
    <mergeCell ref="AD8:AS9"/>
    <mergeCell ref="AT8:AX9"/>
    <mergeCell ref="B9:H9"/>
    <mergeCell ref="I9:O9"/>
    <mergeCell ref="P9:V9"/>
    <mergeCell ref="W9:AC9"/>
    <mergeCell ref="AQ1:AV1"/>
    <mergeCell ref="AQ2:AV2"/>
    <mergeCell ref="AJ3:AK3"/>
    <mergeCell ref="AL3:AP3"/>
    <mergeCell ref="AQ3:AV3"/>
    <mergeCell ref="AJ2:AK2"/>
    <mergeCell ref="AL2:AP2"/>
    <mergeCell ref="A1:E1"/>
    <mergeCell ref="F1:U1"/>
    <mergeCell ref="V1:AI1"/>
    <mergeCell ref="AJ1:AP1"/>
    <mergeCell ref="A2:E3"/>
    <mergeCell ref="F2:U3"/>
    <mergeCell ref="V2:AI3"/>
  </mergeCells>
  <phoneticPr fontId="2"/>
  <pageMargins left="0.7" right="0.7" top="0.75" bottom="0.75" header="0.3" footer="0.3"/>
  <pageSetup paperSize="9" scale="69" fitToHeight="0" orientation="portrait"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B558-D83C-451E-8C27-3EF76CB0CD99}">
  <dimension ref="A1:BF38"/>
  <sheetViews>
    <sheetView showGridLines="0" zoomScaleNormal="100" workbookViewId="0">
      <pane ySplit="9" topLeftCell="A10" activePane="bottomLeft" state="frozen"/>
      <selection pane="bottomLeft" sqref="A1:E1"/>
      <selection activeCell="AE19" sqref="AE19:AS26"/>
    </sheetView>
  </sheetViews>
  <sheetFormatPr defaultColWidth="2.375" defaultRowHeight="13.5"/>
  <cols>
    <col min="1" max="42" width="2.375" style="8"/>
    <col min="43" max="43" width="2.375" style="8" customWidth="1"/>
    <col min="44" max="16384" width="2.375" style="8"/>
  </cols>
  <sheetData>
    <row r="1" spans="1:58" ht="14.1" thickBot="1">
      <c r="A1" s="166" t="s">
        <v>499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0"/>
      <c r="V1" s="170"/>
      <c r="W1" s="170"/>
      <c r="X1" s="170"/>
      <c r="Y1" s="170"/>
      <c r="Z1" s="170"/>
      <c r="AA1" s="170"/>
      <c r="AB1" s="171"/>
      <c r="AC1" s="166" t="s">
        <v>71</v>
      </c>
      <c r="AD1" s="167"/>
      <c r="AE1" s="167"/>
      <c r="AF1" s="167"/>
      <c r="AG1" s="167"/>
      <c r="AH1" s="167"/>
      <c r="AI1" s="167"/>
      <c r="AJ1" s="167"/>
      <c r="AK1" s="167"/>
      <c r="AL1" s="167"/>
      <c r="AM1" s="167"/>
      <c r="AN1" s="167"/>
      <c r="AO1" s="167"/>
      <c r="AP1" s="168"/>
      <c r="AQ1" s="166" t="s">
        <v>11</v>
      </c>
      <c r="AR1" s="167"/>
      <c r="AS1" s="167"/>
      <c r="AT1" s="167"/>
      <c r="AU1" s="167"/>
      <c r="AV1" s="167"/>
      <c r="AW1" s="168"/>
      <c r="AX1" s="166" t="s">
        <v>12</v>
      </c>
      <c r="AY1" s="167"/>
      <c r="AZ1" s="167"/>
      <c r="BA1" s="167"/>
      <c r="BB1" s="167"/>
      <c r="BC1" s="168"/>
    </row>
    <row r="2" spans="1:58">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6"/>
      <c r="V2" s="156"/>
      <c r="W2" s="156"/>
      <c r="X2" s="156"/>
      <c r="Y2" s="156"/>
      <c r="Z2" s="156"/>
      <c r="AA2" s="156"/>
      <c r="AB2" s="157"/>
      <c r="AC2" s="155" t="e">
        <f ca="1">MID(CELL("filename",$A$1),FIND("]",CELL("filename",$A$1))+1,31)</f>
        <v>#VALUE!</v>
      </c>
      <c r="AD2" s="156"/>
      <c r="AE2" s="156"/>
      <c r="AF2" s="156"/>
      <c r="AG2" s="156"/>
      <c r="AH2" s="156"/>
      <c r="AI2" s="156"/>
      <c r="AJ2" s="156"/>
      <c r="AK2" s="156"/>
      <c r="AL2" s="156"/>
      <c r="AM2" s="156"/>
      <c r="AN2" s="156"/>
      <c r="AO2" s="156"/>
      <c r="AP2" s="157"/>
      <c r="AQ2" s="161" t="s">
        <v>14</v>
      </c>
      <c r="AR2" s="162"/>
      <c r="AS2" s="163">
        <f>変更履歴!AT2</f>
        <v>45362</v>
      </c>
      <c r="AT2" s="164"/>
      <c r="AU2" s="164"/>
      <c r="AV2" s="164"/>
      <c r="AW2" s="165"/>
      <c r="AX2" s="138" t="str">
        <f>変更履歴!BA2</f>
        <v>JBS秋信</v>
      </c>
      <c r="AY2" s="139"/>
      <c r="AZ2" s="139"/>
      <c r="BA2" s="139"/>
      <c r="BB2" s="139"/>
      <c r="BC2" s="140"/>
    </row>
    <row r="3" spans="1:58" ht="14.1" thickBot="1">
      <c r="A3" s="152"/>
      <c r="B3" s="153"/>
      <c r="C3" s="153"/>
      <c r="D3" s="153"/>
      <c r="E3" s="154"/>
      <c r="F3" s="158"/>
      <c r="G3" s="159"/>
      <c r="H3" s="159"/>
      <c r="I3" s="159"/>
      <c r="J3" s="159"/>
      <c r="K3" s="159"/>
      <c r="L3" s="159"/>
      <c r="M3" s="159"/>
      <c r="N3" s="159"/>
      <c r="O3" s="159"/>
      <c r="P3" s="159"/>
      <c r="Q3" s="159"/>
      <c r="R3" s="159"/>
      <c r="S3" s="159"/>
      <c r="T3" s="159"/>
      <c r="U3" s="159"/>
      <c r="V3" s="159"/>
      <c r="W3" s="159"/>
      <c r="X3" s="159"/>
      <c r="Y3" s="159"/>
      <c r="Z3" s="159"/>
      <c r="AA3" s="159"/>
      <c r="AB3" s="160"/>
      <c r="AC3" s="158"/>
      <c r="AD3" s="159"/>
      <c r="AE3" s="159"/>
      <c r="AF3" s="159"/>
      <c r="AG3" s="159"/>
      <c r="AH3" s="159"/>
      <c r="AI3" s="159"/>
      <c r="AJ3" s="159"/>
      <c r="AK3" s="159"/>
      <c r="AL3" s="159"/>
      <c r="AM3" s="159"/>
      <c r="AN3" s="159"/>
      <c r="AO3" s="159"/>
      <c r="AP3" s="160"/>
      <c r="AQ3" s="141" t="s">
        <v>15</v>
      </c>
      <c r="AR3" s="142"/>
      <c r="AS3" s="143">
        <f ca="1">変更履歴!AT3</f>
        <v>45890</v>
      </c>
      <c r="AT3" s="144"/>
      <c r="AU3" s="144"/>
      <c r="AV3" s="144"/>
      <c r="AW3" s="145"/>
      <c r="AX3" s="146" t="str">
        <f ca="1">変更履歴!BA3</f>
        <v>JBS秋信</v>
      </c>
      <c r="AY3" s="147"/>
      <c r="AZ3" s="147"/>
      <c r="BA3" s="147"/>
      <c r="BB3" s="147"/>
      <c r="BC3" s="148"/>
    </row>
    <row r="5" spans="1:58">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row>
    <row r="6" spans="1:58"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row>
    <row r="7" spans="1:58" s="11" customFormat="1">
      <c r="A7" s="28"/>
      <c r="BF7" s="13"/>
    </row>
    <row r="8" spans="1:58" s="11" customFormat="1" ht="15.75" customHeight="1">
      <c r="A8" s="28"/>
      <c r="B8" s="197" t="s">
        <v>172</v>
      </c>
      <c r="C8" s="198"/>
      <c r="D8" s="198"/>
      <c r="E8" s="198"/>
      <c r="F8" s="198"/>
      <c r="G8" s="198"/>
      <c r="H8" s="198"/>
      <c r="I8" s="198"/>
      <c r="J8" s="198"/>
      <c r="K8" s="198"/>
      <c r="L8" s="198"/>
      <c r="M8" s="198"/>
      <c r="N8" s="198"/>
      <c r="O8" s="199"/>
      <c r="P8" s="208" t="s">
        <v>173</v>
      </c>
      <c r="Q8" s="209"/>
      <c r="R8" s="209"/>
      <c r="S8" s="209"/>
      <c r="T8" s="209"/>
      <c r="U8" s="209"/>
      <c r="V8" s="210"/>
      <c r="W8" s="202" t="s">
        <v>83</v>
      </c>
      <c r="X8" s="203"/>
      <c r="Y8" s="203"/>
      <c r="Z8" s="203"/>
      <c r="AA8" s="203"/>
      <c r="AB8" s="203"/>
      <c r="AC8" s="204"/>
      <c r="AD8" s="203"/>
      <c r="AE8" s="203"/>
      <c r="AF8" s="203"/>
      <c r="AG8" s="203"/>
      <c r="AH8" s="203"/>
      <c r="AI8" s="203"/>
      <c r="AJ8" s="204"/>
      <c r="AK8" s="201" t="s">
        <v>101</v>
      </c>
      <c r="AL8" s="201"/>
      <c r="AM8" s="201"/>
      <c r="AN8" s="201"/>
      <c r="AO8" s="201"/>
      <c r="AP8" s="201"/>
      <c r="AQ8" s="201"/>
      <c r="AR8" s="201"/>
      <c r="AS8" s="201"/>
      <c r="AT8" s="201"/>
      <c r="AU8" s="201"/>
      <c r="AV8" s="201"/>
      <c r="AW8" s="201"/>
      <c r="AX8" s="201"/>
      <c r="AY8" s="201"/>
      <c r="AZ8" s="201"/>
      <c r="BA8" s="200" t="s">
        <v>103</v>
      </c>
      <c r="BB8" s="201"/>
      <c r="BC8" s="201"/>
      <c r="BD8" s="201"/>
      <c r="BE8" s="201"/>
      <c r="BF8" s="13"/>
    </row>
    <row r="9" spans="1:58" s="11" customFormat="1">
      <c r="A9" s="28"/>
      <c r="B9" s="197" t="s">
        <v>89</v>
      </c>
      <c r="C9" s="198"/>
      <c r="D9" s="198"/>
      <c r="E9" s="198"/>
      <c r="F9" s="198"/>
      <c r="G9" s="198"/>
      <c r="H9" s="199"/>
      <c r="I9" s="197" t="s">
        <v>90</v>
      </c>
      <c r="J9" s="198"/>
      <c r="K9" s="198"/>
      <c r="L9" s="198"/>
      <c r="M9" s="198"/>
      <c r="N9" s="198"/>
      <c r="O9" s="199"/>
      <c r="P9" s="211"/>
      <c r="Q9" s="212"/>
      <c r="R9" s="212"/>
      <c r="S9" s="212"/>
      <c r="T9" s="212"/>
      <c r="U9" s="212"/>
      <c r="V9" s="213"/>
      <c r="W9" s="202" t="s">
        <v>98</v>
      </c>
      <c r="X9" s="203"/>
      <c r="Y9" s="203"/>
      <c r="Z9" s="203"/>
      <c r="AA9" s="203"/>
      <c r="AB9" s="203"/>
      <c r="AC9" s="204"/>
      <c r="AD9" s="202" t="s">
        <v>100</v>
      </c>
      <c r="AE9" s="203"/>
      <c r="AF9" s="203"/>
      <c r="AG9" s="203"/>
      <c r="AH9" s="203"/>
      <c r="AI9" s="203"/>
      <c r="AJ9" s="204"/>
      <c r="AK9" s="201"/>
      <c r="AL9" s="201"/>
      <c r="AM9" s="201"/>
      <c r="AN9" s="201"/>
      <c r="AO9" s="201"/>
      <c r="AP9" s="201"/>
      <c r="AQ9" s="201"/>
      <c r="AR9" s="201"/>
      <c r="AS9" s="201"/>
      <c r="AT9" s="201"/>
      <c r="AU9" s="201"/>
      <c r="AV9" s="201"/>
      <c r="AW9" s="201"/>
      <c r="AX9" s="201"/>
      <c r="AY9" s="201"/>
      <c r="AZ9" s="201"/>
      <c r="BA9" s="201"/>
      <c r="BB9" s="201"/>
      <c r="BC9" s="201"/>
      <c r="BD9" s="201"/>
      <c r="BE9" s="201"/>
      <c r="BF9" s="13"/>
    </row>
    <row r="10" spans="1:58" s="11" customFormat="1">
      <c r="A10" s="28"/>
      <c r="B10" s="36" t="s">
        <v>500</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13"/>
    </row>
    <row r="11" spans="1:58" s="11" customFormat="1">
      <c r="A11" s="28"/>
      <c r="B11" s="47"/>
      <c r="C11" s="45"/>
      <c r="D11" s="45"/>
      <c r="E11" s="45"/>
      <c r="F11" s="45"/>
      <c r="G11" s="45"/>
      <c r="H11" s="45"/>
      <c r="I11" s="47"/>
      <c r="J11" s="45"/>
      <c r="K11" s="45"/>
      <c r="L11" s="45"/>
      <c r="M11" s="45"/>
      <c r="N11" s="45"/>
      <c r="O11" s="45"/>
      <c r="P11" s="47"/>
      <c r="Q11" s="45"/>
      <c r="R11" s="45"/>
      <c r="S11" s="45"/>
      <c r="T11" s="45"/>
      <c r="U11" s="45"/>
      <c r="V11" s="45"/>
      <c r="W11" s="47"/>
      <c r="X11" s="45"/>
      <c r="Y11" s="45"/>
      <c r="Z11" s="45"/>
      <c r="AA11" s="45"/>
      <c r="AB11" s="45"/>
      <c r="AC11" s="46"/>
      <c r="AD11" s="47"/>
      <c r="AE11" s="45"/>
      <c r="AF11" s="45"/>
      <c r="AG11" s="45"/>
      <c r="AH11" s="45"/>
      <c r="AI11" s="45"/>
      <c r="AJ11" s="46"/>
      <c r="AK11" s="45"/>
      <c r="AL11" s="45"/>
      <c r="AM11" s="45"/>
      <c r="AN11" s="45"/>
      <c r="AO11" s="45"/>
      <c r="AP11" s="45"/>
      <c r="AQ11" s="45"/>
      <c r="AR11" s="45"/>
      <c r="AS11" s="45"/>
      <c r="AT11" s="45"/>
      <c r="AU11" s="45"/>
      <c r="AV11" s="45"/>
      <c r="AW11" s="45"/>
      <c r="AX11" s="45"/>
      <c r="AY11" s="45"/>
      <c r="AZ11" s="45"/>
      <c r="BA11" s="47"/>
      <c r="BB11" s="45"/>
      <c r="BC11" s="45"/>
      <c r="BD11" s="45"/>
      <c r="BE11" s="46"/>
      <c r="BF11" s="13"/>
    </row>
    <row r="12" spans="1:58" s="11" customFormat="1">
      <c r="A12" s="28"/>
      <c r="B12" s="31"/>
      <c r="C12" s="24"/>
      <c r="D12" s="24"/>
      <c r="E12" s="24"/>
      <c r="F12" s="24"/>
      <c r="G12" s="24"/>
      <c r="H12" s="24"/>
      <c r="I12" s="31"/>
      <c r="J12" s="24"/>
      <c r="K12" s="24"/>
      <c r="L12" s="24"/>
      <c r="M12" s="24"/>
      <c r="N12" s="24"/>
      <c r="O12" s="24"/>
      <c r="P12" s="31"/>
      <c r="Q12" s="24"/>
      <c r="R12" s="24"/>
      <c r="S12" s="24"/>
      <c r="T12" s="24"/>
      <c r="U12" s="24"/>
      <c r="V12" s="24"/>
      <c r="W12" s="31"/>
      <c r="X12" s="24"/>
      <c r="Y12" s="24"/>
      <c r="Z12" s="24"/>
      <c r="AA12" s="24"/>
      <c r="AB12" s="24"/>
      <c r="AC12" s="23"/>
      <c r="AD12" s="31"/>
      <c r="AE12" s="24"/>
      <c r="AF12" s="24"/>
      <c r="AG12" s="24"/>
      <c r="AH12" s="24"/>
      <c r="AI12" s="24"/>
      <c r="AJ12" s="23"/>
      <c r="AK12" s="24"/>
      <c r="AL12" s="8"/>
      <c r="AM12" s="8"/>
      <c r="AN12" s="8"/>
      <c r="AO12" s="8"/>
      <c r="AP12" s="8"/>
      <c r="AQ12" s="24"/>
      <c r="AR12" s="24"/>
      <c r="AS12" s="24"/>
      <c r="AT12" s="24"/>
      <c r="AU12" s="24"/>
      <c r="AV12" s="24"/>
      <c r="AW12" s="24"/>
      <c r="AX12" s="24"/>
      <c r="AY12" s="24"/>
      <c r="AZ12" s="24"/>
      <c r="BA12" s="31"/>
      <c r="BB12" s="24"/>
      <c r="BC12" s="24"/>
      <c r="BD12" s="24"/>
      <c r="BE12" s="23"/>
      <c r="BF12" s="13"/>
    </row>
    <row r="13" spans="1:58" s="11" customFormat="1">
      <c r="A13" s="28"/>
      <c r="B13" s="31"/>
      <c r="C13" s="24"/>
      <c r="D13" s="24"/>
      <c r="E13" s="24"/>
      <c r="F13" s="24"/>
      <c r="G13" s="24"/>
      <c r="H13" s="24"/>
      <c r="I13" s="31"/>
      <c r="J13" s="24"/>
      <c r="K13" s="24"/>
      <c r="L13" s="24"/>
      <c r="M13" s="24"/>
      <c r="N13" s="24"/>
      <c r="O13" s="24"/>
      <c r="P13" s="31"/>
      <c r="Q13" s="24"/>
      <c r="R13" s="24"/>
      <c r="S13" s="24"/>
      <c r="T13" s="24"/>
      <c r="U13" s="24"/>
      <c r="V13" s="24"/>
      <c r="W13" s="31"/>
      <c r="X13" s="24"/>
      <c r="Y13" s="24"/>
      <c r="Z13" s="24"/>
      <c r="AA13" s="24"/>
      <c r="AB13" s="24"/>
      <c r="AC13" s="23"/>
      <c r="AD13" s="31"/>
      <c r="AE13" s="24"/>
      <c r="AF13" s="24"/>
      <c r="AG13" s="24"/>
      <c r="AH13" s="24"/>
      <c r="AI13" s="24"/>
      <c r="AJ13" s="23"/>
      <c r="AK13" s="24"/>
      <c r="AL13" s="8"/>
      <c r="AM13" s="8"/>
      <c r="AN13" s="8"/>
      <c r="AO13" s="8"/>
      <c r="AP13" s="8"/>
      <c r="AQ13" s="24"/>
      <c r="AR13" s="24"/>
      <c r="AS13" s="24"/>
      <c r="AT13" s="24"/>
      <c r="AU13" s="24"/>
      <c r="AV13" s="24"/>
      <c r="AW13" s="24"/>
      <c r="AX13" s="24"/>
      <c r="AY13" s="24"/>
      <c r="AZ13" s="24"/>
      <c r="BA13" s="31"/>
      <c r="BB13" s="24"/>
      <c r="BC13" s="24"/>
      <c r="BD13" s="24"/>
      <c r="BE13" s="23"/>
      <c r="BF13" s="13"/>
    </row>
    <row r="14" spans="1:58" s="11" customFormat="1">
      <c r="A14" s="28"/>
      <c r="B14" s="31"/>
      <c r="C14" s="24"/>
      <c r="D14" s="24"/>
      <c r="E14" s="24"/>
      <c r="F14" s="24"/>
      <c r="G14" s="24"/>
      <c r="H14" s="24"/>
      <c r="I14" s="31"/>
      <c r="J14" s="24"/>
      <c r="K14" s="24"/>
      <c r="L14" s="24"/>
      <c r="M14" s="24"/>
      <c r="N14" s="24"/>
      <c r="O14" s="24"/>
      <c r="P14" s="31"/>
      <c r="Q14" s="24"/>
      <c r="R14" s="24"/>
      <c r="S14" s="24"/>
      <c r="T14" s="24"/>
      <c r="U14" s="24"/>
      <c r="V14" s="24"/>
      <c r="W14" s="31"/>
      <c r="X14" s="24"/>
      <c r="Y14" s="24"/>
      <c r="Z14" s="24"/>
      <c r="AA14" s="24"/>
      <c r="AB14" s="24"/>
      <c r="AC14" s="23"/>
      <c r="AD14" s="31"/>
      <c r="AE14" s="24"/>
      <c r="AF14" s="24"/>
      <c r="AG14" s="24"/>
      <c r="AH14" s="24"/>
      <c r="AI14" s="24"/>
      <c r="AJ14" s="23"/>
      <c r="AK14" s="24"/>
      <c r="AL14" s="8"/>
      <c r="AM14" s="8"/>
      <c r="AN14" s="8"/>
      <c r="AO14" s="8"/>
      <c r="AP14" s="8"/>
      <c r="AQ14" s="24"/>
      <c r="AR14" s="24"/>
      <c r="AS14" s="24"/>
      <c r="AT14" s="24"/>
      <c r="AU14" s="24"/>
      <c r="AV14" s="24"/>
      <c r="AW14" s="24"/>
      <c r="AX14" s="24"/>
      <c r="AY14" s="24"/>
      <c r="AZ14" s="24"/>
      <c r="BA14" s="31"/>
      <c r="BB14" s="24"/>
      <c r="BC14" s="24"/>
      <c r="BD14" s="24"/>
      <c r="BE14" s="23"/>
      <c r="BF14" s="13"/>
    </row>
    <row r="15" spans="1:58" s="11" customFormat="1">
      <c r="A15" s="28"/>
      <c r="B15" s="31"/>
      <c r="C15" s="24"/>
      <c r="D15" s="24"/>
      <c r="E15" s="24"/>
      <c r="F15" s="24"/>
      <c r="G15" s="24"/>
      <c r="H15" s="24"/>
      <c r="I15" s="31"/>
      <c r="J15" s="24"/>
      <c r="K15" s="24"/>
      <c r="L15" s="24"/>
      <c r="M15" s="24"/>
      <c r="N15" s="24"/>
      <c r="O15" s="24"/>
      <c r="P15" s="31"/>
      <c r="Q15" s="24"/>
      <c r="R15" s="24"/>
      <c r="S15" s="24"/>
      <c r="T15" s="24"/>
      <c r="U15" s="24"/>
      <c r="V15" s="24"/>
      <c r="W15" s="31"/>
      <c r="X15" s="24"/>
      <c r="Y15" s="24"/>
      <c r="Z15" s="24"/>
      <c r="AA15" s="24"/>
      <c r="AB15" s="24"/>
      <c r="AC15" s="23"/>
      <c r="AD15" s="31"/>
      <c r="AE15" s="24"/>
      <c r="AF15" s="24"/>
      <c r="AG15" s="24"/>
      <c r="AH15" s="24"/>
      <c r="AI15" s="24"/>
      <c r="AJ15" s="23"/>
      <c r="AK15" s="24"/>
      <c r="AL15" s="8"/>
      <c r="AM15" s="8"/>
      <c r="AN15" s="8"/>
      <c r="AO15" s="8"/>
      <c r="AP15" s="8"/>
      <c r="AQ15" s="24"/>
      <c r="AR15" s="24"/>
      <c r="AS15" s="24"/>
      <c r="AT15" s="24"/>
      <c r="AU15" s="24"/>
      <c r="AV15" s="24"/>
      <c r="AW15" s="24"/>
      <c r="AX15" s="24"/>
      <c r="AY15" s="24"/>
      <c r="AZ15" s="24"/>
      <c r="BA15" s="31"/>
      <c r="BB15" s="24"/>
      <c r="BC15" s="24"/>
      <c r="BD15" s="24"/>
      <c r="BE15" s="23"/>
      <c r="BF15" s="13"/>
    </row>
    <row r="16" spans="1:58" s="11" customFormat="1">
      <c r="A16" s="28"/>
      <c r="B16" s="31"/>
      <c r="C16" s="24"/>
      <c r="D16" s="24"/>
      <c r="E16" s="24"/>
      <c r="F16" s="24"/>
      <c r="G16" s="24"/>
      <c r="H16" s="24"/>
      <c r="I16" s="31"/>
      <c r="J16" s="24"/>
      <c r="K16" s="24"/>
      <c r="L16" s="24"/>
      <c r="M16" s="24"/>
      <c r="N16" s="24"/>
      <c r="O16" s="24"/>
      <c r="P16" s="31"/>
      <c r="Q16" s="24"/>
      <c r="R16" s="24"/>
      <c r="S16" s="24"/>
      <c r="T16" s="24"/>
      <c r="U16" s="24"/>
      <c r="V16" s="24"/>
      <c r="W16" s="31"/>
      <c r="X16" s="24"/>
      <c r="Y16" s="24"/>
      <c r="Z16" s="24"/>
      <c r="AA16" s="24"/>
      <c r="AB16" s="24"/>
      <c r="AC16" s="23"/>
      <c r="AD16" s="31"/>
      <c r="AE16" s="24"/>
      <c r="AF16" s="24"/>
      <c r="AG16" s="24"/>
      <c r="AH16" s="24"/>
      <c r="AI16" s="24"/>
      <c r="AJ16" s="23"/>
      <c r="AK16" s="24"/>
      <c r="AL16" s="16" t="s">
        <v>501</v>
      </c>
      <c r="AM16" s="8"/>
      <c r="AN16" s="8"/>
      <c r="AO16" s="8"/>
      <c r="AP16" s="8"/>
      <c r="AQ16" s="8"/>
      <c r="AR16" s="24"/>
      <c r="AS16" s="24"/>
      <c r="AT16" s="24"/>
      <c r="AU16" s="24"/>
      <c r="AV16" s="24"/>
      <c r="AW16" s="24"/>
      <c r="AX16" s="24"/>
      <c r="AY16" s="24"/>
      <c r="AZ16" s="24"/>
      <c r="BA16" s="31"/>
      <c r="BB16" s="24"/>
      <c r="BC16" s="24"/>
      <c r="BD16" s="24"/>
      <c r="BE16" s="23"/>
      <c r="BF16" s="13"/>
    </row>
    <row r="17" spans="1:58" ht="13.5" customHeight="1">
      <c r="A17" s="27"/>
      <c r="B17" s="27"/>
      <c r="I17" s="27"/>
      <c r="P17" s="27"/>
      <c r="W17" s="27"/>
      <c r="AC17" s="14"/>
      <c r="AD17" s="27"/>
      <c r="AJ17" s="14"/>
      <c r="AM17" s="8" t="s">
        <v>502</v>
      </c>
      <c r="BA17" s="27"/>
      <c r="BE17" s="14"/>
      <c r="BF17" s="14"/>
    </row>
    <row r="18" spans="1:58" ht="13.5" customHeight="1">
      <c r="A18" s="27"/>
      <c r="B18" s="27"/>
      <c r="I18" s="27"/>
      <c r="P18" s="27"/>
      <c r="W18" s="27"/>
      <c r="AC18" s="14"/>
      <c r="AD18" s="27"/>
      <c r="AJ18" s="14"/>
      <c r="AM18" s="8" t="s">
        <v>138</v>
      </c>
      <c r="AN18" s="8" t="s">
        <v>503</v>
      </c>
      <c r="BA18" s="27"/>
      <c r="BE18" s="14"/>
      <c r="BF18" s="14"/>
    </row>
    <row r="19" spans="1:58" ht="13.5" customHeight="1">
      <c r="A19" s="27"/>
      <c r="B19" s="27"/>
      <c r="I19" s="27"/>
      <c r="P19" s="27"/>
      <c r="W19" s="27"/>
      <c r="AC19" s="14"/>
      <c r="AD19" s="27"/>
      <c r="AJ19" s="14"/>
      <c r="AL19" s="16"/>
      <c r="AM19" s="8" t="s">
        <v>138</v>
      </c>
      <c r="AN19" s="8" t="s">
        <v>504</v>
      </c>
      <c r="BA19" s="27"/>
      <c r="BE19" s="14"/>
      <c r="BF19" s="14"/>
    </row>
    <row r="20" spans="1:58" ht="13.5" customHeight="1">
      <c r="A20" s="27"/>
      <c r="B20" s="27"/>
      <c r="I20" s="27"/>
      <c r="P20" s="27"/>
      <c r="W20" s="27"/>
      <c r="AC20" s="14"/>
      <c r="AD20" s="27"/>
      <c r="AJ20" s="14"/>
      <c r="BA20" s="27"/>
      <c r="BE20" s="14"/>
      <c r="BF20" s="14"/>
    </row>
    <row r="21" spans="1:58" ht="13.5" customHeight="1">
      <c r="A21" s="27"/>
      <c r="B21" s="27"/>
      <c r="I21" s="27"/>
      <c r="P21" s="27"/>
      <c r="W21" s="27"/>
      <c r="AC21" s="14"/>
      <c r="AD21" s="27"/>
      <c r="AJ21" s="14"/>
      <c r="BA21" s="27"/>
      <c r="BE21" s="14"/>
      <c r="BF21" s="14"/>
    </row>
    <row r="22" spans="1:58" ht="13.5" customHeight="1">
      <c r="A22" s="27"/>
      <c r="B22" s="27"/>
      <c r="I22" s="27"/>
      <c r="P22" s="27"/>
      <c r="W22" s="27"/>
      <c r="AC22" s="14"/>
      <c r="AD22" s="27"/>
      <c r="AJ22" s="14"/>
      <c r="BA22" s="27"/>
      <c r="BE22" s="14"/>
      <c r="BF22" s="14"/>
    </row>
    <row r="23" spans="1:58" ht="13.5" customHeight="1">
      <c r="A23" s="27"/>
      <c r="B23" s="27"/>
      <c r="I23" s="27"/>
      <c r="P23" s="27"/>
      <c r="W23" s="27"/>
      <c r="AC23" s="14"/>
      <c r="AD23" s="27"/>
      <c r="AJ23" s="14"/>
      <c r="BA23" s="27"/>
      <c r="BE23" s="14"/>
      <c r="BF23" s="14"/>
    </row>
    <row r="24" spans="1:58" ht="13.5" customHeight="1">
      <c r="A24" s="27"/>
      <c r="B24" s="27"/>
      <c r="I24" s="27"/>
      <c r="P24" s="27"/>
      <c r="W24" s="27"/>
      <c r="AC24" s="14"/>
      <c r="AD24" s="27"/>
      <c r="AJ24" s="14"/>
      <c r="AL24" s="16" t="s">
        <v>505</v>
      </c>
      <c r="BA24" s="27"/>
      <c r="BE24" s="14"/>
      <c r="BF24" s="14"/>
    </row>
    <row r="25" spans="1:58" ht="13.5" customHeight="1">
      <c r="A25" s="27"/>
      <c r="B25" s="27"/>
      <c r="I25" s="27"/>
      <c r="P25" s="27"/>
      <c r="W25" s="27"/>
      <c r="AC25" s="14"/>
      <c r="AD25" s="27"/>
      <c r="AJ25" s="14"/>
      <c r="AM25" s="8" t="s">
        <v>506</v>
      </c>
      <c r="BA25" s="27"/>
      <c r="BE25" s="14"/>
      <c r="BF25" s="14"/>
    </row>
    <row r="26" spans="1:58" ht="13.5" customHeight="1">
      <c r="A26" s="27"/>
      <c r="B26" s="27"/>
      <c r="I26" s="27"/>
      <c r="P26" s="27"/>
      <c r="W26" s="27"/>
      <c r="AC26" s="14"/>
      <c r="AD26" s="27"/>
      <c r="AJ26" s="14"/>
      <c r="BA26" s="27"/>
      <c r="BE26" s="14"/>
      <c r="BF26" s="14"/>
    </row>
    <row r="27" spans="1:58" ht="13.5" customHeight="1">
      <c r="A27" s="27"/>
      <c r="B27" s="27"/>
      <c r="I27" s="27"/>
      <c r="P27" s="27"/>
      <c r="W27" s="27"/>
      <c r="AC27" s="14"/>
      <c r="AD27" s="27"/>
      <c r="AJ27" s="14"/>
      <c r="AL27" s="16"/>
      <c r="BA27" s="27"/>
      <c r="BE27" s="14"/>
      <c r="BF27" s="14"/>
    </row>
    <row r="28" spans="1:58" ht="13.5" customHeight="1">
      <c r="A28" s="27"/>
      <c r="B28" s="27"/>
      <c r="I28" s="27"/>
      <c r="P28" s="27"/>
      <c r="W28" s="27"/>
      <c r="AC28" s="14"/>
      <c r="AD28" s="27"/>
      <c r="AJ28" s="14"/>
      <c r="BA28" s="27"/>
      <c r="BE28" s="14"/>
      <c r="BF28" s="14"/>
    </row>
    <row r="29" spans="1:58" ht="13.5" customHeight="1">
      <c r="A29" s="27"/>
      <c r="B29" s="27"/>
      <c r="I29" s="27"/>
      <c r="P29" s="27"/>
      <c r="W29" s="27"/>
      <c r="AC29" s="14"/>
      <c r="AD29" s="27"/>
      <c r="AJ29" s="14"/>
      <c r="BA29" s="27"/>
      <c r="BE29" s="14"/>
      <c r="BF29" s="14"/>
    </row>
    <row r="30" spans="1:58" ht="13.5" customHeight="1">
      <c r="A30" s="27"/>
      <c r="B30" s="27"/>
      <c r="I30" s="27"/>
      <c r="P30" s="27"/>
      <c r="W30" s="27"/>
      <c r="AC30" s="14"/>
      <c r="AD30" s="27"/>
      <c r="AJ30" s="14"/>
      <c r="BA30" s="27"/>
      <c r="BE30" s="14"/>
      <c r="BF30" s="14"/>
    </row>
    <row r="31" spans="1:58" ht="13.5" customHeight="1">
      <c r="A31" s="27"/>
      <c r="B31" s="27"/>
      <c r="I31" s="27"/>
      <c r="P31" s="27"/>
      <c r="W31" s="27"/>
      <c r="AC31" s="14"/>
      <c r="AD31" s="27"/>
      <c r="AJ31" s="14"/>
      <c r="BA31" s="27"/>
      <c r="BE31" s="14"/>
      <c r="BF31" s="14"/>
    </row>
    <row r="32" spans="1:58" ht="13.5" customHeight="1">
      <c r="A32" s="27"/>
      <c r="B32" s="27"/>
      <c r="I32" s="27"/>
      <c r="P32" s="27"/>
      <c r="W32" s="27"/>
      <c r="AC32" s="14"/>
      <c r="AD32" s="27"/>
      <c r="AJ32" s="14"/>
      <c r="BA32" s="27"/>
      <c r="BE32" s="14"/>
      <c r="BF32" s="14"/>
    </row>
    <row r="33" spans="1:58" ht="13.5" customHeight="1">
      <c r="A33" s="27"/>
      <c r="B33" s="27"/>
      <c r="I33" s="27"/>
      <c r="P33" s="27"/>
      <c r="W33" s="27"/>
      <c r="AC33" s="14"/>
      <c r="AD33" s="27"/>
      <c r="AJ33" s="14"/>
      <c r="AL33" s="86"/>
      <c r="BA33" s="27"/>
      <c r="BE33" s="14"/>
      <c r="BF33" s="14"/>
    </row>
    <row r="34" spans="1:58" ht="13.5" customHeight="1">
      <c r="A34" s="27"/>
      <c r="B34" s="27"/>
      <c r="I34" s="27"/>
      <c r="P34" s="27"/>
      <c r="W34" s="27"/>
      <c r="AC34" s="14"/>
      <c r="AD34" s="27"/>
      <c r="AJ34" s="14"/>
      <c r="AL34" s="86"/>
      <c r="BA34" s="27"/>
      <c r="BE34" s="14"/>
      <c r="BF34" s="14"/>
    </row>
    <row r="35" spans="1:58" ht="13.5" customHeight="1">
      <c r="A35" s="27"/>
      <c r="B35" s="27"/>
      <c r="I35" s="27"/>
      <c r="P35" s="27"/>
      <c r="W35" s="27"/>
      <c r="AC35" s="14"/>
      <c r="AD35" s="27"/>
      <c r="AJ35" s="14"/>
      <c r="AL35" s="86"/>
      <c r="BA35" s="27"/>
      <c r="BE35" s="14"/>
      <c r="BF35" s="14"/>
    </row>
    <row r="36" spans="1:58" ht="13.5" customHeight="1">
      <c r="A36" s="27"/>
      <c r="B36" s="55"/>
      <c r="C36" s="10"/>
      <c r="D36" s="10"/>
      <c r="E36" s="10"/>
      <c r="F36" s="10"/>
      <c r="G36" s="10"/>
      <c r="H36" s="10"/>
      <c r="I36" s="55"/>
      <c r="J36" s="10"/>
      <c r="K36" s="10"/>
      <c r="L36" s="10"/>
      <c r="M36" s="10"/>
      <c r="N36" s="10"/>
      <c r="O36" s="10"/>
      <c r="P36" s="55"/>
      <c r="Q36" s="10"/>
      <c r="R36" s="10"/>
      <c r="S36" s="10"/>
      <c r="T36" s="10"/>
      <c r="U36" s="10"/>
      <c r="V36" s="10"/>
      <c r="W36" s="55"/>
      <c r="X36" s="10"/>
      <c r="Y36" s="10"/>
      <c r="Z36" s="10"/>
      <c r="AA36" s="10"/>
      <c r="AB36" s="10"/>
      <c r="AC36" s="15"/>
      <c r="AD36" s="55"/>
      <c r="AE36" s="10"/>
      <c r="AF36" s="10"/>
      <c r="AG36" s="10"/>
      <c r="AH36" s="10"/>
      <c r="AI36" s="10"/>
      <c r="AJ36" s="15"/>
      <c r="AK36" s="10"/>
      <c r="AL36" s="10"/>
      <c r="AM36" s="10"/>
      <c r="AN36" s="10"/>
      <c r="AO36" s="10"/>
      <c r="AP36" s="10"/>
      <c r="AQ36" s="10"/>
      <c r="AR36" s="10"/>
      <c r="AS36" s="10"/>
      <c r="AT36" s="10"/>
      <c r="AU36" s="10"/>
      <c r="AV36" s="10"/>
      <c r="AW36" s="10"/>
      <c r="AX36" s="10"/>
      <c r="AY36" s="10"/>
      <c r="AZ36" s="10"/>
      <c r="BA36" s="55"/>
      <c r="BB36" s="10"/>
      <c r="BC36" s="10"/>
      <c r="BD36" s="10"/>
      <c r="BE36" s="15"/>
      <c r="BF36" s="14"/>
    </row>
    <row r="37" spans="1:58">
      <c r="A37" s="27"/>
      <c r="BF37" s="14"/>
    </row>
    <row r="38" spans="1:58">
      <c r="A38" s="55"/>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5"/>
    </row>
  </sheetData>
  <mergeCells count="23">
    <mergeCell ref="A1:E1"/>
    <mergeCell ref="F1:AB1"/>
    <mergeCell ref="AC1:AP1"/>
    <mergeCell ref="AQ1:AW1"/>
    <mergeCell ref="A2:E3"/>
    <mergeCell ref="F2:AB3"/>
    <mergeCell ref="AC2:AP3"/>
    <mergeCell ref="AX1:BC1"/>
    <mergeCell ref="AX2:BC2"/>
    <mergeCell ref="AQ3:AR3"/>
    <mergeCell ref="AS3:AW3"/>
    <mergeCell ref="AX3:BC3"/>
    <mergeCell ref="AQ2:AR2"/>
    <mergeCell ref="AS2:AW2"/>
    <mergeCell ref="B8:O8"/>
    <mergeCell ref="W8:AJ8"/>
    <mergeCell ref="AK8:AZ9"/>
    <mergeCell ref="BA8:BE9"/>
    <mergeCell ref="B9:H9"/>
    <mergeCell ref="I9:O9"/>
    <mergeCell ref="W9:AC9"/>
    <mergeCell ref="AD9:AJ9"/>
    <mergeCell ref="P8:V9"/>
  </mergeCells>
  <phoneticPr fontId="2"/>
  <pageMargins left="0.7" right="0.7" top="0.75" bottom="0.75" header="0.3" footer="0.3"/>
  <pageSetup paperSize="9" scale="69" fitToHeight="0" orientation="portrait"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B4BA-E387-416F-AD45-D98490DE601E}">
  <dimension ref="A1:BM100"/>
  <sheetViews>
    <sheetView showGridLines="0" zoomScaleNormal="100" workbookViewId="0">
      <pane ySplit="9" topLeftCell="A10" activePane="bottomLeft" state="frozen"/>
      <selection pane="bottomLeft" sqref="A1:E1"/>
      <selection activeCell="AE19" sqref="AE19:AS26"/>
    </sheetView>
  </sheetViews>
  <sheetFormatPr defaultColWidth="2.375" defaultRowHeight="13.5"/>
  <cols>
    <col min="1" max="35" width="2.375" style="8"/>
    <col min="36" max="36" width="2.375" style="8" customWidth="1"/>
    <col min="37" max="16384" width="2.375" style="8"/>
  </cols>
  <sheetData>
    <row r="1" spans="1:65" ht="14.1" thickBot="1">
      <c r="A1" s="166" t="s">
        <v>9</v>
      </c>
      <c r="B1" s="167"/>
      <c r="C1" s="167"/>
      <c r="D1" s="167"/>
      <c r="E1" s="168"/>
      <c r="F1" s="169" t="str">
        <f>変更履歴!F1</f>
        <v>会計システム刷新プロジェクト（LIBRA）</v>
      </c>
      <c r="G1" s="170"/>
      <c r="H1" s="170"/>
      <c r="I1" s="170"/>
      <c r="J1" s="170"/>
      <c r="K1" s="170"/>
      <c r="L1" s="170"/>
      <c r="M1" s="170"/>
      <c r="N1" s="170"/>
      <c r="O1" s="170"/>
      <c r="P1" s="170"/>
      <c r="Q1" s="170"/>
      <c r="R1" s="170"/>
      <c r="S1" s="170"/>
      <c r="T1" s="170"/>
      <c r="U1" s="171"/>
      <c r="V1" s="166" t="s">
        <v>71</v>
      </c>
      <c r="W1" s="167"/>
      <c r="X1" s="167"/>
      <c r="Y1" s="167"/>
      <c r="Z1" s="167"/>
      <c r="AA1" s="167"/>
      <c r="AB1" s="167"/>
      <c r="AC1" s="167"/>
      <c r="AD1" s="167"/>
      <c r="AE1" s="167"/>
      <c r="AF1" s="167"/>
      <c r="AG1" s="167"/>
      <c r="AH1" s="167"/>
      <c r="AI1" s="168"/>
      <c r="AJ1" s="166" t="s">
        <v>11</v>
      </c>
      <c r="AK1" s="167"/>
      <c r="AL1" s="167"/>
      <c r="AM1" s="167"/>
      <c r="AN1" s="167"/>
      <c r="AO1" s="167"/>
      <c r="AP1" s="168"/>
      <c r="AQ1" s="166" t="s">
        <v>12</v>
      </c>
      <c r="AR1" s="167"/>
      <c r="AS1" s="167"/>
      <c r="AT1" s="167"/>
      <c r="AU1" s="167"/>
      <c r="AV1" s="168"/>
    </row>
    <row r="2" spans="1:65">
      <c r="A2" s="149" t="s">
        <v>13</v>
      </c>
      <c r="B2" s="150"/>
      <c r="C2" s="150"/>
      <c r="D2" s="150"/>
      <c r="E2" s="151"/>
      <c r="F2" s="155" t="str">
        <f>変更履歴!F2</f>
        <v>ToBe業務フロー（4.債務）</v>
      </c>
      <c r="G2" s="156"/>
      <c r="H2" s="156"/>
      <c r="I2" s="156"/>
      <c r="J2" s="156"/>
      <c r="K2" s="156"/>
      <c r="L2" s="156"/>
      <c r="M2" s="156"/>
      <c r="N2" s="156"/>
      <c r="O2" s="156"/>
      <c r="P2" s="156"/>
      <c r="Q2" s="156"/>
      <c r="R2" s="156"/>
      <c r="S2" s="156"/>
      <c r="T2" s="156"/>
      <c r="U2" s="157"/>
      <c r="V2" s="155" t="e">
        <f ca="1">MID(CELL("filename",$A$1),FIND("]",CELL("filename",$A$1))+1,31)</f>
        <v>#VALUE!</v>
      </c>
      <c r="W2" s="156"/>
      <c r="X2" s="156"/>
      <c r="Y2" s="156"/>
      <c r="Z2" s="156"/>
      <c r="AA2" s="156"/>
      <c r="AB2" s="156"/>
      <c r="AC2" s="156"/>
      <c r="AD2" s="156"/>
      <c r="AE2" s="156"/>
      <c r="AF2" s="156"/>
      <c r="AG2" s="156"/>
      <c r="AH2" s="156"/>
      <c r="AI2" s="157"/>
      <c r="AJ2" s="161" t="s">
        <v>14</v>
      </c>
      <c r="AK2" s="162"/>
      <c r="AL2" s="163">
        <f>変更履歴!AT2</f>
        <v>45362</v>
      </c>
      <c r="AM2" s="164"/>
      <c r="AN2" s="164"/>
      <c r="AO2" s="164"/>
      <c r="AP2" s="165"/>
      <c r="AQ2" s="138" t="str">
        <f>変更履歴!BA2</f>
        <v>JBS秋信</v>
      </c>
      <c r="AR2" s="139"/>
      <c r="AS2" s="139"/>
      <c r="AT2" s="139"/>
      <c r="AU2" s="139"/>
      <c r="AV2" s="140"/>
    </row>
    <row r="3" spans="1:65" ht="14.1" thickBot="1">
      <c r="A3" s="152"/>
      <c r="B3" s="153"/>
      <c r="C3" s="153"/>
      <c r="D3" s="153"/>
      <c r="E3" s="154"/>
      <c r="F3" s="158"/>
      <c r="G3" s="159"/>
      <c r="H3" s="159"/>
      <c r="I3" s="159"/>
      <c r="J3" s="159"/>
      <c r="K3" s="159"/>
      <c r="L3" s="159"/>
      <c r="M3" s="159"/>
      <c r="N3" s="159"/>
      <c r="O3" s="159"/>
      <c r="P3" s="159"/>
      <c r="Q3" s="159"/>
      <c r="R3" s="159"/>
      <c r="S3" s="159"/>
      <c r="T3" s="159"/>
      <c r="U3" s="160"/>
      <c r="V3" s="158"/>
      <c r="W3" s="159"/>
      <c r="X3" s="159"/>
      <c r="Y3" s="159"/>
      <c r="Z3" s="159"/>
      <c r="AA3" s="159"/>
      <c r="AB3" s="159"/>
      <c r="AC3" s="159"/>
      <c r="AD3" s="159"/>
      <c r="AE3" s="159"/>
      <c r="AF3" s="159"/>
      <c r="AG3" s="159"/>
      <c r="AH3" s="159"/>
      <c r="AI3" s="160"/>
      <c r="AJ3" s="141" t="s">
        <v>15</v>
      </c>
      <c r="AK3" s="142"/>
      <c r="AL3" s="143">
        <f ca="1">変更履歴!AT3</f>
        <v>45890</v>
      </c>
      <c r="AM3" s="144"/>
      <c r="AN3" s="144"/>
      <c r="AO3" s="144"/>
      <c r="AP3" s="145"/>
      <c r="AQ3" s="146" t="str">
        <f ca="1">変更履歴!BA3</f>
        <v>JBS秋信</v>
      </c>
      <c r="AR3" s="147"/>
      <c r="AS3" s="147"/>
      <c r="AT3" s="147"/>
      <c r="AU3" s="147"/>
      <c r="AV3" s="148"/>
    </row>
    <row r="5" spans="1:65">
      <c r="A5" s="55"/>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65" s="11" customFormat="1">
      <c r="A6" s="40" t="e">
        <f ca="1">RIGHT(CELL("filename",A1),LEN(CELL("filename",A1))-FIND("]",CELL("filename",A1)))</f>
        <v>#VALUE!</v>
      </c>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s="11" customFormat="1">
      <c r="A7" s="28"/>
      <c r="BM7" s="13"/>
    </row>
    <row r="8" spans="1:65" s="11" customFormat="1" ht="15.75" customHeight="1">
      <c r="A8" s="28"/>
      <c r="B8" s="197" t="s">
        <v>172</v>
      </c>
      <c r="C8" s="198"/>
      <c r="D8" s="198"/>
      <c r="E8" s="198"/>
      <c r="F8" s="198"/>
      <c r="G8" s="198"/>
      <c r="H8" s="198"/>
      <c r="I8" s="198"/>
      <c r="J8" s="198"/>
      <c r="K8" s="198"/>
      <c r="L8" s="198"/>
      <c r="M8" s="198"/>
      <c r="N8" s="198"/>
      <c r="O8" s="199"/>
      <c r="P8" s="197" t="s">
        <v>173</v>
      </c>
      <c r="Q8" s="198"/>
      <c r="R8" s="198"/>
      <c r="S8" s="198"/>
      <c r="T8" s="198"/>
      <c r="U8" s="198"/>
      <c r="V8" s="198"/>
      <c r="W8" s="198"/>
      <c r="X8" s="198"/>
      <c r="Y8" s="198"/>
      <c r="Z8" s="198"/>
      <c r="AA8" s="198"/>
      <c r="AB8" s="198"/>
      <c r="AC8" s="199"/>
      <c r="AD8" s="202" t="s">
        <v>83</v>
      </c>
      <c r="AE8" s="203"/>
      <c r="AF8" s="203"/>
      <c r="AG8" s="203"/>
      <c r="AH8" s="203"/>
      <c r="AI8" s="203"/>
      <c r="AJ8" s="204"/>
      <c r="AK8" s="203"/>
      <c r="AL8" s="203"/>
      <c r="AM8" s="203"/>
      <c r="AN8" s="203"/>
      <c r="AO8" s="203"/>
      <c r="AP8" s="203"/>
      <c r="AQ8" s="204"/>
      <c r="AR8" s="201" t="s">
        <v>101</v>
      </c>
      <c r="AS8" s="201"/>
      <c r="AT8" s="201"/>
      <c r="AU8" s="201"/>
      <c r="AV8" s="201"/>
      <c r="AW8" s="201"/>
      <c r="AX8" s="201"/>
      <c r="AY8" s="201"/>
      <c r="AZ8" s="201"/>
      <c r="BA8" s="201"/>
      <c r="BB8" s="201"/>
      <c r="BC8" s="201"/>
      <c r="BD8" s="201"/>
      <c r="BE8" s="201"/>
      <c r="BF8" s="201"/>
      <c r="BG8" s="201"/>
      <c r="BH8" s="200" t="s">
        <v>103</v>
      </c>
      <c r="BI8" s="201"/>
      <c r="BJ8" s="201"/>
      <c r="BK8" s="201"/>
      <c r="BL8" s="201"/>
      <c r="BM8" s="13"/>
    </row>
    <row r="9" spans="1:65" s="11" customFormat="1">
      <c r="A9" s="28"/>
      <c r="B9" s="197" t="s">
        <v>89</v>
      </c>
      <c r="C9" s="198"/>
      <c r="D9" s="198"/>
      <c r="E9" s="198"/>
      <c r="F9" s="198"/>
      <c r="G9" s="198"/>
      <c r="H9" s="199"/>
      <c r="I9" s="197" t="s">
        <v>90</v>
      </c>
      <c r="J9" s="198"/>
      <c r="K9" s="198"/>
      <c r="L9" s="198"/>
      <c r="M9" s="198"/>
      <c r="N9" s="198"/>
      <c r="O9" s="199"/>
      <c r="P9" s="197" t="s">
        <v>89</v>
      </c>
      <c r="Q9" s="198"/>
      <c r="R9" s="198"/>
      <c r="S9" s="198"/>
      <c r="T9" s="198"/>
      <c r="U9" s="198"/>
      <c r="V9" s="199"/>
      <c r="W9" s="197" t="s">
        <v>90</v>
      </c>
      <c r="X9" s="198"/>
      <c r="Y9" s="198"/>
      <c r="Z9" s="198"/>
      <c r="AA9" s="198"/>
      <c r="AB9" s="198"/>
      <c r="AC9" s="199"/>
      <c r="AD9" s="202" t="s">
        <v>98</v>
      </c>
      <c r="AE9" s="203"/>
      <c r="AF9" s="203"/>
      <c r="AG9" s="203"/>
      <c r="AH9" s="203"/>
      <c r="AI9" s="203"/>
      <c r="AJ9" s="204"/>
      <c r="AK9" s="202" t="s">
        <v>100</v>
      </c>
      <c r="AL9" s="203"/>
      <c r="AM9" s="203"/>
      <c r="AN9" s="203"/>
      <c r="AO9" s="203"/>
      <c r="AP9" s="203"/>
      <c r="AQ9" s="204"/>
      <c r="AR9" s="201"/>
      <c r="AS9" s="201"/>
      <c r="AT9" s="201"/>
      <c r="AU9" s="201"/>
      <c r="AV9" s="201"/>
      <c r="AW9" s="201"/>
      <c r="AX9" s="201"/>
      <c r="AY9" s="201"/>
      <c r="AZ9" s="201"/>
      <c r="BA9" s="201"/>
      <c r="BB9" s="201"/>
      <c r="BC9" s="201"/>
      <c r="BD9" s="201"/>
      <c r="BE9" s="201"/>
      <c r="BF9" s="201"/>
      <c r="BG9" s="201"/>
      <c r="BH9" s="201"/>
      <c r="BI9" s="201"/>
      <c r="BJ9" s="201"/>
      <c r="BK9" s="201"/>
      <c r="BL9" s="201"/>
      <c r="BM9" s="13"/>
    </row>
    <row r="10" spans="1:65" s="11" customFormat="1">
      <c r="A10" s="28"/>
      <c r="B10" s="36" t="s">
        <v>507</v>
      </c>
      <c r="C10" s="26"/>
      <c r="D10" s="26"/>
      <c r="E10" s="26"/>
      <c r="F10" s="26"/>
      <c r="G10" s="26"/>
      <c r="H10" s="26"/>
      <c r="I10" s="26"/>
      <c r="J10" s="26"/>
      <c r="K10" s="26"/>
      <c r="L10" s="26"/>
      <c r="M10" s="26"/>
      <c r="N10" s="26"/>
      <c r="O10" s="26"/>
      <c r="P10" s="3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13"/>
    </row>
    <row r="11" spans="1:65" s="11" customFormat="1">
      <c r="A11" s="28"/>
      <c r="B11" s="47"/>
      <c r="C11" s="45"/>
      <c r="D11" s="45"/>
      <c r="E11" s="45"/>
      <c r="F11" s="45"/>
      <c r="G11" s="45"/>
      <c r="H11" s="45"/>
      <c r="I11" s="47"/>
      <c r="J11" s="45"/>
      <c r="K11" s="45"/>
      <c r="L11" s="45"/>
      <c r="M11" s="45"/>
      <c r="N11" s="45"/>
      <c r="O11" s="45"/>
      <c r="P11" s="47"/>
      <c r="Q11" s="45"/>
      <c r="R11" s="45"/>
      <c r="S11" s="45"/>
      <c r="T11" s="45"/>
      <c r="U11" s="45"/>
      <c r="V11" s="45"/>
      <c r="W11" s="47"/>
      <c r="X11" s="45"/>
      <c r="Y11" s="45"/>
      <c r="Z11" s="45"/>
      <c r="AA11" s="45"/>
      <c r="AB11" s="45"/>
      <c r="AC11" s="45"/>
      <c r="AD11" s="47"/>
      <c r="AE11" s="45"/>
      <c r="AF11" s="45"/>
      <c r="AG11" s="45"/>
      <c r="AH11" s="45"/>
      <c r="AI11" s="45"/>
      <c r="AJ11" s="46"/>
      <c r="AK11" s="47"/>
      <c r="AL11" s="45"/>
      <c r="AM11" s="45"/>
      <c r="AN11" s="45"/>
      <c r="AO11" s="45"/>
      <c r="AP11" s="45"/>
      <c r="AQ11" s="46"/>
      <c r="AR11" s="45"/>
      <c r="AS11" s="45"/>
      <c r="AT11" s="45"/>
      <c r="AU11" s="45"/>
      <c r="AV11" s="45"/>
      <c r="AW11" s="45"/>
      <c r="AX11" s="45"/>
      <c r="AY11" s="45"/>
      <c r="AZ11" s="45"/>
      <c r="BA11" s="45"/>
      <c r="BB11" s="45"/>
      <c r="BC11" s="45"/>
      <c r="BD11" s="45"/>
      <c r="BE11" s="45"/>
      <c r="BF11" s="45"/>
      <c r="BG11" s="45"/>
      <c r="BH11" s="47"/>
      <c r="BI11" s="45"/>
      <c r="BJ11" s="45"/>
      <c r="BK11" s="45"/>
      <c r="BL11" s="46"/>
      <c r="BM11" s="13"/>
    </row>
    <row r="12" spans="1:65" s="11" customFormat="1">
      <c r="A12" s="28"/>
      <c r="B12" s="31"/>
      <c r="C12" s="24"/>
      <c r="D12" s="24"/>
      <c r="E12" s="24"/>
      <c r="F12" s="24"/>
      <c r="G12" s="24"/>
      <c r="H12" s="24"/>
      <c r="I12" s="31"/>
      <c r="J12" s="24"/>
      <c r="K12" s="24"/>
      <c r="L12" s="24"/>
      <c r="M12" s="24"/>
      <c r="N12" s="24"/>
      <c r="O12" s="24"/>
      <c r="P12" s="31"/>
      <c r="Q12" s="24"/>
      <c r="R12" s="24"/>
      <c r="S12" s="24"/>
      <c r="T12" s="24"/>
      <c r="U12" s="24"/>
      <c r="V12" s="24"/>
      <c r="W12" s="31"/>
      <c r="X12" s="24"/>
      <c r="Y12" s="24"/>
      <c r="Z12" s="24"/>
      <c r="AA12" s="24"/>
      <c r="AB12" s="24"/>
      <c r="AC12" s="24"/>
      <c r="AD12" s="31"/>
      <c r="AE12" s="24"/>
      <c r="AF12" s="24"/>
      <c r="AG12" s="24"/>
      <c r="AH12" s="24"/>
      <c r="AI12" s="24"/>
      <c r="AJ12" s="23"/>
      <c r="AK12" s="31"/>
      <c r="AL12" s="24"/>
      <c r="AM12" s="24"/>
      <c r="AN12" s="24"/>
      <c r="AO12" s="24"/>
      <c r="AP12" s="24"/>
      <c r="AQ12" s="23"/>
      <c r="AR12" s="24"/>
      <c r="AS12" s="8"/>
      <c r="AT12" s="8"/>
      <c r="AU12" s="8"/>
      <c r="AV12" s="8"/>
      <c r="AW12" s="8"/>
      <c r="AX12" s="24"/>
      <c r="AY12" s="24"/>
      <c r="AZ12" s="24"/>
      <c r="BA12" s="24"/>
      <c r="BB12" s="24"/>
      <c r="BC12" s="24"/>
      <c r="BD12" s="24"/>
      <c r="BE12" s="24"/>
      <c r="BF12" s="24"/>
      <c r="BG12" s="24"/>
      <c r="BH12" s="31"/>
      <c r="BI12" s="24"/>
      <c r="BJ12" s="24"/>
      <c r="BK12" s="24"/>
      <c r="BL12" s="23"/>
      <c r="BM12" s="13"/>
    </row>
    <row r="13" spans="1:65" s="11" customFormat="1">
      <c r="A13" s="28"/>
      <c r="B13" s="31"/>
      <c r="C13" s="24"/>
      <c r="D13" s="24"/>
      <c r="E13" s="24"/>
      <c r="F13" s="24"/>
      <c r="G13" s="24"/>
      <c r="H13" s="24"/>
      <c r="I13" s="31"/>
      <c r="J13" s="24"/>
      <c r="K13" s="24"/>
      <c r="L13" s="24"/>
      <c r="M13" s="24"/>
      <c r="N13" s="24"/>
      <c r="O13" s="24"/>
      <c r="P13" s="31"/>
      <c r="Q13" s="24"/>
      <c r="R13" s="24"/>
      <c r="S13" s="24"/>
      <c r="T13" s="24"/>
      <c r="U13" s="24"/>
      <c r="V13" s="24"/>
      <c r="W13" s="31"/>
      <c r="X13" s="24"/>
      <c r="Y13" s="24"/>
      <c r="Z13" s="24"/>
      <c r="AA13" s="24"/>
      <c r="AB13" s="24"/>
      <c r="AC13" s="24"/>
      <c r="AD13" s="31"/>
      <c r="AE13" s="24"/>
      <c r="AF13" s="24"/>
      <c r="AG13" s="24"/>
      <c r="AH13" s="24"/>
      <c r="AI13" s="24"/>
      <c r="AJ13" s="23"/>
      <c r="AK13" s="31"/>
      <c r="AL13" s="24"/>
      <c r="AM13" s="24"/>
      <c r="AN13" s="24"/>
      <c r="AO13" s="24"/>
      <c r="AP13" s="24"/>
      <c r="AQ13" s="23"/>
      <c r="AR13" s="24"/>
      <c r="AS13" s="8"/>
      <c r="AT13" s="8"/>
      <c r="AU13" s="8"/>
      <c r="AV13" s="8"/>
      <c r="AW13" s="8"/>
      <c r="AX13" s="24"/>
      <c r="AY13" s="24"/>
      <c r="AZ13" s="24"/>
      <c r="BA13" s="24"/>
      <c r="BB13" s="24"/>
      <c r="BC13" s="24"/>
      <c r="BD13" s="24"/>
      <c r="BE13" s="24"/>
      <c r="BF13" s="24"/>
      <c r="BG13" s="24"/>
      <c r="BH13" s="31"/>
      <c r="BI13" s="24"/>
      <c r="BJ13" s="24"/>
      <c r="BK13" s="24"/>
      <c r="BL13" s="23"/>
      <c r="BM13" s="13"/>
    </row>
    <row r="14" spans="1:65" s="11" customFormat="1">
      <c r="A14" s="28"/>
      <c r="B14" s="31"/>
      <c r="C14" s="24"/>
      <c r="D14" s="24"/>
      <c r="E14" s="24"/>
      <c r="F14" s="24"/>
      <c r="G14" s="24"/>
      <c r="H14" s="24"/>
      <c r="I14" s="31"/>
      <c r="J14" s="24"/>
      <c r="K14" s="24"/>
      <c r="L14" s="24"/>
      <c r="M14" s="24"/>
      <c r="N14" s="24"/>
      <c r="O14" s="24"/>
      <c r="P14" s="31"/>
      <c r="Q14" s="24"/>
      <c r="R14" s="24"/>
      <c r="S14" s="24"/>
      <c r="T14" s="24"/>
      <c r="U14" s="24"/>
      <c r="V14" s="24"/>
      <c r="W14" s="31"/>
      <c r="X14" s="24"/>
      <c r="Y14" s="24"/>
      <c r="Z14" s="24"/>
      <c r="AA14" s="24"/>
      <c r="AB14" s="24"/>
      <c r="AC14" s="24"/>
      <c r="AD14" s="31"/>
      <c r="AE14" s="24"/>
      <c r="AF14" s="24"/>
      <c r="AG14" s="24"/>
      <c r="AH14" s="24"/>
      <c r="AI14" s="24"/>
      <c r="AJ14" s="23"/>
      <c r="AK14" s="31"/>
      <c r="AL14" s="24"/>
      <c r="AM14" s="24"/>
      <c r="AN14" s="24"/>
      <c r="AO14" s="24"/>
      <c r="AP14" s="24"/>
      <c r="AQ14" s="23"/>
      <c r="AR14" s="24"/>
      <c r="AS14" s="8"/>
      <c r="AT14" s="8"/>
      <c r="AU14" s="8"/>
      <c r="AV14" s="8"/>
      <c r="AW14" s="8"/>
      <c r="AX14" s="24"/>
      <c r="AY14" s="24"/>
      <c r="AZ14" s="24"/>
      <c r="BA14" s="24"/>
      <c r="BB14" s="24"/>
      <c r="BC14" s="24"/>
      <c r="BD14" s="24"/>
      <c r="BE14" s="24"/>
      <c r="BF14" s="24"/>
      <c r="BG14" s="24"/>
      <c r="BH14" s="31"/>
      <c r="BI14" s="24"/>
      <c r="BJ14" s="24"/>
      <c r="BK14" s="24"/>
      <c r="BL14" s="23"/>
      <c r="BM14" s="13"/>
    </row>
    <row r="15" spans="1:65" s="11" customFormat="1">
      <c r="A15" s="28"/>
      <c r="B15" s="31"/>
      <c r="C15" s="24"/>
      <c r="D15" s="24"/>
      <c r="E15" s="24"/>
      <c r="F15" s="24"/>
      <c r="G15" s="24"/>
      <c r="H15" s="24"/>
      <c r="I15" s="31"/>
      <c r="J15" s="24"/>
      <c r="K15" s="24"/>
      <c r="L15" s="24"/>
      <c r="M15" s="24"/>
      <c r="N15" s="24"/>
      <c r="O15" s="24"/>
      <c r="P15" s="31"/>
      <c r="Q15" s="24"/>
      <c r="R15" s="24"/>
      <c r="S15" s="24"/>
      <c r="T15" s="24"/>
      <c r="U15" s="24"/>
      <c r="V15" s="24"/>
      <c r="W15" s="31"/>
      <c r="X15" s="24"/>
      <c r="Y15" s="24"/>
      <c r="Z15" s="24"/>
      <c r="AA15" s="24"/>
      <c r="AB15" s="24"/>
      <c r="AC15" s="24"/>
      <c r="AD15" s="31"/>
      <c r="AE15" s="24"/>
      <c r="AF15" s="24"/>
      <c r="AG15" s="24"/>
      <c r="AH15" s="24"/>
      <c r="AI15" s="24"/>
      <c r="AJ15" s="23"/>
      <c r="AK15" s="31"/>
      <c r="AL15" s="24"/>
      <c r="AM15" s="24"/>
      <c r="AN15" s="24"/>
      <c r="AO15" s="24"/>
      <c r="AP15" s="24"/>
      <c r="AQ15" s="23"/>
      <c r="AR15" s="24"/>
      <c r="AS15" s="8"/>
      <c r="AT15" s="8"/>
      <c r="AU15" s="8"/>
      <c r="AV15" s="8"/>
      <c r="AW15" s="8"/>
      <c r="AX15" s="24"/>
      <c r="AY15" s="24"/>
      <c r="AZ15" s="24"/>
      <c r="BA15" s="24"/>
      <c r="BB15" s="24"/>
      <c r="BC15" s="24"/>
      <c r="BD15" s="24"/>
      <c r="BE15" s="24"/>
      <c r="BF15" s="24"/>
      <c r="BG15" s="24"/>
      <c r="BH15" s="31"/>
      <c r="BI15" s="24"/>
      <c r="BJ15" s="24"/>
      <c r="BK15" s="24"/>
      <c r="BL15" s="23"/>
      <c r="BM15" s="13"/>
    </row>
    <row r="16" spans="1:65" s="11" customFormat="1">
      <c r="A16" s="28"/>
      <c r="B16" s="31"/>
      <c r="C16" s="24"/>
      <c r="D16" s="24"/>
      <c r="E16" s="24"/>
      <c r="F16" s="24"/>
      <c r="G16" s="24"/>
      <c r="H16" s="24"/>
      <c r="I16" s="31"/>
      <c r="J16" s="24"/>
      <c r="K16" s="24"/>
      <c r="L16" s="24"/>
      <c r="M16" s="24"/>
      <c r="N16" s="24"/>
      <c r="O16" s="24"/>
      <c r="P16" s="31"/>
      <c r="Q16" s="24"/>
      <c r="R16" s="24"/>
      <c r="S16" s="24"/>
      <c r="T16" s="24"/>
      <c r="U16" s="24"/>
      <c r="V16" s="24"/>
      <c r="W16" s="31"/>
      <c r="X16" s="24"/>
      <c r="Y16" s="24"/>
      <c r="Z16" s="24"/>
      <c r="AA16" s="24"/>
      <c r="AB16" s="24"/>
      <c r="AC16" s="24"/>
      <c r="AD16" s="31"/>
      <c r="AE16" s="24"/>
      <c r="AF16" s="24"/>
      <c r="AG16" s="24"/>
      <c r="AH16" s="24"/>
      <c r="AI16" s="24"/>
      <c r="AJ16" s="23"/>
      <c r="AK16" s="31"/>
      <c r="AL16" s="24"/>
      <c r="AM16" s="24"/>
      <c r="AN16" s="24"/>
      <c r="AO16" s="24"/>
      <c r="AP16" s="24"/>
      <c r="AQ16" s="23"/>
      <c r="AR16" s="24"/>
      <c r="AS16" s="16" t="s">
        <v>508</v>
      </c>
      <c r="AT16" s="8"/>
      <c r="AU16" s="8"/>
      <c r="AV16" s="8"/>
      <c r="AW16" s="8"/>
      <c r="AX16" s="24"/>
      <c r="AY16" s="24"/>
      <c r="AZ16" s="24"/>
      <c r="BA16" s="24"/>
      <c r="BB16" s="24"/>
      <c r="BC16" s="24"/>
      <c r="BD16" s="24"/>
      <c r="BE16" s="24"/>
      <c r="BF16" s="24"/>
      <c r="BG16" s="24"/>
      <c r="BH16" s="31"/>
      <c r="BI16" s="24"/>
      <c r="BJ16" s="24"/>
      <c r="BK16" s="24"/>
      <c r="BL16" s="23"/>
      <c r="BM16" s="13"/>
    </row>
    <row r="17" spans="1:65" s="11" customFormat="1">
      <c r="A17" s="28"/>
      <c r="B17" s="31"/>
      <c r="C17" s="24"/>
      <c r="D17" s="24"/>
      <c r="E17" s="24"/>
      <c r="F17" s="24"/>
      <c r="G17" s="24"/>
      <c r="H17" s="24"/>
      <c r="I17" s="31"/>
      <c r="J17" s="24"/>
      <c r="K17" s="24"/>
      <c r="L17" s="24"/>
      <c r="M17" s="24"/>
      <c r="N17" s="24"/>
      <c r="O17" s="24"/>
      <c r="P17" s="31"/>
      <c r="Q17" s="24"/>
      <c r="R17" s="24"/>
      <c r="S17" s="24"/>
      <c r="T17" s="24"/>
      <c r="U17" s="24"/>
      <c r="V17" s="24"/>
      <c r="W17" s="31"/>
      <c r="X17" s="24"/>
      <c r="Y17" s="24"/>
      <c r="Z17" s="24"/>
      <c r="AA17" s="24"/>
      <c r="AB17" s="24"/>
      <c r="AC17" s="24"/>
      <c r="AD17" s="31"/>
      <c r="AE17" s="24"/>
      <c r="AF17" s="24"/>
      <c r="AG17" s="24"/>
      <c r="AH17" s="24"/>
      <c r="AI17" s="24"/>
      <c r="AJ17" s="23"/>
      <c r="AK17" s="31"/>
      <c r="AL17" s="24"/>
      <c r="AM17" s="24"/>
      <c r="AN17" s="24"/>
      <c r="AO17" s="24"/>
      <c r="AP17" s="24"/>
      <c r="AQ17" s="23"/>
      <c r="AR17" s="24"/>
      <c r="AS17" s="8"/>
      <c r="AT17" s="69" t="s">
        <v>509</v>
      </c>
      <c r="AU17" s="8"/>
      <c r="AV17" s="8"/>
      <c r="AW17" s="8"/>
      <c r="AX17" s="24"/>
      <c r="AY17" s="24"/>
      <c r="AZ17" s="24"/>
      <c r="BA17" s="24"/>
      <c r="BB17" s="24"/>
      <c r="BC17" s="24"/>
      <c r="BD17" s="24"/>
      <c r="BE17" s="24"/>
      <c r="BF17" s="24"/>
      <c r="BG17" s="24"/>
      <c r="BH17" s="31"/>
      <c r="BI17" s="24"/>
      <c r="BJ17" s="24"/>
      <c r="BK17" s="24"/>
      <c r="BL17" s="23"/>
      <c r="BM17" s="13"/>
    </row>
    <row r="18" spans="1:65" s="11" customFormat="1">
      <c r="A18" s="28"/>
      <c r="B18" s="31"/>
      <c r="C18" s="24"/>
      <c r="D18" s="24"/>
      <c r="E18" s="24"/>
      <c r="F18" s="24"/>
      <c r="G18" s="24"/>
      <c r="H18" s="24"/>
      <c r="I18" s="31"/>
      <c r="J18" s="24"/>
      <c r="K18" s="24"/>
      <c r="L18" s="24"/>
      <c r="M18" s="24"/>
      <c r="N18" s="24"/>
      <c r="O18" s="24"/>
      <c r="P18" s="31"/>
      <c r="Q18" s="24"/>
      <c r="R18" s="24"/>
      <c r="S18" s="24"/>
      <c r="T18" s="24"/>
      <c r="U18" s="24"/>
      <c r="V18" s="24"/>
      <c r="W18" s="31"/>
      <c r="X18" s="24"/>
      <c r="Y18" s="24"/>
      <c r="Z18" s="24"/>
      <c r="AA18" s="24"/>
      <c r="AB18" s="24"/>
      <c r="AC18" s="24"/>
      <c r="AD18" s="31"/>
      <c r="AE18" s="24"/>
      <c r="AF18" s="24"/>
      <c r="AG18" s="24"/>
      <c r="AH18" s="24"/>
      <c r="AI18" s="24"/>
      <c r="AJ18" s="23"/>
      <c r="AK18" s="31"/>
      <c r="AL18" s="24"/>
      <c r="AM18" s="24"/>
      <c r="AN18" s="24"/>
      <c r="AO18" s="24"/>
      <c r="AP18" s="24"/>
      <c r="AQ18" s="23"/>
      <c r="AR18" s="24"/>
      <c r="AS18" s="8"/>
      <c r="AT18" s="69" t="s">
        <v>510</v>
      </c>
      <c r="AU18" s="8"/>
      <c r="AV18" s="8"/>
      <c r="AW18" s="8"/>
      <c r="AX18" s="8"/>
      <c r="AY18" s="24"/>
      <c r="AZ18" s="24"/>
      <c r="BA18" s="24"/>
      <c r="BB18" s="24"/>
      <c r="BC18" s="24"/>
      <c r="BD18" s="24"/>
      <c r="BE18" s="24"/>
      <c r="BF18" s="24"/>
      <c r="BG18" s="24"/>
      <c r="BH18" s="31"/>
      <c r="BI18" s="24"/>
      <c r="BJ18" s="24"/>
      <c r="BK18" s="24"/>
      <c r="BL18" s="23"/>
      <c r="BM18" s="13"/>
    </row>
    <row r="19" spans="1:65" s="11" customFormat="1">
      <c r="A19" s="28"/>
      <c r="B19" s="31"/>
      <c r="C19" s="24"/>
      <c r="D19" s="24"/>
      <c r="E19" s="24"/>
      <c r="F19" s="24"/>
      <c r="G19" s="24"/>
      <c r="H19" s="24"/>
      <c r="I19" s="31"/>
      <c r="J19" s="24"/>
      <c r="K19" s="24"/>
      <c r="L19" s="24"/>
      <c r="M19" s="24"/>
      <c r="N19" s="24"/>
      <c r="O19" s="24"/>
      <c r="P19" s="31"/>
      <c r="Q19" s="24"/>
      <c r="R19" s="24"/>
      <c r="S19" s="24"/>
      <c r="T19" s="24"/>
      <c r="U19" s="24"/>
      <c r="V19" s="24"/>
      <c r="W19" s="31"/>
      <c r="X19" s="24"/>
      <c r="Y19" s="24"/>
      <c r="Z19" s="24"/>
      <c r="AA19" s="24"/>
      <c r="AB19" s="24"/>
      <c r="AC19" s="24"/>
      <c r="AD19" s="31"/>
      <c r="AE19" s="24"/>
      <c r="AF19" s="24"/>
      <c r="AG19" s="24"/>
      <c r="AH19" s="24"/>
      <c r="AI19" s="24"/>
      <c r="AJ19" s="23"/>
      <c r="AK19" s="31"/>
      <c r="AL19" s="24"/>
      <c r="AM19" s="24"/>
      <c r="AN19" s="24"/>
      <c r="AO19" s="24"/>
      <c r="AP19" s="24"/>
      <c r="AQ19" s="23"/>
      <c r="AR19" s="24"/>
      <c r="AS19" s="16"/>
      <c r="AT19" s="69" t="s">
        <v>511</v>
      </c>
      <c r="AU19" s="8"/>
      <c r="AV19" s="8"/>
      <c r="AW19" s="8"/>
      <c r="AX19" s="8"/>
      <c r="AY19" s="24"/>
      <c r="AZ19" s="24"/>
      <c r="BA19" s="24"/>
      <c r="BB19" s="24"/>
      <c r="BC19" s="24"/>
      <c r="BD19" s="24"/>
      <c r="BE19" s="24"/>
      <c r="BF19" s="24"/>
      <c r="BG19" s="24"/>
      <c r="BH19" s="31"/>
      <c r="BI19" s="24"/>
      <c r="BJ19" s="24"/>
      <c r="BK19" s="24"/>
      <c r="BL19" s="23"/>
      <c r="BM19" s="13"/>
    </row>
    <row r="20" spans="1:65" s="11" customFormat="1">
      <c r="A20" s="28"/>
      <c r="B20" s="31"/>
      <c r="C20" s="24"/>
      <c r="D20" s="24"/>
      <c r="E20" s="24"/>
      <c r="F20" s="24"/>
      <c r="G20" s="24"/>
      <c r="H20" s="24"/>
      <c r="I20" s="31"/>
      <c r="J20" s="24"/>
      <c r="K20" s="24"/>
      <c r="L20" s="24"/>
      <c r="M20" s="24"/>
      <c r="N20" s="24"/>
      <c r="O20" s="24"/>
      <c r="P20" s="31"/>
      <c r="Q20" s="24"/>
      <c r="R20" s="24"/>
      <c r="S20" s="24"/>
      <c r="T20" s="24"/>
      <c r="U20" s="24"/>
      <c r="V20" s="24"/>
      <c r="W20" s="31"/>
      <c r="X20" s="24"/>
      <c r="Y20" s="24"/>
      <c r="Z20" s="24"/>
      <c r="AA20" s="24"/>
      <c r="AB20" s="24"/>
      <c r="AC20" s="24"/>
      <c r="AD20" s="31"/>
      <c r="AE20" s="24"/>
      <c r="AF20" s="24"/>
      <c r="AG20" s="24"/>
      <c r="AH20" s="24"/>
      <c r="AI20" s="24"/>
      <c r="AJ20" s="23"/>
      <c r="AK20" s="31"/>
      <c r="AL20" s="24"/>
      <c r="AM20" s="24"/>
      <c r="AN20" s="24"/>
      <c r="AO20" s="24"/>
      <c r="AP20" s="24"/>
      <c r="AQ20" s="23"/>
      <c r="AR20" s="24"/>
      <c r="AS20" s="8"/>
      <c r="AT20" s="69" t="s">
        <v>512</v>
      </c>
      <c r="AU20" s="8"/>
      <c r="AV20" s="8"/>
      <c r="AW20" s="8"/>
      <c r="AX20" s="8"/>
      <c r="AY20" s="24"/>
      <c r="AZ20" s="24"/>
      <c r="BA20" s="24"/>
      <c r="BB20" s="24"/>
      <c r="BC20" s="24"/>
      <c r="BD20" s="24"/>
      <c r="BE20" s="24"/>
      <c r="BF20" s="24"/>
      <c r="BG20" s="24"/>
      <c r="BH20" s="31"/>
      <c r="BI20" s="24"/>
      <c r="BJ20" s="24"/>
      <c r="BK20" s="24"/>
      <c r="BL20" s="23"/>
      <c r="BM20" s="13"/>
    </row>
    <row r="21" spans="1:65" s="11" customFormat="1">
      <c r="A21" s="28"/>
      <c r="B21" s="31"/>
      <c r="C21" s="24"/>
      <c r="D21" s="24"/>
      <c r="E21" s="24"/>
      <c r="F21" s="24"/>
      <c r="G21" s="24"/>
      <c r="H21" s="24"/>
      <c r="I21" s="31"/>
      <c r="J21" s="24"/>
      <c r="K21" s="24"/>
      <c r="L21" s="24"/>
      <c r="M21" s="24"/>
      <c r="N21" s="24"/>
      <c r="O21" s="24"/>
      <c r="P21" s="31"/>
      <c r="Q21" s="24"/>
      <c r="R21" s="24"/>
      <c r="S21" s="24"/>
      <c r="T21" s="24"/>
      <c r="U21" s="24"/>
      <c r="V21" s="24"/>
      <c r="W21" s="31"/>
      <c r="X21" s="24"/>
      <c r="Y21" s="24"/>
      <c r="Z21" s="24"/>
      <c r="AA21" s="24"/>
      <c r="AB21" s="24"/>
      <c r="AC21" s="24"/>
      <c r="AD21" s="31"/>
      <c r="AE21" s="24"/>
      <c r="AF21" s="24"/>
      <c r="AG21" s="24"/>
      <c r="AH21" s="24"/>
      <c r="AI21" s="24"/>
      <c r="AJ21" s="23"/>
      <c r="AK21" s="31"/>
      <c r="AL21" s="24"/>
      <c r="AM21" s="24"/>
      <c r="AN21" s="24"/>
      <c r="AO21" s="24"/>
      <c r="AP21" s="24"/>
      <c r="AQ21" s="23"/>
      <c r="AR21" s="24"/>
      <c r="AS21" s="8"/>
      <c r="AT21" s="69" t="s">
        <v>513</v>
      </c>
      <c r="AU21" s="8"/>
      <c r="AV21" s="8"/>
      <c r="AW21" s="8"/>
      <c r="AX21" s="8"/>
      <c r="AY21" s="24"/>
      <c r="AZ21" s="24"/>
      <c r="BA21" s="24"/>
      <c r="BB21" s="24"/>
      <c r="BC21" s="24"/>
      <c r="BD21" s="24"/>
      <c r="BE21" s="24"/>
      <c r="BF21" s="24"/>
      <c r="BG21" s="24"/>
      <c r="BH21" s="31"/>
      <c r="BI21" s="24"/>
      <c r="BJ21" s="24"/>
      <c r="BK21" s="24"/>
      <c r="BL21" s="23"/>
      <c r="BM21" s="13"/>
    </row>
    <row r="22" spans="1:65" s="11" customFormat="1">
      <c r="A22" s="28"/>
      <c r="B22" s="31"/>
      <c r="C22" s="24"/>
      <c r="D22" s="24"/>
      <c r="E22" s="24"/>
      <c r="F22" s="24"/>
      <c r="G22" s="24"/>
      <c r="H22" s="24"/>
      <c r="I22" s="31"/>
      <c r="J22" s="24"/>
      <c r="K22" s="24"/>
      <c r="L22" s="24"/>
      <c r="M22" s="24"/>
      <c r="N22" s="24"/>
      <c r="O22" s="24"/>
      <c r="P22" s="31"/>
      <c r="Q22" s="24"/>
      <c r="R22" s="24"/>
      <c r="S22" s="24"/>
      <c r="T22" s="24"/>
      <c r="U22" s="24"/>
      <c r="V22" s="24"/>
      <c r="W22" s="31"/>
      <c r="X22" s="24"/>
      <c r="Y22" s="24"/>
      <c r="Z22" s="24"/>
      <c r="AA22" s="24"/>
      <c r="AB22" s="24"/>
      <c r="AC22" s="24"/>
      <c r="AD22" s="31"/>
      <c r="AE22" s="24"/>
      <c r="AF22" s="24"/>
      <c r="AG22" s="24"/>
      <c r="AH22" s="24"/>
      <c r="AI22" s="24"/>
      <c r="AJ22" s="23"/>
      <c r="AK22" s="31"/>
      <c r="AL22" s="24"/>
      <c r="AM22" s="24"/>
      <c r="AN22" s="24"/>
      <c r="AO22" s="24"/>
      <c r="AP22" s="24"/>
      <c r="AQ22" s="23"/>
      <c r="AR22" s="24"/>
      <c r="AS22" s="8"/>
      <c r="AT22" s="69" t="s">
        <v>514</v>
      </c>
      <c r="AU22" s="8"/>
      <c r="AV22" s="8"/>
      <c r="AW22" s="8"/>
      <c r="AX22" s="24"/>
      <c r="AY22" s="24"/>
      <c r="AZ22" s="24"/>
      <c r="BA22" s="24"/>
      <c r="BB22" s="24"/>
      <c r="BC22" s="24"/>
      <c r="BD22" s="24"/>
      <c r="BE22" s="24"/>
      <c r="BF22" s="24"/>
      <c r="BG22" s="24"/>
      <c r="BH22" s="31"/>
      <c r="BI22" s="24"/>
      <c r="BJ22" s="24"/>
      <c r="BK22" s="24"/>
      <c r="BL22" s="23"/>
      <c r="BM22" s="13"/>
    </row>
    <row r="23" spans="1:65" s="11" customFormat="1">
      <c r="A23" s="28"/>
      <c r="B23" s="31"/>
      <c r="C23" s="24"/>
      <c r="D23" s="24"/>
      <c r="E23" s="24"/>
      <c r="F23" s="24"/>
      <c r="G23" s="24"/>
      <c r="H23" s="24"/>
      <c r="I23" s="31"/>
      <c r="J23" s="24"/>
      <c r="K23" s="24"/>
      <c r="L23" s="24"/>
      <c r="M23" s="24"/>
      <c r="N23" s="24"/>
      <c r="O23" s="24"/>
      <c r="P23" s="31"/>
      <c r="Q23" s="24"/>
      <c r="R23" s="24"/>
      <c r="S23" s="24"/>
      <c r="T23" s="24"/>
      <c r="U23" s="24"/>
      <c r="V23" s="24"/>
      <c r="W23" s="31"/>
      <c r="X23" s="24"/>
      <c r="Y23" s="24"/>
      <c r="Z23" s="24"/>
      <c r="AA23" s="24"/>
      <c r="AB23" s="24"/>
      <c r="AC23" s="24"/>
      <c r="AD23" s="31"/>
      <c r="AE23" s="24"/>
      <c r="AF23" s="24"/>
      <c r="AG23" s="24"/>
      <c r="AH23" s="24"/>
      <c r="AI23" s="24"/>
      <c r="AJ23" s="23"/>
      <c r="AK23" s="31"/>
      <c r="AL23" s="24"/>
      <c r="AM23" s="24"/>
      <c r="AN23" s="24"/>
      <c r="AO23" s="24"/>
      <c r="AP23" s="24"/>
      <c r="AQ23" s="23"/>
      <c r="AR23" s="24"/>
      <c r="AS23" s="8"/>
      <c r="AT23" s="69" t="s">
        <v>515</v>
      </c>
      <c r="AU23" s="8"/>
      <c r="AV23" s="8"/>
      <c r="AW23" s="8"/>
      <c r="AX23" s="24"/>
      <c r="AY23" s="24"/>
      <c r="AZ23" s="24"/>
      <c r="BA23" s="24"/>
      <c r="BB23" s="24"/>
      <c r="BC23" s="24"/>
      <c r="BD23" s="24"/>
      <c r="BE23" s="24"/>
      <c r="BF23" s="24"/>
      <c r="BG23" s="24"/>
      <c r="BH23" s="31"/>
      <c r="BI23" s="24"/>
      <c r="BJ23" s="24"/>
      <c r="BK23" s="24"/>
      <c r="BL23" s="23"/>
      <c r="BM23" s="13"/>
    </row>
    <row r="24" spans="1:65" s="11" customFormat="1">
      <c r="A24" s="28"/>
      <c r="B24" s="31"/>
      <c r="C24" s="24"/>
      <c r="D24" s="24"/>
      <c r="E24" s="24"/>
      <c r="F24" s="24"/>
      <c r="G24" s="24"/>
      <c r="H24" s="24"/>
      <c r="I24" s="31"/>
      <c r="J24" s="24"/>
      <c r="K24" s="24"/>
      <c r="L24" s="24"/>
      <c r="M24" s="24"/>
      <c r="N24" s="24"/>
      <c r="O24" s="24"/>
      <c r="P24" s="31"/>
      <c r="Q24" s="24"/>
      <c r="R24" s="24"/>
      <c r="S24" s="24"/>
      <c r="T24" s="24"/>
      <c r="U24" s="24"/>
      <c r="V24" s="24"/>
      <c r="W24" s="31"/>
      <c r="X24" s="24"/>
      <c r="Y24" s="24"/>
      <c r="Z24" s="24"/>
      <c r="AA24" s="24"/>
      <c r="AB24" s="24"/>
      <c r="AC24" s="24"/>
      <c r="AD24" s="31"/>
      <c r="AE24" s="24"/>
      <c r="AF24" s="24"/>
      <c r="AG24" s="24"/>
      <c r="AH24" s="24"/>
      <c r="AI24" s="24"/>
      <c r="AJ24" s="23"/>
      <c r="AK24" s="31"/>
      <c r="AL24" s="24"/>
      <c r="AM24" s="24"/>
      <c r="AN24" s="24"/>
      <c r="AO24" s="24"/>
      <c r="AP24" s="24"/>
      <c r="AQ24" s="23"/>
      <c r="AR24" s="24"/>
      <c r="AT24" s="69" t="s">
        <v>138</v>
      </c>
      <c r="AU24" s="69" t="s">
        <v>516</v>
      </c>
      <c r="AW24" s="8"/>
      <c r="AX24" s="24"/>
      <c r="AY24" s="24"/>
      <c r="AZ24" s="24"/>
      <c r="BA24" s="24"/>
      <c r="BB24" s="24"/>
      <c r="BC24" s="24"/>
      <c r="BD24" s="24"/>
      <c r="BE24" s="24"/>
      <c r="BF24" s="24"/>
      <c r="BG24" s="24"/>
      <c r="BH24" s="31"/>
      <c r="BI24" s="24"/>
      <c r="BJ24" s="24"/>
      <c r="BK24" s="24"/>
      <c r="BL24" s="23"/>
      <c r="BM24" s="13"/>
    </row>
    <row r="25" spans="1:65" s="11" customFormat="1">
      <c r="A25" s="28"/>
      <c r="B25" s="31"/>
      <c r="C25" s="24"/>
      <c r="D25" s="24"/>
      <c r="E25" s="24"/>
      <c r="F25" s="24"/>
      <c r="G25" s="24"/>
      <c r="H25" s="24"/>
      <c r="I25" s="31"/>
      <c r="J25" s="24"/>
      <c r="K25" s="24"/>
      <c r="L25" s="24"/>
      <c r="M25" s="24"/>
      <c r="N25" s="24"/>
      <c r="O25" s="24"/>
      <c r="P25" s="31"/>
      <c r="Q25" s="24"/>
      <c r="R25" s="24"/>
      <c r="S25" s="24"/>
      <c r="T25" s="24"/>
      <c r="U25" s="24"/>
      <c r="V25" s="24"/>
      <c r="W25" s="31"/>
      <c r="X25" s="24"/>
      <c r="Y25" s="24"/>
      <c r="Z25" s="24"/>
      <c r="AA25" s="24"/>
      <c r="AB25" s="24"/>
      <c r="AC25" s="24"/>
      <c r="AD25" s="31"/>
      <c r="AE25" s="24"/>
      <c r="AF25" s="24"/>
      <c r="AG25" s="24"/>
      <c r="AH25" s="24"/>
      <c r="AI25" s="24"/>
      <c r="AJ25" s="23"/>
      <c r="AK25" s="31"/>
      <c r="AL25" s="24"/>
      <c r="AM25" s="24"/>
      <c r="AN25" s="24"/>
      <c r="AO25" s="24"/>
      <c r="AP25" s="24"/>
      <c r="AQ25" s="23"/>
      <c r="AR25" s="24"/>
      <c r="AT25" s="69"/>
      <c r="AU25" s="69" t="s">
        <v>517</v>
      </c>
      <c r="AW25" s="8"/>
      <c r="AX25" s="24"/>
      <c r="AY25" s="24"/>
      <c r="AZ25" s="24"/>
      <c r="BA25" s="24"/>
      <c r="BB25" s="24"/>
      <c r="BC25" s="24"/>
      <c r="BD25" s="24"/>
      <c r="BE25" s="24"/>
      <c r="BF25" s="24"/>
      <c r="BG25" s="24"/>
      <c r="BH25" s="31"/>
      <c r="BI25" s="24"/>
      <c r="BJ25" s="24"/>
      <c r="BK25" s="24"/>
      <c r="BL25" s="23"/>
      <c r="BM25" s="13"/>
    </row>
    <row r="26" spans="1:65" s="11" customFormat="1">
      <c r="A26" s="28"/>
      <c r="B26" s="31"/>
      <c r="C26" s="24"/>
      <c r="D26" s="24"/>
      <c r="E26" s="24"/>
      <c r="F26" s="24"/>
      <c r="G26" s="24"/>
      <c r="H26" s="24"/>
      <c r="I26" s="31"/>
      <c r="J26" s="24"/>
      <c r="K26" s="24"/>
      <c r="L26" s="24"/>
      <c r="M26" s="24"/>
      <c r="N26" s="24"/>
      <c r="O26" s="24"/>
      <c r="P26" s="31"/>
      <c r="Q26" s="24"/>
      <c r="R26" s="24"/>
      <c r="S26" s="24"/>
      <c r="T26" s="24"/>
      <c r="U26" s="24"/>
      <c r="V26" s="24"/>
      <c r="W26" s="31"/>
      <c r="X26" s="24"/>
      <c r="Y26" s="24"/>
      <c r="Z26" s="24"/>
      <c r="AA26" s="24"/>
      <c r="AB26" s="24"/>
      <c r="AC26" s="24"/>
      <c r="AD26" s="31"/>
      <c r="AE26" s="24"/>
      <c r="AF26" s="24"/>
      <c r="AG26" s="24"/>
      <c r="AH26" s="24"/>
      <c r="AI26" s="24"/>
      <c r="AJ26" s="23"/>
      <c r="AK26" s="31"/>
      <c r="AL26" s="24"/>
      <c r="AM26" s="24"/>
      <c r="AN26" s="24"/>
      <c r="AO26" s="24"/>
      <c r="AP26" s="24"/>
      <c r="AQ26" s="23"/>
      <c r="AR26" s="24"/>
      <c r="AS26" s="8"/>
      <c r="AT26" s="8"/>
      <c r="AU26" s="8"/>
      <c r="AV26" s="8"/>
      <c r="AW26" s="8"/>
      <c r="AX26" s="24"/>
      <c r="AY26" s="24"/>
      <c r="AZ26" s="24"/>
      <c r="BA26" s="24"/>
      <c r="BB26" s="24"/>
      <c r="BC26" s="24"/>
      <c r="BD26" s="24"/>
      <c r="BE26" s="24"/>
      <c r="BF26" s="24"/>
      <c r="BG26" s="24"/>
      <c r="BH26" s="31"/>
      <c r="BI26" s="24"/>
      <c r="BJ26" s="24"/>
      <c r="BK26" s="24"/>
      <c r="BL26" s="23"/>
      <c r="BM26" s="13"/>
    </row>
    <row r="27" spans="1:65" s="11" customFormat="1">
      <c r="A27" s="28"/>
      <c r="B27" s="31"/>
      <c r="C27" s="24"/>
      <c r="D27" s="24"/>
      <c r="E27" s="24"/>
      <c r="F27" s="24"/>
      <c r="G27" s="24"/>
      <c r="H27" s="24"/>
      <c r="I27" s="31"/>
      <c r="J27" s="24"/>
      <c r="K27" s="24"/>
      <c r="L27" s="24"/>
      <c r="M27" s="24"/>
      <c r="N27" s="24"/>
      <c r="O27" s="24"/>
      <c r="P27" s="31"/>
      <c r="Q27" s="24"/>
      <c r="R27" s="24"/>
      <c r="S27" s="24"/>
      <c r="T27" s="24"/>
      <c r="U27" s="24"/>
      <c r="V27" s="24"/>
      <c r="W27" s="31"/>
      <c r="X27" s="24"/>
      <c r="Y27" s="24"/>
      <c r="Z27" s="24"/>
      <c r="AA27" s="24"/>
      <c r="AB27" s="24"/>
      <c r="AC27" s="24"/>
      <c r="AD27" s="31"/>
      <c r="AE27" s="24"/>
      <c r="AF27" s="24"/>
      <c r="AG27" s="24"/>
      <c r="AH27" s="24"/>
      <c r="AI27" s="24"/>
      <c r="AJ27" s="23"/>
      <c r="AK27" s="31"/>
      <c r="AL27" s="24"/>
      <c r="AM27" s="24"/>
      <c r="AN27" s="24"/>
      <c r="AO27" s="24"/>
      <c r="AP27" s="24"/>
      <c r="AQ27" s="23"/>
      <c r="AR27" s="24"/>
      <c r="AS27" s="8"/>
      <c r="AT27" s="8"/>
      <c r="AU27" s="8"/>
      <c r="AV27" s="8"/>
      <c r="AW27" s="8"/>
      <c r="AX27" s="24"/>
      <c r="AY27" s="24"/>
      <c r="AZ27" s="24"/>
      <c r="BA27" s="24"/>
      <c r="BB27" s="24"/>
      <c r="BC27" s="24"/>
      <c r="BD27" s="24"/>
      <c r="BE27" s="24"/>
      <c r="BF27" s="24"/>
      <c r="BG27" s="24"/>
      <c r="BH27" s="31"/>
      <c r="BI27" s="24"/>
      <c r="BJ27" s="24"/>
      <c r="BK27" s="24"/>
      <c r="BL27" s="23"/>
      <c r="BM27" s="13"/>
    </row>
    <row r="28" spans="1:65" s="11" customFormat="1">
      <c r="A28" s="28"/>
      <c r="B28" s="31"/>
      <c r="C28" s="24"/>
      <c r="D28" s="24"/>
      <c r="E28" s="24"/>
      <c r="F28" s="24"/>
      <c r="G28" s="24"/>
      <c r="H28" s="24"/>
      <c r="I28" s="31"/>
      <c r="J28" s="24"/>
      <c r="K28" s="24"/>
      <c r="L28" s="24"/>
      <c r="M28" s="24"/>
      <c r="N28" s="24"/>
      <c r="O28" s="24"/>
      <c r="P28" s="31"/>
      <c r="Q28" s="24"/>
      <c r="R28" s="24"/>
      <c r="S28" s="24"/>
      <c r="T28" s="24"/>
      <c r="U28" s="24"/>
      <c r="V28" s="24"/>
      <c r="W28" s="31"/>
      <c r="X28" s="24"/>
      <c r="Y28" s="24"/>
      <c r="Z28" s="24"/>
      <c r="AA28" s="24"/>
      <c r="AB28" s="24"/>
      <c r="AC28" s="24"/>
      <c r="AD28" s="31"/>
      <c r="AE28" s="24"/>
      <c r="AF28" s="24"/>
      <c r="AG28" s="24"/>
      <c r="AH28" s="24"/>
      <c r="AI28" s="24"/>
      <c r="AJ28" s="23"/>
      <c r="AK28" s="31"/>
      <c r="AL28" s="24"/>
      <c r="AM28" s="24"/>
      <c r="AN28" s="24"/>
      <c r="AO28" s="24"/>
      <c r="AP28" s="24"/>
      <c r="AQ28" s="23"/>
      <c r="AR28" s="24"/>
      <c r="AS28" s="16" t="s">
        <v>518</v>
      </c>
      <c r="AT28" s="8"/>
      <c r="AU28" s="8"/>
      <c r="AV28" s="8"/>
      <c r="AW28" s="8"/>
      <c r="AX28" s="8"/>
      <c r="AY28" s="24"/>
      <c r="AZ28" s="24"/>
      <c r="BA28" s="24"/>
      <c r="BB28" s="24"/>
      <c r="BC28" s="24"/>
      <c r="BD28" s="24"/>
      <c r="BE28" s="24"/>
      <c r="BF28" s="24"/>
      <c r="BG28" s="24"/>
      <c r="BH28" s="31"/>
      <c r="BI28" s="24"/>
      <c r="BJ28" s="24"/>
      <c r="BK28" s="24"/>
      <c r="BL28" s="23"/>
      <c r="BM28" s="13"/>
    </row>
    <row r="29" spans="1:65" ht="13.5" customHeight="1">
      <c r="A29" s="27"/>
      <c r="B29" s="27"/>
      <c r="I29" s="27"/>
      <c r="P29" s="27"/>
      <c r="W29" s="27"/>
      <c r="AD29" s="27"/>
      <c r="AJ29" s="14"/>
      <c r="AK29" s="27"/>
      <c r="AQ29" s="14"/>
      <c r="AT29" s="8" t="s">
        <v>519</v>
      </c>
      <c r="BH29" s="27"/>
      <c r="BL29" s="14"/>
      <c r="BM29" s="14"/>
    </row>
    <row r="30" spans="1:65" ht="13.5" customHeight="1">
      <c r="A30" s="27"/>
      <c r="B30" s="27"/>
      <c r="I30" s="27"/>
      <c r="P30" s="27"/>
      <c r="W30" s="27"/>
      <c r="AD30" s="27"/>
      <c r="AJ30" s="14"/>
      <c r="AK30" s="27"/>
      <c r="AQ30" s="14"/>
      <c r="AT30" s="8" t="s">
        <v>520</v>
      </c>
      <c r="BH30" s="27"/>
      <c r="BL30" s="14"/>
      <c r="BM30" s="14"/>
    </row>
    <row r="31" spans="1:65" ht="13.5" customHeight="1">
      <c r="A31" s="27"/>
      <c r="B31" s="27"/>
      <c r="I31" s="27"/>
      <c r="P31" s="27"/>
      <c r="W31" s="27"/>
      <c r="AD31" s="27"/>
      <c r="AJ31" s="14"/>
      <c r="AK31" s="27"/>
      <c r="AQ31" s="14"/>
      <c r="AS31" s="16"/>
      <c r="AT31" s="69" t="s">
        <v>138</v>
      </c>
      <c r="AU31" s="69" t="s">
        <v>405</v>
      </c>
      <c r="AV31" s="69"/>
      <c r="AW31" s="69" t="s">
        <v>521</v>
      </c>
      <c r="AX31" s="69" t="s">
        <v>522</v>
      </c>
      <c r="BH31" s="27"/>
      <c r="BL31" s="14"/>
      <c r="BM31" s="14"/>
    </row>
    <row r="32" spans="1:65" ht="13.5" customHeight="1">
      <c r="A32" s="27"/>
      <c r="B32" s="27"/>
      <c r="I32" s="27"/>
      <c r="P32" s="27"/>
      <c r="W32" s="27"/>
      <c r="AD32" s="27"/>
      <c r="AJ32" s="14"/>
      <c r="AK32" s="27"/>
      <c r="AQ32" s="14"/>
      <c r="AS32" s="16"/>
      <c r="AT32" s="69"/>
      <c r="AU32" s="69" t="s">
        <v>407</v>
      </c>
      <c r="AV32" s="69"/>
      <c r="AW32" s="69" t="s">
        <v>521</v>
      </c>
      <c r="AX32" s="69" t="s">
        <v>523</v>
      </c>
      <c r="BH32" s="27"/>
      <c r="BL32" s="14"/>
      <c r="BM32" s="14"/>
    </row>
    <row r="33" spans="1:65" ht="13.5" customHeight="1">
      <c r="A33" s="27"/>
      <c r="B33" s="27"/>
      <c r="I33" s="27"/>
      <c r="P33" s="27"/>
      <c r="W33" s="27"/>
      <c r="AD33" s="27"/>
      <c r="AJ33" s="14"/>
      <c r="AK33" s="27"/>
      <c r="AQ33" s="14"/>
      <c r="AS33" s="16"/>
      <c r="AT33" s="69"/>
      <c r="AU33" s="69" t="s">
        <v>409</v>
      </c>
      <c r="AV33" s="69"/>
      <c r="AW33" s="69" t="s">
        <v>521</v>
      </c>
      <c r="AX33" s="69" t="s">
        <v>522</v>
      </c>
      <c r="BH33" s="27"/>
      <c r="BL33" s="14"/>
      <c r="BM33" s="14"/>
    </row>
    <row r="34" spans="1:65" ht="13.5" customHeight="1">
      <c r="A34" s="27"/>
      <c r="B34" s="27"/>
      <c r="I34" s="27"/>
      <c r="P34" s="27"/>
      <c r="W34" s="27"/>
      <c r="AD34" s="27"/>
      <c r="AJ34" s="14"/>
      <c r="AK34" s="27"/>
      <c r="AQ34" s="14"/>
      <c r="AS34" s="16"/>
      <c r="AT34" s="8" t="s">
        <v>138</v>
      </c>
      <c r="AU34" s="8" t="s">
        <v>524</v>
      </c>
      <c r="BH34" s="27"/>
      <c r="BL34" s="14"/>
      <c r="BM34" s="14"/>
    </row>
    <row r="35" spans="1:65" ht="13.5" customHeight="1">
      <c r="A35" s="27"/>
      <c r="B35" s="27"/>
      <c r="I35" s="27"/>
      <c r="P35" s="27"/>
      <c r="W35" s="27"/>
      <c r="AD35" s="27"/>
      <c r="AJ35" s="14"/>
      <c r="AK35" s="27"/>
      <c r="AQ35" s="14"/>
      <c r="AS35" s="16"/>
      <c r="AU35" s="8" t="s">
        <v>525</v>
      </c>
      <c r="BH35" s="27"/>
      <c r="BL35" s="14"/>
      <c r="BM35" s="14"/>
    </row>
    <row r="36" spans="1:65" ht="13.5" customHeight="1">
      <c r="A36" s="27"/>
      <c r="B36" s="27"/>
      <c r="I36" s="27"/>
      <c r="P36" s="27"/>
      <c r="W36" s="27"/>
      <c r="AD36" s="27"/>
      <c r="AJ36" s="14"/>
      <c r="AK36" s="27"/>
      <c r="AQ36" s="14"/>
      <c r="AS36" s="16"/>
      <c r="AU36" s="11" t="s">
        <v>526</v>
      </c>
      <c r="BH36" s="27"/>
      <c r="BL36" s="14"/>
      <c r="BM36" s="14"/>
    </row>
    <row r="37" spans="1:65" ht="13.5" customHeight="1">
      <c r="A37" s="27"/>
      <c r="B37" s="27"/>
      <c r="I37" s="27"/>
      <c r="P37" s="27"/>
      <c r="W37" s="27"/>
      <c r="AD37" s="27"/>
      <c r="AJ37" s="14"/>
      <c r="AK37" s="27"/>
      <c r="AQ37" s="14"/>
      <c r="AS37" s="16"/>
      <c r="AU37" s="11" t="s">
        <v>527</v>
      </c>
      <c r="BH37" s="27"/>
      <c r="BL37" s="14"/>
      <c r="BM37" s="14"/>
    </row>
    <row r="38" spans="1:65" ht="13.5" customHeight="1">
      <c r="A38" s="27"/>
      <c r="B38" s="27"/>
      <c r="I38" s="27"/>
      <c r="P38" s="27"/>
      <c r="W38" s="27"/>
      <c r="AD38" s="27"/>
      <c r="AJ38" s="14"/>
      <c r="AK38" s="27"/>
      <c r="AQ38" s="14"/>
      <c r="AS38" s="16"/>
      <c r="AU38" s="8" t="s">
        <v>528</v>
      </c>
      <c r="BH38" s="27"/>
      <c r="BL38" s="14"/>
      <c r="BM38" s="14"/>
    </row>
    <row r="39" spans="1:65" ht="13.5" customHeight="1">
      <c r="A39" s="27"/>
      <c r="B39" s="27"/>
      <c r="I39" s="27"/>
      <c r="P39" s="27"/>
      <c r="W39" s="27"/>
      <c r="AD39" s="27"/>
      <c r="AJ39" s="14"/>
      <c r="AK39" s="27"/>
      <c r="AQ39" s="14"/>
      <c r="AS39" s="16"/>
      <c r="BH39" s="27"/>
      <c r="BL39" s="14"/>
      <c r="BM39" s="14"/>
    </row>
    <row r="40" spans="1:65" ht="13.5" customHeight="1">
      <c r="A40" s="27"/>
      <c r="B40" s="27"/>
      <c r="I40" s="27"/>
      <c r="P40" s="27"/>
      <c r="W40" s="27"/>
      <c r="AD40" s="27"/>
      <c r="AJ40" s="14"/>
      <c r="AK40" s="27"/>
      <c r="AQ40" s="14"/>
      <c r="AS40" s="16"/>
      <c r="BH40" s="27"/>
      <c r="BL40" s="14"/>
      <c r="BM40" s="14"/>
    </row>
    <row r="41" spans="1:65" ht="13.5" customHeight="1">
      <c r="A41" s="27"/>
      <c r="B41" s="27"/>
      <c r="I41" s="27"/>
      <c r="P41" s="27"/>
      <c r="W41" s="27"/>
      <c r="AD41" s="27"/>
      <c r="AJ41" s="14"/>
      <c r="AK41" s="27"/>
      <c r="AQ41" s="14"/>
      <c r="AS41" s="16"/>
      <c r="BH41" s="27"/>
      <c r="BL41" s="14"/>
      <c r="BM41" s="14"/>
    </row>
    <row r="42" spans="1:65" ht="13.5" customHeight="1">
      <c r="A42" s="27"/>
      <c r="B42" s="27"/>
      <c r="I42" s="27"/>
      <c r="P42" s="27"/>
      <c r="W42" s="27"/>
      <c r="AD42" s="27"/>
      <c r="AJ42" s="14"/>
      <c r="AK42" s="27"/>
      <c r="AQ42" s="14"/>
      <c r="AS42" s="16"/>
      <c r="BH42" s="27"/>
      <c r="BL42" s="14"/>
      <c r="BM42" s="14"/>
    </row>
    <row r="43" spans="1:65" ht="13.5" customHeight="1">
      <c r="A43" s="27"/>
      <c r="B43" s="27"/>
      <c r="I43" s="27"/>
      <c r="P43" s="27"/>
      <c r="W43" s="27"/>
      <c r="AD43" s="27"/>
      <c r="AJ43" s="14"/>
      <c r="AK43" s="27"/>
      <c r="AQ43" s="14"/>
      <c r="AS43" s="16"/>
      <c r="BH43" s="27"/>
      <c r="BL43" s="14"/>
      <c r="BM43" s="14"/>
    </row>
    <row r="44" spans="1:65" ht="13.5" customHeight="1">
      <c r="A44" s="27"/>
      <c r="B44" s="27"/>
      <c r="I44" s="27"/>
      <c r="P44" s="27"/>
      <c r="W44" s="27"/>
      <c r="AD44" s="27"/>
      <c r="AJ44" s="14"/>
      <c r="AK44" s="27"/>
      <c r="AQ44" s="14"/>
      <c r="AS44" s="16"/>
      <c r="BH44" s="27"/>
      <c r="BL44" s="14"/>
      <c r="BM44" s="14"/>
    </row>
    <row r="45" spans="1:65" ht="13.5" customHeight="1">
      <c r="A45" s="27"/>
      <c r="B45" s="27"/>
      <c r="I45" s="27"/>
      <c r="P45" s="27"/>
      <c r="W45" s="27"/>
      <c r="AD45" s="27"/>
      <c r="AJ45" s="14"/>
      <c r="AK45" s="27"/>
      <c r="AQ45" s="14"/>
      <c r="AS45" s="16"/>
      <c r="BH45" s="27"/>
      <c r="BL45" s="14"/>
      <c r="BM45" s="14"/>
    </row>
    <row r="46" spans="1:65" ht="13.5" customHeight="1">
      <c r="A46" s="27"/>
      <c r="B46" s="27"/>
      <c r="I46" s="27"/>
      <c r="P46" s="27"/>
      <c r="W46" s="27"/>
      <c r="AD46" s="27"/>
      <c r="AJ46" s="14"/>
      <c r="AK46" s="27"/>
      <c r="AQ46" s="14"/>
      <c r="AS46" s="16"/>
      <c r="BH46" s="27"/>
      <c r="BL46" s="14"/>
      <c r="BM46" s="14"/>
    </row>
    <row r="47" spans="1:65" ht="13.5" customHeight="1">
      <c r="A47" s="27"/>
      <c r="B47" s="27"/>
      <c r="I47" s="27"/>
      <c r="P47" s="27"/>
      <c r="W47" s="27"/>
      <c r="AD47" s="27"/>
      <c r="AJ47" s="14"/>
      <c r="AK47" s="27"/>
      <c r="AQ47" s="14"/>
      <c r="AS47" s="16"/>
      <c r="BH47" s="27"/>
      <c r="BL47" s="14"/>
      <c r="BM47" s="14"/>
    </row>
    <row r="48" spans="1:65" ht="13.5" customHeight="1">
      <c r="A48" s="27"/>
      <c r="B48" s="27"/>
      <c r="I48" s="27"/>
      <c r="P48" s="27"/>
      <c r="W48" s="27"/>
      <c r="AD48" s="27"/>
      <c r="AJ48" s="14"/>
      <c r="AK48" s="27"/>
      <c r="AQ48" s="14"/>
      <c r="AS48" s="16"/>
      <c r="BH48" s="27"/>
      <c r="BL48" s="14"/>
      <c r="BM48" s="14"/>
    </row>
    <row r="49" spans="1:65" ht="13.5" customHeight="1">
      <c r="A49" s="27"/>
      <c r="B49" s="27"/>
      <c r="I49" s="27"/>
      <c r="P49" s="27"/>
      <c r="W49" s="27"/>
      <c r="AD49" s="27"/>
      <c r="AJ49" s="14"/>
      <c r="AK49" s="27"/>
      <c r="AQ49" s="14"/>
      <c r="AS49" s="16"/>
      <c r="BH49" s="27"/>
      <c r="BL49" s="14"/>
      <c r="BM49" s="14"/>
    </row>
    <row r="50" spans="1:65" ht="13.5" customHeight="1">
      <c r="A50" s="27"/>
      <c r="B50" s="27"/>
      <c r="I50" s="27"/>
      <c r="P50" s="27"/>
      <c r="W50" s="27"/>
      <c r="AD50" s="27"/>
      <c r="AJ50" s="14"/>
      <c r="AK50" s="27"/>
      <c r="AQ50" s="14"/>
      <c r="AS50" s="16"/>
      <c r="BH50" s="27"/>
      <c r="BL50" s="14"/>
      <c r="BM50" s="14"/>
    </row>
    <row r="51" spans="1:65" ht="13.5" customHeight="1">
      <c r="A51" s="27"/>
      <c r="B51" s="27"/>
      <c r="I51" s="27"/>
      <c r="P51" s="27"/>
      <c r="W51" s="27"/>
      <c r="AD51" s="27"/>
      <c r="AJ51" s="14"/>
      <c r="AK51" s="27"/>
      <c r="AQ51" s="14"/>
      <c r="AS51" s="16"/>
      <c r="BH51" s="27"/>
      <c r="BL51" s="14"/>
      <c r="BM51" s="14"/>
    </row>
    <row r="52" spans="1:65" ht="13.5" customHeight="1">
      <c r="A52" s="27"/>
      <c r="B52" s="27"/>
      <c r="I52" s="27"/>
      <c r="P52" s="27"/>
      <c r="W52" s="27"/>
      <c r="AD52" s="27"/>
      <c r="AJ52" s="14"/>
      <c r="AK52" s="27"/>
      <c r="AQ52" s="14"/>
      <c r="AS52" s="16"/>
      <c r="BH52" s="27"/>
      <c r="BL52" s="14"/>
      <c r="BM52" s="14"/>
    </row>
    <row r="53" spans="1:65" ht="13.5" customHeight="1">
      <c r="A53" s="27"/>
      <c r="B53" s="27"/>
      <c r="I53" s="27"/>
      <c r="P53" s="27"/>
      <c r="W53" s="27"/>
      <c r="AD53" s="27"/>
      <c r="AJ53" s="14"/>
      <c r="AK53" s="27"/>
      <c r="AQ53" s="14"/>
      <c r="AS53" s="16"/>
      <c r="BH53" s="27"/>
      <c r="BL53" s="14"/>
      <c r="BM53" s="14"/>
    </row>
    <row r="54" spans="1:65" ht="13.5" customHeight="1">
      <c r="A54" s="27"/>
      <c r="B54" s="27"/>
      <c r="I54" s="27"/>
      <c r="P54" s="27"/>
      <c r="W54" s="27"/>
      <c r="AD54" s="27"/>
      <c r="AJ54" s="14"/>
      <c r="AK54" s="27"/>
      <c r="AQ54" s="14"/>
      <c r="AS54" s="16"/>
      <c r="BH54" s="27"/>
      <c r="BL54" s="14"/>
      <c r="BM54" s="14"/>
    </row>
    <row r="55" spans="1:65" ht="13.5" customHeight="1">
      <c r="A55" s="27"/>
      <c r="B55" s="27"/>
      <c r="I55" s="27"/>
      <c r="P55" s="27"/>
      <c r="W55" s="27"/>
      <c r="AD55" s="27"/>
      <c r="AJ55" s="14"/>
      <c r="AK55" s="27"/>
      <c r="AQ55" s="14"/>
      <c r="AS55" s="16"/>
      <c r="BH55" s="27"/>
      <c r="BL55" s="14"/>
      <c r="BM55" s="14"/>
    </row>
    <row r="56" spans="1:65" ht="13.5" customHeight="1">
      <c r="A56" s="27"/>
      <c r="B56" s="27"/>
      <c r="I56" s="27"/>
      <c r="P56" s="27"/>
      <c r="W56" s="27"/>
      <c r="AD56" s="27"/>
      <c r="AJ56" s="14"/>
      <c r="AK56" s="27"/>
      <c r="AQ56" s="14"/>
      <c r="AS56" s="16"/>
      <c r="BH56" s="27"/>
      <c r="BL56" s="14"/>
      <c r="BM56" s="14"/>
    </row>
    <row r="57" spans="1:65" ht="13.5" customHeight="1">
      <c r="A57" s="27"/>
      <c r="B57" s="27"/>
      <c r="I57" s="27"/>
      <c r="P57" s="27"/>
      <c r="W57" s="27"/>
      <c r="AD57" s="27"/>
      <c r="AJ57" s="14"/>
      <c r="AK57" s="27"/>
      <c r="AQ57" s="14"/>
      <c r="AS57" s="16"/>
      <c r="BH57" s="27"/>
      <c r="BL57" s="14"/>
      <c r="BM57" s="14"/>
    </row>
    <row r="58" spans="1:65" ht="13.5" customHeight="1">
      <c r="A58" s="27"/>
      <c r="B58" s="27"/>
      <c r="I58" s="27"/>
      <c r="P58" s="27"/>
      <c r="W58" s="27"/>
      <c r="AD58" s="27"/>
      <c r="AJ58" s="14"/>
      <c r="AK58" s="27"/>
      <c r="AQ58" s="14"/>
      <c r="AS58" s="16" t="s">
        <v>529</v>
      </c>
      <c r="BH58" s="27"/>
      <c r="BL58" s="14"/>
      <c r="BM58" s="14"/>
    </row>
    <row r="59" spans="1:65" ht="13.5" customHeight="1">
      <c r="A59" s="27"/>
      <c r="B59" s="27"/>
      <c r="I59" s="27"/>
      <c r="P59" s="27"/>
      <c r="W59" s="27"/>
      <c r="AD59" s="27"/>
      <c r="AJ59" s="14"/>
      <c r="AK59" s="27"/>
      <c r="AQ59" s="14"/>
      <c r="AT59" s="8" t="s">
        <v>530</v>
      </c>
      <c r="BH59" s="27"/>
      <c r="BL59" s="14"/>
      <c r="BM59" s="14"/>
    </row>
    <row r="60" spans="1:65" ht="13.5" customHeight="1">
      <c r="A60" s="27"/>
      <c r="B60" s="27"/>
      <c r="I60" s="27"/>
      <c r="P60" s="27"/>
      <c r="W60" s="27"/>
      <c r="AD60" s="27"/>
      <c r="AJ60" s="14"/>
      <c r="AK60" s="27"/>
      <c r="AQ60" s="14"/>
      <c r="AT60" s="8" t="s">
        <v>531</v>
      </c>
      <c r="BH60" s="27"/>
      <c r="BL60" s="14"/>
      <c r="BM60" s="14"/>
    </row>
    <row r="61" spans="1:65" ht="13.5" customHeight="1">
      <c r="A61" s="27"/>
      <c r="B61" s="27"/>
      <c r="I61" s="27"/>
      <c r="P61" s="27"/>
      <c r="W61" s="27"/>
      <c r="AD61" s="27"/>
      <c r="AJ61" s="14"/>
      <c r="AK61" s="27"/>
      <c r="AQ61" s="14"/>
      <c r="AS61" s="16"/>
      <c r="AT61" s="8" t="s">
        <v>225</v>
      </c>
      <c r="AU61" s="8" t="s">
        <v>532</v>
      </c>
      <c r="BH61" s="27"/>
      <c r="BL61" s="14"/>
      <c r="BM61" s="14"/>
    </row>
    <row r="62" spans="1:65" ht="13.5" customHeight="1">
      <c r="A62" s="27"/>
      <c r="B62" s="27"/>
      <c r="I62" s="27"/>
      <c r="P62" s="27"/>
      <c r="W62" s="27"/>
      <c r="AD62" s="27"/>
      <c r="AJ62" s="14"/>
      <c r="AK62" s="27"/>
      <c r="AQ62" s="14"/>
      <c r="AS62" s="16"/>
      <c r="AU62" s="8" t="s">
        <v>533</v>
      </c>
      <c r="BH62" s="27"/>
      <c r="BL62" s="14"/>
      <c r="BM62" s="14"/>
    </row>
    <row r="63" spans="1:65" ht="13.5" customHeight="1">
      <c r="A63" s="27"/>
      <c r="B63" s="27"/>
      <c r="I63" s="27"/>
      <c r="P63" s="27"/>
      <c r="W63" s="27"/>
      <c r="AD63" s="27"/>
      <c r="AJ63" s="14"/>
      <c r="AK63" s="27"/>
      <c r="AQ63" s="14"/>
      <c r="AS63" s="16"/>
      <c r="AV63" s="69"/>
      <c r="BH63" s="27"/>
      <c r="BL63" s="14"/>
      <c r="BM63" s="14"/>
    </row>
    <row r="64" spans="1:65" ht="13.5" customHeight="1">
      <c r="A64" s="27"/>
      <c r="B64" s="27"/>
      <c r="I64" s="27"/>
      <c r="P64" s="27"/>
      <c r="W64" s="27"/>
      <c r="AD64" s="27"/>
      <c r="AJ64" s="14"/>
      <c r="AK64" s="27"/>
      <c r="AQ64" s="14"/>
      <c r="AS64" s="16"/>
      <c r="AV64" s="69"/>
      <c r="BH64" s="27"/>
      <c r="BL64" s="14"/>
      <c r="BM64" s="14"/>
    </row>
    <row r="65" spans="1:65" ht="13.5" customHeight="1">
      <c r="A65" s="27"/>
      <c r="B65" s="27"/>
      <c r="I65" s="27"/>
      <c r="P65" s="27"/>
      <c r="W65" s="27"/>
      <c r="AD65" s="27"/>
      <c r="AJ65" s="14"/>
      <c r="AK65" s="27"/>
      <c r="AQ65" s="14"/>
      <c r="AS65" s="16"/>
      <c r="AT65" s="69"/>
      <c r="AU65" s="69"/>
      <c r="AV65" s="69"/>
      <c r="BH65" s="27"/>
      <c r="BL65" s="14"/>
      <c r="BM65" s="14"/>
    </row>
    <row r="66" spans="1:65" ht="13.5" customHeight="1">
      <c r="A66" s="27"/>
      <c r="B66" s="27"/>
      <c r="I66" s="27"/>
      <c r="P66" s="27"/>
      <c r="W66" s="27"/>
      <c r="AD66" s="27"/>
      <c r="AJ66" s="14"/>
      <c r="AK66" s="27"/>
      <c r="AQ66" s="14"/>
      <c r="AS66" s="16"/>
      <c r="AT66" s="69"/>
      <c r="AU66" s="69"/>
      <c r="AV66" s="69"/>
      <c r="BH66" s="27"/>
      <c r="BL66" s="14"/>
      <c r="BM66" s="14"/>
    </row>
    <row r="67" spans="1:65" ht="13.5" customHeight="1">
      <c r="A67" s="27"/>
      <c r="B67" s="27"/>
      <c r="I67" s="27"/>
      <c r="P67" s="27"/>
      <c r="W67" s="27"/>
      <c r="AD67" s="27"/>
      <c r="AJ67" s="14"/>
      <c r="AK67" s="27"/>
      <c r="AQ67" s="14"/>
      <c r="AS67" s="16"/>
      <c r="AT67" s="69"/>
      <c r="AU67" s="69"/>
      <c r="AV67" s="69"/>
      <c r="BH67" s="27"/>
      <c r="BL67" s="14"/>
      <c r="BM67" s="14"/>
    </row>
    <row r="68" spans="1:65" ht="13.5" customHeight="1">
      <c r="A68" s="27"/>
      <c r="B68" s="27"/>
      <c r="I68" s="27"/>
      <c r="P68" s="27"/>
      <c r="W68" s="27"/>
      <c r="AD68" s="27"/>
      <c r="AJ68" s="14"/>
      <c r="AK68" s="27"/>
      <c r="AQ68" s="14"/>
      <c r="AS68" s="16"/>
      <c r="AT68" s="69"/>
      <c r="AU68" s="69"/>
      <c r="AV68" s="69"/>
      <c r="BH68" s="27"/>
      <c r="BL68" s="14"/>
      <c r="BM68" s="14"/>
    </row>
    <row r="69" spans="1:65" ht="13.5" customHeight="1">
      <c r="A69" s="27"/>
      <c r="B69" s="27"/>
      <c r="I69" s="27"/>
      <c r="P69" s="27"/>
      <c r="W69" s="27"/>
      <c r="AD69" s="27"/>
      <c r="AJ69" s="14"/>
      <c r="AK69" s="27"/>
      <c r="AQ69" s="14"/>
      <c r="AS69" s="69"/>
      <c r="AV69" s="69"/>
      <c r="BH69" s="27"/>
      <c r="BL69" s="14"/>
      <c r="BM69" s="14"/>
    </row>
    <row r="70" spans="1:65" ht="13.5" customHeight="1">
      <c r="A70" s="27"/>
      <c r="B70" s="27"/>
      <c r="I70" s="27"/>
      <c r="P70" s="27"/>
      <c r="W70" s="27"/>
      <c r="AD70" s="27"/>
      <c r="AJ70" s="14"/>
      <c r="AK70" s="27"/>
      <c r="AQ70" s="14"/>
      <c r="AS70" s="136" t="s">
        <v>534</v>
      </c>
      <c r="AT70" s="69"/>
      <c r="AU70" s="69"/>
      <c r="AV70" s="69"/>
      <c r="BH70" s="27"/>
      <c r="BL70" s="14"/>
      <c r="BM70" s="14"/>
    </row>
    <row r="71" spans="1:65" ht="13.5" customHeight="1">
      <c r="A71" s="27"/>
      <c r="B71" s="27"/>
      <c r="I71" s="27"/>
      <c r="P71" s="27"/>
      <c r="W71" s="27"/>
      <c r="AD71" s="27"/>
      <c r="AJ71" s="14"/>
      <c r="AK71" s="27"/>
      <c r="AQ71" s="14"/>
      <c r="AS71" s="69"/>
      <c r="AT71" s="69" t="s">
        <v>530</v>
      </c>
      <c r="AU71" s="69"/>
      <c r="AV71" s="69"/>
      <c r="BH71" s="27"/>
      <c r="BL71" s="14"/>
      <c r="BM71" s="14"/>
    </row>
    <row r="72" spans="1:65" ht="13.5" customHeight="1">
      <c r="A72" s="27"/>
      <c r="B72" s="27"/>
      <c r="I72" s="27"/>
      <c r="P72" s="27"/>
      <c r="W72" s="27"/>
      <c r="AD72" s="27"/>
      <c r="AJ72" s="14"/>
      <c r="AK72" s="27"/>
      <c r="AQ72" s="14"/>
      <c r="AS72" s="136"/>
      <c r="AT72" s="69" t="s">
        <v>535</v>
      </c>
      <c r="AU72" s="69"/>
      <c r="AV72" s="69"/>
      <c r="BH72" s="27"/>
      <c r="BL72" s="14"/>
      <c r="BM72" s="14"/>
    </row>
    <row r="73" spans="1:65" ht="13.5" customHeight="1">
      <c r="A73" s="27"/>
      <c r="B73" s="27"/>
      <c r="I73" s="27"/>
      <c r="P73" s="27"/>
      <c r="W73" s="27"/>
      <c r="AD73" s="27"/>
      <c r="AJ73" s="14"/>
      <c r="AK73" s="27"/>
      <c r="AQ73" s="14"/>
      <c r="AS73" s="16"/>
      <c r="AT73" s="69" t="s">
        <v>138</v>
      </c>
      <c r="AU73" s="69" t="s">
        <v>536</v>
      </c>
      <c r="BH73" s="27"/>
      <c r="BL73" s="14"/>
      <c r="BM73" s="14"/>
    </row>
    <row r="74" spans="1:65" ht="13.5" customHeight="1">
      <c r="A74" s="27"/>
      <c r="B74" s="27"/>
      <c r="I74" s="27"/>
      <c r="P74" s="27"/>
      <c r="W74" s="27"/>
      <c r="AD74" s="27"/>
      <c r="AJ74" s="14"/>
      <c r="AK74" s="27"/>
      <c r="AQ74" s="14"/>
      <c r="AS74" s="16"/>
      <c r="AU74" s="69" t="s">
        <v>537</v>
      </c>
      <c r="BH74" s="27"/>
      <c r="BL74" s="14"/>
      <c r="BM74" s="14"/>
    </row>
    <row r="75" spans="1:65" ht="13.5" customHeight="1">
      <c r="A75" s="27"/>
      <c r="B75" s="27"/>
      <c r="I75" s="27"/>
      <c r="P75" s="27"/>
      <c r="W75" s="27"/>
      <c r="AD75" s="27"/>
      <c r="AJ75" s="14"/>
      <c r="AK75" s="27"/>
      <c r="AQ75" s="14"/>
      <c r="AS75" s="16"/>
      <c r="BH75" s="27"/>
      <c r="BL75" s="14"/>
      <c r="BM75" s="14"/>
    </row>
    <row r="76" spans="1:65" ht="13.5" customHeight="1">
      <c r="A76" s="27"/>
      <c r="B76" s="27"/>
      <c r="I76" s="27"/>
      <c r="P76" s="27"/>
      <c r="W76" s="27"/>
      <c r="AD76" s="27"/>
      <c r="AJ76" s="14"/>
      <c r="AK76" s="27"/>
      <c r="AQ76" s="14"/>
      <c r="AS76" s="16"/>
      <c r="BH76" s="27"/>
      <c r="BL76" s="14"/>
      <c r="BM76" s="14"/>
    </row>
    <row r="77" spans="1:65" ht="13.5" customHeight="1">
      <c r="A77" s="27"/>
      <c r="B77" s="27"/>
      <c r="I77" s="27"/>
      <c r="P77" s="27"/>
      <c r="W77" s="27"/>
      <c r="AD77" s="27"/>
      <c r="AJ77" s="14"/>
      <c r="AK77" s="27"/>
      <c r="AQ77" s="14"/>
      <c r="AS77" s="16" t="s">
        <v>538</v>
      </c>
      <c r="BH77" s="27"/>
      <c r="BL77" s="14"/>
      <c r="BM77" s="14"/>
    </row>
    <row r="78" spans="1:65" ht="13.5" customHeight="1">
      <c r="A78" s="27"/>
      <c r="B78" s="27"/>
      <c r="I78" s="27"/>
      <c r="P78" s="27"/>
      <c r="W78" s="27"/>
      <c r="AD78" s="27"/>
      <c r="AJ78" s="14"/>
      <c r="AK78" s="27"/>
      <c r="AQ78" s="14"/>
      <c r="AT78" s="8" t="s">
        <v>530</v>
      </c>
      <c r="BH78" s="27"/>
      <c r="BL78" s="14"/>
      <c r="BM78" s="14"/>
    </row>
    <row r="79" spans="1:65" ht="13.5" customHeight="1">
      <c r="A79" s="27"/>
      <c r="B79" s="27"/>
      <c r="I79" s="27"/>
      <c r="P79" s="27"/>
      <c r="W79" s="27"/>
      <c r="AD79" s="27"/>
      <c r="AJ79" s="14"/>
      <c r="AK79" s="27"/>
      <c r="AQ79" s="14"/>
      <c r="AT79" s="8" t="s">
        <v>539</v>
      </c>
      <c r="BH79" s="27"/>
      <c r="BL79" s="14"/>
      <c r="BM79" s="14"/>
    </row>
    <row r="80" spans="1:65" ht="13.5" customHeight="1">
      <c r="A80" s="27"/>
      <c r="B80" s="27"/>
      <c r="I80" s="27"/>
      <c r="P80" s="27"/>
      <c r="W80" s="27"/>
      <c r="AD80" s="27"/>
      <c r="AJ80" s="14"/>
      <c r="AK80" s="27"/>
      <c r="AQ80" s="14"/>
      <c r="AS80" s="16"/>
      <c r="AT80" s="8" t="s">
        <v>225</v>
      </c>
      <c r="AU80" s="8" t="s">
        <v>540</v>
      </c>
      <c r="BH80" s="27"/>
      <c r="BL80" s="14"/>
      <c r="BM80" s="14"/>
    </row>
    <row r="81" spans="1:65" ht="13.5" customHeight="1">
      <c r="A81" s="27"/>
      <c r="B81" s="27"/>
      <c r="I81" s="27"/>
      <c r="P81" s="27"/>
      <c r="W81" s="27"/>
      <c r="AD81" s="27"/>
      <c r="AJ81" s="14"/>
      <c r="AK81" s="27"/>
      <c r="AQ81" s="14"/>
      <c r="AS81" s="16"/>
      <c r="AT81" s="8" t="s">
        <v>225</v>
      </c>
      <c r="AU81" s="8" t="s">
        <v>541</v>
      </c>
      <c r="BH81" s="27"/>
      <c r="BL81" s="14"/>
      <c r="BM81" s="14"/>
    </row>
    <row r="82" spans="1:65" ht="13.5" customHeight="1">
      <c r="A82" s="27"/>
      <c r="B82" s="27"/>
      <c r="I82" s="27"/>
      <c r="P82" s="27"/>
      <c r="W82" s="27"/>
      <c r="AD82" s="27"/>
      <c r="AJ82" s="14"/>
      <c r="AK82" s="27"/>
      <c r="AQ82" s="14"/>
      <c r="AS82" s="16"/>
      <c r="AT82" s="8" t="s">
        <v>225</v>
      </c>
      <c r="AU82" s="8" t="s">
        <v>542</v>
      </c>
      <c r="BH82" s="27"/>
      <c r="BL82" s="14"/>
      <c r="BM82" s="14"/>
    </row>
    <row r="83" spans="1:65" ht="13.5" customHeight="1">
      <c r="A83" s="27"/>
      <c r="B83" s="27"/>
      <c r="I83" s="27"/>
      <c r="P83" s="27"/>
      <c r="W83" s="27"/>
      <c r="AD83" s="27"/>
      <c r="AJ83" s="14"/>
      <c r="AK83" s="27"/>
      <c r="AQ83" s="14"/>
      <c r="AS83" s="16"/>
      <c r="AT83" s="8" t="s">
        <v>225</v>
      </c>
      <c r="AU83" s="8" t="s">
        <v>543</v>
      </c>
      <c r="BH83" s="27"/>
      <c r="BL83" s="14"/>
      <c r="BM83" s="14"/>
    </row>
    <row r="84" spans="1:65" ht="13.5" customHeight="1">
      <c r="A84" s="27"/>
      <c r="B84" s="27"/>
      <c r="I84" s="27"/>
      <c r="P84" s="27"/>
      <c r="W84" s="27"/>
      <c r="AD84" s="27"/>
      <c r="AJ84" s="14"/>
      <c r="AK84" s="27"/>
      <c r="AQ84" s="14"/>
      <c r="AS84" s="16"/>
      <c r="BH84" s="27"/>
      <c r="BL84" s="14"/>
      <c r="BM84" s="14"/>
    </row>
    <row r="85" spans="1:65" ht="13.5" customHeight="1">
      <c r="A85" s="27"/>
      <c r="B85" s="27"/>
      <c r="I85" s="27"/>
      <c r="P85" s="27"/>
      <c r="W85" s="27"/>
      <c r="AD85" s="27"/>
      <c r="AJ85" s="14"/>
      <c r="AK85" s="27"/>
      <c r="AQ85" s="14"/>
      <c r="AS85" s="16"/>
      <c r="BH85" s="27"/>
      <c r="BL85" s="14"/>
      <c r="BM85" s="14"/>
    </row>
    <row r="86" spans="1:65" ht="13.5" customHeight="1">
      <c r="A86" s="27"/>
      <c r="B86" s="27"/>
      <c r="I86" s="27"/>
      <c r="P86" s="27"/>
      <c r="W86" s="27"/>
      <c r="AD86" s="27"/>
      <c r="AJ86" s="14"/>
      <c r="AK86" s="27"/>
      <c r="AQ86" s="14"/>
      <c r="AS86" s="16"/>
      <c r="BH86" s="27"/>
      <c r="BL86" s="14"/>
      <c r="BM86" s="14"/>
    </row>
    <row r="87" spans="1:65" ht="13.5" customHeight="1">
      <c r="A87" s="27"/>
      <c r="B87" s="27"/>
      <c r="I87" s="27"/>
      <c r="P87" s="27"/>
      <c r="W87" s="27"/>
      <c r="AD87" s="27"/>
      <c r="AJ87" s="14"/>
      <c r="AK87" s="27"/>
      <c r="AQ87" s="14"/>
      <c r="AS87" s="136" t="s">
        <v>544</v>
      </c>
      <c r="AT87" s="69"/>
      <c r="BH87" s="27"/>
      <c r="BL87" s="14"/>
      <c r="BM87" s="14"/>
    </row>
    <row r="88" spans="1:65" ht="13.5" customHeight="1">
      <c r="A88" s="27"/>
      <c r="B88" s="27"/>
      <c r="I88" s="27"/>
      <c r="P88" s="27"/>
      <c r="W88" s="27"/>
      <c r="AD88" s="27"/>
      <c r="AJ88" s="14"/>
      <c r="AK88" s="27"/>
      <c r="AQ88" s="14"/>
      <c r="AS88" s="69"/>
      <c r="AT88" s="69" t="s">
        <v>530</v>
      </c>
      <c r="BH88" s="27"/>
      <c r="BL88" s="14"/>
      <c r="BM88" s="14"/>
    </row>
    <row r="89" spans="1:65" ht="13.5" customHeight="1">
      <c r="A89" s="27"/>
      <c r="B89" s="27"/>
      <c r="I89" s="27"/>
      <c r="P89" s="27"/>
      <c r="W89" s="27"/>
      <c r="AD89" s="27"/>
      <c r="AJ89" s="14"/>
      <c r="AK89" s="27"/>
      <c r="AQ89" s="14"/>
      <c r="AS89" s="69"/>
      <c r="AT89" s="69" t="s">
        <v>545</v>
      </c>
      <c r="BH89" s="27"/>
      <c r="BL89" s="14"/>
      <c r="BM89" s="14"/>
    </row>
    <row r="90" spans="1:65" ht="13.5" customHeight="1">
      <c r="A90" s="27"/>
      <c r="B90" s="27"/>
      <c r="I90" s="27"/>
      <c r="P90" s="27"/>
      <c r="W90" s="27"/>
      <c r="AD90" s="27"/>
      <c r="AJ90" s="14"/>
      <c r="AK90" s="27"/>
      <c r="AQ90" s="14"/>
      <c r="AS90" s="136"/>
      <c r="AT90" s="69" t="s">
        <v>546</v>
      </c>
      <c r="AU90" s="117"/>
      <c r="BH90" s="27"/>
      <c r="BL90" s="14"/>
      <c r="BM90" s="14"/>
    </row>
    <row r="91" spans="1:65" ht="13.5" customHeight="1">
      <c r="A91" s="27"/>
      <c r="B91" s="27"/>
      <c r="I91" s="27"/>
      <c r="P91" s="27"/>
      <c r="W91" s="27"/>
      <c r="AD91" s="27"/>
      <c r="AJ91" s="14"/>
      <c r="AK91" s="27"/>
      <c r="AQ91" s="14"/>
      <c r="AS91" s="16"/>
      <c r="AT91" s="69" t="s">
        <v>138</v>
      </c>
      <c r="AU91" s="69" t="s">
        <v>536</v>
      </c>
      <c r="BH91" s="27"/>
      <c r="BL91" s="14"/>
      <c r="BM91" s="14"/>
    </row>
    <row r="92" spans="1:65" ht="13.5" customHeight="1">
      <c r="A92" s="27"/>
      <c r="B92" s="27"/>
      <c r="I92" s="27"/>
      <c r="P92" s="27"/>
      <c r="W92" s="27"/>
      <c r="AD92" s="27"/>
      <c r="AJ92" s="14"/>
      <c r="AK92" s="27"/>
      <c r="AQ92" s="14"/>
      <c r="AS92" s="16"/>
      <c r="AU92" s="69" t="s">
        <v>537</v>
      </c>
      <c r="BH92" s="27"/>
      <c r="BL92" s="14"/>
      <c r="BM92" s="14"/>
    </row>
    <row r="93" spans="1:65" ht="13.5" customHeight="1">
      <c r="A93" s="27"/>
      <c r="B93" s="27"/>
      <c r="I93" s="27"/>
      <c r="P93" s="27"/>
      <c r="W93" s="27"/>
      <c r="AD93" s="27"/>
      <c r="AJ93" s="14"/>
      <c r="AK93" s="27"/>
      <c r="AQ93" s="14"/>
      <c r="AS93" s="16"/>
      <c r="BH93" s="27"/>
      <c r="BL93" s="14"/>
      <c r="BM93" s="14"/>
    </row>
    <row r="94" spans="1:65" ht="13.5" customHeight="1">
      <c r="A94" s="27"/>
      <c r="B94" s="27"/>
      <c r="I94" s="27"/>
      <c r="P94" s="27"/>
      <c r="W94" s="27"/>
      <c r="AD94" s="27"/>
      <c r="AJ94" s="14"/>
      <c r="AK94" s="27"/>
      <c r="AQ94" s="14"/>
      <c r="BH94" s="27"/>
      <c r="BL94" s="14"/>
      <c r="BM94" s="14"/>
    </row>
    <row r="95" spans="1:65" ht="13.5" customHeight="1">
      <c r="A95" s="27"/>
      <c r="B95" s="27"/>
      <c r="I95" s="27"/>
      <c r="P95" s="27"/>
      <c r="W95" s="27"/>
      <c r="AD95" s="27"/>
      <c r="AJ95" s="14"/>
      <c r="AK95" s="27"/>
      <c r="AQ95" s="14"/>
      <c r="AS95" s="86"/>
      <c r="BH95" s="27"/>
      <c r="BL95" s="14"/>
      <c r="BM95" s="14"/>
    </row>
    <row r="96" spans="1:65" ht="13.5" customHeight="1">
      <c r="A96" s="27"/>
      <c r="B96" s="27"/>
      <c r="I96" s="27"/>
      <c r="P96" s="27"/>
      <c r="W96" s="27"/>
      <c r="AD96" s="27"/>
      <c r="AJ96" s="14"/>
      <c r="AK96" s="27"/>
      <c r="AQ96" s="14"/>
      <c r="AS96" s="86"/>
      <c r="BH96" s="27"/>
      <c r="BL96" s="14"/>
      <c r="BM96" s="14"/>
    </row>
    <row r="97" spans="1:65" ht="13.5" customHeight="1">
      <c r="A97" s="27"/>
      <c r="B97" s="27"/>
      <c r="I97" s="27"/>
      <c r="P97" s="27"/>
      <c r="W97" s="27"/>
      <c r="AD97" s="27"/>
      <c r="AJ97" s="14"/>
      <c r="AK97" s="27"/>
      <c r="AQ97" s="14"/>
      <c r="AS97" s="86"/>
      <c r="BH97" s="27"/>
      <c r="BL97" s="14"/>
      <c r="BM97" s="14"/>
    </row>
    <row r="98" spans="1:65" ht="13.5" customHeight="1">
      <c r="A98" s="27"/>
      <c r="B98" s="55"/>
      <c r="C98" s="10"/>
      <c r="D98" s="10"/>
      <c r="E98" s="10"/>
      <c r="F98" s="10"/>
      <c r="G98" s="10"/>
      <c r="H98" s="10"/>
      <c r="I98" s="55"/>
      <c r="J98" s="10"/>
      <c r="K98" s="10"/>
      <c r="L98" s="10"/>
      <c r="M98" s="10"/>
      <c r="N98" s="10"/>
      <c r="O98" s="10"/>
      <c r="P98" s="55"/>
      <c r="Q98" s="10"/>
      <c r="R98" s="10"/>
      <c r="S98" s="10"/>
      <c r="T98" s="10"/>
      <c r="U98" s="10"/>
      <c r="V98" s="10"/>
      <c r="W98" s="55"/>
      <c r="X98" s="10"/>
      <c r="Y98" s="10"/>
      <c r="Z98" s="10"/>
      <c r="AA98" s="10"/>
      <c r="AB98" s="10"/>
      <c r="AC98" s="10"/>
      <c r="AD98" s="55"/>
      <c r="AE98" s="10"/>
      <c r="AF98" s="10"/>
      <c r="AG98" s="10"/>
      <c r="AH98" s="10"/>
      <c r="AI98" s="10"/>
      <c r="AJ98" s="15"/>
      <c r="AK98" s="55"/>
      <c r="AL98" s="10"/>
      <c r="AM98" s="10"/>
      <c r="AN98" s="10"/>
      <c r="AO98" s="10"/>
      <c r="AP98" s="10"/>
      <c r="AQ98" s="15"/>
      <c r="AR98" s="10"/>
      <c r="AS98" s="10"/>
      <c r="AT98" s="10"/>
      <c r="AU98" s="10"/>
      <c r="AV98" s="10"/>
      <c r="AW98" s="10"/>
      <c r="AX98" s="10"/>
      <c r="AY98" s="10"/>
      <c r="AZ98" s="10"/>
      <c r="BA98" s="10"/>
      <c r="BB98" s="10"/>
      <c r="BC98" s="10"/>
      <c r="BD98" s="10"/>
      <c r="BE98" s="10"/>
      <c r="BF98" s="10"/>
      <c r="BG98" s="10"/>
      <c r="BH98" s="55"/>
      <c r="BI98" s="10"/>
      <c r="BJ98" s="10"/>
      <c r="BK98" s="10"/>
      <c r="BL98" s="15"/>
      <c r="BM98" s="14"/>
    </row>
    <row r="99" spans="1:65">
      <c r="A99" s="27"/>
      <c r="BM99" s="14"/>
    </row>
    <row r="100" spans="1:65">
      <c r="A100" s="55"/>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5"/>
    </row>
  </sheetData>
  <mergeCells count="25">
    <mergeCell ref="A1:E1"/>
    <mergeCell ref="F1:U1"/>
    <mergeCell ref="V1:AI1"/>
    <mergeCell ref="AJ1:AP1"/>
    <mergeCell ref="AQ1:AV1"/>
    <mergeCell ref="AQ2:AV2"/>
    <mergeCell ref="AJ3:AK3"/>
    <mergeCell ref="AL3:AP3"/>
    <mergeCell ref="AQ3:AV3"/>
    <mergeCell ref="B8:O8"/>
    <mergeCell ref="P8:AC8"/>
    <mergeCell ref="AD8:AQ8"/>
    <mergeCell ref="AR8:BG9"/>
    <mergeCell ref="A2:E3"/>
    <mergeCell ref="F2:U3"/>
    <mergeCell ref="V2:AI3"/>
    <mergeCell ref="AJ2:AK2"/>
    <mergeCell ref="AL2:AP2"/>
    <mergeCell ref="BH8:BL9"/>
    <mergeCell ref="B9:H9"/>
    <mergeCell ref="I9:O9"/>
    <mergeCell ref="P9:V9"/>
    <mergeCell ref="W9:AC9"/>
    <mergeCell ref="AD9:AJ9"/>
    <mergeCell ref="AK9:AQ9"/>
  </mergeCells>
  <phoneticPr fontId="2"/>
  <pageMargins left="0.7" right="0.7" top="0.75" bottom="0.75" header="0.3" footer="0.3"/>
  <pageSetup paperSize="9" scale="69" fitToHeight="0"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4324AAF-CC86-44DA-A504-8E83C2326B12}"/>
</file>

<file path=customXml/itemProps2.xml><?xml version="1.0" encoding="utf-8"?>
<ds:datastoreItem xmlns:ds="http://schemas.openxmlformats.org/officeDocument/2006/customXml" ds:itemID="{CFA8C942-3B47-4776-8BDA-17699C526566}"/>
</file>

<file path=customXml/itemProps3.xml><?xml version="1.0" encoding="utf-8"?>
<ds:datastoreItem xmlns:ds="http://schemas.openxmlformats.org/officeDocument/2006/customXml" ds:itemID="{88E5C748-0E82-465F-AAE2-69FF9B0201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Akinobu, Saki</dc:creator>
  <cp:keywords/>
  <dc:description/>
  <cp:lastModifiedBy>Ida, Mizuho</cp:lastModifiedBy>
  <cp:revision/>
  <dcterms:created xsi:type="dcterms:W3CDTF">2018-11-08T07:18:29Z</dcterms:created>
  <dcterms:modified xsi:type="dcterms:W3CDTF">2026-05-21T08:13:35Z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ies>
</file>