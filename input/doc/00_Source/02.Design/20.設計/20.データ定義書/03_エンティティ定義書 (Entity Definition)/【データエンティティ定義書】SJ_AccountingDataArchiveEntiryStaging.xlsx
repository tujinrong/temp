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3_エンティティ定義書 (Entity Definition)/"/>
    </mc:Choice>
  </mc:AlternateContent>
  <xr:revisionPtr revIDLastSave="101" documentId="13_ncr:1_{D902CD90-5CBE-4917-B6E3-377492D694E1}" xr6:coauthVersionLast="47" xr6:coauthVersionMax="47" xr10:uidLastSave="{03BE2F66-7373-4725-AE7F-2E81229EC93C}"/>
  <bookViews>
    <workbookView xWindow="-108" yWindow="-108" windowWidth="23256" windowHeight="13896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0" i="3"/>
  <c r="B11" i="3"/>
  <c r="B12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<sst xmlns="http://schemas.openxmlformats.org/spreadsheetml/2006/main" count="140" uniqueCount="92">
  <si>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</si>
  <si>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</si>
  <si>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</si>
  <si>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</si>
  <si>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</si>
  <si>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</si>
  <si>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</si>
  <si>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</si>
  <si>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</si>
  <si>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</si>
  <si>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</si>
  <si>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</si>
  <si>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</si>
  <si>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</si>
  <si>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</si>
  <si>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</si>
  <si>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</si>
  <si>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</si>
  <si>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</si>
  <si>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</si>
  <si>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</si>
  <si>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</si>
  <si>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</si>
  <si>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</si>
  <si>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</si>
  <si>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</si>
  <si>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</si>
  <si>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</si>
  <si>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</si>
  <si>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</si>
  <si>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</si>
  <si>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</si>
  <si>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</si>
  <si>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</si>
  <si>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</si>
  <si>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</si>
  <si>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</si>
  <si>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</si>
  <si>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</si>
  <si>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</si>
  <si>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</si>
  <si>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</si>
  <si>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</si>
  <si>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</si>
  <si>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</si>
  <si>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</si>
  <si>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会計システム刷新プロジェクト（LIBRA）</t>
  </si>
  <si>
    <t>会計システム刷新プロジェクト（LIBRA）</t>
    <phoneticPr fontId="18"/>
  </si>
  <si>
    <t>1.0</t>
    <phoneticPr fontId="18"/>
  </si>
  <si>
    <t>データエンティティ定義書</t>
    <phoneticPr fontId="24"/>
  </si>
  <si>
    <t>アドオン</t>
    <phoneticPr fontId="18"/>
  </si>
  <si>
    <t>SJ00232</t>
  </si>
  <si>
    <t>SJ00233</t>
  </si>
  <si>
    <t>SJ00234</t>
    <phoneticPr fontId="33"/>
  </si>
  <si>
    <t>SJ00235</t>
    <phoneticPr fontId="33"/>
  </si>
  <si>
    <t>String</t>
  </si>
  <si>
    <t>Yes</t>
  </si>
  <si>
    <t>No</t>
  </si>
  <si>
    <t>【データエンティティ定義書】SJ_GlobalMainAccountEntity</t>
    <phoneticPr fontId="18"/>
  </si>
  <si>
    <t>JBS井田</t>
    <rPh sb="0" eb="5">
      <t>j</t>
    </rPh>
    <phoneticPr fontId="18"/>
  </si>
  <si>
    <t>グローバル勘定科目</t>
    <rPh sb="5" eb="9">
      <t>カンジョウカモク</t>
    </rPh>
    <phoneticPr fontId="18"/>
  </si>
  <si>
    <t>SJ_GlobalMainAccountEntity</t>
    <phoneticPr fontId="18"/>
  </si>
  <si>
    <t>SJ05642</t>
  </si>
  <si>
    <t>FunctionalArea</t>
  </si>
  <si>
    <t>SJ_GlobalMainAccount</t>
    <phoneticPr fontId="18"/>
  </si>
  <si>
    <t>createdBy</t>
    <phoneticPr fontId="33"/>
  </si>
  <si>
    <t>createdDateTime</t>
  </si>
  <si>
    <t>modifiedBy</t>
  </si>
  <si>
    <t>modifiedDateTime</t>
  </si>
  <si>
    <t>MainAccountNum</t>
  </si>
  <si>
    <t>CreatedBy</t>
  </si>
  <si>
    <t>UtcDateTime</t>
  </si>
  <si>
    <t>CreatedDateTime</t>
  </si>
  <si>
    <t>ModifiedBy</t>
  </si>
  <si>
    <t>ModifiedDateTime</t>
  </si>
  <si>
    <t>Auto</t>
  </si>
  <si>
    <t>MainLedgerChartOfAccounts</t>
  </si>
  <si>
    <t>GlobalLedgerChartOfAccounts</t>
  </si>
  <si>
    <t>GlobalAccount</t>
  </si>
  <si>
    <t>SYS135766</t>
  </si>
  <si>
    <t>SYS4589</t>
  </si>
  <si>
    <t>SJ05643</t>
  </si>
  <si>
    <t>SJ05645</t>
  </si>
  <si>
    <t>SJ00408</t>
  </si>
  <si>
    <t>Integer</t>
  </si>
  <si>
    <t>MainAccountId</t>
    <phoneticPr fontId="18"/>
  </si>
  <si>
    <t>-</t>
    <phoneticPr fontId="18"/>
  </si>
  <si>
    <t>SJ_LedgerChartOfAccountsRecId</t>
  </si>
  <si>
    <t>SJ_GlobalAccount</t>
  </si>
  <si>
    <t>SJ_FunctionalArea</t>
  </si>
  <si>
    <t>FO-109</t>
  </si>
  <si>
    <t>FO-109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</si>
</sst>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8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0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100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9" fillId="0" borderId="46" xfId="0" applyFont="1" applyBorder="1" applyAlignment="1">
      <alignment vertical="top"/>
    </xf>
    <xf numFmtId="0" fontId="20" fillId="36" borderId="13" xfId="42" applyFont="1" applyFill="1" applyBorder="1" applyAlignment="1">
      <alignment vertical="top"/>
    </xf>
    <xf numFmtId="0" fontId="20" fillId="36" borderId="13" xfId="42" applyFont="1" applyFill="1" applyBorder="1" applyAlignment="1">
      <alignment vertical="top" wrapText="1"/>
    </xf>
    <xf numFmtId="0" fontId="20" fillId="36" borderId="0" xfId="42" applyFont="1" applyFill="1"/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6" fillId="0" borderId="0" xfId="42" applyFont="1" applyAlignment="1">
      <alignment vertical="center"/>
    </xf>
    <xf numFmtId="0" fontId="37" fillId="34" borderId="10" xfId="0" applyFont="1" applyFill="1" applyBorder="1">
      <alignment vertical="center"/>
    </xf>
    <xf numFmtId="0" fontId="37" fillId="34" borderId="11" xfId="0" applyFont="1" applyFill="1" applyBorder="1">
      <alignment vertical="center"/>
    </xf>
    <xf numFmtId="0" fontId="37" fillId="34" borderId="12" xfId="0" applyFont="1" applyFill="1" applyBorder="1">
      <alignment vertical="center"/>
    </xf>
    <xf numFmtId="0" fontId="37" fillId="34" borderId="11" xfId="0" applyFont="1" applyFill="1" applyBorder="1">
      <alignment vertical="center"/>
    </xf>
    <xf numFmtId="177" fontId="20" fillId="0" borderId="13" xfId="42" applyNumberFormat="1" applyFont="1" applyBorder="1" applyAlignment="1">
      <alignment horizontal="center" vertical="center"/>
    </xf>
    <xf numFmtId="177" fontId="36" fillId="0" borderId="13" xfId="42" applyNumberFormat="1" applyFont="1" applyBorder="1" applyAlignment="1">
      <alignment horizontal="center" vertical="center"/>
    </xf>
    <xf numFmtId="0" fontId="36" fillId="0" borderId="13" xfId="42" applyFont="1" applyBorder="1" applyAlignment="1">
      <alignment horizontal="left" vertical="center" wrapText="1"/>
    </xf>
    <xf numFmtId="0" fontId="36" fillId="0" borderId="13" xfId="42" applyFont="1" applyBorder="1" applyAlignment="1">
      <alignment horizontal="left" vertical="center"/>
    </xf>
    <xf numFmtId="0" fontId="36" fillId="0" borderId="13" xfId="42" applyFont="1" applyBorder="1" applyAlignment="1">
      <alignment horizontal="center" vertical="center"/>
    </xf>
    <xf numFmtId="0" fontId="37" fillId="34" borderId="10" xfId="0" applyFont="1" applyFill="1" applyBorder="1">
      <alignment vertical="center"/>
    </xf>
    <xf numFmtId="0" fontId="36" fillId="0" borderId="10" xfId="42" applyFont="1" applyBorder="1" applyAlignment="1">
      <alignment horizontal="left" vertical="center"/>
    </xf>
    <xf numFmtId="0" fontId="36" fillId="0" borderId="11" xfId="42" applyFont="1" applyBorder="1" applyAlignment="1">
      <alignment horizontal="left" vertical="center"/>
    </xf>
    <xf numFmtId="0" fontId="36" fillId="0" borderId="12" xfId="42" applyFont="1" applyBorder="1" applyAlignment="1">
      <alignment horizontal="left" vertical="center"/>
    </xf>
    <xf numFmtId="49" fontId="36" fillId="0" borderId="13" xfId="42" applyNumberFormat="1" applyFont="1" applyBorder="1" applyAlignment="1">
      <alignment horizontal="left" vertical="center"/>
    </xf>
    <xf numFmtId="0" fontId="20" fillId="0" borderId="13" xfId="42" applyFont="1" applyBorder="1" applyAlignment="1">
      <alignment vertical="center"/>
    </xf>
    <xf numFmtId="0" fontId="37" fillId="34" borderId="46" xfId="0" applyFont="1" applyFill="1" applyBorder="1">
      <alignment vertical="center"/>
    </xf>
    <xf numFmtId="0" fontId="37" fillId="34" borderId="12" xfId="0" applyFont="1" applyFill="1" applyBorder="1">
      <alignment vertical="center"/>
    </xf>
    <xf numFmtId="0" fontId="37" fillId="34" borderId="48" xfId="0" applyFont="1" applyFill="1" applyBorder="1">
      <alignment vertical="center"/>
    </xf>
    <xf numFmtId="0" fontId="37" fillId="34" borderId="13" xfId="0" applyFont="1" applyFill="1" applyBorder="1">
      <alignment vertical="center"/>
    </xf>
    <xf numFmtId="49" fontId="36" fillId="0" borderId="13" xfId="42" applyNumberFormat="1" applyFont="1" applyBorder="1" applyAlignment="1">
      <alignment vertical="center"/>
    </xf>
    <xf numFmtId="49" fontId="20" fillId="0" borderId="13" xfId="42" applyNumberFormat="1" applyFont="1" applyBorder="1" applyAlignment="1">
      <alignment vertical="center"/>
    </xf>
    <xf numFmtId="49" fontId="36" fillId="36" borderId="13" xfId="42" applyNumberFormat="1" applyFont="1" applyFill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BP19" sqref="BP19"/>
    </sheetView>
  </sheetViews>
  <sheetFormatPr defaultColWidth="2.453125" defaultRowHeight="15" customHeight="1" x14ac:dyDescent="0.3"/>
  <cols>
    <col min="1" max="16384" width="2.453125" style="9"/>
  </cols>
  <sheetData>
    <row r="1" spans="1:67" s="7" customFormat="1" ht="15" customHeight="1" thickBot="1" x14ac:dyDescent="0.35">
      <c r="A1" s="17" t="s">
        <v>11</v>
      </c>
      <c r="B1" s="18"/>
      <c r="C1" s="18"/>
      <c r="D1" s="18"/>
      <c r="E1" s="19"/>
      <c r="F1" s="20" t="s">
        <v>47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2"/>
      <c r="W1" s="23" t="s">
        <v>12</v>
      </c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13</v>
      </c>
      <c r="AS1" s="24"/>
      <c r="AT1" s="24"/>
      <c r="AU1" s="24"/>
      <c r="AV1" s="24"/>
      <c r="AW1" s="24"/>
      <c r="AX1" s="24"/>
      <c r="AY1" s="24"/>
      <c r="AZ1" s="25"/>
      <c r="BA1" s="23" t="s">
        <v>14</v>
      </c>
      <c r="BB1" s="24"/>
      <c r="BC1" s="24"/>
      <c r="BD1" s="24"/>
      <c r="BE1" s="24"/>
      <c r="BF1" s="24"/>
      <c r="BG1" s="24"/>
      <c r="BH1" s="25"/>
      <c r="BI1" s="6"/>
      <c r="BJ1" s="6"/>
      <c r="BK1" s="6"/>
      <c r="BL1" s="6"/>
      <c r="BM1" s="6"/>
      <c r="BN1" s="6"/>
      <c r="BO1" s="6"/>
    </row>
    <row r="2" spans="1:67" s="7" customFormat="1" ht="15" customHeight="1" x14ac:dyDescent="0.3">
      <c r="A2" s="26" t="s">
        <v>15</v>
      </c>
      <c r="B2" s="27"/>
      <c r="C2" s="27"/>
      <c r="D2" s="27"/>
      <c r="E2" s="28"/>
      <c r="F2" s="32" t="s">
        <v>58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8" t="s">
        <v>16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4" t="s">
        <v>17</v>
      </c>
      <c r="AS2" s="45"/>
      <c r="AT2" s="46">
        <f>A6</f>
        <v>46198</v>
      </c>
      <c r="AU2" s="47"/>
      <c r="AV2" s="47"/>
      <c r="AW2" s="47"/>
      <c r="AX2" s="47"/>
      <c r="AY2" s="47"/>
      <c r="AZ2" s="48"/>
      <c r="BA2" s="49" t="str">
        <f>AZ6</f>
        <v>JBS井田</v>
      </c>
      <c r="BB2" s="50"/>
      <c r="BC2" s="50"/>
      <c r="BD2" s="50"/>
      <c r="BE2" s="50"/>
      <c r="BF2" s="50"/>
      <c r="BG2" s="50"/>
      <c r="BH2" s="51"/>
      <c r="BI2" s="6"/>
      <c r="BJ2" s="6"/>
      <c r="BK2" s="6"/>
      <c r="BL2" s="6"/>
      <c r="BM2" s="6"/>
      <c r="BN2" s="6"/>
      <c r="BO2" s="6"/>
    </row>
    <row r="3" spans="1:67" s="7" customFormat="1" ht="15" customHeight="1" thickBot="1" x14ac:dyDescent="0.35">
      <c r="A3" s="29"/>
      <c r="B3" s="30"/>
      <c r="C3" s="30"/>
      <c r="D3" s="30"/>
      <c r="E3" s="31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3"/>
      <c r="AR3" s="52" t="s">
        <v>18</v>
      </c>
      <c r="AS3" s="53"/>
      <c r="AT3" s="54" cm="1">
        <f t="array" aca="1" ref="AT3" ca="1">IF(OR(COUNTA(A:E)=3),"",INDIRECT("A"&amp;COUNTA(A:E)+2))</f>
        <v>46198</v>
      </c>
      <c r="AU3" s="55"/>
      <c r="AV3" s="55"/>
      <c r="AW3" s="55"/>
      <c r="AX3" s="55"/>
      <c r="AY3" s="55"/>
      <c r="AZ3" s="56"/>
      <c r="BA3" s="57" t="str" cm="1">
        <f t="array" aca="1" ref="BA3" ca="1">IF(COUNTA(AZ5:BD100000)=1,"",INDIRECT("変更履歴!AZ"&amp;COUNTA(AZ5:BD100000)+4))</f>
        <v>JBS井田</v>
      </c>
      <c r="BB3" s="58"/>
      <c r="BC3" s="58"/>
      <c r="BD3" s="58"/>
      <c r="BE3" s="58"/>
      <c r="BF3" s="58"/>
      <c r="BG3" s="58"/>
      <c r="BH3" s="59"/>
      <c r="BI3" s="6"/>
      <c r="BJ3" s="6"/>
      <c r="BK3" s="6"/>
      <c r="BL3" s="6"/>
      <c r="BM3" s="6"/>
      <c r="BN3" s="6"/>
      <c r="BO3" s="6"/>
    </row>
    <row r="4" spans="1:67" ht="15" customHeight="1" thickBo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7" ht="15" customHeight="1" thickBot="1" x14ac:dyDescent="0.35">
      <c r="A5" s="60" t="s">
        <v>19</v>
      </c>
      <c r="B5" s="60"/>
      <c r="C5" s="60"/>
      <c r="D5" s="60"/>
      <c r="E5" s="60"/>
      <c r="F5" s="60" t="s">
        <v>20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 t="s">
        <v>21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 t="s">
        <v>22</v>
      </c>
      <c r="BA5" s="60"/>
      <c r="BB5" s="60"/>
      <c r="BC5" s="60"/>
      <c r="BD5" s="60"/>
      <c r="BE5" s="60" t="s">
        <v>23</v>
      </c>
      <c r="BF5" s="60"/>
      <c r="BG5" s="60"/>
      <c r="BH5" s="60"/>
    </row>
    <row r="6" spans="1:67" ht="15" customHeight="1" x14ac:dyDescent="0.3">
      <c r="A6" s="61">
        <v>46198</v>
      </c>
      <c r="B6" s="61"/>
      <c r="C6" s="61"/>
      <c r="D6" s="61"/>
      <c r="E6" s="61"/>
      <c r="F6" s="62" t="s">
        <v>24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 t="s">
        <v>25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4" t="s">
        <v>59</v>
      </c>
      <c r="BA6" s="64"/>
      <c r="BB6" s="64"/>
      <c r="BC6" s="64"/>
      <c r="BD6" s="64"/>
      <c r="BE6" s="65" t="s">
        <v>48</v>
      </c>
      <c r="BF6" s="66"/>
      <c r="BG6" s="66"/>
      <c r="BH6" s="66"/>
    </row>
    <row r="7" spans="1:67" ht="15" customHeight="1" x14ac:dyDescent="0.3">
      <c r="A7" s="67"/>
      <c r="B7" s="67"/>
      <c r="C7" s="67"/>
      <c r="D7" s="67"/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70"/>
      <c r="BA7" s="70"/>
      <c r="BB7" s="70"/>
      <c r="BC7" s="70"/>
      <c r="BD7" s="70"/>
      <c r="BE7" s="71"/>
      <c r="BF7" s="71"/>
      <c r="BG7" s="71"/>
      <c r="BH7" s="71"/>
    </row>
    <row r="8" spans="1:67" ht="15" customHeight="1" x14ac:dyDescent="0.3">
      <c r="A8" s="67"/>
      <c r="B8" s="67"/>
      <c r="C8" s="67"/>
      <c r="D8" s="67"/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70"/>
      <c r="BA8" s="70"/>
      <c r="BB8" s="70"/>
      <c r="BC8" s="70"/>
      <c r="BD8" s="70"/>
      <c r="BE8" s="71"/>
      <c r="BF8" s="71"/>
      <c r="BG8" s="71"/>
      <c r="BH8" s="71"/>
    </row>
    <row r="9" spans="1:67" ht="15" customHeight="1" x14ac:dyDescent="0.3">
      <c r="A9" s="67"/>
      <c r="B9" s="67"/>
      <c r="C9" s="67"/>
      <c r="D9" s="67"/>
      <c r="E9" s="67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0"/>
      <c r="BA9" s="70"/>
      <c r="BB9" s="70"/>
      <c r="BC9" s="70"/>
      <c r="BD9" s="70"/>
      <c r="BE9" s="71"/>
      <c r="BF9" s="71"/>
      <c r="BG9" s="71"/>
      <c r="BH9" s="71"/>
    </row>
    <row r="10" spans="1:67" ht="15" customHeight="1" x14ac:dyDescent="0.3">
      <c r="A10" s="67"/>
      <c r="B10" s="67"/>
      <c r="C10" s="67"/>
      <c r="D10" s="67"/>
      <c r="E10" s="67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70"/>
      <c r="BA10" s="70"/>
      <c r="BB10" s="70"/>
      <c r="BC10" s="70"/>
      <c r="BD10" s="70"/>
      <c r="BE10" s="71"/>
      <c r="BF10" s="71"/>
      <c r="BG10" s="71"/>
      <c r="BH10" s="71"/>
    </row>
    <row r="11" spans="1:67" ht="15" customHeight="1" x14ac:dyDescent="0.3">
      <c r="A11" s="67"/>
      <c r="B11" s="67"/>
      <c r="C11" s="67"/>
      <c r="D11" s="67"/>
      <c r="E11" s="67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70"/>
      <c r="BA11" s="70"/>
      <c r="BB11" s="70"/>
      <c r="BC11" s="70"/>
      <c r="BD11" s="70"/>
      <c r="BE11" s="71"/>
      <c r="BF11" s="71"/>
      <c r="BG11" s="71"/>
      <c r="BH11" s="71"/>
    </row>
    <row r="12" spans="1:67" ht="15" customHeight="1" x14ac:dyDescent="0.3">
      <c r="A12" s="67"/>
      <c r="B12" s="67"/>
      <c r="C12" s="67"/>
      <c r="D12" s="67"/>
      <c r="E12" s="67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70"/>
      <c r="BA12" s="70"/>
      <c r="BB12" s="70"/>
      <c r="BC12" s="70"/>
      <c r="BD12" s="70"/>
      <c r="BE12" s="71"/>
      <c r="BF12" s="71"/>
      <c r="BG12" s="71"/>
      <c r="BH12" s="71"/>
    </row>
    <row r="13" spans="1:67" ht="15" customHeight="1" x14ac:dyDescent="0.3">
      <c r="A13" s="67"/>
      <c r="B13" s="67"/>
      <c r="C13" s="67"/>
      <c r="D13" s="67"/>
      <c r="E13" s="67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70"/>
      <c r="BA13" s="70"/>
      <c r="BB13" s="70"/>
      <c r="BC13" s="70"/>
      <c r="BD13" s="70"/>
      <c r="BE13" s="71"/>
      <c r="BF13" s="71"/>
      <c r="BG13" s="71"/>
      <c r="BH13" s="71"/>
    </row>
    <row r="14" spans="1:67" ht="15" customHeight="1" x14ac:dyDescent="0.3">
      <c r="A14" s="67"/>
      <c r="B14" s="67"/>
      <c r="C14" s="67"/>
      <c r="D14" s="67"/>
      <c r="E14" s="67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70"/>
      <c r="BA14" s="70"/>
      <c r="BB14" s="70"/>
      <c r="BC14" s="70"/>
      <c r="BD14" s="70"/>
      <c r="BE14" s="71"/>
      <c r="BF14" s="71"/>
      <c r="BG14" s="71"/>
      <c r="BH14" s="71"/>
    </row>
    <row r="15" spans="1:67" ht="15" customHeight="1" x14ac:dyDescent="0.3">
      <c r="A15" s="67"/>
      <c r="B15" s="67"/>
      <c r="C15" s="67"/>
      <c r="D15" s="67"/>
      <c r="E15" s="67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70"/>
      <c r="BA15" s="70"/>
      <c r="BB15" s="70"/>
      <c r="BC15" s="70"/>
      <c r="BD15" s="70"/>
      <c r="BE15" s="71"/>
      <c r="BF15" s="71"/>
      <c r="BG15" s="71"/>
      <c r="BH15" s="71"/>
    </row>
    <row r="16" spans="1:67" ht="15" customHeight="1" x14ac:dyDescent="0.3">
      <c r="A16" s="67"/>
      <c r="B16" s="67"/>
      <c r="C16" s="67"/>
      <c r="D16" s="67"/>
      <c r="E16" s="67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70"/>
      <c r="BA16" s="70"/>
      <c r="BB16" s="70"/>
      <c r="BC16" s="70"/>
      <c r="BD16" s="70"/>
      <c r="BE16" s="71"/>
      <c r="BF16" s="71"/>
      <c r="BG16" s="71"/>
      <c r="BH16" s="71"/>
    </row>
    <row r="17" spans="1:60" ht="15" customHeight="1" x14ac:dyDescent="0.3">
      <c r="A17" s="67"/>
      <c r="B17" s="67"/>
      <c r="C17" s="67"/>
      <c r="D17" s="67"/>
      <c r="E17" s="67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70"/>
      <c r="BA17" s="70"/>
      <c r="BB17" s="70"/>
      <c r="BC17" s="70"/>
      <c r="BD17" s="70"/>
      <c r="BE17" s="71"/>
      <c r="BF17" s="71"/>
      <c r="BG17" s="71"/>
      <c r="BH17" s="71"/>
    </row>
    <row r="18" spans="1:60" ht="15" customHeight="1" x14ac:dyDescent="0.3">
      <c r="A18" s="67"/>
      <c r="B18" s="67"/>
      <c r="C18" s="67"/>
      <c r="D18" s="67"/>
      <c r="E18" s="67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70"/>
      <c r="BA18" s="70"/>
      <c r="BB18" s="70"/>
      <c r="BC18" s="70"/>
      <c r="BD18" s="70"/>
      <c r="BE18" s="71"/>
      <c r="BF18" s="71"/>
      <c r="BG18" s="71"/>
      <c r="BH18" s="71"/>
    </row>
    <row r="19" spans="1:60" ht="15" customHeight="1" x14ac:dyDescent="0.3">
      <c r="A19" s="67"/>
      <c r="B19" s="67"/>
      <c r="C19" s="67"/>
      <c r="D19" s="67"/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70"/>
      <c r="BA19" s="70"/>
      <c r="BB19" s="70"/>
      <c r="BC19" s="70"/>
      <c r="BD19" s="70"/>
      <c r="BE19" s="71"/>
      <c r="BF19" s="71"/>
      <c r="BG19" s="71"/>
      <c r="BH19" s="71"/>
    </row>
    <row r="20" spans="1:60" ht="15" customHeight="1" x14ac:dyDescent="0.3">
      <c r="A20" s="67"/>
      <c r="B20" s="67"/>
      <c r="C20" s="67"/>
      <c r="D20" s="67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70"/>
      <c r="BA20" s="70"/>
      <c r="BB20" s="70"/>
      <c r="BC20" s="70"/>
      <c r="BD20" s="70"/>
      <c r="BE20" s="71"/>
      <c r="BF20" s="71"/>
      <c r="BG20" s="71"/>
      <c r="BH20" s="71"/>
    </row>
    <row r="21" spans="1:60" ht="15" customHeight="1" x14ac:dyDescent="0.3">
      <c r="A21" s="67"/>
      <c r="B21" s="67"/>
      <c r="C21" s="67"/>
      <c r="D21" s="67"/>
      <c r="E21" s="67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70"/>
      <c r="BA21" s="70"/>
      <c r="BB21" s="70"/>
      <c r="BC21" s="70"/>
      <c r="BD21" s="70"/>
      <c r="BE21" s="71"/>
      <c r="BF21" s="71"/>
      <c r="BG21" s="71"/>
      <c r="BH21" s="71"/>
    </row>
    <row r="22" spans="1:60" ht="15" customHeight="1" thickBot="1" x14ac:dyDescent="0.35">
      <c r="A22" s="72"/>
      <c r="B22" s="72"/>
      <c r="C22" s="72"/>
      <c r="D22" s="72"/>
      <c r="E22" s="72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5"/>
      <c r="BA22" s="75"/>
      <c r="BB22" s="75"/>
      <c r="BC22" s="75"/>
      <c r="BD22" s="75"/>
      <c r="BE22" s="76"/>
      <c r="BF22" s="76"/>
      <c r="BG22" s="76"/>
      <c r="BH22" s="76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4"/>
  <sheetViews>
    <sheetView showGridLines="0" tabSelected="1" zoomScaleNormal="100" workbookViewId="0">
      <pane ySplit="8" topLeftCell="A9" activePane="bottomLeft" state="frozen"/>
      <selection pane="bottomLeft" activeCell="G23" sqref="G23"/>
    </sheetView>
  </sheetViews>
  <sheetFormatPr defaultColWidth="8.08984375" defaultRowHeight="14.4" x14ac:dyDescent="0.3"/>
  <cols>
    <col min="1" max="1" width="2.54296875" style="1" customWidth="1"/>
    <col min="2" max="3" width="4.08984375" style="1" bestFit="1" customWidth="1"/>
    <col min="4" max="4" width="11.08984375" style="1" bestFit="1" customWidth="1"/>
    <col min="5" max="5" width="10.36328125" style="1" bestFit="1" customWidth="1"/>
    <col min="6" max="6" width="20.453125" style="1" bestFit="1" customWidth="1"/>
    <col min="7" max="7" width="28.81640625" style="1" customWidth="1"/>
    <col min="8" max="8" width="10.81640625" style="1" bestFit="1" customWidth="1"/>
    <col min="9" max="9" width="21" style="1" customWidth="1"/>
    <col min="10" max="10" width="12.08984375" style="1" bestFit="1" customWidth="1"/>
    <col min="11" max="11" width="7.81640625" style="1" customWidth="1"/>
    <col min="12" max="12" width="28.81640625" style="1" customWidth="1"/>
    <col min="13" max="13" width="32" style="1" customWidth="1"/>
    <col min="14" max="14" width="29.08984375" style="1" customWidth="1"/>
    <col min="15" max="15" width="15.54296875" style="1" customWidth="1"/>
    <col min="16" max="16" width="8.08984375" style="1" customWidth="1"/>
    <col min="17" max="16384" width="8.08984375" style="1"/>
  </cols>
  <sheetData>
    <row r="1" spans="2:15" s="77" customFormat="1" ht="5.0999999999999996" customHeight="1" x14ac:dyDescent="0.3"/>
    <row r="2" spans="2:15" s="77" customFormat="1" x14ac:dyDescent="0.3">
      <c r="B2" s="78" t="s">
        <v>33</v>
      </c>
      <c r="C2" s="79"/>
      <c r="D2" s="80"/>
      <c r="E2" s="78" t="s">
        <v>35</v>
      </c>
      <c r="F2" s="80"/>
      <c r="G2" s="81" t="s">
        <v>36</v>
      </c>
      <c r="H2" s="82">
        <f ca="1">変更履歴!AT3</f>
        <v>46198</v>
      </c>
      <c r="I2" s="81" t="s">
        <v>38</v>
      </c>
      <c r="J2" s="83"/>
    </row>
    <row r="3" spans="2:15" s="77" customFormat="1" ht="28.05" customHeight="1" x14ac:dyDescent="0.3">
      <c r="B3" s="84" t="s">
        <v>46</v>
      </c>
      <c r="C3" s="85"/>
      <c r="D3" s="85"/>
      <c r="E3" s="85" t="s">
        <v>49</v>
      </c>
      <c r="F3" s="85"/>
      <c r="G3" s="81" t="s">
        <v>37</v>
      </c>
      <c r="H3" s="86" t="str">
        <f ca="1">変更履歴!BA3</f>
        <v>JBS井田</v>
      </c>
      <c r="I3" s="81" t="s">
        <v>39</v>
      </c>
      <c r="J3" s="86"/>
    </row>
    <row r="4" spans="2:15" s="77" customFormat="1" x14ac:dyDescent="0.3">
      <c r="B4" s="78" t="s">
        <v>41</v>
      </c>
      <c r="C4" s="79"/>
      <c r="D4" s="80"/>
      <c r="E4" s="87" t="s">
        <v>34</v>
      </c>
      <c r="F4" s="78" t="s">
        <v>42</v>
      </c>
      <c r="G4" s="79"/>
      <c r="H4" s="81" t="s">
        <v>40</v>
      </c>
    </row>
    <row r="5" spans="2:15" s="77" customFormat="1" x14ac:dyDescent="0.3">
      <c r="B5" s="88" t="s">
        <v>60</v>
      </c>
      <c r="C5" s="89"/>
      <c r="D5" s="90"/>
      <c r="E5" s="91" t="s">
        <v>62</v>
      </c>
      <c r="F5" s="88" t="s">
        <v>61</v>
      </c>
      <c r="G5" s="90"/>
      <c r="H5" s="92" t="s">
        <v>50</v>
      </c>
    </row>
    <row r="6" spans="2:15" s="77" customFormat="1" x14ac:dyDescent="0.3">
      <c r="O6" s="77" t="s">
        <v>45</v>
      </c>
    </row>
    <row r="7" spans="2:15" x14ac:dyDescent="0.3">
      <c r="B7" s="93"/>
      <c r="C7" s="93"/>
      <c r="D7" s="87" t="s">
        <v>31</v>
      </c>
      <c r="E7" s="81"/>
      <c r="F7" s="94"/>
      <c r="G7" s="81" t="s">
        <v>32</v>
      </c>
      <c r="H7" s="81"/>
      <c r="I7" s="81"/>
      <c r="J7" s="81"/>
      <c r="K7" s="81"/>
      <c r="L7" s="81"/>
      <c r="M7" s="81"/>
      <c r="N7" s="94"/>
      <c r="O7" s="94"/>
    </row>
    <row r="8" spans="2:15" x14ac:dyDescent="0.3">
      <c r="B8" s="95" t="s">
        <v>43</v>
      </c>
      <c r="C8" s="95" t="s">
        <v>1</v>
      </c>
      <c r="D8" s="96" t="s">
        <v>2</v>
      </c>
      <c r="E8" s="96" t="s">
        <v>3</v>
      </c>
      <c r="F8" s="96" t="s">
        <v>0</v>
      </c>
      <c r="G8" s="96" t="s">
        <v>4</v>
      </c>
      <c r="H8" s="96" t="s">
        <v>5</v>
      </c>
      <c r="I8" s="96" t="s">
        <v>30</v>
      </c>
      <c r="J8" s="96" t="s">
        <v>6</v>
      </c>
      <c r="K8" s="96" t="s">
        <v>7</v>
      </c>
      <c r="L8" s="96" t="s">
        <v>8</v>
      </c>
      <c r="M8" s="96" t="s">
        <v>9</v>
      </c>
      <c r="N8" s="96" t="s">
        <v>10</v>
      </c>
      <c r="O8" s="96" t="s">
        <v>44</v>
      </c>
    </row>
    <row r="9" spans="2:15" x14ac:dyDescent="0.3">
      <c r="B9" s="2">
        <f>ROW()-8</f>
        <v>1</v>
      </c>
      <c r="C9" s="2"/>
      <c r="D9" s="2" t="s">
        <v>56</v>
      </c>
      <c r="E9" s="2" t="s">
        <v>75</v>
      </c>
      <c r="F9" s="2" t="s">
        <v>75</v>
      </c>
      <c r="G9" s="97" t="s">
        <v>76</v>
      </c>
      <c r="H9" s="91" t="s">
        <v>79</v>
      </c>
      <c r="I9" s="2" t="s">
        <v>64</v>
      </c>
      <c r="J9" s="2" t="s">
        <v>84</v>
      </c>
      <c r="K9" s="2" t="s">
        <v>86</v>
      </c>
      <c r="L9" s="97" t="s">
        <v>87</v>
      </c>
      <c r="M9" s="2"/>
      <c r="N9" s="3"/>
      <c r="O9" s="3" t="s">
        <v>91</v>
      </c>
    </row>
    <row r="10" spans="2:15" x14ac:dyDescent="0.3">
      <c r="B10" s="2">
        <f t="shared" ref="B10:B34" si="0">ROW()-8</f>
        <v>2</v>
      </c>
      <c r="C10" s="2"/>
      <c r="D10" s="2" t="s">
        <v>56</v>
      </c>
      <c r="E10" s="2" t="s">
        <v>75</v>
      </c>
      <c r="F10" s="2" t="s">
        <v>75</v>
      </c>
      <c r="G10" s="98" t="s">
        <v>85</v>
      </c>
      <c r="H10" s="91" t="s">
        <v>80</v>
      </c>
      <c r="I10" s="2" t="s">
        <v>64</v>
      </c>
      <c r="J10" s="2" t="s">
        <v>55</v>
      </c>
      <c r="K10" s="2">
        <v>20</v>
      </c>
      <c r="L10" s="97" t="s">
        <v>69</v>
      </c>
      <c r="M10" s="2"/>
      <c r="N10" s="3"/>
      <c r="O10" s="3" t="s">
        <v>91</v>
      </c>
    </row>
    <row r="11" spans="2:15" x14ac:dyDescent="0.3">
      <c r="B11" s="2">
        <f t="shared" si="0"/>
        <v>3</v>
      </c>
      <c r="C11" s="2"/>
      <c r="D11" s="2" t="s">
        <v>56</v>
      </c>
      <c r="E11" s="2" t="s">
        <v>75</v>
      </c>
      <c r="F11" s="2" t="s">
        <v>75</v>
      </c>
      <c r="G11" s="97" t="s">
        <v>77</v>
      </c>
      <c r="H11" s="91" t="s">
        <v>81</v>
      </c>
      <c r="I11" s="2" t="s">
        <v>64</v>
      </c>
      <c r="J11" s="2" t="s">
        <v>84</v>
      </c>
      <c r="K11" s="2" t="s">
        <v>86</v>
      </c>
      <c r="L11" s="91" t="s">
        <v>88</v>
      </c>
      <c r="M11" s="2"/>
      <c r="N11" s="3"/>
      <c r="O11" s="3" t="s">
        <v>91</v>
      </c>
    </row>
    <row r="12" spans="2:15" x14ac:dyDescent="0.3">
      <c r="B12" s="2">
        <f t="shared" si="0"/>
        <v>4</v>
      </c>
      <c r="C12" s="2"/>
      <c r="D12" s="2" t="s">
        <v>56</v>
      </c>
      <c r="E12" s="2" t="s">
        <v>75</v>
      </c>
      <c r="F12" s="2" t="s">
        <v>75</v>
      </c>
      <c r="G12" s="91" t="s">
        <v>78</v>
      </c>
      <c r="H12" s="91" t="s">
        <v>82</v>
      </c>
      <c r="I12" s="2" t="s">
        <v>64</v>
      </c>
      <c r="J12" s="2" t="s">
        <v>55</v>
      </c>
      <c r="K12" s="2">
        <v>20</v>
      </c>
      <c r="L12" s="13" t="s">
        <v>87</v>
      </c>
      <c r="M12" s="2"/>
      <c r="N12" s="3"/>
      <c r="O12" s="3" t="s">
        <v>91</v>
      </c>
    </row>
    <row r="13" spans="2:15" x14ac:dyDescent="0.3">
      <c r="B13" s="2">
        <f t="shared" si="0"/>
        <v>5</v>
      </c>
      <c r="C13" s="2"/>
      <c r="D13" s="2" t="s">
        <v>57</v>
      </c>
      <c r="E13" s="2" t="s">
        <v>75</v>
      </c>
      <c r="F13" s="2" t="s">
        <v>75</v>
      </c>
      <c r="G13" s="91" t="s">
        <v>63</v>
      </c>
      <c r="H13" s="91" t="s">
        <v>83</v>
      </c>
      <c r="I13" s="2" t="s">
        <v>64</v>
      </c>
      <c r="J13" s="2" t="s">
        <v>55</v>
      </c>
      <c r="K13" s="2">
        <v>2</v>
      </c>
      <c r="L13" s="13" t="s">
        <v>89</v>
      </c>
      <c r="M13" s="2"/>
      <c r="N13" s="3"/>
      <c r="O13" s="3" t="s">
        <v>90</v>
      </c>
    </row>
    <row r="14" spans="2:15" s="16" customFormat="1" x14ac:dyDescent="0.3">
      <c r="B14" s="14">
        <f t="shared" si="0"/>
        <v>6</v>
      </c>
      <c r="C14" s="14"/>
      <c r="D14" s="14" t="s">
        <v>57</v>
      </c>
      <c r="E14" s="14" t="s">
        <v>56</v>
      </c>
      <c r="F14" s="14" t="s">
        <v>56</v>
      </c>
      <c r="G14" s="99" t="s">
        <v>65</v>
      </c>
      <c r="H14" s="99" t="s">
        <v>51</v>
      </c>
      <c r="I14" s="14" t="s">
        <v>64</v>
      </c>
      <c r="J14" s="14" t="s">
        <v>55</v>
      </c>
      <c r="K14" s="14">
        <v>20</v>
      </c>
      <c r="L14" s="99" t="s">
        <v>70</v>
      </c>
      <c r="M14" s="14"/>
      <c r="N14" s="15"/>
      <c r="O14" s="15" t="s">
        <v>90</v>
      </c>
    </row>
    <row r="15" spans="2:15" s="16" customFormat="1" x14ac:dyDescent="0.3">
      <c r="B15" s="14">
        <f t="shared" si="0"/>
        <v>7</v>
      </c>
      <c r="C15" s="14"/>
      <c r="D15" s="14" t="s">
        <v>57</v>
      </c>
      <c r="E15" s="14" t="s">
        <v>56</v>
      </c>
      <c r="F15" s="14" t="s">
        <v>56</v>
      </c>
      <c r="G15" s="99" t="s">
        <v>66</v>
      </c>
      <c r="H15" s="99" t="s">
        <v>52</v>
      </c>
      <c r="I15" s="14" t="s">
        <v>64</v>
      </c>
      <c r="J15" s="14" t="s">
        <v>71</v>
      </c>
      <c r="K15" s="14"/>
      <c r="L15" s="99" t="s">
        <v>72</v>
      </c>
      <c r="M15" s="14"/>
      <c r="N15" s="15"/>
      <c r="O15" s="15" t="s">
        <v>90</v>
      </c>
    </row>
    <row r="16" spans="2:15" s="16" customFormat="1" x14ac:dyDescent="0.3">
      <c r="B16" s="14">
        <f t="shared" si="0"/>
        <v>8</v>
      </c>
      <c r="C16" s="14"/>
      <c r="D16" s="14" t="s">
        <v>57</v>
      </c>
      <c r="E16" s="14" t="s">
        <v>56</v>
      </c>
      <c r="F16" s="14" t="s">
        <v>56</v>
      </c>
      <c r="G16" s="99" t="s">
        <v>67</v>
      </c>
      <c r="H16" s="99" t="s">
        <v>53</v>
      </c>
      <c r="I16" s="14" t="s">
        <v>64</v>
      </c>
      <c r="J16" s="14" t="s">
        <v>55</v>
      </c>
      <c r="K16" s="14">
        <v>20</v>
      </c>
      <c r="L16" s="99" t="s">
        <v>73</v>
      </c>
      <c r="M16" s="14"/>
      <c r="N16" s="15"/>
      <c r="O16" s="15" t="s">
        <v>90</v>
      </c>
    </row>
    <row r="17" spans="2:15" s="16" customFormat="1" x14ac:dyDescent="0.3">
      <c r="B17" s="14">
        <f t="shared" si="0"/>
        <v>9</v>
      </c>
      <c r="C17" s="14"/>
      <c r="D17" s="14" t="s">
        <v>57</v>
      </c>
      <c r="E17" s="14" t="s">
        <v>56</v>
      </c>
      <c r="F17" s="14" t="s">
        <v>56</v>
      </c>
      <c r="G17" s="99" t="s">
        <v>68</v>
      </c>
      <c r="H17" s="99" t="s">
        <v>54</v>
      </c>
      <c r="I17" s="14" t="s">
        <v>64</v>
      </c>
      <c r="J17" s="14" t="s">
        <v>71</v>
      </c>
      <c r="K17" s="14"/>
      <c r="L17" s="99" t="s">
        <v>74</v>
      </c>
      <c r="M17" s="14"/>
      <c r="N17" s="15"/>
      <c r="O17" s="15" t="s">
        <v>90</v>
      </c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4"/>
      <c r="H20" s="2"/>
      <c r="I20" s="2"/>
      <c r="J20" s="2"/>
      <c r="K20" s="2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4"/>
      <c r="H21" s="2"/>
      <c r="I21" s="2"/>
      <c r="J21" s="2"/>
      <c r="K21" s="2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4"/>
      <c r="H22" s="2"/>
      <c r="I22" s="2"/>
      <c r="J22" s="2"/>
      <c r="K22" s="2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4">
    <cfRule type="expression" dxfId="2" priority="2">
      <formula>J9&lt;&gt;"String"</formula>
    </cfRule>
  </conditionalFormatting>
  <conditionalFormatting sqref="L12:L13">
    <cfRule type="duplicateValues" dxfId="1" priority="6"/>
  </conditionalFormatting>
  <conditionalFormatting sqref="M9:M34">
    <cfRule type="expression" dxfId="0" priority="3">
      <formula>J9&lt;&gt;"Enum"</formula>
    </cfRule>
  </conditionalFormatting>
  <dataValidations count="3">
    <dataValidation type="list" sqref="J9:J34" xr:uid="{0F2C6B20-296D-4AB3-B29A-D5E089405034}">
      <formula1>"String,Integer,Real,Date,Time,UtcDateTime,Enum,Container,Guid,Int64"</formula1>
    </dataValidation>
    <dataValidation type="list" sqref="C9:C34" xr:uid="{4CD43F23-78A4-44D2-80C4-5887477F1224}">
      <formula1>"P,R"</formula1>
    </dataValidation>
    <dataValidation type="list" sqref="D9:F34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4.4" x14ac:dyDescent="0.3"/>
  <cols>
    <col min="1" max="1" width="2.54296875" customWidth="1"/>
  </cols>
  <sheetData>
    <row r="2" spans="2:3" x14ac:dyDescent="0.3">
      <c r="B2" t="s">
        <v>31</v>
      </c>
    </row>
    <row r="3" spans="2:3" x14ac:dyDescent="0.3">
      <c r="B3" s="10" t="s">
        <v>26</v>
      </c>
    </row>
    <row r="4" spans="2:3" x14ac:dyDescent="0.3">
      <c r="B4" s="11" t="s">
        <v>27</v>
      </c>
    </row>
    <row r="5" spans="2:3" x14ac:dyDescent="0.3">
      <c r="B5" s="12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45B92-CF12-4637-9916-73A131A845DA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337c9669-7545-402d-a50a-1c173d0fc4c6"/>
    <ds:schemaRef ds:uri="http://www.w3.org/XML/1998/namespace"/>
    <ds:schemaRef ds:uri="http://schemas.microsoft.com/office/infopath/2007/PartnerControls"/>
    <ds:schemaRef ds:uri="11a06735-eb40-4925-8cde-3ab8c03b2281"/>
    <ds:schemaRef ds:uri="http://purl.org/dc/elements/1.1/"/>
    <ds:schemaRef ds:uri="0e104af9-8863-48b3-a0f9-b99702920d19"/>
    <ds:schemaRef ds:uri="5bd2875c-1d77-4e59-90f4-883ca6a86c01"/>
  </ds:schemaRefs>
</ds:datastoreItem>
</file>

<file path=customXml/itemProps3.xml><?xml version="1.0" encoding="utf-8"?>
<ds:datastoreItem xmlns:ds="http://schemas.openxmlformats.org/officeDocument/2006/customXml" ds:itemID="{312C7435-6E05-45E3-9EB4-5579ACBF2E4E}"/>
</file>

<file path=docMetadata/LabelInfo.xml><?xml version="1.0" encoding="utf-8"?>
<clbl:labelList xmlns:clbl="http://schemas.microsoft.com/office/2020/mipLabelMetadata">
  <clbl:label id="{c19c5025-2d5a-4151-b81a-f8ad855b3a14}" enabled="0" method="" siteId="{c19c5025-2d5a-4151-b81a-f8ad855b3a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Ida, Mizuho</cp:lastModifiedBy>
  <dcterms:created xsi:type="dcterms:W3CDTF">2020-03-26T09:32:47Z</dcterms:created>
  <dcterms:modified xsi:type="dcterms:W3CDTF">2026-07-21T01:08:21Z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