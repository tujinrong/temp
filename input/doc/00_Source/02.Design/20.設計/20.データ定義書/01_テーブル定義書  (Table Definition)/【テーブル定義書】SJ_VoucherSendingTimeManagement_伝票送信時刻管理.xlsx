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1_テーブル定義書  (Table Definition)/"/>
    </mc:Choice>
  </mc:AlternateContent>
  <xr:revisionPtr revIDLastSave="412" documentId="14_{9C4C20AE-50A0-4F1E-9392-9DF994784A94}" xr6:coauthVersionLast="47" xr6:coauthVersionMax="47" xr10:uidLastSave="{F27723A3-3A7A-46D6-A326-DE1D279A06EE}"/>
  <bookViews>
    <workbookView xWindow="-110" yWindow="-110" windowWidth="22780" windowHeight="14540" firstSheet="1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テーブル定義!$A$1:$M$20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 a="1"/>
  <c r="F2" i="9" s="1"/>
  <c r="B8" i="5"/>
  <c r="B9" i="5"/>
  <c r="BA3" i="9" a="1"/>
  <c r="BA3" i="9" l="1"/>
  <c r="BA2" i="9"/>
  <c r="H3" i="5" s="1"/>
  <c r="AT2" i="9"/>
  <c r="H2" i="5" s="1"/>
  <c r="AT3" i="9" a="1"/>
  <c r="M3" i="5" l="1"/>
  <c r="AT3" i="9"/>
  <c r="M2" i="5" l="1"/>
  <c r="B19" i="5"/>
  <c r="B18" i="5"/>
  <c r="B17" i="5"/>
  <c r="B16" i="5"/>
  <c r="B15" i="5"/>
  <c r="B14" i="5"/>
  <c r="B13" i="5"/>
  <c r="B12" i="5"/>
  <c r="B11" i="5"/>
  <c r="B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<sst xmlns="http://schemas.openxmlformats.org/spreadsheetml/2006/main" count="181" uniqueCount="151">
  <si>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</si>
  <si>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</si>
  <si>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</si>
  <si>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</si>
  <si>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</si>
  <si>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</si>
  <si>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</si>
  <si>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</si>
  <si>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</si>
  <si>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</si>
  <si>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</si>
  <si>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</si>
  <si>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</si>
  <si>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</si>
  <si>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</si>
  <si>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JBS福田</t>
    <rPh sb="3" eb="5">
      <t>フクタ</t>
    </rPh>
    <phoneticPr fontId="2"/>
  </si>
  <si>
    <t>1.0</t>
    <phoneticPr fontId="2"/>
  </si>
  <si>
    <t>その他定義</t>
  </si>
  <si>
    <t>テーブルインデックスを追加し、フィールド名にプレフィックスを追加します</t>
  </si>
  <si>
    <t>FPT</t>
  </si>
  <si>
    <t>1.1</t>
  </si>
  <si>
    <t>テーブル定義</t>
    <rPh sb="4" eb="6">
      <t>テイギ</t>
    </rPh>
    <phoneticPr fontId="2"/>
  </si>
  <si>
    <t>「SJ_LastSendingMaximumDateTime」フィールドの型をDate型からUtcDateTime型に修正</t>
    <rPh sb="37" eb="38">
      <t>カタ</t>
    </rPh>
    <rPh sb="43" eb="44">
      <t>ガタ</t>
    </rPh>
    <rPh sb="57" eb="58">
      <t>ガタ</t>
    </rPh>
    <rPh sb="59" eb="61">
      <t>シュウセイ</t>
    </rPh>
    <phoneticPr fontId="2"/>
  </si>
  <si>
    <t>JBS山田</t>
    <rPh sb="3" eb="5">
      <t>ヤマダ</t>
    </rPh>
    <phoneticPr fontId="2"/>
  </si>
  <si>
    <t>1.2</t>
    <phoneticPr fontId="2"/>
  </si>
  <si>
    <t>開発規則に従い、全てのフィールドからPrefix「SJ_」を削除（Add-onテーブルのため）</t>
    <rPh sb="0" eb="4">
      <t>カイハツキソク</t>
    </rPh>
    <rPh sb="5" eb="6">
      <t>シタガ</t>
    </rPh>
    <rPh sb="8" eb="9">
      <t>スベ</t>
    </rPh>
    <rPh sb="30" eb="32">
      <t>サクジョ</t>
    </rPh>
    <phoneticPr fontId="2"/>
  </si>
  <si>
    <t>1.3</t>
    <phoneticPr fontId="2"/>
  </si>
  <si>
    <t>「DataAreaId」フィールド
標準の「DataAreaId」と物理名が重複するため、物理名とEDT、ラベルを変更。
DataAreaId　→　CpmpanyId</t>
    <phoneticPr fontId="2"/>
  </si>
  <si>
    <t>1.4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</si>
  <si>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</si>
  <si>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</si>
  <si>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</si>
  <si>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</si>
  <si>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</si>
  <si>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</si>
  <si>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</si>
  <si>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</si>
  <si>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</si>
  <si>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</si>
  <si>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</si>
  <si>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</si>
  <si>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</si>
  <si>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</si>
  <si>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Save Data Per Company</t>
    <phoneticPr fontId="2"/>
  </si>
  <si>
    <t>伝票送信時刻管理</t>
    <rPh sb="0" eb="2">
      <t>デンピョウ</t>
    </rPh>
    <rPh sb="2" eb="4">
      <t>ソウシン</t>
    </rPh>
    <rPh sb="4" eb="6">
      <t>ジコク</t>
    </rPh>
    <rPh sb="6" eb="8">
      <t>カンリ</t>
    </rPh>
    <phoneticPr fontId="2"/>
  </si>
  <si>
    <t>SJ00510</t>
  </si>
  <si>
    <t>SJ_VoucherSendingTimeManagement</t>
    <phoneticPr fontId="2"/>
  </si>
  <si>
    <t>Regular</t>
  </si>
  <si>
    <t>Miscellaneous</t>
  </si>
  <si>
    <t>アドオン</t>
  </si>
  <si>
    <t>Yes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</si>
  <si>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</si>
  <si>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</si>
  <si>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</si>
  <si>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</si>
  <si>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</si>
  <si>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</si>
  <si>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</si>
  <si>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</si>
  <si>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会社コードID</t>
    <phoneticPr fontId="2"/>
  </si>
  <si>
    <t>SYS16939</t>
    <phoneticPr fontId="2"/>
  </si>
  <si>
    <t>CompanyId</t>
    <phoneticPr fontId="2"/>
  </si>
  <si>
    <t>String</t>
  </si>
  <si>
    <t>NO</t>
  </si>
  <si>
    <t>YES</t>
  </si>
  <si>
    <t>※RecIDをPKとする
2024/12/6 JBS山田
標準の「DataAreaId」と物理名が重複するため、物理名とEDT、ラベルを変更。</t>
    <rPh sb="27" eb="29">
      <t>ヤマダ</t>
    </rPh>
    <rPh sb="30" eb="32">
      <t>ヒョウジュン</t>
    </rPh>
    <rPh sb="46" eb="48">
      <t>ブツリ</t>
    </rPh>
    <rPh sb="48" eb="49">
      <t>メイ</t>
    </rPh>
    <rPh sb="50" eb="52">
      <t>ジュウフク</t>
    </rPh>
    <rPh sb="57" eb="59">
      <t>ブツリ</t>
    </rPh>
    <rPh sb="59" eb="60">
      <t>メイ</t>
    </rPh>
    <rPh sb="69" eb="71">
      <t>ヘンコウ</t>
    </rPh>
    <phoneticPr fontId="2"/>
  </si>
  <si>
    <t>前回送信抽出対象最大日時</t>
    <phoneticPr fontId="2"/>
  </si>
  <si>
    <t>SJ00268</t>
  </si>
  <si>
    <t>LastSendingMaximumDateTime</t>
    <phoneticPr fontId="2"/>
  </si>
  <si>
    <t>UtcDateTime</t>
  </si>
  <si>
    <t>SJ_LastSendingMaximumDateTime</t>
    <phoneticPr fontId="2"/>
  </si>
  <si>
    <t>作成者</t>
  </si>
  <si>
    <t>-</t>
    <phoneticPr fontId="2"/>
  </si>
  <si>
    <t>createdBy</t>
  </si>
  <si>
    <t>CreatedBy</t>
  </si>
  <si>
    <t>system項目　CreatedBy:Yes</t>
    <rPh sb="6" eb="8">
      <t>コウモク</t>
    </rPh>
    <phoneticPr fontId="2"/>
  </si>
  <si>
    <t>作成日時</t>
  </si>
  <si>
    <t>createdDateTime</t>
  </si>
  <si>
    <t>UtcDateTim</t>
  </si>
  <si>
    <t>CreatedDateTime</t>
  </si>
  <si>
    <t>system項目　CreatedDateTime:Yes</t>
    <rPh sb="6" eb="8">
      <t>コウモク</t>
    </rPh>
    <phoneticPr fontId="2"/>
  </si>
  <si>
    <t>更新者</t>
  </si>
  <si>
    <t>modifiedBy</t>
  </si>
  <si>
    <t>ModifiedBy</t>
  </si>
  <si>
    <t>20</t>
    <phoneticPr fontId="2"/>
  </si>
  <si>
    <t>system項目　ModifiedBy:Yes</t>
    <rPh sb="6" eb="8">
      <t>コウモク</t>
    </rPh>
    <phoneticPr fontId="2"/>
  </si>
  <si>
    <t>変更日時</t>
  </si>
  <si>
    <t>modifiedDateTime</t>
  </si>
  <si>
    <t>ModifiedDateTime</t>
  </si>
  <si>
    <t>system項目　ModifiedDateTime:Yes</t>
    <rPh sb="6" eb="8">
      <t>コウモク</t>
    </rPh>
    <phoneticPr fontId="2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</si>
  <si>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</si>
  <si>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</si>
  <si>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</si>
  <si>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</si>
  <si>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</si>
  <si>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</si>
  <si>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</si>
  <si>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</si>
  <si>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フィールド</t>
  </si>
  <si>
    <t>VoucherTimeIdx</t>
  </si>
  <si>
    <t>Yes</t>
  </si>
  <si>
    <t>CompanyId</t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</si>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</sst>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  <font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60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8" fillId="5" borderId="3" xfId="2" applyFont="1" applyFill="1" applyBorder="1" applyAlignment="1">
      <alignment horizontal="center" vertical="center"/>
    </xf>
    <xf numFmtId="49" fontId="8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left" vertical="center"/>
    </xf>
    <xf numFmtId="49" fontId="10" fillId="5" borderId="3" xfId="2" applyNumberFormat="1" applyFont="1" applyFill="1" applyBorder="1">
      <alignment vertical="center"/>
    </xf>
    <xf numFmtId="0" fontId="8" fillId="5" borderId="3" xfId="2" applyFont="1" applyFill="1" applyBorder="1" applyAlignment="1">
      <alignment horizontal="right" vertical="center"/>
    </xf>
    <xf numFmtId="49" fontId="8" fillId="5" borderId="3" xfId="2" applyNumberFormat="1" applyFont="1" applyFill="1" applyBorder="1" applyAlignment="1">
      <alignment horizontal="righ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horizontal="left" vertical="center" wrapText="1"/>
    </xf>
    <xf numFmtId="0" fontId="8" fillId="2" borderId="35" xfId="4" applyFont="1" applyFill="1" applyBorder="1" applyAlignment="1">
      <alignment vertical="center" wrapText="1"/>
    </xf>
    <xf numFmtId="14" fontId="24" fillId="2" borderId="35" xfId="4" applyNumberFormat="1" applyFont="1" applyFill="1" applyBorder="1" applyAlignment="1">
      <alignment horizontal="left" vertical="center"/>
    </xf>
    <xf numFmtId="0" fontId="24" fillId="2" borderId="35" xfId="4" applyFont="1" applyFill="1" applyBorder="1" applyAlignment="1">
      <alignment horizontal="left" vertical="center"/>
    </xf>
    <xf numFmtId="0" fontId="24" fillId="2" borderId="35" xfId="4" applyFont="1" applyFill="1" applyBorder="1" applyAlignment="1">
      <alignment vertical="center" wrapText="1"/>
    </xf>
    <xf numFmtId="0" fontId="24" fillId="2" borderId="35" xfId="4" applyFont="1" applyFill="1" applyBorder="1" applyAlignment="1">
      <alignment vertical="center"/>
    </xf>
    <xf numFmtId="0" fontId="24" fillId="2" borderId="35" xfId="4" applyFont="1" applyFill="1" applyBorder="1" applyAlignment="1">
      <alignment horizontal="center" vertical="center" wrapText="1"/>
    </xf>
    <xf numFmtId="49" fontId="24" fillId="2" borderId="35" xfId="4" applyNumberFormat="1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 wrapText="1"/>
    </xf>
    <xf numFmtId="0" fontId="21" fillId="0" borderId="6" xfId="4" applyFont="1" applyBorder="1" applyAlignment="1">
      <alignment horizontal="left" vertical="center" wrapText="1"/>
    </xf>
    <xf numFmtId="0" fontId="21" fillId="0" borderId="7" xfId="4" applyFont="1" applyBorder="1" applyAlignment="1">
      <alignment horizontal="left" vertical="center" wrapText="1"/>
    </xf>
    <xf numFmtId="0" fontId="21" fillId="0" borderId="11" xfId="4" applyFont="1" applyBorder="1" applyAlignment="1">
      <alignment horizontal="left" vertical="center" wrapText="1"/>
    </xf>
    <xf numFmtId="0" fontId="21" fillId="0" borderId="12" xfId="4" applyFont="1" applyBorder="1" applyAlignment="1">
      <alignment horizontal="left" vertical="center" wrapText="1"/>
    </xf>
    <xf numFmtId="0" fontId="21" fillId="0" borderId="13" xfId="4" applyFont="1" applyBorder="1" applyAlignment="1">
      <alignment horizontal="left" vertical="center" wrapText="1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0" borderId="1" xfId="2" applyFont="1" applyBorder="1" applyAlignment="1">
      <alignment horizontal="left" vertical="center" wrapText="1"/>
    </xf>
    <xf numFmtId="0" fontId="8" fillId="0" borderId="2" xfId="2" applyFont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left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vertical="center"/>
    </xf>
    <xf numFmtId="0" fontId="9" fillId="3" borderId="2" xfId="2" applyFont="1" applyFill="1" applyBorder="1" applyAlignment="1">
      <alignment vertical="center"/>
    </xf>
    <xf numFmtId="0" fontId="9" fillId="3" borderId="4" xfId="2" applyFont="1" applyFill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3" fillId="0" borderId="4" xfId="2" applyFont="1" applyBorder="1" applyAlignment="1">
      <alignment vertical="center"/>
    </xf>
  </cellXfs>
  <cellStyles count="7">
    <cellStyle name="Normal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sqref="A1:E1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64" t="s">
        <v>0</v>
      </c>
      <c r="B1" s="65"/>
      <c r="C1" s="65"/>
      <c r="D1" s="65"/>
      <c r="E1" s="66"/>
      <c r="F1" s="67" t="s">
        <v>1</v>
      </c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9"/>
      <c r="W1" s="70" t="s">
        <v>2</v>
      </c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2"/>
      <c r="AR1" s="70" t="s">
        <v>3</v>
      </c>
      <c r="AS1" s="71"/>
      <c r="AT1" s="71"/>
      <c r="AU1" s="71"/>
      <c r="AV1" s="71"/>
      <c r="AW1" s="71"/>
      <c r="AX1" s="71"/>
      <c r="AY1" s="71"/>
      <c r="AZ1" s="72"/>
      <c r="BA1" s="70" t="s">
        <v>4</v>
      </c>
      <c r="BB1" s="71"/>
      <c r="BC1" s="71"/>
      <c r="BD1" s="71"/>
      <c r="BE1" s="71"/>
      <c r="BF1" s="71"/>
      <c r="BG1" s="71"/>
      <c r="BH1" s="71"/>
      <c r="BI1" s="72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73" t="s">
        <v>5</v>
      </c>
      <c r="B2" s="74"/>
      <c r="C2" s="74"/>
      <c r="D2" s="74"/>
      <c r="E2" s="75"/>
      <c r="F2" s="79" t="e" cm="1">
        <f t="array" aca="1" ref="F2" ca="1">SUBSTITUTE(MID(CELL("filename"),FIND("[",CELL("filename"))+1,FIND("]",CELL("filename"))-FIND("[",CELL("filename"))-1),".xlsx","")</f>
        <v>#VALUE!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1"/>
      <c r="W2" s="85" t="s">
        <v>6</v>
      </c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7"/>
      <c r="AR2" s="91" t="s">
        <v>7</v>
      </c>
      <c r="AS2" s="92"/>
      <c r="AT2" s="93">
        <f>A6</f>
        <v>45518</v>
      </c>
      <c r="AU2" s="94"/>
      <c r="AV2" s="94"/>
      <c r="AW2" s="94"/>
      <c r="AX2" s="94"/>
      <c r="AY2" s="94"/>
      <c r="AZ2" s="95"/>
      <c r="BA2" s="96" t="str">
        <f>AZ6</f>
        <v>JBS福田</v>
      </c>
      <c r="BB2" s="97"/>
      <c r="BC2" s="97"/>
      <c r="BD2" s="97"/>
      <c r="BE2" s="97"/>
      <c r="BF2" s="97"/>
      <c r="BG2" s="97"/>
      <c r="BH2" s="97"/>
      <c r="BI2" s="98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76"/>
      <c r="B3" s="77"/>
      <c r="C3" s="77"/>
      <c r="D3" s="77"/>
      <c r="E3" s="78"/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4"/>
      <c r="W3" s="88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90"/>
      <c r="AR3" s="99" t="s">
        <v>8</v>
      </c>
      <c r="AS3" s="100"/>
      <c r="AT3" s="101" cm="1">
        <f t="array" aca="1" ref="AT3" ca="1">IF(OR(COUNTA(A:E)=3),"",INDIRECT("A"&amp;COUNTA(A:E)+2))</f>
        <v>45632</v>
      </c>
      <c r="AU3" s="102"/>
      <c r="AV3" s="102"/>
      <c r="AW3" s="102"/>
      <c r="AX3" s="102"/>
      <c r="AY3" s="102"/>
      <c r="AZ3" s="103"/>
      <c r="BA3" s="104" t="str" cm="1">
        <f t="array" aca="1" ref="BA3" ca="1">IF(COUNTA(AZ5:BD100000)=1,"",INDIRECT("変更履歴!AZ"&amp;COUNTA(AZ5:BD100000)+4))</f>
        <v>JBS山田</v>
      </c>
      <c r="BB3" s="105"/>
      <c r="BC3" s="105"/>
      <c r="BD3" s="105"/>
      <c r="BE3" s="105"/>
      <c r="BF3" s="105"/>
      <c r="BG3" s="105"/>
      <c r="BH3" s="105"/>
      <c r="BI3" s="106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57" t="s">
        <v>9</v>
      </c>
      <c r="B5" s="57"/>
      <c r="C5" s="57"/>
      <c r="D5" s="57"/>
      <c r="E5" s="57"/>
      <c r="F5" s="57" t="s">
        <v>10</v>
      </c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 t="s">
        <v>11</v>
      </c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 t="s">
        <v>12</v>
      </c>
      <c r="BA5" s="57"/>
      <c r="BB5" s="57"/>
      <c r="BC5" s="57"/>
      <c r="BD5" s="57"/>
      <c r="BE5" s="57" t="s">
        <v>13</v>
      </c>
      <c r="BF5" s="57"/>
      <c r="BG5" s="57"/>
      <c r="BH5" s="57"/>
      <c r="BI5" s="57"/>
    </row>
    <row r="6" spans="1:68" ht="13.5" customHeight="1">
      <c r="A6" s="58">
        <v>45518</v>
      </c>
      <c r="B6" s="58"/>
      <c r="C6" s="58"/>
      <c r="D6" s="58"/>
      <c r="E6" s="58"/>
      <c r="F6" s="59" t="s">
        <v>14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60" t="s">
        <v>14</v>
      </c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1" t="s">
        <v>15</v>
      </c>
      <c r="BA6" s="61"/>
      <c r="BB6" s="61"/>
      <c r="BC6" s="61"/>
      <c r="BD6" s="61"/>
      <c r="BE6" s="62" t="s">
        <v>16</v>
      </c>
      <c r="BF6" s="63"/>
      <c r="BG6" s="63"/>
      <c r="BH6" s="63"/>
      <c r="BI6" s="63"/>
    </row>
    <row r="7" spans="1:68" ht="13.5">
      <c r="A7" s="51">
        <v>45625</v>
      </c>
      <c r="B7" s="51"/>
      <c r="C7" s="51"/>
      <c r="D7" s="51"/>
      <c r="E7" s="51"/>
      <c r="F7" s="52" t="s">
        <v>17</v>
      </c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3" t="s">
        <v>18</v>
      </c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5" t="s">
        <v>19</v>
      </c>
      <c r="BA7" s="55"/>
      <c r="BB7" s="55"/>
      <c r="BC7" s="55"/>
      <c r="BD7" s="55"/>
      <c r="BE7" s="56" t="s">
        <v>20</v>
      </c>
      <c r="BF7" s="56"/>
      <c r="BG7" s="56"/>
      <c r="BH7" s="56"/>
      <c r="BI7" s="56"/>
    </row>
    <row r="8" spans="1:68" ht="13.5">
      <c r="A8" s="39">
        <v>45631</v>
      </c>
      <c r="B8" s="39"/>
      <c r="C8" s="39"/>
      <c r="D8" s="39"/>
      <c r="E8" s="39"/>
      <c r="F8" s="40" t="s">
        <v>21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1" t="s">
        <v>22</v>
      </c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2" t="s">
        <v>23</v>
      </c>
      <c r="BA8" s="42"/>
      <c r="BB8" s="42"/>
      <c r="BC8" s="42"/>
      <c r="BD8" s="42"/>
      <c r="BE8" s="43" t="s">
        <v>24</v>
      </c>
      <c r="BF8" s="43"/>
      <c r="BG8" s="43"/>
      <c r="BH8" s="43"/>
      <c r="BI8" s="43"/>
    </row>
    <row r="9" spans="1:68" ht="13.5">
      <c r="A9" s="39">
        <v>45631</v>
      </c>
      <c r="B9" s="39"/>
      <c r="C9" s="39"/>
      <c r="D9" s="39"/>
      <c r="E9" s="39"/>
      <c r="F9" s="40" t="s">
        <v>21</v>
      </c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50" t="s">
        <v>25</v>
      </c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 t="s">
        <v>23</v>
      </c>
      <c r="BA9" s="42"/>
      <c r="BB9" s="42"/>
      <c r="BC9" s="42"/>
      <c r="BD9" s="42"/>
      <c r="BE9" s="43" t="s">
        <v>26</v>
      </c>
      <c r="BF9" s="43"/>
      <c r="BG9" s="43"/>
      <c r="BH9" s="43"/>
      <c r="BI9" s="43"/>
    </row>
    <row r="10" spans="1:68" ht="42" customHeight="1">
      <c r="A10" s="39">
        <v>45632</v>
      </c>
      <c r="B10" s="39"/>
      <c r="C10" s="39"/>
      <c r="D10" s="39"/>
      <c r="E10" s="39"/>
      <c r="F10" s="40" t="s">
        <v>21</v>
      </c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50" t="s">
        <v>27</v>
      </c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2" t="s">
        <v>23</v>
      </c>
      <c r="BA10" s="42"/>
      <c r="BB10" s="42"/>
      <c r="BC10" s="42"/>
      <c r="BD10" s="42"/>
      <c r="BE10" s="43" t="s">
        <v>28</v>
      </c>
      <c r="BF10" s="43"/>
      <c r="BG10" s="43"/>
      <c r="BH10" s="43"/>
      <c r="BI10" s="43"/>
    </row>
    <row r="11" spans="1:68" ht="15" customHeight="1">
      <c r="A11" s="39"/>
      <c r="B11" s="39"/>
      <c r="C11" s="39"/>
      <c r="D11" s="39"/>
      <c r="E11" s="39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2"/>
      <c r="BA11" s="42"/>
      <c r="BB11" s="42"/>
      <c r="BC11" s="42"/>
      <c r="BD11" s="42"/>
      <c r="BE11" s="43"/>
      <c r="BF11" s="43"/>
      <c r="BG11" s="43"/>
      <c r="BH11" s="43"/>
      <c r="BI11" s="43"/>
    </row>
    <row r="12" spans="1:68" ht="15" customHeight="1">
      <c r="A12" s="39"/>
      <c r="B12" s="39"/>
      <c r="C12" s="39"/>
      <c r="D12" s="39"/>
      <c r="E12" s="39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2"/>
      <c r="BA12" s="42"/>
      <c r="BB12" s="42"/>
      <c r="BC12" s="42"/>
      <c r="BD12" s="42"/>
      <c r="BE12" s="43"/>
      <c r="BF12" s="43"/>
      <c r="BG12" s="43"/>
      <c r="BH12" s="43"/>
      <c r="BI12" s="43"/>
    </row>
    <row r="13" spans="1:68" ht="15" customHeight="1">
      <c r="A13" s="39"/>
      <c r="B13" s="39"/>
      <c r="C13" s="39"/>
      <c r="D13" s="39"/>
      <c r="E13" s="39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2"/>
      <c r="BA13" s="42"/>
      <c r="BB13" s="42"/>
      <c r="BC13" s="42"/>
      <c r="BD13" s="42"/>
      <c r="BE13" s="43"/>
      <c r="BF13" s="43"/>
      <c r="BG13" s="43"/>
      <c r="BH13" s="43"/>
      <c r="BI13" s="43"/>
    </row>
    <row r="14" spans="1:68" ht="15" customHeight="1">
      <c r="A14" s="39"/>
      <c r="B14" s="39"/>
      <c r="C14" s="39"/>
      <c r="D14" s="39"/>
      <c r="E14" s="39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2"/>
      <c r="BA14" s="42"/>
      <c r="BB14" s="42"/>
      <c r="BC14" s="42"/>
      <c r="BD14" s="42"/>
      <c r="BE14" s="43"/>
      <c r="BF14" s="43"/>
      <c r="BG14" s="43"/>
      <c r="BH14" s="43"/>
      <c r="BI14" s="43"/>
    </row>
    <row r="15" spans="1:68" ht="15" customHeight="1">
      <c r="A15" s="39"/>
      <c r="B15" s="39"/>
      <c r="C15" s="39"/>
      <c r="D15" s="39"/>
      <c r="E15" s="39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2"/>
      <c r="BA15" s="42"/>
      <c r="BB15" s="42"/>
      <c r="BC15" s="42"/>
      <c r="BD15" s="42"/>
      <c r="BE15" s="43"/>
      <c r="BF15" s="43"/>
      <c r="BG15" s="43"/>
      <c r="BH15" s="43"/>
      <c r="BI15" s="43"/>
    </row>
    <row r="16" spans="1:68" ht="15" customHeight="1">
      <c r="A16" s="39"/>
      <c r="B16" s="39"/>
      <c r="C16" s="39"/>
      <c r="D16" s="39"/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2"/>
      <c r="BA16" s="42"/>
      <c r="BB16" s="42"/>
      <c r="BC16" s="42"/>
      <c r="BD16" s="42"/>
      <c r="BE16" s="43"/>
      <c r="BF16" s="43"/>
      <c r="BG16" s="43"/>
      <c r="BH16" s="43"/>
      <c r="BI16" s="43"/>
    </row>
    <row r="17" spans="1:61" ht="15" customHeight="1">
      <c r="A17" s="39"/>
      <c r="B17" s="39"/>
      <c r="C17" s="39"/>
      <c r="D17" s="39"/>
      <c r="E17" s="39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2"/>
      <c r="BA17" s="42"/>
      <c r="BB17" s="42"/>
      <c r="BC17" s="42"/>
      <c r="BD17" s="42"/>
      <c r="BE17" s="43"/>
      <c r="BF17" s="43"/>
      <c r="BG17" s="43"/>
      <c r="BH17" s="43"/>
      <c r="BI17" s="43"/>
    </row>
    <row r="18" spans="1:61" ht="15" customHeight="1">
      <c r="A18" s="39"/>
      <c r="B18" s="39"/>
      <c r="C18" s="39"/>
      <c r="D18" s="39"/>
      <c r="E18" s="3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2"/>
      <c r="BA18" s="42"/>
      <c r="BB18" s="42"/>
      <c r="BC18" s="42"/>
      <c r="BD18" s="42"/>
      <c r="BE18" s="43"/>
      <c r="BF18" s="43"/>
      <c r="BG18" s="43"/>
      <c r="BH18" s="43"/>
      <c r="BI18" s="43"/>
    </row>
    <row r="19" spans="1:61" ht="15" customHeight="1">
      <c r="A19" s="39"/>
      <c r="B19" s="39"/>
      <c r="C19" s="39"/>
      <c r="D19" s="39"/>
      <c r="E19" s="39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2"/>
      <c r="BA19" s="42"/>
      <c r="BB19" s="42"/>
      <c r="BC19" s="42"/>
      <c r="BD19" s="42"/>
      <c r="BE19" s="43"/>
      <c r="BF19" s="43"/>
      <c r="BG19" s="43"/>
      <c r="BH19" s="43"/>
      <c r="BI19" s="43"/>
    </row>
    <row r="20" spans="1:61" ht="15" customHeight="1">
      <c r="A20" s="39"/>
      <c r="B20" s="39"/>
      <c r="C20" s="39"/>
      <c r="D20" s="39"/>
      <c r="E20" s="39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2"/>
      <c r="BA20" s="42"/>
      <c r="BB20" s="42"/>
      <c r="BC20" s="42"/>
      <c r="BD20" s="42"/>
      <c r="BE20" s="43"/>
      <c r="BF20" s="43"/>
      <c r="BG20" s="43"/>
      <c r="BH20" s="43"/>
      <c r="BI20" s="43"/>
    </row>
    <row r="21" spans="1:61" ht="15" customHeight="1">
      <c r="A21" s="39"/>
      <c r="B21" s="39"/>
      <c r="C21" s="39"/>
      <c r="D21" s="39"/>
      <c r="E21" s="39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2"/>
      <c r="BA21" s="42"/>
      <c r="BB21" s="42"/>
      <c r="BC21" s="42"/>
      <c r="BD21" s="42"/>
      <c r="BE21" s="43"/>
      <c r="BF21" s="43"/>
      <c r="BG21" s="43"/>
      <c r="BH21" s="43"/>
      <c r="BI21" s="43"/>
    </row>
    <row r="22" spans="1:61" ht="15" customHeight="1" thickBot="1">
      <c r="A22" s="44"/>
      <c r="B22" s="44"/>
      <c r="C22" s="44"/>
      <c r="D22" s="44"/>
      <c r="E22" s="44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7"/>
      <c r="BA22" s="47"/>
      <c r="BB22" s="47"/>
      <c r="BC22" s="47"/>
      <c r="BD22" s="47"/>
      <c r="BE22" s="48"/>
      <c r="BF22" s="48"/>
      <c r="BG22" s="48"/>
      <c r="BH22" s="48"/>
      <c r="BI22" s="48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19"/>
  <sheetViews>
    <sheetView showGridLines="0" tabSelected="1" zoomScale="80" zoomScaleNormal="80" zoomScaleSheetLayoutView="89" workbookViewId="0">
      <selection activeCell="E9" sqref="E9"/>
    </sheetView>
  </sheetViews>
  <sheetFormatPr defaultColWidth="9" defaultRowHeight="12.6"/>
  <cols>
    <col min="1" max="1" width="0.875" style="19" customWidth="1"/>
    <col min="2" max="2" width="3.75" style="19" bestFit="1" customWidth="1"/>
    <col min="3" max="3" width="18.625" style="19" customWidth="1"/>
    <col min="4" max="4" width="14.125" style="19" bestFit="1" customWidth="1"/>
    <col min="5" max="5" width="28.25" style="19" customWidth="1"/>
    <col min="6" max="6" width="9.75" style="19" customWidth="1"/>
    <col min="7" max="7" width="22.375" style="19" customWidth="1"/>
    <col min="8" max="8" width="8.75" style="19" customWidth="1"/>
    <col min="9" max="10" width="5.5" style="19" customWidth="1"/>
    <col min="11" max="11" width="2.625" style="19" customWidth="1"/>
    <col min="12" max="12" width="17" style="19" customWidth="1"/>
    <col min="13" max="13" width="23.25" style="19" customWidth="1"/>
    <col min="14" max="14" width="0.875" style="19" customWidth="1"/>
    <col min="15" max="16384" width="9" style="19"/>
  </cols>
  <sheetData>
    <row r="1" spans="2:13" ht="5.0999999999999996" customHeight="1"/>
    <row r="2" spans="2:13">
      <c r="B2" s="107" t="s">
        <v>29</v>
      </c>
      <c r="C2" s="107"/>
      <c r="D2" s="107"/>
      <c r="E2" s="107" t="s">
        <v>30</v>
      </c>
      <c r="F2" s="107"/>
      <c r="G2" s="20" t="s">
        <v>31</v>
      </c>
      <c r="H2" s="108">
        <f>変更履歴!AT2</f>
        <v>45518</v>
      </c>
      <c r="I2" s="109"/>
      <c r="J2" s="109"/>
      <c r="K2" s="110"/>
      <c r="L2" s="10" t="s">
        <v>32</v>
      </c>
      <c r="M2" s="6">
        <f ca="1">変更履歴!AT3</f>
        <v>45632</v>
      </c>
    </row>
    <row r="3" spans="2:13">
      <c r="B3" s="111" t="s">
        <v>33</v>
      </c>
      <c r="C3" s="111"/>
      <c r="D3" s="111"/>
      <c r="E3" s="111" t="s">
        <v>34</v>
      </c>
      <c r="F3" s="111"/>
      <c r="G3" s="20" t="s">
        <v>35</v>
      </c>
      <c r="H3" s="112" t="str">
        <f>変更履歴!BA2</f>
        <v>JBS福田</v>
      </c>
      <c r="I3" s="113"/>
      <c r="J3" s="113"/>
      <c r="K3" s="114"/>
      <c r="L3" s="10" t="s">
        <v>36</v>
      </c>
      <c r="M3" s="2" t="str">
        <f ca="1">変更履歴!BA3</f>
        <v>JBS山田</v>
      </c>
    </row>
    <row r="4" spans="2:13">
      <c r="B4" s="107" t="s">
        <v>37</v>
      </c>
      <c r="C4" s="107"/>
      <c r="D4" s="9" t="s">
        <v>38</v>
      </c>
      <c r="E4" s="115" t="s">
        <v>39</v>
      </c>
      <c r="F4" s="116"/>
      <c r="G4" s="20" t="s">
        <v>40</v>
      </c>
      <c r="H4" s="154" t="s">
        <v>41</v>
      </c>
      <c r="I4" s="155"/>
      <c r="J4" s="155"/>
      <c r="K4" s="156"/>
      <c r="L4" s="20" t="s">
        <v>42</v>
      </c>
      <c r="M4" s="11" t="s">
        <v>43</v>
      </c>
    </row>
    <row r="5" spans="2:13">
      <c r="B5" s="111" t="s">
        <v>44</v>
      </c>
      <c r="C5" s="111"/>
      <c r="D5" s="1" t="s">
        <v>45</v>
      </c>
      <c r="E5" s="117" t="s">
        <v>46</v>
      </c>
      <c r="F5" s="118"/>
      <c r="G5" s="21" t="s">
        <v>47</v>
      </c>
      <c r="H5" s="119" t="s">
        <v>48</v>
      </c>
      <c r="I5" s="120"/>
      <c r="J5" s="120"/>
      <c r="K5" s="121"/>
      <c r="L5" s="21" t="s">
        <v>49</v>
      </c>
      <c r="M5" s="22" t="s">
        <v>50</v>
      </c>
    </row>
    <row r="6" spans="2:13" ht="5.0999999999999996" customHeight="1"/>
    <row r="7" spans="2:13">
      <c r="B7" s="8" t="s">
        <v>51</v>
      </c>
      <c r="C7" s="8" t="s">
        <v>52</v>
      </c>
      <c r="D7" s="8" t="s">
        <v>38</v>
      </c>
      <c r="E7" s="8" t="s">
        <v>53</v>
      </c>
      <c r="F7" s="8" t="s">
        <v>54</v>
      </c>
      <c r="G7" s="8" t="s">
        <v>55</v>
      </c>
      <c r="H7" s="8" t="s">
        <v>56</v>
      </c>
      <c r="I7" s="8" t="s">
        <v>57</v>
      </c>
      <c r="J7" s="8" t="s">
        <v>58</v>
      </c>
      <c r="K7" s="122"/>
      <c r="L7" s="122"/>
      <c r="M7" s="123"/>
    </row>
    <row r="8" spans="2:13" ht="63.95" customHeight="1">
      <c r="B8" s="2">
        <f t="shared" ref="B8:B19" si="0">ROW()-7</f>
        <v>1</v>
      </c>
      <c r="C8" s="1" t="s">
        <v>59</v>
      </c>
      <c r="D8" s="1" t="s">
        <v>60</v>
      </c>
      <c r="E8" s="23" t="s">
        <v>61</v>
      </c>
      <c r="F8" s="24" t="s">
        <v>62</v>
      </c>
      <c r="G8" s="23" t="s">
        <v>61</v>
      </c>
      <c r="H8" s="3">
        <v>4</v>
      </c>
      <c r="I8" s="2" t="s">
        <v>63</v>
      </c>
      <c r="J8" s="2" t="s">
        <v>64</v>
      </c>
      <c r="K8" s="124" t="s">
        <v>65</v>
      </c>
      <c r="L8" s="125"/>
      <c r="M8" s="118"/>
    </row>
    <row r="9" spans="2:13">
      <c r="B9" s="2">
        <f t="shared" si="0"/>
        <v>2</v>
      </c>
      <c r="C9" s="1" t="s">
        <v>66</v>
      </c>
      <c r="D9" s="1" t="s">
        <v>67</v>
      </c>
      <c r="E9" s="23" t="s">
        <v>68</v>
      </c>
      <c r="F9" s="24" t="s">
        <v>69</v>
      </c>
      <c r="G9" s="23" t="s">
        <v>70</v>
      </c>
      <c r="H9" s="3"/>
      <c r="I9" s="2" t="s">
        <v>63</v>
      </c>
      <c r="J9" s="2" t="s">
        <v>64</v>
      </c>
      <c r="K9" s="117"/>
      <c r="L9" s="125"/>
      <c r="M9" s="118"/>
    </row>
    <row r="10" spans="2:13">
      <c r="B10" s="2">
        <f t="shared" si="0"/>
        <v>3</v>
      </c>
      <c r="C10" s="34" t="s">
        <v>71</v>
      </c>
      <c r="D10" s="35" t="s">
        <v>72</v>
      </c>
      <c r="E10" s="35" t="s">
        <v>73</v>
      </c>
      <c r="F10" s="36" t="s">
        <v>62</v>
      </c>
      <c r="G10" s="35" t="s">
        <v>74</v>
      </c>
      <c r="H10" s="37">
        <v>20</v>
      </c>
      <c r="I10" s="33" t="s">
        <v>63</v>
      </c>
      <c r="J10" s="33" t="s">
        <v>63</v>
      </c>
      <c r="K10" s="126" t="s">
        <v>75</v>
      </c>
      <c r="L10" s="127"/>
      <c r="M10" s="128"/>
    </row>
    <row r="11" spans="2:13">
      <c r="B11" s="2">
        <f t="shared" si="0"/>
        <v>4</v>
      </c>
      <c r="C11" s="34" t="s">
        <v>76</v>
      </c>
      <c r="D11" s="35" t="s">
        <v>72</v>
      </c>
      <c r="E11" s="35" t="s">
        <v>77</v>
      </c>
      <c r="F11" s="36" t="s">
        <v>78</v>
      </c>
      <c r="G11" s="35" t="s">
        <v>79</v>
      </c>
      <c r="H11" s="38"/>
      <c r="I11" s="33" t="s">
        <v>63</v>
      </c>
      <c r="J11" s="33" t="s">
        <v>63</v>
      </c>
      <c r="K11" s="126" t="s">
        <v>80</v>
      </c>
      <c r="L11" s="127"/>
      <c r="M11" s="128"/>
    </row>
    <row r="12" spans="2:13">
      <c r="B12" s="2">
        <f t="shared" si="0"/>
        <v>5</v>
      </c>
      <c r="C12" s="34" t="s">
        <v>81</v>
      </c>
      <c r="D12" s="35" t="s">
        <v>72</v>
      </c>
      <c r="E12" s="35" t="s">
        <v>82</v>
      </c>
      <c r="F12" s="36" t="s">
        <v>62</v>
      </c>
      <c r="G12" s="35" t="s">
        <v>83</v>
      </c>
      <c r="H12" s="38" t="s">
        <v>84</v>
      </c>
      <c r="I12" s="33" t="s">
        <v>63</v>
      </c>
      <c r="J12" s="33" t="s">
        <v>63</v>
      </c>
      <c r="K12" s="126" t="s">
        <v>85</v>
      </c>
      <c r="L12" s="127"/>
      <c r="M12" s="128"/>
    </row>
    <row r="13" spans="2:13">
      <c r="B13" s="2">
        <f t="shared" si="0"/>
        <v>6</v>
      </c>
      <c r="C13" s="34" t="s">
        <v>86</v>
      </c>
      <c r="D13" s="35" t="s">
        <v>72</v>
      </c>
      <c r="E13" s="35" t="s">
        <v>87</v>
      </c>
      <c r="F13" s="36" t="s">
        <v>78</v>
      </c>
      <c r="G13" s="35" t="s">
        <v>88</v>
      </c>
      <c r="H13" s="38"/>
      <c r="I13" s="33" t="s">
        <v>63</v>
      </c>
      <c r="J13" s="33" t="s">
        <v>63</v>
      </c>
      <c r="K13" s="126" t="s">
        <v>89</v>
      </c>
      <c r="L13" s="127"/>
      <c r="M13" s="128"/>
    </row>
    <row r="14" spans="2:13">
      <c r="B14" s="2">
        <f t="shared" si="0"/>
        <v>7</v>
      </c>
      <c r="C14" s="23"/>
      <c r="D14" s="1"/>
      <c r="E14" s="1"/>
      <c r="F14" s="24"/>
      <c r="G14" s="1"/>
      <c r="H14" s="4"/>
      <c r="I14" s="2"/>
      <c r="J14" s="2"/>
      <c r="K14" s="117"/>
      <c r="L14" s="125"/>
      <c r="M14" s="118"/>
    </row>
    <row r="15" spans="2:13">
      <c r="B15" s="2">
        <f t="shared" si="0"/>
        <v>8</v>
      </c>
      <c r="C15" s="23"/>
      <c r="D15" s="1"/>
      <c r="E15" s="1"/>
      <c r="F15" s="24"/>
      <c r="G15" s="1"/>
      <c r="H15" s="4"/>
      <c r="I15" s="2"/>
      <c r="J15" s="2"/>
      <c r="K15" s="117"/>
      <c r="L15" s="125"/>
      <c r="M15" s="118"/>
    </row>
    <row r="16" spans="2:13">
      <c r="B16" s="2">
        <f t="shared" si="0"/>
        <v>9</v>
      </c>
      <c r="C16" s="23"/>
      <c r="D16" s="1"/>
      <c r="E16" s="1"/>
      <c r="F16" s="24"/>
      <c r="G16" s="1"/>
      <c r="H16" s="4"/>
      <c r="I16" s="2"/>
      <c r="J16" s="2"/>
      <c r="K16" s="117"/>
      <c r="L16" s="125"/>
      <c r="M16" s="118"/>
    </row>
    <row r="17" spans="2:13">
      <c r="B17" s="2">
        <f t="shared" si="0"/>
        <v>10</v>
      </c>
      <c r="C17" s="23"/>
      <c r="D17" s="1"/>
      <c r="E17" s="1"/>
      <c r="F17" s="24"/>
      <c r="G17" s="1"/>
      <c r="H17" s="4"/>
      <c r="I17" s="2"/>
      <c r="J17" s="2"/>
      <c r="K17" s="117"/>
      <c r="L17" s="125"/>
      <c r="M17" s="118"/>
    </row>
    <row r="18" spans="2:13">
      <c r="B18" s="2">
        <f t="shared" si="0"/>
        <v>11</v>
      </c>
      <c r="C18" s="23"/>
      <c r="D18" s="1"/>
      <c r="E18" s="1"/>
      <c r="F18" s="24"/>
      <c r="G18" s="1"/>
      <c r="H18" s="4"/>
      <c r="I18" s="2"/>
      <c r="J18" s="2"/>
      <c r="K18" s="117"/>
      <c r="L18" s="125"/>
      <c r="M18" s="118"/>
    </row>
    <row r="19" spans="2:13">
      <c r="B19" s="2">
        <f t="shared" si="0"/>
        <v>12</v>
      </c>
      <c r="C19" s="23"/>
      <c r="D19" s="23"/>
      <c r="E19" s="23"/>
      <c r="F19" s="23"/>
      <c r="G19" s="5"/>
      <c r="H19" s="23"/>
      <c r="I19" s="23"/>
      <c r="J19" s="2"/>
      <c r="K19" s="125"/>
      <c r="L19" s="125"/>
      <c r="M19" s="118"/>
    </row>
  </sheetData>
  <mergeCells count="25">
    <mergeCell ref="K19:M19"/>
    <mergeCell ref="K16:M16"/>
    <mergeCell ref="K10:M10"/>
    <mergeCell ref="K11:M11"/>
    <mergeCell ref="K12:M12"/>
    <mergeCell ref="K13:M13"/>
    <mergeCell ref="K14:M14"/>
    <mergeCell ref="K15:M15"/>
    <mergeCell ref="K7:M7"/>
    <mergeCell ref="K8:M8"/>
    <mergeCell ref="K9:M9"/>
    <mergeCell ref="K17:M17"/>
    <mergeCell ref="K18:M18"/>
    <mergeCell ref="B4:C4"/>
    <mergeCell ref="E4:F4"/>
    <mergeCell ref="H4:K4"/>
    <mergeCell ref="B5:C5"/>
    <mergeCell ref="E5:F5"/>
    <mergeCell ref="H5:K5"/>
    <mergeCell ref="B2:D2"/>
    <mergeCell ref="E2:F2"/>
    <mergeCell ref="H2:K2"/>
    <mergeCell ref="B3:D3"/>
    <mergeCell ref="E3:F3"/>
    <mergeCell ref="H3:K3"/>
  </mergeCells>
  <phoneticPr fontId="2"/>
  <conditionalFormatting sqref="H8:H13">
    <cfRule type="expression" dxfId="0" priority="1">
      <formula>$F8&lt;&gt;"String"</formula>
    </cfRule>
  </conditionalFormatting>
  <dataValidations count="1">
    <dataValidation type="list" allowBlank="1" showInputMessage="1" showErrorMessage="1" sqref="I8:J18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F14:F19 F9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activeCell="T32" sqref="T32"/>
    </sheetView>
  </sheetViews>
  <sheetFormatPr defaultColWidth="2.625" defaultRowHeight="16.5" customHeight="1"/>
  <cols>
    <col min="1" max="12" width="2.625" style="7"/>
    <col min="13" max="17" width="3.375" style="7" customWidth="1"/>
    <col min="18" max="22" width="2.625" style="7"/>
    <col min="23" max="27" width="3.625" style="7" customWidth="1"/>
    <col min="28" max="16384" width="2.625" style="7"/>
  </cols>
  <sheetData>
    <row r="1" spans="1:59" ht="11.25" customHeight="1">
      <c r="A1" s="129" t="s">
        <v>90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1"/>
    </row>
    <row r="2" spans="1:59" ht="11.25" customHeight="1">
      <c r="A2" s="132" t="s">
        <v>51</v>
      </c>
      <c r="B2" s="133"/>
      <c r="C2" s="132" t="s">
        <v>91</v>
      </c>
      <c r="D2" s="134"/>
      <c r="E2" s="134"/>
      <c r="F2" s="134"/>
      <c r="G2" s="134"/>
      <c r="H2" s="134"/>
      <c r="I2" s="134"/>
      <c r="J2" s="134"/>
      <c r="K2" s="134"/>
      <c r="L2" s="133"/>
      <c r="M2" s="132" t="s">
        <v>92</v>
      </c>
      <c r="N2" s="134"/>
      <c r="O2" s="134"/>
      <c r="P2" s="133"/>
      <c r="Q2" s="132" t="s">
        <v>93</v>
      </c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3"/>
      <c r="BB2" s="132" t="s">
        <v>94</v>
      </c>
      <c r="BC2" s="134"/>
      <c r="BD2" s="134"/>
      <c r="BE2" s="134"/>
      <c r="BF2" s="134"/>
      <c r="BG2" s="133"/>
    </row>
    <row r="3" spans="1:59" ht="11.25" customHeight="1">
      <c r="A3" s="135">
        <v>1</v>
      </c>
      <c r="B3" s="136"/>
      <c r="C3" s="137"/>
      <c r="D3" s="138"/>
      <c r="E3" s="138"/>
      <c r="F3" s="138"/>
      <c r="G3" s="138"/>
      <c r="H3" s="138"/>
      <c r="I3" s="138"/>
      <c r="J3" s="138"/>
      <c r="K3" s="138"/>
      <c r="L3" s="139"/>
      <c r="M3" s="140"/>
      <c r="N3" s="141"/>
      <c r="O3" s="141"/>
      <c r="P3" s="142"/>
      <c r="Q3" s="137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9"/>
      <c r="BB3" s="137"/>
      <c r="BC3" s="138"/>
      <c r="BD3" s="138"/>
      <c r="BE3" s="138"/>
      <c r="BF3" s="138"/>
      <c r="BG3" s="139"/>
    </row>
    <row r="4" spans="1:59" ht="11.25" customHeight="1">
      <c r="A4" s="135">
        <v>2</v>
      </c>
      <c r="B4" s="136"/>
      <c r="C4" s="137"/>
      <c r="D4" s="138"/>
      <c r="E4" s="138"/>
      <c r="F4" s="138"/>
      <c r="G4" s="138"/>
      <c r="H4" s="138"/>
      <c r="I4" s="138"/>
      <c r="J4" s="138"/>
      <c r="K4" s="138"/>
      <c r="L4" s="139"/>
      <c r="M4" s="140"/>
      <c r="N4" s="141"/>
      <c r="O4" s="141"/>
      <c r="P4" s="142"/>
      <c r="Q4" s="137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9"/>
      <c r="BB4" s="137"/>
      <c r="BC4" s="138"/>
      <c r="BD4" s="138"/>
      <c r="BE4" s="138"/>
      <c r="BF4" s="138"/>
      <c r="BG4" s="139"/>
    </row>
    <row r="5" spans="1:59" ht="11.25" customHeight="1">
      <c r="A5" s="135">
        <v>3</v>
      </c>
      <c r="B5" s="136"/>
      <c r="C5" s="137"/>
      <c r="D5" s="138"/>
      <c r="E5" s="138"/>
      <c r="F5" s="138"/>
      <c r="G5" s="138"/>
      <c r="H5" s="138"/>
      <c r="I5" s="138"/>
      <c r="J5" s="138"/>
      <c r="K5" s="138"/>
      <c r="L5" s="139"/>
      <c r="M5" s="140"/>
      <c r="N5" s="141"/>
      <c r="O5" s="141"/>
      <c r="P5" s="142"/>
      <c r="Q5" s="137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9"/>
      <c r="BB5" s="137"/>
      <c r="BC5" s="138"/>
      <c r="BD5" s="138"/>
      <c r="BE5" s="138"/>
      <c r="BF5" s="138"/>
      <c r="BG5" s="139"/>
    </row>
    <row r="6" spans="1:59" ht="11.25" customHeight="1">
      <c r="A6" s="135">
        <v>4</v>
      </c>
      <c r="B6" s="136"/>
      <c r="C6" s="137"/>
      <c r="D6" s="138"/>
      <c r="E6" s="138"/>
      <c r="F6" s="138"/>
      <c r="G6" s="138"/>
      <c r="H6" s="138"/>
      <c r="I6" s="138"/>
      <c r="J6" s="138"/>
      <c r="K6" s="138"/>
      <c r="L6" s="139"/>
      <c r="M6" s="140"/>
      <c r="N6" s="141"/>
      <c r="O6" s="141"/>
      <c r="P6" s="142"/>
      <c r="Q6" s="137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9"/>
      <c r="BB6" s="137"/>
      <c r="BC6" s="138"/>
      <c r="BD6" s="138"/>
      <c r="BE6" s="138"/>
      <c r="BF6" s="138"/>
      <c r="BG6" s="139"/>
    </row>
    <row r="7" spans="1:59" ht="11.25" customHeight="1">
      <c r="A7" s="135">
        <v>5</v>
      </c>
      <c r="B7" s="136"/>
      <c r="C7" s="137"/>
      <c r="D7" s="138"/>
      <c r="E7" s="138"/>
      <c r="F7" s="138"/>
      <c r="G7" s="138"/>
      <c r="H7" s="138"/>
      <c r="I7" s="138"/>
      <c r="J7" s="138"/>
      <c r="K7" s="138"/>
      <c r="L7" s="139"/>
      <c r="M7" s="140"/>
      <c r="N7" s="141"/>
      <c r="O7" s="141"/>
      <c r="P7" s="142"/>
      <c r="Q7" s="137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9"/>
      <c r="BB7" s="137"/>
      <c r="BC7" s="138"/>
      <c r="BD7" s="138"/>
      <c r="BE7" s="138"/>
      <c r="BF7" s="138"/>
      <c r="BG7" s="139"/>
    </row>
    <row r="8" spans="1:59" ht="11.25" customHeight="1">
      <c r="A8" s="129" t="s">
        <v>95</v>
      </c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</row>
    <row r="9" spans="1:59" ht="11.25" customHeight="1">
      <c r="A9" s="132" t="s">
        <v>51</v>
      </c>
      <c r="B9" s="133"/>
      <c r="C9" s="132" t="s">
        <v>96</v>
      </c>
      <c r="D9" s="134"/>
      <c r="E9" s="134"/>
      <c r="F9" s="134"/>
      <c r="G9" s="134"/>
      <c r="H9" s="134"/>
      <c r="I9" s="134"/>
      <c r="J9" s="134"/>
      <c r="K9" s="134"/>
      <c r="L9" s="133"/>
      <c r="M9" s="132" t="s">
        <v>97</v>
      </c>
      <c r="N9" s="134"/>
      <c r="O9" s="133"/>
      <c r="P9" s="132" t="s">
        <v>98</v>
      </c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  <c r="AN9" s="134"/>
      <c r="AO9" s="134"/>
      <c r="AP9" s="133"/>
      <c r="AQ9" s="132" t="s">
        <v>94</v>
      </c>
      <c r="AR9" s="134"/>
      <c r="AS9" s="134"/>
      <c r="AT9" s="134"/>
      <c r="AU9" s="134"/>
      <c r="AV9" s="134"/>
      <c r="AW9" s="134"/>
      <c r="AX9" s="134"/>
      <c r="AY9" s="134"/>
      <c r="AZ9" s="134"/>
      <c r="BA9" s="134"/>
      <c r="BB9" s="134"/>
      <c r="BC9" s="134"/>
      <c r="BD9" s="134"/>
      <c r="BE9" s="134"/>
      <c r="BF9" s="134"/>
      <c r="BG9" s="133"/>
    </row>
    <row r="10" spans="1:59" ht="11.25" customHeight="1">
      <c r="A10" s="135">
        <v>1</v>
      </c>
      <c r="B10" s="136"/>
      <c r="C10" s="137" t="s">
        <v>99</v>
      </c>
      <c r="D10" s="138"/>
      <c r="E10" s="138"/>
      <c r="F10" s="138"/>
      <c r="G10" s="138"/>
      <c r="H10" s="138"/>
      <c r="I10" s="138"/>
      <c r="J10" s="138"/>
      <c r="K10" s="138"/>
      <c r="L10" s="139"/>
      <c r="M10" s="143" t="s">
        <v>100</v>
      </c>
      <c r="N10" s="143"/>
      <c r="O10" s="143"/>
      <c r="P10" s="137" t="s">
        <v>101</v>
      </c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9"/>
      <c r="AQ10" s="137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9"/>
    </row>
    <row r="11" spans="1:59" ht="11.25" customHeight="1">
      <c r="A11" s="135">
        <v>2</v>
      </c>
      <c r="B11" s="136"/>
      <c r="C11" s="137"/>
      <c r="D11" s="138"/>
      <c r="E11" s="138"/>
      <c r="F11" s="138"/>
      <c r="G11" s="138"/>
      <c r="H11" s="138"/>
      <c r="I11" s="138"/>
      <c r="J11" s="138"/>
      <c r="K11" s="138"/>
      <c r="L11" s="139"/>
      <c r="M11" s="143"/>
      <c r="N11" s="143"/>
      <c r="O11" s="143"/>
      <c r="P11" s="137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9"/>
      <c r="AQ11" s="137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9"/>
    </row>
    <row r="12" spans="1:59" ht="11.25" customHeight="1">
      <c r="A12" s="135">
        <v>3</v>
      </c>
      <c r="B12" s="136"/>
      <c r="C12" s="137"/>
      <c r="D12" s="138"/>
      <c r="E12" s="138"/>
      <c r="F12" s="138"/>
      <c r="G12" s="138"/>
      <c r="H12" s="138"/>
      <c r="I12" s="138"/>
      <c r="J12" s="138"/>
      <c r="K12" s="138"/>
      <c r="L12" s="139"/>
      <c r="M12" s="143"/>
      <c r="N12" s="143"/>
      <c r="O12" s="143"/>
      <c r="P12" s="137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9"/>
      <c r="AQ12" s="137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9"/>
    </row>
    <row r="13" spans="1:59" ht="11.25" customHeight="1">
      <c r="A13" s="135">
        <v>4</v>
      </c>
      <c r="B13" s="136"/>
      <c r="C13" s="137"/>
      <c r="D13" s="138"/>
      <c r="E13" s="138"/>
      <c r="F13" s="138"/>
      <c r="G13" s="138"/>
      <c r="H13" s="138"/>
      <c r="I13" s="138"/>
      <c r="J13" s="138"/>
      <c r="K13" s="138"/>
      <c r="L13" s="139"/>
      <c r="M13" s="143"/>
      <c r="N13" s="143"/>
      <c r="O13" s="143"/>
      <c r="P13" s="137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9"/>
      <c r="AQ13" s="137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9"/>
    </row>
    <row r="14" spans="1:59" ht="11.25" customHeight="1">
      <c r="A14" s="135">
        <v>5</v>
      </c>
      <c r="B14" s="136"/>
      <c r="C14" s="137"/>
      <c r="D14" s="138"/>
      <c r="E14" s="138"/>
      <c r="F14" s="138"/>
      <c r="G14" s="138"/>
      <c r="H14" s="138"/>
      <c r="I14" s="138"/>
      <c r="J14" s="138"/>
      <c r="K14" s="138"/>
      <c r="L14" s="139"/>
      <c r="M14" s="143"/>
      <c r="N14" s="143"/>
      <c r="O14" s="143"/>
      <c r="P14" s="137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9"/>
      <c r="AQ14" s="137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9"/>
    </row>
    <row r="15" spans="1:59" ht="11.25" customHeight="1">
      <c r="A15" s="129" t="s">
        <v>102</v>
      </c>
      <c r="B15" s="130"/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30"/>
      <c r="N15" s="130"/>
      <c r="O15" s="130"/>
      <c r="P15" s="130"/>
      <c r="Q15" s="130"/>
      <c r="R15" s="130"/>
      <c r="S15" s="130"/>
      <c r="T15" s="130"/>
      <c r="U15" s="130"/>
      <c r="V15" s="130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30"/>
      <c r="AS15" s="130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</row>
    <row r="16" spans="1:59" ht="11.25" customHeight="1">
      <c r="A16" s="132" t="s">
        <v>51</v>
      </c>
      <c r="B16" s="133"/>
      <c r="C16" s="132" t="s">
        <v>103</v>
      </c>
      <c r="D16" s="134"/>
      <c r="E16" s="134"/>
      <c r="F16" s="134"/>
      <c r="G16" s="134"/>
      <c r="H16" s="134"/>
      <c r="I16" s="134"/>
      <c r="J16" s="134"/>
      <c r="K16" s="134"/>
      <c r="L16" s="133"/>
      <c r="M16" s="132" t="s">
        <v>104</v>
      </c>
      <c r="N16" s="134"/>
      <c r="O16" s="134"/>
      <c r="P16" s="134"/>
      <c r="Q16" s="133"/>
      <c r="R16" s="132" t="s">
        <v>105</v>
      </c>
      <c r="S16" s="134"/>
      <c r="T16" s="134"/>
      <c r="U16" s="134"/>
      <c r="V16" s="133"/>
      <c r="W16" s="132" t="s">
        <v>106</v>
      </c>
      <c r="X16" s="134"/>
      <c r="Y16" s="134"/>
      <c r="Z16" s="134"/>
      <c r="AA16" s="133"/>
      <c r="AB16" s="132" t="s">
        <v>107</v>
      </c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3"/>
    </row>
    <row r="17" spans="1:59" ht="11.25" customHeight="1">
      <c r="A17" s="135">
        <v>1</v>
      </c>
      <c r="B17" s="136"/>
      <c r="C17" s="137"/>
      <c r="D17" s="138"/>
      <c r="E17" s="138"/>
      <c r="F17" s="138"/>
      <c r="G17" s="138"/>
      <c r="H17" s="138"/>
      <c r="I17" s="138"/>
      <c r="J17" s="138"/>
      <c r="K17" s="138"/>
      <c r="L17" s="139"/>
      <c r="M17" s="135"/>
      <c r="N17" s="144"/>
      <c r="O17" s="144"/>
      <c r="P17" s="144"/>
      <c r="Q17" s="136"/>
      <c r="R17" s="135"/>
      <c r="S17" s="144"/>
      <c r="T17" s="144"/>
      <c r="U17" s="144"/>
      <c r="V17" s="136"/>
      <c r="W17" s="135"/>
      <c r="X17" s="144"/>
      <c r="Y17" s="144"/>
      <c r="Z17" s="144"/>
      <c r="AA17" s="136"/>
      <c r="AB17" s="137"/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9"/>
    </row>
    <row r="18" spans="1:59" ht="11.25" customHeight="1">
      <c r="A18" s="135">
        <v>2</v>
      </c>
      <c r="B18" s="136"/>
      <c r="C18" s="137"/>
      <c r="D18" s="138"/>
      <c r="E18" s="138"/>
      <c r="F18" s="138"/>
      <c r="G18" s="138"/>
      <c r="H18" s="138"/>
      <c r="I18" s="138"/>
      <c r="J18" s="138"/>
      <c r="K18" s="138"/>
      <c r="L18" s="139"/>
      <c r="M18" s="135"/>
      <c r="N18" s="144"/>
      <c r="O18" s="144"/>
      <c r="P18" s="144"/>
      <c r="Q18" s="136"/>
      <c r="R18" s="135"/>
      <c r="S18" s="144"/>
      <c r="T18" s="144"/>
      <c r="U18" s="144"/>
      <c r="V18" s="136"/>
      <c r="W18" s="135"/>
      <c r="X18" s="144"/>
      <c r="Y18" s="144"/>
      <c r="Z18" s="144"/>
      <c r="AA18" s="136"/>
      <c r="AB18" s="137"/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9"/>
    </row>
    <row r="19" spans="1:59" ht="11.25" customHeight="1">
      <c r="A19" s="135">
        <v>3</v>
      </c>
      <c r="B19" s="136"/>
      <c r="C19" s="137"/>
      <c r="D19" s="138"/>
      <c r="E19" s="138"/>
      <c r="F19" s="138"/>
      <c r="G19" s="138"/>
      <c r="H19" s="138"/>
      <c r="I19" s="138"/>
      <c r="J19" s="138"/>
      <c r="K19" s="138"/>
      <c r="L19" s="139"/>
      <c r="M19" s="135"/>
      <c r="N19" s="144"/>
      <c r="O19" s="144"/>
      <c r="P19" s="144"/>
      <c r="Q19" s="136"/>
      <c r="R19" s="135"/>
      <c r="S19" s="144"/>
      <c r="T19" s="144"/>
      <c r="U19" s="144"/>
      <c r="V19" s="136"/>
      <c r="W19" s="135"/>
      <c r="X19" s="144"/>
      <c r="Y19" s="144"/>
      <c r="Z19" s="144"/>
      <c r="AA19" s="136"/>
      <c r="AB19" s="145"/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9"/>
    </row>
    <row r="20" spans="1:59" ht="11.25" customHeight="1">
      <c r="A20" s="129" t="s">
        <v>108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</row>
    <row r="21" spans="1:59" ht="11.25" customHeight="1">
      <c r="A21" s="132" t="s">
        <v>51</v>
      </c>
      <c r="B21" s="133"/>
      <c r="C21" s="132" t="s">
        <v>109</v>
      </c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3"/>
      <c r="R21" s="132" t="s">
        <v>110</v>
      </c>
      <c r="S21" s="134"/>
      <c r="T21" s="134"/>
      <c r="U21" s="134"/>
      <c r="V21" s="134"/>
      <c r="W21" s="134"/>
      <c r="X21" s="134"/>
      <c r="Y21" s="134"/>
      <c r="Z21" s="134"/>
      <c r="AA21" s="133"/>
      <c r="AB21" s="132" t="s">
        <v>111</v>
      </c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3"/>
      <c r="BB21" s="132" t="s">
        <v>94</v>
      </c>
      <c r="BC21" s="134"/>
      <c r="BD21" s="134"/>
      <c r="BE21" s="134"/>
      <c r="BF21" s="134"/>
      <c r="BG21" s="133"/>
    </row>
    <row r="22" spans="1:59" ht="11.25" customHeight="1">
      <c r="A22" s="135">
        <v>1</v>
      </c>
      <c r="B22" s="136"/>
      <c r="C22" s="137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9"/>
      <c r="R22" s="135"/>
      <c r="S22" s="144"/>
      <c r="T22" s="144"/>
      <c r="U22" s="144"/>
      <c r="V22" s="144"/>
      <c r="W22" s="144"/>
      <c r="X22" s="144"/>
      <c r="Y22" s="144"/>
      <c r="Z22" s="144"/>
      <c r="AA22" s="136"/>
      <c r="AB22" s="137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9"/>
      <c r="BB22" s="137"/>
      <c r="BC22" s="138"/>
      <c r="BD22" s="138"/>
      <c r="BE22" s="138"/>
      <c r="BF22" s="138"/>
      <c r="BG22" s="139"/>
    </row>
    <row r="23" spans="1:59" ht="11.25" customHeight="1">
      <c r="A23" s="135">
        <v>2</v>
      </c>
      <c r="B23" s="136"/>
      <c r="C23" s="137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5"/>
      <c r="S23" s="144"/>
      <c r="T23" s="144"/>
      <c r="U23" s="144"/>
      <c r="V23" s="144"/>
      <c r="W23" s="144"/>
      <c r="X23" s="144"/>
      <c r="Y23" s="144"/>
      <c r="Z23" s="144"/>
      <c r="AA23" s="136"/>
      <c r="AB23" s="137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9"/>
      <c r="BB23" s="137"/>
      <c r="BC23" s="138"/>
      <c r="BD23" s="138"/>
      <c r="BE23" s="138"/>
      <c r="BF23" s="138"/>
      <c r="BG23" s="139"/>
    </row>
    <row r="24" spans="1:59" ht="11.25" customHeight="1">
      <c r="A24" s="135">
        <v>3</v>
      </c>
      <c r="B24" s="136"/>
      <c r="C24" s="137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9"/>
      <c r="R24" s="135"/>
      <c r="S24" s="144"/>
      <c r="T24" s="144"/>
      <c r="U24" s="144"/>
      <c r="V24" s="144"/>
      <c r="W24" s="144"/>
      <c r="X24" s="144"/>
      <c r="Y24" s="144"/>
      <c r="Z24" s="144"/>
      <c r="AA24" s="136"/>
      <c r="AB24" s="137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9"/>
      <c r="BB24" s="137"/>
      <c r="BC24" s="138"/>
      <c r="BD24" s="138"/>
      <c r="BE24" s="138"/>
      <c r="BF24" s="138"/>
      <c r="BG24" s="139"/>
    </row>
    <row r="25" spans="1:59" ht="11.25" customHeight="1">
      <c r="A25" s="150" t="s">
        <v>112</v>
      </c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2"/>
    </row>
    <row r="26" spans="1:59" ht="11.25" customHeight="1">
      <c r="A26" s="146" t="s">
        <v>113</v>
      </c>
      <c r="B26" s="153"/>
      <c r="C26" s="146" t="s">
        <v>114</v>
      </c>
      <c r="D26" s="147"/>
      <c r="E26" s="147"/>
      <c r="F26" s="147"/>
      <c r="G26" s="147"/>
      <c r="H26" s="147"/>
      <c r="I26" s="147"/>
      <c r="J26" s="147"/>
      <c r="K26" s="147"/>
      <c r="L26" s="153"/>
      <c r="M26" s="146" t="s">
        <v>115</v>
      </c>
      <c r="N26" s="147"/>
      <c r="O26" s="147"/>
      <c r="P26" s="147"/>
      <c r="Q26" s="147"/>
      <c r="R26" s="147"/>
      <c r="S26" s="147"/>
      <c r="T26" s="153"/>
      <c r="U26" s="146" t="s">
        <v>116</v>
      </c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53"/>
      <c r="AK26" s="146" t="s">
        <v>117</v>
      </c>
      <c r="AL26" s="147"/>
      <c r="AM26" s="147"/>
      <c r="AN26" s="147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</row>
    <row r="27" spans="1:59" ht="11.25" customHeight="1">
      <c r="A27" s="148">
        <v>1</v>
      </c>
      <c r="B27" s="149"/>
      <c r="C27" s="157"/>
      <c r="D27" s="158"/>
      <c r="E27" s="158"/>
      <c r="F27" s="158"/>
      <c r="G27" s="158"/>
      <c r="H27" s="158"/>
      <c r="I27" s="158"/>
      <c r="J27" s="158"/>
      <c r="K27" s="158"/>
      <c r="L27" s="159"/>
      <c r="M27" s="157"/>
      <c r="N27" s="158"/>
      <c r="O27" s="158"/>
      <c r="P27" s="158"/>
      <c r="Q27" s="158"/>
      <c r="R27" s="158"/>
      <c r="S27" s="158"/>
      <c r="T27" s="159"/>
      <c r="U27" s="157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9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48">
        <v>2</v>
      </c>
      <c r="B28" s="149"/>
      <c r="C28" s="157"/>
      <c r="D28" s="158"/>
      <c r="E28" s="158"/>
      <c r="F28" s="158"/>
      <c r="G28" s="158"/>
      <c r="H28" s="158"/>
      <c r="I28" s="158"/>
      <c r="J28" s="158"/>
      <c r="K28" s="158"/>
      <c r="L28" s="159"/>
      <c r="M28" s="157"/>
      <c r="N28" s="158"/>
      <c r="O28" s="158"/>
      <c r="P28" s="158"/>
      <c r="Q28" s="158"/>
      <c r="R28" s="158"/>
      <c r="S28" s="158"/>
      <c r="T28" s="159"/>
      <c r="U28" s="157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9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48">
        <v>3</v>
      </c>
      <c r="B29" s="149"/>
      <c r="C29" s="157"/>
      <c r="D29" s="158"/>
      <c r="E29" s="158"/>
      <c r="F29" s="158"/>
      <c r="G29" s="158"/>
      <c r="H29" s="158"/>
      <c r="I29" s="158"/>
      <c r="J29" s="158"/>
      <c r="K29" s="158"/>
      <c r="L29" s="159"/>
      <c r="M29" s="157"/>
      <c r="N29" s="158"/>
      <c r="O29" s="158"/>
      <c r="P29" s="158"/>
      <c r="Q29" s="158"/>
      <c r="R29" s="158"/>
      <c r="S29" s="158"/>
      <c r="T29" s="159"/>
      <c r="U29" s="157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9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125" bestFit="1" customWidth="1"/>
    <col min="3" max="3" width="18.625" bestFit="1" customWidth="1"/>
    <col min="4" max="4" width="15.625" bestFit="1" customWidth="1"/>
    <col min="5" max="5" width="13" bestFit="1" customWidth="1"/>
  </cols>
  <sheetData>
    <row r="1" spans="1:5" ht="18.600000000000001" thickBot="1">
      <c r="A1" s="25" t="s">
        <v>118</v>
      </c>
      <c r="B1" s="25" t="s">
        <v>119</v>
      </c>
      <c r="C1" s="26" t="s">
        <v>120</v>
      </c>
      <c r="D1" s="27" t="s">
        <v>121</v>
      </c>
      <c r="E1" s="28" t="s">
        <v>122</v>
      </c>
    </row>
    <row r="2" spans="1:5">
      <c r="A2" s="29" t="s">
        <v>34</v>
      </c>
      <c r="B2" s="29" t="s">
        <v>123</v>
      </c>
      <c r="C2" s="30" t="s">
        <v>124</v>
      </c>
      <c r="D2" s="30" t="s">
        <v>125</v>
      </c>
      <c r="E2" s="29" t="s">
        <v>126</v>
      </c>
    </row>
    <row r="3" spans="1:5" ht="18.600000000000001" thickBot="1">
      <c r="A3" s="31" t="s">
        <v>127</v>
      </c>
      <c r="B3" s="29" t="s">
        <v>128</v>
      </c>
      <c r="C3" s="30" t="s">
        <v>129</v>
      </c>
      <c r="D3" s="32" t="s">
        <v>130</v>
      </c>
      <c r="E3" s="29" t="s">
        <v>131</v>
      </c>
    </row>
    <row r="4" spans="1:5" ht="18.600000000000001" thickBot="1">
      <c r="B4" s="31" t="s">
        <v>132</v>
      </c>
      <c r="C4" s="30" t="s">
        <v>133</v>
      </c>
      <c r="E4" s="29" t="s">
        <v>134</v>
      </c>
    </row>
    <row r="5" spans="1:5">
      <c r="C5" s="29" t="s">
        <v>135</v>
      </c>
      <c r="E5" s="29" t="s">
        <v>136</v>
      </c>
    </row>
    <row r="6" spans="1:5">
      <c r="C6" s="29" t="s">
        <v>137</v>
      </c>
      <c r="E6" s="29" t="s">
        <v>138</v>
      </c>
    </row>
    <row r="7" spans="1:5">
      <c r="C7" s="29" t="s">
        <v>139</v>
      </c>
      <c r="E7" s="29" t="s">
        <v>140</v>
      </c>
    </row>
    <row r="8" spans="1:5">
      <c r="C8" s="29" t="s">
        <v>141</v>
      </c>
      <c r="E8" s="29" t="s">
        <v>142</v>
      </c>
    </row>
    <row r="9" spans="1:5">
      <c r="C9" s="29" t="s">
        <v>143</v>
      </c>
      <c r="E9" s="29" t="s">
        <v>144</v>
      </c>
    </row>
    <row r="10" spans="1:5">
      <c r="C10" s="29" t="s">
        <v>145</v>
      </c>
      <c r="E10" s="29" t="s">
        <v>146</v>
      </c>
    </row>
    <row r="11" spans="1:5" ht="18.600000000000001" thickBot="1">
      <c r="C11" s="29" t="s">
        <v>147</v>
      </c>
      <c r="E11" s="31" t="s">
        <v>148</v>
      </c>
    </row>
    <row r="12" spans="1:5">
      <c r="C12" s="29" t="s">
        <v>149</v>
      </c>
    </row>
    <row r="13" spans="1:5" ht="18.600000000000001" thickBot="1">
      <c r="C13" s="31" t="s">
        <v>150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8CC339F-D4B1-434B-8CC0-0954F0CFB986}"/>
</file>

<file path=customXml/itemProps2.xml><?xml version="1.0" encoding="utf-8"?>
<ds:datastoreItem xmlns:ds="http://schemas.openxmlformats.org/officeDocument/2006/customXml" ds:itemID="{F7AB1546-5799-4C62-84A7-9DFF48E8E62A}"/>
</file>

<file path=customXml/itemProps3.xml><?xml version="1.0" encoding="utf-8"?>
<ds:datastoreItem xmlns:ds="http://schemas.openxmlformats.org/officeDocument/2006/customXml" ds:itemID="{0CD90A09-F9C1-4822-8BFB-245A099C4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Chuong Vu Dinh</cp:lastModifiedBy>
  <cp:revision/>
  <dcterms:created xsi:type="dcterms:W3CDTF">2015-06-05T18:19:34Z</dcterms:created>
  <dcterms:modified xsi:type="dcterms:W3CDTF">2024-12-25T06:55:30Z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