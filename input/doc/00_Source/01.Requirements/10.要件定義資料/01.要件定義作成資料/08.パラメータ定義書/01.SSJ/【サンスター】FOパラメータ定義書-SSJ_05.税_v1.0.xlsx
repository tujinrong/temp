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31.運用保守/06_パラメータ定義書/01_SSJ/"/>
    </mc:Choice>
  </mc:AlternateContent>
  <xr:revisionPtr revIDLastSave="1047" documentId="13_ncr:1_{D55F39FD-6596-42B4-B5B2-37E0A49500D1}" xr6:coauthVersionLast="47" xr6:coauthVersionMax="47" xr10:uidLastSave="{D6382FAA-7825-404D-A086-B1461F6F716B}"/>
  <bookViews>
    <workbookView xWindow="-108" yWindow="-108" windowWidth="23256" windowHeight="13896" tabRatio="778" firstSheet="4" activeTab="10" xr2:uid="{FF37A431-138E-498D-9932-FE4CAD8F52B8}"/>
  </bookViews>
  <sheets>
    <sheet name="表紙" sheetId="351" r:id="rId1"/>
    <sheet name="パラメータ設定一覧" sheetId="343" r:id="rId2"/>
    <sheet name="元帳転記グループ" sheetId="154" r:id="rId3"/>
    <sheet name="元帳転記グループ-設定値" sheetId="155" r:id="rId4"/>
    <sheet name="消費税所轄官庁" sheetId="156" r:id="rId5"/>
    <sheet name="消費税所轄官庁-設定値" sheetId="157" r:id="rId6"/>
    <sheet name="消費税決済期間" sheetId="158" r:id="rId7"/>
    <sheet name="消費税決済期間-設定値" sheetId="159" r:id="rId8"/>
    <sheet name="消費税決済期間_間隔-設定値" sheetId="332" state="hidden" r:id="rId9"/>
    <sheet name="消費税コード" sheetId="160" r:id="rId10"/>
    <sheet name="消費税コード-設定値" sheetId="161" r:id="rId11"/>
    <sheet name="消費税コードの値-設定値 " sheetId="243" r:id="rId12"/>
    <sheet name="消費税グループ" sheetId="162" r:id="rId13"/>
    <sheet name="消費税グループ-設定値" sheetId="163" r:id="rId14"/>
    <sheet name="消費税グループ_設定-設定値" sheetId="333" r:id="rId15"/>
    <sheet name="消費税グループ_小売の宛先に基づく税_設定値" sheetId="334" state="hidden" r:id="rId16"/>
    <sheet name="品目消費税グループ" sheetId="164" r:id="rId17"/>
    <sheet name="品目消費税グループ-設定値" sheetId="165" r:id="rId18"/>
    <sheet name="源泉徴収税コード" sheetId="344" state="hidden" r:id="rId19"/>
    <sheet name="源泉徴収税コード-設定値" sheetId="345" state="hidden" r:id="rId20"/>
    <sheet name="源泉徴収税コードの値-設定値" sheetId="346" state="hidden" r:id="rId21"/>
    <sheet name="源泉徴収税グループ" sheetId="347" state="hidden" r:id="rId22"/>
    <sheet name="源泉徴収税グループ-設定値" sheetId="348" state="hidden" r:id="rId23"/>
  </sheets>
  <externalReferences>
    <externalReference r:id="rId24"/>
  </externalReferences>
  <definedNames>
    <definedName name="_Fill" hidden="1">[1]テーブル仕様!#REF!</definedName>
    <definedName name="_xlnm._FilterDatabase" localSheetId="14" hidden="1">'消費税グループ_設定-設定値'!$A$7:$J$7</definedName>
    <definedName name="_xlnm._FilterDatabase" localSheetId="13" hidden="1">'消費税グループ-設定値'!$A$7:$O$76</definedName>
    <definedName name="_xlnm._FilterDatabase" localSheetId="11" hidden="1">'消費税コードの値-設定値 '!$A$6:$J$6</definedName>
    <definedName name="_xlnm._FilterDatabase" localSheetId="10" hidden="1">'消費税コード-設定値'!$A$7:$AX$76</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55" l="1"/>
  <c r="B61" i="333"/>
  <c r="B60" i="333"/>
  <c r="B59" i="333"/>
  <c r="B58" i="333"/>
  <c r="B57" i="333"/>
  <c r="B56" i="333"/>
  <c r="B55" i="333"/>
  <c r="B54" i="333"/>
  <c r="B53" i="333"/>
  <c r="B52" i="333"/>
  <c r="B51" i="333"/>
  <c r="B61" i="163"/>
  <c r="B60" i="163"/>
  <c r="B59" i="163"/>
  <c r="B58" i="163"/>
  <c r="B57" i="163"/>
  <c r="B56" i="163"/>
  <c r="B55" i="163"/>
  <c r="B54" i="163"/>
  <c r="B53" i="163"/>
  <c r="B52" i="163"/>
  <c r="B51" i="163"/>
  <c r="B60" i="243"/>
  <c r="B59" i="243"/>
  <c r="B58" i="243"/>
  <c r="B57" i="243"/>
  <c r="B56" i="243"/>
  <c r="B55" i="243"/>
  <c r="B54" i="243"/>
  <c r="B53" i="243"/>
  <c r="B52" i="243"/>
  <c r="B51" i="243"/>
  <c r="B50" i="243"/>
  <c r="B61" i="161"/>
  <c r="B60" i="161"/>
  <c r="B59" i="161"/>
  <c r="B58" i="161"/>
  <c r="B57" i="161"/>
  <c r="B56" i="161"/>
  <c r="B55" i="161"/>
  <c r="B54" i="161"/>
  <c r="B53" i="161"/>
  <c r="B52" i="161"/>
  <c r="B51" i="161"/>
  <c r="B75" i="243"/>
  <c r="B76" i="333" l="1"/>
  <c r="B76" i="163"/>
  <c r="B76" i="161"/>
  <c r="B34" i="333"/>
  <c r="B35" i="333"/>
  <c r="B36" i="333"/>
  <c r="B37" i="333"/>
  <c r="B38" i="333"/>
  <c r="B39" i="333"/>
  <c r="B40" i="333"/>
  <c r="B41" i="333"/>
  <c r="B42" i="333"/>
  <c r="B43" i="333"/>
  <c r="B44" i="333"/>
  <c r="B45" i="333"/>
  <c r="B46" i="333"/>
  <c r="B47" i="333"/>
  <c r="B48" i="333"/>
  <c r="B49" i="333"/>
  <c r="B50" i="333"/>
  <c r="B62" i="333"/>
  <c r="B63" i="333"/>
  <c r="B64" i="333"/>
  <c r="B65" i="333"/>
  <c r="B66" i="333"/>
  <c r="B67" i="333"/>
  <c r="B68" i="333"/>
  <c r="B69" i="333"/>
  <c r="B70" i="333"/>
  <c r="B71" i="333"/>
  <c r="B72" i="333"/>
  <c r="B73" i="333"/>
  <c r="B74" i="333"/>
  <c r="B75" i="333"/>
  <c r="B74" i="163"/>
  <c r="B75" i="163"/>
  <c r="B69" i="163"/>
  <c r="B70" i="163"/>
  <c r="B71" i="163"/>
  <c r="B72" i="163"/>
  <c r="B73" i="163"/>
  <c r="B34" i="163"/>
  <c r="B35" i="163"/>
  <c r="B36" i="163"/>
  <c r="B37" i="163"/>
  <c r="B38" i="163"/>
  <c r="B39" i="163"/>
  <c r="B40" i="163"/>
  <c r="B41" i="163"/>
  <c r="B42" i="163"/>
  <c r="B43" i="163"/>
  <c r="B44" i="163"/>
  <c r="B45" i="163"/>
  <c r="B46" i="163"/>
  <c r="B47" i="163"/>
  <c r="B48" i="163"/>
  <c r="B49" i="163"/>
  <c r="B50" i="163"/>
  <c r="B62" i="163"/>
  <c r="B63" i="163"/>
  <c r="B64" i="163"/>
  <c r="B65" i="163"/>
  <c r="B66" i="163"/>
  <c r="B67" i="163"/>
  <c r="B68" i="163"/>
  <c r="B73" i="243"/>
  <c r="B74" i="243"/>
  <c r="B37" i="243"/>
  <c r="B38" i="243"/>
  <c r="B39" i="243"/>
  <c r="B40" i="243"/>
  <c r="B41" i="243"/>
  <c r="B42" i="243"/>
  <c r="B43" i="243"/>
  <c r="B44" i="243"/>
  <c r="B45" i="243"/>
  <c r="B46" i="243"/>
  <c r="B47" i="243"/>
  <c r="B48" i="243"/>
  <c r="B49" i="243"/>
  <c r="B61" i="243"/>
  <c r="B62" i="243"/>
  <c r="B63" i="243"/>
  <c r="B64" i="243"/>
  <c r="B65" i="243"/>
  <c r="B66" i="243"/>
  <c r="B67" i="243"/>
  <c r="B68" i="243"/>
  <c r="B69" i="243"/>
  <c r="B70" i="243"/>
  <c r="B71" i="243"/>
  <c r="B72" i="243"/>
  <c r="B70" i="161"/>
  <c r="B71" i="161"/>
  <c r="B72" i="161"/>
  <c r="B73" i="161"/>
  <c r="B74" i="161"/>
  <c r="B75" i="161"/>
  <c r="B38" i="161"/>
  <c r="B39" i="161"/>
  <c r="B40" i="161"/>
  <c r="B41" i="161"/>
  <c r="B42" i="161"/>
  <c r="B43" i="161"/>
  <c r="B44" i="161"/>
  <c r="B45" i="161"/>
  <c r="B46" i="161"/>
  <c r="B47" i="161"/>
  <c r="B48" i="161"/>
  <c r="B49" i="161"/>
  <c r="B50" i="161"/>
  <c r="B62" i="161"/>
  <c r="B63" i="161"/>
  <c r="B64" i="161"/>
  <c r="B65" i="161"/>
  <c r="B66" i="161"/>
  <c r="B67" i="161"/>
  <c r="B68" i="161"/>
  <c r="B69" i="161"/>
  <c r="B16" i="243" l="1"/>
  <c r="B8" i="348"/>
  <c r="B11" i="348"/>
  <c r="B10" i="348"/>
  <c r="B9" i="348"/>
  <c r="B7" i="348"/>
  <c r="B16" i="346"/>
  <c r="B15" i="346"/>
  <c r="B14" i="346"/>
  <c r="B13" i="346"/>
  <c r="B12" i="346"/>
  <c r="B11" i="346"/>
  <c r="B10" i="346"/>
  <c r="B9" i="346"/>
  <c r="B8" i="346"/>
  <c r="B7" i="346"/>
  <c r="B7" i="165"/>
  <c r="B12" i="334"/>
  <c r="B11" i="334"/>
  <c r="B10" i="334"/>
  <c r="B9" i="334"/>
  <c r="B8" i="334"/>
  <c r="B36" i="334"/>
  <c r="B35" i="334"/>
  <c r="B34" i="334"/>
  <c r="B33" i="334"/>
  <c r="B32" i="334"/>
  <c r="B31" i="334"/>
  <c r="B30" i="334"/>
  <c r="B29" i="334"/>
  <c r="B28" i="334"/>
  <c r="B27" i="334"/>
  <c r="B26" i="334"/>
  <c r="B25" i="334"/>
  <c r="B24" i="334"/>
  <c r="B23" i="334"/>
  <c r="B22" i="334"/>
  <c r="B21" i="334"/>
  <c r="B20" i="334"/>
  <c r="B19" i="334"/>
  <c r="B18" i="334"/>
  <c r="B17" i="334"/>
  <c r="B16" i="334"/>
  <c r="B15" i="334"/>
  <c r="B14" i="334"/>
  <c r="B13" i="334"/>
  <c r="B7" i="334"/>
  <c r="B10" i="333"/>
  <c r="B9" i="333"/>
  <c r="B10" i="163"/>
  <c r="B9" i="163"/>
  <c r="B33" i="243"/>
  <c r="B34" i="243"/>
  <c r="B36" i="243"/>
  <c r="B35" i="243"/>
  <c r="B32" i="243"/>
  <c r="B31" i="243"/>
  <c r="B30" i="243"/>
  <c r="B29" i="243"/>
  <c r="B28" i="243"/>
  <c r="B27" i="243"/>
  <c r="B26" i="243"/>
  <c r="B25" i="243"/>
  <c r="B24" i="243"/>
  <c r="B23" i="243"/>
  <c r="B22" i="243"/>
  <c r="B21" i="243"/>
  <c r="B20" i="243"/>
  <c r="B19" i="243"/>
  <c r="B18" i="243"/>
  <c r="B17" i="243"/>
  <c r="B15" i="243"/>
  <c r="B14" i="243"/>
  <c r="B13" i="243"/>
  <c r="B12" i="243"/>
  <c r="B11" i="243"/>
  <c r="B10" i="243"/>
  <c r="B9" i="243"/>
  <c r="B8" i="243"/>
  <c r="B7" i="243"/>
  <c r="B9" i="161"/>
  <c r="B10" i="161"/>
  <c r="B16" i="332"/>
  <c r="B15" i="332"/>
  <c r="B14" i="332"/>
  <c r="B13" i="332"/>
  <c r="B12" i="332"/>
  <c r="B11" i="332"/>
  <c r="B10" i="332"/>
  <c r="B9" i="332"/>
  <c r="B8" i="332"/>
  <c r="B7" i="332"/>
  <c r="B7" i="159"/>
  <c r="B7" i="157"/>
  <c r="B12" i="158"/>
  <c r="B32" i="333" l="1"/>
  <c r="B22" i="333"/>
  <c r="B32" i="163"/>
  <c r="B22" i="163"/>
  <c r="B37" i="161"/>
  <c r="B32" i="161"/>
  <c r="B22" i="161"/>
  <c r="B23" i="161"/>
  <c r="B24" i="161"/>
  <c r="B25" i="161"/>
  <c r="B26" i="161"/>
  <c r="B27" i="161"/>
  <c r="B28" i="161"/>
  <c r="B29" i="161"/>
  <c r="B30" i="161"/>
  <c r="B31" i="161"/>
  <c r="B33" i="161"/>
  <c r="B34" i="161"/>
  <c r="B35" i="161"/>
  <c r="B36" i="161"/>
  <c r="B30" i="160" l="1"/>
  <c r="B25" i="160"/>
  <c r="B10" i="347"/>
  <c r="B9" i="347"/>
  <c r="B11" i="347"/>
  <c r="B8" i="347"/>
  <c r="B7" i="347"/>
  <c r="B6" i="347"/>
  <c r="B15" i="344"/>
  <c r="B17" i="345"/>
  <c r="B16" i="345"/>
  <c r="B15" i="345"/>
  <c r="B14" i="345"/>
  <c r="B13" i="345"/>
  <c r="B12" i="345"/>
  <c r="B11" i="345"/>
  <c r="B10" i="345"/>
  <c r="B9" i="345"/>
  <c r="B8" i="345"/>
  <c r="B19" i="344"/>
  <c r="B18" i="344"/>
  <c r="B17" i="344"/>
  <c r="B16" i="344"/>
  <c r="B14" i="344"/>
  <c r="B13" i="344"/>
  <c r="B12" i="344"/>
  <c r="B11" i="344"/>
  <c r="B10" i="344"/>
  <c r="B9" i="344"/>
  <c r="B8" i="344"/>
  <c r="B7" i="344"/>
  <c r="B6" i="344"/>
  <c r="B20" i="333" l="1"/>
  <c r="B21" i="333"/>
  <c r="B23" i="333"/>
  <c r="B24" i="333"/>
  <c r="B25" i="333"/>
  <c r="B26" i="333"/>
  <c r="B27" i="333"/>
  <c r="B28" i="333"/>
  <c r="B29" i="333"/>
  <c r="B30" i="333"/>
  <c r="B31" i="333"/>
  <c r="B33" i="333"/>
  <c r="B13" i="163"/>
  <c r="B14" i="163"/>
  <c r="B15" i="163"/>
  <c r="B16" i="163"/>
  <c r="B17" i="163"/>
  <c r="B18" i="163"/>
  <c r="B19" i="163"/>
  <c r="B20" i="163"/>
  <c r="B21" i="163"/>
  <c r="B23" i="163"/>
  <c r="B24" i="163"/>
  <c r="B25" i="163"/>
  <c r="B26" i="163"/>
  <c r="B27" i="163"/>
  <c r="B28" i="163"/>
  <c r="B29" i="163"/>
  <c r="B30" i="163"/>
  <c r="B31" i="163"/>
  <c r="B33" i="163"/>
  <c r="B15" i="161"/>
  <c r="B14" i="161"/>
  <c r="B13" i="161"/>
  <c r="B12" i="161"/>
  <c r="B11" i="161"/>
  <c r="B8" i="161"/>
  <c r="B21" i="161"/>
  <c r="B20" i="161"/>
  <c r="B19" i="161"/>
  <c r="B18" i="161"/>
  <c r="B17" i="161"/>
  <c r="B16" i="161"/>
  <c r="B9" i="343"/>
  <c r="B8" i="343"/>
  <c r="B7" i="343"/>
  <c r="B6" i="343"/>
  <c r="B5" i="343"/>
  <c r="B4" i="343"/>
  <c r="B18" i="333"/>
  <c r="B19" i="333"/>
  <c r="B8" i="155"/>
  <c r="B17" i="333" l="1"/>
  <c r="B16" i="333"/>
  <c r="B15" i="333"/>
  <c r="B14" i="333"/>
  <c r="B12" i="333"/>
  <c r="B13" i="333" l="1"/>
  <c r="B11" i="333"/>
  <c r="B8" i="333"/>
  <c r="B9" i="160" l="1"/>
  <c r="B10" i="160"/>
  <c r="B11" i="160"/>
  <c r="B12" i="160"/>
  <c r="B13" i="160"/>
  <c r="B14" i="160"/>
  <c r="B15" i="160"/>
  <c r="B16" i="160"/>
  <c r="B12" i="163" l="1"/>
  <c r="B11" i="164" l="1"/>
  <c r="B10" i="164"/>
  <c r="B9" i="164"/>
  <c r="B8" i="164"/>
  <c r="B7" i="164"/>
  <c r="B6" i="164"/>
  <c r="B11" i="163"/>
  <c r="B8" i="163"/>
  <c r="B29" i="162"/>
  <c r="B28" i="162"/>
  <c r="B27" i="162"/>
  <c r="B26" i="162"/>
  <c r="B25" i="162"/>
  <c r="B24" i="162"/>
  <c r="B23" i="162"/>
  <c r="B22" i="162"/>
  <c r="B21" i="162"/>
  <c r="B20" i="162"/>
  <c r="B19" i="162"/>
  <c r="B18" i="162"/>
  <c r="B17" i="162"/>
  <c r="B16" i="162"/>
  <c r="B15" i="162"/>
  <c r="B14" i="162"/>
  <c r="B13" i="162"/>
  <c r="B12" i="162"/>
  <c r="B11" i="162"/>
  <c r="B10" i="162"/>
  <c r="B9" i="162"/>
  <c r="B8" i="162"/>
  <c r="B7" i="162"/>
  <c r="B6" i="162"/>
  <c r="B59" i="160"/>
  <c r="B58" i="160"/>
  <c r="B57" i="160"/>
  <c r="B56" i="160"/>
  <c r="B55" i="160"/>
  <c r="B54" i="160"/>
  <c r="B53" i="160"/>
  <c r="B52" i="160"/>
  <c r="B51" i="160"/>
  <c r="B50" i="160"/>
  <c r="B49" i="160"/>
  <c r="B48" i="160"/>
  <c r="B47" i="160"/>
  <c r="B46" i="160"/>
  <c r="B45" i="160"/>
  <c r="B44" i="160"/>
  <c r="B43" i="160"/>
  <c r="B42" i="160"/>
  <c r="B41" i="160"/>
  <c r="B40" i="160"/>
  <c r="B39" i="160"/>
  <c r="B38" i="160"/>
  <c r="B37" i="160"/>
  <c r="B36" i="160"/>
  <c r="B35" i="160"/>
  <c r="B34" i="160"/>
  <c r="B33" i="160"/>
  <c r="B32" i="160"/>
  <c r="B31" i="160"/>
  <c r="B29" i="160"/>
  <c r="B28" i="160"/>
  <c r="B27" i="160"/>
  <c r="B26" i="160"/>
  <c r="B24" i="160"/>
  <c r="B23" i="160"/>
  <c r="B22" i="160"/>
  <c r="B21" i="160"/>
  <c r="B20" i="160"/>
  <c r="B19" i="160"/>
  <c r="B18" i="160"/>
  <c r="B17" i="160"/>
  <c r="B8" i="160"/>
  <c r="B7" i="160"/>
  <c r="B6" i="160"/>
  <c r="B17" i="158"/>
  <c r="B16" i="158"/>
  <c r="B15" i="158"/>
  <c r="B14" i="158"/>
  <c r="B13" i="158"/>
  <c r="B11" i="158"/>
  <c r="B10" i="158"/>
  <c r="B9" i="158"/>
  <c r="B8" i="158"/>
  <c r="B7" i="158"/>
  <c r="B6" i="158"/>
  <c r="B33" i="156"/>
  <c r="B32" i="156"/>
  <c r="B31" i="156"/>
  <c r="B30" i="156"/>
  <c r="B29" i="156"/>
  <c r="B28" i="156"/>
  <c r="B27" i="156"/>
  <c r="B26" i="156"/>
  <c r="B25" i="156"/>
  <c r="B23" i="156"/>
  <c r="B21" i="156"/>
  <c r="B17" i="156"/>
  <c r="B16" i="156"/>
  <c r="B15" i="156"/>
  <c r="B14" i="156"/>
  <c r="B13" i="156"/>
  <c r="B12" i="156"/>
  <c r="B11" i="156"/>
  <c r="B10" i="156"/>
  <c r="B9" i="156"/>
  <c r="B8" i="156"/>
  <c r="B7" i="156"/>
  <c r="B6" i="156"/>
  <c r="B7" i="155"/>
  <c r="B14" i="154"/>
  <c r="B13" i="154"/>
  <c r="B12" i="154"/>
  <c r="B11" i="154"/>
  <c r="B10" i="154"/>
  <c r="B9" i="154"/>
  <c r="B8" i="154"/>
  <c r="B7" i="154"/>
  <c r="B6" i="154"/>
</calcChain>
</file>

<file path=xl/sharedStrings.xml><?xml version="1.0" encoding="utf-8"?>
<sst xmlns="http://schemas.openxmlformats.org/spreadsheetml/2006/main" count="6038" uniqueCount="569">
  <si>
    <t>サンスター株式会社　御中</t>
    <phoneticPr fontId="29"/>
  </si>
  <si>
    <t>会計システム刷新プロジェクト（LIBRA）</t>
    <phoneticPr fontId="29"/>
  </si>
  <si>
    <t>FOパラメータ定義書-SSJ_05.税</t>
    <rPh sb="7" eb="10">
      <t>テイギショ</t>
    </rPh>
    <rPh sb="18" eb="19">
      <t>ゼイ</t>
    </rPh>
    <phoneticPr fontId="12"/>
  </si>
  <si>
    <t>第1.0版</t>
  </si>
  <si>
    <t>日本ビジネスシステムズ株式会社</t>
    <rPh sb="0" eb="2">
      <t>ニホン</t>
    </rPh>
    <rPh sb="11" eb="15">
      <t>カブシキガイシャ</t>
    </rPh>
    <phoneticPr fontId="29"/>
  </si>
  <si>
    <t>作成者</t>
    <rPh sb="0" eb="3">
      <t>サクセイシャ</t>
    </rPh>
    <phoneticPr fontId="29"/>
  </si>
  <si>
    <t>JBS承認者</t>
    <rPh sb="3" eb="6">
      <t>ショウニンシャ</t>
    </rPh>
    <phoneticPr fontId="29"/>
  </si>
  <si>
    <t>＜YYYY/MM/DD＞</t>
    <phoneticPr fontId="29"/>
  </si>
  <si>
    <t>JBS石岡</t>
    <rPh sb="3" eb="5">
      <t>イシオカ</t>
    </rPh>
    <phoneticPr fontId="29"/>
  </si>
  <si>
    <t>氏名</t>
    <rPh sb="0" eb="2">
      <t>シメイ</t>
    </rPh>
    <phoneticPr fontId="29"/>
  </si>
  <si>
    <t>パラメータ設定一覧</t>
  </si>
  <si>
    <t>No</t>
  </si>
  <si>
    <t>該当モジュール</t>
  </si>
  <si>
    <t>法人共通/個別</t>
    <rPh sb="0" eb="4">
      <t>ホウジンキョウツウ</t>
    </rPh>
    <rPh sb="5" eb="7">
      <t>コベツ</t>
    </rPh>
    <phoneticPr fontId="12"/>
  </si>
  <si>
    <t>設定項目</t>
  </si>
  <si>
    <t>GC設定担当者</t>
    <rPh sb="2" eb="4">
      <t>セッテイ</t>
    </rPh>
    <rPh sb="4" eb="7">
      <t>タントウシャ</t>
    </rPh>
    <phoneticPr fontId="12"/>
  </si>
  <si>
    <t>GC設定完了日</t>
    <rPh sb="2" eb="4">
      <t>セッテイ</t>
    </rPh>
    <rPh sb="4" eb="7">
      <t>カンリョウビ</t>
    </rPh>
    <phoneticPr fontId="12"/>
  </si>
  <si>
    <t>説明</t>
  </si>
  <si>
    <t>パス</t>
    <phoneticPr fontId="12"/>
  </si>
  <si>
    <t>税</t>
    <rPh sb="0" eb="1">
      <t>ゼイ</t>
    </rPh>
    <phoneticPr fontId="12"/>
  </si>
  <si>
    <t>個別</t>
    <rPh sb="0" eb="2">
      <t>コベツ</t>
    </rPh>
    <phoneticPr fontId="12"/>
  </si>
  <si>
    <t>元帳転記グループ</t>
  </si>
  <si>
    <t>JBS石岡</t>
    <rPh sb="3" eb="5">
      <t>イシオカ</t>
    </rPh>
    <phoneticPr fontId="12"/>
  </si>
  <si>
    <t>元帳転記のグループ定義となる。</t>
    <rPh sb="0" eb="4">
      <t>モトチョウテンキ</t>
    </rPh>
    <rPh sb="9" eb="11">
      <t>テイギ</t>
    </rPh>
    <phoneticPr fontId="12"/>
  </si>
  <si>
    <t>税＞設定＞消費税＞元帳転記グループ
Tax &gt; Setup &gt; Sales tax &gt; Ledger posting groups</t>
    <rPh sb="2" eb="4">
      <t>セッテイ</t>
    </rPh>
    <phoneticPr fontId="12"/>
  </si>
  <si>
    <t>消費税所轄官庁</t>
    <rPh sb="0" eb="7">
      <t>ショウヒゼイショカツカンチョウ</t>
    </rPh>
    <phoneticPr fontId="12"/>
  </si>
  <si>
    <t>消費税の所轄官庁の定義となる。</t>
    <rPh sb="0" eb="3">
      <t>ショウヒゼイ</t>
    </rPh>
    <rPh sb="4" eb="6">
      <t>ショカツ</t>
    </rPh>
    <rPh sb="6" eb="8">
      <t>カンチョウ</t>
    </rPh>
    <rPh sb="9" eb="11">
      <t>テイギ</t>
    </rPh>
    <phoneticPr fontId="12"/>
  </si>
  <si>
    <t>税＞間接税＞消費税＞消費税所轄官庁
Tax &gt; Indirect taxes &gt; Sales tax &gt; Sales tax authorities</t>
    <phoneticPr fontId="12"/>
  </si>
  <si>
    <t>消費税決済期間</t>
    <rPh sb="0" eb="3">
      <t>ショウヒゼイ</t>
    </rPh>
    <rPh sb="3" eb="5">
      <t>ケッサイ</t>
    </rPh>
    <rPh sb="5" eb="7">
      <t>キカン</t>
    </rPh>
    <phoneticPr fontId="12"/>
  </si>
  <si>
    <t>消費税の決済期間の定義となる。</t>
    <rPh sb="0" eb="3">
      <t>ショウヒゼイ</t>
    </rPh>
    <rPh sb="4" eb="6">
      <t>ケッサイ</t>
    </rPh>
    <rPh sb="6" eb="8">
      <t>キカン</t>
    </rPh>
    <rPh sb="9" eb="11">
      <t>テイギ</t>
    </rPh>
    <phoneticPr fontId="12"/>
  </si>
  <si>
    <t>税＞間接税＞消費税＞消費税決済期間
Tax &gt; Indirect taxes &gt; Sales tax &gt; Sales tax settlement periods</t>
    <phoneticPr fontId="12"/>
  </si>
  <si>
    <t>消費税コード</t>
    <rPh sb="0" eb="3">
      <t>ショウヒゼイ</t>
    </rPh>
    <phoneticPr fontId="12"/>
  </si>
  <si>
    <t>消費税コードの定義となる。</t>
    <rPh sb="0" eb="3">
      <t>ショウヒゼイ</t>
    </rPh>
    <rPh sb="7" eb="9">
      <t>テイギ</t>
    </rPh>
    <phoneticPr fontId="12"/>
  </si>
  <si>
    <t>税＞間接税＞消費税＞消費税コード
Tax &gt; Indirect taxes &gt; Sales tax &gt; Sales tax codes</t>
    <phoneticPr fontId="12"/>
  </si>
  <si>
    <t>消費税グループ</t>
    <rPh sb="0" eb="3">
      <t>ショウヒゼイ</t>
    </rPh>
    <phoneticPr fontId="12"/>
  </si>
  <si>
    <t>消費税のグループ定義となる。</t>
    <rPh sb="0" eb="3">
      <t>ショウヒゼイ</t>
    </rPh>
    <rPh sb="8" eb="10">
      <t>テイギ</t>
    </rPh>
    <phoneticPr fontId="12"/>
  </si>
  <si>
    <t>税＞間接税＞消費税＞消費税グループ
Tax &gt; Indirect taxes &gt; Sales tax &gt; Sales tax groups</t>
    <phoneticPr fontId="12"/>
  </si>
  <si>
    <t>品目消費税グループ</t>
    <rPh sb="0" eb="5">
      <t>ヒンモクショウヒゼイ</t>
    </rPh>
    <phoneticPr fontId="12"/>
  </si>
  <si>
    <t>品目消費税のグループ定義となる。</t>
    <rPh sb="0" eb="2">
      <t>ヒンモク</t>
    </rPh>
    <rPh sb="2" eb="5">
      <t>ショウヒゼイ</t>
    </rPh>
    <rPh sb="10" eb="12">
      <t>テイギ</t>
    </rPh>
    <phoneticPr fontId="12"/>
  </si>
  <si>
    <t>税＞間接税＞消費税＞品目消費税グループ
Tax &gt; Indirect taxes &gt; Sales tax &gt; Item sales tax groups</t>
    <phoneticPr fontId="12"/>
  </si>
  <si>
    <t>元帳転記グループ</t>
    <phoneticPr fontId="12"/>
  </si>
  <si>
    <t>税＞設定＞消費税＞元帳転記グループ</t>
    <rPh sb="2" eb="4">
      <t>セッテイ</t>
    </rPh>
    <phoneticPr fontId="12"/>
  </si>
  <si>
    <t>Tax &gt; Setup &gt; Sales tax &gt; Ledger posting groups</t>
    <phoneticPr fontId="12"/>
  </si>
  <si>
    <t>パラメータ設定一覧へ</t>
  </si>
  <si>
    <t>#</t>
  </si>
  <si>
    <t>タブ</t>
  </si>
  <si>
    <t>タブ説明</t>
    <rPh sb="2" eb="4">
      <t>セツメイ</t>
    </rPh>
    <phoneticPr fontId="20"/>
  </si>
  <si>
    <t>項目分類</t>
    <rPh sb="0" eb="2">
      <t>コウモク</t>
    </rPh>
    <rPh sb="2" eb="4">
      <t>ブンルイ</t>
    </rPh>
    <phoneticPr fontId="15"/>
  </si>
  <si>
    <t>項目</t>
  </si>
  <si>
    <t>項目説明</t>
    <rPh sb="0" eb="2">
      <t>コウモク</t>
    </rPh>
    <rPh sb="2" eb="4">
      <t>セツメイ</t>
    </rPh>
    <phoneticPr fontId="15"/>
  </si>
  <si>
    <t>設定可能値</t>
  </si>
  <si>
    <t>デフォルト値</t>
    <rPh sb="5" eb="6">
      <t>チ</t>
    </rPh>
    <phoneticPr fontId="20"/>
  </si>
  <si>
    <t>備考</t>
  </si>
  <si>
    <t>設定値</t>
  </si>
  <si>
    <t>設定基準</t>
  </si>
  <si>
    <t>概要</t>
    <rPh sb="0" eb="2">
      <t>ガイヨウ</t>
    </rPh>
    <phoneticPr fontId="12"/>
  </si>
  <si>
    <t>元帳転記グループ</t>
    <rPh sb="0" eb="2">
      <t>モトチョウ</t>
    </rPh>
    <rPh sb="2" eb="4">
      <t>テンキ</t>
    </rPh>
    <phoneticPr fontId="12"/>
  </si>
  <si>
    <t>元帳転記グループ</t>
    <rPh sb="0" eb="4">
      <t>モトチョウテンキ</t>
    </rPh>
    <phoneticPr fontId="12"/>
  </si>
  <si>
    <t>文字列</t>
    <rPh sb="0" eb="3">
      <t>モジレツ</t>
    </rPh>
    <phoneticPr fontId="12"/>
  </si>
  <si>
    <t>ー</t>
  </si>
  <si>
    <t>「元帳転記グループ-設定値」を参照</t>
    <rPh sb="1" eb="5">
      <t>モトチョウテンキ</t>
    </rPh>
    <rPh sb="10" eb="13">
      <t>セッテイチ</t>
    </rPh>
    <rPh sb="15" eb="17">
      <t>サンショウ</t>
    </rPh>
    <phoneticPr fontId="12"/>
  </si>
  <si>
    <t>説明</t>
    <rPh sb="0" eb="2">
      <t>セツメイ</t>
    </rPh>
    <phoneticPr fontId="12"/>
  </si>
  <si>
    <t>「元帳転記グループ-設定値」を参照</t>
  </si>
  <si>
    <t>一般</t>
    <rPh sb="0" eb="2">
      <t>イッパン</t>
    </rPh>
    <phoneticPr fontId="12"/>
  </si>
  <si>
    <t>仮受消費税</t>
  </si>
  <si>
    <t>主勘定（ユーザー定義）</t>
    <rPh sb="0" eb="1">
      <t>シュ</t>
    </rPh>
    <rPh sb="1" eb="3">
      <t>カンジョウ</t>
    </rPh>
    <phoneticPr fontId="12"/>
  </si>
  <si>
    <t>仮払消費税</t>
  </si>
  <si>
    <t>使用税経費</t>
    <rPh sb="0" eb="2">
      <t>シヨウ</t>
    </rPh>
    <rPh sb="2" eb="3">
      <t>ゼイ</t>
    </rPh>
    <rPh sb="3" eb="5">
      <t>ケイヒ</t>
    </rPh>
    <phoneticPr fontId="12"/>
  </si>
  <si>
    <t>使用税支払勘定</t>
    <rPh sb="0" eb="2">
      <t>シヨウ</t>
    </rPh>
    <rPh sb="2" eb="3">
      <t>ゼイ</t>
    </rPh>
    <rPh sb="3" eb="5">
      <t>シハライ</t>
    </rPh>
    <rPh sb="5" eb="7">
      <t>カンジョウ</t>
    </rPh>
    <phoneticPr fontId="12"/>
  </si>
  <si>
    <t>決済勘定</t>
    <rPh sb="0" eb="2">
      <t>ケッサイ</t>
    </rPh>
    <rPh sb="2" eb="4">
      <t>カンジョウ</t>
    </rPh>
    <phoneticPr fontId="12"/>
  </si>
  <si>
    <t>仕入先現金割引</t>
    <rPh sb="0" eb="3">
      <t>シイレサキ</t>
    </rPh>
    <rPh sb="3" eb="5">
      <t>ゲンキン</t>
    </rPh>
    <rPh sb="5" eb="7">
      <t>ワリビキ</t>
    </rPh>
    <phoneticPr fontId="12"/>
  </si>
  <si>
    <t>顧客現金割引</t>
    <rPh sb="0" eb="2">
      <t>コキャク</t>
    </rPh>
    <rPh sb="2" eb="4">
      <t>ゲンキン</t>
    </rPh>
    <rPh sb="4" eb="6">
      <t>ワリビキ</t>
    </rPh>
    <phoneticPr fontId="12"/>
  </si>
  <si>
    <t>元帳転記グループ-設定値</t>
    <phoneticPr fontId="12"/>
  </si>
  <si>
    <t>仮受消費税</t>
    <rPh sb="0" eb="2">
      <t>カリウ</t>
    </rPh>
    <rPh sb="2" eb="5">
      <t>ショウヒゼイ</t>
    </rPh>
    <phoneticPr fontId="12"/>
  </si>
  <si>
    <t>仮払消費税</t>
    <rPh sb="0" eb="2">
      <t>カリバラ</t>
    </rPh>
    <rPh sb="2" eb="5">
      <t>ショウヒゼイ</t>
    </rPh>
    <phoneticPr fontId="12"/>
  </si>
  <si>
    <t>（ユーザー定義）</t>
    <rPh sb="5" eb="7">
      <t>テイギ</t>
    </rPh>
    <phoneticPr fontId="12"/>
  </si>
  <si>
    <t>TAX1</t>
    <phoneticPr fontId="12"/>
  </si>
  <si>
    <t>預り消費税用</t>
    <phoneticPr fontId="12"/>
  </si>
  <si>
    <t>2090201</t>
    <phoneticPr fontId="12"/>
  </si>
  <si>
    <t>1150301</t>
    <phoneticPr fontId="12"/>
  </si>
  <si>
    <t>-</t>
    <phoneticPr fontId="12"/>
  </si>
  <si>
    <t>TAX2</t>
    <phoneticPr fontId="12"/>
  </si>
  <si>
    <t>仮払消費税用</t>
    <phoneticPr fontId="12"/>
  </si>
  <si>
    <t>消費税所轄官庁</t>
    <phoneticPr fontId="12"/>
  </si>
  <si>
    <t>税＞間接税＞消費税＞消費税所轄官庁</t>
    <phoneticPr fontId="12"/>
  </si>
  <si>
    <t>Tax &gt; Indirect taxes &gt; Sales tax &gt; Sales tax authorities</t>
    <phoneticPr fontId="12"/>
  </si>
  <si>
    <t>所轄官庁</t>
    <rPh sb="0" eb="2">
      <t>ショカツ</t>
    </rPh>
    <rPh sb="2" eb="4">
      <t>カンチョウ</t>
    </rPh>
    <phoneticPr fontId="12"/>
  </si>
  <si>
    <t>「消費税所轄官庁-設定値」を参照</t>
  </si>
  <si>
    <t>名前</t>
    <rPh sb="0" eb="2">
      <t>ナマエ</t>
    </rPh>
    <phoneticPr fontId="12"/>
  </si>
  <si>
    <t>「消費税所轄官庁-設定値」を参照</t>
    <rPh sb="1" eb="8">
      <t>ショウヒゼイショカツカンチョウ</t>
    </rPh>
    <rPh sb="9" eb="12">
      <t>セッテイチ</t>
    </rPh>
    <rPh sb="14" eb="16">
      <t>サンショウ</t>
    </rPh>
    <phoneticPr fontId="12"/>
  </si>
  <si>
    <t>当局ID</t>
    <rPh sb="0" eb="2">
      <t>トウキョク</t>
    </rPh>
    <phoneticPr fontId="12"/>
  </si>
  <si>
    <t>仕入先</t>
    <rPh sb="0" eb="3">
      <t>シイレサキ</t>
    </rPh>
    <phoneticPr fontId="12"/>
  </si>
  <si>
    <t>消費税所轄官庁に設定される仕入先勘定を選択します。このフィールドで適切な仕入先勘定が選択されていない場合、選択した消費税所轄官庁への定期的な消費税支払は、法人の支払ルーティンの一部として作成されず、手動で作成する必要があります。</t>
  </si>
  <si>
    <t>仕入先（ユーザー定義）</t>
    <rPh sb="0" eb="3">
      <t>シイレサキ</t>
    </rPh>
    <phoneticPr fontId="12"/>
  </si>
  <si>
    <t>売上税所轄官庁を仕入先として設定しない場合は、適切な期日に売上税所轄官庁への手動支払を準備する必要があります。</t>
  </si>
  <si>
    <t>レポートのレイアウト</t>
  </si>
  <si>
    <t>消費税所轄官庁への税金レポートで使用されるレポートのレイアウトを選択します。ここで選択したレポートのレイアウトは、消費税コードページの消費税所轄官庁の消費税コードごとに割り当てられます。このフィールドでのみレポートのレイアウトを変更できます。</t>
  </si>
  <si>
    <t>・既定
・ノルウェー語のレポートのレイアウト
・英語ののレポートのレイアウト
・スウェーデン語のレポートのレイアウト
・ドイツ語のレポートのレイアウト
・オーストラリア語のレポートのレイアウト
・オランダ語のレポートのレイアウト
・米国のレポートのレイアウト
・イタリアのレポートのレイアウト
・ベルギー レポートのレイアウト
・シンガポールの報告書レイアウト
（・日本の報告書レイアウト）
・フィンランド のレポートのレイアウト</t>
    <rPh sb="1" eb="3">
      <t>キテイ</t>
    </rPh>
    <rPh sb="10" eb="11">
      <t>ゴ</t>
    </rPh>
    <rPh sb="24" eb="26">
      <t>エイゴ</t>
    </rPh>
    <rPh sb="46" eb="47">
      <t>ゴ</t>
    </rPh>
    <rPh sb="63" eb="64">
      <t>ゴ</t>
    </rPh>
    <rPh sb="84" eb="85">
      <t>ゴ</t>
    </rPh>
    <rPh sb="102" eb="103">
      <t>ゴ</t>
    </rPh>
    <rPh sb="116" eb="118">
      <t>ベイコク</t>
    </rPh>
    <rPh sb="172" eb="175">
      <t>ホウコクショ</t>
    </rPh>
    <rPh sb="183" eb="185">
      <t>ニホン</t>
    </rPh>
    <rPh sb="186" eb="189">
      <t>ホウコクショ</t>
    </rPh>
    <phoneticPr fontId="12"/>
  </si>
  <si>
    <t>既定</t>
    <rPh sb="0" eb="2">
      <t>キテイ</t>
    </rPh>
    <phoneticPr fontId="12"/>
  </si>
  <si>
    <t>丸めのフォーム</t>
    <rPh sb="0" eb="1">
      <t>マル</t>
    </rPh>
    <phoneticPr fontId="12"/>
  </si>
  <si>
    <t>消費税所轄官庁に支払う消費税額の丸めに使用される方法を指定します。消費税支払を実行すると、ここで選択した丸め方法に従って、支払対象の合計残高が丸められます。次のオプションを [丸め] フィールドで指定された単位の右側の数値を丸める場合に使用できます : [標準] (5 以上の数字を切り上げ、5 未満の数字を切り捨てます)、[切り捨て] (数値をすべて切り捨てます)、[切り上げ] (数値をすべて切り上げます)、[自社の利益] (すべての数値を法人の利益なるように丸めます)。</t>
  </si>
  <si>
    <t>・標準
・切り捨て
・切り上げ
・自社の利益</t>
    <rPh sb="1" eb="3">
      <t>ヒョウジュン</t>
    </rPh>
    <rPh sb="5" eb="6">
      <t>キ</t>
    </rPh>
    <rPh sb="7" eb="8">
      <t>ス</t>
    </rPh>
    <rPh sb="11" eb="12">
      <t>キ</t>
    </rPh>
    <rPh sb="13" eb="14">
      <t>ア</t>
    </rPh>
    <rPh sb="17" eb="19">
      <t>ジシャ</t>
    </rPh>
    <rPh sb="20" eb="22">
      <t>リエキキテイゴエイゴゴゴゴゴベイコクホウコクショニホンホウコクショ</t>
    </rPh>
    <phoneticPr fontId="12"/>
  </si>
  <si>
    <t>標準</t>
    <rPh sb="0" eb="2">
      <t>ヒョウジュン</t>
    </rPh>
    <phoneticPr fontId="12"/>
  </si>
  <si>
    <t>丸め</t>
    <rPh sb="0" eb="1">
      <t>マル</t>
    </rPh>
    <phoneticPr fontId="12"/>
  </si>
  <si>
    <t>[丸めページ] のフィールドで選択されたオプションに従って、消費税金額を丸める単位を指定します。消費税所轄官庁によっては、小数点以下を要求しない場合があります。場合によっては、決済金額を 10 の位、100 の位などで丸めて概数にすることもできます。</t>
  </si>
  <si>
    <t>数値</t>
    <rPh sb="0" eb="2">
      <t>スウチ</t>
    </rPh>
    <phoneticPr fontId="12"/>
  </si>
  <si>
    <t>住所</t>
    <rPh sb="0" eb="2">
      <t>ジュウショ</t>
    </rPh>
    <phoneticPr fontId="12"/>
  </si>
  <si>
    <t>選択された住所の書式設定情報。これは印刷されたドキュメントに表示される住所です。元の住所記録には、特定の国や地域によっては、このビューに含まれていない情報が含まれる場合があります。</t>
  </si>
  <si>
    <t>新規より設定可能</t>
    <rPh sb="0" eb="2">
      <t>シンキ</t>
    </rPh>
    <rPh sb="4" eb="6">
      <t>セッテイ</t>
    </rPh>
    <rPh sb="6" eb="8">
      <t>カノウ</t>
    </rPh>
    <phoneticPr fontId="12"/>
  </si>
  <si>
    <t>新規</t>
    <rPh sb="0" eb="2">
      <t>シンキ</t>
    </rPh>
    <phoneticPr fontId="12"/>
  </si>
  <si>
    <t>名前または説明</t>
    <rPh sb="0" eb="2">
      <t>ナマエ</t>
    </rPh>
    <rPh sb="5" eb="7">
      <t>セツメイ</t>
    </rPh>
    <phoneticPr fontId="12"/>
  </si>
  <si>
    <t>国/地域</t>
    <rPh sb="0" eb="1">
      <t>クニ</t>
    </rPh>
    <rPh sb="2" eb="4">
      <t>チイキ</t>
    </rPh>
    <phoneticPr fontId="12"/>
  </si>
  <si>
    <t>住所の設定-国/地域（ユーザー定義）</t>
    <rPh sb="6" eb="7">
      <t>クニ</t>
    </rPh>
    <rPh sb="8" eb="10">
      <t>チイキ</t>
    </rPh>
    <rPh sb="15" eb="17">
      <t>テイギ</t>
    </rPh>
    <phoneticPr fontId="12"/>
  </si>
  <si>
    <t>郵便番号</t>
    <rPh sb="0" eb="4">
      <t>ユウビンバンゴウ</t>
    </rPh>
    <phoneticPr fontId="12"/>
  </si>
  <si>
    <t>住所の設定-郵便番号（ユーザー定義）</t>
    <rPh sb="6" eb="8">
      <t>ユウビン</t>
    </rPh>
    <rPh sb="8" eb="10">
      <t>バンゴウ</t>
    </rPh>
    <rPh sb="15" eb="17">
      <t>テイギ</t>
    </rPh>
    <phoneticPr fontId="12"/>
  </si>
  <si>
    <t>追加</t>
    <rPh sb="0" eb="2">
      <t>ツイカ</t>
    </rPh>
    <phoneticPr fontId="12"/>
  </si>
  <si>
    <t>番地</t>
    <rPh sb="0" eb="2">
      <t>バンチ</t>
    </rPh>
    <phoneticPr fontId="12"/>
  </si>
  <si>
    <t>建物名（補足）</t>
    <rPh sb="0" eb="3">
      <t>タテモノメイ</t>
    </rPh>
    <rPh sb="4" eb="6">
      <t>ホソク</t>
    </rPh>
    <phoneticPr fontId="12"/>
  </si>
  <si>
    <t>郵便受番号</t>
    <rPh sb="0" eb="3">
      <t>ユウビンウ</t>
    </rPh>
    <rPh sb="3" eb="5">
      <t>バンゴウ</t>
    </rPh>
    <phoneticPr fontId="12"/>
  </si>
  <si>
    <t>市町村</t>
    <rPh sb="0" eb="3">
      <t>シチョウソン</t>
    </rPh>
    <phoneticPr fontId="12"/>
  </si>
  <si>
    <t>住所の設定-市町村（ユーザー定義）</t>
    <rPh sb="6" eb="9">
      <t>シチョウソン</t>
    </rPh>
    <rPh sb="14" eb="16">
      <t>テイギ</t>
    </rPh>
    <phoneticPr fontId="12"/>
  </si>
  <si>
    <t>地区</t>
    <rPh sb="0" eb="2">
      <t>チク</t>
    </rPh>
    <phoneticPr fontId="12"/>
  </si>
  <si>
    <t>都道府県</t>
    <rPh sb="0" eb="4">
      <t>トドウフケン</t>
    </rPh>
    <phoneticPr fontId="12"/>
  </si>
  <si>
    <t>住所の設定-都道府県（ユーザー定義）</t>
    <rPh sb="6" eb="10">
      <t>トドウフケン</t>
    </rPh>
    <rPh sb="15" eb="17">
      <t>テイギ</t>
    </rPh>
    <phoneticPr fontId="12"/>
  </si>
  <si>
    <t>市区群</t>
    <rPh sb="0" eb="3">
      <t>シクグン</t>
    </rPh>
    <phoneticPr fontId="12"/>
  </si>
  <si>
    <t>連絡先情報</t>
    <rPh sb="0" eb="3">
      <t>レンラクサキ</t>
    </rPh>
    <rPh sb="3" eb="5">
      <t>ジョウホウ</t>
    </rPh>
    <phoneticPr fontId="12"/>
  </si>
  <si>
    <t>電話</t>
    <rPh sb="0" eb="2">
      <t>デンワ</t>
    </rPh>
    <phoneticPr fontId="12"/>
  </si>
  <si>
    <t>内線</t>
    <rPh sb="0" eb="2">
      <t>ナイセン</t>
    </rPh>
    <phoneticPr fontId="12"/>
  </si>
  <si>
    <t>携帯電話</t>
    <rPh sb="0" eb="2">
      <t>ケイタイ</t>
    </rPh>
    <rPh sb="2" eb="4">
      <t>デンワ</t>
    </rPh>
    <phoneticPr fontId="12"/>
  </si>
  <si>
    <t>ポケベル</t>
    <phoneticPr fontId="12"/>
  </si>
  <si>
    <t>FAX</t>
    <phoneticPr fontId="12"/>
  </si>
  <si>
    <t>電子メール</t>
    <rPh sb="0" eb="2">
      <t>デンシ</t>
    </rPh>
    <phoneticPr fontId="12"/>
  </si>
  <si>
    <t>文字列</t>
    <rPh sb="0" eb="2">
      <t>モジ</t>
    </rPh>
    <phoneticPr fontId="12"/>
  </si>
  <si>
    <t>SMS</t>
    <phoneticPr fontId="12"/>
  </si>
  <si>
    <t>インターネットアドレス</t>
  </si>
  <si>
    <t>テレックス番号</t>
    <rPh sb="5" eb="7">
      <t>バンゴウ</t>
    </rPh>
    <phoneticPr fontId="12"/>
  </si>
  <si>
    <t>消費税所轄官庁-設定値</t>
    <phoneticPr fontId="12"/>
  </si>
  <si>
    <t>概要</t>
    <rPh sb="0" eb="2">
      <t>ガイヨウ</t>
    </rPh>
    <phoneticPr fontId="20"/>
  </si>
  <si>
    <t>一般</t>
    <rPh sb="0" eb="2">
      <t>イッパン</t>
    </rPh>
    <phoneticPr fontId="20"/>
  </si>
  <si>
    <t>住所</t>
    <rPh sb="0" eb="2">
      <t>ジュウショ</t>
    </rPh>
    <phoneticPr fontId="20"/>
  </si>
  <si>
    <t>丸め　</t>
    <rPh sb="0" eb="1">
      <t>マル</t>
    </rPh>
    <phoneticPr fontId="12"/>
  </si>
  <si>
    <t>名前または説明</t>
    <phoneticPr fontId="12"/>
  </si>
  <si>
    <t>インタネットアドレス</t>
    <phoneticPr fontId="12"/>
  </si>
  <si>
    <t>税務当局</t>
    <phoneticPr fontId="12"/>
  </si>
  <si>
    <t>ー</t>
    <phoneticPr fontId="12"/>
  </si>
  <si>
    <t>仕入先に所轄官庁を生成する必要あり？</t>
    <rPh sb="0" eb="3">
      <t>シイレサキ</t>
    </rPh>
    <rPh sb="4" eb="8">
      <t>ショカツカンチョウ</t>
    </rPh>
    <rPh sb="9" eb="11">
      <t>セイセイ</t>
    </rPh>
    <rPh sb="13" eb="15">
      <t>ヒツヨウ</t>
    </rPh>
    <phoneticPr fontId="12"/>
  </si>
  <si>
    <t>https://docs.microsoft.com/ja-jp/dynamicsax-2012/appuser-itpro/set-up-sales-tax-authorities</t>
  </si>
  <si>
    <t>↑「オプション: 仕入先として税所轄官庁を設定すると、組織は通常の支払業務を使用して、売上税所轄官庁に時間どおりに支払うことができます。」</t>
    <phoneticPr fontId="12"/>
  </si>
  <si>
    <r>
      <rPr>
        <sz val="10"/>
        <color theme="1"/>
        <rFont val="Segoe UI Symbol"/>
        <family val="2"/>
      </rPr>
      <t>⚠</t>
    </r>
    <r>
      <rPr>
        <sz val="10"/>
        <color theme="1"/>
        <rFont val="Meiryo UI"/>
        <family val="2"/>
        <charset val="128"/>
      </rPr>
      <t>注意　　売上税所轄官庁を仕入先として設定しない場合は、適切な期日に売上税所轄官庁への手動支払を準備する必要があります。</t>
    </r>
    <rPh sb="1" eb="3">
      <t>チュウイ</t>
    </rPh>
    <phoneticPr fontId="12"/>
  </si>
  <si>
    <t>消費税決済期間</t>
  </si>
  <si>
    <t>税＞間接税＞消費税＞消費税決済期間</t>
    <phoneticPr fontId="12"/>
  </si>
  <si>
    <t>Tax &gt; Indirect taxes &gt; Sales tax &gt; Sales tax settlement periods</t>
    <phoneticPr fontId="12"/>
  </si>
  <si>
    <t>決済期間</t>
    <rPh sb="0" eb="2">
      <t>ケッサイ</t>
    </rPh>
    <rPh sb="2" eb="4">
      <t>キカン</t>
    </rPh>
    <phoneticPr fontId="12"/>
  </si>
  <si>
    <t>文字列</t>
    <phoneticPr fontId="12"/>
  </si>
  <si>
    <t>「消費税決済期間-設定値」を参照</t>
    <rPh sb="9" eb="12">
      <t>セッテイチ</t>
    </rPh>
    <phoneticPr fontId="12"/>
  </si>
  <si>
    <t>税の報告先であり、消費税精算期間の支払先である消費税所轄官庁を選択します。利用できる選択項目が存在しない場合は、そのフィールドを右クリックし、[表示の詳細] をクリックし、消費税所轄官庁を設定します。</t>
  </si>
  <si>
    <t xml:space="preserve">所轄官庁（ユーザー定義）
</t>
    <rPh sb="0" eb="4">
      <t>ショカツカンチョウ</t>
    </rPh>
    <rPh sb="9" eb="11">
      <t>テイギ</t>
    </rPh>
    <phoneticPr fontId="12"/>
  </si>
  <si>
    <t>支払条件</t>
    <rPh sb="0" eb="2">
      <t>シハライ</t>
    </rPh>
    <rPh sb="2" eb="4">
      <t>ジョウケン</t>
    </rPh>
    <phoneticPr fontId="12"/>
  </si>
  <si>
    <t>選択された消費税精算期間に行われる支払に適用する支払の条件を選択します。利用できる選択項目が存在しない場合は、そのフィールドを右クリックし、[表示の詳細] をクリックし、支払条件を作成します。</t>
  </si>
  <si>
    <t xml:space="preserve">支払条件（ユーザー定義）
</t>
    <rPh sb="0" eb="4">
      <t>シハライジョウケン</t>
    </rPh>
    <phoneticPr fontId="12"/>
  </si>
  <si>
    <t>間隔の単位</t>
    <rPh sb="0" eb="2">
      <t>カンカク</t>
    </rPh>
    <rPh sb="3" eb="5">
      <t>タンイ</t>
    </rPh>
    <phoneticPr fontId="12"/>
  </si>
  <si>
    <t>・日数
・月
・年</t>
    <rPh sb="1" eb="3">
      <t>ニッスウ</t>
    </rPh>
    <rPh sb="5" eb="6">
      <t>ツキ</t>
    </rPh>
    <rPh sb="8" eb="9">
      <t>ネン</t>
    </rPh>
    <phoneticPr fontId="12"/>
  </si>
  <si>
    <t>日数</t>
    <rPh sb="0" eb="2">
      <t>ニッスウ</t>
    </rPh>
    <phoneticPr fontId="12"/>
  </si>
  <si>
    <t>間隔の継続時間</t>
    <rPh sb="0" eb="2">
      <t>カンカク</t>
    </rPh>
    <rPh sb="3" eb="5">
      <t>ケイゾク</t>
    </rPh>
    <rPh sb="5" eb="7">
      <t>ジカン</t>
    </rPh>
    <phoneticPr fontId="12"/>
  </si>
  <si>
    <t>消費税決済にバッチ処理を使用する</t>
    <rPh sb="0" eb="3">
      <t>ショウヒゼイ</t>
    </rPh>
    <rPh sb="3" eb="5">
      <t>ケッサイ</t>
    </rPh>
    <rPh sb="9" eb="11">
      <t>ショリ</t>
    </rPh>
    <rPh sb="12" eb="14">
      <t>シヨウ</t>
    </rPh>
    <phoneticPr fontId="12"/>
  </si>
  <si>
    <t>はい/いいえ</t>
    <phoneticPr fontId="12"/>
  </si>
  <si>
    <t>いいえ</t>
    <phoneticPr fontId="12"/>
  </si>
  <si>
    <t>バッチ ジョブの有効期間</t>
    <rPh sb="8" eb="10">
      <t>ユウコウ</t>
    </rPh>
    <rPh sb="10" eb="12">
      <t>キカン</t>
    </rPh>
    <phoneticPr fontId="12"/>
  </si>
  <si>
    <t>有効な期間を選択して、税レポートをバッチで実行できる期間を指定します</t>
    <phoneticPr fontId="12"/>
  </si>
  <si>
    <t>バッチ ジョブの有効期間（ユーザー定義）</t>
    <phoneticPr fontId="12"/>
  </si>
  <si>
    <t>相殺税トランザクションの生成を防止</t>
    <rPh sb="0" eb="2">
      <t>ソウサイ</t>
    </rPh>
    <rPh sb="2" eb="3">
      <t>ゼイ</t>
    </rPh>
    <rPh sb="12" eb="14">
      <t>セイセイ</t>
    </rPh>
    <rPh sb="15" eb="17">
      <t>ボウシ</t>
    </rPh>
    <phoneticPr fontId="12"/>
  </si>
  <si>
    <t>相殺税トランザクションを生成するかどうか</t>
  </si>
  <si>
    <t>間隔</t>
    <rPh sb="0" eb="2">
      <t>カンカク</t>
    </rPh>
    <phoneticPr fontId="12"/>
  </si>
  <si>
    <t>間隔＞追加</t>
    <rPh sb="0" eb="2">
      <t>カンカク</t>
    </rPh>
    <rPh sb="3" eb="5">
      <t>ツイカ</t>
    </rPh>
    <phoneticPr fontId="12"/>
  </si>
  <si>
    <t>開始日</t>
    <rPh sb="0" eb="3">
      <t>カイシビ</t>
    </rPh>
    <phoneticPr fontId="12"/>
  </si>
  <si>
    <t>消費税精算期間の最初の期間の最初の日付を入力または選択します。最初の期間を作成してから、[新規機関] または [追加] をクリックして他のすべての期間を作成します。すべての日付が期間内に含められており、各日付は 1 つの期間にのみ含まれていることを確認します。</t>
    <phoneticPr fontId="12"/>
  </si>
  <si>
    <t>年月日</t>
    <rPh sb="0" eb="3">
      <t>ネンガッピ</t>
    </rPh>
    <phoneticPr fontId="12"/>
  </si>
  <si>
    <t>終了日</t>
    <rPh sb="0" eb="3">
      <t>シュウリョウビ</t>
    </rPh>
    <phoneticPr fontId="12"/>
  </si>
  <si>
    <t>期間間隔の最終日を入力または、選択します。最初の期間を作成してから、[新規機関] または [追加] をクリックして他のすべての期間を作成します。すべての日付が期間内に含められており、各日付は 1 つの期間にのみ含まれていることを確認します。</t>
  </si>
  <si>
    <t>決済プロセス用の固定の設定者</t>
    <rPh sb="0" eb="2">
      <t>ケッサイ</t>
    </rPh>
    <rPh sb="6" eb="7">
      <t>ヨウ</t>
    </rPh>
    <rPh sb="8" eb="10">
      <t>コテイ</t>
    </rPh>
    <rPh sb="11" eb="14">
      <t>セッテイシャ</t>
    </rPh>
    <phoneticPr fontId="12"/>
  </si>
  <si>
    <t>ユーザーID　　</t>
  </si>
  <si>
    <t>ユーザー（ユーザー定義）</t>
    <phoneticPr fontId="12"/>
  </si>
  <si>
    <t>消費税決済期間-設定値</t>
  </si>
  <si>
    <t>バッチ ジョブの有効期間</t>
    <phoneticPr fontId="12"/>
  </si>
  <si>
    <t>決済プロセス用の固定の設定者</t>
  </si>
  <si>
    <t>ユーザー（ユーザー定義）</t>
    <rPh sb="9" eb="11">
      <t>テイギ</t>
    </rPh>
    <phoneticPr fontId="12"/>
  </si>
  <si>
    <t>Common</t>
    <phoneticPr fontId="12"/>
  </si>
  <si>
    <t>共通</t>
    <rPh sb="0" eb="2">
      <t>キョウツウ</t>
    </rPh>
    <phoneticPr fontId="12"/>
  </si>
  <si>
    <t>税務当局</t>
    <rPh sb="0" eb="4">
      <t>ゼイムトウキョク</t>
    </rPh>
    <phoneticPr fontId="12"/>
  </si>
  <si>
    <t>年</t>
    <rPh sb="0" eb="1">
      <t>ネン</t>
    </rPh>
    <phoneticPr fontId="12"/>
  </si>
  <si>
    <t>消費税決済期間-設定値</t>
    <phoneticPr fontId="12"/>
  </si>
  <si>
    <t>消費税コード</t>
  </si>
  <si>
    <t>税＞間接税＞消費税＞消費税コード</t>
    <phoneticPr fontId="12"/>
  </si>
  <si>
    <t>Tax &gt; Indirect taxes &gt; Sales tax &gt; Sales tax codes</t>
    <phoneticPr fontId="12"/>
  </si>
  <si>
    <t>エラー
「元帳に対して会計通貨が定義されていません。"元帳" フォームで通貨を定義する必要があります。」
※文字数制限(10文字)あり</t>
    <rPh sb="55" eb="58">
      <t>モジスウ</t>
    </rPh>
    <rPh sb="58" eb="60">
      <t>セイゲン</t>
    </rPh>
    <rPh sb="63" eb="65">
      <t>モジ</t>
    </rPh>
    <phoneticPr fontId="12"/>
  </si>
  <si>
    <t>「消費税コード-設定値」を参照</t>
  </si>
  <si>
    <t>割合/金額</t>
    <rPh sb="0" eb="2">
      <t>ワリアイ</t>
    </rPh>
    <rPh sb="3" eb="5">
      <t>キンガク</t>
    </rPh>
    <phoneticPr fontId="12"/>
  </si>
  <si>
    <t>数値（入力不可）</t>
    <rPh sb="0" eb="2">
      <t>スウチ</t>
    </rPh>
    <rPh sb="3" eb="5">
      <t>ニュウリョク</t>
    </rPh>
    <rPh sb="5" eb="7">
      <t>フカ</t>
    </rPh>
    <phoneticPr fontId="12"/>
  </si>
  <si>
    <t>[消費税コード]＞消費税コード＞値より、設定可能</t>
    <rPh sb="1" eb="4">
      <t>ショウヒゼイ</t>
    </rPh>
    <rPh sb="9" eb="12">
      <t>ショウヒゼイ</t>
    </rPh>
    <rPh sb="16" eb="17">
      <t>アタイ</t>
    </rPh>
    <rPh sb="20" eb="22">
      <t>セッテイ</t>
    </rPh>
    <rPh sb="22" eb="24">
      <t>カノウ</t>
    </rPh>
    <phoneticPr fontId="12"/>
  </si>
  <si>
    <t>「消費税コードの値-設定値」を参照</t>
    <rPh sb="8" eb="9">
      <t>アタイ</t>
    </rPh>
    <phoneticPr fontId="12"/>
  </si>
  <si>
    <t>税タイプ</t>
    <rPh sb="0" eb="1">
      <t>ゼイ</t>
    </rPh>
    <phoneticPr fontId="12"/>
  </si>
  <si>
    <t>・標準
・軽減税率
・その他</t>
    <rPh sb="1" eb="3">
      <t>ヒョウジュン</t>
    </rPh>
    <rPh sb="5" eb="7">
      <t>ケイゲン</t>
    </rPh>
    <rPh sb="7" eb="9">
      <t>ゼイリツ</t>
    </rPh>
    <rPh sb="13" eb="14">
      <t>タ</t>
    </rPh>
    <phoneticPr fontId="12"/>
  </si>
  <si>
    <t>[消費税コード]＞消費税コード＞値</t>
  </si>
  <si>
    <t>消費税コードの値</t>
    <rPh sb="0" eb="3">
      <t>ショウヒゼイ</t>
    </rPh>
    <rPh sb="7" eb="8">
      <t>アタイ</t>
    </rPh>
    <phoneticPr fontId="12"/>
  </si>
  <si>
    <t>自動入力</t>
    <rPh sb="0" eb="4">
      <t>ジドウニュウリョク</t>
    </rPh>
    <phoneticPr fontId="12"/>
  </si>
  <si>
    <t>「消費税コードの値-設定値」を参照</t>
  </si>
  <si>
    <t>最小値</t>
    <rPh sb="0" eb="3">
      <t>サイショウチ</t>
    </rPh>
    <phoneticPr fontId="12"/>
  </si>
  <si>
    <t>選択した消費税コード値が適用される計算基準の最小金額限度です。ほとんどの税コード間隔については、最初の間隔の最小値は 0 で、最後の間隔の最大値は 0 (無限大)、定義された間隔の間にはギャップはありません ; すべての金額が含まれます。制限フィールドで定義した間隔が消費税計算でどのように使用されるかは、[消費税コード] ページの [計算方法] フィールドの選択によって異なります。</t>
  </si>
  <si>
    <t>上限</t>
    <rPh sb="0" eb="2">
      <t>ジョウゲン</t>
    </rPh>
    <phoneticPr fontId="12"/>
  </si>
  <si>
    <t>標準通貨金額 (国の通貨)</t>
  </si>
  <si>
    <t>値</t>
    <rPh sb="0" eb="1">
      <t>アタイ</t>
    </rPh>
    <phoneticPr fontId="12"/>
  </si>
  <si>
    <t>消費税額コードの単位あたりの税率または税額です。税率を数字で (たとえば、25% の場合は 25.00 ) または、[消費税コード] ページの [発生元] フィールドの値が [単位ごとの金額] の場合は、単位あたりの金額を入力できます。仕入関税や梱包税は、多くの場合、この方法で設定します。</t>
  </si>
  <si>
    <t>非控除％</t>
    <rPh sb="0" eb="1">
      <t>ヒ</t>
    </rPh>
    <rPh sb="1" eb="3">
      <t>コウジョ</t>
    </rPh>
    <phoneticPr fontId="12"/>
  </si>
  <si>
    <t>参照</t>
    <rPh sb="0" eb="2">
      <t>サンショウ</t>
    </rPh>
    <phoneticPr fontId="12"/>
  </si>
  <si>
    <t>文字列（ユーザー定義）</t>
    <rPh sb="0" eb="3">
      <t>モジレツ</t>
    </rPh>
    <phoneticPr fontId="12"/>
  </si>
  <si>
    <t>「消費税コード-設定値」を参照</t>
    <rPh sb="1" eb="4">
      <t>ショウヒゼイ</t>
    </rPh>
    <rPh sb="8" eb="11">
      <t>セッテイチ</t>
    </rPh>
    <rPh sb="13" eb="15">
      <t>サンショウ</t>
    </rPh>
    <phoneticPr fontId="12"/>
  </si>
  <si>
    <t>消費税通貨</t>
    <rPh sb="0" eb="3">
      <t>ショウヒゼイ</t>
    </rPh>
    <rPh sb="3" eb="5">
      <t>ツウカ</t>
    </rPh>
    <phoneticPr fontId="12"/>
  </si>
  <si>
    <t>条件付消費税</t>
    <rPh sb="0" eb="3">
      <t>ジョウケンツ</t>
    </rPh>
    <rPh sb="3" eb="6">
      <t>ショウヒゼイ</t>
    </rPh>
    <phoneticPr fontId="12"/>
  </si>
  <si>
    <t>支払消費税コード</t>
  </si>
  <si>
    <t>梱包税</t>
    <rPh sb="0" eb="2">
      <t>コンポウ</t>
    </rPh>
    <rPh sb="2" eb="3">
      <t>ゼイ</t>
    </rPh>
    <phoneticPr fontId="12"/>
  </si>
  <si>
    <t>並び変えコード</t>
    <rPh sb="0" eb="1">
      <t>ナラ</t>
    </rPh>
    <rPh sb="2" eb="3">
      <t>カ</t>
    </rPh>
    <phoneticPr fontId="12"/>
  </si>
  <si>
    <t>請求</t>
    <rPh sb="0" eb="2">
      <t>セイキュウ</t>
    </rPh>
    <phoneticPr fontId="12"/>
  </si>
  <si>
    <t>印刷</t>
    <rPh sb="0" eb="2">
      <t>インサツ</t>
    </rPh>
    <phoneticPr fontId="12"/>
  </si>
  <si>
    <t>・コードの印刷
・消費税率</t>
    <rPh sb="5" eb="7">
      <t>インサツ</t>
    </rPh>
    <rPh sb="9" eb="12">
      <t>ショウヒゼイ</t>
    </rPh>
    <rPh sb="12" eb="13">
      <t>リツ</t>
    </rPh>
    <phoneticPr fontId="12"/>
  </si>
  <si>
    <t>コードの印刷</t>
    <rPh sb="4" eb="6">
      <t>インサツ</t>
    </rPh>
    <phoneticPr fontId="12"/>
  </si>
  <si>
    <t>計算</t>
    <rPh sb="0" eb="2">
      <t>ケイサン</t>
    </rPh>
    <phoneticPr fontId="12"/>
  </si>
  <si>
    <t>計算パラメーター</t>
    <rPh sb="0" eb="2">
      <t>ケイサン</t>
    </rPh>
    <phoneticPr fontId="12"/>
  </si>
  <si>
    <t>発生元</t>
    <rPh sb="0" eb="2">
      <t>ハッセイ</t>
    </rPh>
    <rPh sb="2" eb="3">
      <t>モト</t>
    </rPh>
    <phoneticPr fontId="12"/>
  </si>
  <si>
    <t>・正味金額の割合
・総額の割合
・消費税率
・単位ごとの金額
・計算済み正味金額の割合</t>
    <rPh sb="1" eb="3">
      <t>ショウミ</t>
    </rPh>
    <rPh sb="3" eb="5">
      <t>キンガク</t>
    </rPh>
    <rPh sb="6" eb="8">
      <t>ワリアイ</t>
    </rPh>
    <rPh sb="10" eb="12">
      <t>ソウガク</t>
    </rPh>
    <rPh sb="13" eb="15">
      <t>ワリアイ</t>
    </rPh>
    <rPh sb="17" eb="20">
      <t>ショウヒゼイ</t>
    </rPh>
    <rPh sb="20" eb="21">
      <t>リツ</t>
    </rPh>
    <rPh sb="23" eb="25">
      <t>タンイ</t>
    </rPh>
    <rPh sb="28" eb="30">
      <t>キンガク</t>
    </rPh>
    <rPh sb="32" eb="34">
      <t>ケイサン</t>
    </rPh>
    <rPh sb="34" eb="35">
      <t>ズ</t>
    </rPh>
    <rPh sb="36" eb="38">
      <t>ショウミ</t>
    </rPh>
    <rPh sb="38" eb="40">
      <t>キンガク</t>
    </rPh>
    <rPh sb="41" eb="43">
      <t>ワリアイ</t>
    </rPh>
    <phoneticPr fontId="12"/>
  </si>
  <si>
    <t>正味金額の割合</t>
    <rPh sb="0" eb="2">
      <t>ショウミ</t>
    </rPh>
    <rPh sb="2" eb="4">
      <t>キンガク</t>
    </rPh>
    <rPh sb="5" eb="7">
      <t>ワリアイ</t>
    </rPh>
    <phoneticPr fontId="12"/>
  </si>
  <si>
    <t>元金額の調整</t>
  </si>
  <si>
    <t>このオプションを選択して、請求書残高の正味金額で元金額を調整します。このオプションは、[発生元] オプションが [正味金額の割合] で、[基準金額] オプションが [請求書残高の正味金額] である場合のみ有効になります</t>
  </si>
  <si>
    <t>基準金額</t>
    <rPh sb="0" eb="2">
      <t>キジュン</t>
    </rPh>
    <rPh sb="2" eb="4">
      <t>キンガク</t>
    </rPh>
    <phoneticPr fontId="12"/>
  </si>
  <si>
    <t>・ラインごとの正味金額
・単位ごとの正味金額
・請求書残高ごとの正味金額
・ラインごとの総額
・単位ごとの総額
・請求合計には他の消費税金額が含まれています</t>
    <rPh sb="7" eb="9">
      <t>ショウミ</t>
    </rPh>
    <rPh sb="9" eb="11">
      <t>キンガク</t>
    </rPh>
    <rPh sb="13" eb="15">
      <t>タンイ</t>
    </rPh>
    <rPh sb="18" eb="20">
      <t>ショウミ</t>
    </rPh>
    <rPh sb="20" eb="22">
      <t>キンガク</t>
    </rPh>
    <rPh sb="24" eb="27">
      <t>セイキュウショ</t>
    </rPh>
    <rPh sb="27" eb="29">
      <t>ザンダカ</t>
    </rPh>
    <rPh sb="32" eb="34">
      <t>ショウミ</t>
    </rPh>
    <rPh sb="34" eb="36">
      <t>キンガク</t>
    </rPh>
    <rPh sb="44" eb="46">
      <t>ソウガク</t>
    </rPh>
    <rPh sb="48" eb="50">
      <t>タンイ</t>
    </rPh>
    <rPh sb="53" eb="55">
      <t>ソウガク</t>
    </rPh>
    <rPh sb="57" eb="59">
      <t>セイキュウ</t>
    </rPh>
    <rPh sb="59" eb="61">
      <t>ゴウケイ</t>
    </rPh>
    <rPh sb="63" eb="64">
      <t>ホカ</t>
    </rPh>
    <rPh sb="65" eb="68">
      <t>ショウヒゼイ</t>
    </rPh>
    <rPh sb="68" eb="70">
      <t>キンガク</t>
    </rPh>
    <rPh sb="71" eb="72">
      <t>フク</t>
    </rPh>
    <phoneticPr fontId="12"/>
  </si>
  <si>
    <t>請求書残高の正味金額</t>
    <rPh sb="0" eb="3">
      <t>セイキュウショ</t>
    </rPh>
    <rPh sb="3" eb="5">
      <t>ザンダカ</t>
    </rPh>
    <rPh sb="6" eb="8">
      <t>ショウミ</t>
    </rPh>
    <rPh sb="8" eb="10">
      <t>キンガク</t>
    </rPh>
    <phoneticPr fontId="12"/>
  </si>
  <si>
    <t>2026/1/22　吉井
明細行ごとに消費税を計算するようにするため</t>
    <rPh sb="10" eb="12">
      <t>ヨシイ</t>
    </rPh>
    <rPh sb="13" eb="16">
      <t>メイサイギョウ</t>
    </rPh>
    <rPh sb="19" eb="22">
      <t>ショウヒゼイ</t>
    </rPh>
    <rPh sb="23" eb="25">
      <t>ケイサン</t>
    </rPh>
    <phoneticPr fontId="12"/>
  </si>
  <si>
    <t>マイナス消費税率の許可</t>
    <phoneticPr fontId="12"/>
  </si>
  <si>
    <t>計算方法</t>
    <rPh sb="0" eb="2">
      <t>ケイサン</t>
    </rPh>
    <rPh sb="2" eb="4">
      <t>ホウホウ</t>
    </rPh>
    <phoneticPr fontId="12"/>
  </si>
  <si>
    <t>・合計額
・間隔</t>
    <rPh sb="1" eb="3">
      <t>ゴウケイ</t>
    </rPh>
    <rPh sb="3" eb="4">
      <t>ガク</t>
    </rPh>
    <rPh sb="6" eb="8">
      <t>カンカク</t>
    </rPh>
    <phoneticPr fontId="12"/>
  </si>
  <si>
    <t>合計額</t>
    <rPh sb="0" eb="2">
      <t>ゴウケイ</t>
    </rPh>
    <rPh sb="2" eb="3">
      <t>ガク</t>
    </rPh>
    <phoneticPr fontId="12"/>
  </si>
  <si>
    <t>消費税の消費税</t>
    <rPh sb="0" eb="3">
      <t>ショウヒゼイ</t>
    </rPh>
    <rPh sb="4" eb="7">
      <t>ショウヒゼイ</t>
    </rPh>
    <phoneticPr fontId="12"/>
  </si>
  <si>
    <t>入力不可</t>
    <rPh sb="0" eb="2">
      <t>ニュウリョク</t>
    </rPh>
    <rPh sb="2" eb="4">
      <t>フカ</t>
    </rPh>
    <phoneticPr fontId="12"/>
  </si>
  <si>
    <t>単位</t>
    <rPh sb="0" eb="2">
      <t>タンイ</t>
    </rPh>
    <phoneticPr fontId="12"/>
  </si>
  <si>
    <t>単位あたりの税の明細行割引を許可する</t>
  </si>
  <si>
    <t>消費税込み価格のケースにおいて、単位あたりの税の消費税コードでグループ化された場合に割引税額の元金額を計算するには、このオプションを選択します。</t>
  </si>
  <si>
    <t>消費税丸めルール</t>
    <rPh sb="0" eb="3">
      <t>ショウヒゼイ</t>
    </rPh>
    <rPh sb="3" eb="4">
      <t>マル</t>
    </rPh>
    <phoneticPr fontId="12"/>
  </si>
  <si>
    <t>丸め精度</t>
    <rPh sb="0" eb="1">
      <t>マル</t>
    </rPh>
    <rPh sb="2" eb="4">
      <t>セイド</t>
    </rPh>
    <phoneticPr fontId="12"/>
  </si>
  <si>
    <t>2026/1/26 吉井
0.5以下の結果のものが0.45で四捨五入されず残ることなく、四捨五入されるようにするため</t>
    <rPh sb="10" eb="12">
      <t>ヨシイ</t>
    </rPh>
    <phoneticPr fontId="12"/>
  </si>
  <si>
    <t>丸め方法</t>
    <rPh sb="0" eb="1">
      <t>マル</t>
    </rPh>
    <rPh sb="2" eb="4">
      <t>ホウホウ</t>
    </rPh>
    <phoneticPr fontId="12"/>
  </si>
  <si>
    <t>・標準
・切り捨て
・切り上げ</t>
    <rPh sb="1" eb="3">
      <t>ヒョウジュン</t>
    </rPh>
    <rPh sb="5" eb="6">
      <t>キ</t>
    </rPh>
    <rPh sb="7" eb="8">
      <t>ス</t>
    </rPh>
    <rPh sb="11" eb="12">
      <t>キ</t>
    </rPh>
    <rPh sb="13" eb="14">
      <t>ア</t>
    </rPh>
    <phoneticPr fontId="12"/>
  </si>
  <si>
    <t>梱包税として分類</t>
    <rPh sb="0" eb="2">
      <t>コンポウ</t>
    </rPh>
    <rPh sb="2" eb="3">
      <t>ゼイ</t>
    </rPh>
    <rPh sb="6" eb="8">
      <t>ブンルイ</t>
    </rPh>
    <phoneticPr fontId="12"/>
  </si>
  <si>
    <t>消費税の前に計算</t>
    <rPh sb="0" eb="3">
      <t>ショウヒゼイ</t>
    </rPh>
    <rPh sb="4" eb="5">
      <t>マエ</t>
    </rPh>
    <rPh sb="6" eb="8">
      <t>ケイサン</t>
    </rPh>
    <phoneticPr fontId="12"/>
  </si>
  <si>
    <t>レポートの設定</t>
    <rPh sb="5" eb="7">
      <t>セッテイ</t>
    </rPh>
    <phoneticPr fontId="12"/>
  </si>
  <si>
    <t>売却</t>
    <rPh sb="0" eb="2">
      <t>バイキャク</t>
    </rPh>
    <phoneticPr fontId="12"/>
  </si>
  <si>
    <t>課税売上</t>
    <rPh sb="0" eb="2">
      <t>カゼイ</t>
    </rPh>
    <rPh sb="2" eb="4">
      <t>ウリアゲ</t>
    </rPh>
    <phoneticPr fontId="12"/>
  </si>
  <si>
    <t>レポートのレイアウト（ユーザー定義）</t>
    <phoneticPr fontId="12"/>
  </si>
  <si>
    <t>免税売上</t>
    <rPh sb="0" eb="2">
      <t>メンゼイ</t>
    </rPh>
    <rPh sb="2" eb="3">
      <t>ウ</t>
    </rPh>
    <rPh sb="3" eb="4">
      <t>ア</t>
    </rPh>
    <phoneticPr fontId="12"/>
  </si>
  <si>
    <t>購買</t>
    <rPh sb="0" eb="2">
      <t>コウバイ</t>
    </rPh>
    <phoneticPr fontId="12"/>
  </si>
  <si>
    <t>課税対象購買</t>
    <rPh sb="0" eb="2">
      <t>カゼイ</t>
    </rPh>
    <rPh sb="2" eb="4">
      <t>タイショウ</t>
    </rPh>
    <rPh sb="4" eb="6">
      <t>コウバイ</t>
    </rPh>
    <phoneticPr fontId="12"/>
  </si>
  <si>
    <t>免税仕入</t>
  </si>
  <si>
    <t>輸入</t>
    <rPh sb="0" eb="2">
      <t>ユニュウ</t>
    </rPh>
    <phoneticPr fontId="12"/>
  </si>
  <si>
    <t>課税対象輸入</t>
    <rPh sb="0" eb="2">
      <t>カゼイ</t>
    </rPh>
    <rPh sb="2" eb="4">
      <t>タイショウ</t>
    </rPh>
    <rPh sb="4" eb="6">
      <t>ユニュウ</t>
    </rPh>
    <phoneticPr fontId="12"/>
  </si>
  <si>
    <t>相殺課税対象輸入</t>
  </si>
  <si>
    <t>使用税</t>
    <rPh sb="0" eb="2">
      <t>シヨウ</t>
    </rPh>
    <rPh sb="2" eb="3">
      <t>ゼイ</t>
    </rPh>
    <phoneticPr fontId="12"/>
  </si>
  <si>
    <t>使用税の相殺</t>
    <rPh sb="0" eb="2">
      <t>シヨウ</t>
    </rPh>
    <rPh sb="2" eb="3">
      <t>ゼイ</t>
    </rPh>
    <rPh sb="4" eb="6">
      <t>ソウサイ</t>
    </rPh>
    <phoneticPr fontId="12"/>
  </si>
  <si>
    <t>国/地域のタイプ</t>
    <rPh sb="0" eb="1">
      <t>クニ</t>
    </rPh>
    <rPh sb="2" eb="4">
      <t>チイキ</t>
    </rPh>
    <phoneticPr fontId="12"/>
  </si>
  <si>
    <t>・国内
・EU
・EFTA
・第三国/地域</t>
    <rPh sb="1" eb="3">
      <t>コクナイ</t>
    </rPh>
    <rPh sb="15" eb="17">
      <t>ダイサン</t>
    </rPh>
    <rPh sb="17" eb="18">
      <t>コク</t>
    </rPh>
    <rPh sb="19" eb="21">
      <t>チイキ</t>
    </rPh>
    <phoneticPr fontId="12"/>
  </si>
  <si>
    <t>国内</t>
    <rPh sb="0" eb="2">
      <t>コクナイ</t>
    </rPh>
    <phoneticPr fontId="12"/>
  </si>
  <si>
    <t>一般&gt;参照＞決済期間で選択した値に紐づいたレイアウト名が自動入力される</t>
    <rPh sb="0" eb="2">
      <t>イッパン</t>
    </rPh>
    <rPh sb="3" eb="5">
      <t>サンショウ</t>
    </rPh>
    <rPh sb="6" eb="8">
      <t>ケッサイ</t>
    </rPh>
    <rPh sb="8" eb="10">
      <t>キカン</t>
    </rPh>
    <rPh sb="11" eb="13">
      <t>センタク</t>
    </rPh>
    <rPh sb="15" eb="16">
      <t>アタイ</t>
    </rPh>
    <rPh sb="17" eb="18">
      <t>ヒモ</t>
    </rPh>
    <rPh sb="26" eb="27">
      <t>メイ</t>
    </rPh>
    <rPh sb="28" eb="32">
      <t>ジドウニュウリョク</t>
    </rPh>
    <phoneticPr fontId="12"/>
  </si>
  <si>
    <t>レポートの設定-訂正票</t>
    <rPh sb="5" eb="7">
      <t>セッテイ</t>
    </rPh>
    <rPh sb="8" eb="10">
      <t>テイセイ</t>
    </rPh>
    <rPh sb="10" eb="11">
      <t>ヒョウ</t>
    </rPh>
    <phoneticPr fontId="12"/>
  </si>
  <si>
    <t>課税売上訂正票</t>
    <rPh sb="0" eb="2">
      <t>カゼイ</t>
    </rPh>
    <rPh sb="2" eb="4">
      <t>ウリアゲ</t>
    </rPh>
    <rPh sb="4" eb="6">
      <t>テイセイ</t>
    </rPh>
    <rPh sb="6" eb="7">
      <t>ヒョウ</t>
    </rPh>
    <phoneticPr fontId="12"/>
  </si>
  <si>
    <t>課税控除売上訂正票</t>
    <rPh sb="0" eb="2">
      <t>カゼイ</t>
    </rPh>
    <rPh sb="2" eb="4">
      <t>コウジョ</t>
    </rPh>
    <rPh sb="4" eb="6">
      <t>ウリアゲ</t>
    </rPh>
    <rPh sb="6" eb="8">
      <t>テイセイ</t>
    </rPh>
    <rPh sb="8" eb="9">
      <t>ヒョウ</t>
    </rPh>
    <phoneticPr fontId="12"/>
  </si>
  <si>
    <t>売上訂正票上の消費税</t>
    <rPh sb="0" eb="2">
      <t>ウリアゲ</t>
    </rPh>
    <rPh sb="2" eb="4">
      <t>テイセイ</t>
    </rPh>
    <rPh sb="4" eb="5">
      <t>ヒョウ</t>
    </rPh>
    <rPh sb="5" eb="6">
      <t>ジョウ</t>
    </rPh>
    <rPh sb="7" eb="10">
      <t>ショウヒゼイ</t>
    </rPh>
    <phoneticPr fontId="12"/>
  </si>
  <si>
    <t>課税対象購買訂正票</t>
    <rPh sb="0" eb="2">
      <t>カゼイ</t>
    </rPh>
    <rPh sb="2" eb="4">
      <t>タイショウ</t>
    </rPh>
    <rPh sb="4" eb="6">
      <t>コウバイ</t>
    </rPh>
    <rPh sb="6" eb="8">
      <t>テイセイ</t>
    </rPh>
    <rPh sb="8" eb="9">
      <t>ヒョウ</t>
    </rPh>
    <phoneticPr fontId="12"/>
  </si>
  <si>
    <t>課税控除購買訂正票</t>
    <rPh sb="0" eb="2">
      <t>カゼイ</t>
    </rPh>
    <rPh sb="2" eb="4">
      <t>コウジョ</t>
    </rPh>
    <rPh sb="4" eb="6">
      <t>コウバイ</t>
    </rPh>
    <rPh sb="6" eb="8">
      <t>テイセイ</t>
    </rPh>
    <rPh sb="8" eb="9">
      <t>ヒョウ</t>
    </rPh>
    <phoneticPr fontId="12"/>
  </si>
  <si>
    <t>購買訂正票上の消費税</t>
    <rPh sb="0" eb="2">
      <t>コウバイ</t>
    </rPh>
    <rPh sb="2" eb="4">
      <t>テイセイ</t>
    </rPh>
    <rPh sb="4" eb="5">
      <t>ヒョウ</t>
    </rPh>
    <rPh sb="5" eb="6">
      <t>ジョウ</t>
    </rPh>
    <rPh sb="7" eb="10">
      <t>ショウヒゼイ</t>
    </rPh>
    <phoneticPr fontId="12"/>
  </si>
  <si>
    <t>輸入</t>
  </si>
  <si>
    <t>課税対象輸入の訂正票</t>
    <rPh sb="0" eb="2">
      <t>カゼイ</t>
    </rPh>
    <rPh sb="2" eb="4">
      <t>タイショウ</t>
    </rPh>
    <rPh sb="4" eb="6">
      <t>ユニュウ</t>
    </rPh>
    <rPh sb="7" eb="9">
      <t>テイセイ</t>
    </rPh>
    <rPh sb="9" eb="10">
      <t>ヒョウ</t>
    </rPh>
    <phoneticPr fontId="12"/>
  </si>
  <si>
    <t>相殺課税対象輸入の訂正票</t>
  </si>
  <si>
    <t>輸入の訂正票上の消費税</t>
    <rPh sb="0" eb="2">
      <t>ユニュウ</t>
    </rPh>
    <rPh sb="3" eb="5">
      <t>テイセイ</t>
    </rPh>
    <rPh sb="5" eb="6">
      <t>ヒョウ</t>
    </rPh>
    <rPh sb="6" eb="7">
      <t>ジョウ</t>
    </rPh>
    <rPh sb="8" eb="11">
      <t>ショウヒゼイ</t>
    </rPh>
    <phoneticPr fontId="12"/>
  </si>
  <si>
    <t>輸入の訂正票上の相殺消費税</t>
    <rPh sb="0" eb="2">
      <t>ユニュウ</t>
    </rPh>
    <rPh sb="3" eb="5">
      <t>テイセイ</t>
    </rPh>
    <rPh sb="5" eb="6">
      <t>ヒョウ</t>
    </rPh>
    <rPh sb="6" eb="7">
      <t>ジョウ</t>
    </rPh>
    <rPh sb="8" eb="10">
      <t>ソウサイ</t>
    </rPh>
    <rPh sb="10" eb="13">
      <t>ショウヒゼイ</t>
    </rPh>
    <phoneticPr fontId="12"/>
  </si>
  <si>
    <t>入力不可</t>
    <rPh sb="0" eb="4">
      <t>ニュウリョクフカ</t>
    </rPh>
    <phoneticPr fontId="12"/>
  </si>
  <si>
    <t>小売</t>
    <rPh sb="0" eb="2">
      <t>コウリ</t>
    </rPh>
    <phoneticPr fontId="12"/>
  </si>
  <si>
    <t>レシート</t>
  </si>
  <si>
    <t>印刷用コード</t>
    <rPh sb="0" eb="3">
      <t>インサツヨウ</t>
    </rPh>
    <phoneticPr fontId="12"/>
  </si>
  <si>
    <t>消費税コード-設定値</t>
  </si>
  <si>
    <t>レポートの設定- 訂正票</t>
    <rPh sb="5" eb="7">
      <t>セッテイ</t>
    </rPh>
    <rPh sb="9" eb="11">
      <t>テイセイ</t>
    </rPh>
    <rPh sb="11" eb="12">
      <t>ヒョウ</t>
    </rPh>
    <phoneticPr fontId="12"/>
  </si>
  <si>
    <t>条件付消費税</t>
    <rPh sb="0" eb="3">
      <t>ジョウケンツキ</t>
    </rPh>
    <rPh sb="3" eb="6">
      <t>ショウヒゼイ</t>
    </rPh>
    <phoneticPr fontId="12"/>
  </si>
  <si>
    <t>消費税丸めルール</t>
    <rPh sb="0" eb="4">
      <t>ショウヒゼイマル</t>
    </rPh>
    <phoneticPr fontId="12"/>
  </si>
  <si>
    <t>割合/金額</t>
    <rPh sb="0" eb="3">
      <t>ワリアイ・</t>
    </rPh>
    <rPh sb="3" eb="5">
      <t>キンガク</t>
    </rPh>
    <phoneticPr fontId="12"/>
  </si>
  <si>
    <t>支払消費税コード</t>
    <rPh sb="0" eb="2">
      <t>シハライ</t>
    </rPh>
    <rPh sb="2" eb="5">
      <t>ショウヒゼイ</t>
    </rPh>
    <phoneticPr fontId="12"/>
  </si>
  <si>
    <t>並び替えコード</t>
    <rPh sb="0" eb="1">
      <t>ナラ</t>
    </rPh>
    <rPh sb="2" eb="3">
      <t>カ</t>
    </rPh>
    <phoneticPr fontId="12"/>
  </si>
  <si>
    <t>マイナス消費税率の許可</t>
    <rPh sb="4" eb="7">
      <t>ショウヒゼイ</t>
    </rPh>
    <rPh sb="7" eb="8">
      <t>リツ</t>
    </rPh>
    <rPh sb="9" eb="11">
      <t>キョカ</t>
    </rPh>
    <phoneticPr fontId="12"/>
  </si>
  <si>
    <t>課税対象購買</t>
    <rPh sb="0" eb="6">
      <t>カゼイタイショウコウバイ</t>
    </rPh>
    <phoneticPr fontId="12"/>
  </si>
  <si>
    <t>免税仕入</t>
    <rPh sb="0" eb="2">
      <t>メンゼイ</t>
    </rPh>
    <rPh sb="2" eb="4">
      <t>シイレ</t>
    </rPh>
    <phoneticPr fontId="12"/>
  </si>
  <si>
    <t>相殺課税対象輸入</t>
    <rPh sb="0" eb="2">
      <t>ソウサイ</t>
    </rPh>
    <rPh sb="2" eb="4">
      <t>カゼイ</t>
    </rPh>
    <rPh sb="4" eb="6">
      <t>タイショウ</t>
    </rPh>
    <rPh sb="6" eb="8">
      <t>ユニュウ</t>
    </rPh>
    <phoneticPr fontId="12"/>
  </si>
  <si>
    <t>購買訂正票上の消費税</t>
  </si>
  <si>
    <t>相殺課税対象輸入の訂正票</t>
    <rPh sb="0" eb="2">
      <t>ソウサイ</t>
    </rPh>
    <rPh sb="2" eb="4">
      <t>カゼイ</t>
    </rPh>
    <rPh sb="4" eb="6">
      <t>タイショウ</t>
    </rPh>
    <rPh sb="6" eb="8">
      <t>ユニュウ</t>
    </rPh>
    <rPh sb="9" eb="11">
      <t>テイセイ</t>
    </rPh>
    <rPh sb="11" eb="12">
      <t>ヒョウ</t>
    </rPh>
    <phoneticPr fontId="12"/>
  </si>
  <si>
    <t>自動入力</t>
    <rPh sb="0" eb="2">
      <t>ジドウ</t>
    </rPh>
    <rPh sb="2" eb="4">
      <t>ニュウリョク</t>
    </rPh>
    <phoneticPr fontId="12"/>
  </si>
  <si>
    <t xml:space="preserve">決済期間（ユーザー定義）
</t>
    <rPh sb="0" eb="2">
      <t>ケッサイ</t>
    </rPh>
    <rPh sb="2" eb="4">
      <t>キカン</t>
    </rPh>
    <phoneticPr fontId="12"/>
  </si>
  <si>
    <t xml:space="preserve">元帳転記グループ（ユーザー定義）
</t>
    <rPh sb="0" eb="4">
      <t>モトチョウテンキ</t>
    </rPh>
    <phoneticPr fontId="12"/>
  </si>
  <si>
    <t xml:space="preserve">通貨（ユーザー定義）
</t>
    <rPh sb="0" eb="2">
      <t>ツウカ</t>
    </rPh>
    <phoneticPr fontId="12"/>
  </si>
  <si>
    <t xml:space="preserve">支払消費税コード（ユーザー定義）
</t>
  </si>
  <si>
    <t>A0</t>
  </si>
  <si>
    <t>非課税売上 0%</t>
  </si>
  <si>
    <t>Common</t>
  </si>
  <si>
    <t>TAX1</t>
  </si>
  <si>
    <t>JPY</t>
  </si>
  <si>
    <t>コードの印刷</t>
    <phoneticPr fontId="12"/>
  </si>
  <si>
    <t>正味金額の割合</t>
    <phoneticPr fontId="12"/>
  </si>
  <si>
    <t>ラインごとの正味金額</t>
    <phoneticPr fontId="12"/>
  </si>
  <si>
    <t>合計額</t>
    <rPh sb="0" eb="3">
      <t>ゴウケイガク</t>
    </rPh>
    <phoneticPr fontId="12"/>
  </si>
  <si>
    <t>A3</t>
  </si>
  <si>
    <t>預り消費税 5% - 雑収入</t>
  </si>
  <si>
    <t>A9</t>
  </si>
  <si>
    <t>免税売上 0%</t>
  </si>
  <si>
    <t>B5</t>
  </si>
  <si>
    <t>預り消費税 8% (軽減税率) - 一般</t>
  </si>
  <si>
    <t>B7</t>
  </si>
  <si>
    <t>預り消費税 8% (軽減税率) - 雑収入</t>
  </si>
  <si>
    <t>B8</t>
  </si>
  <si>
    <t>預り消費税 8% (軽減税率) - 有償支給</t>
  </si>
  <si>
    <t>C1</t>
  </si>
  <si>
    <t>預り消費税 10% - 一般</t>
  </si>
  <si>
    <t>C2</t>
  </si>
  <si>
    <t>預り消費税 10% - 資産売却等</t>
  </si>
  <si>
    <t>C3</t>
  </si>
  <si>
    <t>預り消費税 10% - 雑収入</t>
  </si>
  <si>
    <t>C4</t>
  </si>
  <si>
    <t>預り消費税 10% - 有償支給</t>
  </si>
  <si>
    <t>G0</t>
  </si>
  <si>
    <t>仮払消10%事業電通 免事控除不可(R5/10/1経過80%)</t>
  </si>
  <si>
    <t>TAX2</t>
  </si>
  <si>
    <t>G1</t>
  </si>
  <si>
    <t>仮払消10%一般 免事控除不可(R5/10/1ｰ経過80%)</t>
  </si>
  <si>
    <t>G2</t>
  </si>
  <si>
    <t>仮払消10%返還等 免事控除不可(R5/10/1-経過80%)</t>
  </si>
  <si>
    <t>G3</t>
  </si>
  <si>
    <t>仮払消10%固定資産 免事控除不可(R5/10/1-経過80%）</t>
  </si>
  <si>
    <t>G4</t>
  </si>
  <si>
    <t>仮払消10%消費国外登あり免事不可(R5/10/1-経過80%)</t>
  </si>
  <si>
    <t>G5</t>
  </si>
  <si>
    <t>仮払消10%消費国外登なし免事不可(R5/10/1-経過80%)</t>
  </si>
  <si>
    <t>G9</t>
  </si>
  <si>
    <t>輸入税抜仕入10%-輸入買 免事不可(R5/10/1-経過80%)</t>
  </si>
  <si>
    <t>GA</t>
  </si>
  <si>
    <t>仮払消10%-非売 免事控除不可(R5/10/1-経過80%）</t>
  </si>
  <si>
    <t>GC</t>
  </si>
  <si>
    <t>仮払消8%(軽減)一般 免事控除不可(R5/10/1-経過80%）</t>
  </si>
  <si>
    <t>GD</t>
  </si>
  <si>
    <t>仮払消8%(軽減)返還等 免事控除不可(R5/10/1-経過80%)</t>
  </si>
  <si>
    <t>GH</t>
  </si>
  <si>
    <t>輸入税抜仕入8%(軽)輸入買免事不可(R5/10/1-経過80%)</t>
  </si>
  <si>
    <t>H0</t>
  </si>
  <si>
    <t>仮払消10%事業電通 免事控除不可(R8/10/1-経過50%)</t>
  </si>
  <si>
    <t>H1</t>
  </si>
  <si>
    <t>仮払消10%一般 免事控除不可(R8/10/1-経過50%)</t>
  </si>
  <si>
    <t>H2</t>
  </si>
  <si>
    <t>仮払消10%返還等 免事控除不可(R8/10/1-経過50%)</t>
  </si>
  <si>
    <t>H3</t>
  </si>
  <si>
    <t>仮払消10%固定資産 免事控除不可(R8/10/1-経過50%）</t>
  </si>
  <si>
    <t>H4</t>
  </si>
  <si>
    <t>仮払消10%消費国外登あり免事不可(R8/10/1-経過50%)</t>
  </si>
  <si>
    <t>H5</t>
  </si>
  <si>
    <t>仮払消10%消費国外登なし免事不可(R8/10/1-経過50%)</t>
  </si>
  <si>
    <t>H9</t>
  </si>
  <si>
    <t>輸入税抜仕入10%-輸入買 免事不可(R8/10/1-経過50%)</t>
  </si>
  <si>
    <t>HA</t>
  </si>
  <si>
    <t>仮払消10%-非売 免事控除不可(R8/10/1-経過50%）</t>
  </si>
  <si>
    <t>HC</t>
  </si>
  <si>
    <t>仮払消8%(軽減)一般 免事控除不可(R8/10/1-経過50%）</t>
  </si>
  <si>
    <t>HD</t>
  </si>
  <si>
    <t>仮払消8%(軽減)返還等 免事控除不可(R8/10/1-経過50%)</t>
  </si>
  <si>
    <t>HH</t>
  </si>
  <si>
    <t>輸入税抜仕入8%(軽)輸入買免事不可(R8/10/1-経過50%)</t>
  </si>
  <si>
    <t>K0</t>
  </si>
  <si>
    <t>仮払消10%事業電通 免事控除不可(R11/10/1-経過なし)</t>
  </si>
  <si>
    <t>K1</t>
  </si>
  <si>
    <t>仮払消10%一般 免事控除不可(R11/10/1-経過なし)</t>
  </si>
  <si>
    <t>K2</t>
  </si>
  <si>
    <t>仮払消10%返還等 免事控除不可(R11/10/1-経過なし)</t>
  </si>
  <si>
    <t>K3</t>
  </si>
  <si>
    <t>仮払消10%固定資産 免事控除不可(R11/10/1-経過なし）</t>
  </si>
  <si>
    <t>K4</t>
  </si>
  <si>
    <t>仮払消10%消費国外登あり免事不可(R11/10/1-経過なし)</t>
  </si>
  <si>
    <t>K5</t>
  </si>
  <si>
    <t>仮払消10%消費国外登なし免事不可(R11/10/1-経過なし)</t>
  </si>
  <si>
    <t>K9</t>
  </si>
  <si>
    <t>輸入税抜仕入10%-輸入買 免事不可(R11/10/1-経過なし)</t>
  </si>
  <si>
    <t>KA</t>
  </si>
  <si>
    <t>仮払消10%-非売 免事控除不可(R11/10/1-経過なし）</t>
  </si>
  <si>
    <t>KC</t>
  </si>
  <si>
    <t>仮払消8%(軽減)一般免事控除不可(R11/10/1ｰ経過なし）</t>
  </si>
  <si>
    <t>KD</t>
  </si>
  <si>
    <t>仮払消8%(軽減)返還等免事不可(R11/10/1-経過なし)</t>
  </si>
  <si>
    <t>KH</t>
  </si>
  <si>
    <t>輸入税抜仕入8%(軽)輸入買免事不可(R11/10/1-経過なし</t>
  </si>
  <si>
    <t>L0</t>
  </si>
  <si>
    <t>仮払消10%事業電通 免事控除不可
(R8/10/1-経過70%)</t>
  </si>
  <si>
    <t>2026/03/13　中村　追加</t>
  </si>
  <si>
    <t>L1</t>
  </si>
  <si>
    <t>仮払消10%一般 免事控除不可
(R8/10/1-経過70%)</t>
  </si>
  <si>
    <t>L2</t>
  </si>
  <si>
    <t>仮払消10%返還等 免事控除不可
(R8/10/1-経過70%)</t>
  </si>
  <si>
    <t>L3</t>
  </si>
  <si>
    <t>仮払消10%固定資産 免事控除不可
(R8/10/1-経過70%）</t>
  </si>
  <si>
    <t>L4</t>
  </si>
  <si>
    <t>仮払消10%消費国外登あり免事不可
(R8/10/1-経過70%)</t>
  </si>
  <si>
    <t>L5</t>
  </si>
  <si>
    <t>仮払消10%消費国外登なし免事不可
(R8/10/1-経過70%)</t>
  </si>
  <si>
    <t>L9</t>
  </si>
  <si>
    <t>輸入税抜仕入10%-輸入買 免事不可
(R8/10/1-経過70%)</t>
  </si>
  <si>
    <t>LA</t>
  </si>
  <si>
    <t>仮払消10%-非売 免事控除不可
(R8/10/1-経過70%）</t>
  </si>
  <si>
    <t>LC</t>
  </si>
  <si>
    <t>仮払消8%(軽減)一般 免事控除不可
(R8/10/1-経過70%）</t>
  </si>
  <si>
    <t>LD</t>
  </si>
  <si>
    <t>仮払消8%(軽減)返還等 免事控除不可
(R8/10/1-経過70%)</t>
  </si>
  <si>
    <t>LH</t>
  </si>
  <si>
    <t>輸入税抜仕入8%(軽)輸入買免事不可
(R8/10/1-経過70%)</t>
  </si>
  <si>
    <t>V0</t>
  </si>
  <si>
    <t>非課税仕入 0%</t>
  </si>
  <si>
    <t>W1</t>
  </si>
  <si>
    <t>仮払消費税 8% - 一般</t>
  </si>
  <si>
    <t>WC</t>
  </si>
  <si>
    <t>仮払消費税 8% (軽減税率) - 一般</t>
  </si>
  <si>
    <t>WD</t>
  </si>
  <si>
    <t>仮払消費税 8% (軽減税率) - 返還等</t>
  </si>
  <si>
    <t>WH</t>
  </si>
  <si>
    <t>輸入税抜仕入 8% (軽減税率) - 輸入買掛金</t>
  </si>
  <si>
    <t>WI</t>
  </si>
  <si>
    <t>仮払消費税 8% (軽減税率) - 非課税売上対応</t>
  </si>
  <si>
    <t>X0</t>
  </si>
  <si>
    <t>仮払消費税 10% - 事業者向け電気通信</t>
  </si>
  <si>
    <t>X1</t>
  </si>
  <si>
    <t>仮払消費税 10% - 一般</t>
  </si>
  <si>
    <t>X2</t>
  </si>
  <si>
    <t>仮払消費税 10% - 返還等</t>
  </si>
  <si>
    <t>X3</t>
  </si>
  <si>
    <t>仮払消費税 10% - 固定資産</t>
  </si>
  <si>
    <t>X4</t>
  </si>
  <si>
    <t>仮払消費税 10% - 消費者向け国外事業者登録あり</t>
  </si>
  <si>
    <t>X5</t>
  </si>
  <si>
    <t>仮払消費税 10% - 消費者向け国外事業者登録なし</t>
  </si>
  <si>
    <t>X9</t>
  </si>
  <si>
    <t>輸入税抜仕入 10% - 輸入買掛金</t>
  </si>
  <si>
    <t>XA</t>
  </si>
  <si>
    <t>仮払消費税 10% - 非課税売上対応</t>
  </si>
  <si>
    <t>F0</t>
    <phoneticPr fontId="12"/>
  </si>
  <si>
    <t>不課税</t>
    <rPh sb="0" eb="3">
      <t>フカゼイ</t>
    </rPh>
    <phoneticPr fontId="12"/>
  </si>
  <si>
    <t>課税対象外は税務上3種類ある</t>
    <rPh sb="0" eb="2">
      <t>カゼイ</t>
    </rPh>
    <rPh sb="2" eb="4">
      <t>タイショウ</t>
    </rPh>
    <rPh sb="4" eb="5">
      <t>ガイ</t>
    </rPh>
    <rPh sb="6" eb="8">
      <t>ゼイム</t>
    </rPh>
    <rPh sb="8" eb="9">
      <t>ジョウ</t>
    </rPh>
    <rPh sb="10" eb="12">
      <t>シュルイ</t>
    </rPh>
    <phoneticPr fontId="12"/>
  </si>
  <si>
    <t>非課税 不課税 免税</t>
    <phoneticPr fontId="12"/>
  </si>
  <si>
    <t>【国税庁の“タックスアンサー"】</t>
  </si>
  <si>
    <t>https://www.nta.go.jp/taxes/shiraberu/taxanswer/index2.htm</t>
    <phoneticPr fontId="12"/>
  </si>
  <si>
    <t xml:space="preserve">消費税コードの値-設定値 </t>
    <phoneticPr fontId="12"/>
  </si>
  <si>
    <t>G0</t>
    <phoneticPr fontId="12"/>
  </si>
  <si>
    <t>2025/9/4　加藤　変更　10→0</t>
    <rPh sb="9" eb="11">
      <t>カトウ</t>
    </rPh>
    <rPh sb="12" eb="14">
      <t>ヘンコウ</t>
    </rPh>
    <phoneticPr fontId="12"/>
  </si>
  <si>
    <t>2025/6/23　加藤追加</t>
    <rPh sb="10" eb="12">
      <t>カトウ</t>
    </rPh>
    <rPh sb="12" eb="14">
      <t>ツイカ</t>
    </rPh>
    <phoneticPr fontId="12"/>
  </si>
  <si>
    <t>消費税グループ</t>
  </si>
  <si>
    <t>税＞間接税＞消費税＞消費税グループ</t>
    <rPh sb="0" eb="1">
      <t>ゼイ</t>
    </rPh>
    <phoneticPr fontId="12"/>
  </si>
  <si>
    <t>Tax &gt; Indirect taxes &gt; Sales tax &gt; Sales tax groups</t>
    <phoneticPr fontId="12"/>
  </si>
  <si>
    <t>文字数制限(10文字)あり</t>
    <rPh sb="0" eb="3">
      <t>モジスウ</t>
    </rPh>
    <rPh sb="3" eb="5">
      <t>セイゲン</t>
    </rPh>
    <rPh sb="8" eb="10">
      <t>モジ</t>
    </rPh>
    <phoneticPr fontId="12"/>
  </si>
  <si>
    <t>「消費税グループ-設定値」を参照</t>
  </si>
  <si>
    <t>消費税グループの説明</t>
    <rPh sb="0" eb="3">
      <t>ショウヒゼイ</t>
    </rPh>
    <rPh sb="8" eb="10">
      <t>セツメイ</t>
    </rPh>
    <phoneticPr fontId="12"/>
  </si>
  <si>
    <t>国/地域または都道府県</t>
    <rPh sb="0" eb="1">
      <t>クニ</t>
    </rPh>
    <rPh sb="2" eb="4">
      <t>チイキ</t>
    </rPh>
    <rPh sb="7" eb="11">
      <t>トドウフケン</t>
    </rPh>
    <phoneticPr fontId="12"/>
  </si>
  <si>
    <t>市区群/目的</t>
    <rPh sb="0" eb="2">
      <t>シク</t>
    </rPh>
    <rPh sb="2" eb="3">
      <t>グン</t>
    </rPh>
    <rPh sb="4" eb="6">
      <t>モクテキ</t>
    </rPh>
    <phoneticPr fontId="12"/>
  </si>
  <si>
    <t>現金割引</t>
    <rPh sb="0" eb="2">
      <t>ゲンキン</t>
    </rPh>
    <rPh sb="2" eb="4">
      <t>ワリビキ</t>
    </rPh>
    <phoneticPr fontId="12"/>
  </si>
  <si>
    <t>現金割引の消費税の取消</t>
    <rPh sb="0" eb="4">
      <t>ゲンキンワリビキ</t>
    </rPh>
    <rPh sb="5" eb="8">
      <t>ショウヒゼイ</t>
    </rPh>
    <rPh sb="9" eb="11">
      <t>トリケシ</t>
    </rPh>
    <phoneticPr fontId="12"/>
  </si>
  <si>
    <t>選択した消費税グループに対して、現金割引の消費税の取消を有効にするには、このオプションを選択します。消費税グループの作成時、[総勘定元帳パラメータ] ページの現金割引フィールドの [消費税の取消] の値に応じて、このオプションは、選択または選択解除されます。個ーの消費税グループに対して、このオプションを選択、または選択解除できます。たとえば、売上が 100.00、税金が 10% の 10.00 で、合計が 110.00 だとします。顧客は早期支払による 2% の現金割引を受け取りました。このオプションを選択した場合、10.00 の消費税から、10.00 の 2%、つまり 0.20 が自動的に取り消されます。</t>
  </si>
  <si>
    <t>丸めの方法</t>
    <rPh sb="0" eb="1">
      <t>マル</t>
    </rPh>
    <rPh sb="3" eb="5">
      <t>ホウホウ</t>
    </rPh>
    <phoneticPr fontId="12"/>
  </si>
  <si>
    <t>消費税グループの税金に適用される丸めの原則を選択します。このフィールドは、法人のコンフィギュレーションに地方税務署が含まれている場合にのみ使用できます。次のオプションを使用できます: [消費税コード] (消費税コードの丸めが使用されます ; [消費税コード] ページの [丸め] フィールドの値を参照してください) [消費税コードの組み合わせ] (各請求明細行に関連付けられた消費税コードの組み合わせの丸めが使用されます)。</t>
  </si>
  <si>
    <t>・消費税コード
・消費税コードの組み合わせ</t>
    <rPh sb="1" eb="4">
      <t>ショウヒゼイ</t>
    </rPh>
    <rPh sb="9" eb="12">
      <t>ショウヒゼイ</t>
    </rPh>
    <rPh sb="16" eb="17">
      <t>ク</t>
    </rPh>
    <rPh sb="18" eb="19">
      <t>ア</t>
    </rPh>
    <phoneticPr fontId="12"/>
  </si>
  <si>
    <t>印刷された請求書での消費税の表示方法を選択します。次のオプションを使用できます: [消費税コード] (消費税は消費税コードごとに整理されます)、[消費税グループ] (消費税は消費税グループごとに整理されます)、[詳細なし] (消費税の詳細は請求書に表示されません ; [地方税務署の設定クイック タブ] で [免税] オプションを選択した地方税務署に基づく消費税グループに対して、このオプションを選択することができます)。請求書レイアウトに応じて、項目別の税額が請求書の本文またはフッターに表示されます。[顧客請求書のフォーム設定] のページまたは [仕入先請求書のフォーム設定] のページで変更できる既定の設定では、項目別の税金は請求書のフッターに表示されます。EU115 法に準拠している場合は、請求書の各明細行に税コードを印刷できます。これを行うには、[消費税コード] のページの [印刷] フィールドで、[コードの印刷] を選択します。</t>
  </si>
  <si>
    <t>・消費税コード
・消費税グループ
・詳細がありません</t>
    <rPh sb="1" eb="4">
      <t>ショウヒゼイ</t>
    </rPh>
    <rPh sb="9" eb="12">
      <t>ショウヒゼイ</t>
    </rPh>
    <rPh sb="18" eb="20">
      <t>ショウサイ</t>
    </rPh>
    <phoneticPr fontId="12"/>
  </si>
  <si>
    <t>設定</t>
    <rPh sb="0" eb="2">
      <t>セッテイ</t>
    </rPh>
    <phoneticPr fontId="12"/>
  </si>
  <si>
    <t>[消費税グループ] の消費税コードを選択します。このリストには、[消費税コード] ページの関連するすべての消費税コードが含まれます。消費税グループが地方税務署を使用して設定されている場合、消費税コードをこのフィールドで選択することはできません。[地方税務署] ページで各税務署に追加する必要があります。</t>
  </si>
  <si>
    <t>消費税コード（ユーザー定義）</t>
    <phoneticPr fontId="12"/>
  </si>
  <si>
    <t>「消費税グループ-設定値_設定」を参照</t>
  </si>
  <si>
    <t>免税</t>
    <rPh sb="0" eb="2">
      <t>メンゼイ</t>
    </rPh>
    <phoneticPr fontId="12"/>
  </si>
  <si>
    <t>消費税グループの選択した消費税コードに対して消費税が計算されない場合に、このオプションを選択します。場合によっては、税金が計算されなくても、税基準を計算して記録する必要があります。特定の顧客または仕入先に対して税金が計算されないようにするには、その顧客または仕入先に使用する消費税グループに対してこのオプションを選択します。免税が品目 (顧客または仕入先に対する単一の発生) に関連している場合は、[割合 / 金額] フィールドにゼロ (0) を入力して消費税コードを作成します。次に、この消費税コードを含む消費税グループと、同じ税金ゼロの消費税コードを含む品目消費税グループを作成します。これらの消費税グループをトランザクションで使用します。</t>
  </si>
  <si>
    <t>チェック有/チェック無</t>
  </si>
  <si>
    <t>チェック無</t>
    <rPh sb="4" eb="5">
      <t>ナシ</t>
    </rPh>
    <phoneticPr fontId="12"/>
  </si>
  <si>
    <t>非課税コード</t>
    <rPh sb="0" eb="3">
      <t>ヒカゼイ</t>
    </rPh>
    <phoneticPr fontId="12"/>
  </si>
  <si>
    <t>消費税非課税の理由を示す非課税コードを選択します。このコードはトランザクションに従います。消費税が明確に計算されていないトランザクションを含む、すべての転記済の消費税トランザクションは、[転記済消費税] ページで表示できます。</t>
  </si>
  <si>
    <t>購買に対する利用税を、仕入先ではなく法人が計算して支払う必要があることを示す場合に、このオプションを選択します。</t>
  </si>
  <si>
    <t>割合/合計</t>
    <rPh sb="0" eb="2">
      <t>ワリアイ</t>
    </rPh>
    <rPh sb="3" eb="5">
      <t>ゴウケイ</t>
    </rPh>
    <phoneticPr fontId="12"/>
  </si>
  <si>
    <t>小売の宛先に基づく税</t>
    <rPh sb="0" eb="2">
      <t>コウリ</t>
    </rPh>
    <rPh sb="3" eb="5">
      <t>アテサキ</t>
    </rPh>
    <rPh sb="6" eb="7">
      <t>モト</t>
    </rPh>
    <rPh sb="9" eb="10">
      <t>ゼイ</t>
    </rPh>
    <phoneticPr fontId="12"/>
  </si>
  <si>
    <t>「消費税グループ_小売りの宛先に基づく税-設定値」を参照</t>
    <rPh sb="9" eb="11">
      <t>コウ</t>
    </rPh>
    <rPh sb="13" eb="15">
      <t>アテサキ</t>
    </rPh>
    <rPh sb="16" eb="17">
      <t>モト</t>
    </rPh>
    <rPh sb="19" eb="20">
      <t>ゼイ</t>
    </rPh>
    <phoneticPr fontId="12"/>
  </si>
  <si>
    <t>市区群</t>
    <rPh sb="0" eb="2">
      <t>シク</t>
    </rPh>
    <rPh sb="2" eb="3">
      <t>グン</t>
    </rPh>
    <phoneticPr fontId="12"/>
  </si>
  <si>
    <t>住所の設定-市区郡（ユーザー定義）</t>
    <rPh sb="6" eb="9">
      <t>シクグン</t>
    </rPh>
    <rPh sb="14" eb="16">
      <t>テイギ</t>
    </rPh>
    <phoneticPr fontId="12"/>
  </si>
  <si>
    <t>データベースのレコードの固有 ID</t>
  </si>
  <si>
    <t>データベースのレコードの固有 ID</t>
    <phoneticPr fontId="12"/>
  </si>
  <si>
    <t>住所の設定-地区（ユーザー定義）</t>
    <rPh sb="6" eb="8">
      <t>チク</t>
    </rPh>
    <rPh sb="13" eb="15">
      <t>テイギ</t>
    </rPh>
    <phoneticPr fontId="12"/>
  </si>
  <si>
    <t>コールセンターの既定値</t>
    <rPh sb="8" eb="11">
      <t>キテイチ</t>
    </rPh>
    <phoneticPr fontId="12"/>
  </si>
  <si>
    <t>既定の基準の設定</t>
    <rPh sb="0" eb="2">
      <t>キテイ</t>
    </rPh>
    <rPh sb="3" eb="5">
      <t>キジュン</t>
    </rPh>
    <rPh sb="6" eb="8">
      <t>セッテイ</t>
    </rPh>
    <phoneticPr fontId="12"/>
  </si>
  <si>
    <t>国/地域（システム定義）</t>
    <rPh sb="0" eb="1">
      <t>クニ</t>
    </rPh>
    <rPh sb="2" eb="4">
      <t>チイキ</t>
    </rPh>
    <rPh sb="9" eb="11">
      <t>テイギ</t>
    </rPh>
    <phoneticPr fontId="12"/>
  </si>
  <si>
    <t>消費税グループ-設定値</t>
  </si>
  <si>
    <t>現金割引</t>
    <rPh sb="0" eb="4">
      <t>ゲンキンワリビキ</t>
    </rPh>
    <phoneticPr fontId="12"/>
  </si>
  <si>
    <t>既定の基準の指定</t>
    <rPh sb="0" eb="2">
      <t>キテイ</t>
    </rPh>
    <rPh sb="3" eb="5">
      <t>キジュン</t>
    </rPh>
    <rPh sb="6" eb="8">
      <t>シテイ</t>
    </rPh>
    <phoneticPr fontId="12"/>
  </si>
  <si>
    <t>市区群/目的</t>
    <rPh sb="0" eb="3">
      <t>シクグン</t>
    </rPh>
    <rPh sb="4" eb="6">
      <t>モクテキ</t>
    </rPh>
    <phoneticPr fontId="12"/>
  </si>
  <si>
    <t>文字列（ユーザー定義）</t>
    <rPh sb="0" eb="3">
      <t>モジレツ</t>
    </rPh>
    <rPh sb="8" eb="10">
      <t>テイギ</t>
    </rPh>
    <phoneticPr fontId="12"/>
  </si>
  <si>
    <t xml:space="preserve">国/地域（システム定義）
</t>
  </si>
  <si>
    <t>消費税コードの組み合わせ</t>
    <phoneticPr fontId="12"/>
  </si>
  <si>
    <t>消費税グループ_設定-設定値</t>
  </si>
  <si>
    <t>割合/金額</t>
    <rPh sb="0" eb="5">
      <t>ワリアイ・キンガク</t>
    </rPh>
    <phoneticPr fontId="12"/>
  </si>
  <si>
    <t xml:space="preserve">消費税コード（ユーザー定義）
</t>
    <rPh sb="0" eb="3">
      <t>ショウヒゼイ</t>
    </rPh>
    <phoneticPr fontId="12"/>
  </si>
  <si>
    <t>チェック有/チェック無</t>
    <phoneticPr fontId="12"/>
  </si>
  <si>
    <t>チェック有</t>
    <phoneticPr fontId="12"/>
  </si>
  <si>
    <t>チェック無</t>
    <phoneticPr fontId="12"/>
  </si>
  <si>
    <t>A1</t>
  </si>
  <si>
    <t>A2</t>
  </si>
  <si>
    <t>W0</t>
  </si>
  <si>
    <t>W2</t>
  </si>
  <si>
    <t>W3</t>
  </si>
  <si>
    <t>W4</t>
  </si>
  <si>
    <t>W5</t>
  </si>
  <si>
    <t>W9</t>
  </si>
  <si>
    <t>WA</t>
  </si>
  <si>
    <t>チェック無</t>
  </si>
  <si>
    <t>消費税グループ_小売の宛先に基づく税_設定値</t>
  </si>
  <si>
    <t>地区</t>
  </si>
  <si>
    <t>品目消費税グループ</t>
  </si>
  <si>
    <t>税＞間接税＞消費税＞品目消費税グループ</t>
    <phoneticPr fontId="12"/>
  </si>
  <si>
    <t>Tax &gt; Indirect taxes &gt; Sales tax &gt; Item sales tax groups</t>
    <phoneticPr fontId="12"/>
  </si>
  <si>
    <t>品目消費税グループ</t>
    <rPh sb="0" eb="2">
      <t>ヒンモク</t>
    </rPh>
    <rPh sb="2" eb="5">
      <t>ショウヒゼイ</t>
    </rPh>
    <phoneticPr fontId="12"/>
  </si>
  <si>
    <t>元帳に対して会計通貨が定義されていません。"元帳" フォームで通貨を定義する必要があります。
※文字数制限(10文字)あり</t>
    <phoneticPr fontId="12"/>
  </si>
  <si>
    <t>「品目消費税グループ-設定値」を参照</t>
    <rPh sb="1" eb="3">
      <t>ヒンモク</t>
    </rPh>
    <phoneticPr fontId="12"/>
  </si>
  <si>
    <t>「品目消費税グループ-設定値」を参照</t>
  </si>
  <si>
    <t>レポートタイプ</t>
  </si>
  <si>
    <t>品目消費税の明細行の金額を、欧州連合 (EU) の販売リストに含める場所を選択します: [空白] (消費税明細行の金額が [割り当てられていない値] 列に含まれる)、[品目] (消費税明細行の金額は、[品目の値] 列に含まれる)、[サービス] (消費税明細行の金額は、[サービスの値] 列に含まれる)、または [投資] (消費税明細行の金額は、[投資金額] 列に含まれる ; この列は、ベルギーに対してのみ有効)。</t>
    <phoneticPr fontId="12"/>
  </si>
  <si>
    <t>・品目
・サービス
・投資</t>
    <rPh sb="1" eb="3">
      <t>ヒンモク</t>
    </rPh>
    <rPh sb="11" eb="13">
      <t>トウシ</t>
    </rPh>
    <phoneticPr fontId="12"/>
  </si>
  <si>
    <t>選択した品目消費税グループに関連付けられている消費税コードを変更します。消費税コードは、[消費税コード] のページで設定されています。</t>
  </si>
  <si>
    <t>消費税コード（ユーザー定義）</t>
    <rPh sb="0" eb="3">
      <t>ショウヒゼイ</t>
    </rPh>
    <phoneticPr fontId="12"/>
  </si>
  <si>
    <t>消費税コードに対して計算される割合または単位ごとの総額を入力します。</t>
  </si>
  <si>
    <t>品目消費税グループ-設定値</t>
    <phoneticPr fontId="12"/>
  </si>
  <si>
    <t>共通</t>
    <rPh sb="0" eb="2">
      <t>キョウツウ</t>
    </rPh>
    <phoneticPr fontId="2"/>
  </si>
  <si>
    <t>源泉徴収税コード</t>
    <rPh sb="0" eb="5">
      <t>ゲンセンチョウシュウゼイ</t>
    </rPh>
    <phoneticPr fontId="12"/>
  </si>
  <si>
    <t>税金＞間接税＞源泉徴収税＞源泉徴収税コード</t>
    <phoneticPr fontId="12"/>
  </si>
  <si>
    <t>Tax &gt; Indirect taxes &gt; Withholding tax &gt; Withholding tax codes</t>
    <phoneticPr fontId="12"/>
  </si>
  <si>
    <t>「源泉徴収税コード-設定値」を参照</t>
    <rPh sb="1" eb="6">
      <t>ゲンセンチョウシュウゼイ</t>
    </rPh>
    <phoneticPr fontId="12"/>
  </si>
  <si>
    <t>源泉徴収税名</t>
    <rPh sb="0" eb="5">
      <t>ゲンセンチョウシュウゼイ</t>
    </rPh>
    <rPh sb="5" eb="6">
      <t>メイ</t>
    </rPh>
    <phoneticPr fontId="12"/>
  </si>
  <si>
    <t>源泉徴収税コード＞値</t>
    <rPh sb="0" eb="5">
      <t>ゲンセンチョウシュウゼイ</t>
    </rPh>
    <phoneticPr fontId="12"/>
  </si>
  <si>
    <t>「源泉徴収税コードの値-設定値」を参照</t>
    <rPh sb="1" eb="6">
      <t>ゲンセンチョウシュウゼイ</t>
    </rPh>
    <rPh sb="10" eb="11">
      <t>アタイ</t>
    </rPh>
    <phoneticPr fontId="12"/>
  </si>
  <si>
    <t>標準通貨金額 (国の通貨)</t>
    <phoneticPr fontId="12"/>
  </si>
  <si>
    <t>源泉徴収税の計算に使用する割合</t>
    <phoneticPr fontId="12"/>
  </si>
  <si>
    <t>通貨</t>
    <rPh sb="0" eb="2">
      <t>ツウカ</t>
    </rPh>
    <phoneticPr fontId="12"/>
  </si>
  <si>
    <t>通貨（ユーザー定義）</t>
    <rPh sb="0" eb="2">
      <t>ツウカ</t>
    </rPh>
    <phoneticPr fontId="12"/>
  </si>
  <si>
    <t>主勘定</t>
    <rPh sb="0" eb="3">
      <t>シュカンジョウ</t>
    </rPh>
    <phoneticPr fontId="12"/>
  </si>
  <si>
    <t>主勘定（ユーザー定義）</t>
    <rPh sb="0" eb="3">
      <t>シュカンジョウ</t>
    </rPh>
    <phoneticPr fontId="12"/>
  </si>
  <si>
    <t>・正味金額の割合
・総額の割合</t>
    <rPh sb="1" eb="3">
      <t>ショウミ</t>
    </rPh>
    <rPh sb="3" eb="5">
      <t>キンガク</t>
    </rPh>
    <rPh sb="6" eb="8">
      <t>ワリアイ</t>
    </rPh>
    <rPh sb="10" eb="12">
      <t>ソウガク</t>
    </rPh>
    <rPh sb="13" eb="15">
      <t>ワリアイ</t>
    </rPh>
    <phoneticPr fontId="12"/>
  </si>
  <si>
    <t>丸めフォーム</t>
    <rPh sb="0" eb="1">
      <t>マル</t>
    </rPh>
    <phoneticPr fontId="12"/>
  </si>
  <si>
    <t>源泉徴収税コード-設定値</t>
    <phoneticPr fontId="12"/>
  </si>
  <si>
    <t xml:space="preserve">主勘定（ユーザー定義）
</t>
    <rPh sb="0" eb="3">
      <t>シュカンジョウ</t>
    </rPh>
    <phoneticPr fontId="12"/>
  </si>
  <si>
    <t xml:space="preserve">源泉徴収税コードの値-設定値 </t>
    <rPh sb="0" eb="5">
      <t>ゲンセンチョウシュウゼイ</t>
    </rPh>
    <phoneticPr fontId="12"/>
  </si>
  <si>
    <t>源泉徴収税グループ</t>
  </si>
  <si>
    <t>税＞間接税＞源泉徴収税＞源泉徴収税グループ</t>
    <phoneticPr fontId="12"/>
  </si>
  <si>
    <t>Tax &gt; Indirect taxes &gt; Withholding tax &gt; Withholding tax groups</t>
    <phoneticPr fontId="12"/>
  </si>
  <si>
    <t>源泉徴収税グループ</t>
    <rPh sb="0" eb="5">
      <t>ゲンセンチョウシュウゼイ</t>
    </rPh>
    <phoneticPr fontId="12"/>
  </si>
  <si>
    <t>「源泉徴収税グループ-設定値を参照</t>
  </si>
  <si>
    <t>源泉徴収税コード</t>
    <rPh sb="0" eb="2">
      <t>ゲンセン</t>
    </rPh>
    <rPh sb="2" eb="4">
      <t>チョウシュウ</t>
    </rPh>
    <rPh sb="4" eb="5">
      <t>ゼイ</t>
    </rPh>
    <phoneticPr fontId="12"/>
  </si>
  <si>
    <t>源泉徴収税コード（ユーザー定義）</t>
    <rPh sb="0" eb="2">
      <t>ゲンセン</t>
    </rPh>
    <rPh sb="2" eb="4">
      <t>チョウシュウ</t>
    </rPh>
    <rPh sb="4" eb="5">
      <t>ゼイ</t>
    </rPh>
    <phoneticPr fontId="12"/>
  </si>
  <si>
    <t>源泉徴収税名</t>
    <rPh sb="0" eb="2">
      <t>ゲンセン</t>
    </rPh>
    <rPh sb="2" eb="4">
      <t>チョウシュウ</t>
    </rPh>
    <rPh sb="4" eb="5">
      <t>ゼイ</t>
    </rPh>
    <rPh sb="5" eb="6">
      <t>メイ</t>
    </rPh>
    <phoneticPr fontId="12"/>
  </si>
  <si>
    <t>源泉徴収税の計算に使用する割合</t>
  </si>
  <si>
    <t>源泉徴収税グループ-設定値</t>
    <phoneticPr fontId="12"/>
  </si>
  <si>
    <t>源泉徴収税税グループ</t>
    <rPh sb="0" eb="5">
      <t>ゲンセンチョウシュウゼイ</t>
    </rPh>
    <rPh sb="5" eb="6">
      <t>ゼイ</t>
    </rPh>
    <phoneticPr fontId="12"/>
  </si>
  <si>
    <t>TAX3</t>
    <phoneticPr fontId="12"/>
  </si>
  <si>
    <t>2026/5/26 JBS井田　元帳転記グループ変更</t>
    <rPh sb="13" eb="15">
      <t>イダ</t>
    </rPh>
    <rPh sb="16" eb="20">
      <t>モトチョウテンキ</t>
    </rPh>
    <rPh sb="24" eb="26">
      <t>ヘンコウ</t>
    </rPh>
    <phoneticPr fontId="12"/>
  </si>
  <si>
    <t>2026/5/26JBS井田追加</t>
    <rPh sb="12" eb="14">
      <t>イダ</t>
    </rPh>
    <rPh sb="14" eb="16">
      <t>ツイカ</t>
    </rPh>
    <phoneticPr fontId="12"/>
  </si>
  <si>
    <t>不課税用</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</si>
</sst>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_ * #,##0.00_ ;_ * \-#,##0.00_ ;_ * &quot;-&quot;_ ;_ @_ "/>
  </numFmts>
  <fonts count="40">
    <font>
      <sz val="11"/>
      <color theme="1"/>
      <name val="Meiryo UI"/>
      <family val="2"/>
      <charset val="128"/>
    </font>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0"/>
      <color theme="1"/>
      <name val="Meiryo UI"/>
      <family val="2"/>
      <charset val="128"/>
    </font>
    <font>
      <sz val="11"/>
      <color theme="1"/>
      <name val="游ゴシック"/>
      <family val="2"/>
      <scheme val="minor"/>
    </font>
    <font>
      <sz val="11"/>
      <name val="ＭＳ Ｐゴシック"/>
      <family val="3"/>
      <charset val="128"/>
    </font>
    <font>
      <sz val="10"/>
      <color rgb="FF000000"/>
      <name val="Meiryo UI"/>
      <family val="3"/>
      <charset val="128"/>
    </font>
    <font>
      <sz val="11"/>
      <color rgb="FF000000"/>
      <name val="Yu Gothic"/>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0"/>
      <color theme="10"/>
      <name val="Meiryo UI"/>
      <family val="2"/>
      <charset val="128"/>
    </font>
    <font>
      <sz val="10"/>
      <color theme="1"/>
      <name val="Segoe UI Symbol"/>
      <family val="2"/>
    </font>
    <font>
      <sz val="10"/>
      <color rgb="FF000000"/>
      <name val="Yu Gothic"/>
      <family val="3"/>
      <charset val="128"/>
    </font>
    <font>
      <sz val="10"/>
      <color rgb="FFFF0000"/>
      <name val="Meiryo UI"/>
      <family val="3"/>
      <charset val="128"/>
    </font>
    <font>
      <sz val="10"/>
      <color rgb="FFFF0000"/>
      <name val="Meiryo UI"/>
      <family val="2"/>
      <charset val="128"/>
    </font>
    <font>
      <sz val="10"/>
      <color rgb="FF000000"/>
      <name val="Meiryo UI"/>
      <family val="2"/>
      <charset val="128"/>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right/>
      <top/>
      <bottom style="thin">
        <color theme="0"/>
      </bottom>
      <diagonal/>
    </border>
    <border>
      <left style="thin">
        <color indexed="64"/>
      </left>
      <right/>
      <top/>
      <bottom/>
      <diagonal/>
    </border>
    <border>
      <left/>
      <right style="thin">
        <color indexed="64"/>
      </right>
      <top/>
      <bottom/>
      <diagonal/>
    </border>
  </borders>
  <cellStyleXfs count="21">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4"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25" fillId="0" borderId="0">
      <alignment vertical="center"/>
    </xf>
    <xf numFmtId="0" fontId="23" fillId="0" borderId="0">
      <alignment vertical="center"/>
    </xf>
    <xf numFmtId="0" fontId="4" fillId="0" borderId="0">
      <alignment vertical="center"/>
    </xf>
    <xf numFmtId="0" fontId="3" fillId="0" borderId="0">
      <alignment vertical="center"/>
    </xf>
    <xf numFmtId="0" fontId="2" fillId="0" borderId="0">
      <alignment vertical="center"/>
    </xf>
  </cellStyleXfs>
  <cellXfs count="201">
    <xf numFmtId="0" fontId="0" fillId="0" borderId="0" xfId="0">
      <alignment vertical="center"/>
    </xf>
    <xf numFmtId="0" fontId="19" fillId="6" borderId="1" xfId="0" applyFont="1" applyFill="1" applyBorder="1" applyAlignment="1" applyProtection="1">
      <alignment horizontal="left" vertical="top" wrapText="1"/>
      <protection locked="0"/>
    </xf>
    <xf numFmtId="0" fontId="19" fillId="6"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0" borderId="1" xfId="0" applyBorder="1" applyProtection="1">
      <alignment vertical="center"/>
      <protection locked="0"/>
    </xf>
    <xf numFmtId="0" fontId="18" fillId="5" borderId="1" xfId="0" applyFont="1" applyFill="1" applyBorder="1" applyAlignment="1">
      <alignment vertical="top" wrapText="1"/>
    </xf>
    <xf numFmtId="0" fontId="18" fillId="6" borderId="1" xfId="0" applyFont="1" applyFill="1" applyBorder="1" applyAlignment="1">
      <alignment vertical="top" wrapText="1"/>
    </xf>
    <xf numFmtId="0" fontId="14" fillId="0" borderId="0" xfId="4" applyFont="1">
      <alignment vertical="center"/>
    </xf>
    <xf numFmtId="0" fontId="22" fillId="0" borderId="0" xfId="3" applyProtection="1">
      <alignment vertical="center"/>
    </xf>
    <xf numFmtId="0" fontId="21" fillId="4" borderId="1" xfId="0" applyFont="1" applyFill="1" applyBorder="1" applyAlignment="1">
      <alignment horizontal="center" vertical="top" wrapText="1"/>
    </xf>
    <xf numFmtId="0" fontId="21" fillId="4" borderId="9" xfId="0" applyFont="1" applyFill="1" applyBorder="1" applyAlignment="1">
      <alignment horizontal="center" vertical="top" wrapText="1"/>
    </xf>
    <xf numFmtId="0" fontId="21" fillId="4" borderId="9" xfId="0" applyFont="1" applyFill="1" applyBorder="1" applyAlignment="1">
      <alignment horizontal="center" vertical="top"/>
    </xf>
    <xf numFmtId="0" fontId="21" fillId="5" borderId="1" xfId="0" applyFont="1" applyFill="1" applyBorder="1" applyAlignment="1">
      <alignment horizontal="center" vertical="top"/>
    </xf>
    <xf numFmtId="0" fontId="19" fillId="0" borderId="13" xfId="0" applyFont="1" applyBorder="1" applyAlignment="1">
      <alignment vertical="top"/>
    </xf>
    <xf numFmtId="0" fontId="19" fillId="0" borderId="9" xfId="0" applyFont="1" applyBorder="1" applyAlignment="1">
      <alignment vertical="top" wrapText="1"/>
    </xf>
    <xf numFmtId="0" fontId="19" fillId="0" borderId="1" xfId="0" applyFont="1" applyBorder="1" applyAlignment="1">
      <alignment vertical="top" wrapText="1"/>
    </xf>
    <xf numFmtId="0" fontId="19" fillId="6" borderId="1" xfId="0" applyFont="1" applyFill="1" applyBorder="1" applyAlignment="1">
      <alignment horizontal="left" vertical="top" wrapText="1"/>
    </xf>
    <xf numFmtId="0" fontId="19" fillId="0" borderId="10" xfId="0" applyFont="1" applyBorder="1" applyAlignment="1">
      <alignment vertical="top" wrapText="1"/>
    </xf>
    <xf numFmtId="0" fontId="19" fillId="0" borderId="8" xfId="0" applyFont="1" applyBorder="1" applyAlignment="1">
      <alignment vertical="top" wrapText="1"/>
    </xf>
    <xf numFmtId="0" fontId="21" fillId="4" borderId="1" xfId="0" applyFont="1" applyFill="1" applyBorder="1" applyAlignment="1">
      <alignment horizontal="center" vertical="top"/>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9" fillId="6" borderId="1" xfId="0" applyFont="1" applyFill="1" applyBorder="1" applyAlignment="1">
      <alignment vertical="top" wrapText="1"/>
    </xf>
    <xf numFmtId="0" fontId="18" fillId="0" borderId="1" xfId="0" applyFont="1" applyBorder="1" applyAlignment="1">
      <alignment vertical="top" wrapText="1"/>
    </xf>
    <xf numFmtId="0" fontId="19" fillId="2" borderId="1" xfId="0" applyFont="1" applyFill="1" applyBorder="1" applyAlignment="1">
      <alignment vertical="top" wrapText="1"/>
    </xf>
    <xf numFmtId="0" fontId="18" fillId="5" borderId="13" xfId="0" applyFont="1" applyFill="1" applyBorder="1" applyAlignment="1">
      <alignment vertical="top" wrapText="1"/>
    </xf>
    <xf numFmtId="0" fontId="18" fillId="5" borderId="14" xfId="0" applyFont="1" applyFill="1" applyBorder="1" applyAlignment="1">
      <alignment vertical="top" wrapText="1"/>
    </xf>
    <xf numFmtId="0" fontId="18" fillId="5" borderId="12" xfId="0" applyFont="1" applyFill="1" applyBorder="1" applyAlignment="1">
      <alignment vertical="top" wrapText="1"/>
    </xf>
    <xf numFmtId="2" fontId="19" fillId="0" borderId="1" xfId="0" applyNumberFormat="1" applyFont="1" applyBorder="1" applyAlignment="1">
      <alignment horizontal="left" vertical="top" wrapText="1"/>
    </xf>
    <xf numFmtId="0" fontId="18" fillId="5" borderId="2" xfId="0" applyFont="1" applyFill="1" applyBorder="1" applyAlignment="1">
      <alignment vertical="center" wrapText="1"/>
    </xf>
    <xf numFmtId="0" fontId="18" fillId="5" borderId="3" xfId="0" applyFont="1" applyFill="1" applyBorder="1" applyAlignment="1">
      <alignment vertical="center" wrapText="1"/>
    </xf>
    <xf numFmtId="0" fontId="18" fillId="5" borderId="4" xfId="0" applyFont="1" applyFill="1" applyBorder="1" applyAlignment="1">
      <alignment vertical="center" wrapText="1"/>
    </xf>
    <xf numFmtId="0" fontId="18" fillId="5" borderId="6" xfId="0" applyFont="1" applyFill="1" applyBorder="1" applyAlignment="1">
      <alignment vertical="center" wrapText="1"/>
    </xf>
    <xf numFmtId="0" fontId="18" fillId="5" borderId="7" xfId="0" applyFont="1" applyFill="1" applyBorder="1" applyAlignment="1">
      <alignment vertical="center" wrapText="1"/>
    </xf>
    <xf numFmtId="0" fontId="18" fillId="5" borderId="12" xfId="0" applyFont="1" applyFill="1" applyBorder="1" applyAlignment="1">
      <alignment horizontal="left" vertical="top" wrapText="1"/>
    </xf>
    <xf numFmtId="0" fontId="19" fillId="0" borderId="1" xfId="0" applyFont="1" applyBorder="1" applyAlignment="1">
      <alignment vertical="center" wrapText="1"/>
    </xf>
    <xf numFmtId="0" fontId="18" fillId="0" borderId="1" xfId="0" applyFont="1" applyBorder="1" applyAlignment="1">
      <alignment vertical="center" wrapText="1"/>
    </xf>
    <xf numFmtId="0" fontId="18" fillId="5" borderId="3" xfId="0" applyFont="1" applyFill="1" applyBorder="1" applyAlignment="1">
      <alignment vertical="top" wrapText="1"/>
    </xf>
    <xf numFmtId="0" fontId="18" fillId="5" borderId="4" xfId="0" applyFont="1" applyFill="1" applyBorder="1" applyAlignment="1">
      <alignment vertical="top" wrapText="1"/>
    </xf>
    <xf numFmtId="0" fontId="18" fillId="5" borderId="2" xfId="0" applyFont="1" applyFill="1" applyBorder="1" applyAlignment="1">
      <alignment vertical="top" wrapText="1"/>
    </xf>
    <xf numFmtId="0" fontId="16" fillId="0" borderId="0" xfId="0" applyFont="1">
      <alignment vertical="center"/>
    </xf>
    <xf numFmtId="2" fontId="19" fillId="0" borderId="1" xfId="0" applyNumberFormat="1" applyFont="1" applyBorder="1" applyAlignment="1">
      <alignment vertical="top" wrapText="1"/>
    </xf>
    <xf numFmtId="0" fontId="18" fillId="5" borderId="13" xfId="0" applyFont="1" applyFill="1" applyBorder="1" applyAlignment="1">
      <alignment horizontal="left" vertical="top" wrapText="1"/>
    </xf>
    <xf numFmtId="176" fontId="19" fillId="0" borderId="1" xfId="0" applyNumberFormat="1" applyFont="1" applyBorder="1" applyAlignment="1">
      <alignment horizontal="left" vertical="top" wrapText="1"/>
    </xf>
    <xf numFmtId="0" fontId="18" fillId="0" borderId="0" xfId="0" applyFont="1">
      <alignment vertical="center"/>
    </xf>
    <xf numFmtId="0" fontId="0" fillId="0" borderId="1" xfId="0" applyBorder="1">
      <alignment vertical="center"/>
    </xf>
    <xf numFmtId="0" fontId="14" fillId="0" borderId="0" xfId="18" applyFont="1">
      <alignment vertical="center"/>
    </xf>
    <xf numFmtId="0" fontId="0" fillId="4" borderId="1" xfId="0" applyFill="1" applyBorder="1">
      <alignment vertical="center"/>
    </xf>
    <xf numFmtId="0" fontId="0" fillId="0" borderId="0" xfId="0" applyAlignment="1">
      <alignment vertical="center" wrapText="1"/>
    </xf>
    <xf numFmtId="49" fontId="0" fillId="0" borderId="0" xfId="0" applyNumberFormat="1">
      <alignment vertical="center"/>
    </xf>
    <xf numFmtId="49" fontId="18" fillId="6" borderId="1" xfId="0" applyNumberFormat="1" applyFont="1" applyFill="1" applyBorder="1" applyAlignment="1">
      <alignment vertical="top" wrapText="1"/>
    </xf>
    <xf numFmtId="0" fontId="26" fillId="0" borderId="0" xfId="0" applyFont="1" applyAlignment="1"/>
    <xf numFmtId="0" fontId="27" fillId="0" borderId="0" xfId="0" applyFont="1" applyAlignment="1"/>
    <xf numFmtId="0" fontId="23" fillId="0" borderId="0" xfId="0" applyFont="1">
      <alignment vertical="center"/>
    </xf>
    <xf numFmtId="0" fontId="0" fillId="4" borderId="1" xfId="0" applyFill="1" applyBorder="1" applyAlignment="1">
      <alignment horizontal="center" vertical="center"/>
    </xf>
    <xf numFmtId="0" fontId="26" fillId="0" borderId="1" xfId="0" applyFont="1" applyBorder="1" applyAlignment="1">
      <alignment vertical="top" wrapText="1"/>
    </xf>
    <xf numFmtId="0" fontId="16" fillId="0" borderId="0" xfId="0" applyFont="1" applyAlignment="1"/>
    <xf numFmtId="0" fontId="16" fillId="2" borderId="0" xfId="10" applyFont="1" applyFill="1"/>
    <xf numFmtId="0" fontId="28" fillId="0" borderId="0" xfId="0" applyFont="1" applyAlignment="1"/>
    <xf numFmtId="0" fontId="28" fillId="0" borderId="0" xfId="0" applyFont="1">
      <alignment vertical="center"/>
    </xf>
    <xf numFmtId="0" fontId="30" fillId="0" borderId="0" xfId="0" applyFont="1" applyAlignment="1"/>
    <xf numFmtId="0" fontId="30" fillId="0" borderId="16" xfId="0" applyFont="1" applyBorder="1" applyAlignment="1"/>
    <xf numFmtId="0" fontId="16" fillId="0" borderId="17" xfId="0" applyFont="1" applyBorder="1">
      <alignment vertical="center"/>
    </xf>
    <xf numFmtId="0" fontId="0" fillId="0" borderId="1" xfId="0" applyBorder="1" applyAlignment="1">
      <alignment horizontal="center" vertical="center"/>
    </xf>
    <xf numFmtId="0" fontId="22" fillId="0" borderId="1" xfId="3" applyBorder="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8" fillId="5" borderId="9" xfId="0" applyFont="1" applyFill="1" applyBorder="1" applyAlignment="1">
      <alignment vertical="center" wrapText="1"/>
    </xf>
    <xf numFmtId="0" fontId="18" fillId="5" borderId="8" xfId="0" applyFont="1" applyFill="1" applyBorder="1" applyAlignment="1">
      <alignment vertical="center" wrapText="1"/>
    </xf>
    <xf numFmtId="0" fontId="18" fillId="5" borderId="1" xfId="0" applyFont="1" applyFill="1" applyBorder="1" applyAlignment="1">
      <alignment vertical="center" wrapText="1"/>
    </xf>
    <xf numFmtId="0" fontId="19" fillId="0" borderId="0" xfId="0" applyFont="1">
      <alignment vertical="center"/>
    </xf>
    <xf numFmtId="0" fontId="19" fillId="5" borderId="13" xfId="0" applyFont="1" applyFill="1" applyBorder="1">
      <alignment vertical="center"/>
    </xf>
    <xf numFmtId="0" fontId="19" fillId="5" borderId="12" xfId="0" applyFont="1" applyFill="1" applyBorder="1">
      <alignment vertical="center"/>
    </xf>
    <xf numFmtId="0" fontId="19" fillId="5" borderId="1" xfId="0" applyFont="1" applyFill="1" applyBorder="1">
      <alignment vertical="center"/>
    </xf>
    <xf numFmtId="0" fontId="19" fillId="3" borderId="1" xfId="0" applyFont="1" applyFill="1" applyBorder="1" applyAlignment="1" applyProtection="1">
      <protection locked="0"/>
    </xf>
    <xf numFmtId="49" fontId="19" fillId="3" borderId="1" xfId="0" applyNumberFormat="1" applyFont="1" applyFill="1" applyBorder="1" applyAlignment="1" applyProtection="1">
      <protection locked="0"/>
    </xf>
    <xf numFmtId="0" fontId="19" fillId="0" borderId="1" xfId="0" applyFont="1" applyBorder="1">
      <alignment vertical="center"/>
    </xf>
    <xf numFmtId="0" fontId="34" fillId="0" borderId="0" xfId="3" applyFont="1" applyProtection="1">
      <alignment vertical="center"/>
    </xf>
    <xf numFmtId="0" fontId="18" fillId="5" borderId="12" xfId="0" applyFont="1" applyFill="1" applyBorder="1" applyAlignment="1">
      <alignment vertical="center" wrapText="1"/>
    </xf>
    <xf numFmtId="0" fontId="18" fillId="5" borderId="5" xfId="0" applyFont="1" applyFill="1" applyBorder="1" applyAlignment="1">
      <alignment vertical="center" wrapText="1"/>
    </xf>
    <xf numFmtId="0" fontId="18" fillId="6" borderId="12" xfId="0" applyFont="1" applyFill="1" applyBorder="1" applyAlignment="1">
      <alignment vertical="top" wrapText="1"/>
    </xf>
    <xf numFmtId="0" fontId="18" fillId="5" borderId="13" xfId="0" applyFont="1" applyFill="1" applyBorder="1" applyAlignment="1">
      <alignment vertical="center" wrapText="1"/>
    </xf>
    <xf numFmtId="0" fontId="18" fillId="5" borderId="14" xfId="0" applyFont="1" applyFill="1" applyBorder="1" applyAlignment="1">
      <alignment vertical="center" wrapText="1"/>
    </xf>
    <xf numFmtId="0" fontId="18" fillId="5" borderId="8" xfId="0" applyFont="1" applyFill="1" applyBorder="1" applyAlignment="1">
      <alignment vertical="top" wrapText="1"/>
    </xf>
    <xf numFmtId="0" fontId="19" fillId="0" borderId="1" xfId="0" applyFont="1" applyBorder="1" applyProtection="1">
      <alignment vertical="center"/>
      <protection locked="0"/>
    </xf>
    <xf numFmtId="14" fontId="19" fillId="0" borderId="1" xfId="0" applyNumberFormat="1" applyFont="1" applyBorder="1" applyProtection="1">
      <alignment vertical="center"/>
      <protection locked="0"/>
    </xf>
    <xf numFmtId="0" fontId="19" fillId="0" borderId="9" xfId="0" applyFont="1" applyBorder="1" applyAlignment="1" applyProtection="1">
      <protection locked="0"/>
    </xf>
    <xf numFmtId="0" fontId="19" fillId="0" borderId="10" xfId="0" applyFont="1" applyBorder="1" applyAlignment="1" applyProtection="1">
      <protection locked="0"/>
    </xf>
    <xf numFmtId="0" fontId="19" fillId="0" borderId="8" xfId="0" applyFont="1" applyBorder="1" applyAlignment="1" applyProtection="1">
      <protection locked="0"/>
    </xf>
    <xf numFmtId="0" fontId="19" fillId="0" borderId="0" xfId="0" applyFont="1" applyAlignment="1">
      <alignment vertical="top"/>
    </xf>
    <xf numFmtId="0" fontId="36" fillId="0" borderId="0" xfId="0" applyFont="1" applyAlignment="1"/>
    <xf numFmtId="49" fontId="23" fillId="0" borderId="0" xfId="0" applyNumberFormat="1" applyFont="1">
      <alignment vertical="center"/>
    </xf>
    <xf numFmtId="49" fontId="34" fillId="0" borderId="0" xfId="3" applyNumberFormat="1" applyFont="1" applyProtection="1">
      <alignment vertical="center"/>
    </xf>
    <xf numFmtId="49" fontId="18" fillId="5" borderId="8" xfId="0" applyNumberFormat="1" applyFont="1" applyFill="1" applyBorder="1" applyAlignment="1">
      <alignment vertical="top" wrapText="1"/>
    </xf>
    <xf numFmtId="0" fontId="18" fillId="5" borderId="7" xfId="0" applyFont="1" applyFill="1" applyBorder="1" applyAlignment="1">
      <alignment horizontal="left" vertical="center" wrapText="1"/>
    </xf>
    <xf numFmtId="0" fontId="19" fillId="3" borderId="11" xfId="0" applyFont="1" applyFill="1" applyBorder="1" applyAlignment="1" applyProtection="1">
      <protection locked="0"/>
    </xf>
    <xf numFmtId="0" fontId="19" fillId="3" borderId="13" xfId="0" applyFont="1" applyFill="1" applyBorder="1" applyAlignment="1" applyProtection="1">
      <protection locked="0"/>
    </xf>
    <xf numFmtId="2" fontId="19" fillId="3" borderId="1" xfId="0" applyNumberFormat="1" applyFont="1" applyFill="1" applyBorder="1" applyAlignment="1" applyProtection="1">
      <alignment horizontal="right" vertical="center"/>
      <protection locked="0"/>
    </xf>
    <xf numFmtId="0" fontId="19" fillId="3" borderId="15" xfId="0" applyFont="1" applyFill="1" applyBorder="1" applyAlignment="1" applyProtection="1">
      <protection locked="0"/>
    </xf>
    <xf numFmtId="0" fontId="37" fillId="0" borderId="0" xfId="0" applyFont="1">
      <alignment vertical="center"/>
    </xf>
    <xf numFmtId="0" fontId="37" fillId="0" borderId="13" xfId="0" applyFont="1" applyBorder="1" applyAlignment="1">
      <alignment vertical="top"/>
    </xf>
    <xf numFmtId="0" fontId="37" fillId="0" borderId="10" xfId="0" applyFont="1" applyBorder="1" applyAlignment="1">
      <alignment vertical="top" wrapText="1"/>
    </xf>
    <xf numFmtId="0" fontId="37" fillId="0" borderId="1" xfId="0" applyFont="1" applyBorder="1">
      <alignment vertical="center"/>
    </xf>
    <xf numFmtId="0" fontId="37" fillId="0" borderId="1" xfId="0" applyFont="1" applyBorder="1" applyAlignment="1">
      <alignment vertical="top" wrapText="1"/>
    </xf>
    <xf numFmtId="0" fontId="37" fillId="6" borderId="1" xfId="0" applyFont="1" applyFill="1" applyBorder="1" applyAlignment="1" applyProtection="1">
      <alignment horizontal="left" vertical="top" wrapText="1"/>
      <protection locked="0"/>
    </xf>
    <xf numFmtId="0" fontId="37" fillId="6" borderId="1" xfId="0" applyFont="1" applyFill="1" applyBorder="1" applyAlignment="1" applyProtection="1">
      <alignment vertical="top" wrapText="1"/>
      <protection locked="0"/>
    </xf>
    <xf numFmtId="0" fontId="37" fillId="0" borderId="8" xfId="0" applyFont="1" applyBorder="1" applyAlignment="1">
      <alignment vertical="top" wrapText="1"/>
    </xf>
    <xf numFmtId="0" fontId="19" fillId="3" borderId="9" xfId="0" applyFont="1" applyFill="1" applyBorder="1" applyAlignment="1" applyProtection="1">
      <protection locked="0"/>
    </xf>
    <xf numFmtId="49" fontId="19" fillId="0" borderId="9" xfId="0" applyNumberFormat="1" applyFont="1" applyBorder="1" applyAlignment="1" applyProtection="1">
      <protection locked="0"/>
    </xf>
    <xf numFmtId="0" fontId="19" fillId="0" borderId="9" xfId="0" applyFont="1" applyBorder="1" applyProtection="1">
      <alignment vertical="center"/>
      <protection locked="0"/>
    </xf>
    <xf numFmtId="0" fontId="19" fillId="0" borderId="9" xfId="0" applyFont="1" applyBorder="1" applyAlignment="1" applyProtection="1">
      <alignment horizontal="left" vertical="center"/>
      <protection locked="0"/>
    </xf>
    <xf numFmtId="0" fontId="19" fillId="3" borderId="10" xfId="0" applyFont="1" applyFill="1" applyBorder="1" applyAlignment="1" applyProtection="1">
      <protection locked="0"/>
    </xf>
    <xf numFmtId="0" fontId="19" fillId="0" borderId="10" xfId="0" applyFont="1" applyBorder="1" applyProtection="1">
      <alignment vertical="center"/>
      <protection locked="0"/>
    </xf>
    <xf numFmtId="0" fontId="19" fillId="3" borderId="8" xfId="0" applyFont="1" applyFill="1" applyBorder="1" applyAlignment="1" applyProtection="1">
      <protection locked="0"/>
    </xf>
    <xf numFmtId="0" fontId="19" fillId="0" borderId="8" xfId="0" applyFont="1" applyBorder="1" applyProtection="1">
      <alignment vertical="center"/>
      <protection locked="0"/>
    </xf>
    <xf numFmtId="0" fontId="19" fillId="0" borderId="1" xfId="0" quotePrefix="1" applyFont="1" applyBorder="1">
      <alignment vertical="center"/>
    </xf>
    <xf numFmtId="49" fontId="1" fillId="3" borderId="11" xfId="0" applyNumberFormat="1" applyFont="1" applyFill="1" applyBorder="1" applyAlignment="1" applyProtection="1">
      <protection locked="0"/>
    </xf>
    <xf numFmtId="0" fontId="1" fillId="3" borderId="13" xfId="0" applyFont="1" applyFill="1" applyBorder="1" applyAlignment="1" applyProtection="1">
      <protection locked="0"/>
    </xf>
    <xf numFmtId="0" fontId="1" fillId="0" borderId="0" xfId="0" applyFont="1">
      <alignment vertical="center"/>
    </xf>
    <xf numFmtId="0" fontId="1" fillId="0" borderId="1" xfId="0" applyFont="1" applyBorder="1">
      <alignment vertical="center"/>
    </xf>
    <xf numFmtId="0" fontId="1" fillId="3" borderId="1" xfId="0" applyFont="1" applyFill="1" applyBorder="1" applyAlignment="1" applyProtection="1">
      <protection locked="0"/>
    </xf>
    <xf numFmtId="0" fontId="1" fillId="3" borderId="11" xfId="0" applyFont="1" applyFill="1" applyBorder="1" applyAlignment="1" applyProtection="1">
      <protection locked="0"/>
    </xf>
    <xf numFmtId="176" fontId="38" fillId="3" borderId="1" xfId="0" applyNumberFormat="1" applyFont="1" applyFill="1" applyBorder="1" applyAlignment="1" applyProtection="1">
      <alignment horizontal="right" vertical="center"/>
      <protection locked="0"/>
    </xf>
    <xf numFmtId="0" fontId="38" fillId="0" borderId="0" xfId="0" applyFont="1">
      <alignment vertical="center"/>
    </xf>
    <xf numFmtId="0" fontId="1" fillId="0" borderId="1" xfId="0" applyFont="1" applyBorder="1" applyProtection="1">
      <alignment vertical="center"/>
      <protection locked="0"/>
    </xf>
    <xf numFmtId="0" fontId="19" fillId="7" borderId="1" xfId="0" applyFont="1" applyFill="1" applyBorder="1" applyAlignment="1" applyProtection="1">
      <alignment horizontal="left" vertical="top" wrapText="1"/>
      <protection locked="0"/>
    </xf>
    <xf numFmtId="14" fontId="19" fillId="7" borderId="1" xfId="0" applyNumberFormat="1" applyFont="1" applyFill="1" applyBorder="1" applyAlignment="1" applyProtection="1">
      <alignment vertical="top" wrapText="1"/>
      <protection locked="0"/>
    </xf>
    <xf numFmtId="0" fontId="19" fillId="7" borderId="1" xfId="0" applyFont="1" applyFill="1" applyBorder="1" applyAlignment="1" applyProtection="1">
      <alignment vertical="top" wrapText="1"/>
      <protection locked="0"/>
    </xf>
    <xf numFmtId="176" fontId="39" fillId="3" borderId="1" xfId="0" applyNumberFormat="1" applyFont="1" applyFill="1" applyBorder="1" applyAlignment="1" applyProtection="1">
      <alignment horizontal="right" vertical="center"/>
      <protection locked="0"/>
    </xf>
    <xf numFmtId="14" fontId="38" fillId="0" borderId="0" xfId="0" applyNumberFormat="1" applyFont="1">
      <alignment vertical="center"/>
    </xf>
    <xf numFmtId="0" fontId="1" fillId="3" borderId="12" xfId="0" applyFont="1" applyFill="1" applyBorder="1" applyAlignment="1" applyProtection="1">
      <protection locked="0"/>
    </xf>
    <xf numFmtId="2" fontId="1" fillId="0" borderId="1" xfId="0" applyNumberFormat="1" applyFont="1" applyBorder="1" applyProtection="1">
      <alignment vertical="center"/>
      <protection locked="0"/>
    </xf>
    <xf numFmtId="176" fontId="1" fillId="3" borderId="1" xfId="0" applyNumberFormat="1" applyFont="1" applyFill="1" applyBorder="1" applyAlignment="1" applyProtection="1">
      <protection locked="0"/>
    </xf>
    <xf numFmtId="0" fontId="1" fillId="0" borderId="1" xfId="0" applyFont="1" applyBorder="1" applyAlignment="1" applyProtection="1">
      <protection locked="0"/>
    </xf>
    <xf numFmtId="0" fontId="1" fillId="0" borderId="12" xfId="0" applyFont="1" applyBorder="1" applyAlignment="1" applyProtection="1">
      <protection locked="0"/>
    </xf>
    <xf numFmtId="49" fontId="1" fillId="0" borderId="11" xfId="0" applyNumberFormat="1" applyFont="1" applyBorder="1">
      <alignment vertical="center"/>
    </xf>
    <xf numFmtId="0" fontId="1" fillId="0" borderId="13" xfId="0" applyFont="1" applyBorder="1">
      <alignment vertical="center"/>
    </xf>
    <xf numFmtId="49" fontId="1" fillId="3" borderId="1" xfId="0" applyNumberFormat="1" applyFont="1" applyFill="1" applyBorder="1" applyAlignment="1" applyProtection="1">
      <protection locked="0"/>
    </xf>
    <xf numFmtId="49" fontId="1" fillId="0" borderId="1" xfId="0" applyNumberFormat="1" applyFont="1" applyBorder="1">
      <alignment vertical="center"/>
    </xf>
    <xf numFmtId="49" fontId="1" fillId="0" borderId="0" xfId="0" applyNumberFormat="1" applyFont="1">
      <alignment vertical="center"/>
    </xf>
    <xf numFmtId="22" fontId="1" fillId="2" borderId="13" xfId="0" applyNumberFormat="1" applyFont="1" applyFill="1" applyBorder="1" applyAlignment="1" applyProtection="1">
      <protection locked="0"/>
    </xf>
    <xf numFmtId="22" fontId="1" fillId="3" borderId="1" xfId="0" applyNumberFormat="1" applyFont="1" applyFill="1" applyBorder="1" applyAlignment="1" applyProtection="1">
      <protection locked="0"/>
    </xf>
    <xf numFmtId="2" fontId="1" fillId="3" borderId="12" xfId="0" applyNumberFormat="1" applyFont="1" applyFill="1" applyBorder="1" applyAlignment="1" applyProtection="1">
      <protection locked="0"/>
    </xf>
    <xf numFmtId="176" fontId="1" fillId="3" borderId="1" xfId="0" applyNumberFormat="1" applyFont="1" applyFill="1" applyBorder="1" applyAlignment="1" applyProtection="1">
      <alignment horizontal="right" vertical="center"/>
      <protection locked="0"/>
    </xf>
    <xf numFmtId="0" fontId="1" fillId="0" borderId="11" xfId="0" applyFont="1" applyBorder="1">
      <alignment vertical="center"/>
    </xf>
    <xf numFmtId="0" fontId="1" fillId="3" borderId="9" xfId="0" applyFont="1" applyFill="1" applyBorder="1" applyAlignment="1" applyProtection="1">
      <protection locked="0"/>
    </xf>
    <xf numFmtId="0" fontId="1" fillId="3" borderId="10" xfId="0" applyFont="1" applyFill="1" applyBorder="1" applyAlignment="1" applyProtection="1">
      <protection locked="0"/>
    </xf>
    <xf numFmtId="0" fontId="1" fillId="3" borderId="8" xfId="0" applyFont="1" applyFill="1" applyBorder="1" applyAlignment="1" applyProtection="1">
      <protection locked="0"/>
    </xf>
    <xf numFmtId="14" fontId="1" fillId="3" borderId="13" xfId="0" applyNumberFormat="1" applyFont="1" applyFill="1" applyBorder="1" applyAlignment="1" applyProtection="1">
      <protection locked="0"/>
    </xf>
    <xf numFmtId="14" fontId="1" fillId="3" borderId="1" xfId="0" applyNumberFormat="1" applyFont="1" applyFill="1" applyBorder="1" applyAlignment="1" applyProtection="1">
      <protection locked="0"/>
    </xf>
    <xf numFmtId="177" fontId="1" fillId="3" borderId="12" xfId="0" applyNumberFormat="1" applyFont="1" applyFill="1" applyBorder="1" applyAlignment="1" applyProtection="1">
      <protection locked="0"/>
    </xf>
    <xf numFmtId="49" fontId="1" fillId="0" borderId="1" xfId="0" applyNumberFormat="1" applyFont="1" applyBorder="1" applyAlignment="1" applyProtection="1">
      <alignment horizontal="right" vertical="center"/>
      <protection locked="0"/>
    </xf>
    <xf numFmtId="14" fontId="1" fillId="2" borderId="13" xfId="0" applyNumberFormat="1" applyFont="1" applyFill="1" applyBorder="1" applyAlignment="1" applyProtection="1">
      <protection locked="0"/>
    </xf>
    <xf numFmtId="0" fontId="19" fillId="5" borderId="1" xfId="0" applyFont="1" applyFill="1" applyBorder="1">
      <alignment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0" xfId="0" applyFont="1" applyAlignment="1">
      <alignment horizontal="center" vertical="center" wrapText="1"/>
    </xf>
    <xf numFmtId="0" fontId="16" fillId="0" borderId="18"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17" xfId="0" applyFont="1" applyBorder="1" applyAlignment="1">
      <alignment horizontal="center" vertical="center"/>
    </xf>
    <xf numFmtId="0" fontId="16" fillId="0" borderId="0" xfId="0" applyFont="1" applyAlignment="1">
      <alignment horizontal="center" vertical="center"/>
    </xf>
    <xf numFmtId="0" fontId="16" fillId="0" borderId="18"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14" fontId="16" fillId="0" borderId="13" xfId="0" applyNumberFormat="1" applyFont="1" applyBorder="1" applyAlignment="1">
      <alignment horizontal="center" vertical="center"/>
    </xf>
    <xf numFmtId="14" fontId="16" fillId="0" borderId="14" xfId="0" applyNumberFormat="1" applyFont="1" applyBorder="1" applyAlignment="1">
      <alignment horizontal="center" vertical="center"/>
    </xf>
    <xf numFmtId="14" fontId="16" fillId="0" borderId="12" xfId="0" applyNumberFormat="1" applyFont="1" applyBorder="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xf>
    <xf numFmtId="0" fontId="31" fillId="0" borderId="16" xfId="0" applyFont="1" applyBorder="1" applyAlignment="1">
      <alignment horizont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2" fillId="0" borderId="17" xfId="0" applyFont="1" applyBorder="1" applyAlignment="1">
      <alignment horizontal="center" vertical="center"/>
    </xf>
    <xf numFmtId="0" fontId="32" fillId="0" borderId="0" xfId="0" applyFont="1" applyAlignment="1">
      <alignment horizontal="center" vertical="center"/>
    </xf>
    <xf numFmtId="0" fontId="32" fillId="0" borderId="18" xfId="0" applyFont="1" applyBorder="1" applyAlignment="1">
      <alignment horizontal="center" vertical="center"/>
    </xf>
    <xf numFmtId="0" fontId="31" fillId="0" borderId="17" xfId="0" applyFont="1" applyBorder="1" applyAlignment="1">
      <alignment horizontal="center" vertical="center"/>
    </xf>
    <xf numFmtId="0" fontId="31" fillId="0" borderId="0" xfId="0" applyFont="1" applyAlignment="1">
      <alignment horizontal="center" vertical="center"/>
    </xf>
    <xf numFmtId="0" fontId="31" fillId="0" borderId="18"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14" fontId="33" fillId="0" borderId="0" xfId="0" applyNumberFormat="1" applyFont="1" applyAlignment="1">
      <alignment horizontal="center" vertical="center"/>
    </xf>
    <xf numFmtId="0" fontId="1" fillId="5" borderId="1" xfId="0" applyFont="1" applyFill="1" applyBorder="1">
      <alignment vertical="center"/>
    </xf>
    <xf numFmtId="0" fontId="19" fillId="5" borderId="13" xfId="0" applyFont="1" applyFill="1" applyBorder="1">
      <alignment vertical="center"/>
    </xf>
    <xf numFmtId="0" fontId="19" fillId="0" borderId="9" xfId="0" applyFont="1" applyBorder="1" applyAlignment="1">
      <alignment horizontal="left" vertical="center" wrapText="1"/>
    </xf>
    <xf numFmtId="0" fontId="19" fillId="0" borderId="10" xfId="0" applyFont="1" applyBorder="1" applyAlignment="1">
      <alignment horizontal="left" vertical="center" wrapText="1"/>
    </xf>
    <xf numFmtId="0" fontId="19" fillId="0" borderId="8" xfId="0" applyFont="1" applyBorder="1" applyAlignment="1">
      <alignment horizontal="left" vertical="center" wrapText="1"/>
    </xf>
    <xf numFmtId="0" fontId="1" fillId="5" borderId="13" xfId="0" applyFont="1" applyFill="1" applyBorder="1">
      <alignment vertical="center"/>
    </xf>
    <xf numFmtId="0" fontId="18" fillId="5" borderId="3"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0" fillId="5" borderId="1" xfId="0" applyFill="1" applyBorder="1">
      <alignment vertical="center"/>
    </xf>
  </cellXfs>
  <cellStyles count="21">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65A410E9-F51E-43BA-AFC1-51901250684B}"/>
    <cellStyle name="標準 2 2 2 3 2" xfId="16" xr:uid="{F68FF16D-6390-4C7D-B861-6910249BBC1A}"/>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6" xfId="19" xr:uid="{238E5A95-EACA-4591-B4D9-60ACE1540A1F}"/>
    <cellStyle name="標準 2 6 2" xfId="20" xr:uid="{D663DCB4-FE95-44F3-BE1A-99096DA16A5E}"/>
    <cellStyle name="標準 3" xfId="10" xr:uid="{942EA3AA-1AAC-488E-A27D-5DABE16255B0}"/>
    <cellStyle name="標準 3 3" xfId="17" xr:uid="{79C8220E-548C-47BF-84D3-0954C22B27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762000</xdr:colOff>
      <xdr:row>18</xdr:row>
      <xdr:rowOff>95250</xdr:rowOff>
    </xdr:from>
    <xdr:to>
      <xdr:col>4</xdr:col>
      <xdr:colOff>561523</xdr:colOff>
      <xdr:row>20</xdr:row>
      <xdr:rowOff>324304</xdr:rowOff>
    </xdr:to>
    <xdr:sp macro="" textlink="">
      <xdr:nvSpPr>
        <xdr:cNvPr id="2" name="吹き出し: 線 1">
          <a:extLst>
            <a:ext uri="{FF2B5EF4-FFF2-40B4-BE49-F238E27FC236}">
              <a16:creationId xmlns:a16="http://schemas.microsoft.com/office/drawing/2014/main" id="{FB6AA3C3-9A61-4A6E-8AB3-32FDB6017FA1}"/>
            </a:ext>
          </a:extLst>
        </xdr:cNvPr>
        <xdr:cNvSpPr/>
      </xdr:nvSpPr>
      <xdr:spPr>
        <a:xfrm>
          <a:off x="1304925" y="9505950"/>
          <a:ext cx="1514023" cy="571954"/>
        </a:xfrm>
        <a:prstGeom prst="borderCallout1">
          <a:avLst>
            <a:gd name="adj1" fmla="val 56898"/>
            <a:gd name="adj2" fmla="val 107241"/>
            <a:gd name="adj3" fmla="val 17845"/>
            <a:gd name="adj4" fmla="val 1214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不足項目</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ocs.microsoft.com/ja-jp/dynamicsax-2012/appuser-itpro/set-up-sales-tax-authoritie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nta.go.jp/taxes/shiraberu/taxanswer/index2.ht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6363-AD6D-407C-89B3-3AFCFC5F3A15}">
  <sheetPr>
    <pageSetUpPr autoPageBreaks="0"/>
  </sheetPr>
  <dimension ref="A1:AK37"/>
  <sheetViews>
    <sheetView showGridLines="0" zoomScaleNormal="100" zoomScaleSheetLayoutView="100" workbookViewId="0">
      <selection activeCell="AD28" sqref="AD28"/>
    </sheetView>
  </sheetViews>
  <sheetFormatPr defaultColWidth="2.08984375" defaultRowHeight="15" customHeight="1"/>
  <cols>
    <col min="1" max="16384" width="2.08984375" style="57"/>
  </cols>
  <sheetData>
    <row r="1" spans="1:37" ht="15" customHeight="1">
      <c r="A1" s="56"/>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row>
    <row r="2" spans="1:37" ht="15" customHeight="1">
      <c r="A2" s="56"/>
      <c r="B2" s="56"/>
      <c r="C2" s="58"/>
      <c r="D2" s="58"/>
      <c r="E2" s="58"/>
      <c r="F2" s="58"/>
      <c r="G2" s="58"/>
      <c r="H2" s="58"/>
      <c r="I2" s="58"/>
      <c r="J2" s="58"/>
      <c r="K2" s="58"/>
      <c r="L2" s="58"/>
      <c r="M2" s="58"/>
      <c r="N2" s="58"/>
      <c r="O2" s="58"/>
      <c r="P2" s="58"/>
      <c r="Q2" s="58"/>
      <c r="R2" s="56"/>
      <c r="S2" s="56"/>
      <c r="T2" s="56"/>
      <c r="U2" s="56"/>
      <c r="V2" s="56"/>
      <c r="W2" s="56"/>
      <c r="X2" s="56"/>
      <c r="Y2" s="56"/>
      <c r="Z2" s="56"/>
      <c r="AA2" s="56"/>
      <c r="AB2" s="56"/>
      <c r="AC2" s="56"/>
      <c r="AD2" s="56"/>
      <c r="AE2" s="56"/>
      <c r="AF2" s="56"/>
      <c r="AG2" s="56"/>
      <c r="AH2" s="56"/>
      <c r="AI2" s="56"/>
      <c r="AJ2" s="56"/>
      <c r="AK2" s="56"/>
    </row>
    <row r="3" spans="1:37" ht="15" customHeight="1">
      <c r="A3" s="56"/>
      <c r="B3" s="59" t="s">
        <v>0</v>
      </c>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row>
    <row r="4" spans="1:37" ht="15" customHeight="1">
      <c r="A4" s="60"/>
      <c r="B4" s="60"/>
      <c r="C4" s="60"/>
      <c r="D4" s="60"/>
      <c r="E4" s="60"/>
      <c r="F4" s="60"/>
      <c r="G4" s="60"/>
      <c r="H4" s="60"/>
      <c r="I4" s="60"/>
      <c r="J4" s="177"/>
      <c r="K4" s="177"/>
      <c r="L4" s="177"/>
      <c r="M4" s="56"/>
      <c r="N4" s="56"/>
      <c r="O4" s="56"/>
      <c r="P4" s="56"/>
      <c r="Q4" s="56"/>
      <c r="R4" s="56"/>
      <c r="S4" s="56"/>
      <c r="T4" s="56"/>
      <c r="U4" s="56"/>
      <c r="V4" s="56"/>
      <c r="W4" s="56"/>
      <c r="X4" s="56"/>
      <c r="Y4" s="56"/>
      <c r="Z4" s="56"/>
      <c r="AA4" s="56"/>
      <c r="AB4" s="56"/>
      <c r="AC4" s="56"/>
      <c r="AD4" s="56"/>
      <c r="AE4" s="56"/>
      <c r="AF4" s="56"/>
      <c r="AG4" s="56"/>
      <c r="AH4" s="56"/>
      <c r="AI4" s="56"/>
      <c r="AJ4" s="56"/>
      <c r="AK4" s="56"/>
    </row>
    <row r="5" spans="1:37" ht="15" customHeight="1">
      <c r="A5" s="61"/>
      <c r="B5" s="61"/>
      <c r="C5" s="61"/>
      <c r="D5" s="61"/>
      <c r="E5" s="61"/>
      <c r="F5" s="61"/>
      <c r="G5" s="61"/>
      <c r="H5" s="61"/>
      <c r="I5" s="61"/>
      <c r="J5" s="178"/>
      <c r="K5" s="178"/>
      <c r="L5" s="178"/>
      <c r="M5" s="56"/>
      <c r="N5" s="56"/>
      <c r="O5" s="56"/>
      <c r="P5" s="56"/>
      <c r="Q5" s="56"/>
      <c r="R5" s="56"/>
      <c r="S5" s="56"/>
      <c r="T5" s="56"/>
      <c r="U5" s="56"/>
      <c r="V5" s="56"/>
      <c r="W5" s="56"/>
      <c r="X5" s="56"/>
      <c r="Y5" s="56"/>
      <c r="Z5" s="56"/>
      <c r="AA5" s="56"/>
      <c r="AB5" s="56"/>
      <c r="AC5" s="56"/>
      <c r="AD5" s="56"/>
      <c r="AE5" s="56"/>
      <c r="AF5" s="56"/>
      <c r="AG5" s="56"/>
      <c r="AH5" s="56"/>
      <c r="AI5" s="56"/>
      <c r="AJ5" s="56"/>
      <c r="AK5" s="56"/>
    </row>
    <row r="6" spans="1:37" ht="15" customHeight="1">
      <c r="A6" s="56"/>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row>
    <row r="7" spans="1:37" ht="15" customHeight="1">
      <c r="A7" s="56"/>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row>
    <row r="8" spans="1:37" ht="15" customHeight="1">
      <c r="A8" s="56"/>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row>
    <row r="9" spans="1:37" ht="15" customHeight="1">
      <c r="A9" s="56"/>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row>
    <row r="10" spans="1:37" ht="15" customHeight="1">
      <c r="A10" s="56"/>
      <c r="B10" s="179" t="s">
        <v>1</v>
      </c>
      <c r="C10" s="180"/>
      <c r="D10" s="180"/>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1"/>
      <c r="AF10" s="56"/>
      <c r="AG10" s="56"/>
      <c r="AH10" s="56"/>
      <c r="AI10" s="56"/>
      <c r="AJ10" s="56"/>
      <c r="AK10" s="56"/>
    </row>
    <row r="11" spans="1:37" ht="15" customHeight="1">
      <c r="A11" s="56"/>
      <c r="B11" s="182"/>
      <c r="C11" s="183"/>
      <c r="D11" s="183"/>
      <c r="E11" s="183"/>
      <c r="F11" s="183"/>
      <c r="G11" s="183"/>
      <c r="H11" s="183"/>
      <c r="I11" s="183"/>
      <c r="J11" s="183"/>
      <c r="K11" s="183"/>
      <c r="L11" s="183"/>
      <c r="M11" s="183"/>
      <c r="N11" s="183"/>
      <c r="O11" s="183"/>
      <c r="P11" s="183"/>
      <c r="Q11" s="183"/>
      <c r="R11" s="183"/>
      <c r="S11" s="183"/>
      <c r="T11" s="183"/>
      <c r="U11" s="183"/>
      <c r="V11" s="183"/>
      <c r="W11" s="183"/>
      <c r="X11" s="183"/>
      <c r="Y11" s="183"/>
      <c r="Z11" s="183"/>
      <c r="AA11" s="183"/>
      <c r="AB11" s="183"/>
      <c r="AC11" s="183"/>
      <c r="AD11" s="183"/>
      <c r="AE11" s="184"/>
      <c r="AF11" s="56"/>
      <c r="AG11" s="56"/>
      <c r="AH11" s="56"/>
      <c r="AI11" s="56"/>
      <c r="AJ11" s="56"/>
      <c r="AK11" s="56"/>
    </row>
    <row r="12" spans="1:37" ht="15" customHeight="1">
      <c r="A12" s="56"/>
      <c r="B12" s="182"/>
      <c r="C12" s="183"/>
      <c r="D12" s="183"/>
      <c r="E12" s="183"/>
      <c r="F12" s="183"/>
      <c r="G12" s="183"/>
      <c r="H12" s="183"/>
      <c r="I12" s="183"/>
      <c r="J12" s="183"/>
      <c r="K12" s="183"/>
      <c r="L12" s="183"/>
      <c r="M12" s="183"/>
      <c r="N12" s="183"/>
      <c r="O12" s="183"/>
      <c r="P12" s="183"/>
      <c r="Q12" s="183"/>
      <c r="R12" s="183"/>
      <c r="S12" s="183"/>
      <c r="T12" s="183"/>
      <c r="U12" s="183"/>
      <c r="V12" s="183"/>
      <c r="W12" s="183"/>
      <c r="X12" s="183"/>
      <c r="Y12" s="183"/>
      <c r="Z12" s="183"/>
      <c r="AA12" s="183"/>
      <c r="AB12" s="183"/>
      <c r="AC12" s="183"/>
      <c r="AD12" s="183"/>
      <c r="AE12" s="184"/>
      <c r="AF12" s="56"/>
      <c r="AG12" s="56"/>
      <c r="AH12" s="56"/>
      <c r="AI12" s="56"/>
      <c r="AJ12" s="56"/>
      <c r="AK12" s="56"/>
    </row>
    <row r="13" spans="1:37" ht="15" customHeight="1">
      <c r="A13" s="56"/>
      <c r="B13" s="182"/>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4"/>
      <c r="AF13" s="56"/>
      <c r="AG13" s="56"/>
      <c r="AH13" s="56"/>
      <c r="AI13" s="56"/>
      <c r="AJ13" s="56"/>
      <c r="AK13" s="56"/>
    </row>
    <row r="14" spans="1:37" ht="15" customHeight="1">
      <c r="A14" s="56"/>
      <c r="B14" s="185" t="s">
        <v>2</v>
      </c>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87"/>
      <c r="AF14" s="56"/>
      <c r="AG14" s="56"/>
      <c r="AH14" s="56"/>
      <c r="AI14" s="56"/>
      <c r="AJ14" s="56"/>
      <c r="AK14" s="56"/>
    </row>
    <row r="15" spans="1:37" ht="15" customHeight="1">
      <c r="A15" s="56"/>
      <c r="B15" s="185"/>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c r="AA15" s="186"/>
      <c r="AB15" s="186"/>
      <c r="AC15" s="186"/>
      <c r="AD15" s="186"/>
      <c r="AE15" s="187"/>
      <c r="AF15" s="56"/>
      <c r="AG15" s="56"/>
      <c r="AH15" s="56"/>
      <c r="AI15" s="56"/>
      <c r="AJ15" s="56"/>
      <c r="AK15" s="56"/>
    </row>
    <row r="16" spans="1:37" ht="15" customHeight="1">
      <c r="A16" s="56"/>
      <c r="B16" s="188"/>
      <c r="C16" s="189"/>
      <c r="D16" s="189"/>
      <c r="E16" s="189"/>
      <c r="F16" s="189"/>
      <c r="G16" s="189"/>
      <c r="H16" s="189"/>
      <c r="I16" s="189"/>
      <c r="J16" s="189"/>
      <c r="K16" s="189"/>
      <c r="L16" s="189"/>
      <c r="M16" s="189"/>
      <c r="N16" s="189"/>
      <c r="O16" s="189"/>
      <c r="P16" s="189"/>
      <c r="Q16" s="189"/>
      <c r="R16" s="189"/>
      <c r="S16" s="189"/>
      <c r="T16" s="189"/>
      <c r="U16" s="189"/>
      <c r="V16" s="189"/>
      <c r="W16" s="189"/>
      <c r="X16" s="189"/>
      <c r="Y16" s="189"/>
      <c r="Z16" s="189"/>
      <c r="AA16" s="189"/>
      <c r="AB16" s="189"/>
      <c r="AC16" s="189"/>
      <c r="AD16" s="189"/>
      <c r="AE16" s="190"/>
      <c r="AF16" s="56"/>
      <c r="AG16" s="56"/>
      <c r="AH16" s="56"/>
      <c r="AI16" s="56"/>
      <c r="AJ16" s="56"/>
      <c r="AK16" s="56"/>
    </row>
    <row r="17" spans="1:37" ht="1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row>
    <row r="18" spans="1:37" ht="1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row>
    <row r="19" spans="1:37" ht="1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row>
    <row r="20" spans="1:37" ht="1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row>
    <row r="21" spans="1:37" ht="1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row>
    <row r="22" spans="1:37" ht="15" customHeight="1">
      <c r="A22" s="56"/>
      <c r="B22" s="176" t="s">
        <v>3</v>
      </c>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c r="AA22" s="176"/>
      <c r="AB22" s="176"/>
      <c r="AC22" s="176"/>
      <c r="AD22" s="176"/>
      <c r="AE22" s="176"/>
      <c r="AF22" s="56"/>
      <c r="AG22" s="56"/>
      <c r="AH22" s="56"/>
      <c r="AI22" s="56"/>
      <c r="AJ22" s="56"/>
      <c r="AK22" s="56"/>
    </row>
    <row r="23" spans="1:37" ht="15" customHeight="1">
      <c r="A23" s="56"/>
      <c r="B23" s="176"/>
      <c r="C23" s="176"/>
      <c r="D23" s="176"/>
      <c r="E23" s="176"/>
      <c r="F23" s="176"/>
      <c r="G23" s="176"/>
      <c r="H23" s="176"/>
      <c r="I23" s="176"/>
      <c r="J23" s="176"/>
      <c r="K23" s="176"/>
      <c r="L23" s="176"/>
      <c r="M23" s="176"/>
      <c r="N23" s="176"/>
      <c r="O23" s="176"/>
      <c r="P23" s="176"/>
      <c r="Q23" s="176"/>
      <c r="R23" s="176"/>
      <c r="S23" s="176"/>
      <c r="T23" s="176"/>
      <c r="U23" s="176"/>
      <c r="V23" s="176"/>
      <c r="W23" s="176"/>
      <c r="X23" s="176"/>
      <c r="Y23" s="176"/>
      <c r="Z23" s="176"/>
      <c r="AA23" s="176"/>
      <c r="AB23" s="176"/>
      <c r="AC23" s="176"/>
      <c r="AD23" s="176"/>
      <c r="AE23" s="176"/>
      <c r="AF23" s="56"/>
      <c r="AG23" s="56"/>
      <c r="AH23" s="56"/>
      <c r="AI23" s="56"/>
      <c r="AJ23" s="56"/>
      <c r="AK23" s="56"/>
    </row>
    <row r="24" spans="1:37" ht="15" customHeight="1">
      <c r="A24" s="56"/>
      <c r="B24" s="191">
        <v>45546</v>
      </c>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c r="AA24" s="191"/>
      <c r="AB24" s="191"/>
      <c r="AC24" s="191"/>
      <c r="AD24" s="191"/>
      <c r="AE24" s="191"/>
      <c r="AF24" s="56"/>
      <c r="AG24" s="56"/>
      <c r="AH24" s="56"/>
      <c r="AI24" s="56"/>
      <c r="AJ24" s="56"/>
      <c r="AK24" s="56"/>
    </row>
    <row r="25" spans="1:37" ht="15" customHeight="1">
      <c r="A25" s="56"/>
      <c r="B25" s="191"/>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56"/>
      <c r="AG25" s="56"/>
      <c r="AH25" s="56"/>
      <c r="AI25" s="56"/>
      <c r="AJ25" s="56"/>
      <c r="AK25" s="56"/>
    </row>
    <row r="26" spans="1:37" ht="15" customHeight="1">
      <c r="A26" s="56"/>
      <c r="B26" s="176" t="s">
        <v>4</v>
      </c>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c r="AA26" s="176"/>
      <c r="AB26" s="176"/>
      <c r="AC26" s="176"/>
      <c r="AD26" s="176"/>
      <c r="AE26" s="176"/>
      <c r="AF26" s="56"/>
      <c r="AG26" s="56"/>
      <c r="AH26" s="56"/>
      <c r="AI26" s="56"/>
      <c r="AJ26" s="56"/>
      <c r="AK26" s="56"/>
    </row>
    <row r="27" spans="1:37" ht="15" customHeight="1">
      <c r="A27" s="56"/>
      <c r="B27" s="176"/>
      <c r="C27" s="176"/>
      <c r="D27" s="176"/>
      <c r="E27" s="176"/>
      <c r="F27" s="176"/>
      <c r="G27" s="176"/>
      <c r="H27" s="176"/>
      <c r="I27" s="176"/>
      <c r="J27" s="176"/>
      <c r="K27" s="176"/>
      <c r="L27" s="176"/>
      <c r="M27" s="176"/>
      <c r="N27" s="176"/>
      <c r="O27" s="176"/>
      <c r="P27" s="176"/>
      <c r="Q27" s="176"/>
      <c r="R27" s="176"/>
      <c r="S27" s="176"/>
      <c r="T27" s="176"/>
      <c r="U27" s="176"/>
      <c r="V27" s="176"/>
      <c r="W27" s="176"/>
      <c r="X27" s="176"/>
      <c r="Y27" s="176"/>
      <c r="Z27" s="176"/>
      <c r="AA27" s="176"/>
      <c r="AB27" s="176"/>
      <c r="AC27" s="176"/>
      <c r="AD27" s="176"/>
      <c r="AE27" s="176"/>
      <c r="AF27" s="56"/>
      <c r="AG27" s="56"/>
      <c r="AH27" s="56"/>
      <c r="AI27" s="56"/>
      <c r="AJ27" s="56"/>
      <c r="AK27" s="56"/>
    </row>
    <row r="28" spans="1:37" ht="1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row>
    <row r="29" spans="1:37" ht="15" customHeight="1">
      <c r="A29" s="56"/>
      <c r="B29" s="56"/>
      <c r="C29" s="56"/>
      <c r="D29" s="56"/>
      <c r="E29" s="56"/>
      <c r="F29" s="171" t="s">
        <v>5</v>
      </c>
      <c r="G29" s="171"/>
      <c r="H29" s="171"/>
      <c r="I29" s="171"/>
      <c r="J29" s="171"/>
      <c r="K29" s="171"/>
      <c r="L29" s="40"/>
      <c r="M29" s="40"/>
      <c r="N29" s="40"/>
      <c r="O29" s="163" t="s">
        <v>6</v>
      </c>
      <c r="P29" s="171"/>
      <c r="Q29" s="171"/>
      <c r="R29" s="171"/>
      <c r="S29" s="40"/>
      <c r="T29" s="40"/>
      <c r="U29" s="40"/>
      <c r="V29" s="56"/>
      <c r="W29" s="56"/>
      <c r="X29" s="56"/>
      <c r="Y29" s="56"/>
      <c r="Z29" s="56"/>
      <c r="AA29" s="56"/>
      <c r="AB29" s="56"/>
      <c r="AC29" s="56"/>
      <c r="AD29" s="56"/>
      <c r="AE29" s="56"/>
      <c r="AF29" s="56"/>
      <c r="AG29" s="56"/>
      <c r="AH29" s="56"/>
      <c r="AI29" s="56"/>
      <c r="AJ29" s="56"/>
      <c r="AK29" s="56"/>
    </row>
    <row r="30" spans="1:37">
      <c r="A30" s="56"/>
      <c r="B30" s="56"/>
      <c r="C30" s="56"/>
      <c r="D30" s="56"/>
      <c r="E30" s="56"/>
      <c r="F30" s="173">
        <v>45546</v>
      </c>
      <c r="G30" s="174"/>
      <c r="H30" s="174"/>
      <c r="I30" s="174"/>
      <c r="J30" s="174"/>
      <c r="K30" s="174"/>
      <c r="L30" s="62"/>
      <c r="M30" s="40"/>
      <c r="N30" s="173" t="s">
        <v>7</v>
      </c>
      <c r="O30" s="174"/>
      <c r="P30" s="174"/>
      <c r="Q30" s="174"/>
      <c r="R30" s="174"/>
      <c r="S30" s="175"/>
      <c r="T30" s="40"/>
      <c r="U30" s="40"/>
      <c r="V30" s="56"/>
      <c r="W30" s="56"/>
      <c r="X30" s="56"/>
      <c r="Y30" s="56"/>
      <c r="Z30" s="56"/>
      <c r="AA30" s="56"/>
      <c r="AB30" s="56"/>
      <c r="AC30" s="56"/>
      <c r="AD30" s="56"/>
      <c r="AE30" s="56"/>
      <c r="AF30" s="56"/>
      <c r="AG30" s="56"/>
      <c r="AH30" s="56"/>
      <c r="AI30" s="56"/>
      <c r="AJ30" s="56"/>
      <c r="AK30" s="56"/>
    </row>
    <row r="31" spans="1:37" ht="15" customHeight="1">
      <c r="A31" s="56"/>
      <c r="B31" s="56"/>
      <c r="C31" s="56"/>
      <c r="D31" s="56"/>
      <c r="E31" s="56"/>
      <c r="F31" s="156" t="s">
        <v>8</v>
      </c>
      <c r="G31" s="157"/>
      <c r="H31" s="157"/>
      <c r="I31" s="157"/>
      <c r="J31" s="157"/>
      <c r="K31" s="158"/>
      <c r="L31" s="62"/>
      <c r="M31" s="40"/>
      <c r="N31" s="156" t="s">
        <v>9</v>
      </c>
      <c r="O31" s="165"/>
      <c r="P31" s="165"/>
      <c r="Q31" s="165"/>
      <c r="R31" s="165"/>
      <c r="S31" s="166"/>
      <c r="T31" s="40"/>
      <c r="U31" s="40"/>
      <c r="V31" s="56"/>
      <c r="W31" s="56"/>
      <c r="X31" s="56"/>
      <c r="Y31" s="56"/>
      <c r="Z31" s="56"/>
      <c r="AA31" s="56"/>
      <c r="AB31" s="56"/>
      <c r="AC31" s="56"/>
      <c r="AD31" s="56"/>
      <c r="AE31" s="56"/>
      <c r="AF31" s="56"/>
      <c r="AG31" s="56"/>
      <c r="AH31" s="56"/>
      <c r="AI31" s="56"/>
      <c r="AJ31" s="56"/>
      <c r="AK31" s="56"/>
    </row>
    <row r="32" spans="1:37">
      <c r="A32" s="56"/>
      <c r="B32" s="56"/>
      <c r="C32" s="56"/>
      <c r="D32" s="56"/>
      <c r="E32" s="56"/>
      <c r="F32" s="159"/>
      <c r="G32" s="160"/>
      <c r="H32" s="160"/>
      <c r="I32" s="160"/>
      <c r="J32" s="160"/>
      <c r="K32" s="161"/>
      <c r="L32" s="62"/>
      <c r="M32" s="40"/>
      <c r="N32" s="167"/>
      <c r="O32" s="168"/>
      <c r="P32" s="168"/>
      <c r="Q32" s="168"/>
      <c r="R32" s="168"/>
      <c r="S32" s="169"/>
      <c r="T32" s="40"/>
      <c r="U32" s="40"/>
      <c r="V32" s="56"/>
      <c r="W32" s="56"/>
      <c r="X32" s="56"/>
      <c r="Y32" s="56"/>
      <c r="Z32" s="56"/>
      <c r="AA32" s="56"/>
      <c r="AB32" s="56"/>
      <c r="AC32" s="56"/>
      <c r="AD32" s="56"/>
      <c r="AE32" s="56"/>
      <c r="AF32" s="56"/>
      <c r="AG32" s="56"/>
      <c r="AH32" s="56"/>
      <c r="AI32" s="56"/>
      <c r="AJ32" s="56"/>
      <c r="AK32" s="56"/>
    </row>
    <row r="33" spans="1:37">
      <c r="A33" s="56"/>
      <c r="B33" s="56"/>
      <c r="C33" s="56"/>
      <c r="D33" s="56"/>
      <c r="E33" s="56"/>
      <c r="F33" s="159"/>
      <c r="G33" s="160"/>
      <c r="H33" s="160"/>
      <c r="I33" s="160"/>
      <c r="J33" s="160"/>
      <c r="K33" s="161"/>
      <c r="L33" s="62"/>
      <c r="M33" s="40"/>
      <c r="N33" s="167"/>
      <c r="O33" s="168"/>
      <c r="P33" s="168"/>
      <c r="Q33" s="168"/>
      <c r="R33" s="168"/>
      <c r="S33" s="169"/>
      <c r="T33" s="40"/>
      <c r="U33" s="40"/>
      <c r="V33" s="56"/>
      <c r="W33" s="56"/>
      <c r="X33" s="56"/>
      <c r="Y33" s="56"/>
      <c r="Z33" s="56"/>
      <c r="AA33" s="56"/>
      <c r="AB33" s="56"/>
      <c r="AC33" s="56"/>
      <c r="AD33" s="56"/>
      <c r="AE33" s="56"/>
      <c r="AF33" s="56"/>
      <c r="AG33" s="56"/>
      <c r="AH33" s="56"/>
      <c r="AI33" s="56"/>
      <c r="AJ33" s="56"/>
      <c r="AK33" s="56"/>
    </row>
    <row r="34" spans="1:37">
      <c r="A34" s="56"/>
      <c r="B34" s="56"/>
      <c r="C34" s="56"/>
      <c r="D34" s="56"/>
      <c r="E34" s="56"/>
      <c r="F34" s="159"/>
      <c r="G34" s="160"/>
      <c r="H34" s="160"/>
      <c r="I34" s="160"/>
      <c r="J34" s="160"/>
      <c r="K34" s="161"/>
      <c r="L34" s="62"/>
      <c r="M34" s="40"/>
      <c r="N34" s="167"/>
      <c r="O34" s="168"/>
      <c r="P34" s="168"/>
      <c r="Q34" s="168"/>
      <c r="R34" s="168"/>
      <c r="S34" s="169"/>
      <c r="T34" s="40"/>
      <c r="U34" s="40"/>
      <c r="V34" s="56"/>
      <c r="W34" s="56"/>
      <c r="X34" s="56"/>
      <c r="Y34" s="56"/>
      <c r="Z34" s="56"/>
      <c r="AA34" s="56"/>
      <c r="AB34" s="56"/>
      <c r="AC34" s="56"/>
      <c r="AD34" s="56"/>
      <c r="AE34" s="56"/>
      <c r="AF34" s="56"/>
      <c r="AG34" s="56"/>
      <c r="AH34" s="56"/>
      <c r="AI34" s="56"/>
      <c r="AJ34" s="56"/>
      <c r="AK34" s="56"/>
    </row>
    <row r="35" spans="1:37">
      <c r="A35" s="56"/>
      <c r="B35" s="56"/>
      <c r="C35" s="56"/>
      <c r="D35" s="56"/>
      <c r="E35" s="56"/>
      <c r="F35" s="162"/>
      <c r="G35" s="163"/>
      <c r="H35" s="163"/>
      <c r="I35" s="163"/>
      <c r="J35" s="163"/>
      <c r="K35" s="164"/>
      <c r="L35" s="62"/>
      <c r="M35" s="40"/>
      <c r="N35" s="170"/>
      <c r="O35" s="171"/>
      <c r="P35" s="171"/>
      <c r="Q35" s="171"/>
      <c r="R35" s="171"/>
      <c r="S35" s="172"/>
      <c r="T35" s="40"/>
      <c r="U35" s="40"/>
      <c r="V35" s="56"/>
      <c r="W35" s="56"/>
      <c r="X35" s="56"/>
      <c r="Y35" s="56"/>
      <c r="Z35" s="56"/>
      <c r="AA35" s="56"/>
      <c r="AB35" s="56"/>
      <c r="AC35" s="56"/>
      <c r="AD35" s="56"/>
      <c r="AE35" s="56"/>
      <c r="AF35" s="56"/>
      <c r="AG35" s="56"/>
      <c r="AH35" s="56"/>
      <c r="AI35" s="56"/>
      <c r="AJ35" s="56"/>
      <c r="AK35" s="56"/>
    </row>
    <row r="36" spans="1:37" ht="1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row>
    <row r="37" spans="1:37" ht="1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3D3D8-4801-430A-8456-3697299EF186}">
  <sheetPr>
    <pageSetUpPr fitToPage="1"/>
  </sheetPr>
  <dimension ref="A1:J15"/>
  <sheetViews>
    <sheetView showGridLines="0" zoomScaleNormal="100" zoomScaleSheetLayoutView="70" workbookViewId="0">
      <pane ySplit="3" topLeftCell="A4" activePane="bottomLeft" state="frozen"/>
      <selection pane="bottomLeft" activeCell="E7" sqref="E7"/>
    </sheetView>
  </sheetViews>
  <sheetFormatPr defaultColWidth="8.81640625" defaultRowHeight="15"/>
  <cols>
    <col min="1" max="1" width="2.81640625" customWidth="1"/>
    <col min="2" max="2" width="3.81640625" bestFit="1" customWidth="1"/>
    <col min="3" max="3" width="10.6328125" bestFit="1" customWidth="1"/>
    <col min="4" max="4" width="12.6328125" bestFit="1" customWidth="1"/>
    <col min="5" max="5" width="24.453125" bestFit="1" customWidth="1"/>
    <col min="6" max="6" width="14.90625" style="66" customWidth="1"/>
    <col min="7" max="7" width="12.08984375" style="66" bestFit="1" customWidth="1"/>
    <col min="8" max="8" width="24.453125" bestFit="1" customWidth="1"/>
    <col min="9" max="9" width="59.1796875" customWidth="1"/>
    <col min="10" max="10" width="19.6328125" customWidth="1"/>
  </cols>
  <sheetData>
    <row r="1" spans="1:10" ht="18.600000000000001">
      <c r="A1" s="46" t="s">
        <v>10</v>
      </c>
      <c r="E1" s="8"/>
    </row>
    <row r="3" spans="1:10">
      <c r="B3" s="47" t="s">
        <v>11</v>
      </c>
      <c r="C3" s="47" t="s">
        <v>12</v>
      </c>
      <c r="D3" s="54" t="s">
        <v>13</v>
      </c>
      <c r="E3" s="47" t="s">
        <v>14</v>
      </c>
      <c r="F3" s="54" t="s">
        <v>15</v>
      </c>
      <c r="G3" s="54" t="s">
        <v>16</v>
      </c>
      <c r="H3" s="47" t="s">
        <v>17</v>
      </c>
      <c r="I3" s="47" t="s">
        <v>18</v>
      </c>
    </row>
    <row r="4" spans="1:10" ht="30">
      <c r="B4" s="45">
        <f t="shared" ref="B4:B9" si="0">ROW()-3</f>
        <v>1</v>
      </c>
      <c r="C4" s="45" t="s">
        <v>19</v>
      </c>
      <c r="D4" s="63" t="s">
        <v>20</v>
      </c>
      <c r="E4" s="64" t="s">
        <v>21</v>
      </c>
      <c r="F4" s="67" t="s">
        <v>22</v>
      </c>
      <c r="G4" s="68">
        <v>45548</v>
      </c>
      <c r="H4" s="65" t="s">
        <v>23</v>
      </c>
      <c r="I4" s="65" t="s">
        <v>24</v>
      </c>
      <c r="J4" s="48"/>
    </row>
    <row r="5" spans="1:10" ht="30">
      <c r="B5" s="45">
        <f t="shared" si="0"/>
        <v>2</v>
      </c>
      <c r="C5" s="45" t="s">
        <v>19</v>
      </c>
      <c r="D5" s="63" t="s">
        <v>20</v>
      </c>
      <c r="E5" s="64" t="s">
        <v>25</v>
      </c>
      <c r="F5" s="67" t="s">
        <v>22</v>
      </c>
      <c r="G5" s="68">
        <v>45548</v>
      </c>
      <c r="H5" s="65" t="s">
        <v>26</v>
      </c>
      <c r="I5" s="65" t="s">
        <v>27</v>
      </c>
      <c r="J5" s="48"/>
    </row>
    <row r="6" spans="1:10" ht="30">
      <c r="B6" s="45">
        <f t="shared" si="0"/>
        <v>3</v>
      </c>
      <c r="C6" s="45" t="s">
        <v>19</v>
      </c>
      <c r="D6" s="63" t="s">
        <v>20</v>
      </c>
      <c r="E6" s="64" t="s">
        <v>28</v>
      </c>
      <c r="F6" s="67" t="s">
        <v>22</v>
      </c>
      <c r="G6" s="68">
        <v>45548</v>
      </c>
      <c r="H6" s="65" t="s">
        <v>29</v>
      </c>
      <c r="I6" s="65" t="s">
        <v>30</v>
      </c>
      <c r="J6" s="48"/>
    </row>
    <row r="7" spans="1:10" ht="30">
      <c r="B7" s="45">
        <f t="shared" si="0"/>
        <v>4</v>
      </c>
      <c r="C7" s="45" t="s">
        <v>19</v>
      </c>
      <c r="D7" s="63" t="s">
        <v>20</v>
      </c>
      <c r="E7" s="64" t="s">
        <v>31</v>
      </c>
      <c r="F7" s="67" t="s">
        <v>22</v>
      </c>
      <c r="G7" s="68">
        <v>45548</v>
      </c>
      <c r="H7" s="65" t="s">
        <v>32</v>
      </c>
      <c r="I7" s="65" t="s">
        <v>33</v>
      </c>
      <c r="J7" s="48"/>
    </row>
    <row r="8" spans="1:10" ht="30">
      <c r="B8" s="45">
        <f t="shared" si="0"/>
        <v>5</v>
      </c>
      <c r="C8" s="45" t="s">
        <v>19</v>
      </c>
      <c r="D8" s="63" t="s">
        <v>20</v>
      </c>
      <c r="E8" s="64" t="s">
        <v>34</v>
      </c>
      <c r="F8" s="67" t="s">
        <v>22</v>
      </c>
      <c r="G8" s="68">
        <v>45548</v>
      </c>
      <c r="H8" s="65" t="s">
        <v>35</v>
      </c>
      <c r="I8" s="65" t="s">
        <v>36</v>
      </c>
      <c r="J8" s="48"/>
    </row>
    <row r="9" spans="1:10" ht="30">
      <c r="B9" s="45">
        <f t="shared" si="0"/>
        <v>6</v>
      </c>
      <c r="C9" s="45" t="s">
        <v>19</v>
      </c>
      <c r="D9" s="63" t="s">
        <v>20</v>
      </c>
      <c r="E9" s="64" t="s">
        <v>37</v>
      </c>
      <c r="F9" s="67" t="s">
        <v>22</v>
      </c>
      <c r="G9" s="68">
        <v>45548</v>
      </c>
      <c r="H9" s="65" t="s">
        <v>38</v>
      </c>
      <c r="I9" s="65" t="s">
        <v>39</v>
      </c>
      <c r="J9" s="48"/>
    </row>
    <row r="10" spans="1:10">
      <c r="F10"/>
      <c r="G10"/>
    </row>
    <row r="11" spans="1:10">
      <c r="F11"/>
      <c r="G11"/>
    </row>
    <row r="12" spans="1:10">
      <c r="F12"/>
      <c r="G12"/>
    </row>
    <row r="13" spans="1:10">
      <c r="F13"/>
      <c r="G13"/>
    </row>
    <row r="14" spans="1:10">
      <c r="F14"/>
      <c r="G14"/>
    </row>
    <row r="15" spans="1:10">
      <c r="F15"/>
      <c r="G15"/>
    </row>
  </sheetData>
  <phoneticPr fontId="12"/>
  <dataValidations count="1">
    <dataValidation type="list" allowBlank="1" showInputMessage="1" showErrorMessage="1" sqref="D4:D9" xr:uid="{13B9FA5D-AED7-4669-9675-708D3774E2BE}">
      <formula1>"共通,個別"</formula1>
    </dataValidation>
  </dataValidations>
  <hyperlinks>
    <hyperlink ref="E4" location="元帳転記グループ!A1" display="元帳転記グループ" xr:uid="{0DC99E75-1B3D-4E45-9DA7-41B4033052B2}"/>
    <hyperlink ref="E5" location="消費税所轄官庁!A1" display="消費税所轄官庁" xr:uid="{AFFA884E-BEC9-4FC9-8012-107321A482EC}"/>
    <hyperlink ref="E6" location="消費税決済期間!A1" display="消費税決済期間" xr:uid="{8D0FFDA1-EFA2-4304-9D8F-531F3E56FDBD}"/>
    <hyperlink ref="E7" location="消費税コード!A1" display="消費税コード" xr:uid="{CFFF1E87-7B20-4FE2-B5CD-F65C62500901}"/>
    <hyperlink ref="E8" location="消費税グループ!A1" display="消費税グループ" xr:uid="{9C4633E0-CACA-4E9E-A1F5-E912A33EEC07}"/>
    <hyperlink ref="E9" location="品目消費税グループ!A1" display="品目消費税グループ" xr:uid="{5F20998E-812E-47C1-8378-582FF45DD7FB}"/>
  </hyperlinks>
  <pageMargins left="0.70866141732283472" right="0.70866141732283472" top="0.74803149606299213" bottom="0.74803149606299213" header="0.31496062992125984" footer="0.31496062992125984"/>
  <pageSetup paperSize="9" scale="48"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79CDC-A82E-416D-BB5E-08E56642273D}">
  <sheetPr codeName="Sheet174">
    <pageSetUpPr fitToPage="1"/>
  </sheetPr>
  <dimension ref="A1:L14"/>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2.36328125" style="72" bestFit="1" customWidth="1"/>
    <col min="4" max="4" width="7" style="72" bestFit="1" customWidth="1"/>
    <col min="5" max="5" width="12.54296875" style="72" customWidth="1"/>
    <col min="6" max="6" width="19.36328125" style="72" bestFit="1" customWidth="1"/>
    <col min="7" max="7" width="25.81640625" style="72" customWidth="1"/>
    <col min="8" max="8" width="17.54296875" style="72" bestFit="1" customWidth="1"/>
    <col min="9" max="9" width="17.453125" style="72" customWidth="1"/>
    <col min="10" max="10" width="4.54296875" style="72" bestFit="1" customWidth="1"/>
    <col min="11" max="11" width="18.1796875" style="72" customWidth="1"/>
    <col min="12" max="12" width="13.1796875" style="72" customWidth="1"/>
    <col min="13" max="16384" width="8.81640625" style="72"/>
  </cols>
  <sheetData>
    <row r="1" spans="1:12" customFormat="1" ht="18.600000000000001">
      <c r="A1" s="7" t="s">
        <v>40</v>
      </c>
    </row>
    <row r="2" spans="1:12" customFormat="1" ht="15">
      <c r="B2" t="s">
        <v>41</v>
      </c>
    </row>
    <row r="3" spans="1:12" customFormat="1" ht="15">
      <c r="B3" t="s">
        <v>42</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56</v>
      </c>
      <c r="F6" s="20" t="s">
        <v>57</v>
      </c>
      <c r="G6" s="20"/>
      <c r="H6" s="20" t="s">
        <v>58</v>
      </c>
      <c r="I6" s="21" t="s">
        <v>59</v>
      </c>
      <c r="J6" s="21"/>
      <c r="K6" s="1" t="s">
        <v>60</v>
      </c>
      <c r="L6" s="2"/>
    </row>
    <row r="7" spans="1:12" ht="28.8">
      <c r="B7" s="13">
        <f t="shared" ref="B7:B14" si="0">ROW() - 5</f>
        <v>2</v>
      </c>
      <c r="C7" s="18"/>
      <c r="D7" s="18"/>
      <c r="E7" s="18"/>
      <c r="F7" s="23" t="s">
        <v>61</v>
      </c>
      <c r="G7" s="20"/>
      <c r="H7" s="20" t="s">
        <v>58</v>
      </c>
      <c r="I7" s="24" t="s">
        <v>59</v>
      </c>
      <c r="J7" s="21"/>
      <c r="K7" s="1" t="s">
        <v>62</v>
      </c>
      <c r="L7" s="2"/>
    </row>
    <row r="8" spans="1:12" ht="28.8">
      <c r="B8" s="13">
        <f t="shared" si="0"/>
        <v>3</v>
      </c>
      <c r="C8" s="14" t="s">
        <v>63</v>
      </c>
      <c r="D8" s="14"/>
      <c r="E8" s="14"/>
      <c r="F8" s="20" t="s">
        <v>64</v>
      </c>
      <c r="G8" s="20"/>
      <c r="H8" s="36" t="s">
        <v>65</v>
      </c>
      <c r="I8" s="24" t="s">
        <v>59</v>
      </c>
      <c r="J8" s="35"/>
      <c r="K8" s="1" t="s">
        <v>60</v>
      </c>
      <c r="L8" s="2"/>
    </row>
    <row r="9" spans="1:12" ht="28.8">
      <c r="B9" s="13">
        <f t="shared" si="0"/>
        <v>4</v>
      </c>
      <c r="C9" s="17"/>
      <c r="D9" s="17"/>
      <c r="E9" s="17"/>
      <c r="F9" s="20" t="s">
        <v>66</v>
      </c>
      <c r="G9" s="20"/>
      <c r="H9" s="36" t="s">
        <v>65</v>
      </c>
      <c r="I9" s="24" t="s">
        <v>59</v>
      </c>
      <c r="J9" s="35"/>
      <c r="K9" s="1" t="s">
        <v>62</v>
      </c>
      <c r="L9" s="2"/>
    </row>
    <row r="10" spans="1:12" ht="28.8">
      <c r="B10" s="13">
        <f t="shared" si="0"/>
        <v>5</v>
      </c>
      <c r="C10" s="17"/>
      <c r="D10" s="17"/>
      <c r="E10" s="17"/>
      <c r="F10" s="20" t="s">
        <v>67</v>
      </c>
      <c r="G10" s="20"/>
      <c r="H10" s="36" t="s">
        <v>65</v>
      </c>
      <c r="I10" s="24" t="s">
        <v>59</v>
      </c>
      <c r="J10" s="35"/>
      <c r="K10" s="1" t="s">
        <v>60</v>
      </c>
      <c r="L10" s="2"/>
    </row>
    <row r="11" spans="1:12" ht="28.8">
      <c r="B11" s="13">
        <f t="shared" si="0"/>
        <v>6</v>
      </c>
      <c r="C11" s="17"/>
      <c r="D11" s="17"/>
      <c r="E11" s="17"/>
      <c r="F11" s="20" t="s">
        <v>68</v>
      </c>
      <c r="G11" s="20"/>
      <c r="H11" s="36" t="s">
        <v>65</v>
      </c>
      <c r="I11" s="24" t="s">
        <v>59</v>
      </c>
      <c r="J11" s="35"/>
      <c r="K11" s="1" t="s">
        <v>62</v>
      </c>
      <c r="L11" s="2"/>
    </row>
    <row r="12" spans="1:12" ht="28.8">
      <c r="B12" s="13">
        <f t="shared" si="0"/>
        <v>7</v>
      </c>
      <c r="C12" s="17"/>
      <c r="D12" s="17"/>
      <c r="E12" s="17"/>
      <c r="F12" s="20" t="s">
        <v>69</v>
      </c>
      <c r="G12" s="20"/>
      <c r="H12" s="36" t="s">
        <v>65</v>
      </c>
      <c r="I12" s="24" t="s">
        <v>59</v>
      </c>
      <c r="J12" s="35"/>
      <c r="K12" s="1" t="s">
        <v>62</v>
      </c>
      <c r="L12" s="2"/>
    </row>
    <row r="13" spans="1:12" ht="28.8">
      <c r="B13" s="13">
        <f t="shared" si="0"/>
        <v>8</v>
      </c>
      <c r="C13" s="17"/>
      <c r="D13" s="17"/>
      <c r="E13" s="17"/>
      <c r="F13" s="20" t="s">
        <v>70</v>
      </c>
      <c r="G13" s="20"/>
      <c r="H13" s="36" t="s">
        <v>65</v>
      </c>
      <c r="I13" s="24" t="s">
        <v>59</v>
      </c>
      <c r="J13" s="35"/>
      <c r="K13" s="1" t="s">
        <v>60</v>
      </c>
      <c r="L13" s="2"/>
    </row>
    <row r="14" spans="1:12" ht="28.8">
      <c r="B14" s="13">
        <f t="shared" si="0"/>
        <v>9</v>
      </c>
      <c r="C14" s="18"/>
      <c r="D14" s="18"/>
      <c r="E14" s="18"/>
      <c r="F14" s="20" t="s">
        <v>71</v>
      </c>
      <c r="G14" s="20"/>
      <c r="H14" s="36" t="s">
        <v>65</v>
      </c>
      <c r="I14" s="24" t="s">
        <v>59</v>
      </c>
      <c r="J14" s="35"/>
      <c r="K14" s="1" t="s">
        <v>62</v>
      </c>
      <c r="L14" s="2"/>
    </row>
  </sheetData>
  <phoneticPr fontId="12"/>
  <hyperlinks>
    <hyperlink ref="A4" location="パラメータ設定一覧!A1" display="パラメータ設定一覧へ" xr:uid="{056AF6DA-F0B9-4F04-B628-EBECEEC77ECD}"/>
  </hyperlinks>
  <pageMargins left="0.70866141732283472" right="0.70866141732283472" top="0.74803149606299213" bottom="0.74803149606299213" header="0.31496062992125984" footer="0.31496062992125984"/>
  <pageSetup paperSize="9" scale="46"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28AF-3228-4B40-9A3D-7D7C305867BF}">
  <sheetPr codeName="Sheet175">
    <pageSetUpPr fitToPage="1"/>
  </sheetPr>
  <dimension ref="A1:L9"/>
  <sheetViews>
    <sheetView showGridLines="0" zoomScaleNormal="100" zoomScaleSheetLayoutView="70" workbookViewId="0">
      <pane ySplit="6" topLeftCell="A7" activePane="bottomLeft" state="frozen"/>
      <selection pane="bottomLeft" activeCell="F25" sqref="F25"/>
    </sheetView>
  </sheetViews>
  <sheetFormatPr defaultColWidth="8.81640625" defaultRowHeight="14.4"/>
  <cols>
    <col min="1" max="1" width="2.81640625" style="72" customWidth="1"/>
    <col min="2" max="2" width="3.54296875" style="72" bestFit="1" customWidth="1"/>
    <col min="3" max="3" width="13.81640625" style="72" bestFit="1" customWidth="1"/>
    <col min="4" max="4" width="19.453125" style="72" customWidth="1"/>
    <col min="5" max="11" width="19.81640625" style="72" customWidth="1"/>
    <col min="12" max="13" width="14.81640625" style="72" customWidth="1"/>
    <col min="14" max="14" width="8.81640625" style="72"/>
    <col min="15" max="15" width="15.453125" style="72" customWidth="1"/>
    <col min="16" max="16" width="14.81640625" style="72" customWidth="1"/>
    <col min="17" max="17" width="15.54296875" style="72" customWidth="1"/>
    <col min="18" max="18" width="8.81640625" style="72"/>
    <col min="19" max="19" width="11.6328125" style="72" bestFit="1" customWidth="1"/>
    <col min="20" max="20" width="14.81640625" style="72" customWidth="1"/>
    <col min="21" max="21" width="21.453125" style="72" bestFit="1" customWidth="1"/>
    <col min="22" max="22" width="8.81640625" style="72"/>
    <col min="23" max="24" width="20.81640625" style="72" customWidth="1"/>
    <col min="25" max="30" width="8.81640625" style="72"/>
    <col min="31" max="31" width="11" style="72" bestFit="1" customWidth="1"/>
    <col min="32" max="32" width="13.81640625" style="72" customWidth="1"/>
    <col min="33" max="33" width="14.81640625" style="72" customWidth="1"/>
    <col min="34" max="34" width="21.453125" style="72" bestFit="1" customWidth="1"/>
    <col min="35" max="35" width="14.81640625" style="72" customWidth="1"/>
    <col min="36" max="36" width="21.453125" style="72" bestFit="1" customWidth="1"/>
    <col min="37" max="37" width="16.81640625" style="72" bestFit="1" customWidth="1"/>
    <col min="38" max="38" width="14.81640625" style="72" bestFit="1" customWidth="1"/>
    <col min="39" max="16384" width="8.81640625" style="72"/>
  </cols>
  <sheetData>
    <row r="1" spans="1:12" customFormat="1" ht="18.600000000000001">
      <c r="A1" s="7" t="s">
        <v>72</v>
      </c>
    </row>
    <row r="2" spans="1:12" customFormat="1" ht="15"/>
    <row r="3" spans="1:12" customFormat="1" ht="15">
      <c r="A3" s="8" t="s">
        <v>43</v>
      </c>
    </row>
    <row r="4" spans="1:12">
      <c r="B4" s="155" t="s">
        <v>44</v>
      </c>
      <c r="C4" s="73" t="s">
        <v>57</v>
      </c>
      <c r="D4" s="74"/>
      <c r="E4" s="25" t="s">
        <v>63</v>
      </c>
      <c r="F4" s="26"/>
      <c r="G4" s="26"/>
      <c r="H4" s="26"/>
      <c r="I4" s="26"/>
      <c r="J4" s="26"/>
      <c r="K4" s="27"/>
    </row>
    <row r="5" spans="1:12">
      <c r="B5" s="155"/>
      <c r="C5" s="75" t="s">
        <v>57</v>
      </c>
      <c r="D5" s="75" t="s">
        <v>61</v>
      </c>
      <c r="E5" s="5" t="s">
        <v>73</v>
      </c>
      <c r="F5" s="5" t="s">
        <v>74</v>
      </c>
      <c r="G5" s="5" t="s">
        <v>67</v>
      </c>
      <c r="H5" s="5" t="s">
        <v>68</v>
      </c>
      <c r="I5" s="5" t="s">
        <v>69</v>
      </c>
      <c r="J5" s="5" t="s">
        <v>70</v>
      </c>
      <c r="K5" s="5" t="s">
        <v>71</v>
      </c>
    </row>
    <row r="6" spans="1:12">
      <c r="B6" s="155"/>
      <c r="C6" s="6" t="s">
        <v>58</v>
      </c>
      <c r="D6" s="6" t="s">
        <v>58</v>
      </c>
      <c r="E6" s="6" t="s">
        <v>75</v>
      </c>
      <c r="F6" s="6" t="s">
        <v>75</v>
      </c>
      <c r="G6" s="6" t="s">
        <v>75</v>
      </c>
      <c r="H6" s="6" t="s">
        <v>75</v>
      </c>
      <c r="I6" s="6" t="s">
        <v>75</v>
      </c>
      <c r="J6" s="6" t="s">
        <v>75</v>
      </c>
      <c r="K6" s="6" t="s">
        <v>75</v>
      </c>
    </row>
    <row r="7" spans="1:12">
      <c r="B7" s="76">
        <f>ROW() - 6</f>
        <v>1</v>
      </c>
      <c r="C7" s="76" t="s">
        <v>76</v>
      </c>
      <c r="D7" s="76" t="s">
        <v>77</v>
      </c>
      <c r="E7" s="77" t="s">
        <v>78</v>
      </c>
      <c r="F7" s="77" t="s">
        <v>78</v>
      </c>
      <c r="G7" s="76" t="s">
        <v>80</v>
      </c>
      <c r="H7" s="76" t="s">
        <v>80</v>
      </c>
      <c r="I7" s="76" t="s">
        <v>80</v>
      </c>
      <c r="J7" s="76" t="s">
        <v>80</v>
      </c>
      <c r="K7" s="76" t="s">
        <v>80</v>
      </c>
    </row>
    <row r="8" spans="1:12">
      <c r="B8" s="76">
        <f>ROW() - 6</f>
        <v>2</v>
      </c>
      <c r="C8" s="78" t="s">
        <v>81</v>
      </c>
      <c r="D8" s="78" t="s">
        <v>82</v>
      </c>
      <c r="E8" s="117" t="s">
        <v>79</v>
      </c>
      <c r="F8" s="117" t="s">
        <v>79</v>
      </c>
      <c r="G8" s="76" t="s">
        <v>80</v>
      </c>
      <c r="H8" s="76" t="s">
        <v>80</v>
      </c>
      <c r="I8" s="76" t="s">
        <v>80</v>
      </c>
      <c r="J8" s="76" t="s">
        <v>80</v>
      </c>
      <c r="K8" s="76" t="s">
        <v>80</v>
      </c>
    </row>
    <row r="9" spans="1:12">
      <c r="B9" s="76">
        <f>ROW() - 6</f>
        <v>3</v>
      </c>
      <c r="C9" s="78" t="s">
        <v>565</v>
      </c>
      <c r="D9" s="78" t="s">
        <v>568</v>
      </c>
      <c r="E9" s="77" t="s">
        <v>78</v>
      </c>
      <c r="F9" s="117" t="s">
        <v>79</v>
      </c>
      <c r="G9" s="76" t="s">
        <v>80</v>
      </c>
      <c r="H9" s="76" t="s">
        <v>80</v>
      </c>
      <c r="I9" s="76" t="s">
        <v>80</v>
      </c>
      <c r="J9" s="76" t="s">
        <v>80</v>
      </c>
      <c r="K9" s="76" t="s">
        <v>80</v>
      </c>
      <c r="L9" s="72" t="s">
        <v>567</v>
      </c>
    </row>
  </sheetData>
  <sheetProtection insertRows="0" deleteRows="0" sort="0" autoFilter="0"/>
  <mergeCells count="1">
    <mergeCell ref="B4:B6"/>
  </mergeCells>
  <phoneticPr fontId="12"/>
  <hyperlinks>
    <hyperlink ref="A3" location="パラメータ設定一覧!A1" display="パラメータ設定一覧へ" xr:uid="{8C44F254-5491-4100-8747-AFAFBCC0A200}"/>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77BC-C91D-48A7-85A0-99D4B566EC52}">
  <sheetPr codeName="Sheet176">
    <pageSetUpPr fitToPage="1"/>
  </sheetPr>
  <dimension ref="A1:L33"/>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2.36328125" style="72" bestFit="1" customWidth="1"/>
    <col min="4" max="4" width="7" style="72" bestFit="1" customWidth="1"/>
    <col min="5" max="5" width="11.6328125" style="72" customWidth="1"/>
    <col min="6" max="6" width="19.36328125" style="72" bestFit="1" customWidth="1"/>
    <col min="7" max="7" width="40.36328125" style="72" customWidth="1"/>
    <col min="8" max="8" width="23.1796875" style="72" customWidth="1"/>
    <col min="9" max="9" width="8.6328125" style="72" bestFit="1" customWidth="1"/>
    <col min="10" max="10" width="19.453125" style="72" customWidth="1"/>
    <col min="11" max="11" width="17.36328125" style="72" bestFit="1" customWidth="1"/>
    <col min="12" max="12" width="13.1796875" style="72" customWidth="1"/>
    <col min="13" max="16384" width="8.81640625" style="72"/>
  </cols>
  <sheetData>
    <row r="1" spans="1:12" customFormat="1" ht="18.600000000000001">
      <c r="A1" s="7" t="s">
        <v>83</v>
      </c>
    </row>
    <row r="2" spans="1:12" customFormat="1" ht="15">
      <c r="B2" t="s">
        <v>84</v>
      </c>
    </row>
    <row r="3" spans="1:12" customFormat="1" ht="15">
      <c r="B3" t="s">
        <v>85</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25</v>
      </c>
      <c r="F6" s="15" t="s">
        <v>86</v>
      </c>
      <c r="G6" s="15"/>
      <c r="H6" s="15" t="s">
        <v>58</v>
      </c>
      <c r="I6" s="15" t="s">
        <v>59</v>
      </c>
      <c r="J6" s="15"/>
      <c r="K6" s="16" t="s">
        <v>87</v>
      </c>
      <c r="L6" s="22"/>
    </row>
    <row r="7" spans="1:12" ht="28.8">
      <c r="B7" s="13">
        <f t="shared" ref="B7:B33" si="0">ROW() - 5</f>
        <v>2</v>
      </c>
      <c r="C7" s="17"/>
      <c r="D7" s="17"/>
      <c r="E7" s="17"/>
      <c r="F7" s="15" t="s">
        <v>88</v>
      </c>
      <c r="G7" s="15"/>
      <c r="H7" s="15" t="s">
        <v>58</v>
      </c>
      <c r="I7" s="15" t="s">
        <v>59</v>
      </c>
      <c r="J7" s="15"/>
      <c r="K7" s="1" t="s">
        <v>89</v>
      </c>
      <c r="L7" s="2"/>
    </row>
    <row r="8" spans="1:12" ht="28.8">
      <c r="B8" s="13">
        <f t="shared" si="0"/>
        <v>3</v>
      </c>
      <c r="C8" s="18"/>
      <c r="D8" s="18"/>
      <c r="E8" s="18"/>
      <c r="F8" s="15" t="s">
        <v>90</v>
      </c>
      <c r="G8" s="15"/>
      <c r="H8" s="15" t="s">
        <v>58</v>
      </c>
      <c r="I8" s="15" t="s">
        <v>59</v>
      </c>
      <c r="J8" s="15"/>
      <c r="K8" s="1" t="s">
        <v>87</v>
      </c>
      <c r="L8" s="2"/>
    </row>
    <row r="9" spans="1:12" ht="72">
      <c r="B9" s="13">
        <f t="shared" si="0"/>
        <v>4</v>
      </c>
      <c r="C9" s="14" t="s">
        <v>63</v>
      </c>
      <c r="D9" s="14"/>
      <c r="E9" s="14"/>
      <c r="F9" s="15" t="s">
        <v>91</v>
      </c>
      <c r="G9" s="15" t="s">
        <v>92</v>
      </c>
      <c r="H9" s="15" t="s">
        <v>93</v>
      </c>
      <c r="I9" s="15" t="s">
        <v>59</v>
      </c>
      <c r="J9" s="15" t="s">
        <v>94</v>
      </c>
      <c r="K9" s="1" t="s">
        <v>89</v>
      </c>
      <c r="L9" s="2"/>
    </row>
    <row r="10" spans="1:12" ht="204" customHeight="1">
      <c r="B10" s="13">
        <f t="shared" si="0"/>
        <v>5</v>
      </c>
      <c r="C10" s="17"/>
      <c r="D10" s="17"/>
      <c r="E10" s="17"/>
      <c r="F10" s="15" t="s">
        <v>95</v>
      </c>
      <c r="G10" s="15" t="s">
        <v>96</v>
      </c>
      <c r="H10" s="15" t="s">
        <v>97</v>
      </c>
      <c r="I10" s="15" t="s">
        <v>98</v>
      </c>
      <c r="J10" s="15"/>
      <c r="K10" s="1" t="s">
        <v>87</v>
      </c>
      <c r="L10" s="2"/>
    </row>
    <row r="11" spans="1:12" ht="115.2">
      <c r="B11" s="13">
        <f t="shared" si="0"/>
        <v>6</v>
      </c>
      <c r="C11" s="17"/>
      <c r="D11" s="17"/>
      <c r="E11" s="17"/>
      <c r="F11" s="15" t="s">
        <v>99</v>
      </c>
      <c r="G11" s="15" t="s">
        <v>100</v>
      </c>
      <c r="H11" s="15" t="s">
        <v>101</v>
      </c>
      <c r="I11" s="15" t="s">
        <v>102</v>
      </c>
      <c r="J11" s="15"/>
      <c r="K11" s="1" t="s">
        <v>89</v>
      </c>
      <c r="L11" s="2"/>
    </row>
    <row r="12" spans="1:12" ht="57.6">
      <c r="B12" s="13">
        <f t="shared" si="0"/>
        <v>7</v>
      </c>
      <c r="C12" s="18"/>
      <c r="D12" s="18"/>
      <c r="E12" s="18"/>
      <c r="F12" s="15" t="s">
        <v>103</v>
      </c>
      <c r="G12" s="15" t="s">
        <v>104</v>
      </c>
      <c r="H12" s="15" t="s">
        <v>105</v>
      </c>
      <c r="I12" s="28">
        <v>0</v>
      </c>
      <c r="J12" s="15"/>
      <c r="K12" s="1" t="s">
        <v>87</v>
      </c>
      <c r="L12" s="2"/>
    </row>
    <row r="13" spans="1:12" ht="57.6">
      <c r="B13" s="13">
        <f t="shared" si="0"/>
        <v>8</v>
      </c>
      <c r="C13" s="14" t="s">
        <v>106</v>
      </c>
      <c r="D13" s="14"/>
      <c r="E13" s="15" t="s">
        <v>106</v>
      </c>
      <c r="F13" s="15" t="s">
        <v>106</v>
      </c>
      <c r="G13" s="15" t="s">
        <v>107</v>
      </c>
      <c r="H13" s="15" t="s">
        <v>108</v>
      </c>
      <c r="I13" s="15" t="s">
        <v>59</v>
      </c>
      <c r="J13" s="15"/>
      <c r="K13" s="1" t="s">
        <v>89</v>
      </c>
      <c r="L13" s="2"/>
    </row>
    <row r="14" spans="1:12" ht="28.8">
      <c r="B14" s="13">
        <f t="shared" si="0"/>
        <v>9</v>
      </c>
      <c r="C14" s="17"/>
      <c r="D14" s="17"/>
      <c r="E14" s="17" t="s">
        <v>109</v>
      </c>
      <c r="F14" s="15" t="s">
        <v>110</v>
      </c>
      <c r="G14" s="15"/>
      <c r="H14" s="15" t="s">
        <v>58</v>
      </c>
      <c r="I14" s="15" t="s">
        <v>59</v>
      </c>
      <c r="J14" s="15"/>
      <c r="K14" s="1" t="s">
        <v>87</v>
      </c>
      <c r="L14" s="2"/>
    </row>
    <row r="15" spans="1:12" ht="28.8">
      <c r="B15" s="13">
        <f t="shared" si="0"/>
        <v>10</v>
      </c>
      <c r="C15" s="17"/>
      <c r="D15" s="17"/>
      <c r="E15" s="17"/>
      <c r="F15" s="15" t="s">
        <v>111</v>
      </c>
      <c r="G15" s="15"/>
      <c r="H15" s="15" t="s">
        <v>112</v>
      </c>
      <c r="I15" s="15" t="s">
        <v>59</v>
      </c>
      <c r="J15" s="15"/>
      <c r="K15" s="1" t="s">
        <v>89</v>
      </c>
      <c r="L15" s="2"/>
    </row>
    <row r="16" spans="1:12" ht="28.8">
      <c r="B16" s="13">
        <f t="shared" si="0"/>
        <v>11</v>
      </c>
      <c r="C16" s="17"/>
      <c r="D16" s="17"/>
      <c r="E16" s="17"/>
      <c r="F16" s="15" t="s">
        <v>113</v>
      </c>
      <c r="G16" s="15"/>
      <c r="H16" s="15" t="s">
        <v>114</v>
      </c>
      <c r="I16" s="15" t="s">
        <v>59</v>
      </c>
      <c r="J16" s="15"/>
      <c r="K16" s="1" t="s">
        <v>87</v>
      </c>
      <c r="L16" s="2"/>
    </row>
    <row r="17" spans="2:12" ht="28.8">
      <c r="B17" s="13">
        <f t="shared" si="0"/>
        <v>12</v>
      </c>
      <c r="C17" s="17"/>
      <c r="D17" s="17"/>
      <c r="E17" s="17"/>
      <c r="F17" s="72" t="s">
        <v>106</v>
      </c>
      <c r="G17" s="15"/>
      <c r="H17" s="15" t="s">
        <v>58</v>
      </c>
      <c r="I17" s="15" t="s">
        <v>59</v>
      </c>
      <c r="J17" s="15"/>
      <c r="K17" s="1" t="s">
        <v>89</v>
      </c>
      <c r="L17" s="2"/>
    </row>
    <row r="18" spans="2:12" s="101" customFormat="1">
      <c r="B18" s="102" t="s">
        <v>115</v>
      </c>
      <c r="C18" s="103"/>
      <c r="D18" s="103"/>
      <c r="E18" s="103"/>
      <c r="F18" s="104" t="s">
        <v>116</v>
      </c>
      <c r="G18" s="105"/>
      <c r="H18" s="105"/>
      <c r="I18" s="105"/>
      <c r="J18" s="105"/>
      <c r="K18" s="106"/>
      <c r="L18" s="107"/>
    </row>
    <row r="19" spans="2:12" s="101" customFormat="1">
      <c r="B19" s="102" t="s">
        <v>115</v>
      </c>
      <c r="C19" s="103"/>
      <c r="D19" s="103"/>
      <c r="E19" s="103"/>
      <c r="F19" s="104" t="s">
        <v>117</v>
      </c>
      <c r="G19" s="105"/>
      <c r="H19" s="105"/>
      <c r="I19" s="105"/>
      <c r="J19" s="105"/>
      <c r="K19" s="106"/>
      <c r="L19" s="107"/>
    </row>
    <row r="20" spans="2:12" s="101" customFormat="1">
      <c r="B20" s="102" t="s">
        <v>115</v>
      </c>
      <c r="C20" s="103"/>
      <c r="D20" s="103"/>
      <c r="E20" s="103"/>
      <c r="F20" s="104" t="s">
        <v>118</v>
      </c>
      <c r="G20" s="105"/>
      <c r="H20" s="105"/>
      <c r="I20" s="105"/>
      <c r="J20" s="105"/>
      <c r="K20" s="106"/>
      <c r="L20" s="107"/>
    </row>
    <row r="21" spans="2:12" ht="28.8">
      <c r="B21" s="13">
        <f t="shared" si="0"/>
        <v>16</v>
      </c>
      <c r="C21" s="17"/>
      <c r="D21" s="17"/>
      <c r="E21" s="17"/>
      <c r="F21" s="15" t="s">
        <v>119</v>
      </c>
      <c r="G21" s="15"/>
      <c r="H21" s="15" t="s">
        <v>120</v>
      </c>
      <c r="I21" s="15" t="s">
        <v>59</v>
      </c>
      <c r="J21" s="15"/>
      <c r="K21" s="1" t="s">
        <v>87</v>
      </c>
      <c r="L21" s="2"/>
    </row>
    <row r="22" spans="2:12" s="101" customFormat="1">
      <c r="B22" s="102" t="s">
        <v>115</v>
      </c>
      <c r="C22" s="103"/>
      <c r="D22" s="103"/>
      <c r="E22" s="103"/>
      <c r="F22" s="104" t="s">
        <v>121</v>
      </c>
      <c r="G22" s="105"/>
      <c r="H22" s="105"/>
      <c r="I22" s="105"/>
      <c r="J22" s="105"/>
      <c r="K22" s="106"/>
      <c r="L22" s="107"/>
    </row>
    <row r="23" spans="2:12" ht="28.8">
      <c r="B23" s="13">
        <f t="shared" si="0"/>
        <v>18</v>
      </c>
      <c r="C23" s="17"/>
      <c r="D23" s="17"/>
      <c r="E23" s="17"/>
      <c r="F23" s="15" t="s">
        <v>122</v>
      </c>
      <c r="G23" s="15"/>
      <c r="H23" s="15" t="s">
        <v>123</v>
      </c>
      <c r="I23" s="15" t="s">
        <v>59</v>
      </c>
      <c r="J23" s="15"/>
      <c r="K23" s="1" t="s">
        <v>89</v>
      </c>
      <c r="L23" s="2"/>
    </row>
    <row r="24" spans="2:12" s="101" customFormat="1">
      <c r="B24" s="102" t="s">
        <v>115</v>
      </c>
      <c r="C24" s="108"/>
      <c r="D24" s="108"/>
      <c r="E24" s="108"/>
      <c r="F24" s="104" t="s">
        <v>124</v>
      </c>
      <c r="G24" s="105"/>
      <c r="H24" s="105"/>
      <c r="I24" s="105"/>
      <c r="J24" s="105"/>
      <c r="K24" s="106"/>
      <c r="L24" s="107"/>
    </row>
    <row r="25" spans="2:12" ht="28.8">
      <c r="B25" s="13">
        <f t="shared" si="0"/>
        <v>20</v>
      </c>
      <c r="C25" s="14" t="s">
        <v>125</v>
      </c>
      <c r="D25" s="14"/>
      <c r="E25" s="14"/>
      <c r="F25" s="15" t="s">
        <v>126</v>
      </c>
      <c r="G25" s="15"/>
      <c r="H25" s="15" t="s">
        <v>58</v>
      </c>
      <c r="I25" s="15" t="s">
        <v>59</v>
      </c>
      <c r="J25" s="15"/>
      <c r="K25" s="1" t="s">
        <v>87</v>
      </c>
      <c r="L25" s="2"/>
    </row>
    <row r="26" spans="2:12" ht="28.8">
      <c r="B26" s="13">
        <f t="shared" si="0"/>
        <v>21</v>
      </c>
      <c r="C26" s="17"/>
      <c r="D26" s="17"/>
      <c r="E26" s="17"/>
      <c r="F26" s="15" t="s">
        <v>127</v>
      </c>
      <c r="G26" s="15"/>
      <c r="H26" s="15" t="s">
        <v>58</v>
      </c>
      <c r="I26" s="15" t="s">
        <v>59</v>
      </c>
      <c r="J26" s="15"/>
      <c r="K26" s="1" t="s">
        <v>89</v>
      </c>
      <c r="L26" s="2"/>
    </row>
    <row r="27" spans="2:12" ht="28.8">
      <c r="B27" s="13">
        <f t="shared" si="0"/>
        <v>22</v>
      </c>
      <c r="C27" s="17"/>
      <c r="D27" s="17"/>
      <c r="E27" s="17"/>
      <c r="F27" s="15" t="s">
        <v>128</v>
      </c>
      <c r="G27" s="15"/>
      <c r="H27" s="15" t="s">
        <v>58</v>
      </c>
      <c r="I27" s="15" t="s">
        <v>59</v>
      </c>
      <c r="J27" s="15"/>
      <c r="K27" s="1" t="s">
        <v>87</v>
      </c>
      <c r="L27" s="2"/>
    </row>
    <row r="28" spans="2:12" ht="28.8">
      <c r="B28" s="13">
        <f t="shared" si="0"/>
        <v>23</v>
      </c>
      <c r="C28" s="17"/>
      <c r="D28" s="17"/>
      <c r="E28" s="17"/>
      <c r="F28" s="15" t="s">
        <v>129</v>
      </c>
      <c r="G28" s="15"/>
      <c r="H28" s="15" t="s">
        <v>58</v>
      </c>
      <c r="I28" s="15" t="s">
        <v>59</v>
      </c>
      <c r="J28" s="15"/>
      <c r="K28" s="1" t="s">
        <v>89</v>
      </c>
      <c r="L28" s="2"/>
    </row>
    <row r="29" spans="2:12" ht="28.8">
      <c r="B29" s="13">
        <f t="shared" si="0"/>
        <v>24</v>
      </c>
      <c r="C29" s="17"/>
      <c r="D29" s="17"/>
      <c r="E29" s="17"/>
      <c r="F29" s="15" t="s">
        <v>130</v>
      </c>
      <c r="G29" s="15"/>
      <c r="H29" s="15" t="s">
        <v>58</v>
      </c>
      <c r="I29" s="15" t="s">
        <v>59</v>
      </c>
      <c r="J29" s="15"/>
      <c r="K29" s="1" t="s">
        <v>87</v>
      </c>
      <c r="L29" s="2"/>
    </row>
    <row r="30" spans="2:12" ht="28.8">
      <c r="B30" s="13">
        <f t="shared" si="0"/>
        <v>25</v>
      </c>
      <c r="C30" s="17"/>
      <c r="D30" s="17"/>
      <c r="E30" s="17"/>
      <c r="F30" s="15" t="s">
        <v>131</v>
      </c>
      <c r="G30" s="15"/>
      <c r="H30" s="15" t="s">
        <v>132</v>
      </c>
      <c r="I30" s="15" t="s">
        <v>59</v>
      </c>
      <c r="J30" s="15"/>
      <c r="K30" s="1" t="s">
        <v>89</v>
      </c>
      <c r="L30" s="2"/>
    </row>
    <row r="31" spans="2:12" ht="28.8">
      <c r="B31" s="13">
        <f t="shared" si="0"/>
        <v>26</v>
      </c>
      <c r="C31" s="17"/>
      <c r="D31" s="17"/>
      <c r="E31" s="17"/>
      <c r="F31" s="15" t="s">
        <v>133</v>
      </c>
      <c r="G31" s="15"/>
      <c r="H31" s="15" t="s">
        <v>132</v>
      </c>
      <c r="I31" s="15" t="s">
        <v>59</v>
      </c>
      <c r="J31" s="15"/>
      <c r="K31" s="1" t="s">
        <v>87</v>
      </c>
      <c r="L31" s="2"/>
    </row>
    <row r="32" spans="2:12" ht="28.8">
      <c r="B32" s="13">
        <f t="shared" si="0"/>
        <v>27</v>
      </c>
      <c r="C32" s="17"/>
      <c r="D32" s="17"/>
      <c r="E32" s="17"/>
      <c r="F32" s="15" t="s">
        <v>134</v>
      </c>
      <c r="G32" s="15"/>
      <c r="H32" s="15" t="s">
        <v>132</v>
      </c>
      <c r="I32" s="15" t="s">
        <v>59</v>
      </c>
      <c r="J32" s="15"/>
      <c r="K32" s="1" t="s">
        <v>89</v>
      </c>
      <c r="L32" s="2"/>
    </row>
    <row r="33" spans="2:12" ht="28.8">
      <c r="B33" s="13">
        <f t="shared" si="0"/>
        <v>28</v>
      </c>
      <c r="C33" s="18"/>
      <c r="D33" s="18"/>
      <c r="E33" s="18"/>
      <c r="F33" s="15" t="s">
        <v>135</v>
      </c>
      <c r="G33" s="15"/>
      <c r="H33" s="15" t="s">
        <v>132</v>
      </c>
      <c r="I33" s="15" t="s">
        <v>59</v>
      </c>
      <c r="J33" s="15"/>
      <c r="K33" s="1" t="s">
        <v>87</v>
      </c>
      <c r="L33" s="2"/>
    </row>
  </sheetData>
  <phoneticPr fontId="12"/>
  <hyperlinks>
    <hyperlink ref="A4" location="パラメータ設定一覧!A1" display="パラメータ設定一覧へ" xr:uid="{23C183DF-1156-492A-9B38-9A6C1CD98F87}"/>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373F-5BD6-4931-8E35-DAA687753853}">
  <sheetPr codeName="Sheet177">
    <pageSetUpPr fitToPage="1"/>
  </sheetPr>
  <dimension ref="A1:X13"/>
  <sheetViews>
    <sheetView showGridLines="0" zoomScaleNormal="100" zoomScaleSheetLayoutView="70" workbookViewId="0">
      <pane xSplit="5" ySplit="6" topLeftCell="F7" activePane="bottomRight" state="frozen"/>
      <selection pane="topRight"/>
      <selection pane="bottomLeft"/>
      <selection pane="bottomRight" activeCell="F7" sqref="F7"/>
    </sheetView>
  </sheetViews>
  <sheetFormatPr defaultColWidth="8.81640625" defaultRowHeight="14.4"/>
  <cols>
    <col min="1" max="1" width="2.81640625" style="53" customWidth="1"/>
    <col min="2" max="2" width="3.54296875" style="53" bestFit="1" customWidth="1"/>
    <col min="3" max="3" width="15.36328125" style="53" bestFit="1" customWidth="1"/>
    <col min="4" max="4" width="17.81640625" style="53" customWidth="1"/>
    <col min="5" max="5" width="14.6328125" style="53" customWidth="1"/>
    <col min="6" max="6" width="15.36328125" style="53" customWidth="1"/>
    <col min="7" max="7" width="29.36328125" style="53" customWidth="1"/>
    <col min="8" max="8" width="8.81640625" style="53"/>
    <col min="9" max="9" width="8.1796875" style="53" bestFit="1" customWidth="1"/>
    <col min="10" max="10" width="16.54296875" style="53" customWidth="1"/>
    <col min="11" max="11" width="19.1796875" style="53" customWidth="1"/>
    <col min="12" max="12" width="11.1796875" style="53" customWidth="1"/>
    <col min="13" max="13" width="8.1796875" style="53" bestFit="1" customWidth="1"/>
    <col min="14" max="14" width="12.54296875" style="53" customWidth="1"/>
    <col min="15" max="15" width="14.1796875" style="53" customWidth="1"/>
    <col min="16" max="16" width="14.6328125" style="53" customWidth="1"/>
    <col min="17" max="22" width="8.81640625" style="53"/>
    <col min="23" max="23" width="12.1796875" style="53" customWidth="1"/>
    <col min="24" max="16384" width="8.81640625" style="53"/>
  </cols>
  <sheetData>
    <row r="1" spans="1:24" customFormat="1" ht="18.600000000000001">
      <c r="A1" s="7" t="s">
        <v>136</v>
      </c>
    </row>
    <row r="2" spans="1:24" customFormat="1" ht="15"/>
    <row r="3" spans="1:24" customFormat="1" ht="15">
      <c r="A3" s="8" t="s">
        <v>43</v>
      </c>
    </row>
    <row r="4" spans="1:24" ht="15.75" customHeight="1">
      <c r="A4" s="120"/>
      <c r="B4" s="192" t="s">
        <v>44</v>
      </c>
      <c r="C4" s="83" t="s">
        <v>137</v>
      </c>
      <c r="D4" s="84"/>
      <c r="E4" s="84"/>
      <c r="F4" s="83" t="s">
        <v>138</v>
      </c>
      <c r="G4" s="84"/>
      <c r="H4" s="84"/>
      <c r="I4" s="84"/>
      <c r="J4" s="83" t="s">
        <v>139</v>
      </c>
      <c r="K4" s="26"/>
      <c r="L4" s="26"/>
      <c r="M4" s="26"/>
      <c r="N4" s="26"/>
      <c r="O4" s="27"/>
      <c r="P4" s="25" t="s">
        <v>125</v>
      </c>
      <c r="Q4" s="26"/>
      <c r="R4" s="26"/>
      <c r="S4" s="26"/>
      <c r="T4" s="26"/>
      <c r="U4" s="26"/>
      <c r="V4" s="26"/>
      <c r="W4" s="26"/>
      <c r="X4" s="27"/>
    </row>
    <row r="5" spans="1:24" ht="28.8">
      <c r="A5" s="120"/>
      <c r="B5" s="192"/>
      <c r="C5" s="27" t="s">
        <v>86</v>
      </c>
      <c r="D5" s="5" t="s">
        <v>88</v>
      </c>
      <c r="E5" s="5" t="s">
        <v>90</v>
      </c>
      <c r="F5" s="85" t="s">
        <v>91</v>
      </c>
      <c r="G5" s="85" t="s">
        <v>95</v>
      </c>
      <c r="H5" s="85" t="s">
        <v>99</v>
      </c>
      <c r="I5" s="85" t="s">
        <v>140</v>
      </c>
      <c r="J5" s="85" t="s">
        <v>141</v>
      </c>
      <c r="K5" s="85" t="s">
        <v>111</v>
      </c>
      <c r="L5" s="85" t="s">
        <v>113</v>
      </c>
      <c r="M5" s="85" t="s">
        <v>106</v>
      </c>
      <c r="N5" s="85" t="s">
        <v>119</v>
      </c>
      <c r="O5" s="85" t="s">
        <v>122</v>
      </c>
      <c r="P5" s="5" t="s">
        <v>126</v>
      </c>
      <c r="Q5" s="5" t="s">
        <v>127</v>
      </c>
      <c r="R5" s="5" t="s">
        <v>128</v>
      </c>
      <c r="S5" s="5" t="s">
        <v>129</v>
      </c>
      <c r="T5" s="5" t="s">
        <v>130</v>
      </c>
      <c r="U5" s="5" t="s">
        <v>131</v>
      </c>
      <c r="V5" s="5" t="s">
        <v>133</v>
      </c>
      <c r="W5" s="5" t="s">
        <v>142</v>
      </c>
      <c r="X5" s="5" t="s">
        <v>135</v>
      </c>
    </row>
    <row r="6" spans="1:24" ht="43.2">
      <c r="A6" s="120"/>
      <c r="B6" s="192"/>
      <c r="C6" s="82" t="s">
        <v>58</v>
      </c>
      <c r="D6" s="6" t="s">
        <v>58</v>
      </c>
      <c r="E6" s="6" t="s">
        <v>58</v>
      </c>
      <c r="F6" s="6" t="s">
        <v>93</v>
      </c>
      <c r="G6" s="6"/>
      <c r="H6" s="6"/>
      <c r="I6" s="6" t="s">
        <v>105</v>
      </c>
      <c r="J6" s="6" t="s">
        <v>58</v>
      </c>
      <c r="K6" s="6" t="s">
        <v>112</v>
      </c>
      <c r="L6" s="6" t="s">
        <v>114</v>
      </c>
      <c r="M6" s="6" t="s">
        <v>58</v>
      </c>
      <c r="N6" s="6" t="s">
        <v>120</v>
      </c>
      <c r="O6" s="6" t="s">
        <v>123</v>
      </c>
      <c r="P6" s="6" t="s">
        <v>105</v>
      </c>
      <c r="Q6" s="6" t="s">
        <v>105</v>
      </c>
      <c r="R6" s="6" t="s">
        <v>105</v>
      </c>
      <c r="S6" s="6" t="s">
        <v>105</v>
      </c>
      <c r="T6" s="6" t="s">
        <v>105</v>
      </c>
      <c r="U6" s="6" t="s">
        <v>58</v>
      </c>
      <c r="V6" s="6" t="s">
        <v>58</v>
      </c>
      <c r="W6" s="6" t="s">
        <v>58</v>
      </c>
      <c r="X6" s="6" t="s">
        <v>105</v>
      </c>
    </row>
    <row r="7" spans="1:24">
      <c r="A7" s="120"/>
      <c r="B7" s="122">
        <f>ROW() - 6</f>
        <v>1</v>
      </c>
      <c r="C7" s="122" t="s">
        <v>143</v>
      </c>
      <c r="D7" s="122" t="s">
        <v>143</v>
      </c>
      <c r="E7" s="122" t="s">
        <v>144</v>
      </c>
      <c r="F7" s="122" t="s">
        <v>144</v>
      </c>
      <c r="G7" s="132" t="s">
        <v>98</v>
      </c>
      <c r="H7" s="126" t="s">
        <v>102</v>
      </c>
      <c r="I7" s="133">
        <v>0</v>
      </c>
      <c r="J7" s="126" t="s">
        <v>144</v>
      </c>
      <c r="K7" s="126" t="s">
        <v>144</v>
      </c>
      <c r="L7" s="126" t="s">
        <v>144</v>
      </c>
      <c r="M7" s="126" t="s">
        <v>144</v>
      </c>
      <c r="N7" s="126" t="s">
        <v>144</v>
      </c>
      <c r="O7" s="126" t="s">
        <v>144</v>
      </c>
      <c r="P7" s="126" t="s">
        <v>144</v>
      </c>
      <c r="Q7" s="126" t="s">
        <v>144</v>
      </c>
      <c r="R7" s="126" t="s">
        <v>144</v>
      </c>
      <c r="S7" s="126" t="s">
        <v>144</v>
      </c>
      <c r="T7" s="126" t="s">
        <v>144</v>
      </c>
      <c r="U7" s="126" t="s">
        <v>144</v>
      </c>
      <c r="V7" s="126" t="s">
        <v>144</v>
      </c>
      <c r="W7" s="126" t="s">
        <v>144</v>
      </c>
      <c r="X7" s="126" t="s">
        <v>144</v>
      </c>
    </row>
    <row r="9" spans="1:24">
      <c r="A9" s="120"/>
      <c r="B9" s="120"/>
      <c r="C9" s="72"/>
      <c r="D9" s="120"/>
      <c r="E9" s="120"/>
      <c r="F9" s="120" t="s">
        <v>145</v>
      </c>
      <c r="G9" s="120"/>
      <c r="H9" s="120"/>
      <c r="I9" s="120"/>
      <c r="J9" s="120"/>
      <c r="K9" s="120"/>
      <c r="L9" s="120"/>
      <c r="M9" s="120"/>
      <c r="N9" s="120"/>
      <c r="O9" s="120"/>
      <c r="P9" s="120"/>
      <c r="Q9" s="120"/>
      <c r="R9" s="120"/>
      <c r="S9" s="120"/>
      <c r="T9" s="120"/>
      <c r="U9" s="120"/>
      <c r="V9" s="120"/>
      <c r="W9" s="120"/>
      <c r="X9" s="120"/>
    </row>
    <row r="10" spans="1:24">
      <c r="A10" s="120"/>
      <c r="B10" s="120"/>
      <c r="C10" s="120"/>
      <c r="D10" s="120"/>
      <c r="E10" s="120"/>
      <c r="F10" s="79" t="s">
        <v>146</v>
      </c>
      <c r="G10" s="120"/>
      <c r="H10" s="120"/>
      <c r="I10" s="120"/>
      <c r="J10" s="120"/>
      <c r="K10" s="120"/>
      <c r="L10" s="120"/>
      <c r="M10" s="120"/>
      <c r="N10" s="120"/>
      <c r="O10" s="120"/>
      <c r="P10" s="120"/>
      <c r="Q10" s="120"/>
      <c r="R10" s="120"/>
      <c r="S10" s="120"/>
      <c r="T10" s="120"/>
      <c r="U10" s="120"/>
      <c r="V10" s="120"/>
      <c r="W10" s="120"/>
      <c r="X10" s="120"/>
    </row>
    <row r="11" spans="1:24">
      <c r="A11" s="120"/>
      <c r="B11" s="120"/>
      <c r="C11" s="120"/>
      <c r="D11" s="120"/>
      <c r="E11" s="120"/>
      <c r="F11" s="120" t="s">
        <v>147</v>
      </c>
      <c r="G11" s="120"/>
      <c r="H11" s="120"/>
      <c r="I11" s="120"/>
      <c r="J11" s="120"/>
      <c r="K11" s="120"/>
      <c r="L11" s="120"/>
      <c r="M11" s="120"/>
      <c r="N11" s="120"/>
      <c r="O11" s="120"/>
      <c r="P11" s="120"/>
      <c r="Q11" s="120"/>
      <c r="R11" s="120"/>
      <c r="S11" s="120"/>
      <c r="T11" s="120"/>
      <c r="U11" s="120"/>
      <c r="V11" s="120"/>
      <c r="W11" s="120"/>
      <c r="X11" s="120"/>
    </row>
    <row r="13" spans="1:24" ht="15">
      <c r="A13" s="120"/>
      <c r="B13" s="120"/>
      <c r="C13" s="120"/>
      <c r="D13" s="120"/>
      <c r="E13" s="120"/>
      <c r="F13" s="120" t="s">
        <v>148</v>
      </c>
      <c r="G13" s="120"/>
      <c r="H13" s="120"/>
      <c r="I13" s="120"/>
      <c r="J13" s="120"/>
      <c r="K13" s="120"/>
      <c r="L13" s="120"/>
      <c r="M13" s="120"/>
      <c r="N13" s="120"/>
      <c r="O13" s="120"/>
      <c r="P13" s="120"/>
      <c r="Q13" s="120"/>
      <c r="R13" s="120"/>
      <c r="S13" s="120"/>
      <c r="T13" s="120"/>
      <c r="U13" s="120"/>
      <c r="V13" s="120"/>
      <c r="W13" s="120"/>
      <c r="X13" s="120"/>
    </row>
  </sheetData>
  <sheetProtection insertRows="0" deleteRows="0" sort="0" autoFilter="0"/>
  <mergeCells count="1">
    <mergeCell ref="B4:B6"/>
  </mergeCells>
  <phoneticPr fontId="12"/>
  <dataValidations count="2">
    <dataValidation type="whole" allowBlank="1" showInputMessage="1" showErrorMessage="1" sqref="I7" xr:uid="{CAB9529C-AA13-4BD5-ACC2-0CEA1B81E543}">
      <formula1>0</formula1>
      <formula2>9999999</formula2>
    </dataValidation>
    <dataValidation type="list" allowBlank="1" showInputMessage="1" showErrorMessage="1" sqref="G8:G17" xr:uid="{CA8DD013-CE9A-49EE-BCDF-9E0C9BD106E6}">
      <formula1>#REF!</formula1>
    </dataValidation>
  </dataValidations>
  <hyperlinks>
    <hyperlink ref="F10" r:id="rId1" xr:uid="{7ACCA5C9-BB9A-4EE6-A25F-20D5C6EFE0B8}"/>
    <hyperlink ref="A3" location="パラメータ設定一覧!A1" display="パラメータ設定一覧へ" xr:uid="{CE3229AF-1DB1-4B58-8049-5FEAADCE3FC0}"/>
  </hyperlinks>
  <pageMargins left="0.70866141732283472" right="0.70866141732283472" top="0.74803149606299213" bottom="0.74803149606299213" header="0.31496062992125984" footer="0.31496062992125984"/>
  <pageSetup paperSize="9" scale="25" orientation="portrait" r:id="rId2"/>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ED77-FF10-4622-8EB0-575C7CA9C3C5}">
  <sheetPr codeName="Sheet178">
    <pageSetUpPr fitToPage="1"/>
  </sheetPr>
  <dimension ref="A1:L17"/>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2.36328125" style="72" bestFit="1" customWidth="1"/>
    <col min="4" max="4" width="7" style="72" bestFit="1" customWidth="1"/>
    <col min="5" max="5" width="14" style="72" customWidth="1"/>
    <col min="6" max="6" width="24.1796875" style="72" bestFit="1" customWidth="1"/>
    <col min="7" max="7" width="40.36328125" style="72" customWidth="1"/>
    <col min="8" max="8" width="23.1796875" style="72" customWidth="1"/>
    <col min="9" max="9" width="8.6328125" style="72" bestFit="1" customWidth="1"/>
    <col min="10" max="10" width="9.81640625" style="72" customWidth="1"/>
    <col min="11" max="11" width="18.1796875" style="72" customWidth="1"/>
    <col min="12" max="12" width="13.1796875" style="72" customWidth="1"/>
    <col min="13" max="16384" width="8.81640625" style="72"/>
  </cols>
  <sheetData>
    <row r="1" spans="1:12" customFormat="1" ht="18.600000000000001">
      <c r="A1" s="7" t="s">
        <v>149</v>
      </c>
    </row>
    <row r="2" spans="1:12" customFormat="1" ht="15">
      <c r="B2" t="s">
        <v>150</v>
      </c>
    </row>
    <row r="3" spans="1:12" customFormat="1" ht="15">
      <c r="B3" t="s">
        <v>151</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28</v>
      </c>
      <c r="F6" s="15" t="s">
        <v>152</v>
      </c>
      <c r="G6" s="15"/>
      <c r="H6" s="15" t="s">
        <v>153</v>
      </c>
      <c r="I6" s="15" t="s">
        <v>59</v>
      </c>
      <c r="J6" s="15"/>
      <c r="K6" s="1" t="s">
        <v>154</v>
      </c>
      <c r="L6" s="2"/>
    </row>
    <row r="7" spans="1:12" ht="28.8">
      <c r="B7" s="13">
        <f t="shared" ref="B7:B17" si="0">ROW() - 5</f>
        <v>2</v>
      </c>
      <c r="C7" s="18"/>
      <c r="D7" s="18"/>
      <c r="E7" s="18"/>
      <c r="F7" s="15" t="s">
        <v>61</v>
      </c>
      <c r="G7" s="15"/>
      <c r="H7" s="15" t="s">
        <v>153</v>
      </c>
      <c r="I7" s="15" t="s">
        <v>59</v>
      </c>
      <c r="J7" s="15"/>
      <c r="K7" s="1" t="s">
        <v>154</v>
      </c>
      <c r="L7" s="2"/>
    </row>
    <row r="8" spans="1:12" ht="57.6">
      <c r="B8" s="13">
        <f t="shared" si="0"/>
        <v>3</v>
      </c>
      <c r="C8" s="14" t="s">
        <v>63</v>
      </c>
      <c r="D8" s="14"/>
      <c r="E8" s="14"/>
      <c r="F8" s="15" t="s">
        <v>86</v>
      </c>
      <c r="G8" s="15" t="s">
        <v>155</v>
      </c>
      <c r="H8" s="15" t="s">
        <v>156</v>
      </c>
      <c r="I8" s="15" t="s">
        <v>59</v>
      </c>
      <c r="J8" s="15"/>
      <c r="K8" s="1" t="s">
        <v>154</v>
      </c>
      <c r="L8" s="2"/>
    </row>
    <row r="9" spans="1:12" ht="57.6">
      <c r="B9" s="13">
        <f t="shared" si="0"/>
        <v>4</v>
      </c>
      <c r="C9" s="17"/>
      <c r="D9" s="17"/>
      <c r="E9" s="17"/>
      <c r="F9" s="15" t="s">
        <v>157</v>
      </c>
      <c r="G9" s="15" t="s">
        <v>158</v>
      </c>
      <c r="H9" s="15" t="s">
        <v>159</v>
      </c>
      <c r="I9" s="15" t="s">
        <v>59</v>
      </c>
      <c r="J9" s="15"/>
      <c r="K9" s="1" t="s">
        <v>154</v>
      </c>
      <c r="L9" s="2"/>
    </row>
    <row r="10" spans="1:12" ht="43.2">
      <c r="B10" s="13">
        <f t="shared" si="0"/>
        <v>5</v>
      </c>
      <c r="C10" s="17"/>
      <c r="D10" s="17"/>
      <c r="E10" s="17"/>
      <c r="F10" s="15" t="s">
        <v>160</v>
      </c>
      <c r="G10" s="15"/>
      <c r="H10" s="15" t="s">
        <v>161</v>
      </c>
      <c r="I10" s="15" t="s">
        <v>162</v>
      </c>
      <c r="J10" s="15"/>
      <c r="K10" s="1" t="s">
        <v>154</v>
      </c>
      <c r="L10" s="2"/>
    </row>
    <row r="11" spans="1:12" ht="28.8">
      <c r="B11" s="13">
        <f t="shared" si="0"/>
        <v>6</v>
      </c>
      <c r="C11" s="17"/>
      <c r="D11" s="17"/>
      <c r="E11" s="17"/>
      <c r="F11" s="15" t="s">
        <v>163</v>
      </c>
      <c r="G11" s="15"/>
      <c r="H11" s="15" t="s">
        <v>105</v>
      </c>
      <c r="I11" s="21">
        <v>0</v>
      </c>
      <c r="J11" s="15"/>
      <c r="K11" s="1" t="s">
        <v>154</v>
      </c>
      <c r="L11" s="2"/>
    </row>
    <row r="12" spans="1:12" ht="28.8">
      <c r="B12" s="13">
        <f t="shared" si="0"/>
        <v>7</v>
      </c>
      <c r="C12" s="17"/>
      <c r="D12" s="17"/>
      <c r="E12" s="17"/>
      <c r="F12" s="15" t="s">
        <v>164</v>
      </c>
      <c r="G12" s="15"/>
      <c r="H12" s="15" t="s">
        <v>165</v>
      </c>
      <c r="I12" s="15" t="s">
        <v>166</v>
      </c>
      <c r="J12" s="15"/>
      <c r="K12" s="1" t="s">
        <v>154</v>
      </c>
      <c r="L12" s="2"/>
    </row>
    <row r="13" spans="1:12" ht="28.8">
      <c r="B13" s="13">
        <f t="shared" si="0"/>
        <v>8</v>
      </c>
      <c r="C13" s="17"/>
      <c r="D13" s="17"/>
      <c r="E13" s="17"/>
      <c r="F13" s="15" t="s">
        <v>167</v>
      </c>
      <c r="G13" s="15" t="s">
        <v>168</v>
      </c>
      <c r="H13" s="15" t="s">
        <v>169</v>
      </c>
      <c r="I13" s="15" t="s">
        <v>59</v>
      </c>
      <c r="J13" s="15"/>
      <c r="K13" s="1" t="s">
        <v>154</v>
      </c>
      <c r="L13" s="2"/>
    </row>
    <row r="14" spans="1:12" ht="28.8">
      <c r="B14" s="13">
        <f t="shared" si="0"/>
        <v>9</v>
      </c>
      <c r="C14" s="18"/>
      <c r="D14" s="18"/>
      <c r="E14" s="18"/>
      <c r="F14" s="15" t="s">
        <v>170</v>
      </c>
      <c r="G14" s="15" t="s">
        <v>171</v>
      </c>
      <c r="H14" s="15" t="s">
        <v>165</v>
      </c>
      <c r="I14" s="15" t="s">
        <v>166</v>
      </c>
      <c r="J14" s="15"/>
      <c r="K14" s="1" t="s">
        <v>154</v>
      </c>
      <c r="L14" s="2"/>
    </row>
    <row r="15" spans="1:12" ht="72">
      <c r="B15" s="13">
        <f t="shared" si="0"/>
        <v>10</v>
      </c>
      <c r="C15" s="14" t="s">
        <v>172</v>
      </c>
      <c r="D15" s="14"/>
      <c r="E15" s="14" t="s">
        <v>173</v>
      </c>
      <c r="F15" s="15" t="s">
        <v>174</v>
      </c>
      <c r="G15" s="15" t="s">
        <v>175</v>
      </c>
      <c r="H15" s="15" t="s">
        <v>176</v>
      </c>
      <c r="I15" s="15" t="s">
        <v>59</v>
      </c>
      <c r="J15" s="15"/>
      <c r="K15" s="1" t="s">
        <v>154</v>
      </c>
      <c r="L15" s="2"/>
    </row>
    <row r="16" spans="1:12" ht="57.6">
      <c r="B16" s="13">
        <f t="shared" si="0"/>
        <v>11</v>
      </c>
      <c r="C16" s="17"/>
      <c r="D16" s="17"/>
      <c r="E16" s="17"/>
      <c r="F16" s="15" t="s">
        <v>177</v>
      </c>
      <c r="G16" s="15" t="s">
        <v>178</v>
      </c>
      <c r="H16" s="15" t="s">
        <v>176</v>
      </c>
      <c r="I16" s="15" t="s">
        <v>59</v>
      </c>
      <c r="J16" s="15"/>
      <c r="K16" s="1" t="s">
        <v>154</v>
      </c>
      <c r="L16" s="2"/>
    </row>
    <row r="17" spans="2:12" ht="28.8">
      <c r="B17" s="13">
        <f t="shared" si="0"/>
        <v>12</v>
      </c>
      <c r="C17" s="18"/>
      <c r="D17" s="18"/>
      <c r="E17" s="18"/>
      <c r="F17" s="15" t="s">
        <v>179</v>
      </c>
      <c r="G17" s="15" t="s">
        <v>180</v>
      </c>
      <c r="H17" s="15" t="s">
        <v>181</v>
      </c>
      <c r="I17" s="15" t="s">
        <v>59</v>
      </c>
      <c r="J17" s="15"/>
      <c r="K17" s="1" t="s">
        <v>154</v>
      </c>
      <c r="L17" s="2"/>
    </row>
  </sheetData>
  <phoneticPr fontId="12"/>
  <hyperlinks>
    <hyperlink ref="A4" location="パラメータ設定一覧!A1" display="パラメータ設定一覧へ" xr:uid="{6785D04A-BEA4-4EE5-99C0-A75D42089503}"/>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F075-9C2F-4389-832A-11AA1B79B9B3}">
  <sheetPr codeName="Sheet179">
    <pageSetUpPr fitToPage="1"/>
  </sheetPr>
  <dimension ref="A1:N11"/>
  <sheetViews>
    <sheetView showGridLines="0" zoomScaleNormal="100" zoomScaleSheetLayoutView="70" workbookViewId="0">
      <pane xSplit="4" ySplit="6" topLeftCell="E7" activePane="bottomRight" state="frozen"/>
      <selection pane="topRight"/>
      <selection pane="bottomLeft"/>
      <selection pane="bottomRight" activeCell="E7" sqref="E7"/>
    </sheetView>
  </sheetViews>
  <sheetFormatPr defaultColWidth="8.81640625" defaultRowHeight="14.4"/>
  <cols>
    <col min="1" max="1" width="2.81640625" style="72" customWidth="1"/>
    <col min="2" max="2" width="3.54296875" style="72" bestFit="1" customWidth="1"/>
    <col min="3" max="3" width="12" style="72" customWidth="1"/>
    <col min="4" max="4" width="19.81640625" style="72" customWidth="1"/>
    <col min="5" max="5" width="15.1796875" style="72" customWidth="1"/>
    <col min="6" max="6" width="17.453125" style="72" customWidth="1"/>
    <col min="7" max="7" width="11.1796875" style="72" customWidth="1"/>
    <col min="8" max="8" width="11.6328125" style="72" bestFit="1" customWidth="1"/>
    <col min="9" max="10" width="23.1796875" style="72" customWidth="1"/>
    <col min="11" max="11" width="23.453125" style="72" customWidth="1"/>
    <col min="12" max="13" width="10.1796875" style="72" bestFit="1" customWidth="1"/>
    <col min="14" max="14" width="21" style="72" bestFit="1" customWidth="1"/>
    <col min="15" max="16384" width="8.81640625" style="72"/>
  </cols>
  <sheetData>
    <row r="1" spans="1:14" customFormat="1" ht="18.600000000000001">
      <c r="A1" s="7" t="s">
        <v>182</v>
      </c>
    </row>
    <row r="2" spans="1:14" customFormat="1" ht="15"/>
    <row r="3" spans="1:14" customFormat="1" ht="15">
      <c r="A3" s="8" t="s">
        <v>43</v>
      </c>
    </row>
    <row r="4" spans="1:14" ht="15.75" customHeight="1">
      <c r="B4" s="193" t="s">
        <v>44</v>
      </c>
      <c r="C4" s="83" t="s">
        <v>137</v>
      </c>
      <c r="D4" s="84"/>
      <c r="E4" s="83" t="s">
        <v>138</v>
      </c>
      <c r="F4" s="84"/>
      <c r="G4" s="84"/>
      <c r="H4" s="84"/>
      <c r="I4" s="84"/>
      <c r="J4" s="84"/>
      <c r="K4" s="84"/>
      <c r="L4" s="25" t="s">
        <v>172</v>
      </c>
      <c r="M4" s="26"/>
      <c r="N4" s="27"/>
    </row>
    <row r="5" spans="1:14">
      <c r="B5" s="155"/>
      <c r="C5" s="85" t="s">
        <v>152</v>
      </c>
      <c r="D5" s="85" t="s">
        <v>61</v>
      </c>
      <c r="E5" s="85" t="s">
        <v>86</v>
      </c>
      <c r="F5" s="85" t="s">
        <v>157</v>
      </c>
      <c r="G5" s="85" t="s">
        <v>160</v>
      </c>
      <c r="H5" s="85" t="s">
        <v>163</v>
      </c>
      <c r="I5" s="85" t="s">
        <v>164</v>
      </c>
      <c r="J5" s="85" t="s">
        <v>183</v>
      </c>
      <c r="K5" s="85" t="s">
        <v>170</v>
      </c>
      <c r="L5" s="85" t="s">
        <v>174</v>
      </c>
      <c r="M5" s="85" t="s">
        <v>177</v>
      </c>
      <c r="N5" s="85" t="s">
        <v>184</v>
      </c>
    </row>
    <row r="6" spans="1:14" ht="43.2">
      <c r="B6" s="155"/>
      <c r="C6" s="6" t="s">
        <v>58</v>
      </c>
      <c r="D6" s="6" t="s">
        <v>58</v>
      </c>
      <c r="E6" s="6" t="s">
        <v>156</v>
      </c>
      <c r="F6" s="6" t="s">
        <v>159</v>
      </c>
      <c r="G6" s="6"/>
      <c r="H6" s="6" t="s">
        <v>105</v>
      </c>
      <c r="I6" s="6" t="s">
        <v>165</v>
      </c>
      <c r="J6" s="6" t="s">
        <v>169</v>
      </c>
      <c r="K6" s="6" t="s">
        <v>165</v>
      </c>
      <c r="L6" s="6" t="s">
        <v>176</v>
      </c>
      <c r="M6" s="6" t="s">
        <v>176</v>
      </c>
      <c r="N6" s="6" t="s">
        <v>185</v>
      </c>
    </row>
    <row r="7" spans="1:14">
      <c r="B7" s="109">
        <f>ROW() - 6</f>
        <v>1</v>
      </c>
      <c r="C7" s="88" t="s">
        <v>186</v>
      </c>
      <c r="D7" s="88" t="s">
        <v>187</v>
      </c>
      <c r="E7" s="110" t="s">
        <v>188</v>
      </c>
      <c r="F7" s="88" t="s">
        <v>144</v>
      </c>
      <c r="G7" s="111" t="s">
        <v>189</v>
      </c>
      <c r="H7" s="112">
        <v>1</v>
      </c>
      <c r="I7" s="111" t="s">
        <v>166</v>
      </c>
      <c r="J7" s="111" t="s">
        <v>144</v>
      </c>
      <c r="K7" s="111" t="s">
        <v>166</v>
      </c>
      <c r="L7" s="87">
        <v>44927</v>
      </c>
      <c r="M7" s="87">
        <v>45291</v>
      </c>
      <c r="N7" s="86" t="s">
        <v>144</v>
      </c>
    </row>
    <row r="8" spans="1:14">
      <c r="B8" s="113"/>
      <c r="C8" s="89"/>
      <c r="D8" s="89"/>
      <c r="E8" s="89"/>
      <c r="F8" s="89"/>
      <c r="G8" s="114"/>
      <c r="H8" s="114"/>
      <c r="I8" s="114"/>
      <c r="J8" s="114"/>
      <c r="K8" s="114"/>
      <c r="L8" s="87">
        <v>45292</v>
      </c>
      <c r="M8" s="87">
        <v>45657</v>
      </c>
      <c r="N8" s="86" t="s">
        <v>144</v>
      </c>
    </row>
    <row r="9" spans="1:14">
      <c r="B9" s="113"/>
      <c r="C9" s="89"/>
      <c r="D9" s="89"/>
      <c r="E9" s="89"/>
      <c r="F9" s="89"/>
      <c r="G9" s="114"/>
      <c r="H9" s="114"/>
      <c r="I9" s="114"/>
      <c r="J9" s="114"/>
      <c r="K9" s="114"/>
      <c r="L9" s="87">
        <v>45658</v>
      </c>
      <c r="M9" s="87">
        <v>46022</v>
      </c>
      <c r="N9" s="86" t="s">
        <v>144</v>
      </c>
    </row>
    <row r="10" spans="1:14">
      <c r="B10" s="113"/>
      <c r="C10" s="89"/>
      <c r="D10" s="89"/>
      <c r="E10" s="89"/>
      <c r="F10" s="89"/>
      <c r="G10" s="114"/>
      <c r="H10" s="114"/>
      <c r="I10" s="114"/>
      <c r="J10" s="114"/>
      <c r="K10" s="114"/>
      <c r="L10" s="87">
        <v>46023</v>
      </c>
      <c r="M10" s="87">
        <v>46387</v>
      </c>
      <c r="N10" s="86" t="s">
        <v>144</v>
      </c>
    </row>
    <row r="11" spans="1:14">
      <c r="B11" s="115"/>
      <c r="C11" s="90"/>
      <c r="D11" s="90"/>
      <c r="E11" s="90"/>
      <c r="F11" s="90"/>
      <c r="G11" s="116"/>
      <c r="H11" s="116"/>
      <c r="I11" s="116"/>
      <c r="J11" s="116"/>
      <c r="K11" s="116"/>
      <c r="L11" s="87">
        <v>46388</v>
      </c>
      <c r="M11" s="87">
        <v>46752</v>
      </c>
      <c r="N11" s="86" t="s">
        <v>144</v>
      </c>
    </row>
  </sheetData>
  <sheetProtection insertRows="0" deleteRows="0" sort="0" autoFilter="0"/>
  <mergeCells count="1">
    <mergeCell ref="B4:B6"/>
  </mergeCells>
  <phoneticPr fontId="12"/>
  <dataValidations count="2">
    <dataValidation type="whole" allowBlank="1" showInputMessage="1" showErrorMessage="1" sqref="H7:H11" xr:uid="{A33161C3-F693-442A-8080-1294781D8E14}">
      <formula1>0</formula1>
      <formula2>9999</formula2>
    </dataValidation>
    <dataValidation type="list" allowBlank="1" showInputMessage="1" showErrorMessage="1" sqref="G12:G19" xr:uid="{BC8A31FF-3457-4CC9-93A9-F623ABA57BC4}">
      <formula1>#REF!</formula1>
    </dataValidation>
  </dataValidations>
  <hyperlinks>
    <hyperlink ref="A3" location="パラメータ設定一覧!A1" display="パラメータ設定一覧へ" xr:uid="{D0F681C0-599C-419B-85C0-24DB9ED7F0C0}"/>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D64D-D5DC-4BA4-BDA7-ADFD33742541}">
  <sheetPr>
    <pageSetUpPr fitToPage="1"/>
  </sheetPr>
  <dimension ref="A1:F16"/>
  <sheetViews>
    <sheetView showGridLines="0" zoomScaleNormal="100" zoomScaleSheetLayoutView="70" workbookViewId="0">
      <pane xSplit="3" ySplit="6" topLeftCell="D7" activePane="bottomRight" state="frozen"/>
      <selection pane="topRight"/>
      <selection pane="bottomLeft"/>
      <selection pane="bottomRight" activeCell="F7" sqref="F7"/>
    </sheetView>
  </sheetViews>
  <sheetFormatPr defaultColWidth="8.81640625" defaultRowHeight="14.4"/>
  <cols>
    <col min="1" max="1" width="2.81640625" style="72" customWidth="1"/>
    <col min="2" max="2" width="3.54296875" style="72" bestFit="1" customWidth="1"/>
    <col min="3" max="3" width="12" style="72" customWidth="1"/>
    <col min="4" max="5" width="10.1796875" style="72" bestFit="1" customWidth="1"/>
    <col min="6" max="6" width="21" style="72" bestFit="1" customWidth="1"/>
    <col min="7" max="16384" width="8.81640625" style="72"/>
  </cols>
  <sheetData>
    <row r="1" spans="1:6" customFormat="1" ht="18.600000000000001">
      <c r="A1" s="7" t="s">
        <v>190</v>
      </c>
    </row>
    <row r="2" spans="1:6" customFormat="1" ht="15"/>
    <row r="3" spans="1:6" customFormat="1" ht="15">
      <c r="A3" s="8" t="s">
        <v>43</v>
      </c>
    </row>
    <row r="4" spans="1:6" ht="15.75" customHeight="1">
      <c r="B4" s="155" t="s">
        <v>44</v>
      </c>
      <c r="C4" s="83" t="s">
        <v>137</v>
      </c>
      <c r="D4" s="25" t="s">
        <v>172</v>
      </c>
      <c r="E4" s="26"/>
      <c r="F4" s="27"/>
    </row>
    <row r="5" spans="1:6">
      <c r="B5" s="155"/>
      <c r="C5" s="5" t="s">
        <v>152</v>
      </c>
      <c r="D5" s="85" t="s">
        <v>174</v>
      </c>
      <c r="E5" s="85" t="s">
        <v>177</v>
      </c>
      <c r="F5" s="85" t="s">
        <v>184</v>
      </c>
    </row>
    <row r="6" spans="1:6">
      <c r="B6" s="155"/>
      <c r="C6" s="6" t="s">
        <v>58</v>
      </c>
      <c r="D6" s="6" t="s">
        <v>176</v>
      </c>
      <c r="E6" s="6" t="s">
        <v>176</v>
      </c>
      <c r="F6" s="6" t="s">
        <v>185</v>
      </c>
    </row>
    <row r="7" spans="1:6">
      <c r="B7" s="76">
        <f>ROW() - 6</f>
        <v>1</v>
      </c>
      <c r="C7" s="88"/>
      <c r="D7" s="87"/>
      <c r="E7" s="87"/>
      <c r="F7" s="86"/>
    </row>
    <row r="8" spans="1:6">
      <c r="B8" s="76">
        <f t="shared" ref="B8:B16" si="0">ROW() - 6</f>
        <v>2</v>
      </c>
      <c r="C8" s="89"/>
      <c r="D8" s="87"/>
      <c r="E8" s="87"/>
      <c r="F8" s="86"/>
    </row>
    <row r="9" spans="1:6">
      <c r="B9" s="76">
        <f t="shared" si="0"/>
        <v>3</v>
      </c>
      <c r="C9" s="89"/>
      <c r="D9" s="87"/>
      <c r="E9" s="87"/>
      <c r="F9" s="86"/>
    </row>
    <row r="10" spans="1:6">
      <c r="B10" s="76">
        <f t="shared" si="0"/>
        <v>4</v>
      </c>
      <c r="C10" s="89"/>
      <c r="D10" s="87"/>
      <c r="E10" s="87"/>
      <c r="F10" s="86"/>
    </row>
    <row r="11" spans="1:6">
      <c r="B11" s="76">
        <f t="shared" si="0"/>
        <v>5</v>
      </c>
      <c r="C11" s="89"/>
      <c r="D11" s="87"/>
      <c r="E11" s="87"/>
      <c r="F11" s="86"/>
    </row>
    <row r="12" spans="1:6">
      <c r="B12" s="76">
        <f t="shared" si="0"/>
        <v>6</v>
      </c>
      <c r="C12" s="89"/>
      <c r="D12" s="87"/>
      <c r="E12" s="87"/>
      <c r="F12" s="86"/>
    </row>
    <row r="13" spans="1:6">
      <c r="B13" s="76">
        <f t="shared" si="0"/>
        <v>7</v>
      </c>
      <c r="C13" s="89"/>
      <c r="D13" s="87"/>
      <c r="E13" s="87"/>
      <c r="F13" s="86"/>
    </row>
    <row r="14" spans="1:6">
      <c r="B14" s="76">
        <f t="shared" si="0"/>
        <v>8</v>
      </c>
      <c r="C14" s="89"/>
      <c r="D14" s="87"/>
      <c r="E14" s="87"/>
      <c r="F14" s="86"/>
    </row>
    <row r="15" spans="1:6">
      <c r="B15" s="76">
        <f t="shared" si="0"/>
        <v>9</v>
      </c>
      <c r="C15" s="89"/>
      <c r="D15" s="87"/>
      <c r="E15" s="87"/>
      <c r="F15" s="86"/>
    </row>
    <row r="16" spans="1:6">
      <c r="B16" s="76">
        <f t="shared" si="0"/>
        <v>10</v>
      </c>
      <c r="C16" s="90"/>
      <c r="D16" s="87"/>
      <c r="E16" s="87"/>
      <c r="F16" s="86"/>
    </row>
  </sheetData>
  <sheetProtection insertRows="0" deleteRows="0" sort="0" autoFilter="0"/>
  <mergeCells count="1">
    <mergeCell ref="B4:B6"/>
  </mergeCells>
  <phoneticPr fontId="12"/>
  <hyperlinks>
    <hyperlink ref="A3" location="パラメータ設定一覧!A1" display="パラメータ設定一覧へ" xr:uid="{F013C40F-B814-4997-8EA5-02999CE488FD}"/>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0855-E76D-426F-A2D8-6042570823CC}">
  <sheetPr codeName="Sheet180">
    <pageSetUpPr fitToPage="1"/>
  </sheetPr>
  <dimension ref="A1:L59"/>
  <sheetViews>
    <sheetView showGridLines="0" zoomScale="90" zoomScaleNormal="100" zoomScaleSheetLayoutView="70" workbookViewId="0">
      <pane xSplit="6" ySplit="5" topLeftCell="I25" activePane="bottomRight" state="frozen"/>
      <selection pane="topRight"/>
      <selection pane="bottomLeft"/>
      <selection pane="bottomRight"/>
    </sheetView>
  </sheetViews>
  <sheetFormatPr defaultColWidth="8.81640625" defaultRowHeight="14.4"/>
  <cols>
    <col min="1" max="1" width="2.81640625" style="72" customWidth="1"/>
    <col min="2" max="2" width="3.36328125" style="72" bestFit="1" customWidth="1"/>
    <col min="3" max="3" width="15.6328125" style="72" bestFit="1" customWidth="1"/>
    <col min="4" max="4" width="7" style="72" bestFit="1" customWidth="1"/>
    <col min="5" max="5" width="13" style="72" bestFit="1" customWidth="1"/>
    <col min="6" max="6" width="24.1796875" style="72" bestFit="1" customWidth="1"/>
    <col min="7" max="7" width="37.36328125" style="72" customWidth="1"/>
    <col min="8" max="8" width="32.54296875" style="72" customWidth="1"/>
    <col min="9" max="9" width="16.54296875" style="72" bestFit="1" customWidth="1"/>
    <col min="10" max="10" width="29.6328125" style="72" customWidth="1"/>
    <col min="11" max="11" width="18.1796875" style="72" customWidth="1"/>
    <col min="12" max="12" width="13.1796875" style="72" customWidth="1"/>
    <col min="13" max="16384" width="8.81640625" style="72"/>
  </cols>
  <sheetData>
    <row r="1" spans="1:12" customFormat="1" ht="18.600000000000001">
      <c r="A1" s="7" t="s">
        <v>191</v>
      </c>
    </row>
    <row r="2" spans="1:12" customFormat="1" ht="15">
      <c r="B2" t="s">
        <v>192</v>
      </c>
    </row>
    <row r="3" spans="1:12" customFormat="1" ht="15">
      <c r="B3" t="s">
        <v>193</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86.4">
      <c r="B6" s="13">
        <f>ROW() - 5</f>
        <v>1</v>
      </c>
      <c r="C6" s="14" t="s">
        <v>55</v>
      </c>
      <c r="D6" s="14"/>
      <c r="E6" s="14" t="s">
        <v>31</v>
      </c>
      <c r="F6" s="15" t="s">
        <v>31</v>
      </c>
      <c r="G6" s="15"/>
      <c r="H6" s="15" t="s">
        <v>58</v>
      </c>
      <c r="I6" s="15" t="s">
        <v>59</v>
      </c>
      <c r="J6" s="15" t="s">
        <v>194</v>
      </c>
      <c r="K6" s="1" t="s">
        <v>195</v>
      </c>
      <c r="L6" s="2"/>
    </row>
    <row r="7" spans="1:12" ht="28.8">
      <c r="B7" s="13">
        <f t="shared" ref="B7:B59" si="0">ROW() - 5</f>
        <v>2</v>
      </c>
      <c r="C7" s="17"/>
      <c r="D7" s="17"/>
      <c r="E7" s="17"/>
      <c r="F7" s="15" t="s">
        <v>88</v>
      </c>
      <c r="G7" s="15"/>
      <c r="H7" s="15" t="s">
        <v>58</v>
      </c>
      <c r="I7" s="15" t="s">
        <v>59</v>
      </c>
      <c r="J7" s="15"/>
      <c r="K7" s="1" t="s">
        <v>195</v>
      </c>
      <c r="L7" s="2"/>
    </row>
    <row r="8" spans="1:12" ht="28.8">
      <c r="B8" s="13">
        <f t="shared" si="0"/>
        <v>3</v>
      </c>
      <c r="C8" s="17"/>
      <c r="D8" s="17"/>
      <c r="E8" s="17"/>
      <c r="F8" s="15" t="s">
        <v>196</v>
      </c>
      <c r="G8" s="15"/>
      <c r="H8" s="15" t="s">
        <v>197</v>
      </c>
      <c r="I8" s="15" t="s">
        <v>59</v>
      </c>
      <c r="J8" s="15" t="s">
        <v>198</v>
      </c>
      <c r="K8" s="1" t="s">
        <v>199</v>
      </c>
      <c r="L8" s="2"/>
    </row>
    <row r="9" spans="1:12" ht="43.2">
      <c r="B9" s="13">
        <f t="shared" si="0"/>
        <v>4</v>
      </c>
      <c r="C9" s="17"/>
      <c r="D9" s="17"/>
      <c r="E9" s="18"/>
      <c r="F9" s="15" t="s">
        <v>200</v>
      </c>
      <c r="G9" s="15"/>
      <c r="H9" s="15" t="s">
        <v>201</v>
      </c>
      <c r="I9" s="15" t="s">
        <v>102</v>
      </c>
      <c r="J9" s="15"/>
      <c r="K9" s="1" t="s">
        <v>199</v>
      </c>
      <c r="L9" s="2"/>
    </row>
    <row r="10" spans="1:12" ht="28.8">
      <c r="B10" s="13">
        <f t="shared" si="0"/>
        <v>5</v>
      </c>
      <c r="C10" s="14" t="s">
        <v>202</v>
      </c>
      <c r="D10" s="14"/>
      <c r="E10" s="91" t="s">
        <v>203</v>
      </c>
      <c r="F10" s="15" t="s">
        <v>31</v>
      </c>
      <c r="G10" s="15"/>
      <c r="H10" s="91" t="s">
        <v>204</v>
      </c>
      <c r="I10" s="15" t="s">
        <v>59</v>
      </c>
      <c r="J10" s="15"/>
      <c r="K10" s="1" t="s">
        <v>199</v>
      </c>
      <c r="L10" s="2"/>
    </row>
    <row r="11" spans="1:12" ht="28.8">
      <c r="B11" s="13">
        <f t="shared" si="0"/>
        <v>6</v>
      </c>
      <c r="C11" s="17"/>
      <c r="D11" s="17"/>
      <c r="E11" s="17"/>
      <c r="F11" s="15" t="s">
        <v>174</v>
      </c>
      <c r="G11" s="15"/>
      <c r="H11" s="15" t="s">
        <v>176</v>
      </c>
      <c r="I11" s="15" t="s">
        <v>59</v>
      </c>
      <c r="J11" s="15"/>
      <c r="K11" s="1" t="s">
        <v>199</v>
      </c>
      <c r="L11" s="2"/>
    </row>
    <row r="12" spans="1:12" ht="28.8">
      <c r="B12" s="13">
        <f t="shared" si="0"/>
        <v>7</v>
      </c>
      <c r="C12" s="17"/>
      <c r="D12" s="17"/>
      <c r="E12" s="17"/>
      <c r="F12" s="15" t="s">
        <v>177</v>
      </c>
      <c r="G12" s="15"/>
      <c r="H12" s="15" t="s">
        <v>176</v>
      </c>
      <c r="I12" s="15" t="s">
        <v>59</v>
      </c>
      <c r="J12" s="15"/>
      <c r="K12" s="1" t="s">
        <v>205</v>
      </c>
      <c r="L12" s="2"/>
    </row>
    <row r="13" spans="1:12" ht="100.8">
      <c r="B13" s="13">
        <f t="shared" si="0"/>
        <v>8</v>
      </c>
      <c r="C13" s="17"/>
      <c r="D13" s="17"/>
      <c r="E13" s="17"/>
      <c r="F13" s="15" t="s">
        <v>206</v>
      </c>
      <c r="G13" s="15" t="s">
        <v>207</v>
      </c>
      <c r="H13" s="15" t="s">
        <v>105</v>
      </c>
      <c r="I13" s="41">
        <v>0</v>
      </c>
      <c r="J13" s="15"/>
      <c r="K13" s="1" t="s">
        <v>199</v>
      </c>
      <c r="L13" s="2"/>
    </row>
    <row r="14" spans="1:12" ht="28.8">
      <c r="B14" s="13">
        <f t="shared" si="0"/>
        <v>9</v>
      </c>
      <c r="C14" s="17"/>
      <c r="D14" s="17"/>
      <c r="E14" s="17"/>
      <c r="F14" s="15" t="s">
        <v>208</v>
      </c>
      <c r="G14" s="15" t="s">
        <v>209</v>
      </c>
      <c r="H14" s="15" t="s">
        <v>105</v>
      </c>
      <c r="I14" s="41">
        <v>0</v>
      </c>
      <c r="J14" s="15"/>
      <c r="K14" s="1" t="s">
        <v>205</v>
      </c>
      <c r="L14" s="2"/>
    </row>
    <row r="15" spans="1:12" ht="72">
      <c r="B15" s="13">
        <f t="shared" si="0"/>
        <v>10</v>
      </c>
      <c r="C15" s="17"/>
      <c r="D15" s="17"/>
      <c r="E15" s="17"/>
      <c r="F15" s="15" t="s">
        <v>210</v>
      </c>
      <c r="G15" s="15" t="s">
        <v>211</v>
      </c>
      <c r="H15" s="15" t="s">
        <v>105</v>
      </c>
      <c r="I15" s="41">
        <v>0</v>
      </c>
      <c r="J15" s="15"/>
      <c r="K15" s="1" t="s">
        <v>199</v>
      </c>
      <c r="L15" s="2"/>
    </row>
    <row r="16" spans="1:12" ht="28.8">
      <c r="B16" s="13">
        <f t="shared" si="0"/>
        <v>11</v>
      </c>
      <c r="C16" s="18"/>
      <c r="D16" s="17"/>
      <c r="E16" s="17"/>
      <c r="F16" s="15" t="s">
        <v>212</v>
      </c>
      <c r="G16" s="15"/>
      <c r="H16" s="15" t="s">
        <v>105</v>
      </c>
      <c r="I16" s="41">
        <v>0</v>
      </c>
      <c r="J16" s="15"/>
      <c r="K16" s="1" t="s">
        <v>205</v>
      </c>
      <c r="L16" s="2"/>
    </row>
    <row r="17" spans="2:12" ht="28.8">
      <c r="B17" s="13">
        <f t="shared" si="0"/>
        <v>12</v>
      </c>
      <c r="C17" s="14" t="s">
        <v>63</v>
      </c>
      <c r="D17" s="14"/>
      <c r="E17" s="14" t="s">
        <v>213</v>
      </c>
      <c r="F17" s="15" t="s">
        <v>152</v>
      </c>
      <c r="G17" s="15"/>
      <c r="H17" s="15" t="s">
        <v>214</v>
      </c>
      <c r="I17" s="15" t="s">
        <v>59</v>
      </c>
      <c r="J17" s="15"/>
      <c r="K17" s="1" t="s">
        <v>215</v>
      </c>
      <c r="L17" s="2"/>
    </row>
    <row r="18" spans="2:12" ht="28.8">
      <c r="B18" s="13">
        <f t="shared" si="0"/>
        <v>13</v>
      </c>
      <c r="C18" s="17"/>
      <c r="D18" s="17"/>
      <c r="E18" s="17"/>
      <c r="F18" s="15" t="s">
        <v>57</v>
      </c>
      <c r="G18" s="15"/>
      <c r="H18" s="15" t="s">
        <v>214</v>
      </c>
      <c r="I18" s="15" t="s">
        <v>59</v>
      </c>
      <c r="J18" s="15"/>
      <c r="K18" s="1" t="s">
        <v>195</v>
      </c>
      <c r="L18" s="2"/>
    </row>
    <row r="19" spans="2:12" ht="28.8">
      <c r="B19" s="13">
        <f t="shared" si="0"/>
        <v>14</v>
      </c>
      <c r="C19" s="17"/>
      <c r="D19" s="17"/>
      <c r="E19" s="18"/>
      <c r="F19" s="15" t="s">
        <v>216</v>
      </c>
      <c r="G19" s="15"/>
      <c r="H19" s="15" t="s">
        <v>214</v>
      </c>
      <c r="I19" s="15" t="s">
        <v>59</v>
      </c>
      <c r="J19" s="15"/>
      <c r="K19" s="1" t="s">
        <v>215</v>
      </c>
      <c r="L19" s="2"/>
    </row>
    <row r="20" spans="2:12" ht="28.8">
      <c r="B20" s="13">
        <f t="shared" si="0"/>
        <v>15</v>
      </c>
      <c r="C20" s="17"/>
      <c r="D20" s="17"/>
      <c r="E20" s="15" t="s">
        <v>217</v>
      </c>
      <c r="F20" s="15" t="s">
        <v>218</v>
      </c>
      <c r="G20" s="15"/>
      <c r="H20" s="15" t="s">
        <v>214</v>
      </c>
      <c r="I20" s="15" t="s">
        <v>59</v>
      </c>
      <c r="J20" s="15"/>
      <c r="K20" s="1" t="s">
        <v>195</v>
      </c>
      <c r="L20" s="2"/>
    </row>
    <row r="21" spans="2:12" ht="28.8">
      <c r="B21" s="13">
        <f t="shared" si="0"/>
        <v>16</v>
      </c>
      <c r="C21" s="17"/>
      <c r="D21" s="17"/>
      <c r="E21" s="15" t="s">
        <v>219</v>
      </c>
      <c r="F21" s="15" t="s">
        <v>220</v>
      </c>
      <c r="G21" s="15"/>
      <c r="H21" s="15" t="s">
        <v>214</v>
      </c>
      <c r="I21" s="15" t="s">
        <v>59</v>
      </c>
      <c r="J21" s="15"/>
      <c r="K21" s="1" t="s">
        <v>215</v>
      </c>
      <c r="L21" s="2"/>
    </row>
    <row r="22" spans="2:12" ht="28.8">
      <c r="B22" s="13">
        <f t="shared" si="0"/>
        <v>17</v>
      </c>
      <c r="C22" s="17"/>
      <c r="D22" s="17"/>
      <c r="E22" s="14" t="s">
        <v>221</v>
      </c>
      <c r="F22" s="15" t="s">
        <v>222</v>
      </c>
      <c r="G22" s="15"/>
      <c r="H22" s="15" t="s">
        <v>223</v>
      </c>
      <c r="I22" s="15" t="s">
        <v>224</v>
      </c>
      <c r="J22" s="15"/>
      <c r="K22" s="1" t="s">
        <v>195</v>
      </c>
      <c r="L22" s="2"/>
    </row>
    <row r="23" spans="2:12" ht="28.8">
      <c r="B23" s="13">
        <f t="shared" si="0"/>
        <v>18</v>
      </c>
      <c r="C23" s="18"/>
      <c r="D23" s="18"/>
      <c r="E23" s="18"/>
      <c r="F23" s="15" t="s">
        <v>224</v>
      </c>
      <c r="G23" s="15"/>
      <c r="H23" s="15" t="s">
        <v>58</v>
      </c>
      <c r="I23" s="15"/>
      <c r="J23" s="15"/>
      <c r="K23" s="1" t="s">
        <v>215</v>
      </c>
      <c r="L23" s="2"/>
    </row>
    <row r="24" spans="2:12" ht="72">
      <c r="B24" s="13">
        <f t="shared" si="0"/>
        <v>19</v>
      </c>
      <c r="C24" s="14" t="s">
        <v>225</v>
      </c>
      <c r="D24" s="14"/>
      <c r="E24" s="14" t="s">
        <v>226</v>
      </c>
      <c r="F24" s="15" t="s">
        <v>227</v>
      </c>
      <c r="G24" s="15"/>
      <c r="H24" s="15" t="s">
        <v>228</v>
      </c>
      <c r="I24" s="15" t="s">
        <v>229</v>
      </c>
      <c r="J24" s="15"/>
      <c r="K24" s="1" t="s">
        <v>195</v>
      </c>
      <c r="L24" s="2"/>
    </row>
    <row r="25" spans="2:12" ht="65.25" customHeight="1">
      <c r="B25" s="13">
        <f t="shared" si="0"/>
        <v>20</v>
      </c>
      <c r="C25" s="17"/>
      <c r="D25" s="17"/>
      <c r="E25" s="17"/>
      <c r="F25" s="15" t="s">
        <v>230</v>
      </c>
      <c r="G25" s="55" t="s">
        <v>231</v>
      </c>
      <c r="H25" s="15" t="s">
        <v>165</v>
      </c>
      <c r="I25" s="15" t="s">
        <v>166</v>
      </c>
      <c r="J25" s="15"/>
      <c r="K25" s="1" t="s">
        <v>195</v>
      </c>
      <c r="L25" s="2"/>
    </row>
    <row r="26" spans="2:12" ht="86.4">
      <c r="B26" s="13">
        <f t="shared" si="0"/>
        <v>21</v>
      </c>
      <c r="C26" s="17"/>
      <c r="D26" s="17"/>
      <c r="E26" s="17"/>
      <c r="F26" s="15" t="s">
        <v>232</v>
      </c>
      <c r="G26" s="15"/>
      <c r="H26" s="15" t="s">
        <v>233</v>
      </c>
      <c r="I26" s="15" t="s">
        <v>234</v>
      </c>
      <c r="J26" s="15"/>
      <c r="K26" s="127" t="s">
        <v>215</v>
      </c>
      <c r="L26" s="128" t="s">
        <v>235</v>
      </c>
    </row>
    <row r="27" spans="2:12" ht="28.8">
      <c r="B27" s="13">
        <f t="shared" si="0"/>
        <v>22</v>
      </c>
      <c r="C27" s="17"/>
      <c r="D27" s="17"/>
      <c r="E27" s="17"/>
      <c r="F27" s="15" t="s">
        <v>236</v>
      </c>
      <c r="G27" s="15"/>
      <c r="H27" s="15" t="s">
        <v>165</v>
      </c>
      <c r="I27" s="15" t="s">
        <v>166</v>
      </c>
      <c r="J27" s="15"/>
      <c r="K27" s="1" t="s">
        <v>195</v>
      </c>
      <c r="L27" s="2"/>
    </row>
    <row r="28" spans="2:12" ht="28.8">
      <c r="B28" s="13">
        <f t="shared" si="0"/>
        <v>23</v>
      </c>
      <c r="C28" s="17"/>
      <c r="D28" s="17"/>
      <c r="E28" s="17"/>
      <c r="F28" s="15" t="s">
        <v>237</v>
      </c>
      <c r="G28" s="15"/>
      <c r="H28" s="15" t="s">
        <v>238</v>
      </c>
      <c r="I28" s="15" t="s">
        <v>239</v>
      </c>
      <c r="J28" s="15"/>
      <c r="K28" s="1" t="s">
        <v>215</v>
      </c>
      <c r="L28" s="2"/>
    </row>
    <row r="29" spans="2:12" ht="28.8">
      <c r="B29" s="13">
        <f t="shared" si="0"/>
        <v>24</v>
      </c>
      <c r="C29" s="17"/>
      <c r="D29" s="17"/>
      <c r="E29" s="17"/>
      <c r="F29" s="15" t="s">
        <v>240</v>
      </c>
      <c r="G29" s="15"/>
      <c r="H29" s="15" t="s">
        <v>241</v>
      </c>
      <c r="I29" s="15" t="s">
        <v>59</v>
      </c>
      <c r="J29" s="15"/>
      <c r="K29" s="1" t="s">
        <v>195</v>
      </c>
      <c r="L29" s="2"/>
    </row>
    <row r="30" spans="2:12" ht="28.8">
      <c r="B30" s="13">
        <f t="shared" si="0"/>
        <v>25</v>
      </c>
      <c r="C30" s="17"/>
      <c r="D30" s="17"/>
      <c r="E30" s="17"/>
      <c r="F30" s="15" t="s">
        <v>242</v>
      </c>
      <c r="G30" s="15"/>
      <c r="H30" s="15" t="s">
        <v>241</v>
      </c>
      <c r="I30" s="15" t="s">
        <v>59</v>
      </c>
      <c r="J30" s="15"/>
      <c r="K30" s="1" t="s">
        <v>215</v>
      </c>
      <c r="L30" s="2"/>
    </row>
    <row r="31" spans="2:12" ht="64.5" customHeight="1">
      <c r="B31" s="13">
        <f t="shared" si="0"/>
        <v>26</v>
      </c>
      <c r="C31" s="17"/>
      <c r="D31" s="17"/>
      <c r="E31" s="17"/>
      <c r="F31" s="15" t="s">
        <v>243</v>
      </c>
      <c r="G31" s="55" t="s">
        <v>244</v>
      </c>
      <c r="H31" s="15" t="s">
        <v>165</v>
      </c>
      <c r="I31" s="15" t="s">
        <v>166</v>
      </c>
      <c r="J31" s="15"/>
      <c r="K31" s="1" t="s">
        <v>215</v>
      </c>
      <c r="L31" s="2"/>
    </row>
    <row r="32" spans="2:12" ht="86.4">
      <c r="B32" s="13">
        <f t="shared" si="0"/>
        <v>27</v>
      </c>
      <c r="C32" s="17"/>
      <c r="D32" s="17"/>
      <c r="E32" s="14" t="s">
        <v>245</v>
      </c>
      <c r="F32" s="15" t="s">
        <v>246</v>
      </c>
      <c r="G32" s="15"/>
      <c r="H32" s="15" t="s">
        <v>105</v>
      </c>
      <c r="I32" s="28">
        <v>0</v>
      </c>
      <c r="J32" s="15"/>
      <c r="K32" s="127" t="s">
        <v>195</v>
      </c>
      <c r="L32" s="129" t="s">
        <v>247</v>
      </c>
    </row>
    <row r="33" spans="2:12" ht="43.2">
      <c r="B33" s="13">
        <f t="shared" si="0"/>
        <v>28</v>
      </c>
      <c r="C33" s="17"/>
      <c r="D33" s="17"/>
      <c r="E33" s="18"/>
      <c r="F33" s="15" t="s">
        <v>248</v>
      </c>
      <c r="G33" s="15"/>
      <c r="H33" s="15" t="s">
        <v>249</v>
      </c>
      <c r="I33" s="15" t="s">
        <v>102</v>
      </c>
      <c r="J33" s="15"/>
      <c r="K33" s="1" t="s">
        <v>215</v>
      </c>
      <c r="L33" s="2"/>
    </row>
    <row r="34" spans="2:12" ht="28.8">
      <c r="B34" s="13">
        <f t="shared" si="0"/>
        <v>29</v>
      </c>
      <c r="C34" s="17"/>
      <c r="D34" s="17"/>
      <c r="E34" s="14" t="s">
        <v>219</v>
      </c>
      <c r="F34" s="15" t="s">
        <v>250</v>
      </c>
      <c r="G34" s="15"/>
      <c r="H34" s="15" t="s">
        <v>165</v>
      </c>
      <c r="I34" s="15" t="s">
        <v>166</v>
      </c>
      <c r="J34" s="15"/>
      <c r="K34" s="1" t="s">
        <v>195</v>
      </c>
      <c r="L34" s="2"/>
    </row>
    <row r="35" spans="2:12" ht="28.8">
      <c r="B35" s="13">
        <f t="shared" si="0"/>
        <v>30</v>
      </c>
      <c r="C35" s="18"/>
      <c r="D35" s="18"/>
      <c r="E35" s="18"/>
      <c r="F35" s="15" t="s">
        <v>251</v>
      </c>
      <c r="G35" s="15"/>
      <c r="H35" s="15" t="s">
        <v>165</v>
      </c>
      <c r="I35" s="15" t="s">
        <v>166</v>
      </c>
      <c r="J35" s="15"/>
      <c r="K35" s="1" t="s">
        <v>215</v>
      </c>
      <c r="L35" s="2"/>
    </row>
    <row r="36" spans="2:12" ht="28.8">
      <c r="B36" s="13">
        <f t="shared" si="0"/>
        <v>31</v>
      </c>
      <c r="C36" s="14" t="s">
        <v>252</v>
      </c>
      <c r="D36" s="14"/>
      <c r="E36" s="14" t="s">
        <v>253</v>
      </c>
      <c r="F36" s="15" t="s">
        <v>254</v>
      </c>
      <c r="G36" s="15"/>
      <c r="H36" s="194" t="s">
        <v>255</v>
      </c>
      <c r="I36" s="15" t="s">
        <v>59</v>
      </c>
      <c r="J36" s="15"/>
      <c r="K36" s="1" t="s">
        <v>195</v>
      </c>
      <c r="L36" s="2"/>
    </row>
    <row r="37" spans="2:12" ht="28.8">
      <c r="B37" s="13">
        <f t="shared" si="0"/>
        <v>32</v>
      </c>
      <c r="C37" s="17"/>
      <c r="D37" s="17"/>
      <c r="E37" s="17"/>
      <c r="F37" s="15" t="s">
        <v>256</v>
      </c>
      <c r="G37" s="15"/>
      <c r="H37" s="195"/>
      <c r="I37" s="15" t="s">
        <v>59</v>
      </c>
      <c r="J37" s="15"/>
      <c r="K37" s="1" t="s">
        <v>215</v>
      </c>
      <c r="L37" s="2"/>
    </row>
    <row r="38" spans="2:12" ht="28.8">
      <c r="B38" s="13">
        <f t="shared" si="0"/>
        <v>33</v>
      </c>
      <c r="C38" s="17"/>
      <c r="D38" s="17"/>
      <c r="E38" s="18"/>
      <c r="F38" s="15" t="s">
        <v>64</v>
      </c>
      <c r="G38" s="15"/>
      <c r="H38" s="195"/>
      <c r="I38" s="15" t="s">
        <v>59</v>
      </c>
      <c r="J38" s="15"/>
      <c r="K38" s="1" t="s">
        <v>195</v>
      </c>
      <c r="L38" s="2"/>
    </row>
    <row r="39" spans="2:12" ht="28.8">
      <c r="B39" s="13">
        <f t="shared" si="0"/>
        <v>34</v>
      </c>
      <c r="C39" s="17"/>
      <c r="D39" s="17"/>
      <c r="E39" s="14" t="s">
        <v>257</v>
      </c>
      <c r="F39" s="15" t="s">
        <v>258</v>
      </c>
      <c r="G39" s="15"/>
      <c r="H39" s="195"/>
      <c r="I39" s="15" t="s">
        <v>59</v>
      </c>
      <c r="J39" s="15"/>
      <c r="K39" s="1" t="s">
        <v>215</v>
      </c>
      <c r="L39" s="2"/>
    </row>
    <row r="40" spans="2:12" ht="28.8">
      <c r="B40" s="13">
        <f t="shared" si="0"/>
        <v>35</v>
      </c>
      <c r="C40" s="17"/>
      <c r="D40" s="17"/>
      <c r="E40" s="17"/>
      <c r="F40" s="15" t="s">
        <v>259</v>
      </c>
      <c r="G40" s="15"/>
      <c r="H40" s="195"/>
      <c r="I40" s="15" t="s">
        <v>59</v>
      </c>
      <c r="J40" s="15"/>
      <c r="K40" s="1" t="s">
        <v>195</v>
      </c>
      <c r="L40" s="2"/>
    </row>
    <row r="41" spans="2:12" ht="28.8">
      <c r="B41" s="13">
        <f t="shared" si="0"/>
        <v>36</v>
      </c>
      <c r="C41" s="17"/>
      <c r="D41" s="17"/>
      <c r="E41" s="18"/>
      <c r="F41" s="15" t="s">
        <v>66</v>
      </c>
      <c r="G41" s="15"/>
      <c r="H41" s="195"/>
      <c r="I41" s="15" t="s">
        <v>59</v>
      </c>
      <c r="J41" s="15"/>
      <c r="K41" s="1" t="s">
        <v>215</v>
      </c>
      <c r="L41" s="2"/>
    </row>
    <row r="42" spans="2:12" ht="28.8">
      <c r="B42" s="13">
        <f t="shared" si="0"/>
        <v>37</v>
      </c>
      <c r="C42" s="17"/>
      <c r="D42" s="17"/>
      <c r="E42" s="14" t="s">
        <v>260</v>
      </c>
      <c r="F42" s="15" t="s">
        <v>261</v>
      </c>
      <c r="G42" s="15"/>
      <c r="H42" s="195"/>
      <c r="I42" s="15" t="s">
        <v>59</v>
      </c>
      <c r="J42" s="15"/>
      <c r="K42" s="1" t="s">
        <v>195</v>
      </c>
      <c r="L42" s="2"/>
    </row>
    <row r="43" spans="2:12" ht="28.8">
      <c r="B43" s="13">
        <f t="shared" si="0"/>
        <v>38</v>
      </c>
      <c r="C43" s="17"/>
      <c r="D43" s="17"/>
      <c r="E43" s="17"/>
      <c r="F43" s="15" t="s">
        <v>262</v>
      </c>
      <c r="G43" s="15"/>
      <c r="H43" s="195"/>
      <c r="I43" s="15" t="s">
        <v>59</v>
      </c>
      <c r="J43" s="15"/>
      <c r="K43" s="1" t="s">
        <v>215</v>
      </c>
      <c r="L43" s="2"/>
    </row>
    <row r="44" spans="2:12" ht="28.8">
      <c r="B44" s="13">
        <f t="shared" si="0"/>
        <v>39</v>
      </c>
      <c r="C44" s="17"/>
      <c r="D44" s="17"/>
      <c r="E44" s="17"/>
      <c r="F44" s="15" t="s">
        <v>263</v>
      </c>
      <c r="G44" s="15"/>
      <c r="H44" s="195"/>
      <c r="I44" s="15" t="s">
        <v>59</v>
      </c>
      <c r="J44" s="15"/>
      <c r="K44" s="1" t="s">
        <v>195</v>
      </c>
      <c r="L44" s="2"/>
    </row>
    <row r="45" spans="2:12" ht="28.8">
      <c r="B45" s="13">
        <f t="shared" si="0"/>
        <v>40</v>
      </c>
      <c r="C45" s="17"/>
      <c r="D45" s="17"/>
      <c r="E45" s="18"/>
      <c r="F45" s="15" t="s">
        <v>264</v>
      </c>
      <c r="G45" s="15"/>
      <c r="H45" s="196"/>
      <c r="I45" s="15" t="s">
        <v>59</v>
      </c>
      <c r="J45" s="15"/>
      <c r="K45" s="1" t="s">
        <v>215</v>
      </c>
      <c r="L45" s="2"/>
    </row>
    <row r="46" spans="2:12" ht="57.6">
      <c r="B46" s="13">
        <f t="shared" si="0"/>
        <v>41</v>
      </c>
      <c r="C46" s="17"/>
      <c r="D46" s="17"/>
      <c r="E46" s="15" t="s">
        <v>265</v>
      </c>
      <c r="F46" s="15" t="s">
        <v>265</v>
      </c>
      <c r="G46" s="15"/>
      <c r="H46" s="15" t="s">
        <v>266</v>
      </c>
      <c r="I46" s="15" t="s">
        <v>267</v>
      </c>
      <c r="J46" s="15"/>
      <c r="K46" s="1" t="s">
        <v>195</v>
      </c>
      <c r="L46" s="2"/>
    </row>
    <row r="47" spans="2:12" ht="28.8">
      <c r="B47" s="13">
        <f t="shared" si="0"/>
        <v>42</v>
      </c>
      <c r="C47" s="18"/>
      <c r="D47" s="18"/>
      <c r="E47" s="15" t="s">
        <v>95</v>
      </c>
      <c r="F47" s="15" t="s">
        <v>95</v>
      </c>
      <c r="G47" s="15"/>
      <c r="H47" s="15" t="s">
        <v>204</v>
      </c>
      <c r="I47" s="15" t="s">
        <v>98</v>
      </c>
      <c r="J47" s="15" t="s">
        <v>268</v>
      </c>
      <c r="K47" s="1" t="s">
        <v>215</v>
      </c>
      <c r="L47" s="2"/>
    </row>
    <row r="48" spans="2:12" ht="28.8">
      <c r="B48" s="13">
        <f t="shared" si="0"/>
        <v>43</v>
      </c>
      <c r="C48" s="14" t="s">
        <v>269</v>
      </c>
      <c r="D48" s="14"/>
      <c r="E48" s="14" t="s">
        <v>253</v>
      </c>
      <c r="F48" s="15" t="s">
        <v>270</v>
      </c>
      <c r="G48" s="15"/>
      <c r="H48" s="194" t="s">
        <v>255</v>
      </c>
      <c r="I48" s="15" t="s">
        <v>59</v>
      </c>
      <c r="J48" s="15"/>
      <c r="K48" s="1" t="s">
        <v>195</v>
      </c>
      <c r="L48" s="2"/>
    </row>
    <row r="49" spans="2:12" ht="28.8">
      <c r="B49" s="13">
        <f t="shared" si="0"/>
        <v>44</v>
      </c>
      <c r="C49" s="17"/>
      <c r="D49" s="17"/>
      <c r="E49" s="17"/>
      <c r="F49" s="15" t="s">
        <v>271</v>
      </c>
      <c r="G49" s="15"/>
      <c r="H49" s="195"/>
      <c r="I49" s="15" t="s">
        <v>59</v>
      </c>
      <c r="J49" s="15"/>
      <c r="K49" s="1" t="s">
        <v>215</v>
      </c>
      <c r="L49" s="2"/>
    </row>
    <row r="50" spans="2:12" ht="28.8">
      <c r="B50" s="13">
        <f t="shared" si="0"/>
        <v>45</v>
      </c>
      <c r="C50" s="17"/>
      <c r="D50" s="17"/>
      <c r="E50" s="18"/>
      <c r="F50" s="15" t="s">
        <v>272</v>
      </c>
      <c r="G50" s="15"/>
      <c r="H50" s="195"/>
      <c r="I50" s="15" t="s">
        <v>59</v>
      </c>
      <c r="J50" s="15"/>
      <c r="K50" s="1" t="s">
        <v>195</v>
      </c>
      <c r="L50" s="2"/>
    </row>
    <row r="51" spans="2:12" ht="28.8">
      <c r="B51" s="13">
        <f t="shared" si="0"/>
        <v>46</v>
      </c>
      <c r="C51" s="17"/>
      <c r="D51" s="17"/>
      <c r="E51" s="14" t="s">
        <v>257</v>
      </c>
      <c r="F51" s="15" t="s">
        <v>273</v>
      </c>
      <c r="G51" s="15"/>
      <c r="H51" s="195"/>
      <c r="I51" s="15" t="s">
        <v>59</v>
      </c>
      <c r="J51" s="15"/>
      <c r="K51" s="1" t="s">
        <v>215</v>
      </c>
      <c r="L51" s="2"/>
    </row>
    <row r="52" spans="2:12" ht="28.8">
      <c r="B52" s="13">
        <f t="shared" si="0"/>
        <v>47</v>
      </c>
      <c r="C52" s="17"/>
      <c r="D52" s="17"/>
      <c r="E52" s="17"/>
      <c r="F52" s="15" t="s">
        <v>274</v>
      </c>
      <c r="G52" s="15"/>
      <c r="H52" s="195"/>
      <c r="I52" s="15" t="s">
        <v>59</v>
      </c>
      <c r="J52" s="15"/>
      <c r="K52" s="1" t="s">
        <v>195</v>
      </c>
      <c r="L52" s="2"/>
    </row>
    <row r="53" spans="2:12" ht="28.8">
      <c r="B53" s="13">
        <f t="shared" si="0"/>
        <v>48</v>
      </c>
      <c r="C53" s="17"/>
      <c r="D53" s="17"/>
      <c r="E53" s="18"/>
      <c r="F53" s="15" t="s">
        <v>275</v>
      </c>
      <c r="G53" s="15"/>
      <c r="H53" s="195"/>
      <c r="I53" s="15" t="s">
        <v>59</v>
      </c>
      <c r="J53" s="15"/>
      <c r="K53" s="1" t="s">
        <v>215</v>
      </c>
      <c r="L53" s="2"/>
    </row>
    <row r="54" spans="2:12" ht="28.8">
      <c r="B54" s="13">
        <f t="shared" si="0"/>
        <v>49</v>
      </c>
      <c r="C54" s="17"/>
      <c r="D54" s="17"/>
      <c r="E54" s="14" t="s">
        <v>276</v>
      </c>
      <c r="F54" s="15" t="s">
        <v>277</v>
      </c>
      <c r="G54" s="15"/>
      <c r="H54" s="195"/>
      <c r="I54" s="15" t="s">
        <v>59</v>
      </c>
      <c r="J54" s="15"/>
      <c r="K54" s="1" t="s">
        <v>195</v>
      </c>
      <c r="L54" s="2"/>
    </row>
    <row r="55" spans="2:12" ht="28.8">
      <c r="B55" s="13">
        <f t="shared" si="0"/>
        <v>50</v>
      </c>
      <c r="C55" s="17"/>
      <c r="D55" s="17"/>
      <c r="E55" s="17"/>
      <c r="F55" s="15" t="s">
        <v>278</v>
      </c>
      <c r="G55" s="15"/>
      <c r="H55" s="195"/>
      <c r="I55" s="15" t="s">
        <v>59</v>
      </c>
      <c r="J55" s="15"/>
      <c r="K55" s="1" t="s">
        <v>215</v>
      </c>
      <c r="L55" s="2"/>
    </row>
    <row r="56" spans="2:12" ht="28.8">
      <c r="B56" s="13">
        <f t="shared" si="0"/>
        <v>51</v>
      </c>
      <c r="C56" s="17"/>
      <c r="D56" s="17"/>
      <c r="E56" s="17"/>
      <c r="F56" s="15" t="s">
        <v>279</v>
      </c>
      <c r="G56" s="15"/>
      <c r="H56" s="195"/>
      <c r="I56" s="15" t="s">
        <v>59</v>
      </c>
      <c r="J56" s="15"/>
      <c r="K56" s="1" t="s">
        <v>195</v>
      </c>
      <c r="L56" s="2"/>
    </row>
    <row r="57" spans="2:12" ht="28.8">
      <c r="B57" s="13">
        <f t="shared" si="0"/>
        <v>52</v>
      </c>
      <c r="C57" s="17"/>
      <c r="D57" s="17"/>
      <c r="E57" s="18"/>
      <c r="F57" s="15" t="s">
        <v>280</v>
      </c>
      <c r="G57" s="15"/>
      <c r="H57" s="196"/>
      <c r="I57" s="15" t="s">
        <v>59</v>
      </c>
      <c r="J57" s="15"/>
      <c r="K57" s="1" t="s">
        <v>215</v>
      </c>
      <c r="L57" s="2"/>
    </row>
    <row r="58" spans="2:12" ht="28.8">
      <c r="B58" s="13">
        <f t="shared" si="0"/>
        <v>53</v>
      </c>
      <c r="C58" s="18"/>
      <c r="D58" s="18"/>
      <c r="E58" s="15" t="s">
        <v>95</v>
      </c>
      <c r="F58" s="15" t="s">
        <v>95</v>
      </c>
      <c r="G58" s="15"/>
      <c r="H58" s="15" t="s">
        <v>281</v>
      </c>
      <c r="I58" s="15" t="s">
        <v>98</v>
      </c>
      <c r="J58" s="15"/>
      <c r="K58" s="1" t="s">
        <v>195</v>
      </c>
      <c r="L58" s="2"/>
    </row>
    <row r="59" spans="2:12" ht="28.8">
      <c r="B59" s="13">
        <f t="shared" si="0"/>
        <v>54</v>
      </c>
      <c r="C59" s="15" t="s">
        <v>282</v>
      </c>
      <c r="D59" s="15"/>
      <c r="E59" s="15" t="s">
        <v>283</v>
      </c>
      <c r="F59" s="15" t="s">
        <v>284</v>
      </c>
      <c r="G59" s="15"/>
      <c r="H59" s="15" t="s">
        <v>58</v>
      </c>
      <c r="I59" s="15" t="s">
        <v>59</v>
      </c>
      <c r="J59" s="15"/>
      <c r="K59" s="1" t="s">
        <v>215</v>
      </c>
      <c r="L59" s="2"/>
    </row>
  </sheetData>
  <mergeCells count="2">
    <mergeCell ref="H36:H45"/>
    <mergeCell ref="H48:H57"/>
  </mergeCells>
  <phoneticPr fontId="12"/>
  <hyperlinks>
    <hyperlink ref="A4" location="パラメータ設定一覧!A1" display="パラメータ設定一覧へ" xr:uid="{8B377060-5009-408A-8600-71AE997084D6}"/>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2EC8-8B4A-4E58-B2D3-AC60AAB5EB7B}">
  <sheetPr codeName="Sheet181">
    <pageSetUpPr fitToPage="1"/>
  </sheetPr>
  <dimension ref="A1:AX82"/>
  <sheetViews>
    <sheetView showGridLines="0" tabSelected="1" zoomScale="90" zoomScaleNormal="100" zoomScaleSheetLayoutView="70" workbookViewId="0">
      <pane xSplit="6" ySplit="7" topLeftCell="AS58" activePane="bottomRight" state="frozen"/>
      <selection pane="topRight"/>
      <selection pane="bottomLeft"/>
      <selection pane="bottomRight" activeCell="AT71" sqref="AT71"/>
    </sheetView>
  </sheetViews>
  <sheetFormatPr defaultColWidth="8.81640625" defaultRowHeight="15.75" customHeight="1"/>
  <cols>
    <col min="1" max="1" width="2.453125" style="53" customWidth="1"/>
    <col min="2" max="2" width="3.54296875" style="53" bestFit="1" customWidth="1"/>
    <col min="3" max="3" width="13" style="93" customWidth="1"/>
    <col min="4" max="4" width="40.6328125" style="53" customWidth="1"/>
    <col min="5" max="6" width="10.6328125" style="53" customWidth="1"/>
    <col min="7" max="7" width="16.36328125" style="53" customWidth="1"/>
    <col min="8" max="8" width="21.453125" style="53" customWidth="1"/>
    <col min="9" max="9" width="14.1796875" style="53" bestFit="1" customWidth="1"/>
    <col min="10" max="10" width="20.81640625" style="53" customWidth="1"/>
    <col min="11" max="11" width="10.1796875" style="53" bestFit="1" customWidth="1"/>
    <col min="12" max="12" width="14" style="53" customWidth="1"/>
    <col min="13" max="13" width="10.6328125" style="53" customWidth="1"/>
    <col min="14" max="14" width="14.54296875" style="53" customWidth="1"/>
    <col min="15" max="15" width="13.54296875" style="53" customWidth="1"/>
    <col min="16" max="16" width="23.453125" style="53" customWidth="1"/>
    <col min="17" max="17" width="13.54296875" style="53" customWidth="1"/>
    <col min="18" max="18" width="8.36328125" style="53" customWidth="1"/>
    <col min="19" max="19" width="11.6328125" style="53" bestFit="1" customWidth="1"/>
    <col min="20" max="21" width="8.81640625" style="53" bestFit="1" customWidth="1"/>
    <col min="22" max="22" width="11.54296875" style="53" customWidth="1"/>
    <col min="23" max="23" width="8.36328125" style="53" customWidth="1"/>
    <col min="24" max="24" width="12.1796875" style="53" bestFit="1" customWidth="1"/>
    <col min="25" max="25" width="12.81640625" style="53" customWidth="1"/>
    <col min="26" max="36" width="18.453125" style="53" customWidth="1"/>
    <col min="37" max="37" width="18" style="53" bestFit="1" customWidth="1"/>
    <col min="38" max="38" width="16.1796875" style="53" customWidth="1"/>
    <col min="39" max="39" width="14.81640625" style="53" customWidth="1"/>
    <col min="40" max="40" width="15.1796875" style="53" customWidth="1"/>
    <col min="41" max="41" width="15.1796875" style="53" bestFit="1" customWidth="1"/>
    <col min="42" max="42" width="15" style="53" customWidth="1"/>
    <col min="43" max="43" width="14.81640625" style="53" customWidth="1"/>
    <col min="44" max="44" width="15.36328125" style="53" customWidth="1"/>
    <col min="45" max="45" width="18.1796875" style="53" customWidth="1"/>
    <col min="46" max="46" width="16.81640625" style="53" customWidth="1"/>
    <col min="47" max="47" width="19.6328125" style="53" customWidth="1"/>
    <col min="48" max="48" width="18" style="53" bestFit="1" customWidth="1"/>
    <col min="49" max="49" width="11.54296875" style="53" customWidth="1"/>
    <col min="50" max="16384" width="8.81640625" style="53"/>
  </cols>
  <sheetData>
    <row r="1" spans="1:49" customFormat="1" ht="18.600000000000001">
      <c r="A1" s="7" t="s">
        <v>285</v>
      </c>
      <c r="C1" s="49"/>
    </row>
    <row r="2" spans="1:49" customFormat="1" ht="15.75" customHeight="1">
      <c r="C2" s="49"/>
    </row>
    <row r="3" spans="1:49" customFormat="1" ht="15">
      <c r="A3" s="8" t="s">
        <v>43</v>
      </c>
      <c r="C3" s="49"/>
    </row>
    <row r="4" spans="1:49" ht="15.75" customHeight="1">
      <c r="A4" s="120"/>
      <c r="B4" s="197" t="s">
        <v>44</v>
      </c>
      <c r="C4" s="29" t="s">
        <v>137</v>
      </c>
      <c r="D4" s="30"/>
      <c r="E4" s="30"/>
      <c r="F4" s="30"/>
      <c r="G4" s="29" t="s">
        <v>138</v>
      </c>
      <c r="H4" s="30"/>
      <c r="I4" s="30"/>
      <c r="J4" s="84"/>
      <c r="K4" s="84"/>
      <c r="L4" s="30"/>
      <c r="M4" s="31"/>
      <c r="N4" s="26" t="s">
        <v>225</v>
      </c>
      <c r="O4" s="26"/>
      <c r="P4" s="26"/>
      <c r="Q4" s="26"/>
      <c r="R4" s="26"/>
      <c r="S4" s="26"/>
      <c r="T4" s="26"/>
      <c r="U4" s="26"/>
      <c r="V4" s="26"/>
      <c r="W4" s="26"/>
      <c r="X4" s="26"/>
      <c r="Y4" s="27"/>
      <c r="Z4" s="25" t="s">
        <v>252</v>
      </c>
      <c r="AA4" s="26"/>
      <c r="AB4" s="26"/>
      <c r="AC4" s="26"/>
      <c r="AD4" s="26"/>
      <c r="AE4" s="26"/>
      <c r="AF4" s="26"/>
      <c r="AG4" s="26"/>
      <c r="AH4" s="26"/>
      <c r="AI4" s="26"/>
      <c r="AJ4" s="26"/>
      <c r="AK4" s="27"/>
      <c r="AL4" s="25" t="s">
        <v>286</v>
      </c>
      <c r="AM4" s="26"/>
      <c r="AN4" s="26"/>
      <c r="AO4" s="26"/>
      <c r="AP4" s="26"/>
      <c r="AQ4" s="26"/>
      <c r="AR4" s="26"/>
      <c r="AS4" s="26"/>
      <c r="AT4" s="26"/>
      <c r="AU4" s="26"/>
      <c r="AV4" s="27"/>
      <c r="AW4" s="5" t="s">
        <v>282</v>
      </c>
    </row>
    <row r="5" spans="1:49" ht="28.8">
      <c r="A5" s="120"/>
      <c r="B5" s="197"/>
      <c r="C5" s="81"/>
      <c r="D5" s="32"/>
      <c r="E5" s="32"/>
      <c r="F5" s="32"/>
      <c r="G5" s="83" t="s">
        <v>213</v>
      </c>
      <c r="H5" s="84"/>
      <c r="I5" s="80"/>
      <c r="J5" s="33" t="s">
        <v>287</v>
      </c>
      <c r="K5" s="81" t="s">
        <v>219</v>
      </c>
      <c r="L5" s="83" t="s">
        <v>221</v>
      </c>
      <c r="M5" s="80"/>
      <c r="N5" s="26" t="s">
        <v>226</v>
      </c>
      <c r="O5" s="26"/>
      <c r="P5" s="26"/>
      <c r="Q5" s="26"/>
      <c r="R5" s="26"/>
      <c r="S5" s="26"/>
      <c r="T5" s="26"/>
      <c r="U5" s="26"/>
      <c r="V5" s="42" t="s">
        <v>288</v>
      </c>
      <c r="W5" s="34"/>
      <c r="X5" s="42" t="s">
        <v>219</v>
      </c>
      <c r="Y5" s="34"/>
      <c r="Z5" s="25" t="s">
        <v>253</v>
      </c>
      <c r="AA5" s="26"/>
      <c r="AB5" s="27"/>
      <c r="AC5" s="25" t="s">
        <v>257</v>
      </c>
      <c r="AD5" s="26"/>
      <c r="AE5" s="27"/>
      <c r="AF5" s="25" t="s">
        <v>260</v>
      </c>
      <c r="AG5" s="26"/>
      <c r="AH5" s="26"/>
      <c r="AI5" s="27"/>
      <c r="AJ5" s="5" t="s">
        <v>265</v>
      </c>
      <c r="AK5" s="5" t="s">
        <v>95</v>
      </c>
      <c r="AL5" s="25" t="s">
        <v>253</v>
      </c>
      <c r="AM5" s="26"/>
      <c r="AN5" s="27"/>
      <c r="AO5" s="25" t="s">
        <v>257</v>
      </c>
      <c r="AP5" s="26"/>
      <c r="AQ5" s="27"/>
      <c r="AR5" s="25" t="s">
        <v>276</v>
      </c>
      <c r="AS5" s="26"/>
      <c r="AT5" s="26"/>
      <c r="AU5" s="27"/>
      <c r="AV5" s="5" t="s">
        <v>95</v>
      </c>
      <c r="AW5" s="5" t="s">
        <v>283</v>
      </c>
    </row>
    <row r="6" spans="1:49" ht="57.6">
      <c r="A6" s="120"/>
      <c r="B6" s="192"/>
      <c r="C6" s="95" t="s">
        <v>31</v>
      </c>
      <c r="D6" s="85" t="s">
        <v>88</v>
      </c>
      <c r="E6" s="85" t="s">
        <v>289</v>
      </c>
      <c r="F6" s="85" t="s">
        <v>200</v>
      </c>
      <c r="G6" s="85" t="s">
        <v>152</v>
      </c>
      <c r="H6" s="85" t="s">
        <v>57</v>
      </c>
      <c r="I6" s="85" t="s">
        <v>216</v>
      </c>
      <c r="J6" s="5" t="s">
        <v>290</v>
      </c>
      <c r="K6" s="5" t="s">
        <v>291</v>
      </c>
      <c r="L6" s="85" t="s">
        <v>222</v>
      </c>
      <c r="M6" s="85" t="s">
        <v>224</v>
      </c>
      <c r="N6" s="5" t="s">
        <v>227</v>
      </c>
      <c r="O6" s="5" t="s">
        <v>230</v>
      </c>
      <c r="P6" s="5" t="s">
        <v>232</v>
      </c>
      <c r="Q6" s="5" t="s">
        <v>292</v>
      </c>
      <c r="R6" s="5" t="s">
        <v>237</v>
      </c>
      <c r="S6" s="5" t="s">
        <v>240</v>
      </c>
      <c r="T6" s="5" t="s">
        <v>242</v>
      </c>
      <c r="U6" s="5" t="s">
        <v>243</v>
      </c>
      <c r="V6" s="5" t="s">
        <v>246</v>
      </c>
      <c r="W6" s="5" t="s">
        <v>248</v>
      </c>
      <c r="X6" s="5" t="s">
        <v>250</v>
      </c>
      <c r="Y6" s="5" t="s">
        <v>251</v>
      </c>
      <c r="Z6" s="5" t="s">
        <v>254</v>
      </c>
      <c r="AA6" s="5" t="s">
        <v>256</v>
      </c>
      <c r="AB6" s="5" t="s">
        <v>64</v>
      </c>
      <c r="AC6" s="5" t="s">
        <v>293</v>
      </c>
      <c r="AD6" s="5" t="s">
        <v>294</v>
      </c>
      <c r="AE6" s="5" t="s">
        <v>66</v>
      </c>
      <c r="AF6" s="5" t="s">
        <v>261</v>
      </c>
      <c r="AG6" s="5" t="s">
        <v>295</v>
      </c>
      <c r="AH6" s="5" t="s">
        <v>263</v>
      </c>
      <c r="AI6" s="5" t="s">
        <v>264</v>
      </c>
      <c r="AJ6" s="5" t="s">
        <v>265</v>
      </c>
      <c r="AK6" s="5" t="s">
        <v>95</v>
      </c>
      <c r="AL6" s="5" t="s">
        <v>270</v>
      </c>
      <c r="AM6" s="5" t="s">
        <v>271</v>
      </c>
      <c r="AN6" s="5" t="s">
        <v>272</v>
      </c>
      <c r="AO6" s="5" t="s">
        <v>273</v>
      </c>
      <c r="AP6" s="5" t="s">
        <v>274</v>
      </c>
      <c r="AQ6" s="5" t="s">
        <v>296</v>
      </c>
      <c r="AR6" s="5" t="s">
        <v>277</v>
      </c>
      <c r="AS6" s="5" t="s">
        <v>297</v>
      </c>
      <c r="AT6" s="5" t="s">
        <v>279</v>
      </c>
      <c r="AU6" s="5" t="s">
        <v>280</v>
      </c>
      <c r="AV6" s="5" t="s">
        <v>95</v>
      </c>
      <c r="AW6" s="5" t="s">
        <v>284</v>
      </c>
    </row>
    <row r="7" spans="1:49" ht="43.2">
      <c r="A7" s="120"/>
      <c r="B7" s="192"/>
      <c r="C7" s="50" t="s">
        <v>58</v>
      </c>
      <c r="D7" s="6" t="s">
        <v>58</v>
      </c>
      <c r="E7" s="6" t="s">
        <v>298</v>
      </c>
      <c r="F7" s="6"/>
      <c r="G7" s="6" t="s">
        <v>299</v>
      </c>
      <c r="H7" s="6" t="s">
        <v>300</v>
      </c>
      <c r="I7" s="6" t="s">
        <v>301</v>
      </c>
      <c r="J7" s="6" t="s">
        <v>302</v>
      </c>
      <c r="K7" s="6" t="s">
        <v>58</v>
      </c>
      <c r="L7" s="6"/>
      <c r="M7" s="6" t="s">
        <v>58</v>
      </c>
      <c r="N7" s="6"/>
      <c r="O7" s="6" t="s">
        <v>165</v>
      </c>
      <c r="P7" s="6"/>
      <c r="Q7" s="6" t="s">
        <v>165</v>
      </c>
      <c r="R7" s="6"/>
      <c r="S7" s="6" t="s">
        <v>281</v>
      </c>
      <c r="T7" s="6" t="s">
        <v>281</v>
      </c>
      <c r="U7" s="6" t="s">
        <v>165</v>
      </c>
      <c r="V7" s="6" t="s">
        <v>105</v>
      </c>
      <c r="W7" s="6"/>
      <c r="X7" s="6" t="s">
        <v>165</v>
      </c>
      <c r="Y7" s="6" t="s">
        <v>165</v>
      </c>
      <c r="Z7" s="6" t="s">
        <v>75</v>
      </c>
      <c r="AA7" s="6" t="s">
        <v>75</v>
      </c>
      <c r="AB7" s="6" t="s">
        <v>75</v>
      </c>
      <c r="AC7" s="6" t="s">
        <v>75</v>
      </c>
      <c r="AD7" s="6" t="s">
        <v>75</v>
      </c>
      <c r="AE7" s="6" t="s">
        <v>75</v>
      </c>
      <c r="AF7" s="6" t="s">
        <v>75</v>
      </c>
      <c r="AG7" s="6" t="s">
        <v>75</v>
      </c>
      <c r="AH7" s="6" t="s">
        <v>75</v>
      </c>
      <c r="AI7" s="6" t="s">
        <v>75</v>
      </c>
      <c r="AJ7" s="6"/>
      <c r="AK7" s="6" t="s">
        <v>204</v>
      </c>
      <c r="AL7" s="6" t="s">
        <v>75</v>
      </c>
      <c r="AM7" s="6" t="s">
        <v>75</v>
      </c>
      <c r="AN7" s="6" t="s">
        <v>75</v>
      </c>
      <c r="AO7" s="6"/>
      <c r="AP7" s="6" t="s">
        <v>75</v>
      </c>
      <c r="AQ7" s="6" t="s">
        <v>75</v>
      </c>
      <c r="AR7" s="6" t="s">
        <v>75</v>
      </c>
      <c r="AS7" s="6" t="s">
        <v>75</v>
      </c>
      <c r="AT7" s="6" t="s">
        <v>75</v>
      </c>
      <c r="AU7" s="6" t="s">
        <v>75</v>
      </c>
      <c r="AV7" s="6" t="s">
        <v>204</v>
      </c>
      <c r="AW7" s="6" t="s">
        <v>58</v>
      </c>
    </row>
    <row r="8" spans="1:49" ht="14.4">
      <c r="A8" s="120"/>
      <c r="B8" s="122">
        <f>ROW() - 7</f>
        <v>1</v>
      </c>
      <c r="C8" s="118" t="s">
        <v>303</v>
      </c>
      <c r="D8" s="119" t="s">
        <v>304</v>
      </c>
      <c r="E8" s="134"/>
      <c r="F8" s="134" t="s">
        <v>102</v>
      </c>
      <c r="G8" s="135" t="s">
        <v>305</v>
      </c>
      <c r="H8" s="136" t="s">
        <v>306</v>
      </c>
      <c r="I8" s="126" t="s">
        <v>307</v>
      </c>
      <c r="J8" s="126" t="s">
        <v>144</v>
      </c>
      <c r="K8" s="126" t="s">
        <v>144</v>
      </c>
      <c r="L8" s="126" t="s">
        <v>308</v>
      </c>
      <c r="M8" s="126" t="s">
        <v>144</v>
      </c>
      <c r="N8" s="126" t="s">
        <v>309</v>
      </c>
      <c r="O8" s="126" t="s">
        <v>166</v>
      </c>
      <c r="P8" s="126" t="s">
        <v>310</v>
      </c>
      <c r="Q8" s="126" t="s">
        <v>166</v>
      </c>
      <c r="R8" s="126" t="s">
        <v>311</v>
      </c>
      <c r="S8" s="126" t="s">
        <v>144</v>
      </c>
      <c r="T8" s="126" t="s">
        <v>144</v>
      </c>
      <c r="U8" s="126" t="s">
        <v>166</v>
      </c>
      <c r="V8" s="133">
        <v>1</v>
      </c>
      <c r="W8" s="126" t="s">
        <v>102</v>
      </c>
      <c r="X8" s="126" t="s">
        <v>166</v>
      </c>
      <c r="Y8" s="126" t="s">
        <v>166</v>
      </c>
      <c r="Z8" s="126" t="s">
        <v>144</v>
      </c>
      <c r="AA8" s="126" t="s">
        <v>144</v>
      </c>
      <c r="AB8" s="126" t="s">
        <v>144</v>
      </c>
      <c r="AC8" s="126" t="s">
        <v>144</v>
      </c>
      <c r="AD8" s="126" t="s">
        <v>144</v>
      </c>
      <c r="AE8" s="126" t="s">
        <v>144</v>
      </c>
      <c r="AF8" s="126" t="s">
        <v>144</v>
      </c>
      <c r="AG8" s="126" t="s">
        <v>144</v>
      </c>
      <c r="AH8" s="126" t="s">
        <v>144</v>
      </c>
      <c r="AI8" s="126" t="s">
        <v>144</v>
      </c>
      <c r="AJ8" s="126" t="s">
        <v>267</v>
      </c>
      <c r="AK8" s="126" t="s">
        <v>98</v>
      </c>
      <c r="AL8" s="126" t="s">
        <v>144</v>
      </c>
      <c r="AM8" s="126" t="s">
        <v>144</v>
      </c>
      <c r="AN8" s="126" t="s">
        <v>144</v>
      </c>
      <c r="AO8" s="126" t="s">
        <v>144</v>
      </c>
      <c r="AP8" s="126" t="s">
        <v>144</v>
      </c>
      <c r="AQ8" s="126" t="s">
        <v>144</v>
      </c>
      <c r="AR8" s="126" t="s">
        <v>144</v>
      </c>
      <c r="AS8" s="126" t="s">
        <v>144</v>
      </c>
      <c r="AT8" s="126" t="s">
        <v>144</v>
      </c>
      <c r="AU8" s="126" t="s">
        <v>144</v>
      </c>
      <c r="AV8" s="126" t="s">
        <v>98</v>
      </c>
      <c r="AW8" s="126" t="s">
        <v>144</v>
      </c>
    </row>
    <row r="9" spans="1:49" ht="14.4">
      <c r="A9" s="120"/>
      <c r="B9" s="122">
        <f t="shared" ref="B9:B15" si="0">ROW() - 7</f>
        <v>2</v>
      </c>
      <c r="C9" s="137" t="s">
        <v>312</v>
      </c>
      <c r="D9" s="138" t="s">
        <v>313</v>
      </c>
      <c r="E9" s="134"/>
      <c r="F9" s="134" t="s">
        <v>102</v>
      </c>
      <c r="G9" s="135" t="s">
        <v>305</v>
      </c>
      <c r="H9" s="136" t="s">
        <v>306</v>
      </c>
      <c r="I9" s="126" t="s">
        <v>307</v>
      </c>
      <c r="J9" s="126" t="s">
        <v>144</v>
      </c>
      <c r="K9" s="126" t="s">
        <v>144</v>
      </c>
      <c r="L9" s="126" t="s">
        <v>308</v>
      </c>
      <c r="M9" s="126" t="s">
        <v>144</v>
      </c>
      <c r="N9" s="126" t="s">
        <v>309</v>
      </c>
      <c r="O9" s="126" t="s">
        <v>166</v>
      </c>
      <c r="P9" s="126" t="s">
        <v>310</v>
      </c>
      <c r="Q9" s="126" t="s">
        <v>166</v>
      </c>
      <c r="R9" s="126" t="s">
        <v>311</v>
      </c>
      <c r="S9" s="126" t="s">
        <v>144</v>
      </c>
      <c r="T9" s="126" t="s">
        <v>144</v>
      </c>
      <c r="U9" s="126" t="s">
        <v>166</v>
      </c>
      <c r="V9" s="133">
        <v>1</v>
      </c>
      <c r="W9" s="126" t="s">
        <v>102</v>
      </c>
      <c r="X9" s="126" t="s">
        <v>166</v>
      </c>
      <c r="Y9" s="126" t="s">
        <v>166</v>
      </c>
      <c r="Z9" s="126" t="s">
        <v>144</v>
      </c>
      <c r="AA9" s="126" t="s">
        <v>144</v>
      </c>
      <c r="AB9" s="126" t="s">
        <v>144</v>
      </c>
      <c r="AC9" s="126" t="s">
        <v>144</v>
      </c>
      <c r="AD9" s="126" t="s">
        <v>144</v>
      </c>
      <c r="AE9" s="126" t="s">
        <v>144</v>
      </c>
      <c r="AF9" s="126" t="s">
        <v>144</v>
      </c>
      <c r="AG9" s="126" t="s">
        <v>144</v>
      </c>
      <c r="AH9" s="126" t="s">
        <v>144</v>
      </c>
      <c r="AI9" s="126" t="s">
        <v>144</v>
      </c>
      <c r="AJ9" s="126" t="s">
        <v>267</v>
      </c>
      <c r="AK9" s="126" t="s">
        <v>98</v>
      </c>
      <c r="AL9" s="126" t="s">
        <v>144</v>
      </c>
      <c r="AM9" s="126" t="s">
        <v>144</v>
      </c>
      <c r="AN9" s="126" t="s">
        <v>144</v>
      </c>
      <c r="AO9" s="126" t="s">
        <v>144</v>
      </c>
      <c r="AP9" s="126" t="s">
        <v>144</v>
      </c>
      <c r="AQ9" s="126" t="s">
        <v>144</v>
      </c>
      <c r="AR9" s="126" t="s">
        <v>144</v>
      </c>
      <c r="AS9" s="126" t="s">
        <v>144</v>
      </c>
      <c r="AT9" s="126" t="s">
        <v>144</v>
      </c>
      <c r="AU9" s="126" t="s">
        <v>144</v>
      </c>
      <c r="AV9" s="126" t="s">
        <v>98</v>
      </c>
      <c r="AW9" s="126" t="s">
        <v>144</v>
      </c>
    </row>
    <row r="10" spans="1:49" ht="14.4">
      <c r="A10" s="120"/>
      <c r="B10" s="122">
        <f t="shared" si="0"/>
        <v>3</v>
      </c>
      <c r="C10" s="137" t="s">
        <v>314</v>
      </c>
      <c r="D10" s="138" t="s">
        <v>315</v>
      </c>
      <c r="E10" s="134"/>
      <c r="F10" s="134" t="s">
        <v>102</v>
      </c>
      <c r="G10" s="135" t="s">
        <v>305</v>
      </c>
      <c r="H10" s="136" t="s">
        <v>306</v>
      </c>
      <c r="I10" s="126" t="s">
        <v>307</v>
      </c>
      <c r="J10" s="126" t="s">
        <v>144</v>
      </c>
      <c r="K10" s="126" t="s">
        <v>144</v>
      </c>
      <c r="L10" s="126" t="s">
        <v>308</v>
      </c>
      <c r="M10" s="126" t="s">
        <v>144</v>
      </c>
      <c r="N10" s="126" t="s">
        <v>309</v>
      </c>
      <c r="O10" s="126" t="s">
        <v>166</v>
      </c>
      <c r="P10" s="126" t="s">
        <v>310</v>
      </c>
      <c r="Q10" s="126" t="s">
        <v>166</v>
      </c>
      <c r="R10" s="126" t="s">
        <v>311</v>
      </c>
      <c r="S10" s="126" t="s">
        <v>144</v>
      </c>
      <c r="T10" s="126" t="s">
        <v>144</v>
      </c>
      <c r="U10" s="126" t="s">
        <v>166</v>
      </c>
      <c r="V10" s="133">
        <v>1</v>
      </c>
      <c r="W10" s="126" t="s">
        <v>102</v>
      </c>
      <c r="X10" s="126" t="s">
        <v>166</v>
      </c>
      <c r="Y10" s="126" t="s">
        <v>166</v>
      </c>
      <c r="Z10" s="126" t="s">
        <v>144</v>
      </c>
      <c r="AA10" s="126" t="s">
        <v>144</v>
      </c>
      <c r="AB10" s="126" t="s">
        <v>144</v>
      </c>
      <c r="AC10" s="126" t="s">
        <v>144</v>
      </c>
      <c r="AD10" s="126" t="s">
        <v>144</v>
      </c>
      <c r="AE10" s="126" t="s">
        <v>144</v>
      </c>
      <c r="AF10" s="126" t="s">
        <v>144</v>
      </c>
      <c r="AG10" s="126" t="s">
        <v>144</v>
      </c>
      <c r="AH10" s="126" t="s">
        <v>144</v>
      </c>
      <c r="AI10" s="126" t="s">
        <v>144</v>
      </c>
      <c r="AJ10" s="126" t="s">
        <v>267</v>
      </c>
      <c r="AK10" s="126" t="s">
        <v>98</v>
      </c>
      <c r="AL10" s="126" t="s">
        <v>144</v>
      </c>
      <c r="AM10" s="126" t="s">
        <v>144</v>
      </c>
      <c r="AN10" s="126" t="s">
        <v>144</v>
      </c>
      <c r="AO10" s="126" t="s">
        <v>144</v>
      </c>
      <c r="AP10" s="126" t="s">
        <v>144</v>
      </c>
      <c r="AQ10" s="126" t="s">
        <v>144</v>
      </c>
      <c r="AR10" s="126" t="s">
        <v>144</v>
      </c>
      <c r="AS10" s="126" t="s">
        <v>144</v>
      </c>
      <c r="AT10" s="126" t="s">
        <v>144</v>
      </c>
      <c r="AU10" s="126" t="s">
        <v>144</v>
      </c>
      <c r="AV10" s="126" t="s">
        <v>98</v>
      </c>
      <c r="AW10" s="126" t="s">
        <v>144</v>
      </c>
    </row>
    <row r="11" spans="1:49" ht="14.4">
      <c r="A11" s="120"/>
      <c r="B11" s="122">
        <f t="shared" si="0"/>
        <v>4</v>
      </c>
      <c r="C11" s="137" t="s">
        <v>316</v>
      </c>
      <c r="D11" s="138" t="s">
        <v>317</v>
      </c>
      <c r="E11" s="134"/>
      <c r="F11" s="134" t="s">
        <v>102</v>
      </c>
      <c r="G11" s="135" t="s">
        <v>305</v>
      </c>
      <c r="H11" s="136" t="s">
        <v>306</v>
      </c>
      <c r="I11" s="126" t="s">
        <v>307</v>
      </c>
      <c r="J11" s="126" t="s">
        <v>144</v>
      </c>
      <c r="K11" s="126" t="s">
        <v>144</v>
      </c>
      <c r="L11" s="126" t="s">
        <v>308</v>
      </c>
      <c r="M11" s="126" t="s">
        <v>144</v>
      </c>
      <c r="N11" s="126" t="s">
        <v>309</v>
      </c>
      <c r="O11" s="126" t="s">
        <v>166</v>
      </c>
      <c r="P11" s="126" t="s">
        <v>310</v>
      </c>
      <c r="Q11" s="126" t="s">
        <v>166</v>
      </c>
      <c r="R11" s="126" t="s">
        <v>311</v>
      </c>
      <c r="S11" s="126" t="s">
        <v>144</v>
      </c>
      <c r="T11" s="126" t="s">
        <v>144</v>
      </c>
      <c r="U11" s="126" t="s">
        <v>166</v>
      </c>
      <c r="V11" s="133">
        <v>1</v>
      </c>
      <c r="W11" s="126" t="s">
        <v>102</v>
      </c>
      <c r="X11" s="126" t="s">
        <v>166</v>
      </c>
      <c r="Y11" s="126" t="s">
        <v>166</v>
      </c>
      <c r="Z11" s="126" t="s">
        <v>144</v>
      </c>
      <c r="AA11" s="126" t="s">
        <v>144</v>
      </c>
      <c r="AB11" s="126" t="s">
        <v>144</v>
      </c>
      <c r="AC11" s="126" t="s">
        <v>144</v>
      </c>
      <c r="AD11" s="126" t="s">
        <v>144</v>
      </c>
      <c r="AE11" s="126" t="s">
        <v>144</v>
      </c>
      <c r="AF11" s="126" t="s">
        <v>144</v>
      </c>
      <c r="AG11" s="126" t="s">
        <v>144</v>
      </c>
      <c r="AH11" s="126" t="s">
        <v>144</v>
      </c>
      <c r="AI11" s="126" t="s">
        <v>144</v>
      </c>
      <c r="AJ11" s="126" t="s">
        <v>267</v>
      </c>
      <c r="AK11" s="126" t="s">
        <v>98</v>
      </c>
      <c r="AL11" s="126" t="s">
        <v>144</v>
      </c>
      <c r="AM11" s="126" t="s">
        <v>144</v>
      </c>
      <c r="AN11" s="126" t="s">
        <v>144</v>
      </c>
      <c r="AO11" s="126" t="s">
        <v>144</v>
      </c>
      <c r="AP11" s="126" t="s">
        <v>144</v>
      </c>
      <c r="AQ11" s="126" t="s">
        <v>144</v>
      </c>
      <c r="AR11" s="126" t="s">
        <v>144</v>
      </c>
      <c r="AS11" s="126" t="s">
        <v>144</v>
      </c>
      <c r="AT11" s="126" t="s">
        <v>144</v>
      </c>
      <c r="AU11" s="126" t="s">
        <v>144</v>
      </c>
      <c r="AV11" s="126" t="s">
        <v>98</v>
      </c>
      <c r="AW11" s="126" t="s">
        <v>144</v>
      </c>
    </row>
    <row r="12" spans="1:49" ht="14.4">
      <c r="A12" s="120"/>
      <c r="B12" s="122">
        <f t="shared" si="0"/>
        <v>5</v>
      </c>
      <c r="C12" s="118" t="s">
        <v>318</v>
      </c>
      <c r="D12" s="119" t="s">
        <v>319</v>
      </c>
      <c r="E12" s="134"/>
      <c r="F12" s="134" t="s">
        <v>102</v>
      </c>
      <c r="G12" s="135" t="s">
        <v>305</v>
      </c>
      <c r="H12" s="136" t="s">
        <v>306</v>
      </c>
      <c r="I12" s="126" t="s">
        <v>307</v>
      </c>
      <c r="J12" s="126" t="s">
        <v>144</v>
      </c>
      <c r="K12" s="126" t="s">
        <v>144</v>
      </c>
      <c r="L12" s="126" t="s">
        <v>308</v>
      </c>
      <c r="M12" s="126" t="s">
        <v>144</v>
      </c>
      <c r="N12" s="126" t="s">
        <v>309</v>
      </c>
      <c r="O12" s="126" t="s">
        <v>166</v>
      </c>
      <c r="P12" s="126" t="s">
        <v>310</v>
      </c>
      <c r="Q12" s="126" t="s">
        <v>166</v>
      </c>
      <c r="R12" s="126" t="s">
        <v>311</v>
      </c>
      <c r="S12" s="126" t="s">
        <v>144</v>
      </c>
      <c r="T12" s="126" t="s">
        <v>144</v>
      </c>
      <c r="U12" s="126" t="s">
        <v>166</v>
      </c>
      <c r="V12" s="133">
        <v>1</v>
      </c>
      <c r="W12" s="126" t="s">
        <v>102</v>
      </c>
      <c r="X12" s="126" t="s">
        <v>166</v>
      </c>
      <c r="Y12" s="126" t="s">
        <v>166</v>
      </c>
      <c r="Z12" s="126" t="s">
        <v>144</v>
      </c>
      <c r="AA12" s="126" t="s">
        <v>144</v>
      </c>
      <c r="AB12" s="126" t="s">
        <v>144</v>
      </c>
      <c r="AC12" s="126" t="s">
        <v>144</v>
      </c>
      <c r="AD12" s="126" t="s">
        <v>144</v>
      </c>
      <c r="AE12" s="126" t="s">
        <v>144</v>
      </c>
      <c r="AF12" s="126" t="s">
        <v>144</v>
      </c>
      <c r="AG12" s="126" t="s">
        <v>144</v>
      </c>
      <c r="AH12" s="126" t="s">
        <v>144</v>
      </c>
      <c r="AI12" s="126" t="s">
        <v>144</v>
      </c>
      <c r="AJ12" s="126" t="s">
        <v>267</v>
      </c>
      <c r="AK12" s="126" t="s">
        <v>98</v>
      </c>
      <c r="AL12" s="126" t="s">
        <v>144</v>
      </c>
      <c r="AM12" s="126" t="s">
        <v>144</v>
      </c>
      <c r="AN12" s="126" t="s">
        <v>144</v>
      </c>
      <c r="AO12" s="126" t="s">
        <v>144</v>
      </c>
      <c r="AP12" s="126" t="s">
        <v>144</v>
      </c>
      <c r="AQ12" s="126" t="s">
        <v>144</v>
      </c>
      <c r="AR12" s="126" t="s">
        <v>144</v>
      </c>
      <c r="AS12" s="126" t="s">
        <v>144</v>
      </c>
      <c r="AT12" s="126" t="s">
        <v>144</v>
      </c>
      <c r="AU12" s="126" t="s">
        <v>144</v>
      </c>
      <c r="AV12" s="126" t="s">
        <v>98</v>
      </c>
      <c r="AW12" s="126" t="s">
        <v>144</v>
      </c>
    </row>
    <row r="13" spans="1:49" ht="14.4">
      <c r="A13" s="51"/>
      <c r="B13" s="122">
        <f t="shared" si="0"/>
        <v>6</v>
      </c>
      <c r="C13" s="118" t="s">
        <v>320</v>
      </c>
      <c r="D13" s="119" t="s">
        <v>321</v>
      </c>
      <c r="E13" s="134"/>
      <c r="F13" s="134" t="s">
        <v>102</v>
      </c>
      <c r="G13" s="135" t="s">
        <v>305</v>
      </c>
      <c r="H13" s="136" t="s">
        <v>306</v>
      </c>
      <c r="I13" s="126" t="s">
        <v>307</v>
      </c>
      <c r="J13" s="126" t="s">
        <v>144</v>
      </c>
      <c r="K13" s="126" t="s">
        <v>144</v>
      </c>
      <c r="L13" s="126" t="s">
        <v>308</v>
      </c>
      <c r="M13" s="126" t="s">
        <v>144</v>
      </c>
      <c r="N13" s="126" t="s">
        <v>309</v>
      </c>
      <c r="O13" s="126" t="s">
        <v>166</v>
      </c>
      <c r="P13" s="126" t="s">
        <v>310</v>
      </c>
      <c r="Q13" s="126" t="s">
        <v>166</v>
      </c>
      <c r="R13" s="126" t="s">
        <v>311</v>
      </c>
      <c r="S13" s="126" t="s">
        <v>144</v>
      </c>
      <c r="T13" s="126" t="s">
        <v>144</v>
      </c>
      <c r="U13" s="126" t="s">
        <v>166</v>
      </c>
      <c r="V13" s="133">
        <v>1</v>
      </c>
      <c r="W13" s="126" t="s">
        <v>102</v>
      </c>
      <c r="X13" s="126" t="s">
        <v>166</v>
      </c>
      <c r="Y13" s="126" t="s">
        <v>166</v>
      </c>
      <c r="Z13" s="126" t="s">
        <v>144</v>
      </c>
      <c r="AA13" s="126" t="s">
        <v>144</v>
      </c>
      <c r="AB13" s="126" t="s">
        <v>144</v>
      </c>
      <c r="AC13" s="126" t="s">
        <v>144</v>
      </c>
      <c r="AD13" s="126" t="s">
        <v>144</v>
      </c>
      <c r="AE13" s="126" t="s">
        <v>144</v>
      </c>
      <c r="AF13" s="126" t="s">
        <v>144</v>
      </c>
      <c r="AG13" s="126" t="s">
        <v>144</v>
      </c>
      <c r="AH13" s="126" t="s">
        <v>144</v>
      </c>
      <c r="AI13" s="126" t="s">
        <v>144</v>
      </c>
      <c r="AJ13" s="126" t="s">
        <v>267</v>
      </c>
      <c r="AK13" s="126" t="s">
        <v>98</v>
      </c>
      <c r="AL13" s="126" t="s">
        <v>144</v>
      </c>
      <c r="AM13" s="126" t="s">
        <v>144</v>
      </c>
      <c r="AN13" s="126" t="s">
        <v>144</v>
      </c>
      <c r="AO13" s="126" t="s">
        <v>144</v>
      </c>
      <c r="AP13" s="126" t="s">
        <v>144</v>
      </c>
      <c r="AQ13" s="126" t="s">
        <v>144</v>
      </c>
      <c r="AR13" s="126" t="s">
        <v>144</v>
      </c>
      <c r="AS13" s="126" t="s">
        <v>144</v>
      </c>
      <c r="AT13" s="126" t="s">
        <v>144</v>
      </c>
      <c r="AU13" s="126" t="s">
        <v>144</v>
      </c>
      <c r="AV13" s="126" t="s">
        <v>98</v>
      </c>
      <c r="AW13" s="126" t="s">
        <v>144</v>
      </c>
    </row>
    <row r="14" spans="1:49" ht="14.4">
      <c r="A14" s="51"/>
      <c r="B14" s="122">
        <f t="shared" si="0"/>
        <v>7</v>
      </c>
      <c r="C14" s="118" t="s">
        <v>322</v>
      </c>
      <c r="D14" s="119" t="s">
        <v>323</v>
      </c>
      <c r="E14" s="134"/>
      <c r="F14" s="134" t="s">
        <v>102</v>
      </c>
      <c r="G14" s="135" t="s">
        <v>305</v>
      </c>
      <c r="H14" s="136" t="s">
        <v>306</v>
      </c>
      <c r="I14" s="126" t="s">
        <v>307</v>
      </c>
      <c r="J14" s="126" t="s">
        <v>144</v>
      </c>
      <c r="K14" s="126" t="s">
        <v>144</v>
      </c>
      <c r="L14" s="126" t="s">
        <v>308</v>
      </c>
      <c r="M14" s="126" t="s">
        <v>144</v>
      </c>
      <c r="N14" s="126" t="s">
        <v>309</v>
      </c>
      <c r="O14" s="126" t="s">
        <v>166</v>
      </c>
      <c r="P14" s="126" t="s">
        <v>310</v>
      </c>
      <c r="Q14" s="126" t="s">
        <v>166</v>
      </c>
      <c r="R14" s="126" t="s">
        <v>311</v>
      </c>
      <c r="S14" s="126" t="s">
        <v>144</v>
      </c>
      <c r="T14" s="126" t="s">
        <v>144</v>
      </c>
      <c r="U14" s="126" t="s">
        <v>166</v>
      </c>
      <c r="V14" s="133">
        <v>1</v>
      </c>
      <c r="W14" s="126" t="s">
        <v>102</v>
      </c>
      <c r="X14" s="126" t="s">
        <v>166</v>
      </c>
      <c r="Y14" s="126" t="s">
        <v>166</v>
      </c>
      <c r="Z14" s="126" t="s">
        <v>144</v>
      </c>
      <c r="AA14" s="126" t="s">
        <v>144</v>
      </c>
      <c r="AB14" s="126" t="s">
        <v>144</v>
      </c>
      <c r="AC14" s="126" t="s">
        <v>144</v>
      </c>
      <c r="AD14" s="126" t="s">
        <v>144</v>
      </c>
      <c r="AE14" s="126" t="s">
        <v>144</v>
      </c>
      <c r="AF14" s="126" t="s">
        <v>144</v>
      </c>
      <c r="AG14" s="126" t="s">
        <v>144</v>
      </c>
      <c r="AH14" s="126" t="s">
        <v>144</v>
      </c>
      <c r="AI14" s="126" t="s">
        <v>144</v>
      </c>
      <c r="AJ14" s="126" t="s">
        <v>267</v>
      </c>
      <c r="AK14" s="126" t="s">
        <v>98</v>
      </c>
      <c r="AL14" s="126" t="s">
        <v>144</v>
      </c>
      <c r="AM14" s="126" t="s">
        <v>144</v>
      </c>
      <c r="AN14" s="126" t="s">
        <v>144</v>
      </c>
      <c r="AO14" s="126" t="s">
        <v>144</v>
      </c>
      <c r="AP14" s="126" t="s">
        <v>144</v>
      </c>
      <c r="AQ14" s="126" t="s">
        <v>144</v>
      </c>
      <c r="AR14" s="126" t="s">
        <v>144</v>
      </c>
      <c r="AS14" s="126" t="s">
        <v>144</v>
      </c>
      <c r="AT14" s="126" t="s">
        <v>144</v>
      </c>
      <c r="AU14" s="126" t="s">
        <v>144</v>
      </c>
      <c r="AV14" s="126" t="s">
        <v>98</v>
      </c>
      <c r="AW14" s="126" t="s">
        <v>144</v>
      </c>
    </row>
    <row r="15" spans="1:49" ht="14.4">
      <c r="A15" s="51"/>
      <c r="B15" s="122">
        <f t="shared" si="0"/>
        <v>8</v>
      </c>
      <c r="C15" s="118" t="s">
        <v>324</v>
      </c>
      <c r="D15" s="119" t="s">
        <v>325</v>
      </c>
      <c r="E15" s="134"/>
      <c r="F15" s="134" t="s">
        <v>102</v>
      </c>
      <c r="G15" s="135" t="s">
        <v>305</v>
      </c>
      <c r="H15" s="136" t="s">
        <v>306</v>
      </c>
      <c r="I15" s="126" t="s">
        <v>307</v>
      </c>
      <c r="J15" s="126" t="s">
        <v>144</v>
      </c>
      <c r="K15" s="126" t="s">
        <v>144</v>
      </c>
      <c r="L15" s="126" t="s">
        <v>308</v>
      </c>
      <c r="M15" s="126" t="s">
        <v>144</v>
      </c>
      <c r="N15" s="126" t="s">
        <v>309</v>
      </c>
      <c r="O15" s="126" t="s">
        <v>166</v>
      </c>
      <c r="P15" s="126" t="s">
        <v>310</v>
      </c>
      <c r="Q15" s="126" t="s">
        <v>166</v>
      </c>
      <c r="R15" s="126" t="s">
        <v>311</v>
      </c>
      <c r="S15" s="126" t="s">
        <v>144</v>
      </c>
      <c r="T15" s="126" t="s">
        <v>144</v>
      </c>
      <c r="U15" s="126" t="s">
        <v>166</v>
      </c>
      <c r="V15" s="133">
        <v>1</v>
      </c>
      <c r="W15" s="126" t="s">
        <v>102</v>
      </c>
      <c r="X15" s="126" t="s">
        <v>166</v>
      </c>
      <c r="Y15" s="126" t="s">
        <v>166</v>
      </c>
      <c r="Z15" s="126" t="s">
        <v>144</v>
      </c>
      <c r="AA15" s="126" t="s">
        <v>144</v>
      </c>
      <c r="AB15" s="126" t="s">
        <v>144</v>
      </c>
      <c r="AC15" s="126" t="s">
        <v>144</v>
      </c>
      <c r="AD15" s="126" t="s">
        <v>144</v>
      </c>
      <c r="AE15" s="126" t="s">
        <v>144</v>
      </c>
      <c r="AF15" s="126" t="s">
        <v>144</v>
      </c>
      <c r="AG15" s="126" t="s">
        <v>144</v>
      </c>
      <c r="AH15" s="126" t="s">
        <v>144</v>
      </c>
      <c r="AI15" s="126" t="s">
        <v>144</v>
      </c>
      <c r="AJ15" s="126" t="s">
        <v>267</v>
      </c>
      <c r="AK15" s="126" t="s">
        <v>98</v>
      </c>
      <c r="AL15" s="126" t="s">
        <v>144</v>
      </c>
      <c r="AM15" s="126" t="s">
        <v>144</v>
      </c>
      <c r="AN15" s="126" t="s">
        <v>144</v>
      </c>
      <c r="AO15" s="126" t="s">
        <v>144</v>
      </c>
      <c r="AP15" s="126" t="s">
        <v>144</v>
      </c>
      <c r="AQ15" s="126" t="s">
        <v>144</v>
      </c>
      <c r="AR15" s="126" t="s">
        <v>144</v>
      </c>
      <c r="AS15" s="126" t="s">
        <v>144</v>
      </c>
      <c r="AT15" s="126" t="s">
        <v>144</v>
      </c>
      <c r="AU15" s="126" t="s">
        <v>144</v>
      </c>
      <c r="AV15" s="126" t="s">
        <v>98</v>
      </c>
      <c r="AW15" s="126" t="s">
        <v>144</v>
      </c>
    </row>
    <row r="16" spans="1:49" ht="14.4">
      <c r="A16" s="51"/>
      <c r="B16" s="122">
        <f>ROW() - 7</f>
        <v>9</v>
      </c>
      <c r="C16" s="118" t="s">
        <v>326</v>
      </c>
      <c r="D16" s="119" t="s">
        <v>327</v>
      </c>
      <c r="E16" s="134"/>
      <c r="F16" s="134" t="s">
        <v>102</v>
      </c>
      <c r="G16" s="135" t="s">
        <v>305</v>
      </c>
      <c r="H16" s="136" t="s">
        <v>306</v>
      </c>
      <c r="I16" s="126" t="s">
        <v>307</v>
      </c>
      <c r="J16" s="126" t="s">
        <v>144</v>
      </c>
      <c r="K16" s="126" t="s">
        <v>144</v>
      </c>
      <c r="L16" s="126" t="s">
        <v>308</v>
      </c>
      <c r="M16" s="126" t="s">
        <v>144</v>
      </c>
      <c r="N16" s="126" t="s">
        <v>309</v>
      </c>
      <c r="O16" s="126" t="s">
        <v>166</v>
      </c>
      <c r="P16" s="126" t="s">
        <v>310</v>
      </c>
      <c r="Q16" s="126" t="s">
        <v>166</v>
      </c>
      <c r="R16" s="126" t="s">
        <v>311</v>
      </c>
      <c r="S16" s="126" t="s">
        <v>144</v>
      </c>
      <c r="T16" s="126" t="s">
        <v>144</v>
      </c>
      <c r="U16" s="126" t="s">
        <v>166</v>
      </c>
      <c r="V16" s="133">
        <v>1</v>
      </c>
      <c r="W16" s="126" t="s">
        <v>102</v>
      </c>
      <c r="X16" s="126" t="s">
        <v>166</v>
      </c>
      <c r="Y16" s="126" t="s">
        <v>166</v>
      </c>
      <c r="Z16" s="126" t="s">
        <v>144</v>
      </c>
      <c r="AA16" s="126" t="s">
        <v>144</v>
      </c>
      <c r="AB16" s="126" t="s">
        <v>144</v>
      </c>
      <c r="AC16" s="126" t="s">
        <v>144</v>
      </c>
      <c r="AD16" s="126" t="s">
        <v>144</v>
      </c>
      <c r="AE16" s="126" t="s">
        <v>144</v>
      </c>
      <c r="AF16" s="126" t="s">
        <v>144</v>
      </c>
      <c r="AG16" s="126" t="s">
        <v>144</v>
      </c>
      <c r="AH16" s="126" t="s">
        <v>144</v>
      </c>
      <c r="AI16" s="126" t="s">
        <v>144</v>
      </c>
      <c r="AJ16" s="126" t="s">
        <v>267</v>
      </c>
      <c r="AK16" s="126" t="s">
        <v>98</v>
      </c>
      <c r="AL16" s="126" t="s">
        <v>144</v>
      </c>
      <c r="AM16" s="126" t="s">
        <v>144</v>
      </c>
      <c r="AN16" s="126" t="s">
        <v>144</v>
      </c>
      <c r="AO16" s="126" t="s">
        <v>144</v>
      </c>
      <c r="AP16" s="126" t="s">
        <v>144</v>
      </c>
      <c r="AQ16" s="126" t="s">
        <v>144</v>
      </c>
      <c r="AR16" s="126" t="s">
        <v>144</v>
      </c>
      <c r="AS16" s="126" t="s">
        <v>144</v>
      </c>
      <c r="AT16" s="126" t="s">
        <v>144</v>
      </c>
      <c r="AU16" s="126" t="s">
        <v>144</v>
      </c>
      <c r="AV16" s="126" t="s">
        <v>98</v>
      </c>
      <c r="AW16" s="126" t="s">
        <v>144</v>
      </c>
    </row>
    <row r="17" spans="1:49" ht="14.4">
      <c r="A17" s="51"/>
      <c r="B17" s="122">
        <f t="shared" ref="B17:B76" si="1">ROW() - 7</f>
        <v>10</v>
      </c>
      <c r="C17" s="118" t="s">
        <v>328</v>
      </c>
      <c r="D17" s="119" t="s">
        <v>329</v>
      </c>
      <c r="E17" s="134"/>
      <c r="F17" s="134" t="s">
        <v>102</v>
      </c>
      <c r="G17" s="135" t="s">
        <v>305</v>
      </c>
      <c r="H17" s="136" t="s">
        <v>306</v>
      </c>
      <c r="I17" s="126" t="s">
        <v>307</v>
      </c>
      <c r="J17" s="126" t="s">
        <v>144</v>
      </c>
      <c r="K17" s="126" t="s">
        <v>144</v>
      </c>
      <c r="L17" s="126" t="s">
        <v>308</v>
      </c>
      <c r="M17" s="126" t="s">
        <v>144</v>
      </c>
      <c r="N17" s="126" t="s">
        <v>309</v>
      </c>
      <c r="O17" s="126" t="s">
        <v>166</v>
      </c>
      <c r="P17" s="126" t="s">
        <v>310</v>
      </c>
      <c r="Q17" s="126" t="s">
        <v>166</v>
      </c>
      <c r="R17" s="126" t="s">
        <v>311</v>
      </c>
      <c r="S17" s="126" t="s">
        <v>144</v>
      </c>
      <c r="T17" s="126" t="s">
        <v>144</v>
      </c>
      <c r="U17" s="126" t="s">
        <v>166</v>
      </c>
      <c r="V17" s="133">
        <v>1</v>
      </c>
      <c r="W17" s="126" t="s">
        <v>102</v>
      </c>
      <c r="X17" s="126" t="s">
        <v>166</v>
      </c>
      <c r="Y17" s="126" t="s">
        <v>166</v>
      </c>
      <c r="Z17" s="126" t="s">
        <v>144</v>
      </c>
      <c r="AA17" s="126" t="s">
        <v>144</v>
      </c>
      <c r="AB17" s="126" t="s">
        <v>144</v>
      </c>
      <c r="AC17" s="126" t="s">
        <v>144</v>
      </c>
      <c r="AD17" s="126" t="s">
        <v>144</v>
      </c>
      <c r="AE17" s="126" t="s">
        <v>144</v>
      </c>
      <c r="AF17" s="126" t="s">
        <v>144</v>
      </c>
      <c r="AG17" s="126" t="s">
        <v>144</v>
      </c>
      <c r="AH17" s="126" t="s">
        <v>144</v>
      </c>
      <c r="AI17" s="126" t="s">
        <v>144</v>
      </c>
      <c r="AJ17" s="126" t="s">
        <v>267</v>
      </c>
      <c r="AK17" s="126" t="s">
        <v>98</v>
      </c>
      <c r="AL17" s="126" t="s">
        <v>144</v>
      </c>
      <c r="AM17" s="126" t="s">
        <v>144</v>
      </c>
      <c r="AN17" s="126" t="s">
        <v>144</v>
      </c>
      <c r="AO17" s="126" t="s">
        <v>144</v>
      </c>
      <c r="AP17" s="126" t="s">
        <v>144</v>
      </c>
      <c r="AQ17" s="126" t="s">
        <v>144</v>
      </c>
      <c r="AR17" s="126" t="s">
        <v>144</v>
      </c>
      <c r="AS17" s="126" t="s">
        <v>144</v>
      </c>
      <c r="AT17" s="126" t="s">
        <v>144</v>
      </c>
      <c r="AU17" s="126" t="s">
        <v>144</v>
      </c>
      <c r="AV17" s="126" t="s">
        <v>98</v>
      </c>
      <c r="AW17" s="126" t="s">
        <v>144</v>
      </c>
    </row>
    <row r="18" spans="1:49" ht="14.4">
      <c r="A18" s="51"/>
      <c r="B18" s="122">
        <f t="shared" si="1"/>
        <v>11</v>
      </c>
      <c r="C18" s="118" t="s">
        <v>330</v>
      </c>
      <c r="D18" s="119" t="s">
        <v>331</v>
      </c>
      <c r="E18" s="134"/>
      <c r="F18" s="134" t="s">
        <v>102</v>
      </c>
      <c r="G18" s="135" t="s">
        <v>305</v>
      </c>
      <c r="H18" s="136" t="s">
        <v>332</v>
      </c>
      <c r="I18" s="126" t="s">
        <v>307</v>
      </c>
      <c r="J18" s="126" t="s">
        <v>144</v>
      </c>
      <c r="K18" s="126" t="s">
        <v>144</v>
      </c>
      <c r="L18" s="126" t="s">
        <v>308</v>
      </c>
      <c r="M18" s="126" t="s">
        <v>144</v>
      </c>
      <c r="N18" s="126" t="s">
        <v>309</v>
      </c>
      <c r="O18" s="126" t="s">
        <v>166</v>
      </c>
      <c r="P18" s="126" t="s">
        <v>310</v>
      </c>
      <c r="Q18" s="126" t="s">
        <v>166</v>
      </c>
      <c r="R18" s="126" t="s">
        <v>311</v>
      </c>
      <c r="S18" s="126" t="s">
        <v>144</v>
      </c>
      <c r="T18" s="126" t="s">
        <v>144</v>
      </c>
      <c r="U18" s="126" t="s">
        <v>166</v>
      </c>
      <c r="V18" s="133">
        <v>1</v>
      </c>
      <c r="W18" s="126" t="s">
        <v>102</v>
      </c>
      <c r="X18" s="126" t="s">
        <v>166</v>
      </c>
      <c r="Y18" s="126" t="s">
        <v>166</v>
      </c>
      <c r="Z18" s="126" t="s">
        <v>144</v>
      </c>
      <c r="AA18" s="126" t="s">
        <v>144</v>
      </c>
      <c r="AB18" s="126" t="s">
        <v>144</v>
      </c>
      <c r="AC18" s="126" t="s">
        <v>144</v>
      </c>
      <c r="AD18" s="126" t="s">
        <v>144</v>
      </c>
      <c r="AE18" s="126" t="s">
        <v>144</v>
      </c>
      <c r="AF18" s="126" t="s">
        <v>144</v>
      </c>
      <c r="AG18" s="126" t="s">
        <v>144</v>
      </c>
      <c r="AH18" s="126" t="s">
        <v>144</v>
      </c>
      <c r="AI18" s="126" t="s">
        <v>144</v>
      </c>
      <c r="AJ18" s="126" t="s">
        <v>267</v>
      </c>
      <c r="AK18" s="126" t="s">
        <v>98</v>
      </c>
      <c r="AL18" s="126" t="s">
        <v>144</v>
      </c>
      <c r="AM18" s="126" t="s">
        <v>144</v>
      </c>
      <c r="AN18" s="126" t="s">
        <v>144</v>
      </c>
      <c r="AO18" s="126" t="s">
        <v>144</v>
      </c>
      <c r="AP18" s="126" t="s">
        <v>144</v>
      </c>
      <c r="AQ18" s="126" t="s">
        <v>144</v>
      </c>
      <c r="AR18" s="126" t="s">
        <v>144</v>
      </c>
      <c r="AS18" s="126" t="s">
        <v>144</v>
      </c>
      <c r="AT18" s="126" t="s">
        <v>144</v>
      </c>
      <c r="AU18" s="126" t="s">
        <v>144</v>
      </c>
      <c r="AV18" s="126" t="s">
        <v>98</v>
      </c>
      <c r="AW18" s="126" t="s">
        <v>144</v>
      </c>
    </row>
    <row r="19" spans="1:49" ht="16.2">
      <c r="A19" s="92"/>
      <c r="B19" s="122">
        <f t="shared" si="1"/>
        <v>12</v>
      </c>
      <c r="C19" s="118" t="s">
        <v>333</v>
      </c>
      <c r="D19" s="119" t="s">
        <v>334</v>
      </c>
      <c r="E19" s="134"/>
      <c r="F19" s="134" t="s">
        <v>102</v>
      </c>
      <c r="G19" s="135" t="s">
        <v>305</v>
      </c>
      <c r="H19" s="136" t="s">
        <v>332</v>
      </c>
      <c r="I19" s="126" t="s">
        <v>307</v>
      </c>
      <c r="J19" s="126" t="s">
        <v>144</v>
      </c>
      <c r="K19" s="126" t="s">
        <v>144</v>
      </c>
      <c r="L19" s="126" t="s">
        <v>308</v>
      </c>
      <c r="M19" s="126" t="s">
        <v>144</v>
      </c>
      <c r="N19" s="126" t="s">
        <v>309</v>
      </c>
      <c r="O19" s="126" t="s">
        <v>166</v>
      </c>
      <c r="P19" s="126" t="s">
        <v>310</v>
      </c>
      <c r="Q19" s="126" t="s">
        <v>166</v>
      </c>
      <c r="R19" s="126" t="s">
        <v>311</v>
      </c>
      <c r="S19" s="126" t="s">
        <v>144</v>
      </c>
      <c r="T19" s="126" t="s">
        <v>144</v>
      </c>
      <c r="U19" s="126" t="s">
        <v>166</v>
      </c>
      <c r="V19" s="133">
        <v>1</v>
      </c>
      <c r="W19" s="126" t="s">
        <v>102</v>
      </c>
      <c r="X19" s="126" t="s">
        <v>166</v>
      </c>
      <c r="Y19" s="126" t="s">
        <v>166</v>
      </c>
      <c r="Z19" s="126" t="s">
        <v>144</v>
      </c>
      <c r="AA19" s="126" t="s">
        <v>144</v>
      </c>
      <c r="AB19" s="126" t="s">
        <v>144</v>
      </c>
      <c r="AC19" s="126" t="s">
        <v>144</v>
      </c>
      <c r="AD19" s="126" t="s">
        <v>144</v>
      </c>
      <c r="AE19" s="126" t="s">
        <v>144</v>
      </c>
      <c r="AF19" s="126" t="s">
        <v>144</v>
      </c>
      <c r="AG19" s="126" t="s">
        <v>144</v>
      </c>
      <c r="AH19" s="126" t="s">
        <v>144</v>
      </c>
      <c r="AI19" s="126" t="s">
        <v>144</v>
      </c>
      <c r="AJ19" s="126" t="s">
        <v>267</v>
      </c>
      <c r="AK19" s="126" t="s">
        <v>98</v>
      </c>
      <c r="AL19" s="126" t="s">
        <v>144</v>
      </c>
      <c r="AM19" s="126" t="s">
        <v>144</v>
      </c>
      <c r="AN19" s="126" t="s">
        <v>144</v>
      </c>
      <c r="AO19" s="126" t="s">
        <v>144</v>
      </c>
      <c r="AP19" s="126" t="s">
        <v>144</v>
      </c>
      <c r="AQ19" s="126" t="s">
        <v>144</v>
      </c>
      <c r="AR19" s="126" t="s">
        <v>144</v>
      </c>
      <c r="AS19" s="126" t="s">
        <v>144</v>
      </c>
      <c r="AT19" s="126" t="s">
        <v>144</v>
      </c>
      <c r="AU19" s="126" t="s">
        <v>144</v>
      </c>
      <c r="AV19" s="126" t="s">
        <v>98</v>
      </c>
      <c r="AW19" s="126" t="s">
        <v>144</v>
      </c>
    </row>
    <row r="20" spans="1:49" ht="14.4">
      <c r="A20" s="51"/>
      <c r="B20" s="122">
        <f t="shared" si="1"/>
        <v>13</v>
      </c>
      <c r="C20" s="118" t="s">
        <v>335</v>
      </c>
      <c r="D20" s="119" t="s">
        <v>336</v>
      </c>
      <c r="E20" s="134"/>
      <c r="F20" s="134" t="s">
        <v>102</v>
      </c>
      <c r="G20" s="135" t="s">
        <v>305</v>
      </c>
      <c r="H20" s="136" t="s">
        <v>332</v>
      </c>
      <c r="I20" s="126" t="s">
        <v>307</v>
      </c>
      <c r="J20" s="126" t="s">
        <v>144</v>
      </c>
      <c r="K20" s="126" t="s">
        <v>144</v>
      </c>
      <c r="L20" s="126" t="s">
        <v>308</v>
      </c>
      <c r="M20" s="126" t="s">
        <v>144</v>
      </c>
      <c r="N20" s="126" t="s">
        <v>309</v>
      </c>
      <c r="O20" s="126" t="s">
        <v>166</v>
      </c>
      <c r="P20" s="126" t="s">
        <v>310</v>
      </c>
      <c r="Q20" s="126" t="s">
        <v>166</v>
      </c>
      <c r="R20" s="126" t="s">
        <v>311</v>
      </c>
      <c r="S20" s="126" t="s">
        <v>144</v>
      </c>
      <c r="T20" s="126" t="s">
        <v>144</v>
      </c>
      <c r="U20" s="126" t="s">
        <v>166</v>
      </c>
      <c r="V20" s="133">
        <v>1</v>
      </c>
      <c r="W20" s="126" t="s">
        <v>102</v>
      </c>
      <c r="X20" s="126" t="s">
        <v>166</v>
      </c>
      <c r="Y20" s="126" t="s">
        <v>166</v>
      </c>
      <c r="Z20" s="126" t="s">
        <v>144</v>
      </c>
      <c r="AA20" s="126" t="s">
        <v>144</v>
      </c>
      <c r="AB20" s="126" t="s">
        <v>144</v>
      </c>
      <c r="AC20" s="126" t="s">
        <v>144</v>
      </c>
      <c r="AD20" s="126" t="s">
        <v>144</v>
      </c>
      <c r="AE20" s="126" t="s">
        <v>144</v>
      </c>
      <c r="AF20" s="126" t="s">
        <v>144</v>
      </c>
      <c r="AG20" s="126" t="s">
        <v>144</v>
      </c>
      <c r="AH20" s="126" t="s">
        <v>144</v>
      </c>
      <c r="AI20" s="126" t="s">
        <v>144</v>
      </c>
      <c r="AJ20" s="126" t="s">
        <v>267</v>
      </c>
      <c r="AK20" s="126" t="s">
        <v>98</v>
      </c>
      <c r="AL20" s="126" t="s">
        <v>144</v>
      </c>
      <c r="AM20" s="126" t="s">
        <v>144</v>
      </c>
      <c r="AN20" s="126" t="s">
        <v>144</v>
      </c>
      <c r="AO20" s="126" t="s">
        <v>144</v>
      </c>
      <c r="AP20" s="126" t="s">
        <v>144</v>
      </c>
      <c r="AQ20" s="126" t="s">
        <v>144</v>
      </c>
      <c r="AR20" s="126" t="s">
        <v>144</v>
      </c>
      <c r="AS20" s="126" t="s">
        <v>144</v>
      </c>
      <c r="AT20" s="126" t="s">
        <v>144</v>
      </c>
      <c r="AU20" s="126" t="s">
        <v>144</v>
      </c>
      <c r="AV20" s="126" t="s">
        <v>98</v>
      </c>
      <c r="AW20" s="126" t="s">
        <v>144</v>
      </c>
    </row>
    <row r="21" spans="1:49" ht="14.4">
      <c r="A21" s="51"/>
      <c r="B21" s="122">
        <f t="shared" si="1"/>
        <v>14</v>
      </c>
      <c r="C21" s="118" t="s">
        <v>337</v>
      </c>
      <c r="D21" s="119" t="s">
        <v>338</v>
      </c>
      <c r="E21" s="134"/>
      <c r="F21" s="134" t="s">
        <v>102</v>
      </c>
      <c r="G21" s="135" t="s">
        <v>305</v>
      </c>
      <c r="H21" s="136" t="s">
        <v>332</v>
      </c>
      <c r="I21" s="126" t="s">
        <v>307</v>
      </c>
      <c r="J21" s="126" t="s">
        <v>144</v>
      </c>
      <c r="K21" s="126" t="s">
        <v>144</v>
      </c>
      <c r="L21" s="126" t="s">
        <v>308</v>
      </c>
      <c r="M21" s="126" t="s">
        <v>144</v>
      </c>
      <c r="N21" s="126" t="s">
        <v>309</v>
      </c>
      <c r="O21" s="126" t="s">
        <v>166</v>
      </c>
      <c r="P21" s="126" t="s">
        <v>310</v>
      </c>
      <c r="Q21" s="126" t="s">
        <v>166</v>
      </c>
      <c r="R21" s="126" t="s">
        <v>311</v>
      </c>
      <c r="S21" s="126" t="s">
        <v>144</v>
      </c>
      <c r="T21" s="126" t="s">
        <v>144</v>
      </c>
      <c r="U21" s="126" t="s">
        <v>166</v>
      </c>
      <c r="V21" s="133">
        <v>1</v>
      </c>
      <c r="W21" s="126" t="s">
        <v>102</v>
      </c>
      <c r="X21" s="126" t="s">
        <v>166</v>
      </c>
      <c r="Y21" s="126" t="s">
        <v>166</v>
      </c>
      <c r="Z21" s="126" t="s">
        <v>144</v>
      </c>
      <c r="AA21" s="126" t="s">
        <v>144</v>
      </c>
      <c r="AB21" s="126" t="s">
        <v>144</v>
      </c>
      <c r="AC21" s="126" t="s">
        <v>144</v>
      </c>
      <c r="AD21" s="126" t="s">
        <v>144</v>
      </c>
      <c r="AE21" s="126" t="s">
        <v>144</v>
      </c>
      <c r="AF21" s="126" t="s">
        <v>144</v>
      </c>
      <c r="AG21" s="126" t="s">
        <v>144</v>
      </c>
      <c r="AH21" s="126" t="s">
        <v>144</v>
      </c>
      <c r="AI21" s="126" t="s">
        <v>144</v>
      </c>
      <c r="AJ21" s="126" t="s">
        <v>267</v>
      </c>
      <c r="AK21" s="126" t="s">
        <v>98</v>
      </c>
      <c r="AL21" s="126" t="s">
        <v>144</v>
      </c>
      <c r="AM21" s="126" t="s">
        <v>144</v>
      </c>
      <c r="AN21" s="126" t="s">
        <v>144</v>
      </c>
      <c r="AO21" s="126" t="s">
        <v>144</v>
      </c>
      <c r="AP21" s="126" t="s">
        <v>144</v>
      </c>
      <c r="AQ21" s="126" t="s">
        <v>144</v>
      </c>
      <c r="AR21" s="126" t="s">
        <v>144</v>
      </c>
      <c r="AS21" s="126" t="s">
        <v>144</v>
      </c>
      <c r="AT21" s="126" t="s">
        <v>144</v>
      </c>
      <c r="AU21" s="126" t="s">
        <v>144</v>
      </c>
      <c r="AV21" s="126" t="s">
        <v>98</v>
      </c>
      <c r="AW21" s="126" t="s">
        <v>144</v>
      </c>
    </row>
    <row r="22" spans="1:49" ht="14.4">
      <c r="A22" s="51"/>
      <c r="B22" s="122">
        <f t="shared" si="1"/>
        <v>15</v>
      </c>
      <c r="C22" s="139" t="s">
        <v>339</v>
      </c>
      <c r="D22" s="122" t="s">
        <v>340</v>
      </c>
      <c r="E22" s="134"/>
      <c r="F22" s="134" t="s">
        <v>102</v>
      </c>
      <c r="G22" s="135" t="s">
        <v>305</v>
      </c>
      <c r="H22" s="136" t="s">
        <v>332</v>
      </c>
      <c r="I22" s="121" t="s">
        <v>307</v>
      </c>
      <c r="J22" s="126" t="s">
        <v>144</v>
      </c>
      <c r="K22" s="126" t="s">
        <v>144</v>
      </c>
      <c r="L22" s="126" t="s">
        <v>308</v>
      </c>
      <c r="M22" s="126" t="s">
        <v>144</v>
      </c>
      <c r="N22" s="126" t="s">
        <v>309</v>
      </c>
      <c r="O22" s="126" t="s">
        <v>166</v>
      </c>
      <c r="P22" s="126" t="s">
        <v>310</v>
      </c>
      <c r="Q22" s="126" t="s">
        <v>166</v>
      </c>
      <c r="R22" s="126" t="s">
        <v>311</v>
      </c>
      <c r="S22" s="126" t="s">
        <v>144</v>
      </c>
      <c r="T22" s="126" t="s">
        <v>144</v>
      </c>
      <c r="U22" s="126" t="s">
        <v>166</v>
      </c>
      <c r="V22" s="133">
        <v>1</v>
      </c>
      <c r="W22" s="126" t="s">
        <v>102</v>
      </c>
      <c r="X22" s="126" t="s">
        <v>166</v>
      </c>
      <c r="Y22" s="126" t="s">
        <v>166</v>
      </c>
      <c r="Z22" s="126" t="s">
        <v>144</v>
      </c>
      <c r="AA22" s="126" t="s">
        <v>144</v>
      </c>
      <c r="AB22" s="126" t="s">
        <v>144</v>
      </c>
      <c r="AC22" s="126" t="s">
        <v>144</v>
      </c>
      <c r="AD22" s="126" t="s">
        <v>144</v>
      </c>
      <c r="AE22" s="126" t="s">
        <v>144</v>
      </c>
      <c r="AF22" s="126" t="s">
        <v>144</v>
      </c>
      <c r="AG22" s="126" t="s">
        <v>144</v>
      </c>
      <c r="AH22" s="126" t="s">
        <v>144</v>
      </c>
      <c r="AI22" s="126" t="s">
        <v>144</v>
      </c>
      <c r="AJ22" s="126" t="s">
        <v>267</v>
      </c>
      <c r="AK22" s="126" t="s">
        <v>98</v>
      </c>
      <c r="AL22" s="126" t="s">
        <v>144</v>
      </c>
      <c r="AM22" s="126" t="s">
        <v>144</v>
      </c>
      <c r="AN22" s="126" t="s">
        <v>144</v>
      </c>
      <c r="AO22" s="126" t="s">
        <v>144</v>
      </c>
      <c r="AP22" s="126" t="s">
        <v>144</v>
      </c>
      <c r="AQ22" s="126" t="s">
        <v>144</v>
      </c>
      <c r="AR22" s="126" t="s">
        <v>144</v>
      </c>
      <c r="AS22" s="126" t="s">
        <v>144</v>
      </c>
      <c r="AT22" s="126" t="s">
        <v>144</v>
      </c>
      <c r="AU22" s="126" t="s">
        <v>144</v>
      </c>
      <c r="AV22" s="126" t="s">
        <v>98</v>
      </c>
      <c r="AW22" s="126" t="s">
        <v>144</v>
      </c>
    </row>
    <row r="23" spans="1:49" ht="14.4">
      <c r="A23" s="51"/>
      <c r="B23" s="122">
        <f t="shared" si="1"/>
        <v>16</v>
      </c>
      <c r="C23" s="139" t="s">
        <v>341</v>
      </c>
      <c r="D23" s="122" t="s">
        <v>342</v>
      </c>
      <c r="E23" s="134"/>
      <c r="F23" s="134" t="s">
        <v>102</v>
      </c>
      <c r="G23" s="135" t="s">
        <v>305</v>
      </c>
      <c r="H23" s="136" t="s">
        <v>332</v>
      </c>
      <c r="I23" s="121" t="s">
        <v>307</v>
      </c>
      <c r="J23" s="126" t="s">
        <v>144</v>
      </c>
      <c r="K23" s="126" t="s">
        <v>144</v>
      </c>
      <c r="L23" s="126" t="s">
        <v>308</v>
      </c>
      <c r="M23" s="126" t="s">
        <v>144</v>
      </c>
      <c r="N23" s="126" t="s">
        <v>309</v>
      </c>
      <c r="O23" s="126" t="s">
        <v>166</v>
      </c>
      <c r="P23" s="126" t="s">
        <v>310</v>
      </c>
      <c r="Q23" s="126" t="s">
        <v>166</v>
      </c>
      <c r="R23" s="126" t="s">
        <v>311</v>
      </c>
      <c r="S23" s="126" t="s">
        <v>144</v>
      </c>
      <c r="T23" s="126" t="s">
        <v>144</v>
      </c>
      <c r="U23" s="126" t="s">
        <v>166</v>
      </c>
      <c r="V23" s="133">
        <v>1</v>
      </c>
      <c r="W23" s="126" t="s">
        <v>102</v>
      </c>
      <c r="X23" s="126" t="s">
        <v>166</v>
      </c>
      <c r="Y23" s="126" t="s">
        <v>166</v>
      </c>
      <c r="Z23" s="126" t="s">
        <v>144</v>
      </c>
      <c r="AA23" s="126" t="s">
        <v>144</v>
      </c>
      <c r="AB23" s="126" t="s">
        <v>144</v>
      </c>
      <c r="AC23" s="126" t="s">
        <v>144</v>
      </c>
      <c r="AD23" s="126" t="s">
        <v>144</v>
      </c>
      <c r="AE23" s="126" t="s">
        <v>144</v>
      </c>
      <c r="AF23" s="126" t="s">
        <v>144</v>
      </c>
      <c r="AG23" s="126" t="s">
        <v>144</v>
      </c>
      <c r="AH23" s="126" t="s">
        <v>144</v>
      </c>
      <c r="AI23" s="126" t="s">
        <v>144</v>
      </c>
      <c r="AJ23" s="126" t="s">
        <v>267</v>
      </c>
      <c r="AK23" s="126" t="s">
        <v>98</v>
      </c>
      <c r="AL23" s="126" t="s">
        <v>144</v>
      </c>
      <c r="AM23" s="126" t="s">
        <v>144</v>
      </c>
      <c r="AN23" s="126" t="s">
        <v>144</v>
      </c>
      <c r="AO23" s="126" t="s">
        <v>144</v>
      </c>
      <c r="AP23" s="126" t="s">
        <v>144</v>
      </c>
      <c r="AQ23" s="126" t="s">
        <v>144</v>
      </c>
      <c r="AR23" s="126" t="s">
        <v>144</v>
      </c>
      <c r="AS23" s="126" t="s">
        <v>144</v>
      </c>
      <c r="AT23" s="126" t="s">
        <v>144</v>
      </c>
      <c r="AU23" s="126" t="s">
        <v>144</v>
      </c>
      <c r="AV23" s="126" t="s">
        <v>98</v>
      </c>
      <c r="AW23" s="126" t="s">
        <v>144</v>
      </c>
    </row>
    <row r="24" spans="1:49" ht="14.4">
      <c r="A24" s="51"/>
      <c r="B24" s="122">
        <f t="shared" si="1"/>
        <v>17</v>
      </c>
      <c r="C24" s="140" t="s">
        <v>343</v>
      </c>
      <c r="D24" s="121" t="s">
        <v>344</v>
      </c>
      <c r="E24" s="134"/>
      <c r="F24" s="134" t="s">
        <v>102</v>
      </c>
      <c r="G24" s="135" t="s">
        <v>305</v>
      </c>
      <c r="H24" s="136" t="s">
        <v>332</v>
      </c>
      <c r="I24" s="121" t="s">
        <v>307</v>
      </c>
      <c r="J24" s="126" t="s">
        <v>144</v>
      </c>
      <c r="K24" s="126" t="s">
        <v>144</v>
      </c>
      <c r="L24" s="126" t="s">
        <v>308</v>
      </c>
      <c r="M24" s="126" t="s">
        <v>144</v>
      </c>
      <c r="N24" s="126" t="s">
        <v>309</v>
      </c>
      <c r="O24" s="126" t="s">
        <v>166</v>
      </c>
      <c r="P24" s="126" t="s">
        <v>310</v>
      </c>
      <c r="Q24" s="126" t="s">
        <v>166</v>
      </c>
      <c r="R24" s="126" t="s">
        <v>311</v>
      </c>
      <c r="S24" s="126" t="s">
        <v>144</v>
      </c>
      <c r="T24" s="126" t="s">
        <v>144</v>
      </c>
      <c r="U24" s="126" t="s">
        <v>166</v>
      </c>
      <c r="V24" s="133">
        <v>1</v>
      </c>
      <c r="W24" s="126" t="s">
        <v>102</v>
      </c>
      <c r="X24" s="126" t="s">
        <v>166</v>
      </c>
      <c r="Y24" s="126" t="s">
        <v>166</v>
      </c>
      <c r="Z24" s="126" t="s">
        <v>144</v>
      </c>
      <c r="AA24" s="126" t="s">
        <v>144</v>
      </c>
      <c r="AB24" s="126" t="s">
        <v>144</v>
      </c>
      <c r="AC24" s="126" t="s">
        <v>144</v>
      </c>
      <c r="AD24" s="126" t="s">
        <v>144</v>
      </c>
      <c r="AE24" s="126" t="s">
        <v>144</v>
      </c>
      <c r="AF24" s="126" t="s">
        <v>144</v>
      </c>
      <c r="AG24" s="126" t="s">
        <v>144</v>
      </c>
      <c r="AH24" s="126" t="s">
        <v>144</v>
      </c>
      <c r="AI24" s="126" t="s">
        <v>144</v>
      </c>
      <c r="AJ24" s="126" t="s">
        <v>267</v>
      </c>
      <c r="AK24" s="126" t="s">
        <v>98</v>
      </c>
      <c r="AL24" s="126" t="s">
        <v>144</v>
      </c>
      <c r="AM24" s="126" t="s">
        <v>144</v>
      </c>
      <c r="AN24" s="126" t="s">
        <v>144</v>
      </c>
      <c r="AO24" s="126" t="s">
        <v>144</v>
      </c>
      <c r="AP24" s="126" t="s">
        <v>144</v>
      </c>
      <c r="AQ24" s="126" t="s">
        <v>144</v>
      </c>
      <c r="AR24" s="126" t="s">
        <v>144</v>
      </c>
      <c r="AS24" s="126" t="s">
        <v>144</v>
      </c>
      <c r="AT24" s="126" t="s">
        <v>144</v>
      </c>
      <c r="AU24" s="126" t="s">
        <v>144</v>
      </c>
      <c r="AV24" s="126" t="s">
        <v>98</v>
      </c>
      <c r="AW24" s="126" t="s">
        <v>144</v>
      </c>
    </row>
    <row r="25" spans="1:49" ht="14.4">
      <c r="A25" s="51"/>
      <c r="B25" s="122">
        <f t="shared" si="1"/>
        <v>18</v>
      </c>
      <c r="C25" s="118" t="s">
        <v>345</v>
      </c>
      <c r="D25" s="119" t="s">
        <v>346</v>
      </c>
      <c r="E25" s="134"/>
      <c r="F25" s="134" t="s">
        <v>102</v>
      </c>
      <c r="G25" s="135" t="s">
        <v>305</v>
      </c>
      <c r="H25" s="136" t="s">
        <v>332</v>
      </c>
      <c r="I25" s="126" t="s">
        <v>307</v>
      </c>
      <c r="J25" s="126" t="s">
        <v>144</v>
      </c>
      <c r="K25" s="126" t="s">
        <v>144</v>
      </c>
      <c r="L25" s="126" t="s">
        <v>308</v>
      </c>
      <c r="M25" s="126" t="s">
        <v>144</v>
      </c>
      <c r="N25" s="126" t="s">
        <v>309</v>
      </c>
      <c r="O25" s="126" t="s">
        <v>166</v>
      </c>
      <c r="P25" s="126" t="s">
        <v>310</v>
      </c>
      <c r="Q25" s="126" t="s">
        <v>166</v>
      </c>
      <c r="R25" s="126" t="s">
        <v>311</v>
      </c>
      <c r="S25" s="126" t="s">
        <v>144</v>
      </c>
      <c r="T25" s="126" t="s">
        <v>144</v>
      </c>
      <c r="U25" s="126" t="s">
        <v>166</v>
      </c>
      <c r="V25" s="133">
        <v>1</v>
      </c>
      <c r="W25" s="126" t="s">
        <v>102</v>
      </c>
      <c r="X25" s="126" t="s">
        <v>166</v>
      </c>
      <c r="Y25" s="126" t="s">
        <v>166</v>
      </c>
      <c r="Z25" s="126" t="s">
        <v>144</v>
      </c>
      <c r="AA25" s="126" t="s">
        <v>144</v>
      </c>
      <c r="AB25" s="126" t="s">
        <v>144</v>
      </c>
      <c r="AC25" s="126" t="s">
        <v>144</v>
      </c>
      <c r="AD25" s="126" t="s">
        <v>144</v>
      </c>
      <c r="AE25" s="126" t="s">
        <v>144</v>
      </c>
      <c r="AF25" s="126" t="s">
        <v>144</v>
      </c>
      <c r="AG25" s="126" t="s">
        <v>144</v>
      </c>
      <c r="AH25" s="126" t="s">
        <v>144</v>
      </c>
      <c r="AI25" s="126" t="s">
        <v>144</v>
      </c>
      <c r="AJ25" s="126" t="s">
        <v>267</v>
      </c>
      <c r="AK25" s="126" t="s">
        <v>98</v>
      </c>
      <c r="AL25" s="126" t="s">
        <v>144</v>
      </c>
      <c r="AM25" s="126" t="s">
        <v>144</v>
      </c>
      <c r="AN25" s="126" t="s">
        <v>144</v>
      </c>
      <c r="AO25" s="126" t="s">
        <v>144</v>
      </c>
      <c r="AP25" s="126" t="s">
        <v>144</v>
      </c>
      <c r="AQ25" s="126" t="s">
        <v>144</v>
      </c>
      <c r="AR25" s="126" t="s">
        <v>144</v>
      </c>
      <c r="AS25" s="126" t="s">
        <v>144</v>
      </c>
      <c r="AT25" s="126" t="s">
        <v>144</v>
      </c>
      <c r="AU25" s="126" t="s">
        <v>144</v>
      </c>
      <c r="AV25" s="126" t="s">
        <v>98</v>
      </c>
      <c r="AW25" s="126" t="s">
        <v>144</v>
      </c>
    </row>
    <row r="26" spans="1:49" ht="14.4">
      <c r="A26" s="120"/>
      <c r="B26" s="122">
        <f t="shared" si="1"/>
        <v>19</v>
      </c>
      <c r="C26" s="118" t="s">
        <v>347</v>
      </c>
      <c r="D26" s="119" t="s">
        <v>348</v>
      </c>
      <c r="E26" s="134"/>
      <c r="F26" s="134" t="s">
        <v>102</v>
      </c>
      <c r="G26" s="135" t="s">
        <v>305</v>
      </c>
      <c r="H26" s="136" t="s">
        <v>332</v>
      </c>
      <c r="I26" s="126" t="s">
        <v>307</v>
      </c>
      <c r="J26" s="126" t="s">
        <v>144</v>
      </c>
      <c r="K26" s="126" t="s">
        <v>144</v>
      </c>
      <c r="L26" s="126" t="s">
        <v>308</v>
      </c>
      <c r="M26" s="126" t="s">
        <v>144</v>
      </c>
      <c r="N26" s="126" t="s">
        <v>309</v>
      </c>
      <c r="O26" s="126" t="s">
        <v>166</v>
      </c>
      <c r="P26" s="126" t="s">
        <v>310</v>
      </c>
      <c r="Q26" s="126" t="s">
        <v>166</v>
      </c>
      <c r="R26" s="126" t="s">
        <v>311</v>
      </c>
      <c r="S26" s="126" t="s">
        <v>144</v>
      </c>
      <c r="T26" s="126" t="s">
        <v>144</v>
      </c>
      <c r="U26" s="126" t="s">
        <v>166</v>
      </c>
      <c r="V26" s="133">
        <v>1</v>
      </c>
      <c r="W26" s="126" t="s">
        <v>102</v>
      </c>
      <c r="X26" s="126" t="s">
        <v>166</v>
      </c>
      <c r="Y26" s="126" t="s">
        <v>166</v>
      </c>
      <c r="Z26" s="126" t="s">
        <v>144</v>
      </c>
      <c r="AA26" s="126" t="s">
        <v>144</v>
      </c>
      <c r="AB26" s="126" t="s">
        <v>144</v>
      </c>
      <c r="AC26" s="126" t="s">
        <v>144</v>
      </c>
      <c r="AD26" s="126" t="s">
        <v>144</v>
      </c>
      <c r="AE26" s="126" t="s">
        <v>144</v>
      </c>
      <c r="AF26" s="126" t="s">
        <v>144</v>
      </c>
      <c r="AG26" s="126" t="s">
        <v>144</v>
      </c>
      <c r="AH26" s="126" t="s">
        <v>144</v>
      </c>
      <c r="AI26" s="126" t="s">
        <v>144</v>
      </c>
      <c r="AJ26" s="126" t="s">
        <v>267</v>
      </c>
      <c r="AK26" s="126" t="s">
        <v>98</v>
      </c>
      <c r="AL26" s="126" t="s">
        <v>144</v>
      </c>
      <c r="AM26" s="126" t="s">
        <v>144</v>
      </c>
      <c r="AN26" s="126" t="s">
        <v>144</v>
      </c>
      <c r="AO26" s="126" t="s">
        <v>144</v>
      </c>
      <c r="AP26" s="126" t="s">
        <v>144</v>
      </c>
      <c r="AQ26" s="126" t="s">
        <v>144</v>
      </c>
      <c r="AR26" s="126" t="s">
        <v>144</v>
      </c>
      <c r="AS26" s="126" t="s">
        <v>144</v>
      </c>
      <c r="AT26" s="126" t="s">
        <v>144</v>
      </c>
      <c r="AU26" s="126" t="s">
        <v>144</v>
      </c>
      <c r="AV26" s="126" t="s">
        <v>98</v>
      </c>
      <c r="AW26" s="126" t="s">
        <v>144</v>
      </c>
    </row>
    <row r="27" spans="1:49" ht="14.4">
      <c r="A27" s="120"/>
      <c r="B27" s="122">
        <f t="shared" si="1"/>
        <v>20</v>
      </c>
      <c r="C27" s="118" t="s">
        <v>349</v>
      </c>
      <c r="D27" s="119" t="s">
        <v>350</v>
      </c>
      <c r="E27" s="134"/>
      <c r="F27" s="134" t="s">
        <v>102</v>
      </c>
      <c r="G27" s="135" t="s">
        <v>305</v>
      </c>
      <c r="H27" s="136" t="s">
        <v>332</v>
      </c>
      <c r="I27" s="126" t="s">
        <v>307</v>
      </c>
      <c r="J27" s="126" t="s">
        <v>144</v>
      </c>
      <c r="K27" s="126" t="s">
        <v>144</v>
      </c>
      <c r="L27" s="126" t="s">
        <v>308</v>
      </c>
      <c r="M27" s="126" t="s">
        <v>144</v>
      </c>
      <c r="N27" s="126" t="s">
        <v>309</v>
      </c>
      <c r="O27" s="126" t="s">
        <v>166</v>
      </c>
      <c r="P27" s="126" t="s">
        <v>310</v>
      </c>
      <c r="Q27" s="126" t="s">
        <v>166</v>
      </c>
      <c r="R27" s="126" t="s">
        <v>311</v>
      </c>
      <c r="S27" s="126" t="s">
        <v>144</v>
      </c>
      <c r="T27" s="126" t="s">
        <v>144</v>
      </c>
      <c r="U27" s="126" t="s">
        <v>166</v>
      </c>
      <c r="V27" s="133">
        <v>1</v>
      </c>
      <c r="W27" s="126" t="s">
        <v>102</v>
      </c>
      <c r="X27" s="126" t="s">
        <v>166</v>
      </c>
      <c r="Y27" s="126" t="s">
        <v>166</v>
      </c>
      <c r="Z27" s="126" t="s">
        <v>144</v>
      </c>
      <c r="AA27" s="126" t="s">
        <v>144</v>
      </c>
      <c r="AB27" s="126" t="s">
        <v>144</v>
      </c>
      <c r="AC27" s="126" t="s">
        <v>144</v>
      </c>
      <c r="AD27" s="126" t="s">
        <v>144</v>
      </c>
      <c r="AE27" s="126" t="s">
        <v>144</v>
      </c>
      <c r="AF27" s="126" t="s">
        <v>144</v>
      </c>
      <c r="AG27" s="126" t="s">
        <v>144</v>
      </c>
      <c r="AH27" s="126" t="s">
        <v>144</v>
      </c>
      <c r="AI27" s="126" t="s">
        <v>144</v>
      </c>
      <c r="AJ27" s="126" t="s">
        <v>267</v>
      </c>
      <c r="AK27" s="126" t="s">
        <v>98</v>
      </c>
      <c r="AL27" s="126" t="s">
        <v>144</v>
      </c>
      <c r="AM27" s="126" t="s">
        <v>144</v>
      </c>
      <c r="AN27" s="126" t="s">
        <v>144</v>
      </c>
      <c r="AO27" s="126" t="s">
        <v>144</v>
      </c>
      <c r="AP27" s="126" t="s">
        <v>144</v>
      </c>
      <c r="AQ27" s="126" t="s">
        <v>144</v>
      </c>
      <c r="AR27" s="126" t="s">
        <v>144</v>
      </c>
      <c r="AS27" s="126" t="s">
        <v>144</v>
      </c>
      <c r="AT27" s="126" t="s">
        <v>144</v>
      </c>
      <c r="AU27" s="126" t="s">
        <v>144</v>
      </c>
      <c r="AV27" s="126" t="s">
        <v>98</v>
      </c>
      <c r="AW27" s="126" t="s">
        <v>144</v>
      </c>
    </row>
    <row r="28" spans="1:49" ht="14.4">
      <c r="A28" s="120"/>
      <c r="B28" s="122">
        <f t="shared" si="1"/>
        <v>21</v>
      </c>
      <c r="C28" s="118" t="s">
        <v>351</v>
      </c>
      <c r="D28" s="119" t="s">
        <v>352</v>
      </c>
      <c r="E28" s="134"/>
      <c r="F28" s="134" t="s">
        <v>102</v>
      </c>
      <c r="G28" s="135" t="s">
        <v>305</v>
      </c>
      <c r="H28" s="136" t="s">
        <v>332</v>
      </c>
      <c r="I28" s="126" t="s">
        <v>307</v>
      </c>
      <c r="J28" s="126" t="s">
        <v>144</v>
      </c>
      <c r="K28" s="126" t="s">
        <v>144</v>
      </c>
      <c r="L28" s="126" t="s">
        <v>308</v>
      </c>
      <c r="M28" s="126" t="s">
        <v>144</v>
      </c>
      <c r="N28" s="126" t="s">
        <v>309</v>
      </c>
      <c r="O28" s="126" t="s">
        <v>166</v>
      </c>
      <c r="P28" s="126" t="s">
        <v>310</v>
      </c>
      <c r="Q28" s="126" t="s">
        <v>166</v>
      </c>
      <c r="R28" s="126" t="s">
        <v>311</v>
      </c>
      <c r="S28" s="126" t="s">
        <v>144</v>
      </c>
      <c r="T28" s="126" t="s">
        <v>144</v>
      </c>
      <c r="U28" s="126" t="s">
        <v>166</v>
      </c>
      <c r="V28" s="133">
        <v>1</v>
      </c>
      <c r="W28" s="126" t="s">
        <v>102</v>
      </c>
      <c r="X28" s="126" t="s">
        <v>166</v>
      </c>
      <c r="Y28" s="126" t="s">
        <v>166</v>
      </c>
      <c r="Z28" s="126" t="s">
        <v>144</v>
      </c>
      <c r="AA28" s="126" t="s">
        <v>144</v>
      </c>
      <c r="AB28" s="126" t="s">
        <v>144</v>
      </c>
      <c r="AC28" s="126" t="s">
        <v>144</v>
      </c>
      <c r="AD28" s="126" t="s">
        <v>144</v>
      </c>
      <c r="AE28" s="126" t="s">
        <v>144</v>
      </c>
      <c r="AF28" s="126" t="s">
        <v>144</v>
      </c>
      <c r="AG28" s="126" t="s">
        <v>144</v>
      </c>
      <c r="AH28" s="126" t="s">
        <v>144</v>
      </c>
      <c r="AI28" s="126" t="s">
        <v>144</v>
      </c>
      <c r="AJ28" s="126" t="s">
        <v>267</v>
      </c>
      <c r="AK28" s="126" t="s">
        <v>98</v>
      </c>
      <c r="AL28" s="126" t="s">
        <v>144</v>
      </c>
      <c r="AM28" s="126" t="s">
        <v>144</v>
      </c>
      <c r="AN28" s="126" t="s">
        <v>144</v>
      </c>
      <c r="AO28" s="126" t="s">
        <v>144</v>
      </c>
      <c r="AP28" s="126" t="s">
        <v>144</v>
      </c>
      <c r="AQ28" s="126" t="s">
        <v>144</v>
      </c>
      <c r="AR28" s="126" t="s">
        <v>144</v>
      </c>
      <c r="AS28" s="126" t="s">
        <v>144</v>
      </c>
      <c r="AT28" s="126" t="s">
        <v>144</v>
      </c>
      <c r="AU28" s="126" t="s">
        <v>144</v>
      </c>
      <c r="AV28" s="126" t="s">
        <v>98</v>
      </c>
      <c r="AW28" s="126" t="s">
        <v>144</v>
      </c>
    </row>
    <row r="29" spans="1:49" ht="14.4">
      <c r="A29" s="120"/>
      <c r="B29" s="122">
        <f t="shared" si="1"/>
        <v>22</v>
      </c>
      <c r="C29" s="118" t="s">
        <v>353</v>
      </c>
      <c r="D29" s="119" t="s">
        <v>354</v>
      </c>
      <c r="E29" s="134"/>
      <c r="F29" s="134" t="s">
        <v>102</v>
      </c>
      <c r="G29" s="135" t="s">
        <v>305</v>
      </c>
      <c r="H29" s="136" t="s">
        <v>332</v>
      </c>
      <c r="I29" s="126" t="s">
        <v>307</v>
      </c>
      <c r="J29" s="126" t="s">
        <v>144</v>
      </c>
      <c r="K29" s="126" t="s">
        <v>144</v>
      </c>
      <c r="L29" s="126" t="s">
        <v>308</v>
      </c>
      <c r="M29" s="126" t="s">
        <v>144</v>
      </c>
      <c r="N29" s="126" t="s">
        <v>309</v>
      </c>
      <c r="O29" s="126" t="s">
        <v>166</v>
      </c>
      <c r="P29" s="126" t="s">
        <v>310</v>
      </c>
      <c r="Q29" s="126" t="s">
        <v>166</v>
      </c>
      <c r="R29" s="126" t="s">
        <v>311</v>
      </c>
      <c r="S29" s="126" t="s">
        <v>144</v>
      </c>
      <c r="T29" s="126" t="s">
        <v>144</v>
      </c>
      <c r="U29" s="126" t="s">
        <v>166</v>
      </c>
      <c r="V29" s="133">
        <v>1</v>
      </c>
      <c r="W29" s="126" t="s">
        <v>102</v>
      </c>
      <c r="X29" s="126" t="s">
        <v>166</v>
      </c>
      <c r="Y29" s="126" t="s">
        <v>166</v>
      </c>
      <c r="Z29" s="126" t="s">
        <v>144</v>
      </c>
      <c r="AA29" s="126" t="s">
        <v>144</v>
      </c>
      <c r="AB29" s="126" t="s">
        <v>144</v>
      </c>
      <c r="AC29" s="126" t="s">
        <v>144</v>
      </c>
      <c r="AD29" s="126" t="s">
        <v>144</v>
      </c>
      <c r="AE29" s="126" t="s">
        <v>144</v>
      </c>
      <c r="AF29" s="126" t="s">
        <v>144</v>
      </c>
      <c r="AG29" s="126" t="s">
        <v>144</v>
      </c>
      <c r="AH29" s="126" t="s">
        <v>144</v>
      </c>
      <c r="AI29" s="126" t="s">
        <v>144</v>
      </c>
      <c r="AJ29" s="126" t="s">
        <v>267</v>
      </c>
      <c r="AK29" s="126" t="s">
        <v>98</v>
      </c>
      <c r="AL29" s="126" t="s">
        <v>144</v>
      </c>
      <c r="AM29" s="126" t="s">
        <v>144</v>
      </c>
      <c r="AN29" s="126" t="s">
        <v>144</v>
      </c>
      <c r="AO29" s="126" t="s">
        <v>144</v>
      </c>
      <c r="AP29" s="126" t="s">
        <v>144</v>
      </c>
      <c r="AQ29" s="126" t="s">
        <v>144</v>
      </c>
      <c r="AR29" s="126" t="s">
        <v>144</v>
      </c>
      <c r="AS29" s="126" t="s">
        <v>144</v>
      </c>
      <c r="AT29" s="126" t="s">
        <v>144</v>
      </c>
      <c r="AU29" s="126" t="s">
        <v>144</v>
      </c>
      <c r="AV29" s="126" t="s">
        <v>98</v>
      </c>
      <c r="AW29" s="126" t="s">
        <v>144</v>
      </c>
    </row>
    <row r="30" spans="1:49" ht="14.4">
      <c r="A30" s="120"/>
      <c r="B30" s="122">
        <f t="shared" si="1"/>
        <v>23</v>
      </c>
      <c r="C30" s="137" t="s">
        <v>355</v>
      </c>
      <c r="D30" s="138" t="s">
        <v>356</v>
      </c>
      <c r="E30" s="134"/>
      <c r="F30" s="134" t="s">
        <v>102</v>
      </c>
      <c r="G30" s="135" t="s">
        <v>305</v>
      </c>
      <c r="H30" s="136" t="s">
        <v>332</v>
      </c>
      <c r="I30" s="126" t="s">
        <v>307</v>
      </c>
      <c r="J30" s="126" t="s">
        <v>144</v>
      </c>
      <c r="K30" s="126" t="s">
        <v>144</v>
      </c>
      <c r="L30" s="126" t="s">
        <v>308</v>
      </c>
      <c r="M30" s="126" t="s">
        <v>144</v>
      </c>
      <c r="N30" s="126" t="s">
        <v>309</v>
      </c>
      <c r="O30" s="126" t="s">
        <v>166</v>
      </c>
      <c r="P30" s="126" t="s">
        <v>310</v>
      </c>
      <c r="Q30" s="126" t="s">
        <v>166</v>
      </c>
      <c r="R30" s="126" t="s">
        <v>311</v>
      </c>
      <c r="S30" s="126" t="s">
        <v>144</v>
      </c>
      <c r="T30" s="126" t="s">
        <v>144</v>
      </c>
      <c r="U30" s="126" t="s">
        <v>166</v>
      </c>
      <c r="V30" s="133">
        <v>1</v>
      </c>
      <c r="W30" s="126" t="s">
        <v>102</v>
      </c>
      <c r="X30" s="126" t="s">
        <v>166</v>
      </c>
      <c r="Y30" s="126" t="s">
        <v>166</v>
      </c>
      <c r="Z30" s="126" t="s">
        <v>144</v>
      </c>
      <c r="AA30" s="126" t="s">
        <v>144</v>
      </c>
      <c r="AB30" s="126" t="s">
        <v>144</v>
      </c>
      <c r="AC30" s="126" t="s">
        <v>144</v>
      </c>
      <c r="AD30" s="126" t="s">
        <v>144</v>
      </c>
      <c r="AE30" s="126" t="s">
        <v>144</v>
      </c>
      <c r="AF30" s="126" t="s">
        <v>144</v>
      </c>
      <c r="AG30" s="126" t="s">
        <v>144</v>
      </c>
      <c r="AH30" s="126" t="s">
        <v>144</v>
      </c>
      <c r="AI30" s="126" t="s">
        <v>144</v>
      </c>
      <c r="AJ30" s="126" t="s">
        <v>267</v>
      </c>
      <c r="AK30" s="126" t="s">
        <v>98</v>
      </c>
      <c r="AL30" s="126" t="s">
        <v>144</v>
      </c>
      <c r="AM30" s="126" t="s">
        <v>144</v>
      </c>
      <c r="AN30" s="126" t="s">
        <v>144</v>
      </c>
      <c r="AO30" s="126" t="s">
        <v>144</v>
      </c>
      <c r="AP30" s="126" t="s">
        <v>144</v>
      </c>
      <c r="AQ30" s="126" t="s">
        <v>144</v>
      </c>
      <c r="AR30" s="126" t="s">
        <v>144</v>
      </c>
      <c r="AS30" s="126" t="s">
        <v>144</v>
      </c>
      <c r="AT30" s="126" t="s">
        <v>144</v>
      </c>
      <c r="AU30" s="126" t="s">
        <v>144</v>
      </c>
      <c r="AV30" s="126" t="s">
        <v>98</v>
      </c>
      <c r="AW30" s="126" t="s">
        <v>144</v>
      </c>
    </row>
    <row r="31" spans="1:49" ht="14.4">
      <c r="A31" s="120"/>
      <c r="B31" s="122">
        <f t="shared" si="1"/>
        <v>24</v>
      </c>
      <c r="C31" s="118" t="s">
        <v>357</v>
      </c>
      <c r="D31" s="119" t="s">
        <v>358</v>
      </c>
      <c r="E31" s="134"/>
      <c r="F31" s="134" t="s">
        <v>102</v>
      </c>
      <c r="G31" s="135" t="s">
        <v>305</v>
      </c>
      <c r="H31" s="136" t="s">
        <v>332</v>
      </c>
      <c r="I31" s="126" t="s">
        <v>307</v>
      </c>
      <c r="J31" s="126" t="s">
        <v>144</v>
      </c>
      <c r="K31" s="126" t="s">
        <v>144</v>
      </c>
      <c r="L31" s="126" t="s">
        <v>308</v>
      </c>
      <c r="M31" s="126" t="s">
        <v>144</v>
      </c>
      <c r="N31" s="126" t="s">
        <v>309</v>
      </c>
      <c r="O31" s="126" t="s">
        <v>166</v>
      </c>
      <c r="P31" s="126" t="s">
        <v>310</v>
      </c>
      <c r="Q31" s="126" t="s">
        <v>166</v>
      </c>
      <c r="R31" s="126" t="s">
        <v>311</v>
      </c>
      <c r="S31" s="126" t="s">
        <v>144</v>
      </c>
      <c r="T31" s="126" t="s">
        <v>144</v>
      </c>
      <c r="U31" s="126" t="s">
        <v>166</v>
      </c>
      <c r="V31" s="133">
        <v>1</v>
      </c>
      <c r="W31" s="126" t="s">
        <v>102</v>
      </c>
      <c r="X31" s="126" t="s">
        <v>166</v>
      </c>
      <c r="Y31" s="126" t="s">
        <v>166</v>
      </c>
      <c r="Z31" s="126" t="s">
        <v>144</v>
      </c>
      <c r="AA31" s="126" t="s">
        <v>144</v>
      </c>
      <c r="AB31" s="126" t="s">
        <v>144</v>
      </c>
      <c r="AC31" s="126" t="s">
        <v>144</v>
      </c>
      <c r="AD31" s="126" t="s">
        <v>144</v>
      </c>
      <c r="AE31" s="126" t="s">
        <v>144</v>
      </c>
      <c r="AF31" s="126" t="s">
        <v>144</v>
      </c>
      <c r="AG31" s="126" t="s">
        <v>144</v>
      </c>
      <c r="AH31" s="126" t="s">
        <v>144</v>
      </c>
      <c r="AI31" s="126" t="s">
        <v>144</v>
      </c>
      <c r="AJ31" s="126" t="s">
        <v>267</v>
      </c>
      <c r="AK31" s="126" t="s">
        <v>98</v>
      </c>
      <c r="AL31" s="126" t="s">
        <v>144</v>
      </c>
      <c r="AM31" s="126" t="s">
        <v>144</v>
      </c>
      <c r="AN31" s="126" t="s">
        <v>144</v>
      </c>
      <c r="AO31" s="126" t="s">
        <v>144</v>
      </c>
      <c r="AP31" s="126" t="s">
        <v>144</v>
      </c>
      <c r="AQ31" s="126" t="s">
        <v>144</v>
      </c>
      <c r="AR31" s="126" t="s">
        <v>144</v>
      </c>
      <c r="AS31" s="126" t="s">
        <v>144</v>
      </c>
      <c r="AT31" s="126" t="s">
        <v>144</v>
      </c>
      <c r="AU31" s="126" t="s">
        <v>144</v>
      </c>
      <c r="AV31" s="126" t="s">
        <v>98</v>
      </c>
      <c r="AW31" s="126" t="s">
        <v>144</v>
      </c>
    </row>
    <row r="32" spans="1:49" ht="14.4">
      <c r="A32" s="120"/>
      <c r="B32" s="122">
        <f t="shared" si="1"/>
        <v>25</v>
      </c>
      <c r="C32" s="137" t="s">
        <v>359</v>
      </c>
      <c r="D32" s="138" t="s">
        <v>360</v>
      </c>
      <c r="E32" s="134"/>
      <c r="F32" s="134" t="s">
        <v>102</v>
      </c>
      <c r="G32" s="135" t="s">
        <v>305</v>
      </c>
      <c r="H32" s="136" t="s">
        <v>332</v>
      </c>
      <c r="I32" s="126" t="s">
        <v>307</v>
      </c>
      <c r="J32" s="126" t="s">
        <v>144</v>
      </c>
      <c r="K32" s="126" t="s">
        <v>144</v>
      </c>
      <c r="L32" s="126" t="s">
        <v>308</v>
      </c>
      <c r="M32" s="126" t="s">
        <v>144</v>
      </c>
      <c r="N32" s="126" t="s">
        <v>309</v>
      </c>
      <c r="O32" s="126" t="s">
        <v>166</v>
      </c>
      <c r="P32" s="126" t="s">
        <v>310</v>
      </c>
      <c r="Q32" s="126" t="s">
        <v>166</v>
      </c>
      <c r="R32" s="126" t="s">
        <v>311</v>
      </c>
      <c r="S32" s="126" t="s">
        <v>144</v>
      </c>
      <c r="T32" s="126" t="s">
        <v>144</v>
      </c>
      <c r="U32" s="126" t="s">
        <v>166</v>
      </c>
      <c r="V32" s="133">
        <v>1</v>
      </c>
      <c r="W32" s="126" t="s">
        <v>102</v>
      </c>
      <c r="X32" s="126" t="s">
        <v>166</v>
      </c>
      <c r="Y32" s="126" t="s">
        <v>166</v>
      </c>
      <c r="Z32" s="126" t="s">
        <v>144</v>
      </c>
      <c r="AA32" s="126" t="s">
        <v>144</v>
      </c>
      <c r="AB32" s="126" t="s">
        <v>144</v>
      </c>
      <c r="AC32" s="126" t="s">
        <v>144</v>
      </c>
      <c r="AD32" s="126" t="s">
        <v>144</v>
      </c>
      <c r="AE32" s="126" t="s">
        <v>144</v>
      </c>
      <c r="AF32" s="126" t="s">
        <v>144</v>
      </c>
      <c r="AG32" s="126" t="s">
        <v>144</v>
      </c>
      <c r="AH32" s="126" t="s">
        <v>144</v>
      </c>
      <c r="AI32" s="126" t="s">
        <v>144</v>
      </c>
      <c r="AJ32" s="126" t="s">
        <v>267</v>
      </c>
      <c r="AK32" s="126" t="s">
        <v>98</v>
      </c>
      <c r="AL32" s="126" t="s">
        <v>144</v>
      </c>
      <c r="AM32" s="126" t="s">
        <v>144</v>
      </c>
      <c r="AN32" s="126" t="s">
        <v>144</v>
      </c>
      <c r="AO32" s="126" t="s">
        <v>144</v>
      </c>
      <c r="AP32" s="126" t="s">
        <v>144</v>
      </c>
      <c r="AQ32" s="126" t="s">
        <v>144</v>
      </c>
      <c r="AR32" s="126" t="s">
        <v>144</v>
      </c>
      <c r="AS32" s="126" t="s">
        <v>144</v>
      </c>
      <c r="AT32" s="126" t="s">
        <v>144</v>
      </c>
      <c r="AU32" s="126" t="s">
        <v>144</v>
      </c>
      <c r="AV32" s="126" t="s">
        <v>98</v>
      </c>
      <c r="AW32" s="126" t="s">
        <v>144</v>
      </c>
    </row>
    <row r="33" spans="2:49" ht="14.4">
      <c r="B33" s="122">
        <f t="shared" si="1"/>
        <v>26</v>
      </c>
      <c r="C33" s="137" t="s">
        <v>361</v>
      </c>
      <c r="D33" s="138" t="s">
        <v>362</v>
      </c>
      <c r="E33" s="134"/>
      <c r="F33" s="134" t="s">
        <v>102</v>
      </c>
      <c r="G33" s="135" t="s">
        <v>305</v>
      </c>
      <c r="H33" s="136" t="s">
        <v>332</v>
      </c>
      <c r="I33" s="126" t="s">
        <v>307</v>
      </c>
      <c r="J33" s="126" t="s">
        <v>144</v>
      </c>
      <c r="K33" s="126" t="s">
        <v>144</v>
      </c>
      <c r="L33" s="126" t="s">
        <v>308</v>
      </c>
      <c r="M33" s="126" t="s">
        <v>144</v>
      </c>
      <c r="N33" s="126" t="s">
        <v>309</v>
      </c>
      <c r="O33" s="126" t="s">
        <v>166</v>
      </c>
      <c r="P33" s="126" t="s">
        <v>310</v>
      </c>
      <c r="Q33" s="126" t="s">
        <v>166</v>
      </c>
      <c r="R33" s="126" t="s">
        <v>311</v>
      </c>
      <c r="S33" s="126" t="s">
        <v>144</v>
      </c>
      <c r="T33" s="126" t="s">
        <v>144</v>
      </c>
      <c r="U33" s="126" t="s">
        <v>166</v>
      </c>
      <c r="V33" s="133">
        <v>1</v>
      </c>
      <c r="W33" s="126" t="s">
        <v>102</v>
      </c>
      <c r="X33" s="126" t="s">
        <v>166</v>
      </c>
      <c r="Y33" s="126" t="s">
        <v>166</v>
      </c>
      <c r="Z33" s="126" t="s">
        <v>144</v>
      </c>
      <c r="AA33" s="126" t="s">
        <v>144</v>
      </c>
      <c r="AB33" s="126" t="s">
        <v>144</v>
      </c>
      <c r="AC33" s="126" t="s">
        <v>144</v>
      </c>
      <c r="AD33" s="126" t="s">
        <v>144</v>
      </c>
      <c r="AE33" s="126" t="s">
        <v>144</v>
      </c>
      <c r="AF33" s="126" t="s">
        <v>144</v>
      </c>
      <c r="AG33" s="126" t="s">
        <v>144</v>
      </c>
      <c r="AH33" s="126" t="s">
        <v>144</v>
      </c>
      <c r="AI33" s="126" t="s">
        <v>144</v>
      </c>
      <c r="AJ33" s="126" t="s">
        <v>267</v>
      </c>
      <c r="AK33" s="126" t="s">
        <v>98</v>
      </c>
      <c r="AL33" s="126" t="s">
        <v>144</v>
      </c>
      <c r="AM33" s="126" t="s">
        <v>144</v>
      </c>
      <c r="AN33" s="126" t="s">
        <v>144</v>
      </c>
      <c r="AO33" s="126" t="s">
        <v>144</v>
      </c>
      <c r="AP33" s="126" t="s">
        <v>144</v>
      </c>
      <c r="AQ33" s="126" t="s">
        <v>144</v>
      </c>
      <c r="AR33" s="126" t="s">
        <v>144</v>
      </c>
      <c r="AS33" s="126" t="s">
        <v>144</v>
      </c>
      <c r="AT33" s="126" t="s">
        <v>144</v>
      </c>
      <c r="AU33" s="126" t="s">
        <v>144</v>
      </c>
      <c r="AV33" s="126" t="s">
        <v>98</v>
      </c>
      <c r="AW33" s="126" t="s">
        <v>144</v>
      </c>
    </row>
    <row r="34" spans="2:49" ht="14.4">
      <c r="B34" s="122">
        <f t="shared" si="1"/>
        <v>27</v>
      </c>
      <c r="C34" s="118" t="s">
        <v>363</v>
      </c>
      <c r="D34" s="119" t="s">
        <v>364</v>
      </c>
      <c r="E34" s="134"/>
      <c r="F34" s="134" t="s">
        <v>102</v>
      </c>
      <c r="G34" s="135" t="s">
        <v>305</v>
      </c>
      <c r="H34" s="136" t="s">
        <v>332</v>
      </c>
      <c r="I34" s="126" t="s">
        <v>307</v>
      </c>
      <c r="J34" s="126" t="s">
        <v>144</v>
      </c>
      <c r="K34" s="126" t="s">
        <v>144</v>
      </c>
      <c r="L34" s="126" t="s">
        <v>308</v>
      </c>
      <c r="M34" s="126" t="s">
        <v>144</v>
      </c>
      <c r="N34" s="126" t="s">
        <v>309</v>
      </c>
      <c r="O34" s="126" t="s">
        <v>166</v>
      </c>
      <c r="P34" s="126" t="s">
        <v>310</v>
      </c>
      <c r="Q34" s="126" t="s">
        <v>166</v>
      </c>
      <c r="R34" s="126" t="s">
        <v>311</v>
      </c>
      <c r="S34" s="126" t="s">
        <v>144</v>
      </c>
      <c r="T34" s="126" t="s">
        <v>144</v>
      </c>
      <c r="U34" s="126" t="s">
        <v>166</v>
      </c>
      <c r="V34" s="133">
        <v>1</v>
      </c>
      <c r="W34" s="126" t="s">
        <v>102</v>
      </c>
      <c r="X34" s="126" t="s">
        <v>166</v>
      </c>
      <c r="Y34" s="126" t="s">
        <v>166</v>
      </c>
      <c r="Z34" s="126" t="s">
        <v>144</v>
      </c>
      <c r="AA34" s="126" t="s">
        <v>144</v>
      </c>
      <c r="AB34" s="126" t="s">
        <v>144</v>
      </c>
      <c r="AC34" s="126" t="s">
        <v>144</v>
      </c>
      <c r="AD34" s="126" t="s">
        <v>144</v>
      </c>
      <c r="AE34" s="126" t="s">
        <v>144</v>
      </c>
      <c r="AF34" s="126" t="s">
        <v>144</v>
      </c>
      <c r="AG34" s="126" t="s">
        <v>144</v>
      </c>
      <c r="AH34" s="126" t="s">
        <v>144</v>
      </c>
      <c r="AI34" s="126" t="s">
        <v>144</v>
      </c>
      <c r="AJ34" s="126" t="s">
        <v>267</v>
      </c>
      <c r="AK34" s="126" t="s">
        <v>98</v>
      </c>
      <c r="AL34" s="126" t="s">
        <v>144</v>
      </c>
      <c r="AM34" s="126" t="s">
        <v>144</v>
      </c>
      <c r="AN34" s="126" t="s">
        <v>144</v>
      </c>
      <c r="AO34" s="126" t="s">
        <v>144</v>
      </c>
      <c r="AP34" s="126" t="s">
        <v>144</v>
      </c>
      <c r="AQ34" s="126" t="s">
        <v>144</v>
      </c>
      <c r="AR34" s="126" t="s">
        <v>144</v>
      </c>
      <c r="AS34" s="126" t="s">
        <v>144</v>
      </c>
      <c r="AT34" s="126" t="s">
        <v>144</v>
      </c>
      <c r="AU34" s="126" t="s">
        <v>144</v>
      </c>
      <c r="AV34" s="126" t="s">
        <v>98</v>
      </c>
      <c r="AW34" s="126" t="s">
        <v>144</v>
      </c>
    </row>
    <row r="35" spans="2:49" ht="14.4">
      <c r="B35" s="122">
        <f t="shared" si="1"/>
        <v>28</v>
      </c>
      <c r="C35" s="139" t="s">
        <v>365</v>
      </c>
      <c r="D35" s="122" t="s">
        <v>366</v>
      </c>
      <c r="E35" s="134"/>
      <c r="F35" s="134" t="s">
        <v>102</v>
      </c>
      <c r="G35" s="135" t="s">
        <v>305</v>
      </c>
      <c r="H35" s="136" t="s">
        <v>332</v>
      </c>
      <c r="I35" s="126" t="s">
        <v>307</v>
      </c>
      <c r="J35" s="126" t="s">
        <v>144</v>
      </c>
      <c r="K35" s="126" t="s">
        <v>144</v>
      </c>
      <c r="L35" s="126" t="s">
        <v>308</v>
      </c>
      <c r="M35" s="126" t="s">
        <v>144</v>
      </c>
      <c r="N35" s="126" t="s">
        <v>309</v>
      </c>
      <c r="O35" s="126" t="s">
        <v>166</v>
      </c>
      <c r="P35" s="126" t="s">
        <v>310</v>
      </c>
      <c r="Q35" s="126" t="s">
        <v>166</v>
      </c>
      <c r="R35" s="126" t="s">
        <v>311</v>
      </c>
      <c r="S35" s="126" t="s">
        <v>144</v>
      </c>
      <c r="T35" s="126" t="s">
        <v>144</v>
      </c>
      <c r="U35" s="126" t="s">
        <v>166</v>
      </c>
      <c r="V35" s="133">
        <v>1</v>
      </c>
      <c r="W35" s="126" t="s">
        <v>102</v>
      </c>
      <c r="X35" s="126" t="s">
        <v>166</v>
      </c>
      <c r="Y35" s="126" t="s">
        <v>166</v>
      </c>
      <c r="Z35" s="126" t="s">
        <v>144</v>
      </c>
      <c r="AA35" s="126" t="s">
        <v>144</v>
      </c>
      <c r="AB35" s="126" t="s">
        <v>144</v>
      </c>
      <c r="AC35" s="126" t="s">
        <v>144</v>
      </c>
      <c r="AD35" s="126" t="s">
        <v>144</v>
      </c>
      <c r="AE35" s="126" t="s">
        <v>144</v>
      </c>
      <c r="AF35" s="126" t="s">
        <v>144</v>
      </c>
      <c r="AG35" s="126" t="s">
        <v>144</v>
      </c>
      <c r="AH35" s="126" t="s">
        <v>144</v>
      </c>
      <c r="AI35" s="126" t="s">
        <v>144</v>
      </c>
      <c r="AJ35" s="126" t="s">
        <v>267</v>
      </c>
      <c r="AK35" s="126" t="s">
        <v>98</v>
      </c>
      <c r="AL35" s="126" t="s">
        <v>144</v>
      </c>
      <c r="AM35" s="126" t="s">
        <v>144</v>
      </c>
      <c r="AN35" s="126" t="s">
        <v>144</v>
      </c>
      <c r="AO35" s="126" t="s">
        <v>144</v>
      </c>
      <c r="AP35" s="126" t="s">
        <v>144</v>
      </c>
      <c r="AQ35" s="126" t="s">
        <v>144</v>
      </c>
      <c r="AR35" s="126" t="s">
        <v>144</v>
      </c>
      <c r="AS35" s="126" t="s">
        <v>144</v>
      </c>
      <c r="AT35" s="126" t="s">
        <v>144</v>
      </c>
      <c r="AU35" s="126" t="s">
        <v>144</v>
      </c>
      <c r="AV35" s="126" t="s">
        <v>98</v>
      </c>
      <c r="AW35" s="126" t="s">
        <v>144</v>
      </c>
    </row>
    <row r="36" spans="2:49" ht="14.4">
      <c r="B36" s="122">
        <f t="shared" si="1"/>
        <v>29</v>
      </c>
      <c r="C36" s="139" t="s">
        <v>367</v>
      </c>
      <c r="D36" s="122" t="s">
        <v>368</v>
      </c>
      <c r="E36" s="134"/>
      <c r="F36" s="134" t="s">
        <v>102</v>
      </c>
      <c r="G36" s="135" t="s">
        <v>305</v>
      </c>
      <c r="H36" s="136" t="s">
        <v>332</v>
      </c>
      <c r="I36" s="126" t="s">
        <v>307</v>
      </c>
      <c r="J36" s="126" t="s">
        <v>144</v>
      </c>
      <c r="K36" s="126" t="s">
        <v>144</v>
      </c>
      <c r="L36" s="126" t="s">
        <v>308</v>
      </c>
      <c r="M36" s="126" t="s">
        <v>144</v>
      </c>
      <c r="N36" s="126" t="s">
        <v>309</v>
      </c>
      <c r="O36" s="126" t="s">
        <v>166</v>
      </c>
      <c r="P36" s="126" t="s">
        <v>310</v>
      </c>
      <c r="Q36" s="126" t="s">
        <v>166</v>
      </c>
      <c r="R36" s="126" t="s">
        <v>311</v>
      </c>
      <c r="S36" s="126" t="s">
        <v>144</v>
      </c>
      <c r="T36" s="126" t="s">
        <v>144</v>
      </c>
      <c r="U36" s="126" t="s">
        <v>166</v>
      </c>
      <c r="V36" s="133">
        <v>1</v>
      </c>
      <c r="W36" s="126" t="s">
        <v>102</v>
      </c>
      <c r="X36" s="126" t="s">
        <v>166</v>
      </c>
      <c r="Y36" s="126" t="s">
        <v>166</v>
      </c>
      <c r="Z36" s="126" t="s">
        <v>144</v>
      </c>
      <c r="AA36" s="126" t="s">
        <v>144</v>
      </c>
      <c r="AB36" s="126" t="s">
        <v>144</v>
      </c>
      <c r="AC36" s="126" t="s">
        <v>144</v>
      </c>
      <c r="AD36" s="126" t="s">
        <v>144</v>
      </c>
      <c r="AE36" s="126" t="s">
        <v>144</v>
      </c>
      <c r="AF36" s="126" t="s">
        <v>144</v>
      </c>
      <c r="AG36" s="126" t="s">
        <v>144</v>
      </c>
      <c r="AH36" s="126" t="s">
        <v>144</v>
      </c>
      <c r="AI36" s="126" t="s">
        <v>144</v>
      </c>
      <c r="AJ36" s="126" t="s">
        <v>267</v>
      </c>
      <c r="AK36" s="126" t="s">
        <v>98</v>
      </c>
      <c r="AL36" s="126" t="s">
        <v>144</v>
      </c>
      <c r="AM36" s="126" t="s">
        <v>144</v>
      </c>
      <c r="AN36" s="126" t="s">
        <v>144</v>
      </c>
      <c r="AO36" s="126" t="s">
        <v>144</v>
      </c>
      <c r="AP36" s="126" t="s">
        <v>144</v>
      </c>
      <c r="AQ36" s="126" t="s">
        <v>144</v>
      </c>
      <c r="AR36" s="126" t="s">
        <v>144</v>
      </c>
      <c r="AS36" s="126" t="s">
        <v>144</v>
      </c>
      <c r="AT36" s="126" t="s">
        <v>144</v>
      </c>
      <c r="AU36" s="126" t="s">
        <v>144</v>
      </c>
      <c r="AV36" s="126" t="s">
        <v>98</v>
      </c>
      <c r="AW36" s="126" t="s">
        <v>144</v>
      </c>
    </row>
    <row r="37" spans="2:49" ht="14.4">
      <c r="B37" s="122">
        <f t="shared" si="1"/>
        <v>30</v>
      </c>
      <c r="C37" s="139" t="s">
        <v>369</v>
      </c>
      <c r="D37" s="122" t="s">
        <v>370</v>
      </c>
      <c r="E37" s="134"/>
      <c r="F37" s="134" t="s">
        <v>102</v>
      </c>
      <c r="G37" s="135" t="s">
        <v>305</v>
      </c>
      <c r="H37" s="136" t="s">
        <v>332</v>
      </c>
      <c r="I37" s="126" t="s">
        <v>307</v>
      </c>
      <c r="J37" s="126" t="s">
        <v>144</v>
      </c>
      <c r="K37" s="126" t="s">
        <v>144</v>
      </c>
      <c r="L37" s="126" t="s">
        <v>308</v>
      </c>
      <c r="M37" s="126" t="s">
        <v>144</v>
      </c>
      <c r="N37" s="126" t="s">
        <v>309</v>
      </c>
      <c r="O37" s="126" t="s">
        <v>166</v>
      </c>
      <c r="P37" s="126" t="s">
        <v>310</v>
      </c>
      <c r="Q37" s="126" t="s">
        <v>166</v>
      </c>
      <c r="R37" s="126" t="s">
        <v>311</v>
      </c>
      <c r="S37" s="126" t="s">
        <v>144</v>
      </c>
      <c r="T37" s="126" t="s">
        <v>144</v>
      </c>
      <c r="U37" s="126" t="s">
        <v>166</v>
      </c>
      <c r="V37" s="133">
        <v>1</v>
      </c>
      <c r="W37" s="126" t="s">
        <v>102</v>
      </c>
      <c r="X37" s="126" t="s">
        <v>166</v>
      </c>
      <c r="Y37" s="126" t="s">
        <v>166</v>
      </c>
      <c r="Z37" s="126" t="s">
        <v>144</v>
      </c>
      <c r="AA37" s="126" t="s">
        <v>144</v>
      </c>
      <c r="AB37" s="126" t="s">
        <v>144</v>
      </c>
      <c r="AC37" s="126" t="s">
        <v>144</v>
      </c>
      <c r="AD37" s="126" t="s">
        <v>144</v>
      </c>
      <c r="AE37" s="126" t="s">
        <v>144</v>
      </c>
      <c r="AF37" s="126" t="s">
        <v>144</v>
      </c>
      <c r="AG37" s="126" t="s">
        <v>144</v>
      </c>
      <c r="AH37" s="126" t="s">
        <v>144</v>
      </c>
      <c r="AI37" s="126" t="s">
        <v>144</v>
      </c>
      <c r="AJ37" s="126" t="s">
        <v>267</v>
      </c>
      <c r="AK37" s="126" t="s">
        <v>98</v>
      </c>
      <c r="AL37" s="126" t="s">
        <v>144</v>
      </c>
      <c r="AM37" s="126" t="s">
        <v>144</v>
      </c>
      <c r="AN37" s="126" t="s">
        <v>144</v>
      </c>
      <c r="AO37" s="126" t="s">
        <v>144</v>
      </c>
      <c r="AP37" s="126" t="s">
        <v>144</v>
      </c>
      <c r="AQ37" s="126" t="s">
        <v>144</v>
      </c>
      <c r="AR37" s="126" t="s">
        <v>144</v>
      </c>
      <c r="AS37" s="126" t="s">
        <v>144</v>
      </c>
      <c r="AT37" s="126" t="s">
        <v>144</v>
      </c>
      <c r="AU37" s="126" t="s">
        <v>144</v>
      </c>
      <c r="AV37" s="126" t="s">
        <v>98</v>
      </c>
      <c r="AW37" s="126" t="s">
        <v>144</v>
      </c>
    </row>
    <row r="38" spans="2:49" ht="14.4">
      <c r="B38" s="122">
        <f t="shared" si="1"/>
        <v>31</v>
      </c>
      <c r="C38" s="118" t="s">
        <v>371</v>
      </c>
      <c r="D38" s="119" t="s">
        <v>372</v>
      </c>
      <c r="E38" s="134"/>
      <c r="F38" s="134" t="s">
        <v>102</v>
      </c>
      <c r="G38" s="135" t="s">
        <v>305</v>
      </c>
      <c r="H38" s="136" t="s">
        <v>332</v>
      </c>
      <c r="I38" s="126" t="s">
        <v>307</v>
      </c>
      <c r="J38" s="126" t="s">
        <v>144</v>
      </c>
      <c r="K38" s="126" t="s">
        <v>144</v>
      </c>
      <c r="L38" s="126" t="s">
        <v>308</v>
      </c>
      <c r="M38" s="126" t="s">
        <v>144</v>
      </c>
      <c r="N38" s="126" t="s">
        <v>309</v>
      </c>
      <c r="O38" s="126" t="s">
        <v>166</v>
      </c>
      <c r="P38" s="126" t="s">
        <v>310</v>
      </c>
      <c r="Q38" s="126" t="s">
        <v>166</v>
      </c>
      <c r="R38" s="126" t="s">
        <v>311</v>
      </c>
      <c r="S38" s="126" t="s">
        <v>144</v>
      </c>
      <c r="T38" s="126" t="s">
        <v>144</v>
      </c>
      <c r="U38" s="126" t="s">
        <v>166</v>
      </c>
      <c r="V38" s="133">
        <v>1</v>
      </c>
      <c r="W38" s="126" t="s">
        <v>102</v>
      </c>
      <c r="X38" s="126" t="s">
        <v>166</v>
      </c>
      <c r="Y38" s="126" t="s">
        <v>166</v>
      </c>
      <c r="Z38" s="126" t="s">
        <v>144</v>
      </c>
      <c r="AA38" s="126" t="s">
        <v>144</v>
      </c>
      <c r="AB38" s="126" t="s">
        <v>144</v>
      </c>
      <c r="AC38" s="126" t="s">
        <v>144</v>
      </c>
      <c r="AD38" s="126" t="s">
        <v>144</v>
      </c>
      <c r="AE38" s="126" t="s">
        <v>144</v>
      </c>
      <c r="AF38" s="126" t="s">
        <v>144</v>
      </c>
      <c r="AG38" s="126" t="s">
        <v>144</v>
      </c>
      <c r="AH38" s="126" t="s">
        <v>144</v>
      </c>
      <c r="AI38" s="126" t="s">
        <v>144</v>
      </c>
      <c r="AJ38" s="126" t="s">
        <v>267</v>
      </c>
      <c r="AK38" s="126" t="s">
        <v>98</v>
      </c>
      <c r="AL38" s="126" t="s">
        <v>144</v>
      </c>
      <c r="AM38" s="126" t="s">
        <v>144</v>
      </c>
      <c r="AN38" s="126" t="s">
        <v>144</v>
      </c>
      <c r="AO38" s="126" t="s">
        <v>144</v>
      </c>
      <c r="AP38" s="126" t="s">
        <v>144</v>
      </c>
      <c r="AQ38" s="126" t="s">
        <v>144</v>
      </c>
      <c r="AR38" s="126" t="s">
        <v>144</v>
      </c>
      <c r="AS38" s="126" t="s">
        <v>144</v>
      </c>
      <c r="AT38" s="126" t="s">
        <v>144</v>
      </c>
      <c r="AU38" s="126" t="s">
        <v>144</v>
      </c>
      <c r="AV38" s="126" t="s">
        <v>98</v>
      </c>
      <c r="AW38" s="126" t="s">
        <v>144</v>
      </c>
    </row>
    <row r="39" spans="2:49" ht="14.4">
      <c r="B39" s="122">
        <f t="shared" si="1"/>
        <v>32</v>
      </c>
      <c r="C39" s="139" t="s">
        <v>373</v>
      </c>
      <c r="D39" s="122" t="s">
        <v>374</v>
      </c>
      <c r="E39" s="134"/>
      <c r="F39" s="134" t="s">
        <v>102</v>
      </c>
      <c r="G39" s="135" t="s">
        <v>305</v>
      </c>
      <c r="H39" s="136" t="s">
        <v>332</v>
      </c>
      <c r="I39" s="126" t="s">
        <v>307</v>
      </c>
      <c r="J39" s="126" t="s">
        <v>144</v>
      </c>
      <c r="K39" s="126" t="s">
        <v>144</v>
      </c>
      <c r="L39" s="126" t="s">
        <v>308</v>
      </c>
      <c r="M39" s="126" t="s">
        <v>144</v>
      </c>
      <c r="N39" s="126" t="s">
        <v>309</v>
      </c>
      <c r="O39" s="126" t="s">
        <v>166</v>
      </c>
      <c r="P39" s="126" t="s">
        <v>310</v>
      </c>
      <c r="Q39" s="126" t="s">
        <v>166</v>
      </c>
      <c r="R39" s="126" t="s">
        <v>311</v>
      </c>
      <c r="S39" s="126" t="s">
        <v>144</v>
      </c>
      <c r="T39" s="126" t="s">
        <v>144</v>
      </c>
      <c r="U39" s="126" t="s">
        <v>166</v>
      </c>
      <c r="V39" s="133">
        <v>1</v>
      </c>
      <c r="W39" s="126" t="s">
        <v>102</v>
      </c>
      <c r="X39" s="126" t="s">
        <v>166</v>
      </c>
      <c r="Y39" s="126" t="s">
        <v>166</v>
      </c>
      <c r="Z39" s="126" t="s">
        <v>144</v>
      </c>
      <c r="AA39" s="126" t="s">
        <v>144</v>
      </c>
      <c r="AB39" s="126" t="s">
        <v>144</v>
      </c>
      <c r="AC39" s="126" t="s">
        <v>144</v>
      </c>
      <c r="AD39" s="126" t="s">
        <v>144</v>
      </c>
      <c r="AE39" s="126" t="s">
        <v>144</v>
      </c>
      <c r="AF39" s="126" t="s">
        <v>144</v>
      </c>
      <c r="AG39" s="126" t="s">
        <v>144</v>
      </c>
      <c r="AH39" s="126" t="s">
        <v>144</v>
      </c>
      <c r="AI39" s="126" t="s">
        <v>144</v>
      </c>
      <c r="AJ39" s="126" t="s">
        <v>267</v>
      </c>
      <c r="AK39" s="126" t="s">
        <v>98</v>
      </c>
      <c r="AL39" s="126" t="s">
        <v>144</v>
      </c>
      <c r="AM39" s="126" t="s">
        <v>144</v>
      </c>
      <c r="AN39" s="126" t="s">
        <v>144</v>
      </c>
      <c r="AO39" s="126" t="s">
        <v>144</v>
      </c>
      <c r="AP39" s="126" t="s">
        <v>144</v>
      </c>
      <c r="AQ39" s="126" t="s">
        <v>144</v>
      </c>
      <c r="AR39" s="126" t="s">
        <v>144</v>
      </c>
      <c r="AS39" s="126" t="s">
        <v>144</v>
      </c>
      <c r="AT39" s="126" t="s">
        <v>144</v>
      </c>
      <c r="AU39" s="126" t="s">
        <v>144</v>
      </c>
      <c r="AV39" s="126" t="s">
        <v>98</v>
      </c>
      <c r="AW39" s="126" t="s">
        <v>144</v>
      </c>
    </row>
    <row r="40" spans="2:49" ht="14.4">
      <c r="B40" s="122">
        <f t="shared" si="1"/>
        <v>33</v>
      </c>
      <c r="C40" s="139" t="s">
        <v>375</v>
      </c>
      <c r="D40" s="122" t="s">
        <v>376</v>
      </c>
      <c r="E40" s="134"/>
      <c r="F40" s="134" t="s">
        <v>102</v>
      </c>
      <c r="G40" s="135" t="s">
        <v>305</v>
      </c>
      <c r="H40" s="136" t="s">
        <v>332</v>
      </c>
      <c r="I40" s="126" t="s">
        <v>307</v>
      </c>
      <c r="J40" s="126" t="s">
        <v>144</v>
      </c>
      <c r="K40" s="126" t="s">
        <v>144</v>
      </c>
      <c r="L40" s="126" t="s">
        <v>308</v>
      </c>
      <c r="M40" s="126" t="s">
        <v>144</v>
      </c>
      <c r="N40" s="126" t="s">
        <v>309</v>
      </c>
      <c r="O40" s="126" t="s">
        <v>166</v>
      </c>
      <c r="P40" s="126" t="s">
        <v>310</v>
      </c>
      <c r="Q40" s="126" t="s">
        <v>166</v>
      </c>
      <c r="R40" s="126" t="s">
        <v>311</v>
      </c>
      <c r="S40" s="126" t="s">
        <v>144</v>
      </c>
      <c r="T40" s="126" t="s">
        <v>144</v>
      </c>
      <c r="U40" s="126" t="s">
        <v>166</v>
      </c>
      <c r="V40" s="133">
        <v>1</v>
      </c>
      <c r="W40" s="126" t="s">
        <v>102</v>
      </c>
      <c r="X40" s="126" t="s">
        <v>166</v>
      </c>
      <c r="Y40" s="126" t="s">
        <v>166</v>
      </c>
      <c r="Z40" s="126" t="s">
        <v>144</v>
      </c>
      <c r="AA40" s="126" t="s">
        <v>144</v>
      </c>
      <c r="AB40" s="126" t="s">
        <v>144</v>
      </c>
      <c r="AC40" s="126" t="s">
        <v>144</v>
      </c>
      <c r="AD40" s="126" t="s">
        <v>144</v>
      </c>
      <c r="AE40" s="126" t="s">
        <v>144</v>
      </c>
      <c r="AF40" s="126" t="s">
        <v>144</v>
      </c>
      <c r="AG40" s="126" t="s">
        <v>144</v>
      </c>
      <c r="AH40" s="126" t="s">
        <v>144</v>
      </c>
      <c r="AI40" s="126" t="s">
        <v>144</v>
      </c>
      <c r="AJ40" s="126" t="s">
        <v>267</v>
      </c>
      <c r="AK40" s="126" t="s">
        <v>98</v>
      </c>
      <c r="AL40" s="126" t="s">
        <v>144</v>
      </c>
      <c r="AM40" s="126" t="s">
        <v>144</v>
      </c>
      <c r="AN40" s="126" t="s">
        <v>144</v>
      </c>
      <c r="AO40" s="126" t="s">
        <v>144</v>
      </c>
      <c r="AP40" s="126" t="s">
        <v>144</v>
      </c>
      <c r="AQ40" s="126" t="s">
        <v>144</v>
      </c>
      <c r="AR40" s="126" t="s">
        <v>144</v>
      </c>
      <c r="AS40" s="126" t="s">
        <v>144</v>
      </c>
      <c r="AT40" s="126" t="s">
        <v>144</v>
      </c>
      <c r="AU40" s="126" t="s">
        <v>144</v>
      </c>
      <c r="AV40" s="126" t="s">
        <v>98</v>
      </c>
      <c r="AW40" s="126" t="s">
        <v>144</v>
      </c>
    </row>
    <row r="41" spans="2:49" ht="14.4">
      <c r="B41" s="122">
        <f t="shared" si="1"/>
        <v>34</v>
      </c>
      <c r="C41" s="139" t="s">
        <v>377</v>
      </c>
      <c r="D41" s="122" t="s">
        <v>378</v>
      </c>
      <c r="E41" s="134"/>
      <c r="F41" s="134" t="s">
        <v>102</v>
      </c>
      <c r="G41" s="135" t="s">
        <v>305</v>
      </c>
      <c r="H41" s="136" t="s">
        <v>332</v>
      </c>
      <c r="I41" s="126" t="s">
        <v>307</v>
      </c>
      <c r="J41" s="126" t="s">
        <v>144</v>
      </c>
      <c r="K41" s="126" t="s">
        <v>144</v>
      </c>
      <c r="L41" s="126" t="s">
        <v>308</v>
      </c>
      <c r="M41" s="126" t="s">
        <v>144</v>
      </c>
      <c r="N41" s="126" t="s">
        <v>309</v>
      </c>
      <c r="O41" s="126" t="s">
        <v>166</v>
      </c>
      <c r="P41" s="126" t="s">
        <v>310</v>
      </c>
      <c r="Q41" s="126" t="s">
        <v>166</v>
      </c>
      <c r="R41" s="126" t="s">
        <v>311</v>
      </c>
      <c r="S41" s="126" t="s">
        <v>144</v>
      </c>
      <c r="T41" s="126" t="s">
        <v>144</v>
      </c>
      <c r="U41" s="126" t="s">
        <v>166</v>
      </c>
      <c r="V41" s="133">
        <v>1</v>
      </c>
      <c r="W41" s="126" t="s">
        <v>102</v>
      </c>
      <c r="X41" s="126" t="s">
        <v>166</v>
      </c>
      <c r="Y41" s="126" t="s">
        <v>166</v>
      </c>
      <c r="Z41" s="126" t="s">
        <v>144</v>
      </c>
      <c r="AA41" s="126" t="s">
        <v>144</v>
      </c>
      <c r="AB41" s="126" t="s">
        <v>144</v>
      </c>
      <c r="AC41" s="126" t="s">
        <v>144</v>
      </c>
      <c r="AD41" s="126" t="s">
        <v>144</v>
      </c>
      <c r="AE41" s="126" t="s">
        <v>144</v>
      </c>
      <c r="AF41" s="126" t="s">
        <v>144</v>
      </c>
      <c r="AG41" s="126" t="s">
        <v>144</v>
      </c>
      <c r="AH41" s="126" t="s">
        <v>144</v>
      </c>
      <c r="AI41" s="126" t="s">
        <v>144</v>
      </c>
      <c r="AJ41" s="126" t="s">
        <v>267</v>
      </c>
      <c r="AK41" s="126" t="s">
        <v>98</v>
      </c>
      <c r="AL41" s="126" t="s">
        <v>144</v>
      </c>
      <c r="AM41" s="126" t="s">
        <v>144</v>
      </c>
      <c r="AN41" s="126" t="s">
        <v>144</v>
      </c>
      <c r="AO41" s="126" t="s">
        <v>144</v>
      </c>
      <c r="AP41" s="126" t="s">
        <v>144</v>
      </c>
      <c r="AQ41" s="126" t="s">
        <v>144</v>
      </c>
      <c r="AR41" s="126" t="s">
        <v>144</v>
      </c>
      <c r="AS41" s="126" t="s">
        <v>144</v>
      </c>
      <c r="AT41" s="126" t="s">
        <v>144</v>
      </c>
      <c r="AU41" s="126" t="s">
        <v>144</v>
      </c>
      <c r="AV41" s="126" t="s">
        <v>98</v>
      </c>
      <c r="AW41" s="126" t="s">
        <v>144</v>
      </c>
    </row>
    <row r="42" spans="2:49" ht="14.4">
      <c r="B42" s="122">
        <f t="shared" si="1"/>
        <v>35</v>
      </c>
      <c r="C42" s="118" t="s">
        <v>379</v>
      </c>
      <c r="D42" s="119" t="s">
        <v>380</v>
      </c>
      <c r="E42" s="134"/>
      <c r="F42" s="134" t="s">
        <v>102</v>
      </c>
      <c r="G42" s="135" t="s">
        <v>305</v>
      </c>
      <c r="H42" s="136" t="s">
        <v>332</v>
      </c>
      <c r="I42" s="126" t="s">
        <v>307</v>
      </c>
      <c r="J42" s="126" t="s">
        <v>144</v>
      </c>
      <c r="K42" s="126" t="s">
        <v>144</v>
      </c>
      <c r="L42" s="126" t="s">
        <v>308</v>
      </c>
      <c r="M42" s="126" t="s">
        <v>144</v>
      </c>
      <c r="N42" s="126" t="s">
        <v>309</v>
      </c>
      <c r="O42" s="126" t="s">
        <v>166</v>
      </c>
      <c r="P42" s="126" t="s">
        <v>310</v>
      </c>
      <c r="Q42" s="126" t="s">
        <v>166</v>
      </c>
      <c r="R42" s="126" t="s">
        <v>311</v>
      </c>
      <c r="S42" s="126" t="s">
        <v>144</v>
      </c>
      <c r="T42" s="126" t="s">
        <v>144</v>
      </c>
      <c r="U42" s="126" t="s">
        <v>166</v>
      </c>
      <c r="V42" s="133">
        <v>1</v>
      </c>
      <c r="W42" s="126" t="s">
        <v>102</v>
      </c>
      <c r="X42" s="126" t="s">
        <v>166</v>
      </c>
      <c r="Y42" s="126" t="s">
        <v>166</v>
      </c>
      <c r="Z42" s="126" t="s">
        <v>144</v>
      </c>
      <c r="AA42" s="126" t="s">
        <v>144</v>
      </c>
      <c r="AB42" s="126" t="s">
        <v>144</v>
      </c>
      <c r="AC42" s="126" t="s">
        <v>144</v>
      </c>
      <c r="AD42" s="126" t="s">
        <v>144</v>
      </c>
      <c r="AE42" s="126" t="s">
        <v>144</v>
      </c>
      <c r="AF42" s="126" t="s">
        <v>144</v>
      </c>
      <c r="AG42" s="126" t="s">
        <v>144</v>
      </c>
      <c r="AH42" s="126" t="s">
        <v>144</v>
      </c>
      <c r="AI42" s="126" t="s">
        <v>144</v>
      </c>
      <c r="AJ42" s="126" t="s">
        <v>267</v>
      </c>
      <c r="AK42" s="126" t="s">
        <v>98</v>
      </c>
      <c r="AL42" s="126" t="s">
        <v>144</v>
      </c>
      <c r="AM42" s="126" t="s">
        <v>144</v>
      </c>
      <c r="AN42" s="126" t="s">
        <v>144</v>
      </c>
      <c r="AO42" s="126" t="s">
        <v>144</v>
      </c>
      <c r="AP42" s="126" t="s">
        <v>144</v>
      </c>
      <c r="AQ42" s="126" t="s">
        <v>144</v>
      </c>
      <c r="AR42" s="126" t="s">
        <v>144</v>
      </c>
      <c r="AS42" s="126" t="s">
        <v>144</v>
      </c>
      <c r="AT42" s="126" t="s">
        <v>144</v>
      </c>
      <c r="AU42" s="126" t="s">
        <v>144</v>
      </c>
      <c r="AV42" s="126" t="s">
        <v>98</v>
      </c>
      <c r="AW42" s="126" t="s">
        <v>144</v>
      </c>
    </row>
    <row r="43" spans="2:49" ht="14.4">
      <c r="B43" s="122">
        <f t="shared" si="1"/>
        <v>36</v>
      </c>
      <c r="C43" s="139" t="s">
        <v>381</v>
      </c>
      <c r="D43" s="122" t="s">
        <v>382</v>
      </c>
      <c r="E43" s="134"/>
      <c r="F43" s="134" t="s">
        <v>102</v>
      </c>
      <c r="G43" s="135" t="s">
        <v>305</v>
      </c>
      <c r="H43" s="136" t="s">
        <v>332</v>
      </c>
      <c r="I43" s="126" t="s">
        <v>307</v>
      </c>
      <c r="J43" s="126" t="s">
        <v>144</v>
      </c>
      <c r="K43" s="126" t="s">
        <v>144</v>
      </c>
      <c r="L43" s="126" t="s">
        <v>308</v>
      </c>
      <c r="M43" s="126" t="s">
        <v>144</v>
      </c>
      <c r="N43" s="126" t="s">
        <v>309</v>
      </c>
      <c r="O43" s="126" t="s">
        <v>166</v>
      </c>
      <c r="P43" s="126" t="s">
        <v>310</v>
      </c>
      <c r="Q43" s="126" t="s">
        <v>166</v>
      </c>
      <c r="R43" s="126" t="s">
        <v>311</v>
      </c>
      <c r="S43" s="126" t="s">
        <v>144</v>
      </c>
      <c r="T43" s="126" t="s">
        <v>144</v>
      </c>
      <c r="U43" s="126" t="s">
        <v>166</v>
      </c>
      <c r="V43" s="133">
        <v>1</v>
      </c>
      <c r="W43" s="126" t="s">
        <v>102</v>
      </c>
      <c r="X43" s="126" t="s">
        <v>166</v>
      </c>
      <c r="Y43" s="126" t="s">
        <v>166</v>
      </c>
      <c r="Z43" s="126" t="s">
        <v>144</v>
      </c>
      <c r="AA43" s="126" t="s">
        <v>144</v>
      </c>
      <c r="AB43" s="126" t="s">
        <v>144</v>
      </c>
      <c r="AC43" s="126" t="s">
        <v>144</v>
      </c>
      <c r="AD43" s="126" t="s">
        <v>144</v>
      </c>
      <c r="AE43" s="126" t="s">
        <v>144</v>
      </c>
      <c r="AF43" s="126" t="s">
        <v>144</v>
      </c>
      <c r="AG43" s="126" t="s">
        <v>144</v>
      </c>
      <c r="AH43" s="126" t="s">
        <v>144</v>
      </c>
      <c r="AI43" s="126" t="s">
        <v>144</v>
      </c>
      <c r="AJ43" s="126" t="s">
        <v>267</v>
      </c>
      <c r="AK43" s="126" t="s">
        <v>98</v>
      </c>
      <c r="AL43" s="126" t="s">
        <v>144</v>
      </c>
      <c r="AM43" s="126" t="s">
        <v>144</v>
      </c>
      <c r="AN43" s="126" t="s">
        <v>144</v>
      </c>
      <c r="AO43" s="126" t="s">
        <v>144</v>
      </c>
      <c r="AP43" s="126" t="s">
        <v>144</v>
      </c>
      <c r="AQ43" s="126" t="s">
        <v>144</v>
      </c>
      <c r="AR43" s="126" t="s">
        <v>144</v>
      </c>
      <c r="AS43" s="126" t="s">
        <v>144</v>
      </c>
      <c r="AT43" s="126" t="s">
        <v>144</v>
      </c>
      <c r="AU43" s="126" t="s">
        <v>144</v>
      </c>
      <c r="AV43" s="126" t="s">
        <v>98</v>
      </c>
      <c r="AW43" s="126" t="s">
        <v>144</v>
      </c>
    </row>
    <row r="44" spans="2:49" ht="14.4">
      <c r="B44" s="122">
        <f t="shared" si="1"/>
        <v>37</v>
      </c>
      <c r="C44" s="139" t="s">
        <v>383</v>
      </c>
      <c r="D44" s="122" t="s">
        <v>384</v>
      </c>
      <c r="E44" s="134"/>
      <c r="F44" s="134" t="s">
        <v>102</v>
      </c>
      <c r="G44" s="135" t="s">
        <v>305</v>
      </c>
      <c r="H44" s="136" t="s">
        <v>332</v>
      </c>
      <c r="I44" s="126" t="s">
        <v>307</v>
      </c>
      <c r="J44" s="126" t="s">
        <v>144</v>
      </c>
      <c r="K44" s="126" t="s">
        <v>144</v>
      </c>
      <c r="L44" s="126" t="s">
        <v>308</v>
      </c>
      <c r="M44" s="126" t="s">
        <v>144</v>
      </c>
      <c r="N44" s="126" t="s">
        <v>309</v>
      </c>
      <c r="O44" s="126" t="s">
        <v>166</v>
      </c>
      <c r="P44" s="126" t="s">
        <v>310</v>
      </c>
      <c r="Q44" s="126" t="s">
        <v>166</v>
      </c>
      <c r="R44" s="126" t="s">
        <v>311</v>
      </c>
      <c r="S44" s="126" t="s">
        <v>144</v>
      </c>
      <c r="T44" s="126" t="s">
        <v>144</v>
      </c>
      <c r="U44" s="126" t="s">
        <v>166</v>
      </c>
      <c r="V44" s="133">
        <v>1</v>
      </c>
      <c r="W44" s="126" t="s">
        <v>102</v>
      </c>
      <c r="X44" s="126" t="s">
        <v>166</v>
      </c>
      <c r="Y44" s="126" t="s">
        <v>166</v>
      </c>
      <c r="Z44" s="126" t="s">
        <v>144</v>
      </c>
      <c r="AA44" s="126" t="s">
        <v>144</v>
      </c>
      <c r="AB44" s="126" t="s">
        <v>144</v>
      </c>
      <c r="AC44" s="126" t="s">
        <v>144</v>
      </c>
      <c r="AD44" s="126" t="s">
        <v>144</v>
      </c>
      <c r="AE44" s="126" t="s">
        <v>144</v>
      </c>
      <c r="AF44" s="126" t="s">
        <v>144</v>
      </c>
      <c r="AG44" s="126" t="s">
        <v>144</v>
      </c>
      <c r="AH44" s="126" t="s">
        <v>144</v>
      </c>
      <c r="AI44" s="126" t="s">
        <v>144</v>
      </c>
      <c r="AJ44" s="126" t="s">
        <v>267</v>
      </c>
      <c r="AK44" s="126" t="s">
        <v>98</v>
      </c>
      <c r="AL44" s="126" t="s">
        <v>144</v>
      </c>
      <c r="AM44" s="126" t="s">
        <v>144</v>
      </c>
      <c r="AN44" s="126" t="s">
        <v>144</v>
      </c>
      <c r="AO44" s="126" t="s">
        <v>144</v>
      </c>
      <c r="AP44" s="126" t="s">
        <v>144</v>
      </c>
      <c r="AQ44" s="126" t="s">
        <v>144</v>
      </c>
      <c r="AR44" s="126" t="s">
        <v>144</v>
      </c>
      <c r="AS44" s="126" t="s">
        <v>144</v>
      </c>
      <c r="AT44" s="126" t="s">
        <v>144</v>
      </c>
      <c r="AU44" s="126" t="s">
        <v>144</v>
      </c>
      <c r="AV44" s="126" t="s">
        <v>98</v>
      </c>
      <c r="AW44" s="126" t="s">
        <v>144</v>
      </c>
    </row>
    <row r="45" spans="2:49" ht="14.4">
      <c r="B45" s="122">
        <f t="shared" si="1"/>
        <v>38</v>
      </c>
      <c r="C45" s="139" t="s">
        <v>385</v>
      </c>
      <c r="D45" s="122" t="s">
        <v>386</v>
      </c>
      <c r="E45" s="134"/>
      <c r="F45" s="134" t="s">
        <v>102</v>
      </c>
      <c r="G45" s="135" t="s">
        <v>305</v>
      </c>
      <c r="H45" s="136" t="s">
        <v>332</v>
      </c>
      <c r="I45" s="126" t="s">
        <v>307</v>
      </c>
      <c r="J45" s="126" t="s">
        <v>144</v>
      </c>
      <c r="K45" s="126" t="s">
        <v>144</v>
      </c>
      <c r="L45" s="126" t="s">
        <v>308</v>
      </c>
      <c r="M45" s="126" t="s">
        <v>144</v>
      </c>
      <c r="N45" s="126" t="s">
        <v>309</v>
      </c>
      <c r="O45" s="126" t="s">
        <v>166</v>
      </c>
      <c r="P45" s="126" t="s">
        <v>310</v>
      </c>
      <c r="Q45" s="126" t="s">
        <v>166</v>
      </c>
      <c r="R45" s="126" t="s">
        <v>311</v>
      </c>
      <c r="S45" s="126" t="s">
        <v>144</v>
      </c>
      <c r="T45" s="126" t="s">
        <v>144</v>
      </c>
      <c r="U45" s="126" t="s">
        <v>166</v>
      </c>
      <c r="V45" s="133">
        <v>1</v>
      </c>
      <c r="W45" s="126" t="s">
        <v>102</v>
      </c>
      <c r="X45" s="126" t="s">
        <v>166</v>
      </c>
      <c r="Y45" s="126" t="s">
        <v>166</v>
      </c>
      <c r="Z45" s="126" t="s">
        <v>144</v>
      </c>
      <c r="AA45" s="126" t="s">
        <v>144</v>
      </c>
      <c r="AB45" s="126" t="s">
        <v>144</v>
      </c>
      <c r="AC45" s="126" t="s">
        <v>144</v>
      </c>
      <c r="AD45" s="126" t="s">
        <v>144</v>
      </c>
      <c r="AE45" s="126" t="s">
        <v>144</v>
      </c>
      <c r="AF45" s="126" t="s">
        <v>144</v>
      </c>
      <c r="AG45" s="126" t="s">
        <v>144</v>
      </c>
      <c r="AH45" s="126" t="s">
        <v>144</v>
      </c>
      <c r="AI45" s="126" t="s">
        <v>144</v>
      </c>
      <c r="AJ45" s="126" t="s">
        <v>267</v>
      </c>
      <c r="AK45" s="126" t="s">
        <v>98</v>
      </c>
      <c r="AL45" s="126" t="s">
        <v>144</v>
      </c>
      <c r="AM45" s="126" t="s">
        <v>144</v>
      </c>
      <c r="AN45" s="126" t="s">
        <v>144</v>
      </c>
      <c r="AO45" s="126" t="s">
        <v>144</v>
      </c>
      <c r="AP45" s="126" t="s">
        <v>144</v>
      </c>
      <c r="AQ45" s="126" t="s">
        <v>144</v>
      </c>
      <c r="AR45" s="126" t="s">
        <v>144</v>
      </c>
      <c r="AS45" s="126" t="s">
        <v>144</v>
      </c>
      <c r="AT45" s="126" t="s">
        <v>144</v>
      </c>
      <c r="AU45" s="126" t="s">
        <v>144</v>
      </c>
      <c r="AV45" s="126" t="s">
        <v>98</v>
      </c>
      <c r="AW45" s="126" t="s">
        <v>144</v>
      </c>
    </row>
    <row r="46" spans="2:49" ht="14.4">
      <c r="B46" s="122">
        <f t="shared" si="1"/>
        <v>39</v>
      </c>
      <c r="C46" s="118" t="s">
        <v>387</v>
      </c>
      <c r="D46" s="119" t="s">
        <v>388</v>
      </c>
      <c r="E46" s="134"/>
      <c r="F46" s="134" t="s">
        <v>102</v>
      </c>
      <c r="G46" s="135" t="s">
        <v>305</v>
      </c>
      <c r="H46" s="136" t="s">
        <v>332</v>
      </c>
      <c r="I46" s="126" t="s">
        <v>307</v>
      </c>
      <c r="J46" s="126" t="s">
        <v>144</v>
      </c>
      <c r="K46" s="126" t="s">
        <v>144</v>
      </c>
      <c r="L46" s="126" t="s">
        <v>308</v>
      </c>
      <c r="M46" s="126" t="s">
        <v>144</v>
      </c>
      <c r="N46" s="126" t="s">
        <v>309</v>
      </c>
      <c r="O46" s="126" t="s">
        <v>166</v>
      </c>
      <c r="P46" s="126" t="s">
        <v>310</v>
      </c>
      <c r="Q46" s="126" t="s">
        <v>166</v>
      </c>
      <c r="R46" s="126" t="s">
        <v>311</v>
      </c>
      <c r="S46" s="126" t="s">
        <v>144</v>
      </c>
      <c r="T46" s="126" t="s">
        <v>144</v>
      </c>
      <c r="U46" s="126" t="s">
        <v>166</v>
      </c>
      <c r="V46" s="133">
        <v>1</v>
      </c>
      <c r="W46" s="126" t="s">
        <v>102</v>
      </c>
      <c r="X46" s="126" t="s">
        <v>166</v>
      </c>
      <c r="Y46" s="126" t="s">
        <v>166</v>
      </c>
      <c r="Z46" s="126" t="s">
        <v>144</v>
      </c>
      <c r="AA46" s="126" t="s">
        <v>144</v>
      </c>
      <c r="AB46" s="126" t="s">
        <v>144</v>
      </c>
      <c r="AC46" s="126" t="s">
        <v>144</v>
      </c>
      <c r="AD46" s="126" t="s">
        <v>144</v>
      </c>
      <c r="AE46" s="126" t="s">
        <v>144</v>
      </c>
      <c r="AF46" s="126" t="s">
        <v>144</v>
      </c>
      <c r="AG46" s="126" t="s">
        <v>144</v>
      </c>
      <c r="AH46" s="126" t="s">
        <v>144</v>
      </c>
      <c r="AI46" s="126" t="s">
        <v>144</v>
      </c>
      <c r="AJ46" s="126" t="s">
        <v>267</v>
      </c>
      <c r="AK46" s="126" t="s">
        <v>98</v>
      </c>
      <c r="AL46" s="126" t="s">
        <v>144</v>
      </c>
      <c r="AM46" s="126" t="s">
        <v>144</v>
      </c>
      <c r="AN46" s="126" t="s">
        <v>144</v>
      </c>
      <c r="AO46" s="126" t="s">
        <v>144</v>
      </c>
      <c r="AP46" s="126" t="s">
        <v>144</v>
      </c>
      <c r="AQ46" s="126" t="s">
        <v>144</v>
      </c>
      <c r="AR46" s="126" t="s">
        <v>144</v>
      </c>
      <c r="AS46" s="126" t="s">
        <v>144</v>
      </c>
      <c r="AT46" s="126" t="s">
        <v>144</v>
      </c>
      <c r="AU46" s="126" t="s">
        <v>144</v>
      </c>
      <c r="AV46" s="126" t="s">
        <v>98</v>
      </c>
      <c r="AW46" s="126" t="s">
        <v>144</v>
      </c>
    </row>
    <row r="47" spans="2:49" ht="14.4">
      <c r="B47" s="122">
        <f t="shared" si="1"/>
        <v>40</v>
      </c>
      <c r="C47" s="139" t="s">
        <v>389</v>
      </c>
      <c r="D47" s="122" t="s">
        <v>390</v>
      </c>
      <c r="E47" s="134"/>
      <c r="F47" s="134" t="s">
        <v>102</v>
      </c>
      <c r="G47" s="135" t="s">
        <v>305</v>
      </c>
      <c r="H47" s="136" t="s">
        <v>332</v>
      </c>
      <c r="I47" s="126" t="s">
        <v>307</v>
      </c>
      <c r="J47" s="126" t="s">
        <v>144</v>
      </c>
      <c r="K47" s="126" t="s">
        <v>144</v>
      </c>
      <c r="L47" s="126" t="s">
        <v>308</v>
      </c>
      <c r="M47" s="126" t="s">
        <v>144</v>
      </c>
      <c r="N47" s="126" t="s">
        <v>309</v>
      </c>
      <c r="O47" s="126" t="s">
        <v>166</v>
      </c>
      <c r="P47" s="126" t="s">
        <v>310</v>
      </c>
      <c r="Q47" s="126" t="s">
        <v>166</v>
      </c>
      <c r="R47" s="126" t="s">
        <v>311</v>
      </c>
      <c r="S47" s="126" t="s">
        <v>144</v>
      </c>
      <c r="T47" s="126" t="s">
        <v>144</v>
      </c>
      <c r="U47" s="126" t="s">
        <v>166</v>
      </c>
      <c r="V47" s="133">
        <v>1</v>
      </c>
      <c r="W47" s="126" t="s">
        <v>102</v>
      </c>
      <c r="X47" s="126" t="s">
        <v>166</v>
      </c>
      <c r="Y47" s="126" t="s">
        <v>166</v>
      </c>
      <c r="Z47" s="126" t="s">
        <v>144</v>
      </c>
      <c r="AA47" s="126" t="s">
        <v>144</v>
      </c>
      <c r="AB47" s="126" t="s">
        <v>144</v>
      </c>
      <c r="AC47" s="126" t="s">
        <v>144</v>
      </c>
      <c r="AD47" s="126" t="s">
        <v>144</v>
      </c>
      <c r="AE47" s="126" t="s">
        <v>144</v>
      </c>
      <c r="AF47" s="126" t="s">
        <v>144</v>
      </c>
      <c r="AG47" s="126" t="s">
        <v>144</v>
      </c>
      <c r="AH47" s="126" t="s">
        <v>144</v>
      </c>
      <c r="AI47" s="126" t="s">
        <v>144</v>
      </c>
      <c r="AJ47" s="126" t="s">
        <v>267</v>
      </c>
      <c r="AK47" s="126" t="s">
        <v>98</v>
      </c>
      <c r="AL47" s="126" t="s">
        <v>144</v>
      </c>
      <c r="AM47" s="126" t="s">
        <v>144</v>
      </c>
      <c r="AN47" s="126" t="s">
        <v>144</v>
      </c>
      <c r="AO47" s="126" t="s">
        <v>144</v>
      </c>
      <c r="AP47" s="126" t="s">
        <v>144</v>
      </c>
      <c r="AQ47" s="126" t="s">
        <v>144</v>
      </c>
      <c r="AR47" s="126" t="s">
        <v>144</v>
      </c>
      <c r="AS47" s="126" t="s">
        <v>144</v>
      </c>
      <c r="AT47" s="126" t="s">
        <v>144</v>
      </c>
      <c r="AU47" s="126" t="s">
        <v>144</v>
      </c>
      <c r="AV47" s="126" t="s">
        <v>98</v>
      </c>
      <c r="AW47" s="126" t="s">
        <v>144</v>
      </c>
    </row>
    <row r="48" spans="2:49" ht="14.4">
      <c r="B48" s="122">
        <f t="shared" si="1"/>
        <v>41</v>
      </c>
      <c r="C48" s="139" t="s">
        <v>391</v>
      </c>
      <c r="D48" s="122" t="s">
        <v>392</v>
      </c>
      <c r="E48" s="134"/>
      <c r="F48" s="134" t="s">
        <v>102</v>
      </c>
      <c r="G48" s="135" t="s">
        <v>305</v>
      </c>
      <c r="H48" s="136" t="s">
        <v>332</v>
      </c>
      <c r="I48" s="126" t="s">
        <v>307</v>
      </c>
      <c r="J48" s="126" t="s">
        <v>144</v>
      </c>
      <c r="K48" s="126" t="s">
        <v>144</v>
      </c>
      <c r="L48" s="126" t="s">
        <v>308</v>
      </c>
      <c r="M48" s="126" t="s">
        <v>144</v>
      </c>
      <c r="N48" s="126" t="s">
        <v>309</v>
      </c>
      <c r="O48" s="126" t="s">
        <v>166</v>
      </c>
      <c r="P48" s="126" t="s">
        <v>310</v>
      </c>
      <c r="Q48" s="126" t="s">
        <v>166</v>
      </c>
      <c r="R48" s="126" t="s">
        <v>311</v>
      </c>
      <c r="S48" s="126" t="s">
        <v>144</v>
      </c>
      <c r="T48" s="126" t="s">
        <v>144</v>
      </c>
      <c r="U48" s="126" t="s">
        <v>166</v>
      </c>
      <c r="V48" s="133">
        <v>1</v>
      </c>
      <c r="W48" s="126" t="s">
        <v>102</v>
      </c>
      <c r="X48" s="126" t="s">
        <v>166</v>
      </c>
      <c r="Y48" s="126" t="s">
        <v>166</v>
      </c>
      <c r="Z48" s="126" t="s">
        <v>144</v>
      </c>
      <c r="AA48" s="126" t="s">
        <v>144</v>
      </c>
      <c r="AB48" s="126" t="s">
        <v>144</v>
      </c>
      <c r="AC48" s="126" t="s">
        <v>144</v>
      </c>
      <c r="AD48" s="126" t="s">
        <v>144</v>
      </c>
      <c r="AE48" s="126" t="s">
        <v>144</v>
      </c>
      <c r="AF48" s="126" t="s">
        <v>144</v>
      </c>
      <c r="AG48" s="126" t="s">
        <v>144</v>
      </c>
      <c r="AH48" s="126" t="s">
        <v>144</v>
      </c>
      <c r="AI48" s="126" t="s">
        <v>144</v>
      </c>
      <c r="AJ48" s="126" t="s">
        <v>267</v>
      </c>
      <c r="AK48" s="126" t="s">
        <v>98</v>
      </c>
      <c r="AL48" s="126" t="s">
        <v>144</v>
      </c>
      <c r="AM48" s="126" t="s">
        <v>144</v>
      </c>
      <c r="AN48" s="126" t="s">
        <v>144</v>
      </c>
      <c r="AO48" s="126" t="s">
        <v>144</v>
      </c>
      <c r="AP48" s="126" t="s">
        <v>144</v>
      </c>
      <c r="AQ48" s="126" t="s">
        <v>144</v>
      </c>
      <c r="AR48" s="126" t="s">
        <v>144</v>
      </c>
      <c r="AS48" s="126" t="s">
        <v>144</v>
      </c>
      <c r="AT48" s="126" t="s">
        <v>144</v>
      </c>
      <c r="AU48" s="126" t="s">
        <v>144</v>
      </c>
      <c r="AV48" s="126" t="s">
        <v>98</v>
      </c>
      <c r="AW48" s="126" t="s">
        <v>144</v>
      </c>
    </row>
    <row r="49" spans="1:50" ht="14.4">
      <c r="A49" s="120"/>
      <c r="B49" s="122">
        <f t="shared" si="1"/>
        <v>42</v>
      </c>
      <c r="C49" s="139" t="s">
        <v>393</v>
      </c>
      <c r="D49" s="122" t="s">
        <v>394</v>
      </c>
      <c r="E49" s="134"/>
      <c r="F49" s="134" t="s">
        <v>102</v>
      </c>
      <c r="G49" s="135" t="s">
        <v>305</v>
      </c>
      <c r="H49" s="136" t="s">
        <v>332</v>
      </c>
      <c r="I49" s="126" t="s">
        <v>307</v>
      </c>
      <c r="J49" s="126" t="s">
        <v>144</v>
      </c>
      <c r="K49" s="126" t="s">
        <v>144</v>
      </c>
      <c r="L49" s="126" t="s">
        <v>308</v>
      </c>
      <c r="M49" s="126" t="s">
        <v>144</v>
      </c>
      <c r="N49" s="126" t="s">
        <v>309</v>
      </c>
      <c r="O49" s="126" t="s">
        <v>166</v>
      </c>
      <c r="P49" s="126" t="s">
        <v>310</v>
      </c>
      <c r="Q49" s="126" t="s">
        <v>166</v>
      </c>
      <c r="R49" s="126" t="s">
        <v>311</v>
      </c>
      <c r="S49" s="126" t="s">
        <v>144</v>
      </c>
      <c r="T49" s="126" t="s">
        <v>144</v>
      </c>
      <c r="U49" s="126" t="s">
        <v>166</v>
      </c>
      <c r="V49" s="133">
        <v>1</v>
      </c>
      <c r="W49" s="126" t="s">
        <v>102</v>
      </c>
      <c r="X49" s="126" t="s">
        <v>166</v>
      </c>
      <c r="Y49" s="126" t="s">
        <v>166</v>
      </c>
      <c r="Z49" s="126" t="s">
        <v>144</v>
      </c>
      <c r="AA49" s="126" t="s">
        <v>144</v>
      </c>
      <c r="AB49" s="126" t="s">
        <v>144</v>
      </c>
      <c r="AC49" s="126" t="s">
        <v>144</v>
      </c>
      <c r="AD49" s="126" t="s">
        <v>144</v>
      </c>
      <c r="AE49" s="126" t="s">
        <v>144</v>
      </c>
      <c r="AF49" s="126" t="s">
        <v>144</v>
      </c>
      <c r="AG49" s="126" t="s">
        <v>144</v>
      </c>
      <c r="AH49" s="126" t="s">
        <v>144</v>
      </c>
      <c r="AI49" s="126" t="s">
        <v>144</v>
      </c>
      <c r="AJ49" s="126" t="s">
        <v>267</v>
      </c>
      <c r="AK49" s="126" t="s">
        <v>98</v>
      </c>
      <c r="AL49" s="126" t="s">
        <v>144</v>
      </c>
      <c r="AM49" s="126" t="s">
        <v>144</v>
      </c>
      <c r="AN49" s="126" t="s">
        <v>144</v>
      </c>
      <c r="AO49" s="126" t="s">
        <v>144</v>
      </c>
      <c r="AP49" s="126" t="s">
        <v>144</v>
      </c>
      <c r="AQ49" s="126" t="s">
        <v>144</v>
      </c>
      <c r="AR49" s="126" t="s">
        <v>144</v>
      </c>
      <c r="AS49" s="126" t="s">
        <v>144</v>
      </c>
      <c r="AT49" s="126" t="s">
        <v>144</v>
      </c>
      <c r="AU49" s="126" t="s">
        <v>144</v>
      </c>
      <c r="AV49" s="126" t="s">
        <v>98</v>
      </c>
      <c r="AW49" s="126" t="s">
        <v>144</v>
      </c>
      <c r="AX49" s="120"/>
    </row>
    <row r="50" spans="1:50" ht="14.4">
      <c r="A50" s="120"/>
      <c r="B50" s="122">
        <f t="shared" si="1"/>
        <v>43</v>
      </c>
      <c r="C50" s="118" t="s">
        <v>395</v>
      </c>
      <c r="D50" s="119" t="s">
        <v>396</v>
      </c>
      <c r="E50" s="134"/>
      <c r="F50" s="134" t="s">
        <v>102</v>
      </c>
      <c r="G50" s="135" t="s">
        <v>305</v>
      </c>
      <c r="H50" s="136" t="s">
        <v>332</v>
      </c>
      <c r="I50" s="126" t="s">
        <v>307</v>
      </c>
      <c r="J50" s="126" t="s">
        <v>144</v>
      </c>
      <c r="K50" s="126" t="s">
        <v>144</v>
      </c>
      <c r="L50" s="126" t="s">
        <v>308</v>
      </c>
      <c r="M50" s="126" t="s">
        <v>144</v>
      </c>
      <c r="N50" s="126" t="s">
        <v>309</v>
      </c>
      <c r="O50" s="126" t="s">
        <v>166</v>
      </c>
      <c r="P50" s="126" t="s">
        <v>310</v>
      </c>
      <c r="Q50" s="126" t="s">
        <v>166</v>
      </c>
      <c r="R50" s="126" t="s">
        <v>311</v>
      </c>
      <c r="S50" s="126" t="s">
        <v>144</v>
      </c>
      <c r="T50" s="126" t="s">
        <v>144</v>
      </c>
      <c r="U50" s="126" t="s">
        <v>166</v>
      </c>
      <c r="V50" s="133">
        <v>1</v>
      </c>
      <c r="W50" s="126" t="s">
        <v>102</v>
      </c>
      <c r="X50" s="126" t="s">
        <v>166</v>
      </c>
      <c r="Y50" s="126" t="s">
        <v>166</v>
      </c>
      <c r="Z50" s="126" t="s">
        <v>144</v>
      </c>
      <c r="AA50" s="126" t="s">
        <v>144</v>
      </c>
      <c r="AB50" s="126" t="s">
        <v>144</v>
      </c>
      <c r="AC50" s="126" t="s">
        <v>144</v>
      </c>
      <c r="AD50" s="126" t="s">
        <v>144</v>
      </c>
      <c r="AE50" s="126" t="s">
        <v>144</v>
      </c>
      <c r="AF50" s="126" t="s">
        <v>144</v>
      </c>
      <c r="AG50" s="126" t="s">
        <v>144</v>
      </c>
      <c r="AH50" s="126" t="s">
        <v>144</v>
      </c>
      <c r="AI50" s="126" t="s">
        <v>144</v>
      </c>
      <c r="AJ50" s="126" t="s">
        <v>267</v>
      </c>
      <c r="AK50" s="126" t="s">
        <v>98</v>
      </c>
      <c r="AL50" s="126" t="s">
        <v>144</v>
      </c>
      <c r="AM50" s="126" t="s">
        <v>144</v>
      </c>
      <c r="AN50" s="126" t="s">
        <v>144</v>
      </c>
      <c r="AO50" s="126" t="s">
        <v>144</v>
      </c>
      <c r="AP50" s="126" t="s">
        <v>144</v>
      </c>
      <c r="AQ50" s="126" t="s">
        <v>144</v>
      </c>
      <c r="AR50" s="126" t="s">
        <v>144</v>
      </c>
      <c r="AS50" s="126" t="s">
        <v>144</v>
      </c>
      <c r="AT50" s="126" t="s">
        <v>144</v>
      </c>
      <c r="AU50" s="126" t="s">
        <v>144</v>
      </c>
      <c r="AV50" s="126" t="s">
        <v>98</v>
      </c>
      <c r="AW50" s="126" t="s">
        <v>144</v>
      </c>
      <c r="AX50" s="120"/>
    </row>
    <row r="51" spans="1:50" ht="14.4">
      <c r="A51" s="51"/>
      <c r="B51" s="122">
        <f t="shared" si="1"/>
        <v>44</v>
      </c>
      <c r="C51" s="118" t="s">
        <v>397</v>
      </c>
      <c r="D51" s="119" t="s">
        <v>398</v>
      </c>
      <c r="E51" s="134"/>
      <c r="F51" s="134" t="s">
        <v>102</v>
      </c>
      <c r="G51" s="135" t="s">
        <v>305</v>
      </c>
      <c r="H51" s="136" t="s">
        <v>332</v>
      </c>
      <c r="I51" s="126" t="s">
        <v>307</v>
      </c>
      <c r="J51" s="126" t="s">
        <v>144</v>
      </c>
      <c r="K51" s="126" t="s">
        <v>144</v>
      </c>
      <c r="L51" s="126" t="s">
        <v>308</v>
      </c>
      <c r="M51" s="126" t="s">
        <v>144</v>
      </c>
      <c r="N51" s="126" t="s">
        <v>309</v>
      </c>
      <c r="O51" s="126" t="s">
        <v>166</v>
      </c>
      <c r="P51" s="126" t="s">
        <v>310</v>
      </c>
      <c r="Q51" s="126" t="s">
        <v>166</v>
      </c>
      <c r="R51" s="126" t="s">
        <v>311</v>
      </c>
      <c r="S51" s="126" t="s">
        <v>144</v>
      </c>
      <c r="T51" s="126" t="s">
        <v>144</v>
      </c>
      <c r="U51" s="126" t="s">
        <v>166</v>
      </c>
      <c r="V51" s="133">
        <v>1</v>
      </c>
      <c r="W51" s="126" t="s">
        <v>102</v>
      </c>
      <c r="X51" s="126" t="s">
        <v>166</v>
      </c>
      <c r="Y51" s="126" t="s">
        <v>166</v>
      </c>
      <c r="Z51" s="126" t="s">
        <v>144</v>
      </c>
      <c r="AA51" s="126" t="s">
        <v>144</v>
      </c>
      <c r="AB51" s="126" t="s">
        <v>144</v>
      </c>
      <c r="AC51" s="126" t="s">
        <v>144</v>
      </c>
      <c r="AD51" s="126" t="s">
        <v>144</v>
      </c>
      <c r="AE51" s="126" t="s">
        <v>144</v>
      </c>
      <c r="AF51" s="126" t="s">
        <v>144</v>
      </c>
      <c r="AG51" s="126" t="s">
        <v>144</v>
      </c>
      <c r="AH51" s="126" t="s">
        <v>144</v>
      </c>
      <c r="AI51" s="126" t="s">
        <v>144</v>
      </c>
      <c r="AJ51" s="126" t="s">
        <v>267</v>
      </c>
      <c r="AK51" s="126" t="s">
        <v>98</v>
      </c>
      <c r="AL51" s="126" t="s">
        <v>144</v>
      </c>
      <c r="AM51" s="126" t="s">
        <v>144</v>
      </c>
      <c r="AN51" s="126" t="s">
        <v>144</v>
      </c>
      <c r="AO51" s="126" t="s">
        <v>144</v>
      </c>
      <c r="AP51" s="126" t="s">
        <v>144</v>
      </c>
      <c r="AQ51" s="126" t="s">
        <v>144</v>
      </c>
      <c r="AR51" s="126" t="s">
        <v>144</v>
      </c>
      <c r="AS51" s="126" t="s">
        <v>144</v>
      </c>
      <c r="AT51" s="126" t="s">
        <v>144</v>
      </c>
      <c r="AU51" s="126" t="s">
        <v>144</v>
      </c>
      <c r="AV51" s="126" t="s">
        <v>98</v>
      </c>
      <c r="AW51" s="126" t="s">
        <v>144</v>
      </c>
      <c r="AX51" s="125" t="s">
        <v>399</v>
      </c>
    </row>
    <row r="52" spans="1:50" ht="16.2">
      <c r="A52" s="92"/>
      <c r="B52" s="122">
        <f t="shared" si="1"/>
        <v>45</v>
      </c>
      <c r="C52" s="118" t="s">
        <v>400</v>
      </c>
      <c r="D52" s="119" t="s">
        <v>401</v>
      </c>
      <c r="E52" s="134"/>
      <c r="F52" s="134" t="s">
        <v>102</v>
      </c>
      <c r="G52" s="135" t="s">
        <v>305</v>
      </c>
      <c r="H52" s="136" t="s">
        <v>332</v>
      </c>
      <c r="I52" s="126" t="s">
        <v>307</v>
      </c>
      <c r="J52" s="126" t="s">
        <v>144</v>
      </c>
      <c r="K52" s="126" t="s">
        <v>144</v>
      </c>
      <c r="L52" s="126" t="s">
        <v>308</v>
      </c>
      <c r="M52" s="126" t="s">
        <v>144</v>
      </c>
      <c r="N52" s="126" t="s">
        <v>309</v>
      </c>
      <c r="O52" s="126" t="s">
        <v>166</v>
      </c>
      <c r="P52" s="126" t="s">
        <v>310</v>
      </c>
      <c r="Q52" s="126" t="s">
        <v>166</v>
      </c>
      <c r="R52" s="126" t="s">
        <v>311</v>
      </c>
      <c r="S52" s="126" t="s">
        <v>144</v>
      </c>
      <c r="T52" s="126" t="s">
        <v>144</v>
      </c>
      <c r="U52" s="126" t="s">
        <v>166</v>
      </c>
      <c r="V52" s="133">
        <v>1</v>
      </c>
      <c r="W52" s="126" t="s">
        <v>102</v>
      </c>
      <c r="X52" s="126" t="s">
        <v>166</v>
      </c>
      <c r="Y52" s="126" t="s">
        <v>166</v>
      </c>
      <c r="Z52" s="126" t="s">
        <v>144</v>
      </c>
      <c r="AA52" s="126" t="s">
        <v>144</v>
      </c>
      <c r="AB52" s="126" t="s">
        <v>144</v>
      </c>
      <c r="AC52" s="126" t="s">
        <v>144</v>
      </c>
      <c r="AD52" s="126" t="s">
        <v>144</v>
      </c>
      <c r="AE52" s="126" t="s">
        <v>144</v>
      </c>
      <c r="AF52" s="126" t="s">
        <v>144</v>
      </c>
      <c r="AG52" s="126" t="s">
        <v>144</v>
      </c>
      <c r="AH52" s="126" t="s">
        <v>144</v>
      </c>
      <c r="AI52" s="126" t="s">
        <v>144</v>
      </c>
      <c r="AJ52" s="126" t="s">
        <v>267</v>
      </c>
      <c r="AK52" s="126" t="s">
        <v>98</v>
      </c>
      <c r="AL52" s="126" t="s">
        <v>144</v>
      </c>
      <c r="AM52" s="126" t="s">
        <v>144</v>
      </c>
      <c r="AN52" s="126" t="s">
        <v>144</v>
      </c>
      <c r="AO52" s="126" t="s">
        <v>144</v>
      </c>
      <c r="AP52" s="126" t="s">
        <v>144</v>
      </c>
      <c r="AQ52" s="126" t="s">
        <v>144</v>
      </c>
      <c r="AR52" s="126" t="s">
        <v>144</v>
      </c>
      <c r="AS52" s="126" t="s">
        <v>144</v>
      </c>
      <c r="AT52" s="126" t="s">
        <v>144</v>
      </c>
      <c r="AU52" s="126" t="s">
        <v>144</v>
      </c>
      <c r="AV52" s="126" t="s">
        <v>98</v>
      </c>
      <c r="AW52" s="126" t="s">
        <v>144</v>
      </c>
      <c r="AX52" s="125" t="s">
        <v>399</v>
      </c>
    </row>
    <row r="53" spans="1:50" ht="14.4">
      <c r="A53" s="51"/>
      <c r="B53" s="122">
        <f t="shared" si="1"/>
        <v>46</v>
      </c>
      <c r="C53" s="118" t="s">
        <v>402</v>
      </c>
      <c r="D53" s="119" t="s">
        <v>403</v>
      </c>
      <c r="E53" s="134"/>
      <c r="F53" s="134" t="s">
        <v>102</v>
      </c>
      <c r="G53" s="135" t="s">
        <v>305</v>
      </c>
      <c r="H53" s="136" t="s">
        <v>332</v>
      </c>
      <c r="I53" s="126" t="s">
        <v>307</v>
      </c>
      <c r="J53" s="126" t="s">
        <v>144</v>
      </c>
      <c r="K53" s="126" t="s">
        <v>144</v>
      </c>
      <c r="L53" s="126" t="s">
        <v>308</v>
      </c>
      <c r="M53" s="126" t="s">
        <v>144</v>
      </c>
      <c r="N53" s="126" t="s">
        <v>309</v>
      </c>
      <c r="O53" s="126" t="s">
        <v>166</v>
      </c>
      <c r="P53" s="126" t="s">
        <v>310</v>
      </c>
      <c r="Q53" s="126" t="s">
        <v>166</v>
      </c>
      <c r="R53" s="126" t="s">
        <v>311</v>
      </c>
      <c r="S53" s="126" t="s">
        <v>144</v>
      </c>
      <c r="T53" s="126" t="s">
        <v>144</v>
      </c>
      <c r="U53" s="126" t="s">
        <v>166</v>
      </c>
      <c r="V53" s="133">
        <v>1</v>
      </c>
      <c r="W53" s="126" t="s">
        <v>102</v>
      </c>
      <c r="X53" s="126" t="s">
        <v>166</v>
      </c>
      <c r="Y53" s="126" t="s">
        <v>166</v>
      </c>
      <c r="Z53" s="126" t="s">
        <v>144</v>
      </c>
      <c r="AA53" s="126" t="s">
        <v>144</v>
      </c>
      <c r="AB53" s="126" t="s">
        <v>144</v>
      </c>
      <c r="AC53" s="126" t="s">
        <v>144</v>
      </c>
      <c r="AD53" s="126" t="s">
        <v>144</v>
      </c>
      <c r="AE53" s="126" t="s">
        <v>144</v>
      </c>
      <c r="AF53" s="126" t="s">
        <v>144</v>
      </c>
      <c r="AG53" s="126" t="s">
        <v>144</v>
      </c>
      <c r="AH53" s="126" t="s">
        <v>144</v>
      </c>
      <c r="AI53" s="126" t="s">
        <v>144</v>
      </c>
      <c r="AJ53" s="126" t="s">
        <v>267</v>
      </c>
      <c r="AK53" s="126" t="s">
        <v>98</v>
      </c>
      <c r="AL53" s="126" t="s">
        <v>144</v>
      </c>
      <c r="AM53" s="126" t="s">
        <v>144</v>
      </c>
      <c r="AN53" s="126" t="s">
        <v>144</v>
      </c>
      <c r="AO53" s="126" t="s">
        <v>144</v>
      </c>
      <c r="AP53" s="126" t="s">
        <v>144</v>
      </c>
      <c r="AQ53" s="126" t="s">
        <v>144</v>
      </c>
      <c r="AR53" s="126" t="s">
        <v>144</v>
      </c>
      <c r="AS53" s="126" t="s">
        <v>144</v>
      </c>
      <c r="AT53" s="126" t="s">
        <v>144</v>
      </c>
      <c r="AU53" s="126" t="s">
        <v>144</v>
      </c>
      <c r="AV53" s="126" t="s">
        <v>98</v>
      </c>
      <c r="AW53" s="126" t="s">
        <v>144</v>
      </c>
      <c r="AX53" s="125" t="s">
        <v>399</v>
      </c>
    </row>
    <row r="54" spans="1:50" ht="14.4">
      <c r="A54" s="51"/>
      <c r="B54" s="122">
        <f t="shared" si="1"/>
        <v>47</v>
      </c>
      <c r="C54" s="118" t="s">
        <v>404</v>
      </c>
      <c r="D54" s="119" t="s">
        <v>405</v>
      </c>
      <c r="E54" s="134"/>
      <c r="F54" s="134" t="s">
        <v>102</v>
      </c>
      <c r="G54" s="135" t="s">
        <v>305</v>
      </c>
      <c r="H54" s="136" t="s">
        <v>332</v>
      </c>
      <c r="I54" s="126" t="s">
        <v>307</v>
      </c>
      <c r="J54" s="126" t="s">
        <v>144</v>
      </c>
      <c r="K54" s="126" t="s">
        <v>144</v>
      </c>
      <c r="L54" s="126" t="s">
        <v>308</v>
      </c>
      <c r="M54" s="126" t="s">
        <v>144</v>
      </c>
      <c r="N54" s="126" t="s">
        <v>309</v>
      </c>
      <c r="O54" s="126" t="s">
        <v>166</v>
      </c>
      <c r="P54" s="126" t="s">
        <v>310</v>
      </c>
      <c r="Q54" s="126" t="s">
        <v>166</v>
      </c>
      <c r="R54" s="126" t="s">
        <v>311</v>
      </c>
      <c r="S54" s="126" t="s">
        <v>144</v>
      </c>
      <c r="T54" s="126" t="s">
        <v>144</v>
      </c>
      <c r="U54" s="126" t="s">
        <v>166</v>
      </c>
      <c r="V54" s="133">
        <v>1</v>
      </c>
      <c r="W54" s="126" t="s">
        <v>102</v>
      </c>
      <c r="X54" s="126" t="s">
        <v>166</v>
      </c>
      <c r="Y54" s="126" t="s">
        <v>166</v>
      </c>
      <c r="Z54" s="126" t="s">
        <v>144</v>
      </c>
      <c r="AA54" s="126" t="s">
        <v>144</v>
      </c>
      <c r="AB54" s="126" t="s">
        <v>144</v>
      </c>
      <c r="AC54" s="126" t="s">
        <v>144</v>
      </c>
      <c r="AD54" s="126" t="s">
        <v>144</v>
      </c>
      <c r="AE54" s="126" t="s">
        <v>144</v>
      </c>
      <c r="AF54" s="126" t="s">
        <v>144</v>
      </c>
      <c r="AG54" s="126" t="s">
        <v>144</v>
      </c>
      <c r="AH54" s="126" t="s">
        <v>144</v>
      </c>
      <c r="AI54" s="126" t="s">
        <v>144</v>
      </c>
      <c r="AJ54" s="126" t="s">
        <v>267</v>
      </c>
      <c r="AK54" s="126" t="s">
        <v>98</v>
      </c>
      <c r="AL54" s="126" t="s">
        <v>144</v>
      </c>
      <c r="AM54" s="126" t="s">
        <v>144</v>
      </c>
      <c r="AN54" s="126" t="s">
        <v>144</v>
      </c>
      <c r="AO54" s="126" t="s">
        <v>144</v>
      </c>
      <c r="AP54" s="126" t="s">
        <v>144</v>
      </c>
      <c r="AQ54" s="126" t="s">
        <v>144</v>
      </c>
      <c r="AR54" s="126" t="s">
        <v>144</v>
      </c>
      <c r="AS54" s="126" t="s">
        <v>144</v>
      </c>
      <c r="AT54" s="126" t="s">
        <v>144</v>
      </c>
      <c r="AU54" s="126" t="s">
        <v>144</v>
      </c>
      <c r="AV54" s="126" t="s">
        <v>98</v>
      </c>
      <c r="AW54" s="126" t="s">
        <v>144</v>
      </c>
      <c r="AX54" s="125" t="s">
        <v>399</v>
      </c>
    </row>
    <row r="55" spans="1:50" ht="14.4">
      <c r="A55" s="51"/>
      <c r="B55" s="122">
        <f t="shared" si="1"/>
        <v>48</v>
      </c>
      <c r="C55" s="139" t="s">
        <v>406</v>
      </c>
      <c r="D55" s="122" t="s">
        <v>407</v>
      </c>
      <c r="E55" s="134"/>
      <c r="F55" s="134" t="s">
        <v>102</v>
      </c>
      <c r="G55" s="135" t="s">
        <v>305</v>
      </c>
      <c r="H55" s="136" t="s">
        <v>332</v>
      </c>
      <c r="I55" s="121" t="s">
        <v>307</v>
      </c>
      <c r="J55" s="126" t="s">
        <v>144</v>
      </c>
      <c r="K55" s="126" t="s">
        <v>144</v>
      </c>
      <c r="L55" s="126" t="s">
        <v>308</v>
      </c>
      <c r="M55" s="126" t="s">
        <v>144</v>
      </c>
      <c r="N55" s="126" t="s">
        <v>309</v>
      </c>
      <c r="O55" s="126" t="s">
        <v>166</v>
      </c>
      <c r="P55" s="126" t="s">
        <v>310</v>
      </c>
      <c r="Q55" s="126" t="s">
        <v>166</v>
      </c>
      <c r="R55" s="126" t="s">
        <v>311</v>
      </c>
      <c r="S55" s="126" t="s">
        <v>144</v>
      </c>
      <c r="T55" s="126" t="s">
        <v>144</v>
      </c>
      <c r="U55" s="126" t="s">
        <v>166</v>
      </c>
      <c r="V55" s="133">
        <v>1</v>
      </c>
      <c r="W55" s="126" t="s">
        <v>102</v>
      </c>
      <c r="X55" s="126" t="s">
        <v>166</v>
      </c>
      <c r="Y55" s="126" t="s">
        <v>166</v>
      </c>
      <c r="Z55" s="126" t="s">
        <v>144</v>
      </c>
      <c r="AA55" s="126" t="s">
        <v>144</v>
      </c>
      <c r="AB55" s="126" t="s">
        <v>144</v>
      </c>
      <c r="AC55" s="126" t="s">
        <v>144</v>
      </c>
      <c r="AD55" s="126" t="s">
        <v>144</v>
      </c>
      <c r="AE55" s="126" t="s">
        <v>144</v>
      </c>
      <c r="AF55" s="126" t="s">
        <v>144</v>
      </c>
      <c r="AG55" s="126" t="s">
        <v>144</v>
      </c>
      <c r="AH55" s="126" t="s">
        <v>144</v>
      </c>
      <c r="AI55" s="126" t="s">
        <v>144</v>
      </c>
      <c r="AJ55" s="126" t="s">
        <v>267</v>
      </c>
      <c r="AK55" s="126" t="s">
        <v>98</v>
      </c>
      <c r="AL55" s="126" t="s">
        <v>144</v>
      </c>
      <c r="AM55" s="126" t="s">
        <v>144</v>
      </c>
      <c r="AN55" s="126" t="s">
        <v>144</v>
      </c>
      <c r="AO55" s="126" t="s">
        <v>144</v>
      </c>
      <c r="AP55" s="126" t="s">
        <v>144</v>
      </c>
      <c r="AQ55" s="126" t="s">
        <v>144</v>
      </c>
      <c r="AR55" s="126" t="s">
        <v>144</v>
      </c>
      <c r="AS55" s="126" t="s">
        <v>144</v>
      </c>
      <c r="AT55" s="126" t="s">
        <v>144</v>
      </c>
      <c r="AU55" s="126" t="s">
        <v>144</v>
      </c>
      <c r="AV55" s="126" t="s">
        <v>98</v>
      </c>
      <c r="AW55" s="126" t="s">
        <v>144</v>
      </c>
      <c r="AX55" s="125" t="s">
        <v>399</v>
      </c>
    </row>
    <row r="56" spans="1:50" ht="14.4">
      <c r="A56" s="51"/>
      <c r="B56" s="122">
        <f t="shared" si="1"/>
        <v>49</v>
      </c>
      <c r="C56" s="139" t="s">
        <v>408</v>
      </c>
      <c r="D56" s="122" t="s">
        <v>409</v>
      </c>
      <c r="E56" s="134"/>
      <c r="F56" s="134" t="s">
        <v>102</v>
      </c>
      <c r="G56" s="135" t="s">
        <v>305</v>
      </c>
      <c r="H56" s="136" t="s">
        <v>332</v>
      </c>
      <c r="I56" s="121" t="s">
        <v>307</v>
      </c>
      <c r="J56" s="126" t="s">
        <v>144</v>
      </c>
      <c r="K56" s="126" t="s">
        <v>144</v>
      </c>
      <c r="L56" s="126" t="s">
        <v>308</v>
      </c>
      <c r="M56" s="126" t="s">
        <v>144</v>
      </c>
      <c r="N56" s="126" t="s">
        <v>309</v>
      </c>
      <c r="O56" s="126" t="s">
        <v>166</v>
      </c>
      <c r="P56" s="126" t="s">
        <v>310</v>
      </c>
      <c r="Q56" s="126" t="s">
        <v>166</v>
      </c>
      <c r="R56" s="126" t="s">
        <v>311</v>
      </c>
      <c r="S56" s="126" t="s">
        <v>144</v>
      </c>
      <c r="T56" s="126" t="s">
        <v>144</v>
      </c>
      <c r="U56" s="126" t="s">
        <v>166</v>
      </c>
      <c r="V56" s="133">
        <v>1</v>
      </c>
      <c r="W56" s="126" t="s">
        <v>102</v>
      </c>
      <c r="X56" s="126" t="s">
        <v>166</v>
      </c>
      <c r="Y56" s="126" t="s">
        <v>166</v>
      </c>
      <c r="Z56" s="126" t="s">
        <v>144</v>
      </c>
      <c r="AA56" s="126" t="s">
        <v>144</v>
      </c>
      <c r="AB56" s="126" t="s">
        <v>144</v>
      </c>
      <c r="AC56" s="126" t="s">
        <v>144</v>
      </c>
      <c r="AD56" s="126" t="s">
        <v>144</v>
      </c>
      <c r="AE56" s="126" t="s">
        <v>144</v>
      </c>
      <c r="AF56" s="126" t="s">
        <v>144</v>
      </c>
      <c r="AG56" s="126" t="s">
        <v>144</v>
      </c>
      <c r="AH56" s="126" t="s">
        <v>144</v>
      </c>
      <c r="AI56" s="126" t="s">
        <v>144</v>
      </c>
      <c r="AJ56" s="126" t="s">
        <v>267</v>
      </c>
      <c r="AK56" s="126" t="s">
        <v>98</v>
      </c>
      <c r="AL56" s="126" t="s">
        <v>144</v>
      </c>
      <c r="AM56" s="126" t="s">
        <v>144</v>
      </c>
      <c r="AN56" s="126" t="s">
        <v>144</v>
      </c>
      <c r="AO56" s="126" t="s">
        <v>144</v>
      </c>
      <c r="AP56" s="126" t="s">
        <v>144</v>
      </c>
      <c r="AQ56" s="126" t="s">
        <v>144</v>
      </c>
      <c r="AR56" s="126" t="s">
        <v>144</v>
      </c>
      <c r="AS56" s="126" t="s">
        <v>144</v>
      </c>
      <c r="AT56" s="126" t="s">
        <v>144</v>
      </c>
      <c r="AU56" s="126" t="s">
        <v>144</v>
      </c>
      <c r="AV56" s="126" t="s">
        <v>98</v>
      </c>
      <c r="AW56" s="126" t="s">
        <v>144</v>
      </c>
      <c r="AX56" s="125" t="s">
        <v>399</v>
      </c>
    </row>
    <row r="57" spans="1:50" ht="14.4">
      <c r="A57" s="51"/>
      <c r="B57" s="122">
        <f t="shared" si="1"/>
        <v>50</v>
      </c>
      <c r="C57" s="140" t="s">
        <v>410</v>
      </c>
      <c r="D57" s="121" t="s">
        <v>411</v>
      </c>
      <c r="E57" s="134"/>
      <c r="F57" s="134" t="s">
        <v>102</v>
      </c>
      <c r="G57" s="135" t="s">
        <v>305</v>
      </c>
      <c r="H57" s="136" t="s">
        <v>332</v>
      </c>
      <c r="I57" s="121" t="s">
        <v>307</v>
      </c>
      <c r="J57" s="126" t="s">
        <v>144</v>
      </c>
      <c r="K57" s="126" t="s">
        <v>144</v>
      </c>
      <c r="L57" s="126" t="s">
        <v>308</v>
      </c>
      <c r="M57" s="126" t="s">
        <v>144</v>
      </c>
      <c r="N57" s="126" t="s">
        <v>309</v>
      </c>
      <c r="O57" s="126" t="s">
        <v>166</v>
      </c>
      <c r="P57" s="126" t="s">
        <v>310</v>
      </c>
      <c r="Q57" s="126" t="s">
        <v>166</v>
      </c>
      <c r="R57" s="126" t="s">
        <v>311</v>
      </c>
      <c r="S57" s="126" t="s">
        <v>144</v>
      </c>
      <c r="T57" s="126" t="s">
        <v>144</v>
      </c>
      <c r="U57" s="126" t="s">
        <v>166</v>
      </c>
      <c r="V57" s="133">
        <v>1</v>
      </c>
      <c r="W57" s="126" t="s">
        <v>102</v>
      </c>
      <c r="X57" s="126" t="s">
        <v>166</v>
      </c>
      <c r="Y57" s="126" t="s">
        <v>166</v>
      </c>
      <c r="Z57" s="126" t="s">
        <v>144</v>
      </c>
      <c r="AA57" s="126" t="s">
        <v>144</v>
      </c>
      <c r="AB57" s="126" t="s">
        <v>144</v>
      </c>
      <c r="AC57" s="126" t="s">
        <v>144</v>
      </c>
      <c r="AD57" s="126" t="s">
        <v>144</v>
      </c>
      <c r="AE57" s="126" t="s">
        <v>144</v>
      </c>
      <c r="AF57" s="126" t="s">
        <v>144</v>
      </c>
      <c r="AG57" s="126" t="s">
        <v>144</v>
      </c>
      <c r="AH57" s="126" t="s">
        <v>144</v>
      </c>
      <c r="AI57" s="126" t="s">
        <v>144</v>
      </c>
      <c r="AJ57" s="126" t="s">
        <v>267</v>
      </c>
      <c r="AK57" s="126" t="s">
        <v>98</v>
      </c>
      <c r="AL57" s="126" t="s">
        <v>144</v>
      </c>
      <c r="AM57" s="126" t="s">
        <v>144</v>
      </c>
      <c r="AN57" s="126" t="s">
        <v>144</v>
      </c>
      <c r="AO57" s="126" t="s">
        <v>144</v>
      </c>
      <c r="AP57" s="126" t="s">
        <v>144</v>
      </c>
      <c r="AQ57" s="126" t="s">
        <v>144</v>
      </c>
      <c r="AR57" s="126" t="s">
        <v>144</v>
      </c>
      <c r="AS57" s="126" t="s">
        <v>144</v>
      </c>
      <c r="AT57" s="126" t="s">
        <v>144</v>
      </c>
      <c r="AU57" s="126" t="s">
        <v>144</v>
      </c>
      <c r="AV57" s="126" t="s">
        <v>98</v>
      </c>
      <c r="AW57" s="126" t="s">
        <v>144</v>
      </c>
      <c r="AX57" s="125" t="s">
        <v>399</v>
      </c>
    </row>
    <row r="58" spans="1:50" ht="14.4">
      <c r="A58" s="51"/>
      <c r="B58" s="122">
        <f t="shared" si="1"/>
        <v>51</v>
      </c>
      <c r="C58" s="118" t="s">
        <v>412</v>
      </c>
      <c r="D58" s="119" t="s">
        <v>413</v>
      </c>
      <c r="E58" s="134"/>
      <c r="F58" s="134" t="s">
        <v>102</v>
      </c>
      <c r="G58" s="135" t="s">
        <v>305</v>
      </c>
      <c r="H58" s="136" t="s">
        <v>332</v>
      </c>
      <c r="I58" s="126" t="s">
        <v>307</v>
      </c>
      <c r="J58" s="126" t="s">
        <v>144</v>
      </c>
      <c r="K58" s="126" t="s">
        <v>144</v>
      </c>
      <c r="L58" s="126" t="s">
        <v>308</v>
      </c>
      <c r="M58" s="126" t="s">
        <v>144</v>
      </c>
      <c r="N58" s="126" t="s">
        <v>309</v>
      </c>
      <c r="O58" s="126" t="s">
        <v>166</v>
      </c>
      <c r="P58" s="126" t="s">
        <v>310</v>
      </c>
      <c r="Q58" s="126" t="s">
        <v>166</v>
      </c>
      <c r="R58" s="126" t="s">
        <v>311</v>
      </c>
      <c r="S58" s="126" t="s">
        <v>144</v>
      </c>
      <c r="T58" s="126" t="s">
        <v>144</v>
      </c>
      <c r="U58" s="126" t="s">
        <v>166</v>
      </c>
      <c r="V58" s="133">
        <v>1</v>
      </c>
      <c r="W58" s="126" t="s">
        <v>102</v>
      </c>
      <c r="X58" s="126" t="s">
        <v>166</v>
      </c>
      <c r="Y58" s="126" t="s">
        <v>166</v>
      </c>
      <c r="Z58" s="126" t="s">
        <v>144</v>
      </c>
      <c r="AA58" s="126" t="s">
        <v>144</v>
      </c>
      <c r="AB58" s="126" t="s">
        <v>144</v>
      </c>
      <c r="AC58" s="126" t="s">
        <v>144</v>
      </c>
      <c r="AD58" s="126" t="s">
        <v>144</v>
      </c>
      <c r="AE58" s="126" t="s">
        <v>144</v>
      </c>
      <c r="AF58" s="126" t="s">
        <v>144</v>
      </c>
      <c r="AG58" s="126" t="s">
        <v>144</v>
      </c>
      <c r="AH58" s="126" t="s">
        <v>144</v>
      </c>
      <c r="AI58" s="126" t="s">
        <v>144</v>
      </c>
      <c r="AJ58" s="126" t="s">
        <v>267</v>
      </c>
      <c r="AK58" s="126" t="s">
        <v>98</v>
      </c>
      <c r="AL58" s="126" t="s">
        <v>144</v>
      </c>
      <c r="AM58" s="126" t="s">
        <v>144</v>
      </c>
      <c r="AN58" s="126" t="s">
        <v>144</v>
      </c>
      <c r="AO58" s="126" t="s">
        <v>144</v>
      </c>
      <c r="AP58" s="126" t="s">
        <v>144</v>
      </c>
      <c r="AQ58" s="126" t="s">
        <v>144</v>
      </c>
      <c r="AR58" s="126" t="s">
        <v>144</v>
      </c>
      <c r="AS58" s="126" t="s">
        <v>144</v>
      </c>
      <c r="AT58" s="126" t="s">
        <v>144</v>
      </c>
      <c r="AU58" s="126" t="s">
        <v>144</v>
      </c>
      <c r="AV58" s="126" t="s">
        <v>98</v>
      </c>
      <c r="AW58" s="126" t="s">
        <v>144</v>
      </c>
      <c r="AX58" s="125" t="s">
        <v>399</v>
      </c>
    </row>
    <row r="59" spans="1:50" ht="14.4">
      <c r="A59" s="120"/>
      <c r="B59" s="122">
        <f t="shared" si="1"/>
        <v>52</v>
      </c>
      <c r="C59" s="118" t="s">
        <v>414</v>
      </c>
      <c r="D59" s="119" t="s">
        <v>415</v>
      </c>
      <c r="E59" s="134"/>
      <c r="F59" s="134" t="s">
        <v>102</v>
      </c>
      <c r="G59" s="135" t="s">
        <v>305</v>
      </c>
      <c r="H59" s="136" t="s">
        <v>332</v>
      </c>
      <c r="I59" s="126" t="s">
        <v>307</v>
      </c>
      <c r="J59" s="126" t="s">
        <v>144</v>
      </c>
      <c r="K59" s="126" t="s">
        <v>144</v>
      </c>
      <c r="L59" s="126" t="s">
        <v>308</v>
      </c>
      <c r="M59" s="126" t="s">
        <v>144</v>
      </c>
      <c r="N59" s="126" t="s">
        <v>309</v>
      </c>
      <c r="O59" s="126" t="s">
        <v>166</v>
      </c>
      <c r="P59" s="126" t="s">
        <v>310</v>
      </c>
      <c r="Q59" s="126" t="s">
        <v>166</v>
      </c>
      <c r="R59" s="126" t="s">
        <v>311</v>
      </c>
      <c r="S59" s="126" t="s">
        <v>144</v>
      </c>
      <c r="T59" s="126" t="s">
        <v>144</v>
      </c>
      <c r="U59" s="126" t="s">
        <v>166</v>
      </c>
      <c r="V59" s="133">
        <v>1</v>
      </c>
      <c r="W59" s="126" t="s">
        <v>102</v>
      </c>
      <c r="X59" s="126" t="s">
        <v>166</v>
      </c>
      <c r="Y59" s="126" t="s">
        <v>166</v>
      </c>
      <c r="Z59" s="126" t="s">
        <v>144</v>
      </c>
      <c r="AA59" s="126" t="s">
        <v>144</v>
      </c>
      <c r="AB59" s="126" t="s">
        <v>144</v>
      </c>
      <c r="AC59" s="126" t="s">
        <v>144</v>
      </c>
      <c r="AD59" s="126" t="s">
        <v>144</v>
      </c>
      <c r="AE59" s="126" t="s">
        <v>144</v>
      </c>
      <c r="AF59" s="126" t="s">
        <v>144</v>
      </c>
      <c r="AG59" s="126" t="s">
        <v>144</v>
      </c>
      <c r="AH59" s="126" t="s">
        <v>144</v>
      </c>
      <c r="AI59" s="126" t="s">
        <v>144</v>
      </c>
      <c r="AJ59" s="126" t="s">
        <v>267</v>
      </c>
      <c r="AK59" s="126" t="s">
        <v>98</v>
      </c>
      <c r="AL59" s="126" t="s">
        <v>144</v>
      </c>
      <c r="AM59" s="126" t="s">
        <v>144</v>
      </c>
      <c r="AN59" s="126" t="s">
        <v>144</v>
      </c>
      <c r="AO59" s="126" t="s">
        <v>144</v>
      </c>
      <c r="AP59" s="126" t="s">
        <v>144</v>
      </c>
      <c r="AQ59" s="126" t="s">
        <v>144</v>
      </c>
      <c r="AR59" s="126" t="s">
        <v>144</v>
      </c>
      <c r="AS59" s="126" t="s">
        <v>144</v>
      </c>
      <c r="AT59" s="126" t="s">
        <v>144</v>
      </c>
      <c r="AU59" s="126" t="s">
        <v>144</v>
      </c>
      <c r="AV59" s="126" t="s">
        <v>98</v>
      </c>
      <c r="AW59" s="126" t="s">
        <v>144</v>
      </c>
      <c r="AX59" s="125" t="s">
        <v>399</v>
      </c>
    </row>
    <row r="60" spans="1:50" ht="14.4">
      <c r="A60" s="120"/>
      <c r="B60" s="122">
        <f t="shared" si="1"/>
        <v>53</v>
      </c>
      <c r="C60" s="118" t="s">
        <v>416</v>
      </c>
      <c r="D60" s="119" t="s">
        <v>417</v>
      </c>
      <c r="E60" s="134"/>
      <c r="F60" s="134" t="s">
        <v>102</v>
      </c>
      <c r="G60" s="135" t="s">
        <v>305</v>
      </c>
      <c r="H60" s="136" t="s">
        <v>332</v>
      </c>
      <c r="I60" s="126" t="s">
        <v>307</v>
      </c>
      <c r="J60" s="126" t="s">
        <v>144</v>
      </c>
      <c r="K60" s="126" t="s">
        <v>144</v>
      </c>
      <c r="L60" s="126" t="s">
        <v>308</v>
      </c>
      <c r="M60" s="126" t="s">
        <v>144</v>
      </c>
      <c r="N60" s="126" t="s">
        <v>309</v>
      </c>
      <c r="O60" s="126" t="s">
        <v>166</v>
      </c>
      <c r="P60" s="126" t="s">
        <v>310</v>
      </c>
      <c r="Q60" s="126" t="s">
        <v>166</v>
      </c>
      <c r="R60" s="126" t="s">
        <v>311</v>
      </c>
      <c r="S60" s="126" t="s">
        <v>144</v>
      </c>
      <c r="T60" s="126" t="s">
        <v>144</v>
      </c>
      <c r="U60" s="126" t="s">
        <v>166</v>
      </c>
      <c r="V60" s="133">
        <v>1</v>
      </c>
      <c r="W60" s="126" t="s">
        <v>102</v>
      </c>
      <c r="X60" s="126" t="s">
        <v>166</v>
      </c>
      <c r="Y60" s="126" t="s">
        <v>166</v>
      </c>
      <c r="Z60" s="126" t="s">
        <v>144</v>
      </c>
      <c r="AA60" s="126" t="s">
        <v>144</v>
      </c>
      <c r="AB60" s="126" t="s">
        <v>144</v>
      </c>
      <c r="AC60" s="126" t="s">
        <v>144</v>
      </c>
      <c r="AD60" s="126" t="s">
        <v>144</v>
      </c>
      <c r="AE60" s="126" t="s">
        <v>144</v>
      </c>
      <c r="AF60" s="126" t="s">
        <v>144</v>
      </c>
      <c r="AG60" s="126" t="s">
        <v>144</v>
      </c>
      <c r="AH60" s="126" t="s">
        <v>144</v>
      </c>
      <c r="AI60" s="126" t="s">
        <v>144</v>
      </c>
      <c r="AJ60" s="126" t="s">
        <v>267</v>
      </c>
      <c r="AK60" s="126" t="s">
        <v>98</v>
      </c>
      <c r="AL60" s="126" t="s">
        <v>144</v>
      </c>
      <c r="AM60" s="126" t="s">
        <v>144</v>
      </c>
      <c r="AN60" s="126" t="s">
        <v>144</v>
      </c>
      <c r="AO60" s="126" t="s">
        <v>144</v>
      </c>
      <c r="AP60" s="126" t="s">
        <v>144</v>
      </c>
      <c r="AQ60" s="126" t="s">
        <v>144</v>
      </c>
      <c r="AR60" s="126" t="s">
        <v>144</v>
      </c>
      <c r="AS60" s="126" t="s">
        <v>144</v>
      </c>
      <c r="AT60" s="126" t="s">
        <v>144</v>
      </c>
      <c r="AU60" s="126" t="s">
        <v>144</v>
      </c>
      <c r="AV60" s="126" t="s">
        <v>98</v>
      </c>
      <c r="AW60" s="126" t="s">
        <v>144</v>
      </c>
      <c r="AX60" s="125" t="s">
        <v>399</v>
      </c>
    </row>
    <row r="61" spans="1:50" ht="14.4">
      <c r="A61" s="120"/>
      <c r="B61" s="122">
        <f t="shared" si="1"/>
        <v>54</v>
      </c>
      <c r="C61" s="118" t="s">
        <v>418</v>
      </c>
      <c r="D61" s="119" t="s">
        <v>419</v>
      </c>
      <c r="E61" s="134"/>
      <c r="F61" s="134" t="s">
        <v>102</v>
      </c>
      <c r="G61" s="135" t="s">
        <v>305</v>
      </c>
      <c r="H61" s="136" t="s">
        <v>332</v>
      </c>
      <c r="I61" s="126" t="s">
        <v>307</v>
      </c>
      <c r="J61" s="126" t="s">
        <v>144</v>
      </c>
      <c r="K61" s="126" t="s">
        <v>144</v>
      </c>
      <c r="L61" s="126" t="s">
        <v>308</v>
      </c>
      <c r="M61" s="126" t="s">
        <v>144</v>
      </c>
      <c r="N61" s="126" t="s">
        <v>309</v>
      </c>
      <c r="O61" s="126" t="s">
        <v>166</v>
      </c>
      <c r="P61" s="126" t="s">
        <v>310</v>
      </c>
      <c r="Q61" s="126" t="s">
        <v>166</v>
      </c>
      <c r="R61" s="126" t="s">
        <v>311</v>
      </c>
      <c r="S61" s="126" t="s">
        <v>144</v>
      </c>
      <c r="T61" s="126" t="s">
        <v>144</v>
      </c>
      <c r="U61" s="126" t="s">
        <v>166</v>
      </c>
      <c r="V61" s="133">
        <v>1</v>
      </c>
      <c r="W61" s="126" t="s">
        <v>102</v>
      </c>
      <c r="X61" s="126" t="s">
        <v>166</v>
      </c>
      <c r="Y61" s="126" t="s">
        <v>166</v>
      </c>
      <c r="Z61" s="126" t="s">
        <v>144</v>
      </c>
      <c r="AA61" s="126" t="s">
        <v>144</v>
      </c>
      <c r="AB61" s="126" t="s">
        <v>144</v>
      </c>
      <c r="AC61" s="126" t="s">
        <v>144</v>
      </c>
      <c r="AD61" s="126" t="s">
        <v>144</v>
      </c>
      <c r="AE61" s="126" t="s">
        <v>144</v>
      </c>
      <c r="AF61" s="126" t="s">
        <v>144</v>
      </c>
      <c r="AG61" s="126" t="s">
        <v>144</v>
      </c>
      <c r="AH61" s="126" t="s">
        <v>144</v>
      </c>
      <c r="AI61" s="126" t="s">
        <v>144</v>
      </c>
      <c r="AJ61" s="126" t="s">
        <v>267</v>
      </c>
      <c r="AK61" s="126" t="s">
        <v>98</v>
      </c>
      <c r="AL61" s="126" t="s">
        <v>144</v>
      </c>
      <c r="AM61" s="126" t="s">
        <v>144</v>
      </c>
      <c r="AN61" s="126" t="s">
        <v>144</v>
      </c>
      <c r="AO61" s="126" t="s">
        <v>144</v>
      </c>
      <c r="AP61" s="126" t="s">
        <v>144</v>
      </c>
      <c r="AQ61" s="126" t="s">
        <v>144</v>
      </c>
      <c r="AR61" s="126" t="s">
        <v>144</v>
      </c>
      <c r="AS61" s="126" t="s">
        <v>144</v>
      </c>
      <c r="AT61" s="126" t="s">
        <v>144</v>
      </c>
      <c r="AU61" s="126" t="s">
        <v>144</v>
      </c>
      <c r="AV61" s="126" t="s">
        <v>98</v>
      </c>
      <c r="AW61" s="126" t="s">
        <v>144</v>
      </c>
      <c r="AX61" s="125" t="s">
        <v>399</v>
      </c>
    </row>
    <row r="62" spans="1:50" ht="14.4">
      <c r="A62" s="120"/>
      <c r="B62" s="122">
        <f t="shared" si="1"/>
        <v>55</v>
      </c>
      <c r="C62" s="139" t="s">
        <v>420</v>
      </c>
      <c r="D62" s="122" t="s">
        <v>421</v>
      </c>
      <c r="E62" s="134"/>
      <c r="F62" s="134" t="s">
        <v>102</v>
      </c>
      <c r="G62" s="135" t="s">
        <v>305</v>
      </c>
      <c r="H62" s="136" t="s">
        <v>332</v>
      </c>
      <c r="I62" s="126" t="s">
        <v>307</v>
      </c>
      <c r="J62" s="126" t="s">
        <v>144</v>
      </c>
      <c r="K62" s="126" t="s">
        <v>144</v>
      </c>
      <c r="L62" s="126" t="s">
        <v>308</v>
      </c>
      <c r="M62" s="126" t="s">
        <v>144</v>
      </c>
      <c r="N62" s="126" t="s">
        <v>309</v>
      </c>
      <c r="O62" s="126" t="s">
        <v>166</v>
      </c>
      <c r="P62" s="126" t="s">
        <v>310</v>
      </c>
      <c r="Q62" s="126" t="s">
        <v>166</v>
      </c>
      <c r="R62" s="126" t="s">
        <v>311</v>
      </c>
      <c r="S62" s="126" t="s">
        <v>144</v>
      </c>
      <c r="T62" s="126" t="s">
        <v>144</v>
      </c>
      <c r="U62" s="126" t="s">
        <v>166</v>
      </c>
      <c r="V62" s="133">
        <v>1</v>
      </c>
      <c r="W62" s="126" t="s">
        <v>102</v>
      </c>
      <c r="X62" s="126" t="s">
        <v>166</v>
      </c>
      <c r="Y62" s="126" t="s">
        <v>166</v>
      </c>
      <c r="Z62" s="126" t="s">
        <v>144</v>
      </c>
      <c r="AA62" s="126" t="s">
        <v>144</v>
      </c>
      <c r="AB62" s="126" t="s">
        <v>144</v>
      </c>
      <c r="AC62" s="126" t="s">
        <v>144</v>
      </c>
      <c r="AD62" s="126" t="s">
        <v>144</v>
      </c>
      <c r="AE62" s="126" t="s">
        <v>144</v>
      </c>
      <c r="AF62" s="126" t="s">
        <v>144</v>
      </c>
      <c r="AG62" s="126" t="s">
        <v>144</v>
      </c>
      <c r="AH62" s="126" t="s">
        <v>144</v>
      </c>
      <c r="AI62" s="126" t="s">
        <v>144</v>
      </c>
      <c r="AJ62" s="126" t="s">
        <v>267</v>
      </c>
      <c r="AK62" s="126" t="s">
        <v>98</v>
      </c>
      <c r="AL62" s="126" t="s">
        <v>144</v>
      </c>
      <c r="AM62" s="126" t="s">
        <v>144</v>
      </c>
      <c r="AN62" s="126" t="s">
        <v>144</v>
      </c>
      <c r="AO62" s="126" t="s">
        <v>144</v>
      </c>
      <c r="AP62" s="126" t="s">
        <v>144</v>
      </c>
      <c r="AQ62" s="126" t="s">
        <v>144</v>
      </c>
      <c r="AR62" s="126" t="s">
        <v>144</v>
      </c>
      <c r="AS62" s="126" t="s">
        <v>144</v>
      </c>
      <c r="AT62" s="126" t="s">
        <v>144</v>
      </c>
      <c r="AU62" s="126" t="s">
        <v>144</v>
      </c>
      <c r="AV62" s="126" t="s">
        <v>98</v>
      </c>
      <c r="AW62" s="126" t="s">
        <v>144</v>
      </c>
      <c r="AX62" s="120"/>
    </row>
    <row r="63" spans="1:50" ht="14.4">
      <c r="A63" s="120"/>
      <c r="B63" s="122">
        <f t="shared" si="1"/>
        <v>56</v>
      </c>
      <c r="C63" s="139" t="s">
        <v>422</v>
      </c>
      <c r="D63" s="122" t="s">
        <v>423</v>
      </c>
      <c r="E63" s="134"/>
      <c r="F63" s="134" t="s">
        <v>102</v>
      </c>
      <c r="G63" s="135" t="s">
        <v>305</v>
      </c>
      <c r="H63" s="136" t="s">
        <v>332</v>
      </c>
      <c r="I63" s="126" t="s">
        <v>307</v>
      </c>
      <c r="J63" s="126" t="s">
        <v>144</v>
      </c>
      <c r="K63" s="126" t="s">
        <v>144</v>
      </c>
      <c r="L63" s="126" t="s">
        <v>308</v>
      </c>
      <c r="M63" s="126" t="s">
        <v>144</v>
      </c>
      <c r="N63" s="126" t="s">
        <v>309</v>
      </c>
      <c r="O63" s="126" t="s">
        <v>166</v>
      </c>
      <c r="P63" s="126" t="s">
        <v>310</v>
      </c>
      <c r="Q63" s="126" t="s">
        <v>166</v>
      </c>
      <c r="R63" s="126" t="s">
        <v>311</v>
      </c>
      <c r="S63" s="126" t="s">
        <v>144</v>
      </c>
      <c r="T63" s="126" t="s">
        <v>144</v>
      </c>
      <c r="U63" s="126" t="s">
        <v>166</v>
      </c>
      <c r="V63" s="133">
        <v>1</v>
      </c>
      <c r="W63" s="126" t="s">
        <v>102</v>
      </c>
      <c r="X63" s="126" t="s">
        <v>166</v>
      </c>
      <c r="Y63" s="126" t="s">
        <v>166</v>
      </c>
      <c r="Z63" s="126" t="s">
        <v>144</v>
      </c>
      <c r="AA63" s="126" t="s">
        <v>144</v>
      </c>
      <c r="AB63" s="126" t="s">
        <v>144</v>
      </c>
      <c r="AC63" s="126" t="s">
        <v>144</v>
      </c>
      <c r="AD63" s="126" t="s">
        <v>144</v>
      </c>
      <c r="AE63" s="126" t="s">
        <v>144</v>
      </c>
      <c r="AF63" s="126" t="s">
        <v>144</v>
      </c>
      <c r="AG63" s="126" t="s">
        <v>144</v>
      </c>
      <c r="AH63" s="126" t="s">
        <v>144</v>
      </c>
      <c r="AI63" s="126" t="s">
        <v>144</v>
      </c>
      <c r="AJ63" s="126" t="s">
        <v>267</v>
      </c>
      <c r="AK63" s="126" t="s">
        <v>98</v>
      </c>
      <c r="AL63" s="126" t="s">
        <v>144</v>
      </c>
      <c r="AM63" s="126" t="s">
        <v>144</v>
      </c>
      <c r="AN63" s="126" t="s">
        <v>144</v>
      </c>
      <c r="AO63" s="126" t="s">
        <v>144</v>
      </c>
      <c r="AP63" s="126" t="s">
        <v>144</v>
      </c>
      <c r="AQ63" s="126" t="s">
        <v>144</v>
      </c>
      <c r="AR63" s="126" t="s">
        <v>144</v>
      </c>
      <c r="AS63" s="126" t="s">
        <v>144</v>
      </c>
      <c r="AT63" s="126" t="s">
        <v>144</v>
      </c>
      <c r="AU63" s="126" t="s">
        <v>144</v>
      </c>
      <c r="AV63" s="126" t="s">
        <v>98</v>
      </c>
      <c r="AW63" s="126" t="s">
        <v>144</v>
      </c>
      <c r="AX63" s="120"/>
    </row>
    <row r="64" spans="1:50" ht="14.4">
      <c r="A64" s="120"/>
      <c r="B64" s="122">
        <f t="shared" si="1"/>
        <v>57</v>
      </c>
      <c r="C64" s="139" t="s">
        <v>424</v>
      </c>
      <c r="D64" s="122" t="s">
        <v>425</v>
      </c>
      <c r="E64" s="134"/>
      <c r="F64" s="134" t="s">
        <v>102</v>
      </c>
      <c r="G64" s="135" t="s">
        <v>305</v>
      </c>
      <c r="H64" s="136" t="s">
        <v>332</v>
      </c>
      <c r="I64" s="126" t="s">
        <v>307</v>
      </c>
      <c r="J64" s="126" t="s">
        <v>144</v>
      </c>
      <c r="K64" s="126" t="s">
        <v>144</v>
      </c>
      <c r="L64" s="126" t="s">
        <v>308</v>
      </c>
      <c r="M64" s="126" t="s">
        <v>144</v>
      </c>
      <c r="N64" s="126" t="s">
        <v>309</v>
      </c>
      <c r="O64" s="126" t="s">
        <v>166</v>
      </c>
      <c r="P64" s="126" t="s">
        <v>310</v>
      </c>
      <c r="Q64" s="126" t="s">
        <v>166</v>
      </c>
      <c r="R64" s="126" t="s">
        <v>311</v>
      </c>
      <c r="S64" s="126" t="s">
        <v>144</v>
      </c>
      <c r="T64" s="126" t="s">
        <v>144</v>
      </c>
      <c r="U64" s="126" t="s">
        <v>166</v>
      </c>
      <c r="V64" s="133">
        <v>1</v>
      </c>
      <c r="W64" s="126" t="s">
        <v>102</v>
      </c>
      <c r="X64" s="126" t="s">
        <v>166</v>
      </c>
      <c r="Y64" s="126" t="s">
        <v>166</v>
      </c>
      <c r="Z64" s="126" t="s">
        <v>144</v>
      </c>
      <c r="AA64" s="126" t="s">
        <v>144</v>
      </c>
      <c r="AB64" s="126" t="s">
        <v>144</v>
      </c>
      <c r="AC64" s="126" t="s">
        <v>144</v>
      </c>
      <c r="AD64" s="126" t="s">
        <v>144</v>
      </c>
      <c r="AE64" s="126" t="s">
        <v>144</v>
      </c>
      <c r="AF64" s="126" t="s">
        <v>144</v>
      </c>
      <c r="AG64" s="126" t="s">
        <v>144</v>
      </c>
      <c r="AH64" s="126" t="s">
        <v>144</v>
      </c>
      <c r="AI64" s="126" t="s">
        <v>144</v>
      </c>
      <c r="AJ64" s="126" t="s">
        <v>267</v>
      </c>
      <c r="AK64" s="126" t="s">
        <v>98</v>
      </c>
      <c r="AL64" s="126" t="s">
        <v>144</v>
      </c>
      <c r="AM64" s="126" t="s">
        <v>144</v>
      </c>
      <c r="AN64" s="126" t="s">
        <v>144</v>
      </c>
      <c r="AO64" s="126" t="s">
        <v>144</v>
      </c>
      <c r="AP64" s="126" t="s">
        <v>144</v>
      </c>
      <c r="AQ64" s="126" t="s">
        <v>144</v>
      </c>
      <c r="AR64" s="126" t="s">
        <v>144</v>
      </c>
      <c r="AS64" s="126" t="s">
        <v>144</v>
      </c>
      <c r="AT64" s="126" t="s">
        <v>144</v>
      </c>
      <c r="AU64" s="126" t="s">
        <v>144</v>
      </c>
      <c r="AV64" s="126" t="s">
        <v>98</v>
      </c>
      <c r="AW64" s="126" t="s">
        <v>144</v>
      </c>
      <c r="AX64" s="120"/>
    </row>
    <row r="65" spans="1:50" ht="14.4">
      <c r="A65" s="120"/>
      <c r="B65" s="122">
        <f t="shared" si="1"/>
        <v>58</v>
      </c>
      <c r="C65" s="118" t="s">
        <v>426</v>
      </c>
      <c r="D65" s="119" t="s">
        <v>427</v>
      </c>
      <c r="E65" s="134"/>
      <c r="F65" s="134" t="s">
        <v>102</v>
      </c>
      <c r="G65" s="135" t="s">
        <v>305</v>
      </c>
      <c r="H65" s="136" t="s">
        <v>332</v>
      </c>
      <c r="I65" s="126" t="s">
        <v>307</v>
      </c>
      <c r="J65" s="126" t="s">
        <v>144</v>
      </c>
      <c r="K65" s="126" t="s">
        <v>144</v>
      </c>
      <c r="L65" s="126" t="s">
        <v>308</v>
      </c>
      <c r="M65" s="126" t="s">
        <v>144</v>
      </c>
      <c r="N65" s="126" t="s">
        <v>309</v>
      </c>
      <c r="O65" s="126" t="s">
        <v>166</v>
      </c>
      <c r="P65" s="126" t="s">
        <v>310</v>
      </c>
      <c r="Q65" s="126" t="s">
        <v>166</v>
      </c>
      <c r="R65" s="126" t="s">
        <v>311</v>
      </c>
      <c r="S65" s="126" t="s">
        <v>144</v>
      </c>
      <c r="T65" s="126" t="s">
        <v>144</v>
      </c>
      <c r="U65" s="126" t="s">
        <v>166</v>
      </c>
      <c r="V65" s="133">
        <v>1</v>
      </c>
      <c r="W65" s="126" t="s">
        <v>102</v>
      </c>
      <c r="X65" s="126" t="s">
        <v>166</v>
      </c>
      <c r="Y65" s="126" t="s">
        <v>166</v>
      </c>
      <c r="Z65" s="126" t="s">
        <v>144</v>
      </c>
      <c r="AA65" s="126" t="s">
        <v>144</v>
      </c>
      <c r="AB65" s="126" t="s">
        <v>144</v>
      </c>
      <c r="AC65" s="126" t="s">
        <v>144</v>
      </c>
      <c r="AD65" s="126" t="s">
        <v>144</v>
      </c>
      <c r="AE65" s="126" t="s">
        <v>144</v>
      </c>
      <c r="AF65" s="126" t="s">
        <v>144</v>
      </c>
      <c r="AG65" s="126" t="s">
        <v>144</v>
      </c>
      <c r="AH65" s="126" t="s">
        <v>144</v>
      </c>
      <c r="AI65" s="126" t="s">
        <v>144</v>
      </c>
      <c r="AJ65" s="126" t="s">
        <v>267</v>
      </c>
      <c r="AK65" s="126" t="s">
        <v>98</v>
      </c>
      <c r="AL65" s="126" t="s">
        <v>144</v>
      </c>
      <c r="AM65" s="126" t="s">
        <v>144</v>
      </c>
      <c r="AN65" s="126" t="s">
        <v>144</v>
      </c>
      <c r="AO65" s="126" t="s">
        <v>144</v>
      </c>
      <c r="AP65" s="126" t="s">
        <v>144</v>
      </c>
      <c r="AQ65" s="126" t="s">
        <v>144</v>
      </c>
      <c r="AR65" s="126" t="s">
        <v>144</v>
      </c>
      <c r="AS65" s="126" t="s">
        <v>144</v>
      </c>
      <c r="AT65" s="126" t="s">
        <v>144</v>
      </c>
      <c r="AU65" s="126" t="s">
        <v>144</v>
      </c>
      <c r="AV65" s="126" t="s">
        <v>98</v>
      </c>
      <c r="AW65" s="126" t="s">
        <v>144</v>
      </c>
    </row>
    <row r="66" spans="1:50" ht="14.4">
      <c r="A66" s="120"/>
      <c r="B66" s="122">
        <f t="shared" si="1"/>
        <v>59</v>
      </c>
      <c r="C66" s="139" t="s">
        <v>428</v>
      </c>
      <c r="D66" s="122" t="s">
        <v>429</v>
      </c>
      <c r="E66" s="134"/>
      <c r="F66" s="134" t="s">
        <v>102</v>
      </c>
      <c r="G66" s="135" t="s">
        <v>305</v>
      </c>
      <c r="H66" s="136" t="s">
        <v>332</v>
      </c>
      <c r="I66" s="126" t="s">
        <v>307</v>
      </c>
      <c r="J66" s="126" t="s">
        <v>144</v>
      </c>
      <c r="K66" s="126" t="s">
        <v>144</v>
      </c>
      <c r="L66" s="126" t="s">
        <v>308</v>
      </c>
      <c r="M66" s="126" t="s">
        <v>144</v>
      </c>
      <c r="N66" s="126" t="s">
        <v>309</v>
      </c>
      <c r="O66" s="126" t="s">
        <v>166</v>
      </c>
      <c r="P66" s="126" t="s">
        <v>310</v>
      </c>
      <c r="Q66" s="126" t="s">
        <v>166</v>
      </c>
      <c r="R66" s="126" t="s">
        <v>311</v>
      </c>
      <c r="S66" s="126" t="s">
        <v>144</v>
      </c>
      <c r="T66" s="126" t="s">
        <v>144</v>
      </c>
      <c r="U66" s="126" t="s">
        <v>166</v>
      </c>
      <c r="V66" s="133">
        <v>1</v>
      </c>
      <c r="W66" s="126" t="s">
        <v>102</v>
      </c>
      <c r="X66" s="126" t="s">
        <v>166</v>
      </c>
      <c r="Y66" s="126" t="s">
        <v>166</v>
      </c>
      <c r="Z66" s="126" t="s">
        <v>144</v>
      </c>
      <c r="AA66" s="126" t="s">
        <v>144</v>
      </c>
      <c r="AB66" s="126" t="s">
        <v>144</v>
      </c>
      <c r="AC66" s="126" t="s">
        <v>144</v>
      </c>
      <c r="AD66" s="126" t="s">
        <v>144</v>
      </c>
      <c r="AE66" s="126" t="s">
        <v>144</v>
      </c>
      <c r="AF66" s="126" t="s">
        <v>144</v>
      </c>
      <c r="AG66" s="126" t="s">
        <v>144</v>
      </c>
      <c r="AH66" s="126" t="s">
        <v>144</v>
      </c>
      <c r="AI66" s="126" t="s">
        <v>144</v>
      </c>
      <c r="AJ66" s="126" t="s">
        <v>267</v>
      </c>
      <c r="AK66" s="126" t="s">
        <v>98</v>
      </c>
      <c r="AL66" s="126" t="s">
        <v>144</v>
      </c>
      <c r="AM66" s="126" t="s">
        <v>144</v>
      </c>
      <c r="AN66" s="126" t="s">
        <v>144</v>
      </c>
      <c r="AO66" s="126" t="s">
        <v>144</v>
      </c>
      <c r="AP66" s="126" t="s">
        <v>144</v>
      </c>
      <c r="AQ66" s="126" t="s">
        <v>144</v>
      </c>
      <c r="AR66" s="126" t="s">
        <v>144</v>
      </c>
      <c r="AS66" s="126" t="s">
        <v>144</v>
      </c>
      <c r="AT66" s="126" t="s">
        <v>144</v>
      </c>
      <c r="AU66" s="126" t="s">
        <v>144</v>
      </c>
      <c r="AV66" s="126" t="s">
        <v>98</v>
      </c>
      <c r="AW66" s="126" t="s">
        <v>144</v>
      </c>
    </row>
    <row r="67" spans="1:50" ht="14.4">
      <c r="A67" s="120"/>
      <c r="B67" s="122">
        <f t="shared" si="1"/>
        <v>60</v>
      </c>
      <c r="C67" s="139" t="s">
        <v>430</v>
      </c>
      <c r="D67" s="122" t="s">
        <v>431</v>
      </c>
      <c r="E67" s="134"/>
      <c r="F67" s="134" t="s">
        <v>102</v>
      </c>
      <c r="G67" s="135" t="s">
        <v>305</v>
      </c>
      <c r="H67" s="136" t="s">
        <v>332</v>
      </c>
      <c r="I67" s="126" t="s">
        <v>307</v>
      </c>
      <c r="J67" s="126" t="s">
        <v>144</v>
      </c>
      <c r="K67" s="126" t="s">
        <v>144</v>
      </c>
      <c r="L67" s="126" t="s">
        <v>308</v>
      </c>
      <c r="M67" s="126" t="s">
        <v>144</v>
      </c>
      <c r="N67" s="126" t="s">
        <v>309</v>
      </c>
      <c r="O67" s="126" t="s">
        <v>166</v>
      </c>
      <c r="P67" s="126" t="s">
        <v>310</v>
      </c>
      <c r="Q67" s="126" t="s">
        <v>166</v>
      </c>
      <c r="R67" s="126" t="s">
        <v>311</v>
      </c>
      <c r="S67" s="126" t="s">
        <v>144</v>
      </c>
      <c r="T67" s="126" t="s">
        <v>144</v>
      </c>
      <c r="U67" s="126" t="s">
        <v>166</v>
      </c>
      <c r="V67" s="133">
        <v>1</v>
      </c>
      <c r="W67" s="126" t="s">
        <v>102</v>
      </c>
      <c r="X67" s="126" t="s">
        <v>166</v>
      </c>
      <c r="Y67" s="126" t="s">
        <v>166</v>
      </c>
      <c r="Z67" s="126" t="s">
        <v>144</v>
      </c>
      <c r="AA67" s="126" t="s">
        <v>144</v>
      </c>
      <c r="AB67" s="126" t="s">
        <v>144</v>
      </c>
      <c r="AC67" s="126" t="s">
        <v>144</v>
      </c>
      <c r="AD67" s="126" t="s">
        <v>144</v>
      </c>
      <c r="AE67" s="126" t="s">
        <v>144</v>
      </c>
      <c r="AF67" s="126" t="s">
        <v>144</v>
      </c>
      <c r="AG67" s="126" t="s">
        <v>144</v>
      </c>
      <c r="AH67" s="126" t="s">
        <v>144</v>
      </c>
      <c r="AI67" s="126" t="s">
        <v>144</v>
      </c>
      <c r="AJ67" s="126" t="s">
        <v>267</v>
      </c>
      <c r="AK67" s="126" t="s">
        <v>98</v>
      </c>
      <c r="AL67" s="126" t="s">
        <v>144</v>
      </c>
      <c r="AM67" s="126" t="s">
        <v>144</v>
      </c>
      <c r="AN67" s="126" t="s">
        <v>144</v>
      </c>
      <c r="AO67" s="126" t="s">
        <v>144</v>
      </c>
      <c r="AP67" s="126" t="s">
        <v>144</v>
      </c>
      <c r="AQ67" s="126" t="s">
        <v>144</v>
      </c>
      <c r="AR67" s="126" t="s">
        <v>144</v>
      </c>
      <c r="AS67" s="126" t="s">
        <v>144</v>
      </c>
      <c r="AT67" s="126" t="s">
        <v>144</v>
      </c>
      <c r="AU67" s="126" t="s">
        <v>144</v>
      </c>
      <c r="AV67" s="126" t="s">
        <v>98</v>
      </c>
      <c r="AW67" s="126" t="s">
        <v>144</v>
      </c>
    </row>
    <row r="68" spans="1:50" ht="14.4">
      <c r="A68" s="120"/>
      <c r="B68" s="122">
        <f t="shared" si="1"/>
        <v>61</v>
      </c>
      <c r="C68" s="139" t="s">
        <v>432</v>
      </c>
      <c r="D68" s="122" t="s">
        <v>433</v>
      </c>
      <c r="E68" s="134"/>
      <c r="F68" s="134" t="s">
        <v>102</v>
      </c>
      <c r="G68" s="135" t="s">
        <v>305</v>
      </c>
      <c r="H68" s="136" t="s">
        <v>332</v>
      </c>
      <c r="I68" s="126" t="s">
        <v>307</v>
      </c>
      <c r="J68" s="126" t="s">
        <v>144</v>
      </c>
      <c r="K68" s="126" t="s">
        <v>144</v>
      </c>
      <c r="L68" s="126" t="s">
        <v>308</v>
      </c>
      <c r="M68" s="126" t="s">
        <v>144</v>
      </c>
      <c r="N68" s="126" t="s">
        <v>309</v>
      </c>
      <c r="O68" s="126" t="s">
        <v>166</v>
      </c>
      <c r="P68" s="126" t="s">
        <v>310</v>
      </c>
      <c r="Q68" s="126" t="s">
        <v>166</v>
      </c>
      <c r="R68" s="126" t="s">
        <v>311</v>
      </c>
      <c r="S68" s="126" t="s">
        <v>144</v>
      </c>
      <c r="T68" s="126" t="s">
        <v>144</v>
      </c>
      <c r="U68" s="126" t="s">
        <v>166</v>
      </c>
      <c r="V68" s="133">
        <v>1</v>
      </c>
      <c r="W68" s="126" t="s">
        <v>102</v>
      </c>
      <c r="X68" s="126" t="s">
        <v>166</v>
      </c>
      <c r="Y68" s="126" t="s">
        <v>166</v>
      </c>
      <c r="Z68" s="126" t="s">
        <v>144</v>
      </c>
      <c r="AA68" s="126" t="s">
        <v>144</v>
      </c>
      <c r="AB68" s="126" t="s">
        <v>144</v>
      </c>
      <c r="AC68" s="126" t="s">
        <v>144</v>
      </c>
      <c r="AD68" s="126" t="s">
        <v>144</v>
      </c>
      <c r="AE68" s="126" t="s">
        <v>144</v>
      </c>
      <c r="AF68" s="126" t="s">
        <v>144</v>
      </c>
      <c r="AG68" s="126" t="s">
        <v>144</v>
      </c>
      <c r="AH68" s="126" t="s">
        <v>144</v>
      </c>
      <c r="AI68" s="126" t="s">
        <v>144</v>
      </c>
      <c r="AJ68" s="126" t="s">
        <v>267</v>
      </c>
      <c r="AK68" s="126" t="s">
        <v>98</v>
      </c>
      <c r="AL68" s="126" t="s">
        <v>144</v>
      </c>
      <c r="AM68" s="126" t="s">
        <v>144</v>
      </c>
      <c r="AN68" s="126" t="s">
        <v>144</v>
      </c>
      <c r="AO68" s="126" t="s">
        <v>144</v>
      </c>
      <c r="AP68" s="126" t="s">
        <v>144</v>
      </c>
      <c r="AQ68" s="126" t="s">
        <v>144</v>
      </c>
      <c r="AR68" s="126" t="s">
        <v>144</v>
      </c>
      <c r="AS68" s="126" t="s">
        <v>144</v>
      </c>
      <c r="AT68" s="126" t="s">
        <v>144</v>
      </c>
      <c r="AU68" s="126" t="s">
        <v>144</v>
      </c>
      <c r="AV68" s="126" t="s">
        <v>98</v>
      </c>
      <c r="AW68" s="126" t="s">
        <v>144</v>
      </c>
    </row>
    <row r="69" spans="1:50" ht="14.4">
      <c r="A69" s="120"/>
      <c r="B69" s="122">
        <f t="shared" si="1"/>
        <v>62</v>
      </c>
      <c r="C69" s="118" t="s">
        <v>434</v>
      </c>
      <c r="D69" s="119" t="s">
        <v>435</v>
      </c>
      <c r="E69" s="134"/>
      <c r="F69" s="134" t="s">
        <v>102</v>
      </c>
      <c r="G69" s="135" t="s">
        <v>305</v>
      </c>
      <c r="H69" s="136" t="s">
        <v>332</v>
      </c>
      <c r="I69" s="126" t="s">
        <v>307</v>
      </c>
      <c r="J69" s="126" t="s">
        <v>144</v>
      </c>
      <c r="K69" s="126" t="s">
        <v>144</v>
      </c>
      <c r="L69" s="126" t="s">
        <v>308</v>
      </c>
      <c r="M69" s="126" t="s">
        <v>144</v>
      </c>
      <c r="N69" s="126" t="s">
        <v>309</v>
      </c>
      <c r="O69" s="126" t="s">
        <v>166</v>
      </c>
      <c r="P69" s="126" t="s">
        <v>310</v>
      </c>
      <c r="Q69" s="126" t="s">
        <v>166</v>
      </c>
      <c r="R69" s="126" t="s">
        <v>311</v>
      </c>
      <c r="S69" s="126" t="s">
        <v>144</v>
      </c>
      <c r="T69" s="126" t="s">
        <v>144</v>
      </c>
      <c r="U69" s="126" t="s">
        <v>166</v>
      </c>
      <c r="V69" s="133">
        <v>1</v>
      </c>
      <c r="W69" s="126" t="s">
        <v>102</v>
      </c>
      <c r="X69" s="126" t="s">
        <v>166</v>
      </c>
      <c r="Y69" s="126" t="s">
        <v>166</v>
      </c>
      <c r="Z69" s="126" t="s">
        <v>144</v>
      </c>
      <c r="AA69" s="126" t="s">
        <v>144</v>
      </c>
      <c r="AB69" s="126" t="s">
        <v>144</v>
      </c>
      <c r="AC69" s="126" t="s">
        <v>144</v>
      </c>
      <c r="AD69" s="126" t="s">
        <v>144</v>
      </c>
      <c r="AE69" s="126" t="s">
        <v>144</v>
      </c>
      <c r="AF69" s="126" t="s">
        <v>144</v>
      </c>
      <c r="AG69" s="126" t="s">
        <v>144</v>
      </c>
      <c r="AH69" s="126" t="s">
        <v>144</v>
      </c>
      <c r="AI69" s="126" t="s">
        <v>144</v>
      </c>
      <c r="AJ69" s="126" t="s">
        <v>267</v>
      </c>
      <c r="AK69" s="126" t="s">
        <v>98</v>
      </c>
      <c r="AL69" s="126" t="s">
        <v>144</v>
      </c>
      <c r="AM69" s="126" t="s">
        <v>144</v>
      </c>
      <c r="AN69" s="126" t="s">
        <v>144</v>
      </c>
      <c r="AO69" s="126" t="s">
        <v>144</v>
      </c>
      <c r="AP69" s="126" t="s">
        <v>144</v>
      </c>
      <c r="AQ69" s="126" t="s">
        <v>144</v>
      </c>
      <c r="AR69" s="126" t="s">
        <v>144</v>
      </c>
      <c r="AS69" s="126" t="s">
        <v>144</v>
      </c>
      <c r="AT69" s="126" t="s">
        <v>144</v>
      </c>
      <c r="AU69" s="126" t="s">
        <v>144</v>
      </c>
      <c r="AV69" s="126" t="s">
        <v>98</v>
      </c>
      <c r="AW69" s="126" t="s">
        <v>144</v>
      </c>
    </row>
    <row r="70" spans="1:50" ht="14.4">
      <c r="A70" s="120"/>
      <c r="B70" s="122">
        <f t="shared" si="1"/>
        <v>63</v>
      </c>
      <c r="C70" s="139" t="s">
        <v>436</v>
      </c>
      <c r="D70" s="122" t="s">
        <v>437</v>
      </c>
      <c r="E70" s="134"/>
      <c r="F70" s="134" t="s">
        <v>102</v>
      </c>
      <c r="G70" s="135" t="s">
        <v>305</v>
      </c>
      <c r="H70" s="136" t="s">
        <v>332</v>
      </c>
      <c r="I70" s="126" t="s">
        <v>307</v>
      </c>
      <c r="J70" s="126" t="s">
        <v>144</v>
      </c>
      <c r="K70" s="126" t="s">
        <v>144</v>
      </c>
      <c r="L70" s="126" t="s">
        <v>308</v>
      </c>
      <c r="M70" s="126" t="s">
        <v>144</v>
      </c>
      <c r="N70" s="126" t="s">
        <v>309</v>
      </c>
      <c r="O70" s="126" t="s">
        <v>166</v>
      </c>
      <c r="P70" s="126" t="s">
        <v>310</v>
      </c>
      <c r="Q70" s="126" t="s">
        <v>166</v>
      </c>
      <c r="R70" s="126" t="s">
        <v>311</v>
      </c>
      <c r="S70" s="126" t="s">
        <v>144</v>
      </c>
      <c r="T70" s="126" t="s">
        <v>144</v>
      </c>
      <c r="U70" s="126" t="s">
        <v>166</v>
      </c>
      <c r="V70" s="133">
        <v>1</v>
      </c>
      <c r="W70" s="126" t="s">
        <v>102</v>
      </c>
      <c r="X70" s="126" t="s">
        <v>166</v>
      </c>
      <c r="Y70" s="126" t="s">
        <v>166</v>
      </c>
      <c r="Z70" s="126" t="s">
        <v>144</v>
      </c>
      <c r="AA70" s="126" t="s">
        <v>144</v>
      </c>
      <c r="AB70" s="126" t="s">
        <v>144</v>
      </c>
      <c r="AC70" s="126" t="s">
        <v>144</v>
      </c>
      <c r="AD70" s="126" t="s">
        <v>144</v>
      </c>
      <c r="AE70" s="126" t="s">
        <v>144</v>
      </c>
      <c r="AF70" s="126" t="s">
        <v>144</v>
      </c>
      <c r="AG70" s="126" t="s">
        <v>144</v>
      </c>
      <c r="AH70" s="126" t="s">
        <v>144</v>
      </c>
      <c r="AI70" s="126" t="s">
        <v>144</v>
      </c>
      <c r="AJ70" s="126" t="s">
        <v>267</v>
      </c>
      <c r="AK70" s="126" t="s">
        <v>98</v>
      </c>
      <c r="AL70" s="126" t="s">
        <v>144</v>
      </c>
      <c r="AM70" s="126" t="s">
        <v>144</v>
      </c>
      <c r="AN70" s="126" t="s">
        <v>144</v>
      </c>
      <c r="AO70" s="126" t="s">
        <v>144</v>
      </c>
      <c r="AP70" s="126" t="s">
        <v>144</v>
      </c>
      <c r="AQ70" s="126" t="s">
        <v>144</v>
      </c>
      <c r="AR70" s="126" t="s">
        <v>144</v>
      </c>
      <c r="AS70" s="126" t="s">
        <v>144</v>
      </c>
      <c r="AT70" s="126" t="s">
        <v>144</v>
      </c>
      <c r="AU70" s="126" t="s">
        <v>144</v>
      </c>
      <c r="AV70" s="126" t="s">
        <v>98</v>
      </c>
      <c r="AW70" s="126" t="s">
        <v>144</v>
      </c>
    </row>
    <row r="71" spans="1:50" ht="14.4">
      <c r="A71" s="120"/>
      <c r="B71" s="122">
        <f t="shared" si="1"/>
        <v>64</v>
      </c>
      <c r="C71" s="139" t="s">
        <v>438</v>
      </c>
      <c r="D71" s="122" t="s">
        <v>439</v>
      </c>
      <c r="E71" s="134"/>
      <c r="F71" s="134" t="s">
        <v>102</v>
      </c>
      <c r="G71" s="135" t="s">
        <v>305</v>
      </c>
      <c r="H71" s="136" t="s">
        <v>332</v>
      </c>
      <c r="I71" s="126" t="s">
        <v>307</v>
      </c>
      <c r="J71" s="126" t="s">
        <v>144</v>
      </c>
      <c r="K71" s="126" t="s">
        <v>144</v>
      </c>
      <c r="L71" s="126" t="s">
        <v>308</v>
      </c>
      <c r="M71" s="126" t="s">
        <v>144</v>
      </c>
      <c r="N71" s="126" t="s">
        <v>309</v>
      </c>
      <c r="O71" s="126" t="s">
        <v>166</v>
      </c>
      <c r="P71" s="126" t="s">
        <v>310</v>
      </c>
      <c r="Q71" s="126" t="s">
        <v>166</v>
      </c>
      <c r="R71" s="126" t="s">
        <v>311</v>
      </c>
      <c r="S71" s="126" t="s">
        <v>144</v>
      </c>
      <c r="T71" s="126" t="s">
        <v>144</v>
      </c>
      <c r="U71" s="126" t="s">
        <v>166</v>
      </c>
      <c r="V71" s="133">
        <v>1</v>
      </c>
      <c r="W71" s="126" t="s">
        <v>102</v>
      </c>
      <c r="X71" s="126" t="s">
        <v>166</v>
      </c>
      <c r="Y71" s="126" t="s">
        <v>166</v>
      </c>
      <c r="Z71" s="126" t="s">
        <v>144</v>
      </c>
      <c r="AA71" s="126" t="s">
        <v>144</v>
      </c>
      <c r="AB71" s="126" t="s">
        <v>144</v>
      </c>
      <c r="AC71" s="126" t="s">
        <v>144</v>
      </c>
      <c r="AD71" s="126" t="s">
        <v>144</v>
      </c>
      <c r="AE71" s="126" t="s">
        <v>144</v>
      </c>
      <c r="AF71" s="126" t="s">
        <v>144</v>
      </c>
      <c r="AG71" s="126" t="s">
        <v>144</v>
      </c>
      <c r="AH71" s="126" t="s">
        <v>144</v>
      </c>
      <c r="AI71" s="126" t="s">
        <v>144</v>
      </c>
      <c r="AJ71" s="126" t="s">
        <v>267</v>
      </c>
      <c r="AK71" s="126" t="s">
        <v>98</v>
      </c>
      <c r="AL71" s="126" t="s">
        <v>144</v>
      </c>
      <c r="AM71" s="126" t="s">
        <v>144</v>
      </c>
      <c r="AN71" s="126" t="s">
        <v>144</v>
      </c>
      <c r="AO71" s="126" t="s">
        <v>144</v>
      </c>
      <c r="AP71" s="126" t="s">
        <v>144</v>
      </c>
      <c r="AQ71" s="126" t="s">
        <v>144</v>
      </c>
      <c r="AR71" s="126" t="s">
        <v>144</v>
      </c>
      <c r="AS71" s="126" t="s">
        <v>144</v>
      </c>
      <c r="AT71" s="126" t="s">
        <v>144</v>
      </c>
      <c r="AU71" s="126" t="s">
        <v>144</v>
      </c>
      <c r="AV71" s="126" t="s">
        <v>98</v>
      </c>
      <c r="AW71" s="126" t="s">
        <v>144</v>
      </c>
    </row>
    <row r="72" spans="1:50" ht="14.4">
      <c r="A72" s="120"/>
      <c r="B72" s="122">
        <f t="shared" si="1"/>
        <v>65</v>
      </c>
      <c r="C72" s="118" t="s">
        <v>440</v>
      </c>
      <c r="D72" s="119" t="s">
        <v>441</v>
      </c>
      <c r="E72" s="134"/>
      <c r="F72" s="134" t="s">
        <v>102</v>
      </c>
      <c r="G72" s="135" t="s">
        <v>305</v>
      </c>
      <c r="H72" s="136" t="s">
        <v>332</v>
      </c>
      <c r="I72" s="126" t="s">
        <v>307</v>
      </c>
      <c r="J72" s="126" t="s">
        <v>144</v>
      </c>
      <c r="K72" s="126" t="s">
        <v>144</v>
      </c>
      <c r="L72" s="126" t="s">
        <v>308</v>
      </c>
      <c r="M72" s="126" t="s">
        <v>144</v>
      </c>
      <c r="N72" s="126" t="s">
        <v>309</v>
      </c>
      <c r="O72" s="126" t="s">
        <v>166</v>
      </c>
      <c r="P72" s="126" t="s">
        <v>310</v>
      </c>
      <c r="Q72" s="126" t="s">
        <v>166</v>
      </c>
      <c r="R72" s="126" t="s">
        <v>311</v>
      </c>
      <c r="S72" s="126" t="s">
        <v>144</v>
      </c>
      <c r="T72" s="126" t="s">
        <v>144</v>
      </c>
      <c r="U72" s="126" t="s">
        <v>166</v>
      </c>
      <c r="V72" s="133">
        <v>1</v>
      </c>
      <c r="W72" s="126" t="s">
        <v>102</v>
      </c>
      <c r="X72" s="126" t="s">
        <v>166</v>
      </c>
      <c r="Y72" s="126" t="s">
        <v>166</v>
      </c>
      <c r="Z72" s="126" t="s">
        <v>144</v>
      </c>
      <c r="AA72" s="126" t="s">
        <v>144</v>
      </c>
      <c r="AB72" s="126" t="s">
        <v>144</v>
      </c>
      <c r="AC72" s="126" t="s">
        <v>144</v>
      </c>
      <c r="AD72" s="126" t="s">
        <v>144</v>
      </c>
      <c r="AE72" s="126" t="s">
        <v>144</v>
      </c>
      <c r="AF72" s="126" t="s">
        <v>144</v>
      </c>
      <c r="AG72" s="126" t="s">
        <v>144</v>
      </c>
      <c r="AH72" s="126" t="s">
        <v>144</v>
      </c>
      <c r="AI72" s="126" t="s">
        <v>144</v>
      </c>
      <c r="AJ72" s="126" t="s">
        <v>267</v>
      </c>
      <c r="AK72" s="126" t="s">
        <v>98</v>
      </c>
      <c r="AL72" s="126" t="s">
        <v>144</v>
      </c>
      <c r="AM72" s="126" t="s">
        <v>144</v>
      </c>
      <c r="AN72" s="126" t="s">
        <v>144</v>
      </c>
      <c r="AO72" s="126" t="s">
        <v>144</v>
      </c>
      <c r="AP72" s="126" t="s">
        <v>144</v>
      </c>
      <c r="AQ72" s="126" t="s">
        <v>144</v>
      </c>
      <c r="AR72" s="126" t="s">
        <v>144</v>
      </c>
      <c r="AS72" s="126" t="s">
        <v>144</v>
      </c>
      <c r="AT72" s="126" t="s">
        <v>144</v>
      </c>
      <c r="AU72" s="126" t="s">
        <v>144</v>
      </c>
      <c r="AV72" s="126" t="s">
        <v>98</v>
      </c>
      <c r="AW72" s="126" t="s">
        <v>144</v>
      </c>
    </row>
    <row r="73" spans="1:50" ht="14.4">
      <c r="A73" s="120"/>
      <c r="B73" s="122">
        <f t="shared" si="1"/>
        <v>66</v>
      </c>
      <c r="C73" s="139" t="s">
        <v>442</v>
      </c>
      <c r="D73" s="122" t="s">
        <v>443</v>
      </c>
      <c r="E73" s="134"/>
      <c r="F73" s="134" t="s">
        <v>102</v>
      </c>
      <c r="G73" s="135" t="s">
        <v>305</v>
      </c>
      <c r="H73" s="136" t="s">
        <v>332</v>
      </c>
      <c r="I73" s="126" t="s">
        <v>307</v>
      </c>
      <c r="J73" s="126" t="s">
        <v>144</v>
      </c>
      <c r="K73" s="126" t="s">
        <v>144</v>
      </c>
      <c r="L73" s="126" t="s">
        <v>308</v>
      </c>
      <c r="M73" s="126" t="s">
        <v>144</v>
      </c>
      <c r="N73" s="126" t="s">
        <v>309</v>
      </c>
      <c r="O73" s="126" t="s">
        <v>166</v>
      </c>
      <c r="P73" s="126" t="s">
        <v>310</v>
      </c>
      <c r="Q73" s="126" t="s">
        <v>166</v>
      </c>
      <c r="R73" s="126" t="s">
        <v>311</v>
      </c>
      <c r="S73" s="126" t="s">
        <v>144</v>
      </c>
      <c r="T73" s="126" t="s">
        <v>144</v>
      </c>
      <c r="U73" s="126" t="s">
        <v>166</v>
      </c>
      <c r="V73" s="133">
        <v>1</v>
      </c>
      <c r="W73" s="126" t="s">
        <v>102</v>
      </c>
      <c r="X73" s="126" t="s">
        <v>166</v>
      </c>
      <c r="Y73" s="126" t="s">
        <v>166</v>
      </c>
      <c r="Z73" s="126" t="s">
        <v>144</v>
      </c>
      <c r="AA73" s="126" t="s">
        <v>144</v>
      </c>
      <c r="AB73" s="126" t="s">
        <v>144</v>
      </c>
      <c r="AC73" s="126" t="s">
        <v>144</v>
      </c>
      <c r="AD73" s="126" t="s">
        <v>144</v>
      </c>
      <c r="AE73" s="126" t="s">
        <v>144</v>
      </c>
      <c r="AF73" s="126" t="s">
        <v>144</v>
      </c>
      <c r="AG73" s="126" t="s">
        <v>144</v>
      </c>
      <c r="AH73" s="126" t="s">
        <v>144</v>
      </c>
      <c r="AI73" s="126" t="s">
        <v>144</v>
      </c>
      <c r="AJ73" s="126" t="s">
        <v>267</v>
      </c>
      <c r="AK73" s="126" t="s">
        <v>98</v>
      </c>
      <c r="AL73" s="126" t="s">
        <v>144</v>
      </c>
      <c r="AM73" s="126" t="s">
        <v>144</v>
      </c>
      <c r="AN73" s="126" t="s">
        <v>144</v>
      </c>
      <c r="AO73" s="126" t="s">
        <v>144</v>
      </c>
      <c r="AP73" s="126" t="s">
        <v>144</v>
      </c>
      <c r="AQ73" s="126" t="s">
        <v>144</v>
      </c>
      <c r="AR73" s="126" t="s">
        <v>144</v>
      </c>
      <c r="AS73" s="126" t="s">
        <v>144</v>
      </c>
      <c r="AT73" s="126" t="s">
        <v>144</v>
      </c>
      <c r="AU73" s="126" t="s">
        <v>144</v>
      </c>
      <c r="AV73" s="126" t="s">
        <v>98</v>
      </c>
      <c r="AW73" s="126" t="s">
        <v>144</v>
      </c>
    </row>
    <row r="74" spans="1:50" ht="14.4">
      <c r="A74" s="120"/>
      <c r="B74" s="122">
        <f t="shared" si="1"/>
        <v>67</v>
      </c>
      <c r="C74" s="139" t="s">
        <v>444</v>
      </c>
      <c r="D74" s="122" t="s">
        <v>445</v>
      </c>
      <c r="E74" s="134"/>
      <c r="F74" s="134" t="s">
        <v>102</v>
      </c>
      <c r="G74" s="135" t="s">
        <v>305</v>
      </c>
      <c r="H74" s="136" t="s">
        <v>332</v>
      </c>
      <c r="I74" s="126" t="s">
        <v>307</v>
      </c>
      <c r="J74" s="126" t="s">
        <v>144</v>
      </c>
      <c r="K74" s="126" t="s">
        <v>144</v>
      </c>
      <c r="L74" s="126" t="s">
        <v>308</v>
      </c>
      <c r="M74" s="126" t="s">
        <v>144</v>
      </c>
      <c r="N74" s="126" t="s">
        <v>309</v>
      </c>
      <c r="O74" s="126" t="s">
        <v>166</v>
      </c>
      <c r="P74" s="126" t="s">
        <v>310</v>
      </c>
      <c r="Q74" s="126" t="s">
        <v>166</v>
      </c>
      <c r="R74" s="126" t="s">
        <v>311</v>
      </c>
      <c r="S74" s="126" t="s">
        <v>144</v>
      </c>
      <c r="T74" s="126" t="s">
        <v>144</v>
      </c>
      <c r="U74" s="126" t="s">
        <v>166</v>
      </c>
      <c r="V74" s="133">
        <v>1</v>
      </c>
      <c r="W74" s="126" t="s">
        <v>102</v>
      </c>
      <c r="X74" s="126" t="s">
        <v>166</v>
      </c>
      <c r="Y74" s="126" t="s">
        <v>166</v>
      </c>
      <c r="Z74" s="126" t="s">
        <v>144</v>
      </c>
      <c r="AA74" s="126" t="s">
        <v>144</v>
      </c>
      <c r="AB74" s="126" t="s">
        <v>144</v>
      </c>
      <c r="AC74" s="126" t="s">
        <v>144</v>
      </c>
      <c r="AD74" s="126" t="s">
        <v>144</v>
      </c>
      <c r="AE74" s="126" t="s">
        <v>144</v>
      </c>
      <c r="AF74" s="126" t="s">
        <v>144</v>
      </c>
      <c r="AG74" s="126" t="s">
        <v>144</v>
      </c>
      <c r="AH74" s="126" t="s">
        <v>144</v>
      </c>
      <c r="AI74" s="126" t="s">
        <v>144</v>
      </c>
      <c r="AJ74" s="126" t="s">
        <v>267</v>
      </c>
      <c r="AK74" s="126" t="s">
        <v>98</v>
      </c>
      <c r="AL74" s="126" t="s">
        <v>144</v>
      </c>
      <c r="AM74" s="126" t="s">
        <v>144</v>
      </c>
      <c r="AN74" s="126" t="s">
        <v>144</v>
      </c>
      <c r="AO74" s="126" t="s">
        <v>144</v>
      </c>
      <c r="AP74" s="126" t="s">
        <v>144</v>
      </c>
      <c r="AQ74" s="126" t="s">
        <v>144</v>
      </c>
      <c r="AR74" s="126" t="s">
        <v>144</v>
      </c>
      <c r="AS74" s="126" t="s">
        <v>144</v>
      </c>
      <c r="AT74" s="126" t="s">
        <v>144</v>
      </c>
      <c r="AU74" s="126" t="s">
        <v>144</v>
      </c>
      <c r="AV74" s="126" t="s">
        <v>98</v>
      </c>
      <c r="AW74" s="126" t="s">
        <v>144</v>
      </c>
    </row>
    <row r="75" spans="1:50" ht="14.4">
      <c r="A75" s="120"/>
      <c r="B75" s="122">
        <f t="shared" si="1"/>
        <v>68</v>
      </c>
      <c r="C75" s="118" t="s">
        <v>446</v>
      </c>
      <c r="D75" s="119" t="s">
        <v>447</v>
      </c>
      <c r="E75" s="134"/>
      <c r="F75" s="134" t="s">
        <v>102</v>
      </c>
      <c r="G75" s="135" t="s">
        <v>305</v>
      </c>
      <c r="H75" s="136" t="s">
        <v>332</v>
      </c>
      <c r="I75" s="126" t="s">
        <v>307</v>
      </c>
      <c r="J75" s="126" t="s">
        <v>144</v>
      </c>
      <c r="K75" s="126" t="s">
        <v>144</v>
      </c>
      <c r="L75" s="126" t="s">
        <v>308</v>
      </c>
      <c r="M75" s="126" t="s">
        <v>144</v>
      </c>
      <c r="N75" s="126" t="s">
        <v>309</v>
      </c>
      <c r="O75" s="126" t="s">
        <v>166</v>
      </c>
      <c r="P75" s="126" t="s">
        <v>310</v>
      </c>
      <c r="Q75" s="126" t="s">
        <v>166</v>
      </c>
      <c r="R75" s="126" t="s">
        <v>311</v>
      </c>
      <c r="S75" s="126" t="s">
        <v>144</v>
      </c>
      <c r="T75" s="126" t="s">
        <v>144</v>
      </c>
      <c r="U75" s="126" t="s">
        <v>166</v>
      </c>
      <c r="V75" s="133">
        <v>1</v>
      </c>
      <c r="W75" s="126" t="s">
        <v>102</v>
      </c>
      <c r="X75" s="126" t="s">
        <v>166</v>
      </c>
      <c r="Y75" s="126" t="s">
        <v>166</v>
      </c>
      <c r="Z75" s="126" t="s">
        <v>144</v>
      </c>
      <c r="AA75" s="126" t="s">
        <v>144</v>
      </c>
      <c r="AB75" s="126" t="s">
        <v>144</v>
      </c>
      <c r="AC75" s="126" t="s">
        <v>144</v>
      </c>
      <c r="AD75" s="126" t="s">
        <v>144</v>
      </c>
      <c r="AE75" s="126" t="s">
        <v>144</v>
      </c>
      <c r="AF75" s="126" t="s">
        <v>144</v>
      </c>
      <c r="AG75" s="126" t="s">
        <v>144</v>
      </c>
      <c r="AH75" s="126" t="s">
        <v>144</v>
      </c>
      <c r="AI75" s="126" t="s">
        <v>144</v>
      </c>
      <c r="AJ75" s="126" t="s">
        <v>267</v>
      </c>
      <c r="AK75" s="126" t="s">
        <v>98</v>
      </c>
      <c r="AL75" s="126" t="s">
        <v>144</v>
      </c>
      <c r="AM75" s="126" t="s">
        <v>144</v>
      </c>
      <c r="AN75" s="126" t="s">
        <v>144</v>
      </c>
      <c r="AO75" s="126" t="s">
        <v>144</v>
      </c>
      <c r="AP75" s="126" t="s">
        <v>144</v>
      </c>
      <c r="AQ75" s="126" t="s">
        <v>144</v>
      </c>
      <c r="AR75" s="126" t="s">
        <v>144</v>
      </c>
      <c r="AS75" s="126" t="s">
        <v>144</v>
      </c>
      <c r="AT75" s="126" t="s">
        <v>144</v>
      </c>
      <c r="AU75" s="126" t="s">
        <v>144</v>
      </c>
      <c r="AV75" s="126" t="s">
        <v>98</v>
      </c>
      <c r="AW75" s="126" t="s">
        <v>144</v>
      </c>
    </row>
    <row r="76" spans="1:50" ht="14.4">
      <c r="A76" s="120"/>
      <c r="B76" s="122">
        <f t="shared" si="1"/>
        <v>69</v>
      </c>
      <c r="C76" s="118" t="s">
        <v>448</v>
      </c>
      <c r="D76" s="119" t="s">
        <v>449</v>
      </c>
      <c r="E76" s="134"/>
      <c r="F76" s="134" t="s">
        <v>102</v>
      </c>
      <c r="G76" s="135" t="s">
        <v>305</v>
      </c>
      <c r="H76" s="136" t="s">
        <v>565</v>
      </c>
      <c r="I76" s="126" t="s">
        <v>307</v>
      </c>
      <c r="J76" s="126" t="s">
        <v>144</v>
      </c>
      <c r="K76" s="126" t="s">
        <v>144</v>
      </c>
      <c r="L76" s="126" t="s">
        <v>308</v>
      </c>
      <c r="M76" s="126" t="s">
        <v>144</v>
      </c>
      <c r="N76" s="126" t="s">
        <v>309</v>
      </c>
      <c r="O76" s="126" t="s">
        <v>166</v>
      </c>
      <c r="P76" s="126" t="s">
        <v>310</v>
      </c>
      <c r="Q76" s="126" t="s">
        <v>166</v>
      </c>
      <c r="R76" s="126" t="s">
        <v>311</v>
      </c>
      <c r="S76" s="126" t="s">
        <v>144</v>
      </c>
      <c r="T76" s="126" t="s">
        <v>144</v>
      </c>
      <c r="U76" s="126" t="s">
        <v>166</v>
      </c>
      <c r="V76" s="133">
        <v>1</v>
      </c>
      <c r="W76" s="126" t="s">
        <v>102</v>
      </c>
      <c r="X76" s="126" t="s">
        <v>166</v>
      </c>
      <c r="Y76" s="126" t="s">
        <v>166</v>
      </c>
      <c r="Z76" s="126" t="s">
        <v>144</v>
      </c>
      <c r="AA76" s="126" t="s">
        <v>144</v>
      </c>
      <c r="AB76" s="126" t="s">
        <v>144</v>
      </c>
      <c r="AC76" s="126" t="s">
        <v>144</v>
      </c>
      <c r="AD76" s="126" t="s">
        <v>144</v>
      </c>
      <c r="AE76" s="126" t="s">
        <v>144</v>
      </c>
      <c r="AF76" s="126" t="s">
        <v>144</v>
      </c>
      <c r="AG76" s="126" t="s">
        <v>144</v>
      </c>
      <c r="AH76" s="126" t="s">
        <v>144</v>
      </c>
      <c r="AI76" s="126" t="s">
        <v>144</v>
      </c>
      <c r="AJ76" s="126" t="s">
        <v>267</v>
      </c>
      <c r="AK76" s="126" t="s">
        <v>98</v>
      </c>
      <c r="AL76" s="126" t="s">
        <v>144</v>
      </c>
      <c r="AM76" s="126" t="s">
        <v>144</v>
      </c>
      <c r="AN76" s="126" t="s">
        <v>144</v>
      </c>
      <c r="AO76" s="126" t="s">
        <v>144</v>
      </c>
      <c r="AP76" s="126" t="s">
        <v>144</v>
      </c>
      <c r="AQ76" s="126" t="s">
        <v>144</v>
      </c>
      <c r="AR76" s="126" t="s">
        <v>144</v>
      </c>
      <c r="AS76" s="126" t="s">
        <v>144</v>
      </c>
      <c r="AT76" s="126" t="s">
        <v>144</v>
      </c>
      <c r="AU76" s="126" t="s">
        <v>144</v>
      </c>
      <c r="AV76" s="126" t="s">
        <v>98</v>
      </c>
      <c r="AW76" s="126" t="s">
        <v>144</v>
      </c>
      <c r="AX76" s="125" t="s">
        <v>566</v>
      </c>
    </row>
    <row r="78" spans="1:50" ht="14.4">
      <c r="A78" s="120"/>
      <c r="B78" s="120"/>
      <c r="C78" s="141" t="s">
        <v>450</v>
      </c>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row>
    <row r="79" spans="1:50" ht="14.4">
      <c r="A79" s="120"/>
      <c r="B79" s="120"/>
      <c r="C79" s="141" t="s">
        <v>451</v>
      </c>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row>
    <row r="81" spans="1:49" ht="14.4">
      <c r="A81" s="120"/>
      <c r="B81" s="120"/>
      <c r="C81" s="141" t="s">
        <v>452</v>
      </c>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row>
    <row r="82" spans="1:49" ht="14.4">
      <c r="A82" s="120"/>
      <c r="B82" s="120"/>
      <c r="C82" s="94" t="s">
        <v>453</v>
      </c>
      <c r="D82" s="120"/>
      <c r="E82" s="120"/>
      <c r="F82" s="120"/>
      <c r="G82" s="120"/>
      <c r="H82" s="120"/>
      <c r="I82" s="120"/>
      <c r="J82" s="120"/>
      <c r="K82" s="120"/>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row>
  </sheetData>
  <sheetProtection insertRows="0" deleteRows="0" sort="0" autoFilter="0"/>
  <autoFilter ref="A7:AX76" xr:uid="{A2382EC8-8B4A-4E58-B2D3-AC60AAB5EB7B}"/>
  <sortState xmlns:xlrd2="http://schemas.microsoft.com/office/spreadsheetml/2017/richdata2" ref="C8:E36">
    <sortCondition ref="C8:C36"/>
  </sortState>
  <mergeCells count="1">
    <mergeCell ref="B4:B7"/>
  </mergeCells>
  <phoneticPr fontId="12"/>
  <dataValidations count="1">
    <dataValidation type="list" allowBlank="1" showInputMessage="1" showErrorMessage="1" sqref="P77:P88 L77:L84 N77:N84" xr:uid="{D871D8BA-EDD3-482B-9832-56136BC2A33F}">
      <formula1>#REF!</formula1>
    </dataValidation>
  </dataValidations>
  <hyperlinks>
    <hyperlink ref="C82" r:id="rId1" xr:uid="{739DFB27-2369-4AFB-975C-F24D48F8774C}"/>
    <hyperlink ref="A3" location="パラメータ設定一覧!A1" display="パラメータ設定一覧へ" xr:uid="{E615E904-94B6-42A9-A97D-D8C7A6CBD648}"/>
  </hyperlinks>
  <pageMargins left="0.70866141732283472" right="0.70866141732283472" top="0.74803149606299213" bottom="0.74803149606299213" header="0.31496062992125984" footer="0.31496062992125984"/>
  <pageSetup paperSize="9" scale="10" orientation="portrait" r:id="rId2"/>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D0DDD-3AB1-42C3-A222-F63F2252F160}">
  <sheetPr codeName="Sheet182" filterMode="1">
    <pageSetUpPr fitToPage="1"/>
  </sheetPr>
  <dimension ref="A1:J75"/>
  <sheetViews>
    <sheetView showGridLines="0" zoomScaleNormal="100" zoomScaleSheetLayoutView="70" workbookViewId="0">
      <pane ySplit="6" topLeftCell="A7" activePane="bottomLeft" state="frozen"/>
      <selection pane="bottomLeft" activeCell="K13" sqref="K13"/>
    </sheetView>
  </sheetViews>
  <sheetFormatPr defaultColWidth="8.81640625" defaultRowHeight="14.4"/>
  <cols>
    <col min="1" max="1" width="2.90625" style="53" customWidth="1"/>
    <col min="2" max="2" width="3.54296875" style="53" bestFit="1" customWidth="1"/>
    <col min="3" max="3" width="17.6328125" style="53" customWidth="1"/>
    <col min="4" max="4" width="13.54296875" style="53" customWidth="1"/>
    <col min="5" max="5" width="15" style="53" customWidth="1"/>
    <col min="6" max="6" width="12.453125" style="53" customWidth="1"/>
    <col min="7" max="7" width="10.453125" style="53" customWidth="1"/>
    <col min="8" max="8" width="11.453125" style="53" customWidth="1"/>
    <col min="9" max="9" width="14.453125" style="53" customWidth="1"/>
    <col min="10" max="10" width="9" style="53" bestFit="1" customWidth="1"/>
    <col min="11" max="16384" width="8.81640625" style="53"/>
  </cols>
  <sheetData>
    <row r="1" spans="1:9" customFormat="1" ht="18.600000000000001">
      <c r="A1" s="7" t="s">
        <v>454</v>
      </c>
    </row>
    <row r="2" spans="1:9" customFormat="1" ht="15"/>
    <row r="3" spans="1:9" customFormat="1" ht="15">
      <c r="A3" s="8" t="s">
        <v>43</v>
      </c>
    </row>
    <row r="4" spans="1:9" ht="15.75" customHeight="1">
      <c r="A4" s="120"/>
      <c r="B4" s="192" t="s">
        <v>44</v>
      </c>
      <c r="C4" s="29" t="s">
        <v>137</v>
      </c>
      <c r="D4" s="30"/>
      <c r="E4" s="30"/>
      <c r="F4" s="30"/>
      <c r="G4" s="30"/>
      <c r="H4" s="30"/>
      <c r="I4" s="31"/>
    </row>
    <row r="5" spans="1:9">
      <c r="A5" s="120"/>
      <c r="B5" s="192"/>
      <c r="C5" s="5" t="s">
        <v>31</v>
      </c>
      <c r="D5" s="5" t="s">
        <v>174</v>
      </c>
      <c r="E5" s="5" t="s">
        <v>177</v>
      </c>
      <c r="F5" s="5" t="s">
        <v>206</v>
      </c>
      <c r="G5" s="5" t="s">
        <v>208</v>
      </c>
      <c r="H5" s="5" t="s">
        <v>210</v>
      </c>
      <c r="I5" s="5" t="s">
        <v>212</v>
      </c>
    </row>
    <row r="6" spans="1:9">
      <c r="A6" s="120"/>
      <c r="B6" s="192"/>
      <c r="C6" s="6" t="s">
        <v>58</v>
      </c>
      <c r="D6" s="6" t="s">
        <v>176</v>
      </c>
      <c r="E6" s="6" t="s">
        <v>176</v>
      </c>
      <c r="F6" s="6" t="s">
        <v>105</v>
      </c>
      <c r="G6" s="6" t="s">
        <v>105</v>
      </c>
      <c r="H6" s="6" t="s">
        <v>105</v>
      </c>
      <c r="I6" s="6" t="s">
        <v>105</v>
      </c>
    </row>
    <row r="7" spans="1:9" hidden="1">
      <c r="A7" s="120"/>
      <c r="B7" s="122">
        <f>ROW() - 6</f>
        <v>1</v>
      </c>
      <c r="C7" s="123" t="s">
        <v>303</v>
      </c>
      <c r="D7" s="142" t="s">
        <v>80</v>
      </c>
      <c r="E7" s="143" t="s">
        <v>80</v>
      </c>
      <c r="F7" s="144">
        <v>0</v>
      </c>
      <c r="G7" s="144">
        <v>0</v>
      </c>
      <c r="H7" s="145">
        <v>0</v>
      </c>
      <c r="I7" s="145">
        <v>0</v>
      </c>
    </row>
    <row r="8" spans="1:9" hidden="1">
      <c r="A8" s="120"/>
      <c r="B8" s="122">
        <f t="shared" ref="B8:B75" si="0">ROW() - 6</f>
        <v>2</v>
      </c>
      <c r="C8" s="123" t="s">
        <v>312</v>
      </c>
      <c r="D8" s="142" t="s">
        <v>80</v>
      </c>
      <c r="E8" s="143" t="s">
        <v>80</v>
      </c>
      <c r="F8" s="144">
        <v>0</v>
      </c>
      <c r="G8" s="144">
        <v>0</v>
      </c>
      <c r="H8" s="145">
        <v>5</v>
      </c>
      <c r="I8" s="145">
        <v>0</v>
      </c>
    </row>
    <row r="9" spans="1:9" hidden="1">
      <c r="A9" s="120"/>
      <c r="B9" s="122">
        <f t="shared" si="0"/>
        <v>3</v>
      </c>
      <c r="C9" s="123" t="s">
        <v>314</v>
      </c>
      <c r="D9" s="142" t="s">
        <v>80</v>
      </c>
      <c r="E9" s="143" t="s">
        <v>80</v>
      </c>
      <c r="F9" s="144">
        <v>0</v>
      </c>
      <c r="G9" s="144">
        <v>0</v>
      </c>
      <c r="H9" s="145">
        <v>0</v>
      </c>
      <c r="I9" s="145">
        <v>0</v>
      </c>
    </row>
    <row r="10" spans="1:9" hidden="1">
      <c r="A10" s="51"/>
      <c r="B10" s="122">
        <f t="shared" si="0"/>
        <v>4</v>
      </c>
      <c r="C10" s="123" t="s">
        <v>316</v>
      </c>
      <c r="D10" s="142" t="s">
        <v>80</v>
      </c>
      <c r="E10" s="143" t="s">
        <v>80</v>
      </c>
      <c r="F10" s="144">
        <v>0</v>
      </c>
      <c r="G10" s="144">
        <v>0</v>
      </c>
      <c r="H10" s="145">
        <v>8</v>
      </c>
      <c r="I10" s="145">
        <v>0</v>
      </c>
    </row>
    <row r="11" spans="1:9" hidden="1">
      <c r="A11" s="51"/>
      <c r="B11" s="122">
        <f t="shared" si="0"/>
        <v>5</v>
      </c>
      <c r="C11" s="146" t="s">
        <v>318</v>
      </c>
      <c r="D11" s="142" t="s">
        <v>80</v>
      </c>
      <c r="E11" s="143" t="s">
        <v>80</v>
      </c>
      <c r="F11" s="144">
        <v>0</v>
      </c>
      <c r="G11" s="144">
        <v>0</v>
      </c>
      <c r="H11" s="145">
        <v>8</v>
      </c>
      <c r="I11" s="145">
        <v>0</v>
      </c>
    </row>
    <row r="12" spans="1:9" hidden="1">
      <c r="A12" s="51"/>
      <c r="B12" s="122">
        <f t="shared" si="0"/>
        <v>6</v>
      </c>
      <c r="C12" s="123" t="s">
        <v>320</v>
      </c>
      <c r="D12" s="142" t="s">
        <v>80</v>
      </c>
      <c r="E12" s="143" t="s">
        <v>80</v>
      </c>
      <c r="F12" s="144">
        <v>0</v>
      </c>
      <c r="G12" s="144">
        <v>0</v>
      </c>
      <c r="H12" s="145">
        <v>8</v>
      </c>
      <c r="I12" s="145">
        <v>0</v>
      </c>
    </row>
    <row r="13" spans="1:9" hidden="1">
      <c r="A13" s="51"/>
      <c r="B13" s="122">
        <f t="shared" si="0"/>
        <v>7</v>
      </c>
      <c r="C13" s="146" t="s">
        <v>322</v>
      </c>
      <c r="D13" s="142" t="s">
        <v>80</v>
      </c>
      <c r="E13" s="143" t="s">
        <v>80</v>
      </c>
      <c r="F13" s="144">
        <v>0</v>
      </c>
      <c r="G13" s="144">
        <v>0</v>
      </c>
      <c r="H13" s="145">
        <v>10</v>
      </c>
      <c r="I13" s="145">
        <v>0</v>
      </c>
    </row>
    <row r="14" spans="1:9" hidden="1">
      <c r="A14" s="51"/>
      <c r="B14" s="122">
        <f t="shared" si="0"/>
        <v>8</v>
      </c>
      <c r="C14" s="123" t="s">
        <v>324</v>
      </c>
      <c r="D14" s="142" t="s">
        <v>80</v>
      </c>
      <c r="E14" s="143" t="s">
        <v>80</v>
      </c>
      <c r="F14" s="144">
        <v>0</v>
      </c>
      <c r="G14" s="144">
        <v>0</v>
      </c>
      <c r="H14" s="145">
        <v>10</v>
      </c>
      <c r="I14" s="145">
        <v>0</v>
      </c>
    </row>
    <row r="15" spans="1:9" hidden="1">
      <c r="A15" s="51"/>
      <c r="B15" s="122">
        <f t="shared" si="0"/>
        <v>9</v>
      </c>
      <c r="C15" s="146" t="s">
        <v>326</v>
      </c>
      <c r="D15" s="142" t="s">
        <v>80</v>
      </c>
      <c r="E15" s="143" t="s">
        <v>80</v>
      </c>
      <c r="F15" s="144">
        <v>0</v>
      </c>
      <c r="G15" s="144">
        <v>0</v>
      </c>
      <c r="H15" s="145">
        <v>10</v>
      </c>
      <c r="I15" s="145">
        <v>0</v>
      </c>
    </row>
    <row r="16" spans="1:9" ht="16.2" hidden="1">
      <c r="A16" s="92"/>
      <c r="B16" s="122">
        <f t="shared" si="0"/>
        <v>10</v>
      </c>
      <c r="C16" s="122" t="s">
        <v>328</v>
      </c>
      <c r="D16" s="142" t="s">
        <v>80</v>
      </c>
      <c r="E16" s="143" t="s">
        <v>80</v>
      </c>
      <c r="F16" s="144">
        <v>0</v>
      </c>
      <c r="G16" s="144">
        <v>0</v>
      </c>
      <c r="H16" s="145">
        <v>10</v>
      </c>
      <c r="I16" s="145">
        <v>0</v>
      </c>
    </row>
    <row r="17" spans="1:10" hidden="1">
      <c r="A17" s="51"/>
      <c r="B17" s="122">
        <f t="shared" si="0"/>
        <v>11</v>
      </c>
      <c r="C17" s="123" t="s">
        <v>455</v>
      </c>
      <c r="D17" s="142" t="s">
        <v>80</v>
      </c>
      <c r="E17" s="143" t="s">
        <v>80</v>
      </c>
      <c r="F17" s="144">
        <v>0</v>
      </c>
      <c r="G17" s="144">
        <v>0</v>
      </c>
      <c r="H17" s="124">
        <v>0</v>
      </c>
      <c r="I17" s="145">
        <v>0</v>
      </c>
      <c r="J17" s="125" t="s">
        <v>456</v>
      </c>
    </row>
    <row r="18" spans="1:10" hidden="1">
      <c r="A18" s="51"/>
      <c r="B18" s="122">
        <f t="shared" si="0"/>
        <v>12</v>
      </c>
      <c r="C18" s="123" t="s">
        <v>333</v>
      </c>
      <c r="D18" s="142" t="s">
        <v>80</v>
      </c>
      <c r="E18" s="143" t="s">
        <v>80</v>
      </c>
      <c r="F18" s="144">
        <v>0</v>
      </c>
      <c r="G18" s="144">
        <v>0</v>
      </c>
      <c r="H18" s="145">
        <v>10</v>
      </c>
      <c r="I18" s="145">
        <v>0</v>
      </c>
      <c r="J18" s="120"/>
    </row>
    <row r="19" spans="1:10" hidden="1">
      <c r="A19" s="51"/>
      <c r="B19" s="122">
        <f t="shared" si="0"/>
        <v>13</v>
      </c>
      <c r="C19" s="123" t="s">
        <v>335</v>
      </c>
      <c r="D19" s="142" t="s">
        <v>80</v>
      </c>
      <c r="E19" s="143" t="s">
        <v>80</v>
      </c>
      <c r="F19" s="144">
        <v>0</v>
      </c>
      <c r="G19" s="144">
        <v>0</v>
      </c>
      <c r="H19" s="145">
        <v>10</v>
      </c>
      <c r="I19" s="145">
        <v>0</v>
      </c>
      <c r="J19" s="120"/>
    </row>
    <row r="20" spans="1:10" hidden="1">
      <c r="A20" s="51"/>
      <c r="B20" s="122">
        <f t="shared" si="0"/>
        <v>14</v>
      </c>
      <c r="C20" s="123" t="s">
        <v>337</v>
      </c>
      <c r="D20" s="142" t="s">
        <v>80</v>
      </c>
      <c r="E20" s="143" t="s">
        <v>80</v>
      </c>
      <c r="F20" s="144">
        <v>0</v>
      </c>
      <c r="G20" s="144">
        <v>0</v>
      </c>
      <c r="H20" s="145">
        <v>10</v>
      </c>
      <c r="I20" s="145">
        <v>0</v>
      </c>
      <c r="J20" s="120"/>
    </row>
    <row r="21" spans="1:10" hidden="1">
      <c r="A21" s="51"/>
      <c r="B21" s="122">
        <f t="shared" si="0"/>
        <v>15</v>
      </c>
      <c r="C21" s="123" t="s">
        <v>339</v>
      </c>
      <c r="D21" s="142" t="s">
        <v>80</v>
      </c>
      <c r="E21" s="143" t="s">
        <v>80</v>
      </c>
      <c r="F21" s="144">
        <v>0</v>
      </c>
      <c r="G21" s="144">
        <v>0</v>
      </c>
      <c r="H21" s="145">
        <v>10</v>
      </c>
      <c r="I21" s="145">
        <v>0</v>
      </c>
      <c r="J21" s="120"/>
    </row>
    <row r="22" spans="1:10" hidden="1">
      <c r="A22" s="51"/>
      <c r="B22" s="122">
        <f t="shared" si="0"/>
        <v>16</v>
      </c>
      <c r="C22" s="123" t="s">
        <v>341</v>
      </c>
      <c r="D22" s="142" t="s">
        <v>80</v>
      </c>
      <c r="E22" s="143" t="s">
        <v>80</v>
      </c>
      <c r="F22" s="144">
        <v>0</v>
      </c>
      <c r="G22" s="144">
        <v>0</v>
      </c>
      <c r="H22" s="145">
        <v>10</v>
      </c>
      <c r="I22" s="145">
        <v>0</v>
      </c>
      <c r="J22" s="120"/>
    </row>
    <row r="23" spans="1:10" hidden="1">
      <c r="A23" s="120"/>
      <c r="B23" s="122">
        <f t="shared" si="0"/>
        <v>17</v>
      </c>
      <c r="C23" s="123" t="s">
        <v>343</v>
      </c>
      <c r="D23" s="142" t="s">
        <v>80</v>
      </c>
      <c r="E23" s="143" t="s">
        <v>80</v>
      </c>
      <c r="F23" s="144">
        <v>0</v>
      </c>
      <c r="G23" s="144">
        <v>0</v>
      </c>
      <c r="H23" s="145">
        <v>10</v>
      </c>
      <c r="I23" s="145">
        <v>0</v>
      </c>
      <c r="J23" s="120"/>
    </row>
    <row r="24" spans="1:10" hidden="1">
      <c r="A24" s="120"/>
      <c r="B24" s="122">
        <f t="shared" si="0"/>
        <v>18</v>
      </c>
      <c r="C24" s="122" t="s">
        <v>345</v>
      </c>
      <c r="D24" s="142" t="s">
        <v>80</v>
      </c>
      <c r="E24" s="143" t="s">
        <v>80</v>
      </c>
      <c r="F24" s="144">
        <v>0</v>
      </c>
      <c r="G24" s="144">
        <v>0</v>
      </c>
      <c r="H24" s="145">
        <v>10</v>
      </c>
      <c r="I24" s="145">
        <v>0</v>
      </c>
      <c r="J24" s="120"/>
    </row>
    <row r="25" spans="1:10" hidden="1">
      <c r="A25" s="120"/>
      <c r="B25" s="122">
        <f t="shared" si="0"/>
        <v>19</v>
      </c>
      <c r="C25" s="122" t="s">
        <v>347</v>
      </c>
      <c r="D25" s="142" t="s">
        <v>80</v>
      </c>
      <c r="E25" s="143" t="s">
        <v>80</v>
      </c>
      <c r="F25" s="144">
        <v>0</v>
      </c>
      <c r="G25" s="144">
        <v>0</v>
      </c>
      <c r="H25" s="145">
        <v>8</v>
      </c>
      <c r="I25" s="145">
        <v>0</v>
      </c>
      <c r="J25" s="120"/>
    </row>
    <row r="26" spans="1:10" hidden="1">
      <c r="A26" s="120"/>
      <c r="B26" s="122">
        <f t="shared" si="0"/>
        <v>20</v>
      </c>
      <c r="C26" s="123" t="s">
        <v>349</v>
      </c>
      <c r="D26" s="142" t="s">
        <v>80</v>
      </c>
      <c r="E26" s="143" t="s">
        <v>80</v>
      </c>
      <c r="F26" s="144">
        <v>0</v>
      </c>
      <c r="G26" s="144">
        <v>0</v>
      </c>
      <c r="H26" s="145">
        <v>8</v>
      </c>
      <c r="I26" s="145">
        <v>0</v>
      </c>
      <c r="J26" s="120"/>
    </row>
    <row r="27" spans="1:10" hidden="1">
      <c r="A27" s="120"/>
      <c r="B27" s="122">
        <f t="shared" si="0"/>
        <v>21</v>
      </c>
      <c r="C27" s="123" t="s">
        <v>351</v>
      </c>
      <c r="D27" s="142" t="s">
        <v>80</v>
      </c>
      <c r="E27" s="143" t="s">
        <v>80</v>
      </c>
      <c r="F27" s="144">
        <v>0</v>
      </c>
      <c r="G27" s="144">
        <v>0</v>
      </c>
      <c r="H27" s="145">
        <v>8</v>
      </c>
      <c r="I27" s="145">
        <v>0</v>
      </c>
      <c r="J27" s="120"/>
    </row>
    <row r="28" spans="1:10" hidden="1">
      <c r="A28" s="120"/>
      <c r="B28" s="122">
        <f t="shared" si="0"/>
        <v>22</v>
      </c>
      <c r="C28" s="123" t="s">
        <v>353</v>
      </c>
      <c r="D28" s="142" t="s">
        <v>80</v>
      </c>
      <c r="E28" s="143" t="s">
        <v>80</v>
      </c>
      <c r="F28" s="144">
        <v>0</v>
      </c>
      <c r="G28" s="144">
        <v>0</v>
      </c>
      <c r="H28" s="124">
        <v>0</v>
      </c>
      <c r="I28" s="145">
        <v>0</v>
      </c>
      <c r="J28" s="125" t="s">
        <v>456</v>
      </c>
    </row>
    <row r="29" spans="1:10" hidden="1">
      <c r="A29" s="120"/>
      <c r="B29" s="122">
        <f t="shared" si="0"/>
        <v>23</v>
      </c>
      <c r="C29" s="123" t="s">
        <v>355</v>
      </c>
      <c r="D29" s="142" t="s">
        <v>80</v>
      </c>
      <c r="E29" s="143" t="s">
        <v>80</v>
      </c>
      <c r="F29" s="144">
        <v>0</v>
      </c>
      <c r="G29" s="144">
        <v>0</v>
      </c>
      <c r="H29" s="145">
        <v>10</v>
      </c>
      <c r="I29" s="145">
        <v>0</v>
      </c>
      <c r="J29" s="120"/>
    </row>
    <row r="30" spans="1:10" hidden="1">
      <c r="A30" s="120"/>
      <c r="B30" s="122">
        <f t="shared" si="0"/>
        <v>24</v>
      </c>
      <c r="C30" s="123" t="s">
        <v>357</v>
      </c>
      <c r="D30" s="142" t="s">
        <v>80</v>
      </c>
      <c r="E30" s="143" t="s">
        <v>80</v>
      </c>
      <c r="F30" s="144">
        <v>0</v>
      </c>
      <c r="G30" s="144">
        <v>0</v>
      </c>
      <c r="H30" s="145">
        <v>10</v>
      </c>
      <c r="I30" s="145">
        <v>0</v>
      </c>
      <c r="J30" s="120"/>
    </row>
    <row r="31" spans="1:10" hidden="1">
      <c r="A31" s="120"/>
      <c r="B31" s="122">
        <f t="shared" si="0"/>
        <v>25</v>
      </c>
      <c r="C31" s="123" t="s">
        <v>359</v>
      </c>
      <c r="D31" s="142" t="s">
        <v>80</v>
      </c>
      <c r="E31" s="143" t="s">
        <v>80</v>
      </c>
      <c r="F31" s="144">
        <v>0</v>
      </c>
      <c r="G31" s="144">
        <v>0</v>
      </c>
      <c r="H31" s="145">
        <v>10</v>
      </c>
      <c r="I31" s="145">
        <v>0</v>
      </c>
      <c r="J31" s="120"/>
    </row>
    <row r="32" spans="1:10" hidden="1">
      <c r="A32" s="120"/>
      <c r="B32" s="122">
        <f t="shared" si="0"/>
        <v>26</v>
      </c>
      <c r="C32" s="123" t="s">
        <v>361</v>
      </c>
      <c r="D32" s="142" t="s">
        <v>80</v>
      </c>
      <c r="E32" s="143" t="s">
        <v>80</v>
      </c>
      <c r="F32" s="144">
        <v>0</v>
      </c>
      <c r="G32" s="144">
        <v>0</v>
      </c>
      <c r="H32" s="145">
        <v>10</v>
      </c>
      <c r="I32" s="145">
        <v>0</v>
      </c>
      <c r="J32" s="120"/>
    </row>
    <row r="33" spans="2:10" hidden="1">
      <c r="B33" s="122">
        <f t="shared" si="0"/>
        <v>27</v>
      </c>
      <c r="C33" s="123" t="s">
        <v>363</v>
      </c>
      <c r="D33" s="142" t="s">
        <v>80</v>
      </c>
      <c r="E33" s="143" t="s">
        <v>80</v>
      </c>
      <c r="F33" s="144">
        <v>0</v>
      </c>
      <c r="G33" s="144">
        <v>0</v>
      </c>
      <c r="H33" s="145">
        <v>10</v>
      </c>
      <c r="I33" s="145">
        <v>0</v>
      </c>
      <c r="J33" s="120"/>
    </row>
    <row r="34" spans="2:10" hidden="1">
      <c r="B34" s="122">
        <f t="shared" si="0"/>
        <v>28</v>
      </c>
      <c r="C34" s="123" t="s">
        <v>365</v>
      </c>
      <c r="D34" s="142" t="s">
        <v>80</v>
      </c>
      <c r="E34" s="143" t="s">
        <v>80</v>
      </c>
      <c r="F34" s="144">
        <v>0</v>
      </c>
      <c r="G34" s="144">
        <v>0</v>
      </c>
      <c r="H34" s="145">
        <v>10</v>
      </c>
      <c r="I34" s="145">
        <v>0</v>
      </c>
      <c r="J34" s="120"/>
    </row>
    <row r="35" spans="2:10" hidden="1">
      <c r="B35" s="122">
        <f t="shared" si="0"/>
        <v>29</v>
      </c>
      <c r="C35" s="123" t="s">
        <v>367</v>
      </c>
      <c r="D35" s="142" t="s">
        <v>80</v>
      </c>
      <c r="E35" s="143" t="s">
        <v>80</v>
      </c>
      <c r="F35" s="144">
        <v>0</v>
      </c>
      <c r="G35" s="144">
        <v>0</v>
      </c>
      <c r="H35" s="145">
        <v>10</v>
      </c>
      <c r="I35" s="145">
        <v>0</v>
      </c>
      <c r="J35" s="120"/>
    </row>
    <row r="36" spans="2:10" hidden="1">
      <c r="B36" s="122">
        <f t="shared" si="0"/>
        <v>30</v>
      </c>
      <c r="C36" s="123" t="s">
        <v>369</v>
      </c>
      <c r="D36" s="142" t="s">
        <v>80</v>
      </c>
      <c r="E36" s="143" t="s">
        <v>80</v>
      </c>
      <c r="F36" s="144">
        <v>0</v>
      </c>
      <c r="G36" s="144">
        <v>0</v>
      </c>
      <c r="H36" s="145">
        <v>8</v>
      </c>
      <c r="I36" s="145">
        <v>0</v>
      </c>
      <c r="J36" s="120"/>
    </row>
    <row r="37" spans="2:10" hidden="1">
      <c r="B37" s="122">
        <f t="shared" si="0"/>
        <v>31</v>
      </c>
      <c r="C37" s="123" t="s">
        <v>371</v>
      </c>
      <c r="D37" s="142" t="s">
        <v>80</v>
      </c>
      <c r="E37" s="143" t="s">
        <v>80</v>
      </c>
      <c r="F37" s="144">
        <v>0</v>
      </c>
      <c r="G37" s="144">
        <v>0</v>
      </c>
      <c r="H37" s="145">
        <v>8</v>
      </c>
      <c r="I37" s="145">
        <v>0</v>
      </c>
      <c r="J37" s="120"/>
    </row>
    <row r="38" spans="2:10" hidden="1">
      <c r="B38" s="122">
        <f t="shared" si="0"/>
        <v>32</v>
      </c>
      <c r="C38" s="123" t="s">
        <v>373</v>
      </c>
      <c r="D38" s="142" t="s">
        <v>80</v>
      </c>
      <c r="E38" s="143" t="s">
        <v>80</v>
      </c>
      <c r="F38" s="144">
        <v>0</v>
      </c>
      <c r="G38" s="144">
        <v>0</v>
      </c>
      <c r="H38" s="145">
        <v>8</v>
      </c>
      <c r="I38" s="145">
        <v>0</v>
      </c>
      <c r="J38" s="120"/>
    </row>
    <row r="39" spans="2:10" hidden="1">
      <c r="B39" s="122">
        <f t="shared" si="0"/>
        <v>33</v>
      </c>
      <c r="C39" s="123" t="s">
        <v>375</v>
      </c>
      <c r="D39" s="142" t="s">
        <v>80</v>
      </c>
      <c r="E39" s="143" t="s">
        <v>80</v>
      </c>
      <c r="F39" s="144">
        <v>0</v>
      </c>
      <c r="G39" s="144">
        <v>0</v>
      </c>
      <c r="H39" s="124">
        <v>0</v>
      </c>
      <c r="I39" s="145">
        <v>0</v>
      </c>
      <c r="J39" s="125" t="s">
        <v>456</v>
      </c>
    </row>
    <row r="40" spans="2:10" hidden="1">
      <c r="B40" s="122">
        <f t="shared" si="0"/>
        <v>34</v>
      </c>
      <c r="C40" s="123" t="s">
        <v>377</v>
      </c>
      <c r="D40" s="142" t="s">
        <v>80</v>
      </c>
      <c r="E40" s="143" t="s">
        <v>80</v>
      </c>
      <c r="F40" s="144">
        <v>0</v>
      </c>
      <c r="G40" s="144">
        <v>0</v>
      </c>
      <c r="H40" s="145">
        <v>10</v>
      </c>
      <c r="I40" s="145">
        <v>0</v>
      </c>
      <c r="J40" s="120"/>
    </row>
    <row r="41" spans="2:10" hidden="1">
      <c r="B41" s="122">
        <f t="shared" si="0"/>
        <v>35</v>
      </c>
      <c r="C41" s="123" t="s">
        <v>379</v>
      </c>
      <c r="D41" s="142" t="s">
        <v>80</v>
      </c>
      <c r="E41" s="143" t="s">
        <v>80</v>
      </c>
      <c r="F41" s="144">
        <v>0</v>
      </c>
      <c r="G41" s="144">
        <v>0</v>
      </c>
      <c r="H41" s="145">
        <v>10</v>
      </c>
      <c r="I41" s="145">
        <v>0</v>
      </c>
      <c r="J41" s="120"/>
    </row>
    <row r="42" spans="2:10" hidden="1">
      <c r="B42" s="122">
        <f t="shared" si="0"/>
        <v>36</v>
      </c>
      <c r="C42" s="123" t="s">
        <v>381</v>
      </c>
      <c r="D42" s="142" t="s">
        <v>80</v>
      </c>
      <c r="E42" s="143" t="s">
        <v>80</v>
      </c>
      <c r="F42" s="144">
        <v>0</v>
      </c>
      <c r="G42" s="144">
        <v>0</v>
      </c>
      <c r="H42" s="145">
        <v>10</v>
      </c>
      <c r="I42" s="145">
        <v>0</v>
      </c>
      <c r="J42" s="120"/>
    </row>
    <row r="43" spans="2:10" hidden="1">
      <c r="B43" s="122">
        <f t="shared" si="0"/>
        <v>37</v>
      </c>
      <c r="C43" s="123" t="s">
        <v>383</v>
      </c>
      <c r="D43" s="142" t="s">
        <v>80</v>
      </c>
      <c r="E43" s="143" t="s">
        <v>80</v>
      </c>
      <c r="F43" s="144">
        <v>0</v>
      </c>
      <c r="G43" s="144">
        <v>0</v>
      </c>
      <c r="H43" s="145">
        <v>10</v>
      </c>
      <c r="I43" s="145">
        <v>0</v>
      </c>
      <c r="J43" s="120"/>
    </row>
    <row r="44" spans="2:10" hidden="1">
      <c r="B44" s="122">
        <f t="shared" si="0"/>
        <v>38</v>
      </c>
      <c r="C44" s="123" t="s">
        <v>385</v>
      </c>
      <c r="D44" s="142" t="s">
        <v>80</v>
      </c>
      <c r="E44" s="143" t="s">
        <v>80</v>
      </c>
      <c r="F44" s="144">
        <v>0</v>
      </c>
      <c r="G44" s="144">
        <v>0</v>
      </c>
      <c r="H44" s="145">
        <v>10</v>
      </c>
      <c r="I44" s="145">
        <v>0</v>
      </c>
      <c r="J44" s="120"/>
    </row>
    <row r="45" spans="2:10" hidden="1">
      <c r="B45" s="122">
        <f t="shared" si="0"/>
        <v>39</v>
      </c>
      <c r="C45" s="123" t="s">
        <v>387</v>
      </c>
      <c r="D45" s="142" t="s">
        <v>80</v>
      </c>
      <c r="E45" s="143" t="s">
        <v>80</v>
      </c>
      <c r="F45" s="144">
        <v>0</v>
      </c>
      <c r="G45" s="144">
        <v>0</v>
      </c>
      <c r="H45" s="145">
        <v>10</v>
      </c>
      <c r="I45" s="145">
        <v>0</v>
      </c>
      <c r="J45" s="120"/>
    </row>
    <row r="46" spans="2:10" hidden="1">
      <c r="B46" s="122">
        <f t="shared" si="0"/>
        <v>40</v>
      </c>
      <c r="C46" s="123" t="s">
        <v>389</v>
      </c>
      <c r="D46" s="142" t="s">
        <v>80</v>
      </c>
      <c r="E46" s="143" t="s">
        <v>80</v>
      </c>
      <c r="F46" s="144">
        <v>0</v>
      </c>
      <c r="G46" s="144">
        <v>0</v>
      </c>
      <c r="H46" s="145">
        <v>10</v>
      </c>
      <c r="I46" s="145">
        <v>0</v>
      </c>
      <c r="J46" s="120"/>
    </row>
    <row r="47" spans="2:10" hidden="1">
      <c r="B47" s="122">
        <f t="shared" si="0"/>
        <v>41</v>
      </c>
      <c r="C47" s="123" t="s">
        <v>391</v>
      </c>
      <c r="D47" s="142" t="s">
        <v>80</v>
      </c>
      <c r="E47" s="143" t="s">
        <v>80</v>
      </c>
      <c r="F47" s="144">
        <v>0</v>
      </c>
      <c r="G47" s="144">
        <v>0</v>
      </c>
      <c r="H47" s="145">
        <v>8</v>
      </c>
      <c r="I47" s="145">
        <v>0</v>
      </c>
      <c r="J47" s="120"/>
    </row>
    <row r="48" spans="2:10" hidden="1">
      <c r="B48" s="122">
        <f t="shared" si="0"/>
        <v>42</v>
      </c>
      <c r="C48" s="123" t="s">
        <v>393</v>
      </c>
      <c r="D48" s="142" t="s">
        <v>80</v>
      </c>
      <c r="E48" s="143" t="s">
        <v>80</v>
      </c>
      <c r="F48" s="144">
        <v>0</v>
      </c>
      <c r="G48" s="144">
        <v>0</v>
      </c>
      <c r="H48" s="145">
        <v>8</v>
      </c>
      <c r="I48" s="145">
        <v>0</v>
      </c>
      <c r="J48" s="120"/>
    </row>
    <row r="49" spans="1:10" hidden="1">
      <c r="A49" s="120"/>
      <c r="B49" s="122">
        <f t="shared" si="0"/>
        <v>43</v>
      </c>
      <c r="C49" s="123" t="s">
        <v>395</v>
      </c>
      <c r="D49" s="142" t="s">
        <v>80</v>
      </c>
      <c r="E49" s="143" t="s">
        <v>80</v>
      </c>
      <c r="F49" s="144">
        <v>0</v>
      </c>
      <c r="G49" s="144">
        <v>0</v>
      </c>
      <c r="H49" s="145">
        <v>8</v>
      </c>
      <c r="I49" s="145">
        <v>0</v>
      </c>
      <c r="J49" s="120"/>
    </row>
    <row r="50" spans="1:10">
      <c r="A50" s="51"/>
      <c r="B50" s="122">
        <f t="shared" si="0"/>
        <v>44</v>
      </c>
      <c r="C50" s="123" t="s">
        <v>397</v>
      </c>
      <c r="D50" s="142" t="s">
        <v>80</v>
      </c>
      <c r="E50" s="143" t="s">
        <v>80</v>
      </c>
      <c r="F50" s="144">
        <v>0</v>
      </c>
      <c r="G50" s="144">
        <v>0</v>
      </c>
      <c r="H50" s="130">
        <v>0</v>
      </c>
      <c r="I50" s="145">
        <v>0</v>
      </c>
      <c r="J50" s="131" t="s">
        <v>399</v>
      </c>
    </row>
    <row r="51" spans="1:10">
      <c r="A51" s="51"/>
      <c r="B51" s="122">
        <f t="shared" si="0"/>
        <v>45</v>
      </c>
      <c r="C51" s="123" t="s">
        <v>400</v>
      </c>
      <c r="D51" s="142" t="s">
        <v>80</v>
      </c>
      <c r="E51" s="143" t="s">
        <v>80</v>
      </c>
      <c r="F51" s="144">
        <v>0</v>
      </c>
      <c r="G51" s="144">
        <v>0</v>
      </c>
      <c r="H51" s="145">
        <v>10</v>
      </c>
      <c r="I51" s="145">
        <v>0</v>
      </c>
      <c r="J51" s="131" t="s">
        <v>399</v>
      </c>
    </row>
    <row r="52" spans="1:10">
      <c r="A52" s="51"/>
      <c r="B52" s="122">
        <f t="shared" si="0"/>
        <v>46</v>
      </c>
      <c r="C52" s="123" t="s">
        <v>402</v>
      </c>
      <c r="D52" s="142" t="s">
        <v>80</v>
      </c>
      <c r="E52" s="143" t="s">
        <v>80</v>
      </c>
      <c r="F52" s="144">
        <v>0</v>
      </c>
      <c r="G52" s="144">
        <v>0</v>
      </c>
      <c r="H52" s="145">
        <v>10</v>
      </c>
      <c r="I52" s="145">
        <v>0</v>
      </c>
      <c r="J52" s="131" t="s">
        <v>399</v>
      </c>
    </row>
    <row r="53" spans="1:10">
      <c r="A53" s="51"/>
      <c r="B53" s="122">
        <f t="shared" si="0"/>
        <v>47</v>
      </c>
      <c r="C53" s="123" t="s">
        <v>404</v>
      </c>
      <c r="D53" s="142" t="s">
        <v>80</v>
      </c>
      <c r="E53" s="143" t="s">
        <v>80</v>
      </c>
      <c r="F53" s="144">
        <v>0</v>
      </c>
      <c r="G53" s="144">
        <v>0</v>
      </c>
      <c r="H53" s="145">
        <v>10</v>
      </c>
      <c r="I53" s="145">
        <v>0</v>
      </c>
      <c r="J53" s="131" t="s">
        <v>399</v>
      </c>
    </row>
    <row r="54" spans="1:10">
      <c r="A54" s="51"/>
      <c r="B54" s="122">
        <f t="shared" si="0"/>
        <v>48</v>
      </c>
      <c r="C54" s="123" t="s">
        <v>406</v>
      </c>
      <c r="D54" s="142" t="s">
        <v>80</v>
      </c>
      <c r="E54" s="143" t="s">
        <v>80</v>
      </c>
      <c r="F54" s="144">
        <v>0</v>
      </c>
      <c r="G54" s="144">
        <v>0</v>
      </c>
      <c r="H54" s="145">
        <v>10</v>
      </c>
      <c r="I54" s="145">
        <v>0</v>
      </c>
      <c r="J54" s="131" t="s">
        <v>399</v>
      </c>
    </row>
    <row r="55" spans="1:10">
      <c r="A55" s="51"/>
      <c r="B55" s="122">
        <f t="shared" si="0"/>
        <v>49</v>
      </c>
      <c r="C55" s="123" t="s">
        <v>408</v>
      </c>
      <c r="D55" s="142" t="s">
        <v>80</v>
      </c>
      <c r="E55" s="143" t="s">
        <v>80</v>
      </c>
      <c r="F55" s="144">
        <v>0</v>
      </c>
      <c r="G55" s="144">
        <v>0</v>
      </c>
      <c r="H55" s="145">
        <v>10</v>
      </c>
      <c r="I55" s="145">
        <v>0</v>
      </c>
      <c r="J55" s="131" t="s">
        <v>399</v>
      </c>
    </row>
    <row r="56" spans="1:10">
      <c r="A56" s="120"/>
      <c r="B56" s="122">
        <f t="shared" si="0"/>
        <v>50</v>
      </c>
      <c r="C56" s="123" t="s">
        <v>410</v>
      </c>
      <c r="D56" s="142" t="s">
        <v>80</v>
      </c>
      <c r="E56" s="143" t="s">
        <v>80</v>
      </c>
      <c r="F56" s="144">
        <v>0</v>
      </c>
      <c r="G56" s="144">
        <v>0</v>
      </c>
      <c r="H56" s="145">
        <v>10</v>
      </c>
      <c r="I56" s="145">
        <v>0</v>
      </c>
      <c r="J56" s="131" t="s">
        <v>399</v>
      </c>
    </row>
    <row r="57" spans="1:10">
      <c r="A57" s="120"/>
      <c r="B57" s="122">
        <f t="shared" si="0"/>
        <v>51</v>
      </c>
      <c r="C57" s="122" t="s">
        <v>412</v>
      </c>
      <c r="D57" s="142" t="s">
        <v>80</v>
      </c>
      <c r="E57" s="143" t="s">
        <v>80</v>
      </c>
      <c r="F57" s="144">
        <v>0</v>
      </c>
      <c r="G57" s="144">
        <v>0</v>
      </c>
      <c r="H57" s="145">
        <v>10</v>
      </c>
      <c r="I57" s="145">
        <v>0</v>
      </c>
      <c r="J57" s="131" t="s">
        <v>399</v>
      </c>
    </row>
    <row r="58" spans="1:10">
      <c r="A58" s="120"/>
      <c r="B58" s="122">
        <f t="shared" si="0"/>
        <v>52</v>
      </c>
      <c r="C58" s="122" t="s">
        <v>414</v>
      </c>
      <c r="D58" s="142" t="s">
        <v>80</v>
      </c>
      <c r="E58" s="143" t="s">
        <v>80</v>
      </c>
      <c r="F58" s="144">
        <v>0</v>
      </c>
      <c r="G58" s="144">
        <v>0</v>
      </c>
      <c r="H58" s="145">
        <v>8</v>
      </c>
      <c r="I58" s="145">
        <v>0</v>
      </c>
      <c r="J58" s="131" t="s">
        <v>399</v>
      </c>
    </row>
    <row r="59" spans="1:10">
      <c r="A59" s="120"/>
      <c r="B59" s="122">
        <f t="shared" si="0"/>
        <v>53</v>
      </c>
      <c r="C59" s="123" t="s">
        <v>416</v>
      </c>
      <c r="D59" s="142" t="s">
        <v>80</v>
      </c>
      <c r="E59" s="143" t="s">
        <v>80</v>
      </c>
      <c r="F59" s="144">
        <v>0</v>
      </c>
      <c r="G59" s="144">
        <v>0</v>
      </c>
      <c r="H59" s="145">
        <v>8</v>
      </c>
      <c r="I59" s="145">
        <v>0</v>
      </c>
      <c r="J59" s="131" t="s">
        <v>399</v>
      </c>
    </row>
    <row r="60" spans="1:10">
      <c r="A60" s="120"/>
      <c r="B60" s="122">
        <f t="shared" si="0"/>
        <v>54</v>
      </c>
      <c r="C60" s="123" t="s">
        <v>418</v>
      </c>
      <c r="D60" s="142" t="s">
        <v>80</v>
      </c>
      <c r="E60" s="143" t="s">
        <v>80</v>
      </c>
      <c r="F60" s="144">
        <v>0</v>
      </c>
      <c r="G60" s="144">
        <v>0</v>
      </c>
      <c r="H60" s="145">
        <v>8</v>
      </c>
      <c r="I60" s="145">
        <v>0</v>
      </c>
      <c r="J60" s="131" t="s">
        <v>399</v>
      </c>
    </row>
    <row r="61" spans="1:10" hidden="1">
      <c r="A61" s="120"/>
      <c r="B61" s="122">
        <f t="shared" si="0"/>
        <v>55</v>
      </c>
      <c r="C61" s="123" t="s">
        <v>420</v>
      </c>
      <c r="D61" s="142" t="s">
        <v>80</v>
      </c>
      <c r="E61" s="143" t="s">
        <v>80</v>
      </c>
      <c r="F61" s="144">
        <v>0</v>
      </c>
      <c r="G61" s="144">
        <v>0</v>
      </c>
      <c r="H61" s="145">
        <v>0</v>
      </c>
      <c r="I61" s="145">
        <v>0</v>
      </c>
      <c r="J61" s="120"/>
    </row>
    <row r="62" spans="1:10" hidden="1">
      <c r="A62" s="120"/>
      <c r="B62" s="122">
        <f t="shared" si="0"/>
        <v>56</v>
      </c>
      <c r="C62" s="123" t="s">
        <v>422</v>
      </c>
      <c r="D62" s="142" t="s">
        <v>80</v>
      </c>
      <c r="E62" s="143" t="s">
        <v>80</v>
      </c>
      <c r="F62" s="144">
        <v>0</v>
      </c>
      <c r="G62" s="144">
        <v>0</v>
      </c>
      <c r="H62" s="145">
        <v>8</v>
      </c>
      <c r="I62" s="145">
        <v>0</v>
      </c>
      <c r="J62" s="120"/>
    </row>
    <row r="63" spans="1:10" hidden="1">
      <c r="A63" s="120"/>
      <c r="B63" s="122">
        <f t="shared" si="0"/>
        <v>57</v>
      </c>
      <c r="C63" s="123" t="s">
        <v>424</v>
      </c>
      <c r="D63" s="142" t="s">
        <v>80</v>
      </c>
      <c r="E63" s="143" t="s">
        <v>80</v>
      </c>
      <c r="F63" s="144">
        <v>0</v>
      </c>
      <c r="G63" s="144">
        <v>0</v>
      </c>
      <c r="H63" s="145">
        <v>8</v>
      </c>
      <c r="I63" s="145">
        <v>0</v>
      </c>
      <c r="J63" s="120"/>
    </row>
    <row r="64" spans="1:10" hidden="1">
      <c r="A64" s="120"/>
      <c r="B64" s="122">
        <f t="shared" si="0"/>
        <v>58</v>
      </c>
      <c r="C64" s="123" t="s">
        <v>426</v>
      </c>
      <c r="D64" s="142" t="s">
        <v>80</v>
      </c>
      <c r="E64" s="143" t="s">
        <v>80</v>
      </c>
      <c r="F64" s="144">
        <v>0</v>
      </c>
      <c r="G64" s="144">
        <v>0</v>
      </c>
      <c r="H64" s="145">
        <v>8</v>
      </c>
      <c r="I64" s="145">
        <v>0</v>
      </c>
      <c r="J64" s="120"/>
    </row>
    <row r="65" spans="1:10" hidden="1">
      <c r="A65" s="120"/>
      <c r="B65" s="122">
        <f t="shared" si="0"/>
        <v>59</v>
      </c>
      <c r="C65" s="123" t="s">
        <v>428</v>
      </c>
      <c r="D65" s="142" t="s">
        <v>80</v>
      </c>
      <c r="E65" s="143" t="s">
        <v>80</v>
      </c>
      <c r="F65" s="144">
        <v>0</v>
      </c>
      <c r="G65" s="144">
        <v>0</v>
      </c>
      <c r="H65" s="145">
        <v>8</v>
      </c>
      <c r="I65" s="145">
        <v>0</v>
      </c>
      <c r="J65" s="120"/>
    </row>
    <row r="66" spans="1:10" hidden="1">
      <c r="A66" s="120"/>
      <c r="B66" s="122">
        <f t="shared" si="0"/>
        <v>60</v>
      </c>
      <c r="C66" s="123" t="s">
        <v>430</v>
      </c>
      <c r="D66" s="142" t="s">
        <v>80</v>
      </c>
      <c r="E66" s="143" t="s">
        <v>80</v>
      </c>
      <c r="F66" s="144">
        <v>0</v>
      </c>
      <c r="G66" s="144">
        <v>0</v>
      </c>
      <c r="H66" s="145">
        <v>8</v>
      </c>
      <c r="I66" s="145">
        <v>0</v>
      </c>
      <c r="J66" s="120"/>
    </row>
    <row r="67" spans="1:10" hidden="1">
      <c r="A67" s="120"/>
      <c r="B67" s="122">
        <f t="shared" si="0"/>
        <v>61</v>
      </c>
      <c r="C67" s="123" t="s">
        <v>432</v>
      </c>
      <c r="D67" s="142" t="s">
        <v>80</v>
      </c>
      <c r="E67" s="143" t="s">
        <v>80</v>
      </c>
      <c r="F67" s="144">
        <v>0</v>
      </c>
      <c r="G67" s="144">
        <v>0</v>
      </c>
      <c r="H67" s="124">
        <v>0</v>
      </c>
      <c r="I67" s="145">
        <v>0</v>
      </c>
      <c r="J67" s="125" t="s">
        <v>456</v>
      </c>
    </row>
    <row r="68" spans="1:10" hidden="1">
      <c r="A68" s="120"/>
      <c r="B68" s="122">
        <f t="shared" si="0"/>
        <v>62</v>
      </c>
      <c r="C68" s="123" t="s">
        <v>434</v>
      </c>
      <c r="D68" s="142" t="s">
        <v>80</v>
      </c>
      <c r="E68" s="143" t="s">
        <v>80</v>
      </c>
      <c r="F68" s="144">
        <v>0</v>
      </c>
      <c r="G68" s="144">
        <v>0</v>
      </c>
      <c r="H68" s="145">
        <v>10</v>
      </c>
      <c r="I68" s="145">
        <v>0</v>
      </c>
      <c r="J68" s="120"/>
    </row>
    <row r="69" spans="1:10" hidden="1">
      <c r="A69" s="120"/>
      <c r="B69" s="122">
        <f t="shared" si="0"/>
        <v>63</v>
      </c>
      <c r="C69" s="123" t="s">
        <v>436</v>
      </c>
      <c r="D69" s="142" t="s">
        <v>80</v>
      </c>
      <c r="E69" s="143" t="s">
        <v>80</v>
      </c>
      <c r="F69" s="144">
        <v>0</v>
      </c>
      <c r="G69" s="144">
        <v>0</v>
      </c>
      <c r="H69" s="145">
        <v>10</v>
      </c>
      <c r="I69" s="145">
        <v>0</v>
      </c>
      <c r="J69" s="120"/>
    </row>
    <row r="70" spans="1:10" hidden="1">
      <c r="A70" s="120"/>
      <c r="B70" s="122">
        <f t="shared" si="0"/>
        <v>64</v>
      </c>
      <c r="C70" s="123" t="s">
        <v>438</v>
      </c>
      <c r="D70" s="142" t="s">
        <v>80</v>
      </c>
      <c r="E70" s="143" t="s">
        <v>80</v>
      </c>
      <c r="F70" s="144">
        <v>0</v>
      </c>
      <c r="G70" s="144">
        <v>0</v>
      </c>
      <c r="H70" s="145">
        <v>10</v>
      </c>
      <c r="I70" s="145">
        <v>0</v>
      </c>
      <c r="J70" s="120"/>
    </row>
    <row r="71" spans="1:10" hidden="1">
      <c r="A71" s="120"/>
      <c r="B71" s="122">
        <f t="shared" si="0"/>
        <v>65</v>
      </c>
      <c r="C71" s="123" t="s">
        <v>440</v>
      </c>
      <c r="D71" s="142" t="s">
        <v>80</v>
      </c>
      <c r="E71" s="143" t="s">
        <v>80</v>
      </c>
      <c r="F71" s="144">
        <v>0</v>
      </c>
      <c r="G71" s="144">
        <v>0</v>
      </c>
      <c r="H71" s="145">
        <v>10</v>
      </c>
      <c r="I71" s="145">
        <v>0</v>
      </c>
      <c r="J71" s="120"/>
    </row>
    <row r="72" spans="1:10" hidden="1">
      <c r="A72" s="120"/>
      <c r="B72" s="122">
        <f t="shared" si="0"/>
        <v>66</v>
      </c>
      <c r="C72" s="123" t="s">
        <v>442</v>
      </c>
      <c r="D72" s="142" t="s">
        <v>80</v>
      </c>
      <c r="E72" s="143" t="s">
        <v>80</v>
      </c>
      <c r="F72" s="144">
        <v>0</v>
      </c>
      <c r="G72" s="144">
        <v>0</v>
      </c>
      <c r="H72" s="145">
        <v>10</v>
      </c>
      <c r="I72" s="145">
        <v>0</v>
      </c>
      <c r="J72" s="120"/>
    </row>
    <row r="73" spans="1:10" hidden="1">
      <c r="A73" s="120"/>
      <c r="B73" s="122">
        <f t="shared" si="0"/>
        <v>67</v>
      </c>
      <c r="C73" s="123" t="s">
        <v>444</v>
      </c>
      <c r="D73" s="142" t="s">
        <v>80</v>
      </c>
      <c r="E73" s="143" t="s">
        <v>80</v>
      </c>
      <c r="F73" s="144">
        <v>0</v>
      </c>
      <c r="G73" s="144">
        <v>0</v>
      </c>
      <c r="H73" s="145">
        <v>10</v>
      </c>
      <c r="I73" s="145">
        <v>0</v>
      </c>
      <c r="J73" s="120"/>
    </row>
    <row r="74" spans="1:10" hidden="1">
      <c r="A74" s="120"/>
      <c r="B74" s="122">
        <f t="shared" si="0"/>
        <v>68</v>
      </c>
      <c r="C74" s="123" t="s">
        <v>446</v>
      </c>
      <c r="D74" s="142" t="s">
        <v>80</v>
      </c>
      <c r="E74" s="143" t="s">
        <v>80</v>
      </c>
      <c r="F74" s="144">
        <v>0</v>
      </c>
      <c r="G74" s="144">
        <v>0</v>
      </c>
      <c r="H74" s="145">
        <v>10</v>
      </c>
      <c r="I74" s="145">
        <v>0</v>
      </c>
      <c r="J74" s="120"/>
    </row>
    <row r="75" spans="1:10" hidden="1">
      <c r="A75" s="120"/>
      <c r="B75" s="122">
        <f t="shared" si="0"/>
        <v>69</v>
      </c>
      <c r="C75" s="123" t="s">
        <v>448</v>
      </c>
      <c r="D75" s="142" t="s">
        <v>80</v>
      </c>
      <c r="E75" s="143" t="s">
        <v>80</v>
      </c>
      <c r="F75" s="144">
        <v>0</v>
      </c>
      <c r="G75" s="144">
        <v>0</v>
      </c>
      <c r="H75" s="145">
        <v>0</v>
      </c>
      <c r="I75" s="145">
        <v>0</v>
      </c>
      <c r="J75" s="120" t="s">
        <v>457</v>
      </c>
    </row>
  </sheetData>
  <sheetProtection insertRows="0" deleteRows="0" sort="0" autoFilter="0"/>
  <autoFilter ref="A6:J75" xr:uid="{08FD0DDD-3AB1-42C3-A222-F63F2252F160}">
    <filterColumn colId="9">
      <filters>
        <filter val="2026/03/13　中村　追加"/>
      </filters>
    </filterColumn>
  </autoFilter>
  <sortState xmlns:xlrd2="http://schemas.microsoft.com/office/spreadsheetml/2017/richdata2" ref="C7:I36">
    <sortCondition ref="C7:C36"/>
  </sortState>
  <mergeCells count="1">
    <mergeCell ref="B4:B6"/>
  </mergeCells>
  <phoneticPr fontId="12"/>
  <hyperlinks>
    <hyperlink ref="A3" location="パラメータ設定一覧!A1" display="パラメータ設定一覧へ" xr:uid="{12435970-4E75-4997-B905-0624D28F8BE3}"/>
  </hyperlinks>
  <pageMargins left="0.70866141732283472" right="0.70866141732283472" top="0.74803149606299213" bottom="0.74803149606299213" header="0.31496062992125984" footer="0.31496062992125984"/>
  <pageSetup paperSize="9" scale="68" orientation="portrait" r:id="rId1"/>
  <headerFooter>
    <oddFooter>&amp;RCopyright  SATO HOLDINGS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66C3-14B4-458F-814A-E6A29603A925}">
  <sheetPr codeName="Sheet183">
    <pageSetUpPr fitToPage="1"/>
  </sheetPr>
  <dimension ref="A1:L29"/>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5.1796875" style="72" bestFit="1" customWidth="1"/>
    <col min="4" max="4" width="7" style="72" bestFit="1" customWidth="1"/>
    <col min="5" max="5" width="15.1796875" style="72" bestFit="1" customWidth="1"/>
    <col min="6" max="6" width="24.1796875" style="72" bestFit="1" customWidth="1"/>
    <col min="7" max="7" width="41.81640625" style="72" customWidth="1"/>
    <col min="8" max="8" width="23.1796875" style="72" customWidth="1"/>
    <col min="9" max="9" width="8.6328125" style="72" bestFit="1" customWidth="1"/>
    <col min="10" max="10" width="9.81640625" style="72" customWidth="1"/>
    <col min="11" max="11" width="25.1796875" style="72" customWidth="1"/>
    <col min="12" max="12" width="13.1796875" style="72" customWidth="1"/>
    <col min="13" max="16384" width="8.81640625" style="72"/>
  </cols>
  <sheetData>
    <row r="1" spans="1:12" customFormat="1" ht="18.600000000000001">
      <c r="A1" s="7" t="s">
        <v>458</v>
      </c>
    </row>
    <row r="2" spans="1:12" customFormat="1" ht="15">
      <c r="B2" t="s">
        <v>459</v>
      </c>
    </row>
    <row r="3" spans="1:12" customFormat="1" ht="15">
      <c r="B3" t="s">
        <v>460</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34</v>
      </c>
      <c r="F6" s="15" t="s">
        <v>34</v>
      </c>
      <c r="G6" s="15"/>
      <c r="H6" s="15" t="s">
        <v>58</v>
      </c>
      <c r="I6" s="15" t="s">
        <v>59</v>
      </c>
      <c r="J6" s="15" t="s">
        <v>461</v>
      </c>
      <c r="K6" s="1" t="s">
        <v>462</v>
      </c>
      <c r="L6" s="2"/>
    </row>
    <row r="7" spans="1:12">
      <c r="B7" s="13">
        <f t="shared" ref="B7:B29" si="0">ROW() - 5</f>
        <v>2</v>
      </c>
      <c r="C7" s="18"/>
      <c r="D7" s="18"/>
      <c r="E7" s="18"/>
      <c r="F7" s="15" t="s">
        <v>61</v>
      </c>
      <c r="G7" s="15"/>
      <c r="H7" s="15" t="s">
        <v>58</v>
      </c>
      <c r="I7" s="15" t="s">
        <v>59</v>
      </c>
      <c r="J7" s="15"/>
      <c r="K7" s="1" t="s">
        <v>462</v>
      </c>
      <c r="L7" s="2"/>
    </row>
    <row r="8" spans="1:12">
      <c r="B8" s="13">
        <f t="shared" si="0"/>
        <v>3</v>
      </c>
      <c r="C8" s="14" t="s">
        <v>63</v>
      </c>
      <c r="D8" s="14"/>
      <c r="E8" s="14" t="s">
        <v>463</v>
      </c>
      <c r="F8" s="15" t="s">
        <v>464</v>
      </c>
      <c r="G8" s="15"/>
      <c r="H8" s="15" t="s">
        <v>58</v>
      </c>
      <c r="I8" s="15" t="s">
        <v>59</v>
      </c>
      <c r="J8" s="15"/>
      <c r="K8" s="1" t="s">
        <v>462</v>
      </c>
      <c r="L8" s="2"/>
    </row>
    <row r="9" spans="1:12">
      <c r="B9" s="13">
        <f t="shared" si="0"/>
        <v>4</v>
      </c>
      <c r="C9" s="17"/>
      <c r="D9" s="17"/>
      <c r="E9" s="18"/>
      <c r="F9" s="15" t="s">
        <v>465</v>
      </c>
      <c r="G9" s="15"/>
      <c r="H9" s="15" t="s">
        <v>58</v>
      </c>
      <c r="I9" s="15" t="s">
        <v>59</v>
      </c>
      <c r="J9" s="15"/>
      <c r="K9" s="1" t="s">
        <v>462</v>
      </c>
      <c r="L9" s="2"/>
    </row>
    <row r="10" spans="1:12" ht="137.25" customHeight="1">
      <c r="B10" s="13">
        <f t="shared" si="0"/>
        <v>5</v>
      </c>
      <c r="C10" s="17"/>
      <c r="D10" s="17"/>
      <c r="E10" s="15" t="s">
        <v>466</v>
      </c>
      <c r="F10" s="15" t="s">
        <v>467</v>
      </c>
      <c r="G10" s="15" t="s">
        <v>468</v>
      </c>
      <c r="H10" s="15" t="s">
        <v>165</v>
      </c>
      <c r="I10" s="21" t="s">
        <v>166</v>
      </c>
      <c r="J10" s="15"/>
      <c r="K10" s="1" t="s">
        <v>462</v>
      </c>
      <c r="L10" s="2"/>
    </row>
    <row r="11" spans="1:12" ht="100.8">
      <c r="B11" s="13">
        <f t="shared" si="0"/>
        <v>6</v>
      </c>
      <c r="C11" s="17"/>
      <c r="D11" s="17"/>
      <c r="E11" s="15" t="s">
        <v>245</v>
      </c>
      <c r="F11" s="15" t="s">
        <v>469</v>
      </c>
      <c r="G11" s="15" t="s">
        <v>470</v>
      </c>
      <c r="H11" s="15" t="s">
        <v>471</v>
      </c>
      <c r="I11" s="15" t="s">
        <v>31</v>
      </c>
      <c r="J11" s="15"/>
      <c r="K11" s="1" t="s">
        <v>462</v>
      </c>
      <c r="L11" s="2"/>
    </row>
    <row r="12" spans="1:12" ht="198" customHeight="1">
      <c r="B12" s="13">
        <f t="shared" si="0"/>
        <v>7</v>
      </c>
      <c r="C12" s="18"/>
      <c r="D12" s="18"/>
      <c r="E12" s="15" t="s">
        <v>221</v>
      </c>
      <c r="F12" s="15" t="s">
        <v>222</v>
      </c>
      <c r="G12" s="15" t="s">
        <v>472</v>
      </c>
      <c r="H12" s="15" t="s">
        <v>473</v>
      </c>
      <c r="I12" s="15" t="s">
        <v>31</v>
      </c>
      <c r="J12" s="15"/>
      <c r="K12" s="1" t="s">
        <v>462</v>
      </c>
      <c r="L12" s="2"/>
    </row>
    <row r="13" spans="1:12" ht="72">
      <c r="B13" s="13">
        <f t="shared" si="0"/>
        <v>8</v>
      </c>
      <c r="C13" s="14" t="s">
        <v>474</v>
      </c>
      <c r="D13" s="14"/>
      <c r="E13" s="14"/>
      <c r="F13" s="15" t="s">
        <v>31</v>
      </c>
      <c r="G13" s="15" t="s">
        <v>475</v>
      </c>
      <c r="H13" s="15" t="s">
        <v>476</v>
      </c>
      <c r="I13" s="15" t="s">
        <v>59</v>
      </c>
      <c r="J13" s="15"/>
      <c r="K13" s="1" t="s">
        <v>477</v>
      </c>
      <c r="L13" s="2"/>
    </row>
    <row r="14" spans="1:12" ht="158.4">
      <c r="B14" s="13">
        <f t="shared" si="0"/>
        <v>9</v>
      </c>
      <c r="C14" s="17"/>
      <c r="D14" s="17"/>
      <c r="E14" s="17"/>
      <c r="F14" s="15" t="s">
        <v>478</v>
      </c>
      <c r="G14" s="15" t="s">
        <v>479</v>
      </c>
      <c r="H14" s="15" t="s">
        <v>480</v>
      </c>
      <c r="I14" s="15" t="s">
        <v>481</v>
      </c>
      <c r="J14" s="15"/>
      <c r="K14" s="1" t="s">
        <v>477</v>
      </c>
      <c r="L14" s="2"/>
    </row>
    <row r="15" spans="1:12" ht="57.6">
      <c r="B15" s="13">
        <f t="shared" si="0"/>
        <v>10</v>
      </c>
      <c r="C15" s="17"/>
      <c r="D15" s="17"/>
      <c r="E15" s="17"/>
      <c r="F15" s="15" t="s">
        <v>482</v>
      </c>
      <c r="G15" s="15" t="s">
        <v>483</v>
      </c>
      <c r="H15" s="15" t="s">
        <v>241</v>
      </c>
      <c r="I15" s="15"/>
      <c r="J15" s="15"/>
      <c r="K15" s="1" t="s">
        <v>477</v>
      </c>
      <c r="L15" s="2"/>
    </row>
    <row r="16" spans="1:12" ht="28.8">
      <c r="B16" s="13">
        <f t="shared" si="0"/>
        <v>11</v>
      </c>
      <c r="C16" s="17"/>
      <c r="D16" s="17"/>
      <c r="E16" s="17"/>
      <c r="F16" s="15" t="s">
        <v>263</v>
      </c>
      <c r="G16" s="15" t="s">
        <v>484</v>
      </c>
      <c r="H16" s="15" t="s">
        <v>480</v>
      </c>
      <c r="I16" s="15" t="s">
        <v>481</v>
      </c>
      <c r="J16" s="15"/>
      <c r="K16" s="1" t="s">
        <v>477</v>
      </c>
      <c r="L16" s="2"/>
    </row>
    <row r="17" spans="2:12" ht="28.8">
      <c r="B17" s="13">
        <f t="shared" si="0"/>
        <v>12</v>
      </c>
      <c r="C17" s="17"/>
      <c r="D17" s="17"/>
      <c r="E17" s="17"/>
      <c r="F17" s="15" t="s">
        <v>485</v>
      </c>
      <c r="G17" s="15"/>
      <c r="H17" s="15" t="s">
        <v>204</v>
      </c>
      <c r="I17" s="43">
        <v>0</v>
      </c>
      <c r="J17" s="15"/>
      <c r="K17" s="1" t="s">
        <v>477</v>
      </c>
      <c r="L17" s="2"/>
    </row>
    <row r="18" spans="2:12" ht="28.8">
      <c r="B18" s="13">
        <f t="shared" si="0"/>
        <v>13</v>
      </c>
      <c r="C18" s="18"/>
      <c r="D18" s="18"/>
      <c r="E18" s="18"/>
      <c r="F18" s="15" t="s">
        <v>88</v>
      </c>
      <c r="G18" s="15"/>
      <c r="H18" s="15" t="s">
        <v>204</v>
      </c>
      <c r="I18" s="15" t="s">
        <v>59</v>
      </c>
      <c r="J18" s="15"/>
      <c r="K18" s="1" t="s">
        <v>477</v>
      </c>
      <c r="L18" s="2"/>
    </row>
    <row r="19" spans="2:12" ht="28.8">
      <c r="B19" s="13">
        <f t="shared" si="0"/>
        <v>14</v>
      </c>
      <c r="C19" s="14" t="s">
        <v>486</v>
      </c>
      <c r="D19" s="14"/>
      <c r="E19" s="17"/>
      <c r="F19" s="15" t="s">
        <v>111</v>
      </c>
      <c r="G19" s="15"/>
      <c r="H19" s="15" t="s">
        <v>112</v>
      </c>
      <c r="I19" s="15" t="s">
        <v>59</v>
      </c>
      <c r="J19" s="15"/>
      <c r="K19" s="1" t="s">
        <v>487</v>
      </c>
      <c r="L19" s="2"/>
    </row>
    <row r="20" spans="2:12" ht="28.8">
      <c r="B20" s="13">
        <f t="shared" si="0"/>
        <v>15</v>
      </c>
      <c r="C20" s="17"/>
      <c r="D20" s="17"/>
      <c r="E20" s="17"/>
      <c r="F20" s="15" t="s">
        <v>122</v>
      </c>
      <c r="G20" s="15"/>
      <c r="H20" s="15" t="s">
        <v>123</v>
      </c>
      <c r="I20" s="15" t="s">
        <v>59</v>
      </c>
      <c r="J20" s="15"/>
      <c r="K20" s="1" t="s">
        <v>487</v>
      </c>
      <c r="L20" s="2"/>
    </row>
    <row r="21" spans="2:12" ht="28.8">
      <c r="B21" s="13">
        <f t="shared" si="0"/>
        <v>16</v>
      </c>
      <c r="C21" s="17"/>
      <c r="D21" s="17"/>
      <c r="E21" s="17"/>
      <c r="F21" s="15" t="s">
        <v>488</v>
      </c>
      <c r="G21" s="15"/>
      <c r="H21" s="15" t="s">
        <v>489</v>
      </c>
      <c r="I21" s="15" t="s">
        <v>59</v>
      </c>
      <c r="J21" s="15"/>
      <c r="K21" s="1" t="s">
        <v>487</v>
      </c>
      <c r="L21" s="2"/>
    </row>
    <row r="22" spans="2:12" ht="28.8">
      <c r="B22" s="13">
        <f t="shared" si="0"/>
        <v>17</v>
      </c>
      <c r="C22" s="17"/>
      <c r="D22" s="17"/>
      <c r="E22" s="17"/>
      <c r="F22" s="15" t="s">
        <v>119</v>
      </c>
      <c r="G22" s="15" t="s">
        <v>490</v>
      </c>
      <c r="H22" s="15" t="s">
        <v>120</v>
      </c>
      <c r="I22" s="15" t="s">
        <v>59</v>
      </c>
      <c r="J22" s="15"/>
      <c r="K22" s="1" t="s">
        <v>487</v>
      </c>
      <c r="L22" s="2"/>
    </row>
    <row r="23" spans="2:12" ht="28.8">
      <c r="B23" s="13">
        <f t="shared" si="0"/>
        <v>18</v>
      </c>
      <c r="C23" s="17"/>
      <c r="D23" s="17"/>
      <c r="E23" s="17"/>
      <c r="F23" s="15" t="s">
        <v>121</v>
      </c>
      <c r="G23" s="15" t="s">
        <v>491</v>
      </c>
      <c r="H23" s="15" t="s">
        <v>492</v>
      </c>
      <c r="I23" s="15" t="s">
        <v>59</v>
      </c>
      <c r="J23" s="15"/>
      <c r="K23" s="1" t="s">
        <v>487</v>
      </c>
      <c r="L23" s="2"/>
    </row>
    <row r="24" spans="2:12" ht="28.8">
      <c r="B24" s="13">
        <f t="shared" si="0"/>
        <v>19</v>
      </c>
      <c r="C24" s="18"/>
      <c r="D24" s="18"/>
      <c r="E24" s="18"/>
      <c r="F24" s="15" t="s">
        <v>113</v>
      </c>
      <c r="G24" s="15" t="s">
        <v>490</v>
      </c>
      <c r="H24" s="15" t="s">
        <v>114</v>
      </c>
      <c r="I24" s="15" t="s">
        <v>59</v>
      </c>
      <c r="J24" s="15"/>
      <c r="K24" s="1" t="s">
        <v>487</v>
      </c>
      <c r="L24" s="2"/>
    </row>
    <row r="25" spans="2:12">
      <c r="B25" s="13">
        <f t="shared" si="0"/>
        <v>20</v>
      </c>
      <c r="C25" s="14" t="s">
        <v>493</v>
      </c>
      <c r="D25" s="14"/>
      <c r="E25" s="14" t="s">
        <v>494</v>
      </c>
      <c r="F25" s="15" t="s">
        <v>119</v>
      </c>
      <c r="G25" s="15"/>
      <c r="H25" s="15" t="s">
        <v>58</v>
      </c>
      <c r="I25" s="15" t="s">
        <v>59</v>
      </c>
      <c r="J25" s="15"/>
      <c r="K25" s="1" t="s">
        <v>462</v>
      </c>
      <c r="L25" s="2"/>
    </row>
    <row r="26" spans="2:12">
      <c r="B26" s="13">
        <f t="shared" si="0"/>
        <v>21</v>
      </c>
      <c r="C26" s="17"/>
      <c r="D26" s="17"/>
      <c r="E26" s="17"/>
      <c r="F26" s="15" t="s">
        <v>122</v>
      </c>
      <c r="G26" s="15"/>
      <c r="H26" s="15" t="s">
        <v>58</v>
      </c>
      <c r="I26" s="15" t="s">
        <v>59</v>
      </c>
      <c r="J26" s="15"/>
      <c r="K26" s="1" t="s">
        <v>462</v>
      </c>
      <c r="L26" s="2"/>
    </row>
    <row r="27" spans="2:12">
      <c r="B27" s="13">
        <f t="shared" si="0"/>
        <v>22</v>
      </c>
      <c r="C27" s="17"/>
      <c r="D27" s="17"/>
      <c r="E27" s="17"/>
      <c r="F27" s="15" t="s">
        <v>488</v>
      </c>
      <c r="G27" s="15"/>
      <c r="H27" s="15" t="s">
        <v>58</v>
      </c>
      <c r="I27" s="15" t="s">
        <v>59</v>
      </c>
      <c r="J27" s="15"/>
      <c r="K27" s="1" t="s">
        <v>462</v>
      </c>
      <c r="L27" s="2"/>
    </row>
    <row r="28" spans="2:12">
      <c r="B28" s="13">
        <f t="shared" si="0"/>
        <v>23</v>
      </c>
      <c r="C28" s="17"/>
      <c r="D28" s="17"/>
      <c r="E28" s="17"/>
      <c r="F28" s="15" t="s">
        <v>113</v>
      </c>
      <c r="G28" s="15"/>
      <c r="H28" s="15" t="s">
        <v>58</v>
      </c>
      <c r="I28" s="15" t="s">
        <v>59</v>
      </c>
      <c r="J28" s="15"/>
      <c r="K28" s="1" t="s">
        <v>462</v>
      </c>
      <c r="L28" s="2"/>
    </row>
    <row r="29" spans="2:12">
      <c r="B29" s="13">
        <f t="shared" si="0"/>
        <v>24</v>
      </c>
      <c r="C29" s="18"/>
      <c r="D29" s="18"/>
      <c r="E29" s="18"/>
      <c r="F29" s="15" t="s">
        <v>111</v>
      </c>
      <c r="G29" s="15"/>
      <c r="H29" s="15" t="s">
        <v>495</v>
      </c>
      <c r="I29" s="15" t="s">
        <v>59</v>
      </c>
      <c r="J29" s="15"/>
      <c r="K29" s="1" t="s">
        <v>462</v>
      </c>
      <c r="L29" s="2"/>
    </row>
  </sheetData>
  <phoneticPr fontId="12"/>
  <hyperlinks>
    <hyperlink ref="A4" location="パラメータ設定一覧!A1" display="パラメータ設定一覧へ" xr:uid="{A6FADBD7-B7BB-4DC5-99C9-F9915CB70D33}"/>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5B2A-752D-4529-84BB-29EDCF08740F}">
  <sheetPr codeName="Sheet184">
    <pageSetUpPr fitToPage="1"/>
  </sheetPr>
  <dimension ref="A1:O76"/>
  <sheetViews>
    <sheetView showGridLines="0" zoomScaleNormal="100" zoomScaleSheetLayoutView="70" workbookViewId="0">
      <pane xSplit="4" ySplit="7" topLeftCell="J57" activePane="bottomRight" state="frozen"/>
      <selection pane="topRight"/>
      <selection pane="bottomLeft"/>
      <selection pane="bottomRight" activeCell="K73" sqref="K73"/>
    </sheetView>
  </sheetViews>
  <sheetFormatPr defaultColWidth="8.81640625" defaultRowHeight="14.4"/>
  <cols>
    <col min="1" max="1" width="2.36328125" style="53" customWidth="1"/>
    <col min="2" max="2" width="3.54296875" style="53" bestFit="1" customWidth="1"/>
    <col min="3" max="3" width="16.453125" style="53" bestFit="1" customWidth="1"/>
    <col min="4" max="4" width="30.1796875" style="53" bestFit="1" customWidth="1"/>
    <col min="5" max="5" width="15.81640625" style="53" customWidth="1"/>
    <col min="6" max="6" width="8.81640625" style="53" bestFit="1" customWidth="1"/>
    <col min="7" max="7" width="16.453125" style="53" customWidth="1"/>
    <col min="8" max="8" width="20.1796875" style="53" bestFit="1" customWidth="1"/>
    <col min="9" max="13" width="17.36328125" style="53" customWidth="1"/>
    <col min="14" max="14" width="16.81640625" style="53" customWidth="1"/>
    <col min="15" max="16384" width="8.81640625" style="53"/>
  </cols>
  <sheetData>
    <row r="1" spans="1:15" customFormat="1" ht="18.600000000000001">
      <c r="A1" s="7" t="s">
        <v>496</v>
      </c>
    </row>
    <row r="2" spans="1:15" customFormat="1" ht="15"/>
    <row r="3" spans="1:15" customFormat="1" ht="15">
      <c r="A3" s="8" t="s">
        <v>43</v>
      </c>
      <c r="O3" s="44"/>
    </row>
    <row r="4" spans="1:15">
      <c r="A4" s="120"/>
      <c r="B4" s="197" t="s">
        <v>44</v>
      </c>
      <c r="C4" s="29" t="s">
        <v>137</v>
      </c>
      <c r="D4" s="31"/>
      <c r="E4" s="83" t="s">
        <v>138</v>
      </c>
      <c r="F4" s="84"/>
      <c r="G4" s="84"/>
      <c r="H4" s="84"/>
      <c r="I4" s="84"/>
      <c r="J4" s="39" t="s">
        <v>493</v>
      </c>
      <c r="K4" s="37"/>
      <c r="L4" s="37"/>
      <c r="M4" s="37"/>
      <c r="N4" s="38"/>
      <c r="O4" s="120"/>
    </row>
    <row r="5" spans="1:15">
      <c r="A5" s="120"/>
      <c r="B5" s="197"/>
      <c r="C5" s="81"/>
      <c r="D5" s="33"/>
      <c r="E5" s="26" t="s">
        <v>463</v>
      </c>
      <c r="F5" s="27"/>
      <c r="G5" s="71" t="s">
        <v>497</v>
      </c>
      <c r="H5" s="71" t="s">
        <v>245</v>
      </c>
      <c r="I5" s="83" t="s">
        <v>221</v>
      </c>
      <c r="J5" s="25" t="s">
        <v>498</v>
      </c>
      <c r="K5" s="26"/>
      <c r="L5" s="26"/>
      <c r="M5" s="26"/>
      <c r="N5" s="27"/>
      <c r="O5" s="120"/>
    </row>
    <row r="6" spans="1:15" ht="28.8">
      <c r="A6" s="120"/>
      <c r="B6" s="192"/>
      <c r="C6" s="85" t="s">
        <v>34</v>
      </c>
      <c r="D6" s="85" t="s">
        <v>61</v>
      </c>
      <c r="E6" s="5" t="s">
        <v>464</v>
      </c>
      <c r="F6" s="5" t="s">
        <v>499</v>
      </c>
      <c r="G6" s="5" t="s">
        <v>467</v>
      </c>
      <c r="H6" s="5" t="s">
        <v>469</v>
      </c>
      <c r="I6" s="5" t="s">
        <v>222</v>
      </c>
      <c r="J6" s="85" t="s">
        <v>119</v>
      </c>
      <c r="K6" s="85" t="s">
        <v>122</v>
      </c>
      <c r="L6" s="85" t="s">
        <v>488</v>
      </c>
      <c r="M6" s="85" t="s">
        <v>113</v>
      </c>
      <c r="N6" s="85" t="s">
        <v>111</v>
      </c>
      <c r="O6" s="120"/>
    </row>
    <row r="7" spans="1:15" ht="43.2">
      <c r="A7" s="120"/>
      <c r="B7" s="192"/>
      <c r="C7" s="6" t="s">
        <v>58</v>
      </c>
      <c r="D7" s="6" t="s">
        <v>58</v>
      </c>
      <c r="E7" s="6" t="s">
        <v>58</v>
      </c>
      <c r="F7" s="6" t="s">
        <v>58</v>
      </c>
      <c r="G7" s="6" t="s">
        <v>165</v>
      </c>
      <c r="H7" s="6"/>
      <c r="I7" s="6"/>
      <c r="J7" s="6" t="s">
        <v>500</v>
      </c>
      <c r="K7" s="6" t="s">
        <v>500</v>
      </c>
      <c r="L7" s="6" t="s">
        <v>500</v>
      </c>
      <c r="M7" s="6" t="s">
        <v>500</v>
      </c>
      <c r="N7" s="6" t="s">
        <v>501</v>
      </c>
      <c r="O7" s="120"/>
    </row>
    <row r="8" spans="1:15" ht="16.5" customHeight="1">
      <c r="A8" s="120"/>
      <c r="B8" s="122">
        <f>ROW() - 7</f>
        <v>1</v>
      </c>
      <c r="C8" s="118" t="s">
        <v>303</v>
      </c>
      <c r="D8" s="119" t="s">
        <v>304</v>
      </c>
      <c r="E8" s="122" t="s">
        <v>144</v>
      </c>
      <c r="F8" s="122" t="s">
        <v>144</v>
      </c>
      <c r="G8" s="126" t="s">
        <v>166</v>
      </c>
      <c r="H8" s="126" t="s">
        <v>502</v>
      </c>
      <c r="I8" s="126" t="s">
        <v>31</v>
      </c>
      <c r="J8" s="126" t="s">
        <v>144</v>
      </c>
      <c r="K8" s="126" t="s">
        <v>144</v>
      </c>
      <c r="L8" s="126" t="s">
        <v>144</v>
      </c>
      <c r="M8" s="126" t="s">
        <v>144</v>
      </c>
      <c r="N8" s="126" t="s">
        <v>144</v>
      </c>
      <c r="O8" s="120"/>
    </row>
    <row r="9" spans="1:15">
      <c r="A9" s="120"/>
      <c r="B9" s="122">
        <f t="shared" ref="B9:B76" si="0">ROW() - 7</f>
        <v>2</v>
      </c>
      <c r="C9" s="137" t="s">
        <v>312</v>
      </c>
      <c r="D9" s="138" t="s">
        <v>313</v>
      </c>
      <c r="E9" s="122" t="s">
        <v>144</v>
      </c>
      <c r="F9" s="122" t="s">
        <v>144</v>
      </c>
      <c r="G9" s="126" t="s">
        <v>166</v>
      </c>
      <c r="H9" s="126" t="s">
        <v>502</v>
      </c>
      <c r="I9" s="126" t="s">
        <v>31</v>
      </c>
      <c r="J9" s="126" t="s">
        <v>144</v>
      </c>
      <c r="K9" s="126" t="s">
        <v>144</v>
      </c>
      <c r="L9" s="126" t="s">
        <v>144</v>
      </c>
      <c r="M9" s="126" t="s">
        <v>144</v>
      </c>
      <c r="N9" s="126" t="s">
        <v>144</v>
      </c>
      <c r="O9" s="120"/>
    </row>
    <row r="10" spans="1:15">
      <c r="A10" s="120"/>
      <c r="B10" s="122">
        <f t="shared" si="0"/>
        <v>3</v>
      </c>
      <c r="C10" s="137" t="s">
        <v>314</v>
      </c>
      <c r="D10" s="138" t="s">
        <v>315</v>
      </c>
      <c r="E10" s="122" t="s">
        <v>144</v>
      </c>
      <c r="F10" s="122" t="s">
        <v>144</v>
      </c>
      <c r="G10" s="126" t="s">
        <v>166</v>
      </c>
      <c r="H10" s="126" t="s">
        <v>502</v>
      </c>
      <c r="I10" s="126" t="s">
        <v>31</v>
      </c>
      <c r="J10" s="126" t="s">
        <v>144</v>
      </c>
      <c r="K10" s="126" t="s">
        <v>144</v>
      </c>
      <c r="L10" s="126" t="s">
        <v>144</v>
      </c>
      <c r="M10" s="126" t="s">
        <v>144</v>
      </c>
      <c r="N10" s="126" t="s">
        <v>144</v>
      </c>
      <c r="O10" s="120"/>
    </row>
    <row r="11" spans="1:15">
      <c r="A11" s="120"/>
      <c r="B11" s="122">
        <f t="shared" si="0"/>
        <v>4</v>
      </c>
      <c r="C11" s="137" t="s">
        <v>316</v>
      </c>
      <c r="D11" s="138" t="s">
        <v>317</v>
      </c>
      <c r="E11" s="122" t="s">
        <v>144</v>
      </c>
      <c r="F11" s="122" t="s">
        <v>144</v>
      </c>
      <c r="G11" s="126" t="s">
        <v>166</v>
      </c>
      <c r="H11" s="126" t="s">
        <v>502</v>
      </c>
      <c r="I11" s="126" t="s">
        <v>31</v>
      </c>
      <c r="J11" s="126" t="s">
        <v>144</v>
      </c>
      <c r="K11" s="126" t="s">
        <v>144</v>
      </c>
      <c r="L11" s="126" t="s">
        <v>144</v>
      </c>
      <c r="M11" s="126" t="s">
        <v>144</v>
      </c>
      <c r="N11" s="126" t="s">
        <v>144</v>
      </c>
      <c r="O11" s="120"/>
    </row>
    <row r="12" spans="1:15">
      <c r="A12" s="120"/>
      <c r="B12" s="122">
        <f t="shared" si="0"/>
        <v>5</v>
      </c>
      <c r="C12" s="118" t="s">
        <v>318</v>
      </c>
      <c r="D12" s="119" t="s">
        <v>319</v>
      </c>
      <c r="E12" s="122" t="s">
        <v>144</v>
      </c>
      <c r="F12" s="122" t="s">
        <v>144</v>
      </c>
      <c r="G12" s="126" t="s">
        <v>166</v>
      </c>
      <c r="H12" s="126" t="s">
        <v>502</v>
      </c>
      <c r="I12" s="126" t="s">
        <v>31</v>
      </c>
      <c r="J12" s="126" t="s">
        <v>144</v>
      </c>
      <c r="K12" s="126" t="s">
        <v>144</v>
      </c>
      <c r="L12" s="126" t="s">
        <v>144</v>
      </c>
      <c r="M12" s="126" t="s">
        <v>144</v>
      </c>
      <c r="N12" s="126" t="s">
        <v>144</v>
      </c>
      <c r="O12" s="120"/>
    </row>
    <row r="13" spans="1:15">
      <c r="A13" s="51"/>
      <c r="B13" s="122">
        <f t="shared" si="0"/>
        <v>6</v>
      </c>
      <c r="C13" s="118" t="s">
        <v>320</v>
      </c>
      <c r="D13" s="119" t="s">
        <v>321</v>
      </c>
      <c r="E13" s="122" t="s">
        <v>144</v>
      </c>
      <c r="F13" s="122" t="s">
        <v>144</v>
      </c>
      <c r="G13" s="126" t="s">
        <v>166</v>
      </c>
      <c r="H13" s="126" t="s">
        <v>502</v>
      </c>
      <c r="I13" s="126" t="s">
        <v>31</v>
      </c>
      <c r="J13" s="126" t="s">
        <v>144</v>
      </c>
      <c r="K13" s="126" t="s">
        <v>144</v>
      </c>
      <c r="L13" s="126" t="s">
        <v>144</v>
      </c>
      <c r="M13" s="126" t="s">
        <v>144</v>
      </c>
      <c r="N13" s="126" t="s">
        <v>144</v>
      </c>
      <c r="O13" s="120"/>
    </row>
    <row r="14" spans="1:15">
      <c r="A14" s="51"/>
      <c r="B14" s="122">
        <f t="shared" si="0"/>
        <v>7</v>
      </c>
      <c r="C14" s="118" t="s">
        <v>322</v>
      </c>
      <c r="D14" s="119" t="s">
        <v>323</v>
      </c>
      <c r="E14" s="122" t="s">
        <v>144</v>
      </c>
      <c r="F14" s="122" t="s">
        <v>144</v>
      </c>
      <c r="G14" s="126" t="s">
        <v>166</v>
      </c>
      <c r="H14" s="126" t="s">
        <v>502</v>
      </c>
      <c r="I14" s="126" t="s">
        <v>31</v>
      </c>
      <c r="J14" s="126" t="s">
        <v>144</v>
      </c>
      <c r="K14" s="126" t="s">
        <v>144</v>
      </c>
      <c r="L14" s="126" t="s">
        <v>144</v>
      </c>
      <c r="M14" s="126" t="s">
        <v>144</v>
      </c>
      <c r="N14" s="126" t="s">
        <v>144</v>
      </c>
      <c r="O14" s="120"/>
    </row>
    <row r="15" spans="1:15">
      <c r="A15" s="51"/>
      <c r="B15" s="122">
        <f t="shared" si="0"/>
        <v>8</v>
      </c>
      <c r="C15" s="118" t="s">
        <v>324</v>
      </c>
      <c r="D15" s="119" t="s">
        <v>325</v>
      </c>
      <c r="E15" s="122" t="s">
        <v>144</v>
      </c>
      <c r="F15" s="122" t="s">
        <v>144</v>
      </c>
      <c r="G15" s="126" t="s">
        <v>166</v>
      </c>
      <c r="H15" s="126" t="s">
        <v>502</v>
      </c>
      <c r="I15" s="126" t="s">
        <v>31</v>
      </c>
      <c r="J15" s="126" t="s">
        <v>144</v>
      </c>
      <c r="K15" s="126" t="s">
        <v>144</v>
      </c>
      <c r="L15" s="126" t="s">
        <v>144</v>
      </c>
      <c r="M15" s="126" t="s">
        <v>144</v>
      </c>
      <c r="N15" s="126" t="s">
        <v>144</v>
      </c>
      <c r="O15" s="120"/>
    </row>
    <row r="16" spans="1:15">
      <c r="A16" s="51"/>
      <c r="B16" s="122">
        <f t="shared" si="0"/>
        <v>9</v>
      </c>
      <c r="C16" s="118" t="s">
        <v>326</v>
      </c>
      <c r="D16" s="119" t="s">
        <v>327</v>
      </c>
      <c r="E16" s="122" t="s">
        <v>144</v>
      </c>
      <c r="F16" s="122" t="s">
        <v>144</v>
      </c>
      <c r="G16" s="126" t="s">
        <v>166</v>
      </c>
      <c r="H16" s="126" t="s">
        <v>502</v>
      </c>
      <c r="I16" s="126" t="s">
        <v>31</v>
      </c>
      <c r="J16" s="126" t="s">
        <v>144</v>
      </c>
      <c r="K16" s="126" t="s">
        <v>144</v>
      </c>
      <c r="L16" s="126" t="s">
        <v>144</v>
      </c>
      <c r="M16" s="126" t="s">
        <v>144</v>
      </c>
      <c r="N16" s="126" t="s">
        <v>144</v>
      </c>
      <c r="O16" s="120"/>
    </row>
    <row r="17" spans="1:14">
      <c r="A17" s="51"/>
      <c r="B17" s="122">
        <f t="shared" si="0"/>
        <v>10</v>
      </c>
      <c r="C17" s="118" t="s">
        <v>328</v>
      </c>
      <c r="D17" s="119" t="s">
        <v>329</v>
      </c>
      <c r="E17" s="122" t="s">
        <v>144</v>
      </c>
      <c r="F17" s="122" t="s">
        <v>144</v>
      </c>
      <c r="G17" s="126" t="s">
        <v>166</v>
      </c>
      <c r="H17" s="126" t="s">
        <v>502</v>
      </c>
      <c r="I17" s="126" t="s">
        <v>31</v>
      </c>
      <c r="J17" s="126" t="s">
        <v>144</v>
      </c>
      <c r="K17" s="126" t="s">
        <v>144</v>
      </c>
      <c r="L17" s="126" t="s">
        <v>144</v>
      </c>
      <c r="M17" s="126" t="s">
        <v>144</v>
      </c>
      <c r="N17" s="126" t="s">
        <v>144</v>
      </c>
    </row>
    <row r="18" spans="1:14">
      <c r="A18" s="51"/>
      <c r="B18" s="122">
        <f t="shared" si="0"/>
        <v>11</v>
      </c>
      <c r="C18" s="118" t="s">
        <v>330</v>
      </c>
      <c r="D18" s="119" t="s">
        <v>331</v>
      </c>
      <c r="E18" s="122" t="s">
        <v>144</v>
      </c>
      <c r="F18" s="122" t="s">
        <v>144</v>
      </c>
      <c r="G18" s="126" t="s">
        <v>166</v>
      </c>
      <c r="H18" s="126" t="s">
        <v>502</v>
      </c>
      <c r="I18" s="126" t="s">
        <v>31</v>
      </c>
      <c r="J18" s="126" t="s">
        <v>144</v>
      </c>
      <c r="K18" s="126" t="s">
        <v>144</v>
      </c>
      <c r="L18" s="126" t="s">
        <v>144</v>
      </c>
      <c r="M18" s="126" t="s">
        <v>144</v>
      </c>
      <c r="N18" s="126" t="s">
        <v>144</v>
      </c>
    </row>
    <row r="19" spans="1:14" ht="16.2">
      <c r="A19" s="92"/>
      <c r="B19" s="122">
        <f t="shared" si="0"/>
        <v>12</v>
      </c>
      <c r="C19" s="118" t="s">
        <v>333</v>
      </c>
      <c r="D19" s="119" t="s">
        <v>334</v>
      </c>
      <c r="E19" s="122" t="s">
        <v>144</v>
      </c>
      <c r="F19" s="122" t="s">
        <v>144</v>
      </c>
      <c r="G19" s="126" t="s">
        <v>166</v>
      </c>
      <c r="H19" s="126" t="s">
        <v>502</v>
      </c>
      <c r="I19" s="126" t="s">
        <v>31</v>
      </c>
      <c r="J19" s="126" t="s">
        <v>144</v>
      </c>
      <c r="K19" s="126" t="s">
        <v>144</v>
      </c>
      <c r="L19" s="126" t="s">
        <v>144</v>
      </c>
      <c r="M19" s="126" t="s">
        <v>144</v>
      </c>
      <c r="N19" s="126" t="s">
        <v>144</v>
      </c>
    </row>
    <row r="20" spans="1:14">
      <c r="A20" s="51"/>
      <c r="B20" s="122">
        <f t="shared" si="0"/>
        <v>13</v>
      </c>
      <c r="C20" s="118" t="s">
        <v>335</v>
      </c>
      <c r="D20" s="119" t="s">
        <v>336</v>
      </c>
      <c r="E20" s="122" t="s">
        <v>144</v>
      </c>
      <c r="F20" s="122" t="s">
        <v>144</v>
      </c>
      <c r="G20" s="126" t="s">
        <v>166</v>
      </c>
      <c r="H20" s="126" t="s">
        <v>502</v>
      </c>
      <c r="I20" s="126" t="s">
        <v>31</v>
      </c>
      <c r="J20" s="126" t="s">
        <v>144</v>
      </c>
      <c r="K20" s="126" t="s">
        <v>144</v>
      </c>
      <c r="L20" s="126" t="s">
        <v>144</v>
      </c>
      <c r="M20" s="126" t="s">
        <v>144</v>
      </c>
      <c r="N20" s="126" t="s">
        <v>144</v>
      </c>
    </row>
    <row r="21" spans="1:14">
      <c r="A21" s="51"/>
      <c r="B21" s="122">
        <f t="shared" si="0"/>
        <v>14</v>
      </c>
      <c r="C21" s="118" t="s">
        <v>337</v>
      </c>
      <c r="D21" s="119" t="s">
        <v>338</v>
      </c>
      <c r="E21" s="122" t="s">
        <v>144</v>
      </c>
      <c r="F21" s="122" t="s">
        <v>144</v>
      </c>
      <c r="G21" s="126" t="s">
        <v>166</v>
      </c>
      <c r="H21" s="126" t="s">
        <v>502</v>
      </c>
      <c r="I21" s="126" t="s">
        <v>31</v>
      </c>
      <c r="J21" s="126" t="s">
        <v>144</v>
      </c>
      <c r="K21" s="126" t="s">
        <v>144</v>
      </c>
      <c r="L21" s="126" t="s">
        <v>144</v>
      </c>
      <c r="M21" s="126" t="s">
        <v>144</v>
      </c>
      <c r="N21" s="126" t="s">
        <v>144</v>
      </c>
    </row>
    <row r="22" spans="1:14">
      <c r="A22" s="51"/>
      <c r="B22" s="122">
        <f t="shared" si="0"/>
        <v>15</v>
      </c>
      <c r="C22" s="139" t="s">
        <v>339</v>
      </c>
      <c r="D22" s="122" t="s">
        <v>340</v>
      </c>
      <c r="E22" s="122" t="s">
        <v>144</v>
      </c>
      <c r="F22" s="122" t="s">
        <v>144</v>
      </c>
      <c r="G22" s="126" t="s">
        <v>166</v>
      </c>
      <c r="H22" s="126" t="s">
        <v>502</v>
      </c>
      <c r="I22" s="126" t="s">
        <v>31</v>
      </c>
      <c r="J22" s="126" t="s">
        <v>144</v>
      </c>
      <c r="K22" s="126" t="s">
        <v>144</v>
      </c>
      <c r="L22" s="126" t="s">
        <v>144</v>
      </c>
      <c r="M22" s="126" t="s">
        <v>144</v>
      </c>
      <c r="N22" s="126" t="s">
        <v>144</v>
      </c>
    </row>
    <row r="23" spans="1:14">
      <c r="A23" s="51"/>
      <c r="B23" s="122">
        <f t="shared" si="0"/>
        <v>16</v>
      </c>
      <c r="C23" s="139" t="s">
        <v>341</v>
      </c>
      <c r="D23" s="122" t="s">
        <v>342</v>
      </c>
      <c r="E23" s="122" t="s">
        <v>144</v>
      </c>
      <c r="F23" s="122" t="s">
        <v>144</v>
      </c>
      <c r="G23" s="126" t="s">
        <v>166</v>
      </c>
      <c r="H23" s="126" t="s">
        <v>502</v>
      </c>
      <c r="I23" s="126" t="s">
        <v>31</v>
      </c>
      <c r="J23" s="126" t="s">
        <v>144</v>
      </c>
      <c r="K23" s="126" t="s">
        <v>144</v>
      </c>
      <c r="L23" s="126" t="s">
        <v>144</v>
      </c>
      <c r="M23" s="126" t="s">
        <v>144</v>
      </c>
      <c r="N23" s="126" t="s">
        <v>144</v>
      </c>
    </row>
    <row r="24" spans="1:14">
      <c r="A24" s="51"/>
      <c r="B24" s="122">
        <f t="shared" si="0"/>
        <v>17</v>
      </c>
      <c r="C24" s="140" t="s">
        <v>343</v>
      </c>
      <c r="D24" s="121" t="s">
        <v>344</v>
      </c>
      <c r="E24" s="122" t="s">
        <v>144</v>
      </c>
      <c r="F24" s="122" t="s">
        <v>144</v>
      </c>
      <c r="G24" s="126" t="s">
        <v>166</v>
      </c>
      <c r="H24" s="126" t="s">
        <v>502</v>
      </c>
      <c r="I24" s="126" t="s">
        <v>31</v>
      </c>
      <c r="J24" s="126" t="s">
        <v>144</v>
      </c>
      <c r="K24" s="126" t="s">
        <v>144</v>
      </c>
      <c r="L24" s="126" t="s">
        <v>144</v>
      </c>
      <c r="M24" s="126" t="s">
        <v>144</v>
      </c>
      <c r="N24" s="126" t="s">
        <v>144</v>
      </c>
    </row>
    <row r="25" spans="1:14">
      <c r="A25" s="51"/>
      <c r="B25" s="122">
        <f t="shared" si="0"/>
        <v>18</v>
      </c>
      <c r="C25" s="118" t="s">
        <v>345</v>
      </c>
      <c r="D25" s="119" t="s">
        <v>346</v>
      </c>
      <c r="E25" s="122" t="s">
        <v>144</v>
      </c>
      <c r="F25" s="122" t="s">
        <v>144</v>
      </c>
      <c r="G25" s="126" t="s">
        <v>166</v>
      </c>
      <c r="H25" s="126" t="s">
        <v>502</v>
      </c>
      <c r="I25" s="126" t="s">
        <v>31</v>
      </c>
      <c r="J25" s="126" t="s">
        <v>144</v>
      </c>
      <c r="K25" s="126" t="s">
        <v>144</v>
      </c>
      <c r="L25" s="126" t="s">
        <v>144</v>
      </c>
      <c r="M25" s="126" t="s">
        <v>144</v>
      </c>
      <c r="N25" s="126" t="s">
        <v>144</v>
      </c>
    </row>
    <row r="26" spans="1:14">
      <c r="A26" s="120"/>
      <c r="B26" s="122">
        <f t="shared" si="0"/>
        <v>19</v>
      </c>
      <c r="C26" s="118" t="s">
        <v>347</v>
      </c>
      <c r="D26" s="119" t="s">
        <v>348</v>
      </c>
      <c r="E26" s="122" t="s">
        <v>144</v>
      </c>
      <c r="F26" s="122" t="s">
        <v>144</v>
      </c>
      <c r="G26" s="126" t="s">
        <v>166</v>
      </c>
      <c r="H26" s="126" t="s">
        <v>502</v>
      </c>
      <c r="I26" s="126" t="s">
        <v>31</v>
      </c>
      <c r="J26" s="126" t="s">
        <v>144</v>
      </c>
      <c r="K26" s="126" t="s">
        <v>144</v>
      </c>
      <c r="L26" s="126" t="s">
        <v>144</v>
      </c>
      <c r="M26" s="126" t="s">
        <v>144</v>
      </c>
      <c r="N26" s="126" t="s">
        <v>144</v>
      </c>
    </row>
    <row r="27" spans="1:14">
      <c r="A27" s="120"/>
      <c r="B27" s="122">
        <f t="shared" si="0"/>
        <v>20</v>
      </c>
      <c r="C27" s="118" t="s">
        <v>349</v>
      </c>
      <c r="D27" s="119" t="s">
        <v>350</v>
      </c>
      <c r="E27" s="122" t="s">
        <v>144</v>
      </c>
      <c r="F27" s="122" t="s">
        <v>144</v>
      </c>
      <c r="G27" s="126" t="s">
        <v>166</v>
      </c>
      <c r="H27" s="126" t="s">
        <v>502</v>
      </c>
      <c r="I27" s="126" t="s">
        <v>31</v>
      </c>
      <c r="J27" s="126" t="s">
        <v>144</v>
      </c>
      <c r="K27" s="126" t="s">
        <v>144</v>
      </c>
      <c r="L27" s="126" t="s">
        <v>144</v>
      </c>
      <c r="M27" s="126" t="s">
        <v>144</v>
      </c>
      <c r="N27" s="126" t="s">
        <v>144</v>
      </c>
    </row>
    <row r="28" spans="1:14">
      <c r="A28" s="120"/>
      <c r="B28" s="122">
        <f t="shared" si="0"/>
        <v>21</v>
      </c>
      <c r="C28" s="118" t="s">
        <v>351</v>
      </c>
      <c r="D28" s="119" t="s">
        <v>352</v>
      </c>
      <c r="E28" s="122" t="s">
        <v>144</v>
      </c>
      <c r="F28" s="122" t="s">
        <v>144</v>
      </c>
      <c r="G28" s="126" t="s">
        <v>166</v>
      </c>
      <c r="H28" s="126" t="s">
        <v>502</v>
      </c>
      <c r="I28" s="126" t="s">
        <v>31</v>
      </c>
      <c r="J28" s="126" t="s">
        <v>144</v>
      </c>
      <c r="K28" s="126" t="s">
        <v>144</v>
      </c>
      <c r="L28" s="126" t="s">
        <v>144</v>
      </c>
      <c r="M28" s="126" t="s">
        <v>144</v>
      </c>
      <c r="N28" s="126" t="s">
        <v>144</v>
      </c>
    </row>
    <row r="29" spans="1:14">
      <c r="A29" s="120"/>
      <c r="B29" s="122">
        <f t="shared" si="0"/>
        <v>22</v>
      </c>
      <c r="C29" s="118" t="s">
        <v>353</v>
      </c>
      <c r="D29" s="119" t="s">
        <v>354</v>
      </c>
      <c r="E29" s="122" t="s">
        <v>144</v>
      </c>
      <c r="F29" s="122" t="s">
        <v>144</v>
      </c>
      <c r="G29" s="126" t="s">
        <v>166</v>
      </c>
      <c r="H29" s="126" t="s">
        <v>502</v>
      </c>
      <c r="I29" s="126" t="s">
        <v>31</v>
      </c>
      <c r="J29" s="126" t="s">
        <v>144</v>
      </c>
      <c r="K29" s="126" t="s">
        <v>144</v>
      </c>
      <c r="L29" s="126" t="s">
        <v>144</v>
      </c>
      <c r="M29" s="126" t="s">
        <v>144</v>
      </c>
      <c r="N29" s="126" t="s">
        <v>144</v>
      </c>
    </row>
    <row r="30" spans="1:14">
      <c r="A30" s="120"/>
      <c r="B30" s="122">
        <f t="shared" si="0"/>
        <v>23</v>
      </c>
      <c r="C30" s="137" t="s">
        <v>355</v>
      </c>
      <c r="D30" s="138" t="s">
        <v>356</v>
      </c>
      <c r="E30" s="122" t="s">
        <v>144</v>
      </c>
      <c r="F30" s="122" t="s">
        <v>144</v>
      </c>
      <c r="G30" s="126" t="s">
        <v>166</v>
      </c>
      <c r="H30" s="126" t="s">
        <v>502</v>
      </c>
      <c r="I30" s="126" t="s">
        <v>31</v>
      </c>
      <c r="J30" s="126" t="s">
        <v>144</v>
      </c>
      <c r="K30" s="126" t="s">
        <v>144</v>
      </c>
      <c r="L30" s="126" t="s">
        <v>144</v>
      </c>
      <c r="M30" s="126" t="s">
        <v>144</v>
      </c>
      <c r="N30" s="126" t="s">
        <v>144</v>
      </c>
    </row>
    <row r="31" spans="1:14">
      <c r="A31" s="120"/>
      <c r="B31" s="122">
        <f t="shared" si="0"/>
        <v>24</v>
      </c>
      <c r="C31" s="118" t="s">
        <v>357</v>
      </c>
      <c r="D31" s="119" t="s">
        <v>358</v>
      </c>
      <c r="E31" s="122" t="s">
        <v>144</v>
      </c>
      <c r="F31" s="122" t="s">
        <v>144</v>
      </c>
      <c r="G31" s="126" t="s">
        <v>166</v>
      </c>
      <c r="H31" s="126" t="s">
        <v>502</v>
      </c>
      <c r="I31" s="126" t="s">
        <v>31</v>
      </c>
      <c r="J31" s="126" t="s">
        <v>144</v>
      </c>
      <c r="K31" s="126" t="s">
        <v>144</v>
      </c>
      <c r="L31" s="126" t="s">
        <v>144</v>
      </c>
      <c r="M31" s="126" t="s">
        <v>144</v>
      </c>
      <c r="N31" s="126" t="s">
        <v>144</v>
      </c>
    </row>
    <row r="32" spans="1:14">
      <c r="A32" s="120"/>
      <c r="B32" s="122">
        <f t="shared" si="0"/>
        <v>25</v>
      </c>
      <c r="C32" s="137" t="s">
        <v>359</v>
      </c>
      <c r="D32" s="138" t="s">
        <v>360</v>
      </c>
      <c r="E32" s="122" t="s">
        <v>144</v>
      </c>
      <c r="F32" s="122" t="s">
        <v>144</v>
      </c>
      <c r="G32" s="126" t="s">
        <v>166</v>
      </c>
      <c r="H32" s="126" t="s">
        <v>502</v>
      </c>
      <c r="I32" s="126" t="s">
        <v>31</v>
      </c>
      <c r="J32" s="126" t="s">
        <v>144</v>
      </c>
      <c r="K32" s="126" t="s">
        <v>144</v>
      </c>
      <c r="L32" s="126" t="s">
        <v>144</v>
      </c>
      <c r="M32" s="126" t="s">
        <v>144</v>
      </c>
      <c r="N32" s="126" t="s">
        <v>144</v>
      </c>
    </row>
    <row r="33" spans="2:14">
      <c r="B33" s="122">
        <f t="shared" si="0"/>
        <v>26</v>
      </c>
      <c r="C33" s="137" t="s">
        <v>361</v>
      </c>
      <c r="D33" s="138" t="s">
        <v>362</v>
      </c>
      <c r="E33" s="122" t="s">
        <v>144</v>
      </c>
      <c r="F33" s="122" t="s">
        <v>144</v>
      </c>
      <c r="G33" s="126" t="s">
        <v>166</v>
      </c>
      <c r="H33" s="126" t="s">
        <v>502</v>
      </c>
      <c r="I33" s="126" t="s">
        <v>31</v>
      </c>
      <c r="J33" s="126" t="s">
        <v>144</v>
      </c>
      <c r="K33" s="126" t="s">
        <v>144</v>
      </c>
      <c r="L33" s="126" t="s">
        <v>144</v>
      </c>
      <c r="M33" s="126" t="s">
        <v>144</v>
      </c>
      <c r="N33" s="126" t="s">
        <v>144</v>
      </c>
    </row>
    <row r="34" spans="2:14">
      <c r="B34" s="122">
        <f t="shared" si="0"/>
        <v>27</v>
      </c>
      <c r="C34" s="118" t="s">
        <v>363</v>
      </c>
      <c r="D34" s="119" t="s">
        <v>364</v>
      </c>
      <c r="E34" s="122" t="s">
        <v>144</v>
      </c>
      <c r="F34" s="122" t="s">
        <v>144</v>
      </c>
      <c r="G34" s="126" t="s">
        <v>166</v>
      </c>
      <c r="H34" s="126" t="s">
        <v>502</v>
      </c>
      <c r="I34" s="126" t="s">
        <v>31</v>
      </c>
      <c r="J34" s="126" t="s">
        <v>144</v>
      </c>
      <c r="K34" s="126" t="s">
        <v>144</v>
      </c>
      <c r="L34" s="126" t="s">
        <v>144</v>
      </c>
      <c r="M34" s="126" t="s">
        <v>144</v>
      </c>
      <c r="N34" s="126" t="s">
        <v>144</v>
      </c>
    </row>
    <row r="35" spans="2:14">
      <c r="B35" s="122">
        <f t="shared" si="0"/>
        <v>28</v>
      </c>
      <c r="C35" s="139" t="s">
        <v>365</v>
      </c>
      <c r="D35" s="122" t="s">
        <v>366</v>
      </c>
      <c r="E35" s="122" t="s">
        <v>144</v>
      </c>
      <c r="F35" s="122" t="s">
        <v>144</v>
      </c>
      <c r="G35" s="126" t="s">
        <v>166</v>
      </c>
      <c r="H35" s="126" t="s">
        <v>502</v>
      </c>
      <c r="I35" s="126" t="s">
        <v>31</v>
      </c>
      <c r="J35" s="126" t="s">
        <v>144</v>
      </c>
      <c r="K35" s="126" t="s">
        <v>144</v>
      </c>
      <c r="L35" s="126" t="s">
        <v>144</v>
      </c>
      <c r="M35" s="126" t="s">
        <v>144</v>
      </c>
      <c r="N35" s="126" t="s">
        <v>144</v>
      </c>
    </row>
    <row r="36" spans="2:14">
      <c r="B36" s="122">
        <f t="shared" si="0"/>
        <v>29</v>
      </c>
      <c r="C36" s="139" t="s">
        <v>367</v>
      </c>
      <c r="D36" s="122" t="s">
        <v>368</v>
      </c>
      <c r="E36" s="122" t="s">
        <v>144</v>
      </c>
      <c r="F36" s="122" t="s">
        <v>144</v>
      </c>
      <c r="G36" s="126" t="s">
        <v>166</v>
      </c>
      <c r="H36" s="126" t="s">
        <v>502</v>
      </c>
      <c r="I36" s="126" t="s">
        <v>31</v>
      </c>
      <c r="J36" s="126" t="s">
        <v>144</v>
      </c>
      <c r="K36" s="126" t="s">
        <v>144</v>
      </c>
      <c r="L36" s="126" t="s">
        <v>144</v>
      </c>
      <c r="M36" s="126" t="s">
        <v>144</v>
      </c>
      <c r="N36" s="126" t="s">
        <v>144</v>
      </c>
    </row>
    <row r="37" spans="2:14">
      <c r="B37" s="122">
        <f t="shared" si="0"/>
        <v>30</v>
      </c>
      <c r="C37" s="139" t="s">
        <v>369</v>
      </c>
      <c r="D37" s="122" t="s">
        <v>370</v>
      </c>
      <c r="E37" s="122" t="s">
        <v>144</v>
      </c>
      <c r="F37" s="122" t="s">
        <v>144</v>
      </c>
      <c r="G37" s="126" t="s">
        <v>166</v>
      </c>
      <c r="H37" s="126" t="s">
        <v>502</v>
      </c>
      <c r="I37" s="126" t="s">
        <v>31</v>
      </c>
      <c r="J37" s="126" t="s">
        <v>144</v>
      </c>
      <c r="K37" s="126" t="s">
        <v>144</v>
      </c>
      <c r="L37" s="126" t="s">
        <v>144</v>
      </c>
      <c r="M37" s="126" t="s">
        <v>144</v>
      </c>
      <c r="N37" s="126" t="s">
        <v>144</v>
      </c>
    </row>
    <row r="38" spans="2:14">
      <c r="B38" s="122">
        <f t="shared" si="0"/>
        <v>31</v>
      </c>
      <c r="C38" s="118" t="s">
        <v>371</v>
      </c>
      <c r="D38" s="119" t="s">
        <v>372</v>
      </c>
      <c r="E38" s="122" t="s">
        <v>144</v>
      </c>
      <c r="F38" s="122" t="s">
        <v>144</v>
      </c>
      <c r="G38" s="126" t="s">
        <v>166</v>
      </c>
      <c r="H38" s="126" t="s">
        <v>502</v>
      </c>
      <c r="I38" s="126" t="s">
        <v>31</v>
      </c>
      <c r="J38" s="126" t="s">
        <v>144</v>
      </c>
      <c r="K38" s="126" t="s">
        <v>144</v>
      </c>
      <c r="L38" s="126" t="s">
        <v>144</v>
      </c>
      <c r="M38" s="126" t="s">
        <v>144</v>
      </c>
      <c r="N38" s="126" t="s">
        <v>144</v>
      </c>
    </row>
    <row r="39" spans="2:14">
      <c r="B39" s="122">
        <f t="shared" si="0"/>
        <v>32</v>
      </c>
      <c r="C39" s="139" t="s">
        <v>373</v>
      </c>
      <c r="D39" s="122" t="s">
        <v>374</v>
      </c>
      <c r="E39" s="122" t="s">
        <v>144</v>
      </c>
      <c r="F39" s="122" t="s">
        <v>144</v>
      </c>
      <c r="G39" s="126" t="s">
        <v>166</v>
      </c>
      <c r="H39" s="126" t="s">
        <v>502</v>
      </c>
      <c r="I39" s="126" t="s">
        <v>31</v>
      </c>
      <c r="J39" s="126" t="s">
        <v>144</v>
      </c>
      <c r="K39" s="126" t="s">
        <v>144</v>
      </c>
      <c r="L39" s="126" t="s">
        <v>144</v>
      </c>
      <c r="M39" s="126" t="s">
        <v>144</v>
      </c>
      <c r="N39" s="126" t="s">
        <v>144</v>
      </c>
    </row>
    <row r="40" spans="2:14">
      <c r="B40" s="122">
        <f t="shared" si="0"/>
        <v>33</v>
      </c>
      <c r="C40" s="139" t="s">
        <v>375</v>
      </c>
      <c r="D40" s="122" t="s">
        <v>376</v>
      </c>
      <c r="E40" s="122" t="s">
        <v>144</v>
      </c>
      <c r="F40" s="122" t="s">
        <v>144</v>
      </c>
      <c r="G40" s="126" t="s">
        <v>166</v>
      </c>
      <c r="H40" s="126" t="s">
        <v>502</v>
      </c>
      <c r="I40" s="126" t="s">
        <v>31</v>
      </c>
      <c r="J40" s="126" t="s">
        <v>144</v>
      </c>
      <c r="K40" s="126" t="s">
        <v>144</v>
      </c>
      <c r="L40" s="126" t="s">
        <v>144</v>
      </c>
      <c r="M40" s="126" t="s">
        <v>144</v>
      </c>
      <c r="N40" s="126" t="s">
        <v>144</v>
      </c>
    </row>
    <row r="41" spans="2:14">
      <c r="B41" s="122">
        <f t="shared" si="0"/>
        <v>34</v>
      </c>
      <c r="C41" s="139" t="s">
        <v>377</v>
      </c>
      <c r="D41" s="122" t="s">
        <v>378</v>
      </c>
      <c r="E41" s="122" t="s">
        <v>144</v>
      </c>
      <c r="F41" s="122" t="s">
        <v>144</v>
      </c>
      <c r="G41" s="126" t="s">
        <v>166</v>
      </c>
      <c r="H41" s="126" t="s">
        <v>502</v>
      </c>
      <c r="I41" s="126" t="s">
        <v>31</v>
      </c>
      <c r="J41" s="126" t="s">
        <v>144</v>
      </c>
      <c r="K41" s="126" t="s">
        <v>144</v>
      </c>
      <c r="L41" s="126" t="s">
        <v>144</v>
      </c>
      <c r="M41" s="126" t="s">
        <v>144</v>
      </c>
      <c r="N41" s="126" t="s">
        <v>144</v>
      </c>
    </row>
    <row r="42" spans="2:14">
      <c r="B42" s="122">
        <f t="shared" si="0"/>
        <v>35</v>
      </c>
      <c r="C42" s="118" t="s">
        <v>379</v>
      </c>
      <c r="D42" s="119" t="s">
        <v>380</v>
      </c>
      <c r="E42" s="122" t="s">
        <v>144</v>
      </c>
      <c r="F42" s="122" t="s">
        <v>144</v>
      </c>
      <c r="G42" s="126" t="s">
        <v>166</v>
      </c>
      <c r="H42" s="126" t="s">
        <v>502</v>
      </c>
      <c r="I42" s="126" t="s">
        <v>31</v>
      </c>
      <c r="J42" s="126" t="s">
        <v>144</v>
      </c>
      <c r="K42" s="126" t="s">
        <v>144</v>
      </c>
      <c r="L42" s="126" t="s">
        <v>144</v>
      </c>
      <c r="M42" s="126" t="s">
        <v>144</v>
      </c>
      <c r="N42" s="126" t="s">
        <v>144</v>
      </c>
    </row>
    <row r="43" spans="2:14">
      <c r="B43" s="122">
        <f t="shared" si="0"/>
        <v>36</v>
      </c>
      <c r="C43" s="139" t="s">
        <v>381</v>
      </c>
      <c r="D43" s="122" t="s">
        <v>382</v>
      </c>
      <c r="E43" s="122" t="s">
        <v>144</v>
      </c>
      <c r="F43" s="122" t="s">
        <v>144</v>
      </c>
      <c r="G43" s="126" t="s">
        <v>166</v>
      </c>
      <c r="H43" s="126" t="s">
        <v>502</v>
      </c>
      <c r="I43" s="126" t="s">
        <v>31</v>
      </c>
      <c r="J43" s="126" t="s">
        <v>144</v>
      </c>
      <c r="K43" s="126" t="s">
        <v>144</v>
      </c>
      <c r="L43" s="126" t="s">
        <v>144</v>
      </c>
      <c r="M43" s="126" t="s">
        <v>144</v>
      </c>
      <c r="N43" s="126" t="s">
        <v>144</v>
      </c>
    </row>
    <row r="44" spans="2:14">
      <c r="B44" s="122">
        <f t="shared" si="0"/>
        <v>37</v>
      </c>
      <c r="C44" s="139" t="s">
        <v>383</v>
      </c>
      <c r="D44" s="122" t="s">
        <v>384</v>
      </c>
      <c r="E44" s="122" t="s">
        <v>144</v>
      </c>
      <c r="F44" s="122" t="s">
        <v>144</v>
      </c>
      <c r="G44" s="126" t="s">
        <v>166</v>
      </c>
      <c r="H44" s="126" t="s">
        <v>502</v>
      </c>
      <c r="I44" s="126" t="s">
        <v>31</v>
      </c>
      <c r="J44" s="126" t="s">
        <v>144</v>
      </c>
      <c r="K44" s="126" t="s">
        <v>144</v>
      </c>
      <c r="L44" s="126" t="s">
        <v>144</v>
      </c>
      <c r="M44" s="126" t="s">
        <v>144</v>
      </c>
      <c r="N44" s="126" t="s">
        <v>144</v>
      </c>
    </row>
    <row r="45" spans="2:14">
      <c r="B45" s="122">
        <f t="shared" si="0"/>
        <v>38</v>
      </c>
      <c r="C45" s="139" t="s">
        <v>385</v>
      </c>
      <c r="D45" s="122" t="s">
        <v>386</v>
      </c>
      <c r="E45" s="122" t="s">
        <v>144</v>
      </c>
      <c r="F45" s="122" t="s">
        <v>144</v>
      </c>
      <c r="G45" s="126" t="s">
        <v>166</v>
      </c>
      <c r="H45" s="126" t="s">
        <v>502</v>
      </c>
      <c r="I45" s="126" t="s">
        <v>31</v>
      </c>
      <c r="J45" s="126" t="s">
        <v>144</v>
      </c>
      <c r="K45" s="126" t="s">
        <v>144</v>
      </c>
      <c r="L45" s="126" t="s">
        <v>144</v>
      </c>
      <c r="M45" s="126" t="s">
        <v>144</v>
      </c>
      <c r="N45" s="126" t="s">
        <v>144</v>
      </c>
    </row>
    <row r="46" spans="2:14">
      <c r="B46" s="122">
        <f t="shared" si="0"/>
        <v>39</v>
      </c>
      <c r="C46" s="118" t="s">
        <v>387</v>
      </c>
      <c r="D46" s="119" t="s">
        <v>388</v>
      </c>
      <c r="E46" s="122" t="s">
        <v>144</v>
      </c>
      <c r="F46" s="122" t="s">
        <v>144</v>
      </c>
      <c r="G46" s="126" t="s">
        <v>166</v>
      </c>
      <c r="H46" s="126" t="s">
        <v>502</v>
      </c>
      <c r="I46" s="126" t="s">
        <v>31</v>
      </c>
      <c r="J46" s="126" t="s">
        <v>144</v>
      </c>
      <c r="K46" s="126" t="s">
        <v>144</v>
      </c>
      <c r="L46" s="126" t="s">
        <v>144</v>
      </c>
      <c r="M46" s="126" t="s">
        <v>144</v>
      </c>
      <c r="N46" s="126" t="s">
        <v>144</v>
      </c>
    </row>
    <row r="47" spans="2:14">
      <c r="B47" s="122">
        <f t="shared" si="0"/>
        <v>40</v>
      </c>
      <c r="C47" s="139" t="s">
        <v>389</v>
      </c>
      <c r="D47" s="122" t="s">
        <v>390</v>
      </c>
      <c r="E47" s="122" t="s">
        <v>144</v>
      </c>
      <c r="F47" s="122" t="s">
        <v>144</v>
      </c>
      <c r="G47" s="126" t="s">
        <v>166</v>
      </c>
      <c r="H47" s="126" t="s">
        <v>502</v>
      </c>
      <c r="I47" s="126" t="s">
        <v>31</v>
      </c>
      <c r="J47" s="126" t="s">
        <v>144</v>
      </c>
      <c r="K47" s="126" t="s">
        <v>144</v>
      </c>
      <c r="L47" s="126" t="s">
        <v>144</v>
      </c>
      <c r="M47" s="126" t="s">
        <v>144</v>
      </c>
      <c r="N47" s="126" t="s">
        <v>144</v>
      </c>
    </row>
    <row r="48" spans="2:14">
      <c r="B48" s="122">
        <f t="shared" si="0"/>
        <v>41</v>
      </c>
      <c r="C48" s="139" t="s">
        <v>391</v>
      </c>
      <c r="D48" s="122" t="s">
        <v>392</v>
      </c>
      <c r="E48" s="122" t="s">
        <v>144</v>
      </c>
      <c r="F48" s="122" t="s">
        <v>144</v>
      </c>
      <c r="G48" s="126" t="s">
        <v>166</v>
      </c>
      <c r="H48" s="126" t="s">
        <v>502</v>
      </c>
      <c r="I48" s="126" t="s">
        <v>31</v>
      </c>
      <c r="J48" s="126" t="s">
        <v>144</v>
      </c>
      <c r="K48" s="126" t="s">
        <v>144</v>
      </c>
      <c r="L48" s="126" t="s">
        <v>144</v>
      </c>
      <c r="M48" s="126" t="s">
        <v>144</v>
      </c>
      <c r="N48" s="126" t="s">
        <v>144</v>
      </c>
    </row>
    <row r="49" spans="1:15">
      <c r="A49" s="120"/>
      <c r="B49" s="122">
        <f t="shared" si="0"/>
        <v>42</v>
      </c>
      <c r="C49" s="139" t="s">
        <v>393</v>
      </c>
      <c r="D49" s="122" t="s">
        <v>394</v>
      </c>
      <c r="E49" s="122" t="s">
        <v>144</v>
      </c>
      <c r="F49" s="122" t="s">
        <v>144</v>
      </c>
      <c r="G49" s="126" t="s">
        <v>166</v>
      </c>
      <c r="H49" s="126" t="s">
        <v>502</v>
      </c>
      <c r="I49" s="126" t="s">
        <v>31</v>
      </c>
      <c r="J49" s="126" t="s">
        <v>144</v>
      </c>
      <c r="K49" s="126" t="s">
        <v>144</v>
      </c>
      <c r="L49" s="126" t="s">
        <v>144</v>
      </c>
      <c r="M49" s="126" t="s">
        <v>144</v>
      </c>
      <c r="N49" s="126" t="s">
        <v>144</v>
      </c>
      <c r="O49" s="120"/>
    </row>
    <row r="50" spans="1:15">
      <c r="A50" s="120"/>
      <c r="B50" s="122">
        <f t="shared" si="0"/>
        <v>43</v>
      </c>
      <c r="C50" s="118" t="s">
        <v>395</v>
      </c>
      <c r="D50" s="119" t="s">
        <v>396</v>
      </c>
      <c r="E50" s="122" t="s">
        <v>144</v>
      </c>
      <c r="F50" s="122" t="s">
        <v>144</v>
      </c>
      <c r="G50" s="126" t="s">
        <v>166</v>
      </c>
      <c r="H50" s="126" t="s">
        <v>502</v>
      </c>
      <c r="I50" s="126" t="s">
        <v>31</v>
      </c>
      <c r="J50" s="126" t="s">
        <v>144</v>
      </c>
      <c r="K50" s="126" t="s">
        <v>144</v>
      </c>
      <c r="L50" s="126" t="s">
        <v>144</v>
      </c>
      <c r="M50" s="126" t="s">
        <v>144</v>
      </c>
      <c r="N50" s="126" t="s">
        <v>144</v>
      </c>
      <c r="O50" s="120"/>
    </row>
    <row r="51" spans="1:15">
      <c r="A51" s="51"/>
      <c r="B51" s="122">
        <f t="shared" si="0"/>
        <v>44</v>
      </c>
      <c r="C51" s="118" t="s">
        <v>397</v>
      </c>
      <c r="D51" s="119" t="s">
        <v>398</v>
      </c>
      <c r="E51" s="122" t="s">
        <v>144</v>
      </c>
      <c r="F51" s="122" t="s">
        <v>144</v>
      </c>
      <c r="G51" s="126" t="s">
        <v>166</v>
      </c>
      <c r="H51" s="126" t="s">
        <v>502</v>
      </c>
      <c r="I51" s="126" t="s">
        <v>31</v>
      </c>
      <c r="J51" s="126" t="s">
        <v>144</v>
      </c>
      <c r="K51" s="126" t="s">
        <v>144</v>
      </c>
      <c r="L51" s="126" t="s">
        <v>144</v>
      </c>
      <c r="M51" s="126" t="s">
        <v>144</v>
      </c>
      <c r="N51" s="126" t="s">
        <v>144</v>
      </c>
      <c r="O51" s="125" t="s">
        <v>399</v>
      </c>
    </row>
    <row r="52" spans="1:15" ht="16.2">
      <c r="A52" s="92"/>
      <c r="B52" s="122">
        <f t="shared" si="0"/>
        <v>45</v>
      </c>
      <c r="C52" s="118" t="s">
        <v>400</v>
      </c>
      <c r="D52" s="119" t="s">
        <v>401</v>
      </c>
      <c r="E52" s="122" t="s">
        <v>144</v>
      </c>
      <c r="F52" s="122" t="s">
        <v>144</v>
      </c>
      <c r="G52" s="126" t="s">
        <v>166</v>
      </c>
      <c r="H52" s="126" t="s">
        <v>502</v>
      </c>
      <c r="I52" s="126" t="s">
        <v>31</v>
      </c>
      <c r="J52" s="126" t="s">
        <v>144</v>
      </c>
      <c r="K52" s="126" t="s">
        <v>144</v>
      </c>
      <c r="L52" s="126" t="s">
        <v>144</v>
      </c>
      <c r="M52" s="126" t="s">
        <v>144</v>
      </c>
      <c r="N52" s="126" t="s">
        <v>144</v>
      </c>
      <c r="O52" s="125" t="s">
        <v>399</v>
      </c>
    </row>
    <row r="53" spans="1:15">
      <c r="A53" s="51"/>
      <c r="B53" s="122">
        <f t="shared" si="0"/>
        <v>46</v>
      </c>
      <c r="C53" s="118" t="s">
        <v>402</v>
      </c>
      <c r="D53" s="119" t="s">
        <v>403</v>
      </c>
      <c r="E53" s="122" t="s">
        <v>144</v>
      </c>
      <c r="F53" s="122" t="s">
        <v>144</v>
      </c>
      <c r="G53" s="126" t="s">
        <v>166</v>
      </c>
      <c r="H53" s="126" t="s">
        <v>502</v>
      </c>
      <c r="I53" s="126" t="s">
        <v>31</v>
      </c>
      <c r="J53" s="126" t="s">
        <v>144</v>
      </c>
      <c r="K53" s="126" t="s">
        <v>144</v>
      </c>
      <c r="L53" s="126" t="s">
        <v>144</v>
      </c>
      <c r="M53" s="126" t="s">
        <v>144</v>
      </c>
      <c r="N53" s="126" t="s">
        <v>144</v>
      </c>
      <c r="O53" s="125" t="s">
        <v>399</v>
      </c>
    </row>
    <row r="54" spans="1:15">
      <c r="A54" s="51"/>
      <c r="B54" s="122">
        <f t="shared" si="0"/>
        <v>47</v>
      </c>
      <c r="C54" s="118" t="s">
        <v>404</v>
      </c>
      <c r="D54" s="119" t="s">
        <v>405</v>
      </c>
      <c r="E54" s="122" t="s">
        <v>144</v>
      </c>
      <c r="F54" s="122" t="s">
        <v>144</v>
      </c>
      <c r="G54" s="126" t="s">
        <v>166</v>
      </c>
      <c r="H54" s="126" t="s">
        <v>502</v>
      </c>
      <c r="I54" s="126" t="s">
        <v>31</v>
      </c>
      <c r="J54" s="126" t="s">
        <v>144</v>
      </c>
      <c r="K54" s="126" t="s">
        <v>144</v>
      </c>
      <c r="L54" s="126" t="s">
        <v>144</v>
      </c>
      <c r="M54" s="126" t="s">
        <v>144</v>
      </c>
      <c r="N54" s="126" t="s">
        <v>144</v>
      </c>
      <c r="O54" s="125" t="s">
        <v>399</v>
      </c>
    </row>
    <row r="55" spans="1:15">
      <c r="A55" s="51"/>
      <c r="B55" s="122">
        <f t="shared" si="0"/>
        <v>48</v>
      </c>
      <c r="C55" s="139" t="s">
        <v>406</v>
      </c>
      <c r="D55" s="122" t="s">
        <v>407</v>
      </c>
      <c r="E55" s="122" t="s">
        <v>144</v>
      </c>
      <c r="F55" s="122" t="s">
        <v>144</v>
      </c>
      <c r="G55" s="126" t="s">
        <v>166</v>
      </c>
      <c r="H55" s="126" t="s">
        <v>502</v>
      </c>
      <c r="I55" s="126" t="s">
        <v>31</v>
      </c>
      <c r="J55" s="126" t="s">
        <v>144</v>
      </c>
      <c r="K55" s="126" t="s">
        <v>144</v>
      </c>
      <c r="L55" s="126" t="s">
        <v>144</v>
      </c>
      <c r="M55" s="126" t="s">
        <v>144</v>
      </c>
      <c r="N55" s="126" t="s">
        <v>144</v>
      </c>
      <c r="O55" s="125" t="s">
        <v>399</v>
      </c>
    </row>
    <row r="56" spans="1:15">
      <c r="A56" s="51"/>
      <c r="B56" s="122">
        <f t="shared" si="0"/>
        <v>49</v>
      </c>
      <c r="C56" s="139" t="s">
        <v>408</v>
      </c>
      <c r="D56" s="122" t="s">
        <v>409</v>
      </c>
      <c r="E56" s="122" t="s">
        <v>144</v>
      </c>
      <c r="F56" s="122" t="s">
        <v>144</v>
      </c>
      <c r="G56" s="126" t="s">
        <v>166</v>
      </c>
      <c r="H56" s="126" t="s">
        <v>502</v>
      </c>
      <c r="I56" s="126" t="s">
        <v>31</v>
      </c>
      <c r="J56" s="126" t="s">
        <v>144</v>
      </c>
      <c r="K56" s="126" t="s">
        <v>144</v>
      </c>
      <c r="L56" s="126" t="s">
        <v>144</v>
      </c>
      <c r="M56" s="126" t="s">
        <v>144</v>
      </c>
      <c r="N56" s="126" t="s">
        <v>144</v>
      </c>
      <c r="O56" s="125" t="s">
        <v>399</v>
      </c>
    </row>
    <row r="57" spans="1:15">
      <c r="A57" s="51"/>
      <c r="B57" s="122">
        <f t="shared" si="0"/>
        <v>50</v>
      </c>
      <c r="C57" s="140" t="s">
        <v>410</v>
      </c>
      <c r="D57" s="121" t="s">
        <v>411</v>
      </c>
      <c r="E57" s="122" t="s">
        <v>144</v>
      </c>
      <c r="F57" s="122" t="s">
        <v>144</v>
      </c>
      <c r="G57" s="126" t="s">
        <v>166</v>
      </c>
      <c r="H57" s="126" t="s">
        <v>502</v>
      </c>
      <c r="I57" s="126" t="s">
        <v>31</v>
      </c>
      <c r="J57" s="126" t="s">
        <v>144</v>
      </c>
      <c r="K57" s="126" t="s">
        <v>144</v>
      </c>
      <c r="L57" s="126" t="s">
        <v>144</v>
      </c>
      <c r="M57" s="126" t="s">
        <v>144</v>
      </c>
      <c r="N57" s="126" t="s">
        <v>144</v>
      </c>
      <c r="O57" s="125" t="s">
        <v>399</v>
      </c>
    </row>
    <row r="58" spans="1:15">
      <c r="A58" s="51"/>
      <c r="B58" s="122">
        <f t="shared" si="0"/>
        <v>51</v>
      </c>
      <c r="C58" s="118" t="s">
        <v>412</v>
      </c>
      <c r="D58" s="119" t="s">
        <v>413</v>
      </c>
      <c r="E58" s="122" t="s">
        <v>144</v>
      </c>
      <c r="F58" s="122" t="s">
        <v>144</v>
      </c>
      <c r="G58" s="126" t="s">
        <v>166</v>
      </c>
      <c r="H58" s="126" t="s">
        <v>502</v>
      </c>
      <c r="I58" s="126" t="s">
        <v>31</v>
      </c>
      <c r="J58" s="126" t="s">
        <v>144</v>
      </c>
      <c r="K58" s="126" t="s">
        <v>144</v>
      </c>
      <c r="L58" s="126" t="s">
        <v>144</v>
      </c>
      <c r="M58" s="126" t="s">
        <v>144</v>
      </c>
      <c r="N58" s="126" t="s">
        <v>144</v>
      </c>
      <c r="O58" s="125" t="s">
        <v>399</v>
      </c>
    </row>
    <row r="59" spans="1:15">
      <c r="A59" s="120"/>
      <c r="B59" s="122">
        <f t="shared" si="0"/>
        <v>52</v>
      </c>
      <c r="C59" s="118" t="s">
        <v>414</v>
      </c>
      <c r="D59" s="119" t="s">
        <v>415</v>
      </c>
      <c r="E59" s="122" t="s">
        <v>144</v>
      </c>
      <c r="F59" s="122" t="s">
        <v>144</v>
      </c>
      <c r="G59" s="126" t="s">
        <v>166</v>
      </c>
      <c r="H59" s="126" t="s">
        <v>502</v>
      </c>
      <c r="I59" s="126" t="s">
        <v>31</v>
      </c>
      <c r="J59" s="126" t="s">
        <v>144</v>
      </c>
      <c r="K59" s="126" t="s">
        <v>144</v>
      </c>
      <c r="L59" s="126" t="s">
        <v>144</v>
      </c>
      <c r="M59" s="126" t="s">
        <v>144</v>
      </c>
      <c r="N59" s="126" t="s">
        <v>144</v>
      </c>
      <c r="O59" s="125" t="s">
        <v>399</v>
      </c>
    </row>
    <row r="60" spans="1:15">
      <c r="A60" s="120"/>
      <c r="B60" s="122">
        <f t="shared" si="0"/>
        <v>53</v>
      </c>
      <c r="C60" s="118" t="s">
        <v>416</v>
      </c>
      <c r="D60" s="119" t="s">
        <v>417</v>
      </c>
      <c r="E60" s="122" t="s">
        <v>144</v>
      </c>
      <c r="F60" s="122" t="s">
        <v>144</v>
      </c>
      <c r="G60" s="126" t="s">
        <v>166</v>
      </c>
      <c r="H60" s="126" t="s">
        <v>502</v>
      </c>
      <c r="I60" s="126" t="s">
        <v>31</v>
      </c>
      <c r="J60" s="126" t="s">
        <v>144</v>
      </c>
      <c r="K60" s="126" t="s">
        <v>144</v>
      </c>
      <c r="L60" s="126" t="s">
        <v>144</v>
      </c>
      <c r="M60" s="126" t="s">
        <v>144</v>
      </c>
      <c r="N60" s="126" t="s">
        <v>144</v>
      </c>
      <c r="O60" s="125" t="s">
        <v>399</v>
      </c>
    </row>
    <row r="61" spans="1:15">
      <c r="A61" s="120"/>
      <c r="B61" s="122">
        <f t="shared" si="0"/>
        <v>54</v>
      </c>
      <c r="C61" s="118" t="s">
        <v>418</v>
      </c>
      <c r="D61" s="119" t="s">
        <v>419</v>
      </c>
      <c r="E61" s="122" t="s">
        <v>144</v>
      </c>
      <c r="F61" s="122" t="s">
        <v>144</v>
      </c>
      <c r="G61" s="126" t="s">
        <v>166</v>
      </c>
      <c r="H61" s="126" t="s">
        <v>502</v>
      </c>
      <c r="I61" s="126" t="s">
        <v>31</v>
      </c>
      <c r="J61" s="126" t="s">
        <v>144</v>
      </c>
      <c r="K61" s="126" t="s">
        <v>144</v>
      </c>
      <c r="L61" s="126" t="s">
        <v>144</v>
      </c>
      <c r="M61" s="126" t="s">
        <v>144</v>
      </c>
      <c r="N61" s="126" t="s">
        <v>144</v>
      </c>
      <c r="O61" s="125" t="s">
        <v>399</v>
      </c>
    </row>
    <row r="62" spans="1:15">
      <c r="A62" s="120"/>
      <c r="B62" s="122">
        <f t="shared" si="0"/>
        <v>55</v>
      </c>
      <c r="C62" s="139" t="s">
        <v>420</v>
      </c>
      <c r="D62" s="122" t="s">
        <v>421</v>
      </c>
      <c r="E62" s="122" t="s">
        <v>144</v>
      </c>
      <c r="F62" s="122" t="s">
        <v>144</v>
      </c>
      <c r="G62" s="126" t="s">
        <v>166</v>
      </c>
      <c r="H62" s="126" t="s">
        <v>502</v>
      </c>
      <c r="I62" s="126" t="s">
        <v>31</v>
      </c>
      <c r="J62" s="126" t="s">
        <v>144</v>
      </c>
      <c r="K62" s="126" t="s">
        <v>144</v>
      </c>
      <c r="L62" s="126" t="s">
        <v>144</v>
      </c>
      <c r="M62" s="126" t="s">
        <v>144</v>
      </c>
      <c r="N62" s="126" t="s">
        <v>144</v>
      </c>
      <c r="O62" s="120"/>
    </row>
    <row r="63" spans="1:15">
      <c r="A63" s="120"/>
      <c r="B63" s="122">
        <f t="shared" si="0"/>
        <v>56</v>
      </c>
      <c r="C63" s="139" t="s">
        <v>422</v>
      </c>
      <c r="D63" s="122" t="s">
        <v>423</v>
      </c>
      <c r="E63" s="122" t="s">
        <v>144</v>
      </c>
      <c r="F63" s="122" t="s">
        <v>144</v>
      </c>
      <c r="G63" s="126" t="s">
        <v>166</v>
      </c>
      <c r="H63" s="126" t="s">
        <v>502</v>
      </c>
      <c r="I63" s="126" t="s">
        <v>31</v>
      </c>
      <c r="J63" s="126" t="s">
        <v>144</v>
      </c>
      <c r="K63" s="126" t="s">
        <v>144</v>
      </c>
      <c r="L63" s="126" t="s">
        <v>144</v>
      </c>
      <c r="M63" s="126" t="s">
        <v>144</v>
      </c>
      <c r="N63" s="126" t="s">
        <v>144</v>
      </c>
      <c r="O63" s="120"/>
    </row>
    <row r="64" spans="1:15">
      <c r="A64" s="120"/>
      <c r="B64" s="122">
        <f t="shared" si="0"/>
        <v>57</v>
      </c>
      <c r="C64" s="139" t="s">
        <v>424</v>
      </c>
      <c r="D64" s="122" t="s">
        <v>425</v>
      </c>
      <c r="E64" s="122" t="s">
        <v>144</v>
      </c>
      <c r="F64" s="122" t="s">
        <v>144</v>
      </c>
      <c r="G64" s="126" t="s">
        <v>166</v>
      </c>
      <c r="H64" s="126" t="s">
        <v>502</v>
      </c>
      <c r="I64" s="126" t="s">
        <v>31</v>
      </c>
      <c r="J64" s="126" t="s">
        <v>144</v>
      </c>
      <c r="K64" s="126" t="s">
        <v>144</v>
      </c>
      <c r="L64" s="126" t="s">
        <v>144</v>
      </c>
      <c r="M64" s="126" t="s">
        <v>144</v>
      </c>
      <c r="N64" s="126" t="s">
        <v>144</v>
      </c>
      <c r="O64" s="120"/>
    </row>
    <row r="65" spans="1:15">
      <c r="A65" s="120"/>
      <c r="B65" s="122">
        <f t="shared" si="0"/>
        <v>58</v>
      </c>
      <c r="C65" s="118" t="s">
        <v>426</v>
      </c>
      <c r="D65" s="119" t="s">
        <v>427</v>
      </c>
      <c r="E65" s="122" t="s">
        <v>144</v>
      </c>
      <c r="F65" s="122" t="s">
        <v>144</v>
      </c>
      <c r="G65" s="126" t="s">
        <v>166</v>
      </c>
      <c r="H65" s="126" t="s">
        <v>502</v>
      </c>
      <c r="I65" s="126" t="s">
        <v>31</v>
      </c>
      <c r="J65" s="126" t="s">
        <v>144</v>
      </c>
      <c r="K65" s="126" t="s">
        <v>144</v>
      </c>
      <c r="L65" s="126" t="s">
        <v>144</v>
      </c>
      <c r="M65" s="126" t="s">
        <v>144</v>
      </c>
      <c r="N65" s="126" t="s">
        <v>144</v>
      </c>
      <c r="O65" s="120"/>
    </row>
    <row r="66" spans="1:15">
      <c r="A66" s="120"/>
      <c r="B66" s="122">
        <f t="shared" si="0"/>
        <v>59</v>
      </c>
      <c r="C66" s="139" t="s">
        <v>428</v>
      </c>
      <c r="D66" s="122" t="s">
        <v>429</v>
      </c>
      <c r="E66" s="122" t="s">
        <v>144</v>
      </c>
      <c r="F66" s="122" t="s">
        <v>144</v>
      </c>
      <c r="G66" s="126" t="s">
        <v>166</v>
      </c>
      <c r="H66" s="126" t="s">
        <v>502</v>
      </c>
      <c r="I66" s="126" t="s">
        <v>31</v>
      </c>
      <c r="J66" s="126" t="s">
        <v>144</v>
      </c>
      <c r="K66" s="126" t="s">
        <v>144</v>
      </c>
      <c r="L66" s="126" t="s">
        <v>144</v>
      </c>
      <c r="M66" s="126" t="s">
        <v>144</v>
      </c>
      <c r="N66" s="126" t="s">
        <v>144</v>
      </c>
      <c r="O66" s="120"/>
    </row>
    <row r="67" spans="1:15">
      <c r="A67" s="120"/>
      <c r="B67" s="122">
        <f t="shared" si="0"/>
        <v>60</v>
      </c>
      <c r="C67" s="139" t="s">
        <v>430</v>
      </c>
      <c r="D67" s="122" t="s">
        <v>431</v>
      </c>
      <c r="E67" s="122" t="s">
        <v>144</v>
      </c>
      <c r="F67" s="122" t="s">
        <v>144</v>
      </c>
      <c r="G67" s="126" t="s">
        <v>166</v>
      </c>
      <c r="H67" s="126" t="s">
        <v>502</v>
      </c>
      <c r="I67" s="126" t="s">
        <v>31</v>
      </c>
      <c r="J67" s="126" t="s">
        <v>144</v>
      </c>
      <c r="K67" s="126" t="s">
        <v>144</v>
      </c>
      <c r="L67" s="126" t="s">
        <v>144</v>
      </c>
      <c r="M67" s="126" t="s">
        <v>144</v>
      </c>
      <c r="N67" s="126" t="s">
        <v>144</v>
      </c>
      <c r="O67" s="120"/>
    </row>
    <row r="68" spans="1:15">
      <c r="A68" s="120"/>
      <c r="B68" s="122">
        <f t="shared" si="0"/>
        <v>61</v>
      </c>
      <c r="C68" s="139" t="s">
        <v>432</v>
      </c>
      <c r="D68" s="122" t="s">
        <v>433</v>
      </c>
      <c r="E68" s="122" t="s">
        <v>144</v>
      </c>
      <c r="F68" s="122" t="s">
        <v>144</v>
      </c>
      <c r="G68" s="126" t="s">
        <v>166</v>
      </c>
      <c r="H68" s="126" t="s">
        <v>502</v>
      </c>
      <c r="I68" s="126" t="s">
        <v>31</v>
      </c>
      <c r="J68" s="126" t="s">
        <v>144</v>
      </c>
      <c r="K68" s="126" t="s">
        <v>144</v>
      </c>
      <c r="L68" s="126" t="s">
        <v>144</v>
      </c>
      <c r="M68" s="126" t="s">
        <v>144</v>
      </c>
      <c r="N68" s="126" t="s">
        <v>144</v>
      </c>
      <c r="O68" s="120"/>
    </row>
    <row r="69" spans="1:15">
      <c r="A69" s="120"/>
      <c r="B69" s="122">
        <f t="shared" si="0"/>
        <v>62</v>
      </c>
      <c r="C69" s="118" t="s">
        <v>434</v>
      </c>
      <c r="D69" s="119" t="s">
        <v>435</v>
      </c>
      <c r="E69" s="122" t="s">
        <v>144</v>
      </c>
      <c r="F69" s="122" t="s">
        <v>144</v>
      </c>
      <c r="G69" s="126" t="s">
        <v>166</v>
      </c>
      <c r="H69" s="126" t="s">
        <v>502</v>
      </c>
      <c r="I69" s="126" t="s">
        <v>31</v>
      </c>
      <c r="J69" s="126" t="s">
        <v>144</v>
      </c>
      <c r="K69" s="126" t="s">
        <v>144</v>
      </c>
      <c r="L69" s="126" t="s">
        <v>144</v>
      </c>
      <c r="M69" s="126" t="s">
        <v>144</v>
      </c>
      <c r="N69" s="126" t="s">
        <v>144</v>
      </c>
      <c r="O69" s="120"/>
    </row>
    <row r="70" spans="1:15">
      <c r="A70" s="120"/>
      <c r="B70" s="122">
        <f t="shared" si="0"/>
        <v>63</v>
      </c>
      <c r="C70" s="139" t="s">
        <v>436</v>
      </c>
      <c r="D70" s="122" t="s">
        <v>437</v>
      </c>
      <c r="E70" s="122" t="s">
        <v>144</v>
      </c>
      <c r="F70" s="122" t="s">
        <v>144</v>
      </c>
      <c r="G70" s="126" t="s">
        <v>166</v>
      </c>
      <c r="H70" s="126" t="s">
        <v>502</v>
      </c>
      <c r="I70" s="126" t="s">
        <v>31</v>
      </c>
      <c r="J70" s="126" t="s">
        <v>144</v>
      </c>
      <c r="K70" s="126" t="s">
        <v>144</v>
      </c>
      <c r="L70" s="126" t="s">
        <v>144</v>
      </c>
      <c r="M70" s="126" t="s">
        <v>144</v>
      </c>
      <c r="N70" s="126" t="s">
        <v>144</v>
      </c>
      <c r="O70" s="120"/>
    </row>
    <row r="71" spans="1:15">
      <c r="A71" s="120"/>
      <c r="B71" s="122">
        <f t="shared" si="0"/>
        <v>64</v>
      </c>
      <c r="C71" s="139" t="s">
        <v>438</v>
      </c>
      <c r="D71" s="122" t="s">
        <v>439</v>
      </c>
      <c r="E71" s="122" t="s">
        <v>144</v>
      </c>
      <c r="F71" s="122" t="s">
        <v>144</v>
      </c>
      <c r="G71" s="126" t="s">
        <v>166</v>
      </c>
      <c r="H71" s="126" t="s">
        <v>502</v>
      </c>
      <c r="I71" s="126" t="s">
        <v>31</v>
      </c>
      <c r="J71" s="126" t="s">
        <v>144</v>
      </c>
      <c r="K71" s="126" t="s">
        <v>144</v>
      </c>
      <c r="L71" s="126" t="s">
        <v>144</v>
      </c>
      <c r="M71" s="126" t="s">
        <v>144</v>
      </c>
      <c r="N71" s="126" t="s">
        <v>144</v>
      </c>
      <c r="O71" s="120"/>
    </row>
    <row r="72" spans="1:15">
      <c r="A72" s="120"/>
      <c r="B72" s="122">
        <f t="shared" si="0"/>
        <v>65</v>
      </c>
      <c r="C72" s="118" t="s">
        <v>440</v>
      </c>
      <c r="D72" s="119" t="s">
        <v>441</v>
      </c>
      <c r="E72" s="122" t="s">
        <v>144</v>
      </c>
      <c r="F72" s="122" t="s">
        <v>144</v>
      </c>
      <c r="G72" s="126" t="s">
        <v>166</v>
      </c>
      <c r="H72" s="126" t="s">
        <v>502</v>
      </c>
      <c r="I72" s="126" t="s">
        <v>31</v>
      </c>
      <c r="J72" s="126" t="s">
        <v>144</v>
      </c>
      <c r="K72" s="126" t="s">
        <v>144</v>
      </c>
      <c r="L72" s="126" t="s">
        <v>144</v>
      </c>
      <c r="M72" s="126" t="s">
        <v>144</v>
      </c>
      <c r="N72" s="126" t="s">
        <v>144</v>
      </c>
      <c r="O72" s="120"/>
    </row>
    <row r="73" spans="1:15">
      <c r="A73" s="120"/>
      <c r="B73" s="122">
        <f t="shared" si="0"/>
        <v>66</v>
      </c>
      <c r="C73" s="139" t="s">
        <v>442</v>
      </c>
      <c r="D73" s="122" t="s">
        <v>443</v>
      </c>
      <c r="E73" s="122" t="s">
        <v>144</v>
      </c>
      <c r="F73" s="122" t="s">
        <v>144</v>
      </c>
      <c r="G73" s="126" t="s">
        <v>166</v>
      </c>
      <c r="H73" s="126" t="s">
        <v>502</v>
      </c>
      <c r="I73" s="126" t="s">
        <v>31</v>
      </c>
      <c r="J73" s="126" t="s">
        <v>144</v>
      </c>
      <c r="K73" s="126" t="s">
        <v>144</v>
      </c>
      <c r="L73" s="126" t="s">
        <v>144</v>
      </c>
      <c r="M73" s="126" t="s">
        <v>144</v>
      </c>
      <c r="N73" s="126" t="s">
        <v>144</v>
      </c>
      <c r="O73" s="120"/>
    </row>
    <row r="74" spans="1:15">
      <c r="A74" s="120"/>
      <c r="B74" s="122">
        <f t="shared" si="0"/>
        <v>67</v>
      </c>
      <c r="C74" s="139" t="s">
        <v>444</v>
      </c>
      <c r="D74" s="122" t="s">
        <v>445</v>
      </c>
      <c r="E74" s="122" t="s">
        <v>144</v>
      </c>
      <c r="F74" s="122" t="s">
        <v>144</v>
      </c>
      <c r="G74" s="126" t="s">
        <v>166</v>
      </c>
      <c r="H74" s="126" t="s">
        <v>502</v>
      </c>
      <c r="I74" s="126" t="s">
        <v>31</v>
      </c>
      <c r="J74" s="126" t="s">
        <v>144</v>
      </c>
      <c r="K74" s="126" t="s">
        <v>144</v>
      </c>
      <c r="L74" s="126" t="s">
        <v>144</v>
      </c>
      <c r="M74" s="126" t="s">
        <v>144</v>
      </c>
      <c r="N74" s="126" t="s">
        <v>144</v>
      </c>
      <c r="O74" s="120"/>
    </row>
    <row r="75" spans="1:15">
      <c r="A75" s="120"/>
      <c r="B75" s="122">
        <f t="shared" si="0"/>
        <v>68</v>
      </c>
      <c r="C75" s="118" t="s">
        <v>446</v>
      </c>
      <c r="D75" s="119" t="s">
        <v>447</v>
      </c>
      <c r="E75" s="122" t="s">
        <v>144</v>
      </c>
      <c r="F75" s="122" t="s">
        <v>144</v>
      </c>
      <c r="G75" s="126" t="s">
        <v>166</v>
      </c>
      <c r="H75" s="126" t="s">
        <v>502</v>
      </c>
      <c r="I75" s="126" t="s">
        <v>31</v>
      </c>
      <c r="J75" s="126" t="s">
        <v>144</v>
      </c>
      <c r="K75" s="126" t="s">
        <v>144</v>
      </c>
      <c r="L75" s="126" t="s">
        <v>144</v>
      </c>
      <c r="M75" s="126" t="s">
        <v>144</v>
      </c>
      <c r="N75" s="126" t="s">
        <v>144</v>
      </c>
      <c r="O75" s="120"/>
    </row>
    <row r="76" spans="1:15">
      <c r="A76" s="120"/>
      <c r="B76" s="122">
        <f t="shared" si="0"/>
        <v>69</v>
      </c>
      <c r="C76" s="118" t="s">
        <v>448</v>
      </c>
      <c r="D76" s="119" t="s">
        <v>449</v>
      </c>
      <c r="E76" s="122" t="s">
        <v>144</v>
      </c>
      <c r="F76" s="122" t="s">
        <v>144</v>
      </c>
      <c r="G76" s="126" t="s">
        <v>166</v>
      </c>
      <c r="H76" s="126" t="s">
        <v>502</v>
      </c>
      <c r="I76" s="126" t="s">
        <v>31</v>
      </c>
      <c r="J76" s="126" t="s">
        <v>144</v>
      </c>
      <c r="K76" s="126" t="s">
        <v>144</v>
      </c>
      <c r="L76" s="126" t="s">
        <v>144</v>
      </c>
      <c r="M76" s="126" t="s">
        <v>144</v>
      </c>
      <c r="N76" s="126" t="s">
        <v>144</v>
      </c>
      <c r="O76" s="120" t="s">
        <v>457</v>
      </c>
    </row>
  </sheetData>
  <sheetProtection insertRows="0" deleteRows="0" sort="0" autoFilter="0"/>
  <autoFilter ref="A7:O76" xr:uid="{418B5B2A-752D-4529-84BB-29EDCF08740F}"/>
  <sortState xmlns:xlrd2="http://schemas.microsoft.com/office/spreadsheetml/2017/richdata2" ref="C8:D37">
    <sortCondition ref="C8:C37"/>
  </sortState>
  <mergeCells count="1">
    <mergeCell ref="B4:B7"/>
  </mergeCells>
  <phoneticPr fontId="12"/>
  <hyperlinks>
    <hyperlink ref="A3" location="パラメータ設定一覧!A1" display="パラメータ設定一覧へ" xr:uid="{986C2033-0D1A-405A-A479-65044CCF616C}"/>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562-93DC-4D96-800A-FEEC147F90D8}">
  <sheetPr filterMode="1">
    <pageSetUpPr fitToPage="1"/>
  </sheetPr>
  <dimension ref="A1:J76"/>
  <sheetViews>
    <sheetView showGridLines="0" zoomScaleNormal="100" zoomScaleSheetLayoutView="70" workbookViewId="0">
      <pane xSplit="3" ySplit="7" topLeftCell="D51" activePane="bottomRight" state="frozen"/>
      <selection pane="topRight"/>
      <selection pane="bottomLeft"/>
      <selection pane="bottomRight" activeCell="C55" sqref="C55"/>
    </sheetView>
  </sheetViews>
  <sheetFormatPr defaultColWidth="8.81640625" defaultRowHeight="14.4"/>
  <cols>
    <col min="1" max="1" width="2.36328125" style="53" customWidth="1"/>
    <col min="2" max="2" width="3.54296875" style="53" bestFit="1" customWidth="1"/>
    <col min="3" max="3" width="16.453125" style="53" bestFit="1" customWidth="1"/>
    <col min="4" max="4" width="19.453125" style="53" customWidth="1"/>
    <col min="5" max="5" width="17.6328125" style="53" customWidth="1"/>
    <col min="6" max="6" width="11.36328125" style="53" customWidth="1"/>
    <col min="7" max="7" width="17.1796875" style="53" customWidth="1"/>
    <col min="8" max="8" width="8.81640625" style="53" customWidth="1"/>
    <col min="9" max="9" width="42.6328125" style="53" customWidth="1"/>
    <col min="10" max="16384" width="8.81640625" style="53"/>
  </cols>
  <sheetData>
    <row r="1" spans="1:10" customFormat="1" ht="18.600000000000001">
      <c r="A1" s="7" t="s">
        <v>503</v>
      </c>
    </row>
    <row r="2" spans="1:10" customFormat="1" ht="15"/>
    <row r="3" spans="1:10" customFormat="1" ht="15">
      <c r="A3" s="8" t="s">
        <v>43</v>
      </c>
      <c r="J3" s="44"/>
    </row>
    <row r="4" spans="1:10" ht="15.75" customHeight="1">
      <c r="A4" s="120"/>
      <c r="B4" s="197" t="s">
        <v>44</v>
      </c>
      <c r="C4" s="69" t="s">
        <v>137</v>
      </c>
      <c r="D4" s="30" t="s">
        <v>474</v>
      </c>
      <c r="E4" s="30"/>
      <c r="F4" s="198"/>
      <c r="G4" s="198"/>
      <c r="H4" s="198"/>
      <c r="I4" s="199"/>
      <c r="J4" s="120"/>
    </row>
    <row r="5" spans="1:10">
      <c r="A5" s="120"/>
      <c r="B5" s="197"/>
      <c r="C5" s="70"/>
      <c r="D5" s="84" t="s">
        <v>115</v>
      </c>
      <c r="E5" s="84"/>
      <c r="F5" s="84"/>
      <c r="G5" s="84"/>
      <c r="H5" s="84"/>
      <c r="I5" s="80"/>
      <c r="J5" s="120"/>
    </row>
    <row r="6" spans="1:10">
      <c r="A6" s="120"/>
      <c r="B6" s="192"/>
      <c r="C6" s="85" t="s">
        <v>34</v>
      </c>
      <c r="D6" s="85" t="s">
        <v>31</v>
      </c>
      <c r="E6" s="85" t="s">
        <v>478</v>
      </c>
      <c r="F6" s="85" t="s">
        <v>482</v>
      </c>
      <c r="G6" s="85" t="s">
        <v>263</v>
      </c>
      <c r="H6" s="85" t="s">
        <v>504</v>
      </c>
      <c r="I6" s="85" t="s">
        <v>88</v>
      </c>
      <c r="J6" s="120"/>
    </row>
    <row r="7" spans="1:10" ht="43.2">
      <c r="A7" s="120"/>
      <c r="B7" s="192"/>
      <c r="C7" s="6" t="s">
        <v>58</v>
      </c>
      <c r="D7" s="6" t="s">
        <v>505</v>
      </c>
      <c r="E7" s="6" t="s">
        <v>506</v>
      </c>
      <c r="F7" s="6" t="s">
        <v>58</v>
      </c>
      <c r="G7" s="6" t="s">
        <v>506</v>
      </c>
      <c r="H7" s="6" t="s">
        <v>204</v>
      </c>
      <c r="I7" s="6" t="s">
        <v>204</v>
      </c>
      <c r="J7" s="120"/>
    </row>
    <row r="8" spans="1:10" hidden="1">
      <c r="A8" s="120"/>
      <c r="B8" s="122">
        <f>ROW() - 7</f>
        <v>1</v>
      </c>
      <c r="C8" s="118" t="s">
        <v>303</v>
      </c>
      <c r="D8" s="121" t="s">
        <v>303</v>
      </c>
      <c r="E8" s="146" t="s">
        <v>507</v>
      </c>
      <c r="F8" s="146" t="s">
        <v>144</v>
      </c>
      <c r="G8" s="146" t="s">
        <v>508</v>
      </c>
      <c r="H8" s="145">
        <v>0</v>
      </c>
      <c r="I8" s="122" t="s">
        <v>304</v>
      </c>
      <c r="J8" s="120"/>
    </row>
    <row r="9" spans="1:10" hidden="1">
      <c r="A9" s="120"/>
      <c r="B9" s="122">
        <f t="shared" ref="B9:B76" si="0">ROW() - 7</f>
        <v>2</v>
      </c>
      <c r="C9" s="137" t="s">
        <v>312</v>
      </c>
      <c r="D9" s="121" t="s">
        <v>509</v>
      </c>
      <c r="E9" s="146" t="s">
        <v>508</v>
      </c>
      <c r="F9" s="146" t="s">
        <v>144</v>
      </c>
      <c r="G9" s="146" t="s">
        <v>508</v>
      </c>
      <c r="H9" s="145">
        <v>5</v>
      </c>
      <c r="I9" s="121" t="s">
        <v>313</v>
      </c>
      <c r="J9" s="120"/>
    </row>
    <row r="10" spans="1:10" hidden="1">
      <c r="A10" s="120"/>
      <c r="B10" s="122">
        <f t="shared" si="0"/>
        <v>3</v>
      </c>
      <c r="C10" s="137" t="s">
        <v>314</v>
      </c>
      <c r="D10" s="122" t="s">
        <v>510</v>
      </c>
      <c r="E10" s="146" t="s">
        <v>507</v>
      </c>
      <c r="F10" s="146" t="s">
        <v>144</v>
      </c>
      <c r="G10" s="146" t="s">
        <v>508</v>
      </c>
      <c r="H10" s="145">
        <v>0</v>
      </c>
      <c r="I10" s="121" t="s">
        <v>315</v>
      </c>
      <c r="J10" s="120"/>
    </row>
    <row r="11" spans="1:10" hidden="1">
      <c r="A11" s="120"/>
      <c r="B11" s="122">
        <f t="shared" si="0"/>
        <v>4</v>
      </c>
      <c r="C11" s="137" t="s">
        <v>316</v>
      </c>
      <c r="D11" s="121" t="s">
        <v>312</v>
      </c>
      <c r="E11" s="146" t="s">
        <v>508</v>
      </c>
      <c r="F11" s="146" t="s">
        <v>144</v>
      </c>
      <c r="G11" s="146" t="s">
        <v>508</v>
      </c>
      <c r="H11" s="145">
        <v>8</v>
      </c>
      <c r="I11" s="121" t="s">
        <v>317</v>
      </c>
      <c r="J11" s="120"/>
    </row>
    <row r="12" spans="1:10" hidden="1">
      <c r="A12" s="120"/>
      <c r="B12" s="122">
        <f t="shared" si="0"/>
        <v>5</v>
      </c>
      <c r="C12" s="118" t="s">
        <v>318</v>
      </c>
      <c r="D12" s="122" t="s">
        <v>326</v>
      </c>
      <c r="E12" s="146" t="s">
        <v>508</v>
      </c>
      <c r="F12" s="146" t="s">
        <v>144</v>
      </c>
      <c r="G12" s="146" t="s">
        <v>508</v>
      </c>
      <c r="H12" s="145">
        <v>8</v>
      </c>
      <c r="I12" s="122" t="s">
        <v>319</v>
      </c>
      <c r="J12" s="120"/>
    </row>
    <row r="13" spans="1:10" hidden="1">
      <c r="A13" s="51"/>
      <c r="B13" s="122">
        <f t="shared" si="0"/>
        <v>6</v>
      </c>
      <c r="C13" s="118" t="s">
        <v>320</v>
      </c>
      <c r="D13" s="121" t="s">
        <v>328</v>
      </c>
      <c r="E13" s="146" t="s">
        <v>508</v>
      </c>
      <c r="F13" s="146" t="s">
        <v>144</v>
      </c>
      <c r="G13" s="146" t="s">
        <v>508</v>
      </c>
      <c r="H13" s="145">
        <v>8</v>
      </c>
      <c r="I13" s="122" t="s">
        <v>321</v>
      </c>
      <c r="J13" s="120"/>
    </row>
    <row r="14" spans="1:10" hidden="1">
      <c r="A14" s="51"/>
      <c r="B14" s="122">
        <f>ROW() - 7</f>
        <v>7</v>
      </c>
      <c r="C14" s="118" t="s">
        <v>322</v>
      </c>
      <c r="D14" s="121" t="s">
        <v>511</v>
      </c>
      <c r="E14" s="146" t="s">
        <v>508</v>
      </c>
      <c r="F14" s="146" t="s">
        <v>144</v>
      </c>
      <c r="G14" s="146" t="s">
        <v>508</v>
      </c>
      <c r="H14" s="145">
        <v>10</v>
      </c>
      <c r="I14" s="122" t="s">
        <v>323</v>
      </c>
      <c r="J14" s="120"/>
    </row>
    <row r="15" spans="1:10" hidden="1">
      <c r="A15" s="51"/>
      <c r="B15" s="122">
        <f t="shared" si="0"/>
        <v>8</v>
      </c>
      <c r="C15" s="118" t="s">
        <v>324</v>
      </c>
      <c r="D15" s="121" t="s">
        <v>422</v>
      </c>
      <c r="E15" s="146" t="s">
        <v>508</v>
      </c>
      <c r="F15" s="146" t="s">
        <v>144</v>
      </c>
      <c r="G15" s="146" t="s">
        <v>508</v>
      </c>
      <c r="H15" s="145">
        <v>10</v>
      </c>
      <c r="I15" s="122" t="s">
        <v>325</v>
      </c>
      <c r="J15" s="120"/>
    </row>
    <row r="16" spans="1:10" hidden="1">
      <c r="A16" s="51"/>
      <c r="B16" s="122">
        <f t="shared" si="0"/>
        <v>9</v>
      </c>
      <c r="C16" s="118" t="s">
        <v>326</v>
      </c>
      <c r="D16" s="121" t="s">
        <v>512</v>
      </c>
      <c r="E16" s="146" t="s">
        <v>508</v>
      </c>
      <c r="F16" s="146" t="s">
        <v>144</v>
      </c>
      <c r="G16" s="146" t="s">
        <v>508</v>
      </c>
      <c r="H16" s="145">
        <v>10</v>
      </c>
      <c r="I16" s="122" t="s">
        <v>327</v>
      </c>
      <c r="J16" s="120"/>
    </row>
    <row r="17" spans="1:9" hidden="1">
      <c r="A17" s="51"/>
      <c r="B17" s="122">
        <f t="shared" si="0"/>
        <v>10</v>
      </c>
      <c r="C17" s="118" t="s">
        <v>328</v>
      </c>
      <c r="D17" s="121" t="s">
        <v>513</v>
      </c>
      <c r="E17" s="146" t="s">
        <v>508</v>
      </c>
      <c r="F17" s="146" t="s">
        <v>144</v>
      </c>
      <c r="G17" s="146" t="s">
        <v>508</v>
      </c>
      <c r="H17" s="145">
        <v>10</v>
      </c>
      <c r="I17" s="122" t="s">
        <v>329</v>
      </c>
    </row>
    <row r="18" spans="1:9" hidden="1">
      <c r="A18" s="51"/>
      <c r="B18" s="122">
        <f t="shared" si="0"/>
        <v>11</v>
      </c>
      <c r="C18" s="118" t="s">
        <v>330</v>
      </c>
      <c r="D18" s="121" t="s">
        <v>514</v>
      </c>
      <c r="E18" s="146" t="s">
        <v>508</v>
      </c>
      <c r="F18" s="146" t="s">
        <v>144</v>
      </c>
      <c r="G18" s="146" t="s">
        <v>508</v>
      </c>
      <c r="H18" s="145">
        <v>10</v>
      </c>
      <c r="I18" s="122" t="s">
        <v>331</v>
      </c>
    </row>
    <row r="19" spans="1:9" ht="16.2" hidden="1">
      <c r="A19" s="92"/>
      <c r="B19" s="122">
        <f t="shared" si="0"/>
        <v>12</v>
      </c>
      <c r="C19" s="118" t="s">
        <v>333</v>
      </c>
      <c r="D19" s="121" t="s">
        <v>515</v>
      </c>
      <c r="E19" s="146" t="s">
        <v>508</v>
      </c>
      <c r="F19" s="146" t="s">
        <v>144</v>
      </c>
      <c r="G19" s="146" t="s">
        <v>508</v>
      </c>
      <c r="H19" s="145">
        <v>10</v>
      </c>
      <c r="I19" s="122" t="s">
        <v>334</v>
      </c>
    </row>
    <row r="20" spans="1:9" hidden="1">
      <c r="A20" s="51"/>
      <c r="B20" s="122">
        <f t="shared" si="0"/>
        <v>13</v>
      </c>
      <c r="C20" s="118" t="s">
        <v>335</v>
      </c>
      <c r="D20" s="121" t="s">
        <v>516</v>
      </c>
      <c r="E20" s="146" t="s">
        <v>508</v>
      </c>
      <c r="F20" s="146" t="s">
        <v>144</v>
      </c>
      <c r="G20" s="146" t="s">
        <v>508</v>
      </c>
      <c r="H20" s="145">
        <v>10</v>
      </c>
      <c r="I20" s="122" t="s">
        <v>336</v>
      </c>
    </row>
    <row r="21" spans="1:9" hidden="1">
      <c r="A21" s="51"/>
      <c r="B21" s="122">
        <f t="shared" si="0"/>
        <v>14</v>
      </c>
      <c r="C21" s="118" t="s">
        <v>337</v>
      </c>
      <c r="D21" s="121" t="s">
        <v>517</v>
      </c>
      <c r="E21" s="146" t="s">
        <v>508</v>
      </c>
      <c r="F21" s="146" t="s">
        <v>144</v>
      </c>
      <c r="G21" s="146" t="s">
        <v>508</v>
      </c>
      <c r="H21" s="145">
        <v>10</v>
      </c>
      <c r="I21" s="122" t="s">
        <v>338</v>
      </c>
    </row>
    <row r="22" spans="1:9" hidden="1">
      <c r="A22" s="51"/>
      <c r="B22" s="122">
        <f t="shared" si="0"/>
        <v>15</v>
      </c>
      <c r="C22" s="139" t="s">
        <v>339</v>
      </c>
      <c r="D22" s="121" t="s">
        <v>424</v>
      </c>
      <c r="E22" s="146" t="s">
        <v>508</v>
      </c>
      <c r="F22" s="146" t="s">
        <v>144</v>
      </c>
      <c r="G22" s="146" t="s">
        <v>508</v>
      </c>
      <c r="H22" s="145">
        <v>10</v>
      </c>
      <c r="I22" s="122" t="s">
        <v>340</v>
      </c>
    </row>
    <row r="23" spans="1:9" hidden="1">
      <c r="A23" s="51"/>
      <c r="B23" s="122">
        <f t="shared" si="0"/>
        <v>16</v>
      </c>
      <c r="C23" s="139" t="s">
        <v>341</v>
      </c>
      <c r="D23" s="121" t="s">
        <v>426</v>
      </c>
      <c r="E23" s="146" t="s">
        <v>508</v>
      </c>
      <c r="F23" s="146" t="s">
        <v>144</v>
      </c>
      <c r="G23" s="146" t="s">
        <v>508</v>
      </c>
      <c r="H23" s="145">
        <v>10</v>
      </c>
      <c r="I23" s="122" t="s">
        <v>342</v>
      </c>
    </row>
    <row r="24" spans="1:9" hidden="1">
      <c r="A24" s="51"/>
      <c r="B24" s="122">
        <f t="shared" si="0"/>
        <v>17</v>
      </c>
      <c r="C24" s="140" t="s">
        <v>343</v>
      </c>
      <c r="D24" s="121" t="s">
        <v>428</v>
      </c>
      <c r="E24" s="146" t="s">
        <v>508</v>
      </c>
      <c r="F24" s="146" t="s">
        <v>144</v>
      </c>
      <c r="G24" s="146" t="s">
        <v>508</v>
      </c>
      <c r="H24" s="145">
        <v>10</v>
      </c>
      <c r="I24" s="121" t="s">
        <v>344</v>
      </c>
    </row>
    <row r="25" spans="1:9" hidden="1">
      <c r="A25" s="51"/>
      <c r="B25" s="122">
        <f t="shared" si="0"/>
        <v>18</v>
      </c>
      <c r="C25" s="118" t="s">
        <v>345</v>
      </c>
      <c r="D25" s="121" t="s">
        <v>430</v>
      </c>
      <c r="E25" s="146" t="s">
        <v>508</v>
      </c>
      <c r="F25" s="146" t="s">
        <v>144</v>
      </c>
      <c r="G25" s="146" t="s">
        <v>508</v>
      </c>
      <c r="H25" s="145">
        <v>10</v>
      </c>
      <c r="I25" s="122" t="s">
        <v>346</v>
      </c>
    </row>
    <row r="26" spans="1:9" hidden="1">
      <c r="A26" s="120"/>
      <c r="B26" s="122">
        <f t="shared" si="0"/>
        <v>19</v>
      </c>
      <c r="C26" s="118" t="s">
        <v>347</v>
      </c>
      <c r="D26" s="122" t="s">
        <v>432</v>
      </c>
      <c r="E26" s="146" t="s">
        <v>508</v>
      </c>
      <c r="F26" s="146" t="s">
        <v>144</v>
      </c>
      <c r="G26" s="146" t="s">
        <v>508</v>
      </c>
      <c r="H26" s="145">
        <v>8</v>
      </c>
      <c r="I26" s="122" t="s">
        <v>348</v>
      </c>
    </row>
    <row r="27" spans="1:9" hidden="1">
      <c r="A27" s="120"/>
      <c r="B27" s="122">
        <f t="shared" si="0"/>
        <v>20</v>
      </c>
      <c r="C27" s="118" t="s">
        <v>349</v>
      </c>
      <c r="D27" s="122" t="s">
        <v>434</v>
      </c>
      <c r="E27" s="146" t="s">
        <v>508</v>
      </c>
      <c r="F27" s="146" t="s">
        <v>144</v>
      </c>
      <c r="G27" s="146" t="s">
        <v>508</v>
      </c>
      <c r="H27" s="145">
        <v>8</v>
      </c>
      <c r="I27" s="122" t="s">
        <v>350</v>
      </c>
    </row>
    <row r="28" spans="1:9" hidden="1">
      <c r="A28" s="120"/>
      <c r="B28" s="122">
        <f t="shared" si="0"/>
        <v>21</v>
      </c>
      <c r="C28" s="118" t="s">
        <v>351</v>
      </c>
      <c r="D28" s="122" t="s">
        <v>436</v>
      </c>
      <c r="E28" s="146" t="s">
        <v>508</v>
      </c>
      <c r="F28" s="146" t="s">
        <v>144</v>
      </c>
      <c r="G28" s="146" t="s">
        <v>508</v>
      </c>
      <c r="H28" s="145">
        <v>8</v>
      </c>
      <c r="I28" s="122" t="s">
        <v>352</v>
      </c>
    </row>
    <row r="29" spans="1:9" hidden="1">
      <c r="A29" s="120"/>
      <c r="B29" s="122">
        <f t="shared" si="0"/>
        <v>22</v>
      </c>
      <c r="C29" s="118" t="s">
        <v>353</v>
      </c>
      <c r="D29" s="121" t="s">
        <v>438</v>
      </c>
      <c r="E29" s="146" t="s">
        <v>508</v>
      </c>
      <c r="F29" s="146" t="s">
        <v>144</v>
      </c>
      <c r="G29" s="146" t="s">
        <v>508</v>
      </c>
      <c r="H29" s="145">
        <v>10</v>
      </c>
      <c r="I29" s="122" t="s">
        <v>354</v>
      </c>
    </row>
    <row r="30" spans="1:9" hidden="1">
      <c r="A30" s="120"/>
      <c r="B30" s="122">
        <f t="shared" si="0"/>
        <v>23</v>
      </c>
      <c r="C30" s="137" t="s">
        <v>355</v>
      </c>
      <c r="D30" s="121" t="s">
        <v>440</v>
      </c>
      <c r="E30" s="146" t="s">
        <v>508</v>
      </c>
      <c r="F30" s="146" t="s">
        <v>144</v>
      </c>
      <c r="G30" s="146" t="s">
        <v>508</v>
      </c>
      <c r="H30" s="145">
        <v>10</v>
      </c>
      <c r="I30" s="121" t="s">
        <v>356</v>
      </c>
    </row>
    <row r="31" spans="1:9" hidden="1">
      <c r="A31" s="120"/>
      <c r="B31" s="122">
        <f t="shared" si="0"/>
        <v>24</v>
      </c>
      <c r="C31" s="118" t="s">
        <v>357</v>
      </c>
      <c r="D31" s="122" t="s">
        <v>442</v>
      </c>
      <c r="E31" s="146" t="s">
        <v>508</v>
      </c>
      <c r="F31" s="146" t="s">
        <v>144</v>
      </c>
      <c r="G31" s="146" t="s">
        <v>508</v>
      </c>
      <c r="H31" s="145">
        <v>10</v>
      </c>
      <c r="I31" s="122" t="s">
        <v>358</v>
      </c>
    </row>
    <row r="32" spans="1:9" hidden="1">
      <c r="A32" s="120"/>
      <c r="B32" s="122">
        <f t="shared" si="0"/>
        <v>25</v>
      </c>
      <c r="C32" s="137" t="s">
        <v>359</v>
      </c>
      <c r="D32" s="121" t="s">
        <v>444</v>
      </c>
      <c r="E32" s="146" t="s">
        <v>508</v>
      </c>
      <c r="F32" s="146" t="s">
        <v>144</v>
      </c>
      <c r="G32" s="146" t="s">
        <v>508</v>
      </c>
      <c r="H32" s="145">
        <v>10</v>
      </c>
      <c r="I32" s="121" t="s">
        <v>360</v>
      </c>
    </row>
    <row r="33" spans="2:9" hidden="1">
      <c r="B33" s="122">
        <f t="shared" si="0"/>
        <v>26</v>
      </c>
      <c r="C33" s="137" t="s">
        <v>361</v>
      </c>
      <c r="D33" s="121" t="s">
        <v>446</v>
      </c>
      <c r="E33" s="146" t="s">
        <v>508</v>
      </c>
      <c r="F33" s="146" t="s">
        <v>144</v>
      </c>
      <c r="G33" s="146" t="s">
        <v>508</v>
      </c>
      <c r="H33" s="145">
        <v>10</v>
      </c>
      <c r="I33" s="121" t="s">
        <v>362</v>
      </c>
    </row>
    <row r="34" spans="2:9" hidden="1">
      <c r="B34" s="122">
        <f t="shared" si="0"/>
        <v>27</v>
      </c>
      <c r="C34" s="118" t="s">
        <v>363</v>
      </c>
      <c r="D34" s="121" t="s">
        <v>446</v>
      </c>
      <c r="E34" s="146" t="s">
        <v>508</v>
      </c>
      <c r="F34" s="146" t="s">
        <v>144</v>
      </c>
      <c r="G34" s="146" t="s">
        <v>508</v>
      </c>
      <c r="H34" s="145">
        <v>10</v>
      </c>
      <c r="I34" s="122" t="s">
        <v>364</v>
      </c>
    </row>
    <row r="35" spans="2:9" hidden="1">
      <c r="B35" s="122">
        <f t="shared" si="0"/>
        <v>28</v>
      </c>
      <c r="C35" s="139" t="s">
        <v>365</v>
      </c>
      <c r="D35" s="121" t="s">
        <v>446</v>
      </c>
      <c r="E35" s="146" t="s">
        <v>508</v>
      </c>
      <c r="F35" s="146" t="s">
        <v>144</v>
      </c>
      <c r="G35" s="146" t="s">
        <v>508</v>
      </c>
      <c r="H35" s="145">
        <v>10</v>
      </c>
      <c r="I35" s="122" t="s">
        <v>366</v>
      </c>
    </row>
    <row r="36" spans="2:9" hidden="1">
      <c r="B36" s="122">
        <f t="shared" si="0"/>
        <v>29</v>
      </c>
      <c r="C36" s="139" t="s">
        <v>367</v>
      </c>
      <c r="D36" s="121" t="s">
        <v>446</v>
      </c>
      <c r="E36" s="146" t="s">
        <v>508</v>
      </c>
      <c r="F36" s="146" t="s">
        <v>144</v>
      </c>
      <c r="G36" s="146" t="s">
        <v>508</v>
      </c>
      <c r="H36" s="145">
        <v>10</v>
      </c>
      <c r="I36" s="122" t="s">
        <v>368</v>
      </c>
    </row>
    <row r="37" spans="2:9" hidden="1">
      <c r="B37" s="122">
        <f t="shared" si="0"/>
        <v>30</v>
      </c>
      <c r="C37" s="139" t="s">
        <v>369</v>
      </c>
      <c r="D37" s="121" t="s">
        <v>446</v>
      </c>
      <c r="E37" s="146" t="s">
        <v>508</v>
      </c>
      <c r="F37" s="146" t="s">
        <v>144</v>
      </c>
      <c r="G37" s="146" t="s">
        <v>508</v>
      </c>
      <c r="H37" s="145">
        <v>8</v>
      </c>
      <c r="I37" s="122" t="s">
        <v>370</v>
      </c>
    </row>
    <row r="38" spans="2:9" hidden="1">
      <c r="B38" s="122">
        <f t="shared" si="0"/>
        <v>31</v>
      </c>
      <c r="C38" s="118" t="s">
        <v>371</v>
      </c>
      <c r="D38" s="121" t="s">
        <v>446</v>
      </c>
      <c r="E38" s="146" t="s">
        <v>508</v>
      </c>
      <c r="F38" s="146" t="s">
        <v>144</v>
      </c>
      <c r="G38" s="146" t="s">
        <v>508</v>
      </c>
      <c r="H38" s="145">
        <v>8</v>
      </c>
      <c r="I38" s="122" t="s">
        <v>372</v>
      </c>
    </row>
    <row r="39" spans="2:9" hidden="1">
      <c r="B39" s="122">
        <f t="shared" si="0"/>
        <v>32</v>
      </c>
      <c r="C39" s="139" t="s">
        <v>373</v>
      </c>
      <c r="D39" s="121" t="s">
        <v>446</v>
      </c>
      <c r="E39" s="146" t="s">
        <v>508</v>
      </c>
      <c r="F39" s="146" t="s">
        <v>144</v>
      </c>
      <c r="G39" s="146" t="s">
        <v>508</v>
      </c>
      <c r="H39" s="145">
        <v>8</v>
      </c>
      <c r="I39" s="122" t="s">
        <v>374</v>
      </c>
    </row>
    <row r="40" spans="2:9" hidden="1">
      <c r="B40" s="122">
        <f t="shared" si="0"/>
        <v>33</v>
      </c>
      <c r="C40" s="139" t="s">
        <v>375</v>
      </c>
      <c r="D40" s="121" t="s">
        <v>446</v>
      </c>
      <c r="E40" s="146" t="s">
        <v>508</v>
      </c>
      <c r="F40" s="146" t="s">
        <v>144</v>
      </c>
      <c r="G40" s="146" t="s">
        <v>508</v>
      </c>
      <c r="H40" s="145">
        <v>10</v>
      </c>
      <c r="I40" s="122" t="s">
        <v>376</v>
      </c>
    </row>
    <row r="41" spans="2:9" hidden="1">
      <c r="B41" s="122">
        <f t="shared" si="0"/>
        <v>34</v>
      </c>
      <c r="C41" s="139" t="s">
        <v>377</v>
      </c>
      <c r="D41" s="121" t="s">
        <v>446</v>
      </c>
      <c r="E41" s="146" t="s">
        <v>508</v>
      </c>
      <c r="F41" s="146" t="s">
        <v>144</v>
      </c>
      <c r="G41" s="146" t="s">
        <v>508</v>
      </c>
      <c r="H41" s="145">
        <v>10</v>
      </c>
      <c r="I41" s="122" t="s">
        <v>378</v>
      </c>
    </row>
    <row r="42" spans="2:9" hidden="1">
      <c r="B42" s="122">
        <f t="shared" si="0"/>
        <v>35</v>
      </c>
      <c r="C42" s="118" t="s">
        <v>379</v>
      </c>
      <c r="D42" s="121" t="s">
        <v>446</v>
      </c>
      <c r="E42" s="146" t="s">
        <v>508</v>
      </c>
      <c r="F42" s="146" t="s">
        <v>144</v>
      </c>
      <c r="G42" s="146" t="s">
        <v>508</v>
      </c>
      <c r="H42" s="145">
        <v>10</v>
      </c>
      <c r="I42" s="122" t="s">
        <v>380</v>
      </c>
    </row>
    <row r="43" spans="2:9" hidden="1">
      <c r="B43" s="122">
        <f t="shared" si="0"/>
        <v>36</v>
      </c>
      <c r="C43" s="139" t="s">
        <v>381</v>
      </c>
      <c r="D43" s="121" t="s">
        <v>446</v>
      </c>
      <c r="E43" s="146" t="s">
        <v>508</v>
      </c>
      <c r="F43" s="146" t="s">
        <v>144</v>
      </c>
      <c r="G43" s="146" t="s">
        <v>508</v>
      </c>
      <c r="H43" s="145">
        <v>10</v>
      </c>
      <c r="I43" s="122" t="s">
        <v>382</v>
      </c>
    </row>
    <row r="44" spans="2:9" hidden="1">
      <c r="B44" s="122">
        <f t="shared" si="0"/>
        <v>37</v>
      </c>
      <c r="C44" s="139" t="s">
        <v>383</v>
      </c>
      <c r="D44" s="121" t="s">
        <v>446</v>
      </c>
      <c r="E44" s="146" t="s">
        <v>508</v>
      </c>
      <c r="F44" s="146" t="s">
        <v>144</v>
      </c>
      <c r="G44" s="146" t="s">
        <v>508</v>
      </c>
      <c r="H44" s="145">
        <v>10</v>
      </c>
      <c r="I44" s="122" t="s">
        <v>384</v>
      </c>
    </row>
    <row r="45" spans="2:9" hidden="1">
      <c r="B45" s="122">
        <f t="shared" si="0"/>
        <v>38</v>
      </c>
      <c r="C45" s="139" t="s">
        <v>385</v>
      </c>
      <c r="D45" s="121" t="s">
        <v>446</v>
      </c>
      <c r="E45" s="146" t="s">
        <v>508</v>
      </c>
      <c r="F45" s="146" t="s">
        <v>144</v>
      </c>
      <c r="G45" s="146" t="s">
        <v>508</v>
      </c>
      <c r="H45" s="145">
        <v>10</v>
      </c>
      <c r="I45" s="122" t="s">
        <v>386</v>
      </c>
    </row>
    <row r="46" spans="2:9" hidden="1">
      <c r="B46" s="122">
        <f t="shared" si="0"/>
        <v>39</v>
      </c>
      <c r="C46" s="118" t="s">
        <v>387</v>
      </c>
      <c r="D46" s="121" t="s">
        <v>446</v>
      </c>
      <c r="E46" s="146" t="s">
        <v>508</v>
      </c>
      <c r="F46" s="146" t="s">
        <v>144</v>
      </c>
      <c r="G46" s="146" t="s">
        <v>508</v>
      </c>
      <c r="H46" s="145">
        <v>10</v>
      </c>
      <c r="I46" s="122" t="s">
        <v>388</v>
      </c>
    </row>
    <row r="47" spans="2:9" hidden="1">
      <c r="B47" s="122">
        <f t="shared" si="0"/>
        <v>40</v>
      </c>
      <c r="C47" s="139" t="s">
        <v>389</v>
      </c>
      <c r="D47" s="121" t="s">
        <v>446</v>
      </c>
      <c r="E47" s="146" t="s">
        <v>508</v>
      </c>
      <c r="F47" s="146" t="s">
        <v>144</v>
      </c>
      <c r="G47" s="146" t="s">
        <v>508</v>
      </c>
      <c r="H47" s="145">
        <v>10</v>
      </c>
      <c r="I47" s="122" t="s">
        <v>390</v>
      </c>
    </row>
    <row r="48" spans="2:9" hidden="1">
      <c r="B48" s="122">
        <f t="shared" si="0"/>
        <v>41</v>
      </c>
      <c r="C48" s="139" t="s">
        <v>391</v>
      </c>
      <c r="D48" s="121" t="s">
        <v>446</v>
      </c>
      <c r="E48" s="146" t="s">
        <v>508</v>
      </c>
      <c r="F48" s="146" t="s">
        <v>144</v>
      </c>
      <c r="G48" s="146" t="s">
        <v>508</v>
      </c>
      <c r="H48" s="145">
        <v>8</v>
      </c>
      <c r="I48" s="122" t="s">
        <v>392</v>
      </c>
    </row>
    <row r="49" spans="1:10" hidden="1">
      <c r="A49" s="120"/>
      <c r="B49" s="122">
        <f t="shared" si="0"/>
        <v>42</v>
      </c>
      <c r="C49" s="139" t="s">
        <v>393</v>
      </c>
      <c r="D49" s="121" t="s">
        <v>446</v>
      </c>
      <c r="E49" s="146" t="s">
        <v>508</v>
      </c>
      <c r="F49" s="146" t="s">
        <v>144</v>
      </c>
      <c r="G49" s="146" t="s">
        <v>508</v>
      </c>
      <c r="H49" s="145">
        <v>8</v>
      </c>
      <c r="I49" s="122" t="s">
        <v>394</v>
      </c>
      <c r="J49" s="120"/>
    </row>
    <row r="50" spans="1:10" hidden="1">
      <c r="A50" s="120"/>
      <c r="B50" s="122">
        <f t="shared" si="0"/>
        <v>43</v>
      </c>
      <c r="C50" s="118" t="s">
        <v>395</v>
      </c>
      <c r="D50" s="121" t="s">
        <v>446</v>
      </c>
      <c r="E50" s="146" t="s">
        <v>508</v>
      </c>
      <c r="F50" s="146" t="s">
        <v>144</v>
      </c>
      <c r="G50" s="146" t="s">
        <v>508</v>
      </c>
      <c r="H50" s="145">
        <v>8</v>
      </c>
      <c r="I50" s="122" t="s">
        <v>396</v>
      </c>
      <c r="J50" s="120"/>
    </row>
    <row r="51" spans="1:10">
      <c r="A51" s="51"/>
      <c r="B51" s="122">
        <f t="shared" si="0"/>
        <v>44</v>
      </c>
      <c r="C51" s="118" t="s">
        <v>397</v>
      </c>
      <c r="D51" s="121" t="s">
        <v>397</v>
      </c>
      <c r="E51" s="146" t="s">
        <v>508</v>
      </c>
      <c r="F51" s="146" t="s">
        <v>144</v>
      </c>
      <c r="G51" s="146" t="s">
        <v>518</v>
      </c>
      <c r="H51" s="145">
        <v>0</v>
      </c>
      <c r="I51" s="122" t="s">
        <v>398</v>
      </c>
      <c r="J51" s="125" t="s">
        <v>399</v>
      </c>
    </row>
    <row r="52" spans="1:10" ht="16.2">
      <c r="A52" s="92"/>
      <c r="B52" s="122">
        <f t="shared" si="0"/>
        <v>45</v>
      </c>
      <c r="C52" s="118" t="s">
        <v>400</v>
      </c>
      <c r="D52" s="121" t="s">
        <v>400</v>
      </c>
      <c r="E52" s="146" t="s">
        <v>508</v>
      </c>
      <c r="F52" s="146" t="s">
        <v>144</v>
      </c>
      <c r="G52" s="146" t="s">
        <v>508</v>
      </c>
      <c r="H52" s="145">
        <v>10</v>
      </c>
      <c r="I52" s="122" t="s">
        <v>401</v>
      </c>
      <c r="J52" s="125" t="s">
        <v>399</v>
      </c>
    </row>
    <row r="53" spans="1:10">
      <c r="A53" s="51"/>
      <c r="B53" s="122">
        <f t="shared" si="0"/>
        <v>46</v>
      </c>
      <c r="C53" s="118" t="s">
        <v>402</v>
      </c>
      <c r="D53" s="121" t="s">
        <v>402</v>
      </c>
      <c r="E53" s="146" t="s">
        <v>508</v>
      </c>
      <c r="F53" s="146" t="s">
        <v>144</v>
      </c>
      <c r="G53" s="146" t="s">
        <v>508</v>
      </c>
      <c r="H53" s="145">
        <v>10</v>
      </c>
      <c r="I53" s="122" t="s">
        <v>403</v>
      </c>
      <c r="J53" s="125" t="s">
        <v>399</v>
      </c>
    </row>
    <row r="54" spans="1:10">
      <c r="A54" s="51"/>
      <c r="B54" s="122">
        <f t="shared" si="0"/>
        <v>47</v>
      </c>
      <c r="C54" s="118" t="s">
        <v>404</v>
      </c>
      <c r="D54" s="121" t="s">
        <v>404</v>
      </c>
      <c r="E54" s="146" t="s">
        <v>508</v>
      </c>
      <c r="F54" s="146" t="s">
        <v>144</v>
      </c>
      <c r="G54" s="146" t="s">
        <v>508</v>
      </c>
      <c r="H54" s="145">
        <v>10</v>
      </c>
      <c r="I54" s="122" t="s">
        <v>405</v>
      </c>
      <c r="J54" s="125" t="s">
        <v>399</v>
      </c>
    </row>
    <row r="55" spans="1:10">
      <c r="A55" s="51"/>
      <c r="B55" s="122">
        <f t="shared" si="0"/>
        <v>48</v>
      </c>
      <c r="C55" s="139" t="s">
        <v>406</v>
      </c>
      <c r="D55" s="121" t="s">
        <v>406</v>
      </c>
      <c r="E55" s="146" t="s">
        <v>508</v>
      </c>
      <c r="F55" s="146" t="s">
        <v>144</v>
      </c>
      <c r="G55" s="146" t="s">
        <v>508</v>
      </c>
      <c r="H55" s="145">
        <v>10</v>
      </c>
      <c r="I55" s="122" t="s">
        <v>407</v>
      </c>
      <c r="J55" s="125" t="s">
        <v>399</v>
      </c>
    </row>
    <row r="56" spans="1:10">
      <c r="A56" s="51"/>
      <c r="B56" s="122">
        <f t="shared" si="0"/>
        <v>49</v>
      </c>
      <c r="C56" s="139" t="s">
        <v>408</v>
      </c>
      <c r="D56" s="121" t="s">
        <v>408</v>
      </c>
      <c r="E56" s="146" t="s">
        <v>508</v>
      </c>
      <c r="F56" s="146" t="s">
        <v>144</v>
      </c>
      <c r="G56" s="146" t="s">
        <v>508</v>
      </c>
      <c r="H56" s="145">
        <v>10</v>
      </c>
      <c r="I56" s="122" t="s">
        <v>409</v>
      </c>
      <c r="J56" s="125" t="s">
        <v>399</v>
      </c>
    </row>
    <row r="57" spans="1:10">
      <c r="A57" s="51"/>
      <c r="B57" s="122">
        <f t="shared" si="0"/>
        <v>50</v>
      </c>
      <c r="C57" s="140" t="s">
        <v>410</v>
      </c>
      <c r="D57" s="121" t="s">
        <v>410</v>
      </c>
      <c r="E57" s="146" t="s">
        <v>508</v>
      </c>
      <c r="F57" s="146" t="s">
        <v>144</v>
      </c>
      <c r="G57" s="146" t="s">
        <v>508</v>
      </c>
      <c r="H57" s="145">
        <v>10</v>
      </c>
      <c r="I57" s="121" t="s">
        <v>411</v>
      </c>
      <c r="J57" s="125" t="s">
        <v>399</v>
      </c>
    </row>
    <row r="58" spans="1:10">
      <c r="A58" s="51"/>
      <c r="B58" s="122">
        <f t="shared" si="0"/>
        <v>51</v>
      </c>
      <c r="C58" s="118" t="s">
        <v>412</v>
      </c>
      <c r="D58" s="121" t="s">
        <v>412</v>
      </c>
      <c r="E58" s="146" t="s">
        <v>508</v>
      </c>
      <c r="F58" s="146" t="s">
        <v>144</v>
      </c>
      <c r="G58" s="146" t="s">
        <v>508</v>
      </c>
      <c r="H58" s="145">
        <v>10</v>
      </c>
      <c r="I58" s="122" t="s">
        <v>413</v>
      </c>
      <c r="J58" s="125" t="s">
        <v>399</v>
      </c>
    </row>
    <row r="59" spans="1:10">
      <c r="A59" s="120"/>
      <c r="B59" s="122">
        <f t="shared" si="0"/>
        <v>52</v>
      </c>
      <c r="C59" s="118" t="s">
        <v>414</v>
      </c>
      <c r="D59" s="122" t="s">
        <v>414</v>
      </c>
      <c r="E59" s="146" t="s">
        <v>508</v>
      </c>
      <c r="F59" s="146" t="s">
        <v>144</v>
      </c>
      <c r="G59" s="146" t="s">
        <v>508</v>
      </c>
      <c r="H59" s="145">
        <v>8</v>
      </c>
      <c r="I59" s="122" t="s">
        <v>415</v>
      </c>
      <c r="J59" s="125" t="s">
        <v>399</v>
      </c>
    </row>
    <row r="60" spans="1:10">
      <c r="A60" s="120"/>
      <c r="B60" s="122">
        <f t="shared" si="0"/>
        <v>53</v>
      </c>
      <c r="C60" s="118" t="s">
        <v>416</v>
      </c>
      <c r="D60" s="122" t="s">
        <v>416</v>
      </c>
      <c r="E60" s="146" t="s">
        <v>508</v>
      </c>
      <c r="F60" s="146" t="s">
        <v>144</v>
      </c>
      <c r="G60" s="146" t="s">
        <v>508</v>
      </c>
      <c r="H60" s="145">
        <v>8</v>
      </c>
      <c r="I60" s="122" t="s">
        <v>417</v>
      </c>
      <c r="J60" s="125" t="s">
        <v>399</v>
      </c>
    </row>
    <row r="61" spans="1:10">
      <c r="A61" s="120"/>
      <c r="B61" s="122">
        <f t="shared" si="0"/>
        <v>54</v>
      </c>
      <c r="C61" s="118" t="s">
        <v>418</v>
      </c>
      <c r="D61" s="122" t="s">
        <v>418</v>
      </c>
      <c r="E61" s="146" t="s">
        <v>508</v>
      </c>
      <c r="F61" s="146" t="s">
        <v>144</v>
      </c>
      <c r="G61" s="146" t="s">
        <v>508</v>
      </c>
      <c r="H61" s="145">
        <v>8</v>
      </c>
      <c r="I61" s="122" t="s">
        <v>419</v>
      </c>
      <c r="J61" s="125" t="s">
        <v>399</v>
      </c>
    </row>
    <row r="62" spans="1:10" hidden="1">
      <c r="A62" s="120"/>
      <c r="B62" s="122">
        <f t="shared" si="0"/>
        <v>55</v>
      </c>
      <c r="C62" s="139" t="s">
        <v>420</v>
      </c>
      <c r="D62" s="121" t="s">
        <v>446</v>
      </c>
      <c r="E62" s="146" t="s">
        <v>507</v>
      </c>
      <c r="F62" s="146" t="s">
        <v>144</v>
      </c>
      <c r="G62" s="146" t="s">
        <v>508</v>
      </c>
      <c r="H62" s="145">
        <v>0</v>
      </c>
      <c r="I62" s="122" t="s">
        <v>421</v>
      </c>
      <c r="J62" s="120"/>
    </row>
    <row r="63" spans="1:10" hidden="1">
      <c r="A63" s="120"/>
      <c r="B63" s="122">
        <f t="shared" si="0"/>
        <v>56</v>
      </c>
      <c r="C63" s="139" t="s">
        <v>422</v>
      </c>
      <c r="D63" s="121" t="s">
        <v>446</v>
      </c>
      <c r="E63" s="146" t="s">
        <v>508</v>
      </c>
      <c r="F63" s="146" t="s">
        <v>144</v>
      </c>
      <c r="G63" s="146" t="s">
        <v>508</v>
      </c>
      <c r="H63" s="145">
        <v>8</v>
      </c>
      <c r="I63" s="122" t="s">
        <v>423</v>
      </c>
      <c r="J63" s="120"/>
    </row>
    <row r="64" spans="1:10" hidden="1">
      <c r="A64" s="120"/>
      <c r="B64" s="122">
        <f t="shared" si="0"/>
        <v>57</v>
      </c>
      <c r="C64" s="139" t="s">
        <v>424</v>
      </c>
      <c r="D64" s="121" t="s">
        <v>446</v>
      </c>
      <c r="E64" s="146" t="s">
        <v>508</v>
      </c>
      <c r="F64" s="146" t="s">
        <v>144</v>
      </c>
      <c r="G64" s="146" t="s">
        <v>508</v>
      </c>
      <c r="H64" s="145">
        <v>8</v>
      </c>
      <c r="I64" s="122" t="s">
        <v>425</v>
      </c>
      <c r="J64" s="120"/>
    </row>
    <row r="65" spans="1:10" hidden="1">
      <c r="A65" s="120"/>
      <c r="B65" s="122">
        <f t="shared" si="0"/>
        <v>58</v>
      </c>
      <c r="C65" s="118" t="s">
        <v>426</v>
      </c>
      <c r="D65" s="121" t="s">
        <v>446</v>
      </c>
      <c r="E65" s="146" t="s">
        <v>508</v>
      </c>
      <c r="F65" s="146" t="s">
        <v>144</v>
      </c>
      <c r="G65" s="146" t="s">
        <v>508</v>
      </c>
      <c r="H65" s="145">
        <v>8</v>
      </c>
      <c r="I65" s="122" t="s">
        <v>427</v>
      </c>
      <c r="J65" s="120"/>
    </row>
    <row r="66" spans="1:10" hidden="1">
      <c r="A66" s="120"/>
      <c r="B66" s="122">
        <f t="shared" si="0"/>
        <v>59</v>
      </c>
      <c r="C66" s="139" t="s">
        <v>428</v>
      </c>
      <c r="D66" s="121" t="s">
        <v>446</v>
      </c>
      <c r="E66" s="146" t="s">
        <v>508</v>
      </c>
      <c r="F66" s="146" t="s">
        <v>144</v>
      </c>
      <c r="G66" s="146" t="s">
        <v>508</v>
      </c>
      <c r="H66" s="145">
        <v>8</v>
      </c>
      <c r="I66" s="122" t="s">
        <v>429</v>
      </c>
      <c r="J66" s="120"/>
    </row>
    <row r="67" spans="1:10" hidden="1">
      <c r="A67" s="120"/>
      <c r="B67" s="122">
        <f t="shared" si="0"/>
        <v>60</v>
      </c>
      <c r="C67" s="139" t="s">
        <v>430</v>
      </c>
      <c r="D67" s="121" t="s">
        <v>446</v>
      </c>
      <c r="E67" s="146" t="s">
        <v>508</v>
      </c>
      <c r="F67" s="146" t="s">
        <v>144</v>
      </c>
      <c r="G67" s="146" t="s">
        <v>508</v>
      </c>
      <c r="H67" s="145">
        <v>8</v>
      </c>
      <c r="I67" s="122" t="s">
        <v>431</v>
      </c>
      <c r="J67" s="120"/>
    </row>
    <row r="68" spans="1:10" hidden="1">
      <c r="A68" s="120"/>
      <c r="B68" s="122">
        <f t="shared" si="0"/>
        <v>61</v>
      </c>
      <c r="C68" s="139" t="s">
        <v>432</v>
      </c>
      <c r="D68" s="121" t="s">
        <v>446</v>
      </c>
      <c r="E68" s="146" t="s">
        <v>508</v>
      </c>
      <c r="F68" s="146" t="s">
        <v>144</v>
      </c>
      <c r="G68" s="146" t="s">
        <v>508</v>
      </c>
      <c r="H68" s="145">
        <v>10</v>
      </c>
      <c r="I68" s="122" t="s">
        <v>433</v>
      </c>
      <c r="J68" s="120"/>
    </row>
    <row r="69" spans="1:10" hidden="1">
      <c r="A69" s="120"/>
      <c r="B69" s="122">
        <f t="shared" si="0"/>
        <v>62</v>
      </c>
      <c r="C69" s="118" t="s">
        <v>434</v>
      </c>
      <c r="D69" s="121" t="s">
        <v>446</v>
      </c>
      <c r="E69" s="146" t="s">
        <v>508</v>
      </c>
      <c r="F69" s="146" t="s">
        <v>144</v>
      </c>
      <c r="G69" s="146" t="s">
        <v>508</v>
      </c>
      <c r="H69" s="145">
        <v>10</v>
      </c>
      <c r="I69" s="122" t="s">
        <v>435</v>
      </c>
      <c r="J69" s="120"/>
    </row>
    <row r="70" spans="1:10" hidden="1">
      <c r="A70" s="120"/>
      <c r="B70" s="122">
        <f t="shared" si="0"/>
        <v>63</v>
      </c>
      <c r="C70" s="139" t="s">
        <v>436</v>
      </c>
      <c r="D70" s="121" t="s">
        <v>446</v>
      </c>
      <c r="E70" s="146" t="s">
        <v>508</v>
      </c>
      <c r="F70" s="146" t="s">
        <v>144</v>
      </c>
      <c r="G70" s="146" t="s">
        <v>508</v>
      </c>
      <c r="H70" s="145">
        <v>10</v>
      </c>
      <c r="I70" s="122" t="s">
        <v>437</v>
      </c>
      <c r="J70" s="120"/>
    </row>
    <row r="71" spans="1:10" hidden="1">
      <c r="A71" s="120"/>
      <c r="B71" s="122">
        <f t="shared" si="0"/>
        <v>64</v>
      </c>
      <c r="C71" s="139" t="s">
        <v>438</v>
      </c>
      <c r="D71" s="121" t="s">
        <v>446</v>
      </c>
      <c r="E71" s="146" t="s">
        <v>508</v>
      </c>
      <c r="F71" s="146" t="s">
        <v>144</v>
      </c>
      <c r="G71" s="146" t="s">
        <v>508</v>
      </c>
      <c r="H71" s="145">
        <v>10</v>
      </c>
      <c r="I71" s="122" t="s">
        <v>439</v>
      </c>
      <c r="J71" s="120"/>
    </row>
    <row r="72" spans="1:10" hidden="1">
      <c r="A72" s="120"/>
      <c r="B72" s="122">
        <f t="shared" si="0"/>
        <v>65</v>
      </c>
      <c r="C72" s="118" t="s">
        <v>440</v>
      </c>
      <c r="D72" s="121" t="s">
        <v>446</v>
      </c>
      <c r="E72" s="146" t="s">
        <v>508</v>
      </c>
      <c r="F72" s="146" t="s">
        <v>144</v>
      </c>
      <c r="G72" s="146" t="s">
        <v>508</v>
      </c>
      <c r="H72" s="145">
        <v>10</v>
      </c>
      <c r="I72" s="122" t="s">
        <v>441</v>
      </c>
      <c r="J72" s="120"/>
    </row>
    <row r="73" spans="1:10" hidden="1">
      <c r="A73" s="120"/>
      <c r="B73" s="122">
        <f t="shared" si="0"/>
        <v>66</v>
      </c>
      <c r="C73" s="139" t="s">
        <v>442</v>
      </c>
      <c r="D73" s="121" t="s">
        <v>446</v>
      </c>
      <c r="E73" s="146" t="s">
        <v>508</v>
      </c>
      <c r="F73" s="146" t="s">
        <v>144</v>
      </c>
      <c r="G73" s="146" t="s">
        <v>508</v>
      </c>
      <c r="H73" s="145">
        <v>10</v>
      </c>
      <c r="I73" s="122" t="s">
        <v>443</v>
      </c>
      <c r="J73" s="120"/>
    </row>
    <row r="74" spans="1:10" hidden="1">
      <c r="A74" s="120"/>
      <c r="B74" s="122">
        <f t="shared" si="0"/>
        <v>67</v>
      </c>
      <c r="C74" s="139" t="s">
        <v>444</v>
      </c>
      <c r="D74" s="121" t="s">
        <v>446</v>
      </c>
      <c r="E74" s="146" t="s">
        <v>508</v>
      </c>
      <c r="F74" s="146" t="s">
        <v>144</v>
      </c>
      <c r="G74" s="146" t="s">
        <v>508</v>
      </c>
      <c r="H74" s="145">
        <v>10</v>
      </c>
      <c r="I74" s="122" t="s">
        <v>445</v>
      </c>
      <c r="J74" s="120"/>
    </row>
    <row r="75" spans="1:10" hidden="1">
      <c r="A75" s="120"/>
      <c r="B75" s="122">
        <f t="shared" si="0"/>
        <v>68</v>
      </c>
      <c r="C75" s="118" t="s">
        <v>446</v>
      </c>
      <c r="D75" s="121" t="s">
        <v>446</v>
      </c>
      <c r="E75" s="146" t="s">
        <v>508</v>
      </c>
      <c r="F75" s="146" t="s">
        <v>144</v>
      </c>
      <c r="G75" s="146" t="s">
        <v>508</v>
      </c>
      <c r="H75" s="145">
        <v>10</v>
      </c>
      <c r="I75" s="122" t="s">
        <v>447</v>
      </c>
      <c r="J75" s="120"/>
    </row>
    <row r="76" spans="1:10" hidden="1">
      <c r="A76" s="120"/>
      <c r="B76" s="122">
        <f t="shared" si="0"/>
        <v>69</v>
      </c>
      <c r="C76" s="118" t="s">
        <v>448</v>
      </c>
      <c r="D76" s="121" t="s">
        <v>448</v>
      </c>
      <c r="E76" s="146" t="s">
        <v>508</v>
      </c>
      <c r="F76" s="146" t="s">
        <v>144</v>
      </c>
      <c r="G76" s="146" t="s">
        <v>508</v>
      </c>
      <c r="H76" s="145">
        <v>0</v>
      </c>
      <c r="I76" s="122" t="s">
        <v>449</v>
      </c>
      <c r="J76" s="120" t="s">
        <v>457</v>
      </c>
    </row>
  </sheetData>
  <sheetProtection insertRows="0" deleteRows="0" sort="0" autoFilter="0"/>
  <autoFilter ref="A7:J76" xr:uid="{8347B562-93DC-4D96-800A-FEEC147F90D8}">
    <filterColumn colId="9">
      <filters>
        <filter val="2026/03/13　中村　追加"/>
      </filters>
    </filterColumn>
  </autoFilter>
  <sortState xmlns:xlrd2="http://schemas.microsoft.com/office/spreadsheetml/2017/richdata2" ref="C8:I33">
    <sortCondition ref="C8:C33"/>
  </sortState>
  <mergeCells count="2">
    <mergeCell ref="B4:B7"/>
    <mergeCell ref="F4:I4"/>
  </mergeCells>
  <phoneticPr fontId="12"/>
  <hyperlinks>
    <hyperlink ref="A3" location="パラメータ設定一覧!A1" display="パラメータ設定一覧へ" xr:uid="{77E99C64-631E-480C-87DF-32C8D222BB39}"/>
  </hyperlinks>
  <pageMargins left="0.70866141732283472" right="0.70866141732283472" top="0.74803149606299213" bottom="0.74803149606299213" header="0.31496062992125984" footer="0.31496062992125984"/>
  <pageSetup paperSize="9" scale="51" orientation="portrait" r:id="rId1"/>
  <headerFooter>
    <oddFooter>&amp;RCopyright  SATO HOLDINGS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51E58-7761-4046-95FB-25B918027109}">
  <sheetPr>
    <pageSetUpPr fitToPage="1"/>
  </sheetPr>
  <dimension ref="A1:J36"/>
  <sheetViews>
    <sheetView showGridLines="0" zoomScaleNormal="100" zoomScaleSheetLayoutView="70" workbookViewId="0">
      <pane xSplit="3" ySplit="6" topLeftCell="D7" activePane="bottomRight" state="frozen"/>
      <selection pane="topRight"/>
      <selection pane="bottomLeft"/>
      <selection pane="bottomRight" activeCell="C7" sqref="C7"/>
    </sheetView>
  </sheetViews>
  <sheetFormatPr defaultColWidth="8.81640625" defaultRowHeight="15"/>
  <cols>
    <col min="1" max="1" width="2.36328125" customWidth="1"/>
    <col min="2" max="2" width="3.54296875" bestFit="1" customWidth="1"/>
    <col min="3" max="3" width="16.453125" bestFit="1" customWidth="1"/>
    <col min="4" max="4" width="17.1796875" customWidth="1"/>
    <col min="5" max="9" width="17.36328125" customWidth="1"/>
  </cols>
  <sheetData>
    <row r="1" spans="1:10" ht="18.600000000000001">
      <c r="A1" s="7" t="s">
        <v>519</v>
      </c>
    </row>
    <row r="3" spans="1:10">
      <c r="A3" s="8" t="s">
        <v>43</v>
      </c>
      <c r="J3" s="44"/>
    </row>
    <row r="4" spans="1:10" ht="15.75" customHeight="1">
      <c r="B4" s="200" t="s">
        <v>44</v>
      </c>
      <c r="C4" s="71" t="s">
        <v>137</v>
      </c>
      <c r="D4" s="39" t="s">
        <v>486</v>
      </c>
      <c r="E4" s="37"/>
      <c r="F4" s="37"/>
      <c r="G4" s="37"/>
      <c r="H4" s="37"/>
      <c r="I4" s="38"/>
    </row>
    <row r="5" spans="1:10">
      <c r="B5" s="200"/>
      <c r="C5" s="5" t="s">
        <v>34</v>
      </c>
      <c r="D5" s="5" t="s">
        <v>111</v>
      </c>
      <c r="E5" s="5" t="s">
        <v>122</v>
      </c>
      <c r="F5" s="5" t="s">
        <v>488</v>
      </c>
      <c r="G5" s="5" t="s">
        <v>119</v>
      </c>
      <c r="H5" s="5" t="s">
        <v>520</v>
      </c>
      <c r="I5" s="5" t="s">
        <v>113</v>
      </c>
    </row>
    <row r="6" spans="1:10" ht="28.8">
      <c r="B6" s="200"/>
      <c r="C6" s="6" t="s">
        <v>58</v>
      </c>
      <c r="D6" s="6" t="s">
        <v>112</v>
      </c>
      <c r="E6" s="6" t="s">
        <v>123</v>
      </c>
      <c r="F6" s="6" t="s">
        <v>489</v>
      </c>
      <c r="G6" s="6" t="s">
        <v>120</v>
      </c>
      <c r="H6" s="6" t="s">
        <v>492</v>
      </c>
      <c r="I6" s="6" t="s">
        <v>114</v>
      </c>
    </row>
    <row r="7" spans="1:10" ht="16.5" customHeight="1">
      <c r="B7" s="3">
        <f>ROW() - 6</f>
        <v>1</v>
      </c>
      <c r="C7" s="3" t="s">
        <v>144</v>
      </c>
      <c r="D7" s="3" t="s">
        <v>144</v>
      </c>
      <c r="E7" s="3" t="s">
        <v>144</v>
      </c>
      <c r="F7" s="3" t="s">
        <v>144</v>
      </c>
      <c r="G7" s="3" t="s">
        <v>144</v>
      </c>
      <c r="H7" s="3" t="s">
        <v>144</v>
      </c>
      <c r="I7" s="3" t="s">
        <v>144</v>
      </c>
    </row>
    <row r="8" spans="1:10">
      <c r="B8" s="3">
        <f t="shared" ref="B8:B12" si="0">ROW() - 6</f>
        <v>2</v>
      </c>
      <c r="C8" s="3"/>
      <c r="D8" s="4"/>
      <c r="E8" s="4"/>
      <c r="F8" s="4"/>
      <c r="G8" s="4"/>
      <c r="H8" s="4"/>
      <c r="I8" s="4"/>
    </row>
    <row r="9" spans="1:10">
      <c r="B9" s="3">
        <f t="shared" si="0"/>
        <v>3</v>
      </c>
      <c r="C9" s="3"/>
      <c r="D9" s="4"/>
      <c r="E9" s="4"/>
      <c r="F9" s="4"/>
      <c r="G9" s="4"/>
      <c r="H9" s="4"/>
      <c r="I9" s="4"/>
    </row>
    <row r="10" spans="1:10">
      <c r="A10" s="51"/>
      <c r="B10" s="3">
        <f t="shared" si="0"/>
        <v>4</v>
      </c>
      <c r="C10" s="3"/>
      <c r="D10" s="4"/>
      <c r="E10" s="4"/>
      <c r="F10" s="4"/>
      <c r="G10" s="4"/>
      <c r="H10" s="4"/>
      <c r="I10" s="4"/>
    </row>
    <row r="11" spans="1:10">
      <c r="A11" s="51"/>
      <c r="B11" s="3">
        <f t="shared" si="0"/>
        <v>5</v>
      </c>
      <c r="C11" s="3"/>
      <c r="D11" s="4"/>
      <c r="E11" s="4"/>
      <c r="F11" s="4"/>
      <c r="G11" s="4"/>
      <c r="H11" s="4"/>
      <c r="I11" s="4"/>
    </row>
    <row r="12" spans="1:10">
      <c r="A12" s="51"/>
      <c r="B12" s="3">
        <f t="shared" si="0"/>
        <v>6</v>
      </c>
      <c r="C12" s="3"/>
      <c r="D12" s="4"/>
      <c r="E12" s="4"/>
      <c r="F12" s="4"/>
      <c r="G12" s="4"/>
      <c r="H12" s="4"/>
      <c r="I12" s="4"/>
    </row>
    <row r="13" spans="1:10">
      <c r="B13" s="3">
        <f t="shared" ref="B13:B36" si="1">ROW() - 6</f>
        <v>7</v>
      </c>
      <c r="C13" s="3"/>
      <c r="D13" s="4"/>
      <c r="E13" s="4"/>
      <c r="F13" s="4"/>
      <c r="G13" s="4"/>
      <c r="H13" s="4"/>
      <c r="I13" s="4"/>
    </row>
    <row r="14" spans="1:10">
      <c r="B14" s="3">
        <f t="shared" si="1"/>
        <v>8</v>
      </c>
      <c r="C14" s="3"/>
      <c r="D14" s="4"/>
      <c r="E14" s="4"/>
      <c r="F14" s="4"/>
      <c r="G14" s="4"/>
      <c r="H14" s="4"/>
      <c r="I14" s="4"/>
    </row>
    <row r="15" spans="1:10">
      <c r="A15" s="51"/>
      <c r="B15" s="3">
        <f t="shared" si="1"/>
        <v>9</v>
      </c>
      <c r="C15" s="3"/>
      <c r="D15" s="4"/>
      <c r="E15" s="4"/>
      <c r="F15" s="4"/>
      <c r="G15" s="4"/>
      <c r="H15" s="4"/>
      <c r="I15" s="4"/>
    </row>
    <row r="16" spans="1:10">
      <c r="A16" s="51"/>
      <c r="B16" s="3">
        <f t="shared" si="1"/>
        <v>10</v>
      </c>
      <c r="C16" s="3"/>
      <c r="D16" s="4"/>
      <c r="E16" s="4"/>
      <c r="F16" s="4"/>
      <c r="G16" s="4"/>
      <c r="H16" s="4"/>
      <c r="I16" s="4"/>
    </row>
    <row r="17" spans="1:9">
      <c r="A17" s="51"/>
      <c r="B17" s="3">
        <f t="shared" si="1"/>
        <v>11</v>
      </c>
      <c r="C17" s="3"/>
      <c r="D17" s="4"/>
      <c r="E17" s="4"/>
      <c r="F17" s="4"/>
      <c r="G17" s="4"/>
      <c r="H17" s="4"/>
      <c r="I17" s="4"/>
    </row>
    <row r="18" spans="1:9">
      <c r="A18" s="51"/>
      <c r="B18" s="3">
        <f t="shared" si="1"/>
        <v>12</v>
      </c>
      <c r="C18" s="3"/>
      <c r="D18" s="4"/>
      <c r="E18" s="4"/>
      <c r="F18" s="4"/>
      <c r="G18" s="4"/>
      <c r="H18" s="4"/>
      <c r="I18" s="4"/>
    </row>
    <row r="19" spans="1:9">
      <c r="A19" s="51"/>
      <c r="B19" s="3">
        <f t="shared" si="1"/>
        <v>13</v>
      </c>
      <c r="C19" s="3"/>
      <c r="D19" s="4"/>
      <c r="E19" s="4"/>
      <c r="F19" s="4"/>
      <c r="G19" s="4"/>
      <c r="H19" s="4"/>
      <c r="I19" s="4"/>
    </row>
    <row r="20" spans="1:9">
      <c r="A20" s="51"/>
      <c r="B20" s="3">
        <f t="shared" si="1"/>
        <v>14</v>
      </c>
      <c r="C20" s="45"/>
      <c r="D20" s="4"/>
      <c r="E20" s="4"/>
      <c r="F20" s="4"/>
      <c r="G20" s="4"/>
      <c r="H20" s="4"/>
      <c r="I20" s="4"/>
    </row>
    <row r="21" spans="1:9" ht="18">
      <c r="A21" s="52"/>
      <c r="B21" s="3">
        <f t="shared" si="1"/>
        <v>15</v>
      </c>
      <c r="C21" s="45"/>
      <c r="D21" s="4"/>
      <c r="E21" s="4"/>
      <c r="F21" s="4"/>
      <c r="G21" s="4"/>
      <c r="H21" s="4"/>
      <c r="I21" s="4"/>
    </row>
    <row r="22" spans="1:9">
      <c r="A22" s="51"/>
      <c r="B22" s="3">
        <f t="shared" si="1"/>
        <v>16</v>
      </c>
      <c r="C22" s="45"/>
      <c r="D22" s="4"/>
      <c r="E22" s="4"/>
      <c r="F22" s="4"/>
      <c r="G22" s="4"/>
      <c r="H22" s="4"/>
      <c r="I22" s="4"/>
    </row>
    <row r="23" spans="1:9">
      <c r="A23" s="51"/>
      <c r="B23" s="3">
        <f t="shared" si="1"/>
        <v>17</v>
      </c>
      <c r="C23" s="45"/>
      <c r="D23" s="4"/>
      <c r="E23" s="4"/>
      <c r="F23" s="4"/>
      <c r="G23" s="4"/>
      <c r="H23" s="4"/>
      <c r="I23" s="4"/>
    </row>
    <row r="24" spans="1:9">
      <c r="A24" s="51"/>
      <c r="B24" s="3">
        <f t="shared" si="1"/>
        <v>18</v>
      </c>
      <c r="C24" s="45"/>
      <c r="D24" s="4"/>
      <c r="E24" s="4"/>
      <c r="F24" s="4"/>
      <c r="G24" s="4"/>
      <c r="H24" s="4"/>
      <c r="I24" s="4"/>
    </row>
    <row r="25" spans="1:9">
      <c r="A25" s="51"/>
      <c r="B25" s="3">
        <f t="shared" si="1"/>
        <v>19</v>
      </c>
      <c r="C25" s="45"/>
      <c r="D25" s="4"/>
      <c r="E25" s="4"/>
      <c r="F25" s="4"/>
      <c r="G25" s="4"/>
      <c r="H25" s="4"/>
      <c r="I25" s="4"/>
    </row>
    <row r="26" spans="1:9">
      <c r="A26" s="51"/>
      <c r="B26" s="3">
        <f t="shared" si="1"/>
        <v>20</v>
      </c>
      <c r="C26" s="45"/>
      <c r="D26" s="4"/>
      <c r="E26" s="4"/>
      <c r="F26" s="4"/>
      <c r="G26" s="4"/>
      <c r="H26" s="4"/>
      <c r="I26" s="4"/>
    </row>
    <row r="27" spans="1:9">
      <c r="B27" s="3">
        <f t="shared" si="1"/>
        <v>21</v>
      </c>
      <c r="C27" s="45"/>
      <c r="D27" s="4"/>
      <c r="E27" s="4"/>
      <c r="F27" s="4"/>
      <c r="G27" s="4"/>
      <c r="H27" s="4"/>
      <c r="I27" s="4"/>
    </row>
    <row r="28" spans="1:9">
      <c r="B28" s="3">
        <f t="shared" si="1"/>
        <v>22</v>
      </c>
      <c r="C28" s="45"/>
      <c r="D28" s="4"/>
      <c r="E28" s="4"/>
      <c r="F28" s="4"/>
      <c r="G28" s="4"/>
      <c r="H28" s="4"/>
      <c r="I28" s="4"/>
    </row>
    <row r="29" spans="1:9">
      <c r="B29" s="3">
        <f t="shared" si="1"/>
        <v>23</v>
      </c>
      <c r="C29" s="45"/>
      <c r="D29" s="4"/>
      <c r="E29" s="4"/>
      <c r="F29" s="4"/>
      <c r="G29" s="4"/>
      <c r="H29" s="4"/>
      <c r="I29" s="4"/>
    </row>
    <row r="30" spans="1:9">
      <c r="B30" s="3">
        <f t="shared" si="1"/>
        <v>24</v>
      </c>
      <c r="C30" s="45"/>
      <c r="D30" s="4"/>
      <c r="E30" s="4"/>
      <c r="F30" s="4"/>
      <c r="G30" s="4"/>
      <c r="H30" s="4"/>
      <c r="I30" s="4"/>
    </row>
    <row r="31" spans="1:9">
      <c r="B31" s="3">
        <f t="shared" si="1"/>
        <v>25</v>
      </c>
      <c r="C31" s="45"/>
      <c r="D31" s="4"/>
      <c r="E31" s="4"/>
      <c r="F31" s="4"/>
      <c r="G31" s="4"/>
      <c r="H31" s="4"/>
      <c r="I31" s="4"/>
    </row>
    <row r="32" spans="1:9">
      <c r="B32" s="3">
        <f t="shared" si="1"/>
        <v>26</v>
      </c>
      <c r="C32" s="45"/>
      <c r="D32" s="4"/>
      <c r="E32" s="4"/>
      <c r="F32" s="4"/>
      <c r="G32" s="4"/>
      <c r="H32" s="4"/>
      <c r="I32" s="4"/>
    </row>
    <row r="33" spans="2:9">
      <c r="B33" s="3">
        <f t="shared" si="1"/>
        <v>27</v>
      </c>
      <c r="C33" s="45"/>
      <c r="D33" s="4"/>
      <c r="E33" s="4"/>
      <c r="F33" s="4"/>
      <c r="G33" s="4"/>
      <c r="H33" s="4"/>
      <c r="I33" s="4"/>
    </row>
    <row r="34" spans="2:9">
      <c r="B34" s="3">
        <f t="shared" si="1"/>
        <v>28</v>
      </c>
      <c r="C34" s="45"/>
      <c r="D34" s="4"/>
      <c r="E34" s="4"/>
      <c r="F34" s="4"/>
      <c r="G34" s="4"/>
      <c r="H34" s="4"/>
      <c r="I34" s="4"/>
    </row>
    <row r="35" spans="2:9">
      <c r="B35" s="3">
        <f t="shared" si="1"/>
        <v>29</v>
      </c>
      <c r="C35" s="45"/>
      <c r="D35" s="4"/>
      <c r="E35" s="4"/>
      <c r="F35" s="4"/>
      <c r="G35" s="4"/>
      <c r="H35" s="4"/>
      <c r="I35" s="4"/>
    </row>
    <row r="36" spans="2:9">
      <c r="B36" s="3">
        <f t="shared" si="1"/>
        <v>30</v>
      </c>
      <c r="C36" s="45"/>
      <c r="D36" s="4"/>
      <c r="E36" s="4"/>
      <c r="F36" s="4"/>
      <c r="G36" s="4"/>
      <c r="H36" s="4"/>
      <c r="I36" s="4"/>
    </row>
  </sheetData>
  <sheetProtection insertRows="0" deleteRows="0" sort="0" autoFilter="0"/>
  <mergeCells count="1">
    <mergeCell ref="B4:B6"/>
  </mergeCells>
  <phoneticPr fontId="12"/>
  <hyperlinks>
    <hyperlink ref="A3" location="パラメータ設定一覧!A1" display="パラメータ設定一覧へ" xr:uid="{ED28BC29-5AB3-478C-9B56-FAE18B504020}"/>
  </hyperlinks>
  <pageMargins left="0.70866141732283472" right="0.70866141732283472" top="0.74803149606299213" bottom="0.74803149606299213" header="0.31496062992125984" footer="0.31496062992125984"/>
  <pageSetup paperSize="9" scale="55" orientation="portrait" r:id="rId1"/>
  <headerFooter>
    <oddFooter>&amp;RCopyright  SATO HOLDINGS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A149-7DEA-4E9F-96D0-A9421D3E4E14}">
  <sheetPr codeName="Sheet185">
    <pageSetUpPr fitToPage="1"/>
  </sheetPr>
  <dimension ref="A1:L11"/>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5.1796875" style="72" bestFit="1" customWidth="1"/>
    <col min="4" max="4" width="7" style="72" bestFit="1" customWidth="1"/>
    <col min="5" max="5" width="7.453125" style="72" bestFit="1" customWidth="1"/>
    <col min="6" max="6" width="24.1796875" style="72" bestFit="1" customWidth="1"/>
    <col min="7" max="7" width="41.81640625" style="72" customWidth="1"/>
    <col min="8" max="8" width="23.1796875" style="72" customWidth="1"/>
    <col min="9" max="9" width="8.6328125" style="72" bestFit="1" customWidth="1"/>
    <col min="10" max="10" width="26.36328125" style="72" customWidth="1"/>
    <col min="11" max="11" width="18.1796875" style="72" customWidth="1"/>
    <col min="12" max="12" width="13.1796875" style="72" customWidth="1"/>
    <col min="13" max="16384" width="8.81640625" style="72"/>
  </cols>
  <sheetData>
    <row r="1" spans="1:12" customFormat="1" ht="18.600000000000001">
      <c r="A1" s="7" t="s">
        <v>521</v>
      </c>
    </row>
    <row r="2" spans="1:12" customFormat="1" ht="15">
      <c r="B2" t="s">
        <v>522</v>
      </c>
    </row>
    <row r="3" spans="1:12" customFormat="1" ht="15">
      <c r="B3" t="s">
        <v>523</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72">
      <c r="B6" s="13">
        <f>ROW() - 5</f>
        <v>1</v>
      </c>
      <c r="C6" s="14" t="s">
        <v>524</v>
      </c>
      <c r="D6" s="14"/>
      <c r="E6" s="14"/>
      <c r="F6" s="15" t="s">
        <v>37</v>
      </c>
      <c r="G6" s="15"/>
      <c r="H6" s="15" t="s">
        <v>58</v>
      </c>
      <c r="I6" s="15" t="s">
        <v>59</v>
      </c>
      <c r="J6" s="15" t="s">
        <v>525</v>
      </c>
      <c r="K6" s="1" t="s">
        <v>526</v>
      </c>
      <c r="L6" s="2"/>
    </row>
    <row r="7" spans="1:12" ht="28.8">
      <c r="B7" s="13">
        <f t="shared" ref="B7:B11" si="0">ROW() - 5</f>
        <v>2</v>
      </c>
      <c r="C7" s="17"/>
      <c r="D7" s="17"/>
      <c r="E7" s="17"/>
      <c r="F7" s="15" t="s">
        <v>61</v>
      </c>
      <c r="G7" s="15"/>
      <c r="H7" s="15" t="s">
        <v>58</v>
      </c>
      <c r="I7" s="15" t="s">
        <v>59</v>
      </c>
      <c r="J7" s="15"/>
      <c r="K7" s="1" t="s">
        <v>527</v>
      </c>
      <c r="L7" s="2"/>
    </row>
    <row r="8" spans="1:12" ht="90" customHeight="1">
      <c r="B8" s="13">
        <f t="shared" si="0"/>
        <v>3</v>
      </c>
      <c r="C8" s="18"/>
      <c r="D8" s="18"/>
      <c r="E8" s="18"/>
      <c r="F8" s="15" t="s">
        <v>528</v>
      </c>
      <c r="G8" s="15" t="s">
        <v>529</v>
      </c>
      <c r="H8" s="15" t="s">
        <v>530</v>
      </c>
      <c r="I8" s="15" t="s">
        <v>59</v>
      </c>
      <c r="J8" s="15"/>
      <c r="K8" s="1" t="s">
        <v>526</v>
      </c>
      <c r="L8" s="2"/>
    </row>
    <row r="9" spans="1:12" ht="37.5" customHeight="1">
      <c r="B9" s="13">
        <f t="shared" si="0"/>
        <v>4</v>
      </c>
      <c r="C9" s="14" t="s">
        <v>474</v>
      </c>
      <c r="D9" s="14"/>
      <c r="E9" s="14"/>
      <c r="F9" s="15" t="s">
        <v>31</v>
      </c>
      <c r="G9" s="15" t="s">
        <v>531</v>
      </c>
      <c r="H9" s="15" t="s">
        <v>532</v>
      </c>
      <c r="I9" s="15" t="s">
        <v>59</v>
      </c>
      <c r="J9" s="15"/>
      <c r="K9" s="1" t="s">
        <v>527</v>
      </c>
      <c r="L9" s="2"/>
    </row>
    <row r="10" spans="1:12" ht="28.8">
      <c r="B10" s="13">
        <f t="shared" si="0"/>
        <v>5</v>
      </c>
      <c r="C10" s="17"/>
      <c r="D10" s="17"/>
      <c r="E10" s="17"/>
      <c r="F10" s="15" t="s">
        <v>196</v>
      </c>
      <c r="G10" s="15" t="s">
        <v>533</v>
      </c>
      <c r="H10" s="15" t="s">
        <v>281</v>
      </c>
      <c r="I10" s="43">
        <v>0</v>
      </c>
      <c r="J10" s="15"/>
      <c r="K10" s="1" t="s">
        <v>526</v>
      </c>
      <c r="L10" s="2"/>
    </row>
    <row r="11" spans="1:12" ht="28.8">
      <c r="B11" s="13">
        <f t="shared" si="0"/>
        <v>6</v>
      </c>
      <c r="C11" s="18"/>
      <c r="D11" s="18"/>
      <c r="E11" s="18"/>
      <c r="F11" s="15" t="s">
        <v>88</v>
      </c>
      <c r="G11" s="15"/>
      <c r="H11" s="15" t="s">
        <v>281</v>
      </c>
      <c r="I11" s="15" t="s">
        <v>59</v>
      </c>
      <c r="J11" s="15"/>
      <c r="K11" s="1" t="s">
        <v>527</v>
      </c>
      <c r="L11" s="2"/>
    </row>
  </sheetData>
  <phoneticPr fontId="12"/>
  <hyperlinks>
    <hyperlink ref="A4" location="パラメータ設定一覧!A1" display="パラメータ設定一覧へ" xr:uid="{C8B55FB7-0E1F-4EAC-89AA-543433F9D165}"/>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F3559-FD55-416E-8DD4-642B888B6D92}">
  <sheetPr codeName="Sheet186">
    <pageSetUpPr fitToPage="1"/>
  </sheetPr>
  <dimension ref="A1:I64"/>
  <sheetViews>
    <sheetView showGridLines="0" zoomScaleNormal="100" zoomScaleSheetLayoutView="70" workbookViewId="0">
      <pane ySplit="6" topLeftCell="A7" activePane="bottomLeft" state="frozen"/>
      <selection pane="bottomLeft" activeCell="A7" sqref="A7"/>
    </sheetView>
  </sheetViews>
  <sheetFormatPr defaultColWidth="8.81640625" defaultRowHeight="14.4"/>
  <cols>
    <col min="1" max="1" width="2.36328125" style="53" customWidth="1"/>
    <col min="2" max="2" width="3.54296875" style="53" bestFit="1" customWidth="1"/>
    <col min="3" max="3" width="17.36328125" style="53" customWidth="1"/>
    <col min="4" max="4" width="17.6328125" style="53" customWidth="1"/>
    <col min="5" max="5" width="12.6328125" style="53" customWidth="1"/>
    <col min="6" max="6" width="17.54296875" style="53" customWidth="1"/>
    <col min="7" max="7" width="13.1796875" style="53" customWidth="1"/>
    <col min="8" max="8" width="41" style="53" customWidth="1"/>
    <col min="9" max="16384" width="8.81640625" style="53"/>
  </cols>
  <sheetData>
    <row r="1" spans="1:8" customFormat="1" ht="18.600000000000001">
      <c r="A1" s="7" t="s">
        <v>534</v>
      </c>
    </row>
    <row r="2" spans="1:8" customFormat="1" ht="15"/>
    <row r="3" spans="1:8" customFormat="1" ht="15">
      <c r="A3" s="8" t="s">
        <v>43</v>
      </c>
    </row>
    <row r="4" spans="1:8" ht="15.75" customHeight="1">
      <c r="A4" s="120"/>
      <c r="B4" s="197" t="s">
        <v>44</v>
      </c>
      <c r="C4" s="83" t="s">
        <v>137</v>
      </c>
      <c r="D4" s="84"/>
      <c r="E4" s="84"/>
      <c r="F4" s="84"/>
      <c r="G4" s="84"/>
      <c r="H4" s="80"/>
    </row>
    <row r="5" spans="1:8">
      <c r="A5" s="120"/>
      <c r="B5" s="192"/>
      <c r="C5" s="85" t="s">
        <v>37</v>
      </c>
      <c r="D5" s="85" t="s">
        <v>61</v>
      </c>
      <c r="E5" s="85" t="s">
        <v>528</v>
      </c>
      <c r="F5" s="85" t="s">
        <v>31</v>
      </c>
      <c r="G5" s="85" t="s">
        <v>504</v>
      </c>
      <c r="H5" s="85" t="s">
        <v>88</v>
      </c>
    </row>
    <row r="6" spans="1:8" ht="14.25" customHeight="1">
      <c r="A6" s="120"/>
      <c r="B6" s="192"/>
      <c r="C6" s="6" t="s">
        <v>58</v>
      </c>
      <c r="D6" s="6" t="s">
        <v>58</v>
      </c>
      <c r="E6" s="6"/>
      <c r="F6" s="6" t="s">
        <v>532</v>
      </c>
      <c r="G6" s="6" t="s">
        <v>204</v>
      </c>
      <c r="H6" s="6" t="s">
        <v>204</v>
      </c>
    </row>
    <row r="7" spans="1:8">
      <c r="A7" s="120"/>
      <c r="B7" s="147">
        <f>ROW() - 6</f>
        <v>1</v>
      </c>
      <c r="C7" s="147" t="s">
        <v>305</v>
      </c>
      <c r="D7" s="147" t="s">
        <v>535</v>
      </c>
      <c r="E7" s="147" t="s">
        <v>80</v>
      </c>
      <c r="F7" s="118" t="s">
        <v>303</v>
      </c>
      <c r="G7" s="145">
        <v>0</v>
      </c>
      <c r="H7" s="122" t="s">
        <v>304</v>
      </c>
    </row>
    <row r="8" spans="1:8">
      <c r="A8" s="120"/>
      <c r="B8" s="148"/>
      <c r="C8" s="148"/>
      <c r="D8" s="148"/>
      <c r="E8" s="148"/>
      <c r="F8" s="137" t="s">
        <v>312</v>
      </c>
      <c r="G8" s="145">
        <v>5</v>
      </c>
      <c r="H8" s="121" t="s">
        <v>313</v>
      </c>
    </row>
    <row r="9" spans="1:8">
      <c r="A9" s="120"/>
      <c r="B9" s="148"/>
      <c r="C9" s="148"/>
      <c r="D9" s="148"/>
      <c r="E9" s="148"/>
      <c r="F9" s="137" t="s">
        <v>314</v>
      </c>
      <c r="G9" s="145">
        <v>0</v>
      </c>
      <c r="H9" s="121" t="s">
        <v>315</v>
      </c>
    </row>
    <row r="10" spans="1:8">
      <c r="A10" s="120"/>
      <c r="B10" s="148"/>
      <c r="C10" s="148"/>
      <c r="D10" s="148"/>
      <c r="E10" s="148"/>
      <c r="F10" s="137" t="s">
        <v>316</v>
      </c>
      <c r="G10" s="145">
        <v>8</v>
      </c>
      <c r="H10" s="121" t="s">
        <v>317</v>
      </c>
    </row>
    <row r="11" spans="1:8">
      <c r="A11" s="120"/>
      <c r="B11" s="148"/>
      <c r="C11" s="148"/>
      <c r="D11" s="148"/>
      <c r="E11" s="148"/>
      <c r="F11" s="118" t="s">
        <v>318</v>
      </c>
      <c r="G11" s="145">
        <v>8</v>
      </c>
      <c r="H11" s="122" t="s">
        <v>319</v>
      </c>
    </row>
    <row r="12" spans="1:8">
      <c r="A12" s="51"/>
      <c r="B12" s="148"/>
      <c r="C12" s="148"/>
      <c r="D12" s="148"/>
      <c r="E12" s="148"/>
      <c r="F12" s="118" t="s">
        <v>320</v>
      </c>
      <c r="G12" s="145">
        <v>8</v>
      </c>
      <c r="H12" s="122" t="s">
        <v>321</v>
      </c>
    </row>
    <row r="13" spans="1:8">
      <c r="A13" s="51"/>
      <c r="B13" s="148"/>
      <c r="C13" s="148"/>
      <c r="D13" s="148"/>
      <c r="E13" s="148"/>
      <c r="F13" s="118" t="s">
        <v>322</v>
      </c>
      <c r="G13" s="145">
        <v>10</v>
      </c>
      <c r="H13" s="122" t="s">
        <v>323</v>
      </c>
    </row>
    <row r="14" spans="1:8">
      <c r="A14" s="51"/>
      <c r="B14" s="148"/>
      <c r="C14" s="148"/>
      <c r="D14" s="148"/>
      <c r="E14" s="148"/>
      <c r="F14" s="118" t="s">
        <v>324</v>
      </c>
      <c r="G14" s="145">
        <v>10</v>
      </c>
      <c r="H14" s="122" t="s">
        <v>325</v>
      </c>
    </row>
    <row r="15" spans="1:8">
      <c r="A15" s="51"/>
      <c r="B15" s="148"/>
      <c r="C15" s="148"/>
      <c r="D15" s="148"/>
      <c r="E15" s="148"/>
      <c r="F15" s="118" t="s">
        <v>326</v>
      </c>
      <c r="G15" s="145">
        <v>10</v>
      </c>
      <c r="H15" s="122" t="s">
        <v>327</v>
      </c>
    </row>
    <row r="16" spans="1:8">
      <c r="A16" s="51"/>
      <c r="B16" s="148"/>
      <c r="C16" s="148"/>
      <c r="D16" s="148"/>
      <c r="E16" s="148"/>
      <c r="F16" s="118" t="s">
        <v>328</v>
      </c>
      <c r="G16" s="145">
        <v>10</v>
      </c>
      <c r="H16" s="122" t="s">
        <v>329</v>
      </c>
    </row>
    <row r="17" spans="1:8">
      <c r="A17" s="51"/>
      <c r="B17" s="148"/>
      <c r="C17" s="148"/>
      <c r="D17" s="148"/>
      <c r="E17" s="148"/>
      <c r="F17" s="118" t="s">
        <v>330</v>
      </c>
      <c r="G17" s="145">
        <v>10</v>
      </c>
      <c r="H17" s="122" t="s">
        <v>331</v>
      </c>
    </row>
    <row r="18" spans="1:8" ht="16.2">
      <c r="A18" s="92"/>
      <c r="B18" s="148"/>
      <c r="C18" s="148"/>
      <c r="D18" s="148"/>
      <c r="E18" s="148"/>
      <c r="F18" s="118" t="s">
        <v>333</v>
      </c>
      <c r="G18" s="145">
        <v>10</v>
      </c>
      <c r="H18" s="122" t="s">
        <v>334</v>
      </c>
    </row>
    <row r="19" spans="1:8">
      <c r="A19" s="51"/>
      <c r="B19" s="148"/>
      <c r="C19" s="148"/>
      <c r="D19" s="148"/>
      <c r="E19" s="148"/>
      <c r="F19" s="118" t="s">
        <v>335</v>
      </c>
      <c r="G19" s="145">
        <v>10</v>
      </c>
      <c r="H19" s="122" t="s">
        <v>336</v>
      </c>
    </row>
    <row r="20" spans="1:8">
      <c r="A20" s="51"/>
      <c r="B20" s="148"/>
      <c r="C20" s="148"/>
      <c r="D20" s="148"/>
      <c r="E20" s="148"/>
      <c r="F20" s="118" t="s">
        <v>337</v>
      </c>
      <c r="G20" s="145">
        <v>10</v>
      </c>
      <c r="H20" s="122" t="s">
        <v>338</v>
      </c>
    </row>
    <row r="21" spans="1:8">
      <c r="A21" s="51"/>
      <c r="B21" s="148"/>
      <c r="C21" s="148"/>
      <c r="D21" s="148"/>
      <c r="E21" s="148"/>
      <c r="F21" s="139" t="s">
        <v>339</v>
      </c>
      <c r="G21" s="145">
        <v>10</v>
      </c>
      <c r="H21" s="122" t="s">
        <v>340</v>
      </c>
    </row>
    <row r="22" spans="1:8">
      <c r="A22" s="51"/>
      <c r="B22" s="148"/>
      <c r="C22" s="148"/>
      <c r="D22" s="148"/>
      <c r="E22" s="148"/>
      <c r="F22" s="139" t="s">
        <v>341</v>
      </c>
      <c r="G22" s="145">
        <v>10</v>
      </c>
      <c r="H22" s="122" t="s">
        <v>342</v>
      </c>
    </row>
    <row r="23" spans="1:8">
      <c r="A23" s="51"/>
      <c r="B23" s="148"/>
      <c r="C23" s="148"/>
      <c r="D23" s="148"/>
      <c r="E23" s="148"/>
      <c r="F23" s="140" t="s">
        <v>343</v>
      </c>
      <c r="G23" s="145">
        <v>10</v>
      </c>
      <c r="H23" s="121" t="s">
        <v>344</v>
      </c>
    </row>
    <row r="24" spans="1:8">
      <c r="A24" s="51"/>
      <c r="B24" s="148"/>
      <c r="C24" s="148"/>
      <c r="D24" s="148"/>
      <c r="E24" s="148"/>
      <c r="F24" s="118" t="s">
        <v>345</v>
      </c>
      <c r="G24" s="145">
        <v>10</v>
      </c>
      <c r="H24" s="122" t="s">
        <v>346</v>
      </c>
    </row>
    <row r="25" spans="1:8">
      <c r="A25" s="120"/>
      <c r="B25" s="148"/>
      <c r="C25" s="148"/>
      <c r="D25" s="148"/>
      <c r="E25" s="148"/>
      <c r="F25" s="118" t="s">
        <v>347</v>
      </c>
      <c r="G25" s="145">
        <v>8</v>
      </c>
      <c r="H25" s="122" t="s">
        <v>348</v>
      </c>
    </row>
    <row r="26" spans="1:8">
      <c r="A26" s="120"/>
      <c r="B26" s="148"/>
      <c r="C26" s="148"/>
      <c r="D26" s="148"/>
      <c r="E26" s="148"/>
      <c r="F26" s="118" t="s">
        <v>349</v>
      </c>
      <c r="G26" s="145">
        <v>8</v>
      </c>
      <c r="H26" s="122" t="s">
        <v>350</v>
      </c>
    </row>
    <row r="27" spans="1:8">
      <c r="A27" s="120"/>
      <c r="B27" s="148"/>
      <c r="C27" s="148"/>
      <c r="D27" s="148"/>
      <c r="E27" s="148"/>
      <c r="F27" s="118" t="s">
        <v>351</v>
      </c>
      <c r="G27" s="145">
        <v>8</v>
      </c>
      <c r="H27" s="122" t="s">
        <v>352</v>
      </c>
    </row>
    <row r="28" spans="1:8">
      <c r="A28" s="120"/>
      <c r="B28" s="148"/>
      <c r="C28" s="148"/>
      <c r="D28" s="148"/>
      <c r="E28" s="148"/>
      <c r="F28" s="118" t="s">
        <v>353</v>
      </c>
      <c r="G28" s="145">
        <v>10</v>
      </c>
      <c r="H28" s="122" t="s">
        <v>354</v>
      </c>
    </row>
    <row r="29" spans="1:8">
      <c r="A29" s="120"/>
      <c r="B29" s="148"/>
      <c r="C29" s="148"/>
      <c r="D29" s="148"/>
      <c r="E29" s="148"/>
      <c r="F29" s="137" t="s">
        <v>355</v>
      </c>
      <c r="G29" s="145">
        <v>10</v>
      </c>
      <c r="H29" s="121" t="s">
        <v>356</v>
      </c>
    </row>
    <row r="30" spans="1:8">
      <c r="A30" s="120"/>
      <c r="B30" s="148"/>
      <c r="C30" s="148"/>
      <c r="D30" s="148"/>
      <c r="E30" s="148"/>
      <c r="F30" s="118" t="s">
        <v>357</v>
      </c>
      <c r="G30" s="145">
        <v>10</v>
      </c>
      <c r="H30" s="122" t="s">
        <v>358</v>
      </c>
    </row>
    <row r="31" spans="1:8">
      <c r="A31" s="120"/>
      <c r="B31" s="148"/>
      <c r="C31" s="148"/>
      <c r="D31" s="148"/>
      <c r="E31" s="148"/>
      <c r="F31" s="137" t="s">
        <v>359</v>
      </c>
      <c r="G31" s="145">
        <v>10</v>
      </c>
      <c r="H31" s="121" t="s">
        <v>360</v>
      </c>
    </row>
    <row r="32" spans="1:8">
      <c r="A32" s="120"/>
      <c r="B32" s="148"/>
      <c r="C32" s="148"/>
      <c r="D32" s="148"/>
      <c r="E32" s="148"/>
      <c r="F32" s="137" t="s">
        <v>361</v>
      </c>
      <c r="G32" s="145">
        <v>10</v>
      </c>
      <c r="H32" s="121" t="s">
        <v>362</v>
      </c>
    </row>
    <row r="33" spans="2:8">
      <c r="B33" s="148"/>
      <c r="C33" s="148"/>
      <c r="D33" s="148"/>
      <c r="E33" s="148"/>
      <c r="F33" s="118" t="s">
        <v>363</v>
      </c>
      <c r="G33" s="145">
        <v>10</v>
      </c>
      <c r="H33" s="122" t="s">
        <v>364</v>
      </c>
    </row>
    <row r="34" spans="2:8">
      <c r="B34" s="148"/>
      <c r="C34" s="148"/>
      <c r="D34" s="148"/>
      <c r="E34" s="148"/>
      <c r="F34" s="139" t="s">
        <v>365</v>
      </c>
      <c r="G34" s="145">
        <v>10</v>
      </c>
      <c r="H34" s="122" t="s">
        <v>366</v>
      </c>
    </row>
    <row r="35" spans="2:8">
      <c r="B35" s="148"/>
      <c r="C35" s="148"/>
      <c r="D35" s="148"/>
      <c r="E35" s="148"/>
      <c r="F35" s="139" t="s">
        <v>367</v>
      </c>
      <c r="G35" s="145">
        <v>10</v>
      </c>
      <c r="H35" s="122" t="s">
        <v>368</v>
      </c>
    </row>
    <row r="36" spans="2:8">
      <c r="B36" s="148"/>
      <c r="C36" s="148"/>
      <c r="D36" s="148"/>
      <c r="E36" s="148"/>
      <c r="F36" s="139" t="s">
        <v>369</v>
      </c>
      <c r="G36" s="145">
        <v>8</v>
      </c>
      <c r="H36" s="122" t="s">
        <v>370</v>
      </c>
    </row>
    <row r="37" spans="2:8">
      <c r="B37" s="148"/>
      <c r="C37" s="148"/>
      <c r="D37" s="148"/>
      <c r="E37" s="148"/>
      <c r="F37" s="118" t="s">
        <v>371</v>
      </c>
      <c r="G37" s="145">
        <v>8</v>
      </c>
      <c r="H37" s="122" t="s">
        <v>372</v>
      </c>
    </row>
    <row r="38" spans="2:8">
      <c r="B38" s="148"/>
      <c r="C38" s="148"/>
      <c r="D38" s="148"/>
      <c r="E38" s="148"/>
      <c r="F38" s="139" t="s">
        <v>373</v>
      </c>
      <c r="G38" s="145">
        <v>8</v>
      </c>
      <c r="H38" s="122" t="s">
        <v>374</v>
      </c>
    </row>
    <row r="39" spans="2:8">
      <c r="B39" s="148"/>
      <c r="C39" s="148"/>
      <c r="D39" s="148"/>
      <c r="E39" s="148"/>
      <c r="F39" s="139" t="s">
        <v>375</v>
      </c>
      <c r="G39" s="145">
        <v>10</v>
      </c>
      <c r="H39" s="122" t="s">
        <v>376</v>
      </c>
    </row>
    <row r="40" spans="2:8">
      <c r="B40" s="148"/>
      <c r="C40" s="148"/>
      <c r="D40" s="148"/>
      <c r="E40" s="148"/>
      <c r="F40" s="139" t="s">
        <v>377</v>
      </c>
      <c r="G40" s="145">
        <v>10</v>
      </c>
      <c r="H40" s="122" t="s">
        <v>378</v>
      </c>
    </row>
    <row r="41" spans="2:8">
      <c r="B41" s="148"/>
      <c r="C41" s="148"/>
      <c r="D41" s="148"/>
      <c r="E41" s="148"/>
      <c r="F41" s="118" t="s">
        <v>379</v>
      </c>
      <c r="G41" s="145">
        <v>10</v>
      </c>
      <c r="H41" s="122" t="s">
        <v>380</v>
      </c>
    </row>
    <row r="42" spans="2:8">
      <c r="B42" s="148"/>
      <c r="C42" s="148"/>
      <c r="D42" s="148"/>
      <c r="E42" s="148"/>
      <c r="F42" s="139" t="s">
        <v>381</v>
      </c>
      <c r="G42" s="145">
        <v>10</v>
      </c>
      <c r="H42" s="122" t="s">
        <v>382</v>
      </c>
    </row>
    <row r="43" spans="2:8">
      <c r="B43" s="148"/>
      <c r="C43" s="148"/>
      <c r="D43" s="148"/>
      <c r="E43" s="148"/>
      <c r="F43" s="139" t="s">
        <v>383</v>
      </c>
      <c r="G43" s="145">
        <v>10</v>
      </c>
      <c r="H43" s="122" t="s">
        <v>384</v>
      </c>
    </row>
    <row r="44" spans="2:8">
      <c r="B44" s="148"/>
      <c r="C44" s="148"/>
      <c r="D44" s="148"/>
      <c r="E44" s="148"/>
      <c r="F44" s="139" t="s">
        <v>385</v>
      </c>
      <c r="G44" s="145">
        <v>10</v>
      </c>
      <c r="H44" s="122" t="s">
        <v>386</v>
      </c>
    </row>
    <row r="45" spans="2:8">
      <c r="B45" s="148"/>
      <c r="C45" s="148"/>
      <c r="D45" s="148"/>
      <c r="E45" s="148"/>
      <c r="F45" s="118" t="s">
        <v>387</v>
      </c>
      <c r="G45" s="145">
        <v>10</v>
      </c>
      <c r="H45" s="122" t="s">
        <v>388</v>
      </c>
    </row>
    <row r="46" spans="2:8">
      <c r="B46" s="148"/>
      <c r="C46" s="148"/>
      <c r="D46" s="148"/>
      <c r="E46" s="148"/>
      <c r="F46" s="139" t="s">
        <v>389</v>
      </c>
      <c r="G46" s="145">
        <v>10</v>
      </c>
      <c r="H46" s="122" t="s">
        <v>390</v>
      </c>
    </row>
    <row r="47" spans="2:8">
      <c r="B47" s="148"/>
      <c r="C47" s="148"/>
      <c r="D47" s="148"/>
      <c r="E47" s="148"/>
      <c r="F47" s="139" t="s">
        <v>391</v>
      </c>
      <c r="G47" s="145">
        <v>8</v>
      </c>
      <c r="H47" s="122" t="s">
        <v>392</v>
      </c>
    </row>
    <row r="48" spans="2:8">
      <c r="B48" s="148"/>
      <c r="C48" s="148"/>
      <c r="D48" s="148"/>
      <c r="E48" s="148"/>
      <c r="F48" s="139" t="s">
        <v>393</v>
      </c>
      <c r="G48" s="145">
        <v>8</v>
      </c>
      <c r="H48" s="122" t="s">
        <v>394</v>
      </c>
    </row>
    <row r="49" spans="2:9">
      <c r="B49" s="148"/>
      <c r="C49" s="148"/>
      <c r="D49" s="148"/>
      <c r="E49" s="148"/>
      <c r="F49" s="118" t="s">
        <v>395</v>
      </c>
      <c r="G49" s="145">
        <v>8</v>
      </c>
      <c r="H49" s="122" t="s">
        <v>396</v>
      </c>
      <c r="I49" s="120"/>
    </row>
    <row r="50" spans="2:9">
      <c r="B50" s="148"/>
      <c r="C50" s="148"/>
      <c r="D50" s="148"/>
      <c r="E50" s="148"/>
      <c r="F50" s="139" t="s">
        <v>420</v>
      </c>
      <c r="G50" s="145">
        <v>0</v>
      </c>
      <c r="H50" s="122" t="s">
        <v>421</v>
      </c>
      <c r="I50" s="120"/>
    </row>
    <row r="51" spans="2:9">
      <c r="B51" s="148"/>
      <c r="C51" s="148"/>
      <c r="D51" s="148"/>
      <c r="E51" s="148"/>
      <c r="F51" s="139" t="s">
        <v>422</v>
      </c>
      <c r="G51" s="145">
        <v>8</v>
      </c>
      <c r="H51" s="122" t="s">
        <v>423</v>
      </c>
      <c r="I51" s="120"/>
    </row>
    <row r="52" spans="2:9">
      <c r="B52" s="148"/>
      <c r="C52" s="148"/>
      <c r="D52" s="148"/>
      <c r="E52" s="148"/>
      <c r="F52" s="139" t="s">
        <v>424</v>
      </c>
      <c r="G52" s="145">
        <v>8</v>
      </c>
      <c r="H52" s="122" t="s">
        <v>425</v>
      </c>
      <c r="I52" s="120"/>
    </row>
    <row r="53" spans="2:9">
      <c r="B53" s="148"/>
      <c r="C53" s="148"/>
      <c r="D53" s="148"/>
      <c r="E53" s="148"/>
      <c r="F53" s="118" t="s">
        <v>426</v>
      </c>
      <c r="G53" s="145">
        <v>8</v>
      </c>
      <c r="H53" s="122" t="s">
        <v>427</v>
      </c>
      <c r="I53" s="120"/>
    </row>
    <row r="54" spans="2:9">
      <c r="B54" s="148"/>
      <c r="C54" s="148"/>
      <c r="D54" s="148"/>
      <c r="E54" s="148"/>
      <c r="F54" s="139" t="s">
        <v>428</v>
      </c>
      <c r="G54" s="145">
        <v>8</v>
      </c>
      <c r="H54" s="122" t="s">
        <v>429</v>
      </c>
      <c r="I54" s="120"/>
    </row>
    <row r="55" spans="2:9">
      <c r="B55" s="148"/>
      <c r="C55" s="148"/>
      <c r="D55" s="148"/>
      <c r="E55" s="148"/>
      <c r="F55" s="139" t="s">
        <v>430</v>
      </c>
      <c r="G55" s="145">
        <v>8</v>
      </c>
      <c r="H55" s="122" t="s">
        <v>431</v>
      </c>
      <c r="I55" s="120"/>
    </row>
    <row r="56" spans="2:9">
      <c r="B56" s="148"/>
      <c r="C56" s="148"/>
      <c r="D56" s="148"/>
      <c r="E56" s="148"/>
      <c r="F56" s="139" t="s">
        <v>432</v>
      </c>
      <c r="G56" s="145">
        <v>10</v>
      </c>
      <c r="H56" s="122" t="s">
        <v>433</v>
      </c>
      <c r="I56" s="120"/>
    </row>
    <row r="57" spans="2:9">
      <c r="B57" s="148"/>
      <c r="C57" s="148"/>
      <c r="D57" s="148"/>
      <c r="E57" s="148"/>
      <c r="F57" s="118" t="s">
        <v>434</v>
      </c>
      <c r="G57" s="145">
        <v>10</v>
      </c>
      <c r="H57" s="122" t="s">
        <v>435</v>
      </c>
      <c r="I57" s="120"/>
    </row>
    <row r="58" spans="2:9">
      <c r="B58" s="148"/>
      <c r="C58" s="148"/>
      <c r="D58" s="148"/>
      <c r="E58" s="148"/>
      <c r="F58" s="139" t="s">
        <v>436</v>
      </c>
      <c r="G58" s="145">
        <v>10</v>
      </c>
      <c r="H58" s="122" t="s">
        <v>437</v>
      </c>
      <c r="I58" s="120"/>
    </row>
    <row r="59" spans="2:9">
      <c r="B59" s="148"/>
      <c r="C59" s="148"/>
      <c r="D59" s="148"/>
      <c r="E59" s="148"/>
      <c r="F59" s="139" t="s">
        <v>438</v>
      </c>
      <c r="G59" s="145">
        <v>10</v>
      </c>
      <c r="H59" s="122" t="s">
        <v>439</v>
      </c>
      <c r="I59" s="120"/>
    </row>
    <row r="60" spans="2:9">
      <c r="B60" s="148"/>
      <c r="C60" s="148"/>
      <c r="D60" s="148"/>
      <c r="E60" s="148"/>
      <c r="F60" s="118" t="s">
        <v>440</v>
      </c>
      <c r="G60" s="145">
        <v>10</v>
      </c>
      <c r="H60" s="122" t="s">
        <v>441</v>
      </c>
      <c r="I60" s="120"/>
    </row>
    <row r="61" spans="2:9">
      <c r="B61" s="148"/>
      <c r="C61" s="148"/>
      <c r="D61" s="148"/>
      <c r="E61" s="148"/>
      <c r="F61" s="139" t="s">
        <v>442</v>
      </c>
      <c r="G61" s="145">
        <v>10</v>
      </c>
      <c r="H61" s="122" t="s">
        <v>443</v>
      </c>
      <c r="I61" s="120"/>
    </row>
    <row r="62" spans="2:9">
      <c r="B62" s="148"/>
      <c r="C62" s="148"/>
      <c r="D62" s="148"/>
      <c r="E62" s="148"/>
      <c r="F62" s="139" t="s">
        <v>444</v>
      </c>
      <c r="G62" s="145">
        <v>10</v>
      </c>
      <c r="H62" s="122" t="s">
        <v>445</v>
      </c>
      <c r="I62" s="120"/>
    </row>
    <row r="63" spans="2:9">
      <c r="B63" s="148"/>
      <c r="C63" s="148"/>
      <c r="D63" s="148"/>
      <c r="E63" s="148"/>
      <c r="F63" s="118" t="s">
        <v>446</v>
      </c>
      <c r="G63" s="145">
        <v>10</v>
      </c>
      <c r="H63" s="122" t="s">
        <v>447</v>
      </c>
      <c r="I63" s="120"/>
    </row>
    <row r="64" spans="2:9">
      <c r="B64" s="149"/>
      <c r="C64" s="149"/>
      <c r="D64" s="149"/>
      <c r="E64" s="149"/>
      <c r="F64" s="118" t="s">
        <v>448</v>
      </c>
      <c r="G64" s="145">
        <v>0</v>
      </c>
      <c r="H64" s="122" t="s">
        <v>449</v>
      </c>
      <c r="I64" s="120" t="s">
        <v>457</v>
      </c>
    </row>
  </sheetData>
  <sheetProtection insertRows="0" deleteRows="0" sort="0" autoFilter="0"/>
  <sortState xmlns:xlrd2="http://schemas.microsoft.com/office/spreadsheetml/2017/richdata2" ref="F7:H32">
    <sortCondition ref="F7:F32"/>
  </sortState>
  <mergeCells count="1">
    <mergeCell ref="B4:B6"/>
  </mergeCells>
  <phoneticPr fontId="12"/>
  <hyperlinks>
    <hyperlink ref="A3" location="パラメータ設定一覧!A1" display="パラメータ設定一覧へ" xr:uid="{F25C96F2-7A92-43CF-B01B-817D994C69FA}"/>
  </hyperlinks>
  <pageMargins left="0.70866141732283472" right="0.70866141732283472" top="0.74803149606299213" bottom="0.74803149606299213" header="0.31496062992125984" footer="0.31496062992125984"/>
  <pageSetup paperSize="9" scale="56" orientation="portrait" r:id="rId1"/>
  <headerFooter>
    <oddFooter>&amp;RCopyright  SATO HOLDINGS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115F1-3C20-4C1B-AD2A-7AB732454EEF}">
  <sheetPr>
    <pageSetUpPr fitToPage="1"/>
  </sheetPr>
  <dimension ref="A1:L19"/>
  <sheetViews>
    <sheetView showGridLines="0" zoomScaleNormal="100" zoomScaleSheetLayoutView="70" workbookViewId="0">
      <pane xSplit="6" ySplit="5" topLeftCell="G6" activePane="bottomRight" state="frozen"/>
      <selection pane="topRight" activeCell="F6" sqref="F6"/>
      <selection pane="bottomLeft" activeCell="F6" sqref="F6"/>
      <selection pane="bottomRight" activeCell="F6" sqref="F6"/>
    </sheetView>
  </sheetViews>
  <sheetFormatPr defaultColWidth="8.81640625" defaultRowHeight="14.4"/>
  <cols>
    <col min="1" max="1" width="2.81640625" style="72" customWidth="1"/>
    <col min="2" max="2" width="3.36328125" style="72" bestFit="1" customWidth="1"/>
    <col min="3" max="3" width="15.6328125" style="72" bestFit="1" customWidth="1"/>
    <col min="4" max="4" width="7" style="72" bestFit="1" customWidth="1"/>
    <col min="5" max="5" width="13" style="72" bestFit="1" customWidth="1"/>
    <col min="6" max="6" width="24.1796875" style="72" bestFit="1" customWidth="1"/>
    <col min="7" max="7" width="37.36328125" style="72" customWidth="1"/>
    <col min="8" max="8" width="32.54296875" style="72" customWidth="1"/>
    <col min="9" max="9" width="16.54296875" style="72" bestFit="1" customWidth="1"/>
    <col min="10" max="10" width="29.6328125" style="72" customWidth="1"/>
    <col min="11" max="11" width="18.1796875" style="72" customWidth="1"/>
    <col min="12" max="12" width="13.1796875" style="72" customWidth="1"/>
    <col min="13" max="16384" width="8.81640625" style="72"/>
  </cols>
  <sheetData>
    <row r="1" spans="1:12" customFormat="1" ht="18.600000000000001">
      <c r="A1" s="7" t="s">
        <v>536</v>
      </c>
    </row>
    <row r="2" spans="1:12" customFormat="1" ht="15">
      <c r="B2" t="s">
        <v>537</v>
      </c>
    </row>
    <row r="3" spans="1:12" customFormat="1" ht="15">
      <c r="B3" t="s">
        <v>538</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536</v>
      </c>
      <c r="F6" s="15" t="s">
        <v>536</v>
      </c>
      <c r="G6" s="15"/>
      <c r="H6" s="15" t="s">
        <v>58</v>
      </c>
      <c r="I6" s="15" t="s">
        <v>59</v>
      </c>
      <c r="J6" s="15"/>
      <c r="K6" s="1" t="s">
        <v>539</v>
      </c>
      <c r="L6" s="2"/>
    </row>
    <row r="7" spans="1:12" ht="28.8">
      <c r="B7" s="13">
        <f t="shared" ref="B7:B19" si="0">ROW() - 5</f>
        <v>2</v>
      </c>
      <c r="C7" s="17"/>
      <c r="D7" s="17"/>
      <c r="E7" s="18"/>
      <c r="F7" s="15" t="s">
        <v>540</v>
      </c>
      <c r="G7" s="15"/>
      <c r="H7" s="15" t="s">
        <v>58</v>
      </c>
      <c r="I7" s="15" t="s">
        <v>59</v>
      </c>
      <c r="J7" s="15"/>
      <c r="K7" s="1" t="s">
        <v>539</v>
      </c>
      <c r="L7" s="2"/>
    </row>
    <row r="8" spans="1:12" ht="28.8">
      <c r="B8" s="13">
        <f t="shared" si="0"/>
        <v>3</v>
      </c>
      <c r="C8" s="14" t="s">
        <v>541</v>
      </c>
      <c r="D8" s="14"/>
      <c r="E8" s="91" t="s">
        <v>203</v>
      </c>
      <c r="F8" s="15" t="s">
        <v>174</v>
      </c>
      <c r="G8" s="15"/>
      <c r="H8" s="15" t="s">
        <v>176</v>
      </c>
      <c r="I8" s="15" t="s">
        <v>59</v>
      </c>
      <c r="J8" s="15"/>
      <c r="K8" s="1" t="s">
        <v>542</v>
      </c>
      <c r="L8" s="2"/>
    </row>
    <row r="9" spans="1:12" ht="28.8">
      <c r="B9" s="13">
        <f t="shared" si="0"/>
        <v>4</v>
      </c>
      <c r="C9" s="17"/>
      <c r="D9" s="17"/>
      <c r="E9" s="17"/>
      <c r="F9" s="15" t="s">
        <v>177</v>
      </c>
      <c r="G9" s="15"/>
      <c r="H9" s="15" t="s">
        <v>176</v>
      </c>
      <c r="I9" s="15" t="s">
        <v>59</v>
      </c>
      <c r="J9" s="15"/>
      <c r="K9" s="1" t="s">
        <v>542</v>
      </c>
      <c r="L9" s="2"/>
    </row>
    <row r="10" spans="1:12" ht="28.8">
      <c r="B10" s="13">
        <f t="shared" si="0"/>
        <v>5</v>
      </c>
      <c r="C10" s="17"/>
      <c r="D10" s="17"/>
      <c r="E10" s="17"/>
      <c r="F10" s="15" t="s">
        <v>206</v>
      </c>
      <c r="G10" s="15" t="s">
        <v>543</v>
      </c>
      <c r="H10" s="15" t="s">
        <v>105</v>
      </c>
      <c r="I10" s="41">
        <v>0</v>
      </c>
      <c r="J10" s="15"/>
      <c r="K10" s="1" t="s">
        <v>542</v>
      </c>
      <c r="L10" s="2"/>
    </row>
    <row r="11" spans="1:12" ht="28.8">
      <c r="B11" s="13">
        <f t="shared" si="0"/>
        <v>6</v>
      </c>
      <c r="C11" s="17"/>
      <c r="D11" s="17"/>
      <c r="E11" s="17"/>
      <c r="F11" s="15" t="s">
        <v>208</v>
      </c>
      <c r="G11" s="15" t="s">
        <v>209</v>
      </c>
      <c r="H11" s="15" t="s">
        <v>105</v>
      </c>
      <c r="I11" s="41">
        <v>0</v>
      </c>
      <c r="J11" s="15"/>
      <c r="K11" s="1" t="s">
        <v>542</v>
      </c>
      <c r="L11" s="2"/>
    </row>
    <row r="12" spans="1:12" ht="28.8">
      <c r="B12" s="13">
        <f t="shared" si="0"/>
        <v>7</v>
      </c>
      <c r="C12" s="17"/>
      <c r="D12" s="17"/>
      <c r="E12" s="17"/>
      <c r="F12" s="15" t="s">
        <v>210</v>
      </c>
      <c r="G12" s="15" t="s">
        <v>544</v>
      </c>
      <c r="H12" s="15" t="s">
        <v>105</v>
      </c>
      <c r="I12" s="41">
        <v>0</v>
      </c>
      <c r="J12" s="15"/>
      <c r="K12" s="1" t="s">
        <v>542</v>
      </c>
      <c r="L12" s="2"/>
    </row>
    <row r="13" spans="1:12" ht="28.8">
      <c r="B13" s="13">
        <f t="shared" si="0"/>
        <v>8</v>
      </c>
      <c r="C13" s="18"/>
      <c r="D13" s="17"/>
      <c r="E13" s="17"/>
      <c r="F13" s="15" t="s">
        <v>212</v>
      </c>
      <c r="G13" s="15"/>
      <c r="H13" s="15" t="s">
        <v>105</v>
      </c>
      <c r="I13" s="41">
        <v>0</v>
      </c>
      <c r="J13" s="15"/>
      <c r="K13" s="1" t="s">
        <v>542</v>
      </c>
      <c r="L13" s="2"/>
    </row>
    <row r="14" spans="1:12" ht="28.8">
      <c r="B14" s="13">
        <f t="shared" si="0"/>
        <v>9</v>
      </c>
      <c r="C14" s="14" t="s">
        <v>63</v>
      </c>
      <c r="D14" s="14"/>
      <c r="E14" s="14" t="s">
        <v>545</v>
      </c>
      <c r="F14" s="15" t="s">
        <v>545</v>
      </c>
      <c r="G14" s="15"/>
      <c r="H14" s="15" t="s">
        <v>546</v>
      </c>
      <c r="I14" s="15" t="s">
        <v>59</v>
      </c>
      <c r="J14" s="15"/>
      <c r="K14" s="1" t="s">
        <v>539</v>
      </c>
      <c r="L14" s="2"/>
    </row>
    <row r="15" spans="1:12" ht="28.8">
      <c r="B15" s="13">
        <f t="shared" si="0"/>
        <v>10</v>
      </c>
      <c r="C15" s="17"/>
      <c r="D15" s="17"/>
      <c r="E15" s="15" t="s">
        <v>213</v>
      </c>
      <c r="F15" s="15" t="s">
        <v>547</v>
      </c>
      <c r="G15" s="15"/>
      <c r="H15" s="15" t="s">
        <v>548</v>
      </c>
      <c r="I15" s="15" t="s">
        <v>59</v>
      </c>
      <c r="J15" s="15"/>
      <c r="K15" s="1" t="s">
        <v>539</v>
      </c>
      <c r="L15" s="2"/>
    </row>
    <row r="16" spans="1:12" ht="28.8">
      <c r="B16" s="13">
        <f t="shared" si="0"/>
        <v>11</v>
      </c>
      <c r="C16" s="14" t="s">
        <v>225</v>
      </c>
      <c r="D16" s="14"/>
      <c r="E16" s="14" t="s">
        <v>226</v>
      </c>
      <c r="F16" s="15" t="s">
        <v>227</v>
      </c>
      <c r="G16" s="15"/>
      <c r="H16" s="15" t="s">
        <v>549</v>
      </c>
      <c r="I16" s="15" t="s">
        <v>229</v>
      </c>
      <c r="J16" s="15"/>
      <c r="K16" s="1" t="s">
        <v>539</v>
      </c>
      <c r="L16" s="2"/>
    </row>
    <row r="17" spans="2:12" ht="28.8">
      <c r="B17" s="13">
        <f t="shared" si="0"/>
        <v>12</v>
      </c>
      <c r="C17" s="17"/>
      <c r="D17" s="17"/>
      <c r="E17" s="17"/>
      <c r="F17" s="15" t="s">
        <v>237</v>
      </c>
      <c r="G17" s="15"/>
      <c r="H17" s="15" t="s">
        <v>238</v>
      </c>
      <c r="I17" s="15" t="s">
        <v>239</v>
      </c>
      <c r="J17" s="15"/>
      <c r="K17" s="1" t="s">
        <v>539</v>
      </c>
      <c r="L17" s="2"/>
    </row>
    <row r="18" spans="2:12" ht="28.8">
      <c r="B18" s="13">
        <f t="shared" si="0"/>
        <v>13</v>
      </c>
      <c r="C18" s="17"/>
      <c r="D18" s="17"/>
      <c r="E18" s="14" t="s">
        <v>103</v>
      </c>
      <c r="F18" s="15" t="s">
        <v>103</v>
      </c>
      <c r="G18" s="15"/>
      <c r="H18" s="15" t="s">
        <v>105</v>
      </c>
      <c r="I18" s="28">
        <v>0</v>
      </c>
      <c r="J18" s="15"/>
      <c r="K18" s="1" t="s">
        <v>539</v>
      </c>
      <c r="L18" s="2"/>
    </row>
    <row r="19" spans="2:12" ht="43.2">
      <c r="B19" s="13">
        <f t="shared" si="0"/>
        <v>14</v>
      </c>
      <c r="C19" s="18"/>
      <c r="D19" s="18"/>
      <c r="E19" s="18"/>
      <c r="F19" s="15" t="s">
        <v>550</v>
      </c>
      <c r="G19" s="15"/>
      <c r="H19" s="15" t="s">
        <v>249</v>
      </c>
      <c r="I19" s="15" t="s">
        <v>102</v>
      </c>
      <c r="J19" s="15"/>
      <c r="K19" s="1" t="s">
        <v>539</v>
      </c>
      <c r="L19" s="2"/>
    </row>
  </sheetData>
  <phoneticPr fontId="12"/>
  <hyperlinks>
    <hyperlink ref="A4" location="パラメータ設定一覧!A1" display="パラメータ設定一覧へ" xr:uid="{CB7EA829-FB0C-4FB9-B9DB-369DF397F05B}"/>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49A7-0244-4898-A3BF-B353B8D87953}">
  <sheetPr>
    <pageSetUpPr fitToPage="1"/>
  </sheetPr>
  <dimension ref="A1:J17"/>
  <sheetViews>
    <sheetView showGridLines="0" zoomScaleNormal="100" zoomScaleSheetLayoutView="70" workbookViewId="0">
      <pane xSplit="4" ySplit="7" topLeftCell="E8" activePane="bottomRight" state="frozen"/>
      <selection pane="topRight" activeCell="F6" sqref="F6"/>
      <selection pane="bottomLeft" activeCell="F6" sqref="F6"/>
      <selection pane="bottomRight" activeCell="F6" sqref="F6"/>
    </sheetView>
  </sheetViews>
  <sheetFormatPr defaultColWidth="8.81640625" defaultRowHeight="14.4"/>
  <cols>
    <col min="1" max="1" width="2.453125" style="53" customWidth="1"/>
    <col min="2" max="2" width="3.54296875" style="53" bestFit="1" customWidth="1"/>
    <col min="3" max="3" width="13" style="93" customWidth="1"/>
    <col min="4" max="4" width="23.54296875" style="53" bestFit="1" customWidth="1"/>
    <col min="5" max="5" width="14.1796875" style="53" bestFit="1" customWidth="1"/>
    <col min="6" max="6" width="20.81640625" style="53" customWidth="1"/>
    <col min="7" max="7" width="14.54296875" style="53" customWidth="1"/>
    <col min="8" max="8" width="8.36328125" style="53" customWidth="1"/>
    <col min="9" max="9" width="11.54296875" style="53" customWidth="1"/>
    <col min="10" max="10" width="8.36328125" style="53" customWidth="1"/>
    <col min="11" max="16384" width="8.81640625" style="53"/>
  </cols>
  <sheetData>
    <row r="1" spans="1:10" customFormat="1" ht="18.600000000000001">
      <c r="A1" s="7" t="s">
        <v>551</v>
      </c>
      <c r="C1" s="49"/>
    </row>
    <row r="2" spans="1:10" customFormat="1" ht="15">
      <c r="C2" s="49"/>
    </row>
    <row r="3" spans="1:10" customFormat="1" ht="15">
      <c r="A3" s="8" t="s">
        <v>43</v>
      </c>
      <c r="C3" s="49"/>
    </row>
    <row r="4" spans="1:10" ht="15.75" customHeight="1">
      <c r="A4" s="120"/>
      <c r="B4" s="197" t="s">
        <v>44</v>
      </c>
      <c r="C4" s="29" t="s">
        <v>137</v>
      </c>
      <c r="D4" s="31"/>
      <c r="E4" s="84" t="s">
        <v>63</v>
      </c>
      <c r="F4" s="80"/>
      <c r="G4" s="26" t="s">
        <v>225</v>
      </c>
      <c r="H4" s="26"/>
      <c r="I4" s="26"/>
      <c r="J4" s="26"/>
    </row>
    <row r="5" spans="1:10">
      <c r="A5" s="120"/>
      <c r="B5" s="197"/>
      <c r="C5" s="81"/>
      <c r="D5" s="33"/>
      <c r="E5" s="96" t="s">
        <v>545</v>
      </c>
      <c r="F5" s="70" t="s">
        <v>213</v>
      </c>
      <c r="G5" s="25" t="s">
        <v>226</v>
      </c>
      <c r="H5" s="26"/>
      <c r="I5" s="42" t="s">
        <v>103</v>
      </c>
      <c r="J5" s="34"/>
    </row>
    <row r="6" spans="1:10">
      <c r="A6" s="120"/>
      <c r="B6" s="192"/>
      <c r="C6" s="95" t="s">
        <v>536</v>
      </c>
      <c r="D6" s="85" t="s">
        <v>540</v>
      </c>
      <c r="E6" s="5" t="s">
        <v>545</v>
      </c>
      <c r="F6" s="5" t="s">
        <v>547</v>
      </c>
      <c r="G6" s="5" t="s">
        <v>227</v>
      </c>
      <c r="H6" s="5" t="s">
        <v>237</v>
      </c>
      <c r="I6" s="5" t="s">
        <v>103</v>
      </c>
      <c r="J6" s="5" t="s">
        <v>550</v>
      </c>
    </row>
    <row r="7" spans="1:10" ht="43.2">
      <c r="A7" s="120"/>
      <c r="B7" s="192"/>
      <c r="C7" s="50" t="s">
        <v>58</v>
      </c>
      <c r="D7" s="6" t="s">
        <v>58</v>
      </c>
      <c r="E7" s="6" t="s">
        <v>301</v>
      </c>
      <c r="F7" s="6" t="s">
        <v>552</v>
      </c>
      <c r="G7" s="6"/>
      <c r="H7" s="6"/>
      <c r="I7" s="6" t="s">
        <v>105</v>
      </c>
      <c r="J7" s="6"/>
    </row>
    <row r="8" spans="1:10">
      <c r="A8" s="120"/>
      <c r="B8" s="122">
        <f>ROW() - 7</f>
        <v>1</v>
      </c>
      <c r="C8" s="118"/>
      <c r="D8" s="119"/>
      <c r="E8" s="126"/>
      <c r="F8" s="126"/>
      <c r="G8" s="126"/>
      <c r="H8" s="126"/>
      <c r="I8" s="133"/>
      <c r="J8" s="126"/>
    </row>
    <row r="9" spans="1:10">
      <c r="A9" s="120"/>
      <c r="B9" s="122">
        <f t="shared" ref="B9:B13" si="0">ROW() - 7</f>
        <v>2</v>
      </c>
      <c r="C9" s="118"/>
      <c r="D9" s="119"/>
      <c r="E9" s="126"/>
      <c r="F9" s="126"/>
      <c r="G9" s="126"/>
      <c r="H9" s="126"/>
      <c r="I9" s="133"/>
      <c r="J9" s="126"/>
    </row>
    <row r="10" spans="1:10">
      <c r="A10" s="120"/>
      <c r="B10" s="122">
        <f t="shared" si="0"/>
        <v>3</v>
      </c>
      <c r="C10" s="118"/>
      <c r="D10" s="119"/>
      <c r="E10" s="126"/>
      <c r="F10" s="126"/>
      <c r="G10" s="126"/>
      <c r="H10" s="126"/>
      <c r="I10" s="133"/>
      <c r="J10" s="126"/>
    </row>
    <row r="11" spans="1:10">
      <c r="A11" s="51"/>
      <c r="B11" s="122">
        <f t="shared" si="0"/>
        <v>4</v>
      </c>
      <c r="C11" s="118"/>
      <c r="D11" s="119"/>
      <c r="E11" s="126"/>
      <c r="F11" s="126"/>
      <c r="G11" s="126"/>
      <c r="H11" s="126"/>
      <c r="I11" s="133"/>
      <c r="J11" s="126"/>
    </row>
    <row r="12" spans="1:10">
      <c r="A12" s="51"/>
      <c r="B12" s="122">
        <f t="shared" si="0"/>
        <v>5</v>
      </c>
      <c r="C12" s="118"/>
      <c r="D12" s="119"/>
      <c r="E12" s="126"/>
      <c r="F12" s="126"/>
      <c r="G12" s="126"/>
      <c r="H12" s="126"/>
      <c r="I12" s="133"/>
      <c r="J12" s="126"/>
    </row>
    <row r="13" spans="1:10">
      <c r="A13" s="51"/>
      <c r="B13" s="122">
        <f t="shared" si="0"/>
        <v>6</v>
      </c>
      <c r="C13" s="118"/>
      <c r="D13" s="119"/>
      <c r="E13" s="126"/>
      <c r="F13" s="126"/>
      <c r="G13" s="126"/>
      <c r="H13" s="126"/>
      <c r="I13" s="133"/>
      <c r="J13" s="126"/>
    </row>
    <row r="14" spans="1:10">
      <c r="A14" s="51"/>
      <c r="B14" s="122">
        <f>ROW() - 7</f>
        <v>7</v>
      </c>
      <c r="C14" s="118"/>
      <c r="D14" s="119"/>
      <c r="E14" s="126"/>
      <c r="F14" s="126"/>
      <c r="G14" s="126"/>
      <c r="H14" s="126"/>
      <c r="I14" s="133"/>
      <c r="J14" s="126"/>
    </row>
    <row r="15" spans="1:10">
      <c r="A15" s="51"/>
      <c r="B15" s="122">
        <f t="shared" ref="B15:B17" si="1">ROW() - 7</f>
        <v>8</v>
      </c>
      <c r="C15" s="118"/>
      <c r="D15" s="119"/>
      <c r="E15" s="126"/>
      <c r="F15" s="126"/>
      <c r="G15" s="126"/>
      <c r="H15" s="126"/>
      <c r="I15" s="133"/>
      <c r="J15" s="126"/>
    </row>
    <row r="16" spans="1:10">
      <c r="A16" s="51"/>
      <c r="B16" s="122">
        <f t="shared" si="1"/>
        <v>9</v>
      </c>
      <c r="C16" s="118"/>
      <c r="D16" s="119"/>
      <c r="E16" s="126"/>
      <c r="F16" s="126"/>
      <c r="G16" s="126"/>
      <c r="H16" s="126"/>
      <c r="I16" s="133"/>
      <c r="J16" s="126"/>
    </row>
    <row r="17" spans="1:10" ht="16.2">
      <c r="A17" s="92"/>
      <c r="B17" s="122">
        <f t="shared" si="1"/>
        <v>10</v>
      </c>
      <c r="C17" s="118"/>
      <c r="D17" s="119"/>
      <c r="E17" s="126"/>
      <c r="F17" s="126"/>
      <c r="G17" s="126"/>
      <c r="H17" s="126"/>
      <c r="I17" s="133"/>
      <c r="J17" s="126"/>
    </row>
  </sheetData>
  <sheetProtection insertRows="0" deleteRows="0" sort="0" autoFilter="0"/>
  <mergeCells count="1">
    <mergeCell ref="B4:B7"/>
  </mergeCells>
  <phoneticPr fontId="12"/>
  <dataValidations count="1">
    <dataValidation type="list" allowBlank="1" showInputMessage="1" showErrorMessage="1" sqref="G18:G24" xr:uid="{A90F010C-3B34-4854-893E-6D4C68075F6B}">
      <formula1>#REF!</formula1>
    </dataValidation>
  </dataValidations>
  <hyperlinks>
    <hyperlink ref="A3" location="パラメータ設定一覧!A1" display="パラメータ設定一覧へ" xr:uid="{2F1EBC4C-4367-4001-8ECC-25368ADC35DF}"/>
  </hyperlinks>
  <pageMargins left="0.70866141732283472" right="0.70866141732283472" top="0.74803149606299213" bottom="0.74803149606299213" header="0.31496062992125984" footer="0.31496062992125984"/>
  <pageSetup paperSize="9" scale="57" orientation="portrait" r:id="rId1"/>
  <headerFooter>
    <oddFooter>&amp;RCopyright  SATO HOLDINGS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51B4-8396-46C9-8100-1862899A5B23}">
  <sheetPr>
    <pageSetUpPr fitToPage="1"/>
  </sheetPr>
  <dimension ref="A1:I16"/>
  <sheetViews>
    <sheetView showGridLines="0" zoomScaleNormal="100" zoomScaleSheetLayoutView="70" workbookViewId="0">
      <pane ySplit="6" topLeftCell="A7" activePane="bottomLeft" state="frozen"/>
      <selection pane="bottomLeft" activeCell="A7" sqref="A7"/>
    </sheetView>
  </sheetViews>
  <sheetFormatPr defaultColWidth="8.81640625" defaultRowHeight="14.4"/>
  <cols>
    <col min="1" max="1" width="2.90625" style="53" customWidth="1"/>
    <col min="2" max="2" width="3.54296875" style="53" bestFit="1" customWidth="1"/>
    <col min="3" max="3" width="17.6328125" style="53" customWidth="1"/>
    <col min="4" max="4" width="13.54296875" style="53" customWidth="1"/>
    <col min="5" max="5" width="15" style="53" customWidth="1"/>
    <col min="6" max="6" width="18.36328125" style="53" customWidth="1"/>
    <col min="7" max="7" width="17.54296875" style="53" customWidth="1"/>
    <col min="8" max="8" width="11.453125" style="53" customWidth="1"/>
    <col min="9" max="9" width="14.453125" style="53" customWidth="1"/>
    <col min="10" max="16384" width="8.81640625" style="53"/>
  </cols>
  <sheetData>
    <row r="1" spans="1:9" customFormat="1" ht="18.600000000000001">
      <c r="A1" s="7" t="s">
        <v>553</v>
      </c>
    </row>
    <row r="2" spans="1:9" customFormat="1" ht="15"/>
    <row r="3" spans="1:9" customFormat="1" ht="15">
      <c r="A3" s="8" t="s">
        <v>43</v>
      </c>
    </row>
    <row r="4" spans="1:9" ht="15.75" customHeight="1">
      <c r="A4" s="120"/>
      <c r="B4" s="192" t="s">
        <v>44</v>
      </c>
      <c r="C4" s="29" t="s">
        <v>137</v>
      </c>
      <c r="D4" s="30"/>
      <c r="E4" s="30"/>
      <c r="F4" s="30"/>
      <c r="G4" s="30"/>
      <c r="H4" s="30"/>
      <c r="I4" s="31"/>
    </row>
    <row r="5" spans="1:9">
      <c r="A5" s="120"/>
      <c r="B5" s="192"/>
      <c r="C5" s="5" t="s">
        <v>536</v>
      </c>
      <c r="D5" s="5" t="s">
        <v>174</v>
      </c>
      <c r="E5" s="5" t="s">
        <v>177</v>
      </c>
      <c r="F5" s="5" t="s">
        <v>206</v>
      </c>
      <c r="G5" s="5" t="s">
        <v>208</v>
      </c>
      <c r="H5" s="5" t="s">
        <v>210</v>
      </c>
      <c r="I5" s="5" t="s">
        <v>212</v>
      </c>
    </row>
    <row r="6" spans="1:9">
      <c r="A6" s="120"/>
      <c r="B6" s="192"/>
      <c r="C6" s="6" t="s">
        <v>58</v>
      </c>
      <c r="D6" s="6" t="s">
        <v>176</v>
      </c>
      <c r="E6" s="6" t="s">
        <v>176</v>
      </c>
      <c r="F6" s="6" t="s">
        <v>105</v>
      </c>
      <c r="G6" s="6" t="s">
        <v>105</v>
      </c>
      <c r="H6" s="6" t="s">
        <v>105</v>
      </c>
      <c r="I6" s="6" t="s">
        <v>105</v>
      </c>
    </row>
    <row r="7" spans="1:9">
      <c r="A7" s="120"/>
      <c r="B7" s="122">
        <f>ROW() - 6</f>
        <v>1</v>
      </c>
      <c r="C7" s="123"/>
      <c r="D7" s="150"/>
      <c r="E7" s="151"/>
      <c r="F7" s="152"/>
      <c r="G7" s="152"/>
      <c r="H7" s="145"/>
      <c r="I7" s="153"/>
    </row>
    <row r="8" spans="1:9">
      <c r="A8" s="120"/>
      <c r="B8" s="122">
        <f t="shared" ref="B8:B16" si="0">ROW() - 6</f>
        <v>2</v>
      </c>
      <c r="C8" s="123"/>
      <c r="D8" s="150"/>
      <c r="E8" s="151"/>
      <c r="F8" s="152"/>
      <c r="G8" s="152"/>
      <c r="H8" s="145"/>
      <c r="I8" s="153"/>
    </row>
    <row r="9" spans="1:9">
      <c r="A9" s="120"/>
      <c r="B9" s="122">
        <f t="shared" si="0"/>
        <v>3</v>
      </c>
      <c r="C9" s="123"/>
      <c r="D9" s="150"/>
      <c r="E9" s="151"/>
      <c r="F9" s="152"/>
      <c r="G9" s="152"/>
      <c r="H9" s="145"/>
      <c r="I9" s="153"/>
    </row>
    <row r="10" spans="1:9">
      <c r="A10" s="51"/>
      <c r="B10" s="122">
        <f t="shared" si="0"/>
        <v>4</v>
      </c>
      <c r="C10" s="123"/>
      <c r="D10" s="150"/>
      <c r="E10" s="151"/>
      <c r="F10" s="152"/>
      <c r="G10" s="152"/>
      <c r="H10" s="145"/>
      <c r="I10" s="153"/>
    </row>
    <row r="11" spans="1:9">
      <c r="A11" s="51"/>
      <c r="B11" s="122">
        <f t="shared" si="0"/>
        <v>5</v>
      </c>
      <c r="C11" s="123"/>
      <c r="D11" s="154"/>
      <c r="E11" s="151"/>
      <c r="F11" s="152"/>
      <c r="G11" s="152"/>
      <c r="H11" s="145"/>
      <c r="I11" s="153"/>
    </row>
    <row r="12" spans="1:9">
      <c r="A12" s="51"/>
      <c r="B12" s="122">
        <f t="shared" si="0"/>
        <v>6</v>
      </c>
      <c r="C12" s="123"/>
      <c r="D12" s="154"/>
      <c r="E12" s="151"/>
      <c r="F12" s="152"/>
      <c r="G12" s="152"/>
      <c r="H12" s="145"/>
      <c r="I12" s="153"/>
    </row>
    <row r="13" spans="1:9">
      <c r="A13" s="51"/>
      <c r="B13" s="122">
        <f t="shared" si="0"/>
        <v>7</v>
      </c>
      <c r="C13" s="123"/>
      <c r="D13" s="154"/>
      <c r="E13" s="151"/>
      <c r="F13" s="152"/>
      <c r="G13" s="152"/>
      <c r="H13" s="145"/>
      <c r="I13" s="153"/>
    </row>
    <row r="14" spans="1:9">
      <c r="A14" s="51"/>
      <c r="B14" s="122">
        <f t="shared" si="0"/>
        <v>8</v>
      </c>
      <c r="C14" s="123"/>
      <c r="D14" s="122"/>
      <c r="E14" s="121"/>
      <c r="F14" s="152"/>
      <c r="G14" s="152"/>
      <c r="H14" s="145"/>
      <c r="I14" s="153"/>
    </row>
    <row r="15" spans="1:9">
      <c r="A15" s="51"/>
      <c r="B15" s="122">
        <f t="shared" si="0"/>
        <v>9</v>
      </c>
      <c r="C15" s="123"/>
      <c r="D15" s="121"/>
      <c r="E15" s="121"/>
      <c r="F15" s="152"/>
      <c r="G15" s="152"/>
      <c r="H15" s="145"/>
      <c r="I15" s="153"/>
    </row>
    <row r="16" spans="1:9" ht="16.2">
      <c r="A16" s="92"/>
      <c r="B16" s="122">
        <f t="shared" si="0"/>
        <v>10</v>
      </c>
      <c r="C16" s="121"/>
      <c r="D16" s="121"/>
      <c r="E16" s="121"/>
      <c r="F16" s="152"/>
      <c r="G16" s="152"/>
      <c r="H16" s="145"/>
      <c r="I16" s="153"/>
    </row>
  </sheetData>
  <sheetProtection insertRows="0" deleteRows="0" sort="0" autoFilter="0"/>
  <mergeCells count="1">
    <mergeCell ref="B4:B6"/>
  </mergeCells>
  <phoneticPr fontId="12"/>
  <hyperlinks>
    <hyperlink ref="A3" location="パラメータ設定一覧!A1" display="パラメータ設定一覧へ" xr:uid="{AA512A85-A260-4290-9DEE-A3902FDEB1B8}"/>
  </hyperlinks>
  <pageMargins left="0.70866141732283472" right="0.70866141732283472" top="0.74803149606299213" bottom="0.74803149606299213" header="0.31496062992125984" footer="0.31496062992125984"/>
  <pageSetup paperSize="9" scale="60" orientation="portrait" r:id="rId1"/>
  <headerFooter>
    <oddFooter>&amp;RCopyright  SATO HOLDINGS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74BF-3D71-42AA-99F1-0524A2583C9B}">
  <sheetPr>
    <pageSetUpPr fitToPage="1"/>
  </sheetPr>
  <dimension ref="A1:L11"/>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cols>
    <col min="1" max="1" width="2.81640625" style="72" customWidth="1"/>
    <col min="2" max="2" width="3.36328125" style="72" bestFit="1" customWidth="1"/>
    <col min="3" max="3" width="15.1796875" style="72" bestFit="1" customWidth="1"/>
    <col min="4" max="4" width="7" style="72" bestFit="1" customWidth="1"/>
    <col min="5" max="5" width="7.453125" style="72" bestFit="1" customWidth="1"/>
    <col min="6" max="6" width="24.1796875" style="72" bestFit="1" customWidth="1"/>
    <col min="7" max="7" width="22" style="72" bestFit="1" customWidth="1"/>
    <col min="8" max="8" width="23.1796875" style="72" customWidth="1"/>
    <col min="9" max="9" width="8.6328125" style="72" bestFit="1" customWidth="1"/>
    <col min="10" max="10" width="26.36328125" style="72" customWidth="1"/>
    <col min="11" max="11" width="18.1796875" style="72" customWidth="1"/>
    <col min="12" max="12" width="13.1796875" style="72" customWidth="1"/>
    <col min="13" max="16384" width="8.81640625" style="72"/>
  </cols>
  <sheetData>
    <row r="1" spans="1:12" customFormat="1" ht="18.600000000000001">
      <c r="A1" s="7" t="s">
        <v>554</v>
      </c>
    </row>
    <row r="2" spans="1:12" customFormat="1" ht="15">
      <c r="B2" t="s">
        <v>555</v>
      </c>
    </row>
    <row r="3" spans="1:12" customFormat="1" ht="15">
      <c r="B3" t="s">
        <v>556</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557</v>
      </c>
      <c r="D6" s="14"/>
      <c r="E6" s="14"/>
      <c r="F6" s="15" t="s">
        <v>557</v>
      </c>
      <c r="G6" s="15"/>
      <c r="H6" s="15" t="s">
        <v>58</v>
      </c>
      <c r="I6" s="15" t="s">
        <v>59</v>
      </c>
      <c r="J6" s="15"/>
      <c r="K6" s="1" t="s">
        <v>558</v>
      </c>
      <c r="L6" s="2"/>
    </row>
    <row r="7" spans="1:12" ht="28.8">
      <c r="B7" s="13">
        <f t="shared" ref="B7:B11" si="0">ROW() - 5</f>
        <v>2</v>
      </c>
      <c r="C7" s="17"/>
      <c r="D7" s="17"/>
      <c r="E7" s="17"/>
      <c r="F7" s="15" t="s">
        <v>61</v>
      </c>
      <c r="G7" s="15"/>
      <c r="H7" s="15" t="s">
        <v>58</v>
      </c>
      <c r="I7" s="15" t="s">
        <v>59</v>
      </c>
      <c r="J7" s="15"/>
      <c r="K7" s="1" t="s">
        <v>558</v>
      </c>
      <c r="L7" s="2"/>
    </row>
    <row r="8" spans="1:12" ht="37.5" customHeight="1">
      <c r="B8" s="13">
        <f t="shared" si="0"/>
        <v>3</v>
      </c>
      <c r="C8" s="14" t="s">
        <v>474</v>
      </c>
      <c r="D8" s="14"/>
      <c r="E8" s="14"/>
      <c r="F8" s="15" t="s">
        <v>559</v>
      </c>
      <c r="G8" s="15"/>
      <c r="H8" s="15" t="s">
        <v>560</v>
      </c>
      <c r="I8" s="15" t="s">
        <v>59</v>
      </c>
      <c r="J8" s="15"/>
      <c r="K8" s="1" t="s">
        <v>558</v>
      </c>
      <c r="L8" s="2"/>
    </row>
    <row r="9" spans="1:12" ht="28.8">
      <c r="B9" s="13">
        <f t="shared" si="0"/>
        <v>4</v>
      </c>
      <c r="C9" s="17"/>
      <c r="D9" s="17"/>
      <c r="E9" s="17"/>
      <c r="F9" s="15" t="s">
        <v>561</v>
      </c>
      <c r="G9" s="15"/>
      <c r="H9" s="15" t="s">
        <v>58</v>
      </c>
      <c r="I9" s="15" t="s">
        <v>59</v>
      </c>
      <c r="J9" s="15"/>
      <c r="K9" s="1" t="s">
        <v>558</v>
      </c>
      <c r="L9" s="2"/>
    </row>
    <row r="10" spans="1:12" ht="28.8">
      <c r="B10" s="13">
        <f t="shared" si="0"/>
        <v>5</v>
      </c>
      <c r="C10" s="17"/>
      <c r="D10" s="17"/>
      <c r="E10" s="17"/>
      <c r="F10" s="15" t="s">
        <v>210</v>
      </c>
      <c r="G10" s="15" t="s">
        <v>562</v>
      </c>
      <c r="H10" s="15" t="s">
        <v>281</v>
      </c>
      <c r="I10" s="28">
        <v>0</v>
      </c>
      <c r="J10" s="15"/>
      <c r="K10" s="1" t="s">
        <v>558</v>
      </c>
      <c r="L10" s="2"/>
    </row>
    <row r="11" spans="1:12" ht="28.8">
      <c r="B11" s="13">
        <f t="shared" si="0"/>
        <v>6</v>
      </c>
      <c r="C11" s="18"/>
      <c r="D11" s="18"/>
      <c r="E11" s="18"/>
      <c r="F11" s="15" t="s">
        <v>212</v>
      </c>
      <c r="G11" s="15"/>
      <c r="H11" s="15" t="s">
        <v>281</v>
      </c>
      <c r="I11" s="28">
        <v>0</v>
      </c>
      <c r="J11" s="15"/>
      <c r="K11" s="1" t="s">
        <v>558</v>
      </c>
      <c r="L11" s="2"/>
    </row>
  </sheetData>
  <phoneticPr fontId="12"/>
  <hyperlinks>
    <hyperlink ref="A4" location="パラメータ設定一覧!A1" display="パラメータ設定一覧へ" xr:uid="{9D1E52A8-8CF0-4B6E-AADD-3E3CB88F67A5}"/>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1ABE-C15B-4B92-860F-815D8CACF948}">
  <sheetPr>
    <pageSetUpPr fitToPage="1"/>
  </sheetPr>
  <dimension ref="A1:G11"/>
  <sheetViews>
    <sheetView showGridLines="0" zoomScaleNormal="100" zoomScaleSheetLayoutView="70" workbookViewId="0">
      <pane ySplit="6" topLeftCell="A7" activePane="bottomLeft" state="frozen"/>
      <selection activeCell="G6" sqref="G6"/>
      <selection pane="bottomLeft" activeCell="G6" sqref="G6"/>
    </sheetView>
  </sheetViews>
  <sheetFormatPr defaultColWidth="8.81640625" defaultRowHeight="14.4"/>
  <cols>
    <col min="1" max="1" width="2.453125" style="72" customWidth="1"/>
    <col min="2" max="2" width="3.54296875" style="72" bestFit="1" customWidth="1"/>
    <col min="3" max="3" width="17.36328125" style="72" customWidth="1"/>
    <col min="4" max="4" width="17.6328125" style="72" customWidth="1"/>
    <col min="5" max="5" width="22.453125" style="72" bestFit="1" customWidth="1"/>
    <col min="6" max="6" width="13.1796875" style="72" customWidth="1"/>
    <col min="7" max="7" width="30.1796875" style="72" bestFit="1" customWidth="1"/>
    <col min="8" max="16384" width="8.81640625" style="72"/>
  </cols>
  <sheetData>
    <row r="1" spans="1:7" customFormat="1" ht="18.600000000000001">
      <c r="A1" s="7" t="s">
        <v>563</v>
      </c>
    </row>
    <row r="2" spans="1:7" customFormat="1" ht="15"/>
    <row r="3" spans="1:7" customFormat="1" ht="15">
      <c r="A3" s="8" t="s">
        <v>43</v>
      </c>
    </row>
    <row r="4" spans="1:7" ht="15.75" customHeight="1">
      <c r="B4" s="193" t="s">
        <v>44</v>
      </c>
      <c r="C4" s="83" t="s">
        <v>137</v>
      </c>
      <c r="D4" s="84"/>
      <c r="E4" s="84"/>
      <c r="F4" s="84"/>
      <c r="G4" s="80"/>
    </row>
    <row r="5" spans="1:7">
      <c r="B5" s="155"/>
      <c r="C5" s="85" t="s">
        <v>564</v>
      </c>
      <c r="D5" s="85" t="s">
        <v>61</v>
      </c>
      <c r="E5" s="85" t="s">
        <v>536</v>
      </c>
      <c r="F5" s="85" t="s">
        <v>504</v>
      </c>
      <c r="G5" s="85" t="s">
        <v>88</v>
      </c>
    </row>
    <row r="6" spans="1:7" ht="14.25" customHeight="1">
      <c r="B6" s="155"/>
      <c r="C6" s="6" t="s">
        <v>58</v>
      </c>
      <c r="D6" s="6" t="s">
        <v>58</v>
      </c>
      <c r="E6" s="6" t="s">
        <v>560</v>
      </c>
      <c r="F6" s="6" t="s">
        <v>204</v>
      </c>
      <c r="G6" s="6" t="s">
        <v>204</v>
      </c>
    </row>
    <row r="7" spans="1:7" ht="16.5" customHeight="1">
      <c r="B7" s="76">
        <f>ROW() - 6</f>
        <v>1</v>
      </c>
      <c r="C7" s="97"/>
      <c r="D7" s="98"/>
      <c r="E7" s="76"/>
      <c r="F7" s="99"/>
      <c r="G7" s="86"/>
    </row>
    <row r="8" spans="1:7" ht="16.5" customHeight="1">
      <c r="B8" s="76">
        <f t="shared" ref="B8:B11" si="0">ROW() - 6</f>
        <v>2</v>
      </c>
      <c r="C8" s="100"/>
      <c r="D8" s="100"/>
      <c r="E8" s="76"/>
      <c r="F8" s="99"/>
      <c r="G8" s="86"/>
    </row>
    <row r="9" spans="1:7" ht="16.5" customHeight="1">
      <c r="B9" s="76">
        <f t="shared" si="0"/>
        <v>3</v>
      </c>
      <c r="C9" s="100"/>
      <c r="D9" s="100"/>
      <c r="E9" s="76"/>
      <c r="F9" s="99"/>
      <c r="G9" s="86"/>
    </row>
    <row r="10" spans="1:7" ht="16.5" customHeight="1">
      <c r="B10" s="76">
        <f t="shared" si="0"/>
        <v>4</v>
      </c>
      <c r="C10" s="100"/>
      <c r="D10" s="100"/>
      <c r="E10" s="76"/>
      <c r="F10" s="99"/>
      <c r="G10" s="86"/>
    </row>
    <row r="11" spans="1:7" ht="16.5" customHeight="1">
      <c r="A11" s="51"/>
      <c r="B11" s="76">
        <f t="shared" si="0"/>
        <v>5</v>
      </c>
      <c r="C11" s="97"/>
      <c r="D11" s="98"/>
      <c r="E11" s="76"/>
      <c r="F11" s="99"/>
      <c r="G11" s="86"/>
    </row>
  </sheetData>
  <sheetProtection insertRows="0" deleteRows="0" sort="0" autoFilter="0"/>
  <mergeCells count="1">
    <mergeCell ref="B4:B6"/>
  </mergeCells>
  <phoneticPr fontId="12"/>
  <hyperlinks>
    <hyperlink ref="A3" location="パラメータ設定一覧!A1" display="パラメータ設定一覧へ" xr:uid="{D2DDF252-40AE-4C8D-9B6F-1B414E840591}"/>
  </hyperlinks>
  <pageMargins left="0.70866141732283472" right="0.70866141732283472" top="0.74803149606299213" bottom="0.74803149606299213" header="0.31496062992125984" footer="0.31496062992125984"/>
  <pageSetup paperSize="9" scale="67"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BECD60D6-6748-4AA4-A8B3-ABC3464134BC}"/>
</file>

<file path=customXml/itemProps3.xml><?xml version="1.0" encoding="utf-8"?>
<ds:datastoreItem xmlns:ds="http://schemas.openxmlformats.org/officeDocument/2006/customXml" ds:itemID="{391605AE-180C-4357-9531-2DC69F7FC83D}">
  <ds:schemaRefs>
    <ds:schemaRef ds:uri="http://purl.org/dc/dcmitype/"/>
    <ds:schemaRef ds:uri="http://schemas.microsoft.com/office/2006/documentManagement/types"/>
    <ds:schemaRef ds:uri="http://www.w3.org/XML/1998/namespace"/>
    <ds:schemaRef ds:uri="http://purl.org/dc/terms/"/>
    <ds:schemaRef ds:uri="http://schemas.microsoft.com/office/infopath/2007/PartnerControls"/>
    <ds:schemaRef ds:uri="http://purl.org/dc/elements/1.1/"/>
    <ds:schemaRef ds:uri="http://schemas.openxmlformats.org/package/2006/metadata/core-properties"/>
    <ds:schemaRef ds:uri="5bd2875c-1d77-4e59-90f4-883ca6a86c01"/>
    <ds:schemaRef ds:uri="0e104af9-8863-48b3-a0f9-b99702920d1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23</vt:i4>
      </vt:variant>
    </vt:vector>
  </HeadingPairs>
  <TitlesOfParts>
    <vt:vector size="23" baseType="lpstr">
      <vt:lpstr>表紙</vt:lpstr>
      <vt:lpstr>パラメータ設定一覧</vt:lpstr>
      <vt:lpstr>元帳転記グループ</vt:lpstr>
      <vt:lpstr>元帳転記グループ-設定値</vt:lpstr>
      <vt:lpstr>消費税所轄官庁</vt:lpstr>
      <vt:lpstr>消費税所轄官庁-設定値</vt:lpstr>
      <vt:lpstr>消費税決済期間</vt:lpstr>
      <vt:lpstr>消費税決済期間-設定値</vt:lpstr>
      <vt:lpstr>消費税決済期間_間隔-設定値</vt:lpstr>
      <vt:lpstr>消費税コード</vt:lpstr>
      <vt:lpstr>消費税コード-設定値</vt:lpstr>
      <vt:lpstr>消費税コードの値-設定値 </vt:lpstr>
      <vt:lpstr>消費税グループ</vt:lpstr>
      <vt:lpstr>消費税グループ-設定値</vt:lpstr>
      <vt:lpstr>消費税グループ_設定-設定値</vt:lpstr>
      <vt:lpstr>消費税グループ_小売の宛先に基づく税_設定値</vt:lpstr>
      <vt:lpstr>品目消費税グループ</vt:lpstr>
      <vt:lpstr>品目消費税グループ-設定値</vt:lpstr>
      <vt:lpstr>源泉徴収税コード</vt:lpstr>
      <vt:lpstr>源泉徴収税コード-設定値</vt:lpstr>
      <vt:lpstr>源泉徴収税コードの値-設定値</vt:lpstr>
      <vt:lpstr>源泉徴収税グループ</vt:lpstr>
      <vt:lpstr>源泉徴収税グループ-設定値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Ida, Mizuho</cp:lastModifiedBy>
  <cp:revision/>
  <dcterms:created xsi:type="dcterms:W3CDTF">2019-08-21T01:28:53Z</dcterms:created>
  <dcterms:modified xsi:type="dcterms:W3CDTF">2026-05-26T11:21:34Z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