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3178" documentId="14_{6159E0D9-A63C-424B-B315-8A9C2E33BF6B}" xr6:coauthVersionLast="47" xr6:coauthVersionMax="47" xr10:uidLastSave="{C6787F3D-8732-4DA7-8E1C-7A12EBA87A80}"/>
  <bookViews>
    <workbookView xWindow="28680" yWindow="-120" windowWidth="29040" windowHeight="15720" tabRatio="778" firstSheet="14" activeTab="19" xr2:uid="{FF37A431-138E-498D-9932-FE4CAD8F52B8}"/>
  </bookViews>
  <sheets>
    <sheet name="表紙" sheetId="373" r:id="rId1"/>
    <sheet name="パラメータ設定一覧" sheetId="4" r:id="rId2"/>
    <sheet name="予算作成パラメーター" sheetId="368" r:id="rId3"/>
    <sheet name="予算作成パラメーター-番号順序" sheetId="342" r:id="rId4"/>
    <sheet name="予算作成ワークフロー" sheetId="383" r:id="rId5"/>
    <sheet name="予算作成ワークフロー-設定値" sheetId="384" r:id="rId6"/>
    <sheet name="予算作成の分析コード" sheetId="385" r:id="rId7"/>
    <sheet name="予算作成の分析コード-設定値" sheetId="386" r:id="rId8"/>
    <sheet name="予算モデル" sheetId="375" r:id="rId9"/>
    <sheet name="予算モデル-設定値" sheetId="395" r:id="rId10"/>
    <sheet name="予算モデル(下位モデル)-設定値" sheetId="380" r:id="rId11"/>
    <sheet name="予算コード" sheetId="376" r:id="rId12"/>
    <sheet name="予算コード-設定値 " sheetId="381" r:id="rId13"/>
    <sheet name="予算サイクル" sheetId="377" r:id="rId14"/>
    <sheet name="予算サイクル(概要)-設定値" sheetId="389" r:id="rId15"/>
    <sheet name="予算サイクル(予算サイクル)-設定値" sheetId="382" r:id="rId16"/>
    <sheet name="予算計画のコンフィギュレーション" sheetId="378" r:id="rId17"/>
    <sheet name="予算計画シナリオ-設定値" sheetId="396" r:id="rId18"/>
    <sheet name="予算計画ステージ-設定値" sheetId="397" r:id="rId19"/>
    <sheet name="予算計画ワークフロー ステージ-設定値" sheetId="398" r:id="rId20"/>
    <sheet name="配賦スケジュール-設定値" sheetId="399" r:id="rId21"/>
    <sheet name="ステージの配賦-設定値" sheetId="400" r:id="rId22"/>
    <sheet name="予算計画の優先順位-設定値" sheetId="401" r:id="rId23"/>
    <sheet name="予算計画列-設定値" sheetId="402" r:id="rId24"/>
    <sheet name="予算計画レイアウト-設定値" sheetId="403" r:id="rId25"/>
    <sheet name="予算計画レイアウト要素-設定値" sheetId="404" r:id="rId26"/>
    <sheet name="予算計画プロセス" sheetId="387" r:id="rId27"/>
    <sheet name="予算計画プロセス-設定値" sheetId="388" r:id="rId28"/>
    <sheet name="予算計画プロセス管理-設定値" sheetId="390" r:id="rId29"/>
    <sheet name="予算計画のステージ ルールとレイアウト-設定値" sheetId="391" r:id="rId30"/>
    <sheet name="予算計画優先順位と制約-設定値" sheetId="392" r:id="rId31"/>
    <sheet name="マイルストーン-設定値" sheetId="393" r:id="rId32"/>
  </sheets>
  <externalReferences>
    <externalReference r:id="rId33"/>
  </externalReferences>
  <definedNames>
    <definedName name="_Fill" hidden="1">[1]テーブル仕様!#REF!</definedName>
    <definedName name="_xlnm._FilterDatabase" localSheetId="21" hidden="1">'ステージの配賦-設定値'!#REF!</definedName>
    <definedName name="_xlnm._FilterDatabase" localSheetId="31" hidden="1">'マイルストーン-設定値'!#REF!</definedName>
    <definedName name="_xlnm._FilterDatabase" localSheetId="20" hidden="1">'配賦スケジュール-設定値'!#REF!</definedName>
    <definedName name="_xlnm._FilterDatabase" localSheetId="12" hidden="1">'予算コード-設定値 '!#REF!</definedName>
    <definedName name="_xlnm._FilterDatabase" localSheetId="14" hidden="1">'予算サイクル(概要)-設定値'!#REF!</definedName>
    <definedName name="_xlnm._FilterDatabase" localSheetId="15" hidden="1">'予算サイクル(予算サイクル)-設定値'!#REF!</definedName>
    <definedName name="_xlnm._FilterDatabase" localSheetId="10" hidden="1">'予算モデル(下位モデル)-設定値'!#REF!</definedName>
    <definedName name="_xlnm._FilterDatabase" localSheetId="9" hidden="1">'予算モデル-設定値'!#REF!</definedName>
    <definedName name="_xlnm._FilterDatabase" localSheetId="17" hidden="1">'予算計画シナリオ-設定値'!#REF!</definedName>
    <definedName name="_xlnm._FilterDatabase" localSheetId="18" hidden="1">'予算計画ステージ-設定値'!#REF!</definedName>
    <definedName name="_xlnm._FilterDatabase" localSheetId="29" hidden="1">'予算計画のステージ ルールとレイアウト-設定値'!#REF!</definedName>
    <definedName name="_xlnm._FilterDatabase" localSheetId="22" hidden="1">'予算計画の優先順位-設定値'!#REF!</definedName>
    <definedName name="_xlnm._FilterDatabase" localSheetId="28" hidden="1">'予算計画プロセス管理-設定値'!#REF!</definedName>
    <definedName name="_xlnm._FilterDatabase" localSheetId="27" hidden="1">'予算計画プロセス-設定値'!#REF!</definedName>
    <definedName name="_xlnm._FilterDatabase" localSheetId="24" hidden="1">'予算計画レイアウト-設定値'!#REF!</definedName>
    <definedName name="_xlnm._FilterDatabase" localSheetId="25" hidden="1">'予算計画レイアウト要素-設定値'!#REF!</definedName>
    <definedName name="_xlnm._FilterDatabase" localSheetId="19" hidden="1">'予算計画ワークフロー ステージ-設定値'!#REF!</definedName>
    <definedName name="_xlnm._FilterDatabase" localSheetId="30" hidden="1">'予算計画優先順位と制約-設定値'!#REF!</definedName>
    <definedName name="_xlnm._FilterDatabase" localSheetId="23" hidden="1">'予算計画列-設定値'!#REF!</definedName>
    <definedName name="_xlnm._FilterDatabase" localSheetId="7" hidden="1">'予算作成の分析コード-設定値'!#REF!</definedName>
    <definedName name="_xlnm._FilterDatabase" localSheetId="3" hidden="1">'予算作成パラメーター-番号順序'!#REF!</definedName>
    <definedName name="_Order1" hidden="1">255</definedName>
    <definedName name="_Order2" hidden="1">255</definedName>
    <definedName name="_Regression_X" localSheetId="2" hidden="1">#REF!</definedName>
    <definedName name="_Regression_X" hidden="1">#REF!</definedName>
    <definedName name="A" hidden="1">#REF!</definedName>
    <definedName name="adf" hidden="1">#REF!</definedName>
    <definedName name="AS2DocOpenMode" hidden="1">"AS2DocumentEdit"</definedName>
    <definedName name="AX" localSheetId="2" hidden="1">#REF!</definedName>
    <definedName name="AX" hidden="1">#REF!</definedName>
    <definedName name="AZ" localSheetId="2" hidden="1">#REF!</definedName>
    <definedName name="AZ" hidden="1">#REF!</definedName>
    <definedName name="bbb" localSheetId="2" hidden="1">[1]テーブル仕様!#REF!</definedName>
    <definedName name="bbb" hidden="1">[1]テーブル仕様!#REF!</definedName>
    <definedName name="ＧＷメッセージ一覧" localSheetId="2" hidden="1">#REF!</definedName>
    <definedName name="ＧＷメッセージ一覧" hidden="1">#REF!</definedName>
    <definedName name="H" localSheetId="2" hidden="1">{"'Sheet1'!$B$5:$H$34"}</definedName>
    <definedName name="H" hidden="1">{"'Sheet1'!$B$5:$H$34"}</definedName>
    <definedName name="HTML_CodePage" hidden="1">932</definedName>
    <definedName name="HTML_Control" localSheetId="0" hidden="1">{"'分担ﾙｰﾙ'!$A$1:$M$72","'分担ﾙｰﾙ'!$A$19:$M$71"}</definedName>
    <definedName name="HTML_Control" localSheetId="2" hidden="1">{"'分担ﾙｰﾙ'!$A$1:$M$72","'分担ﾙｰﾙ'!$A$19:$M$71"}</definedName>
    <definedName name="HTML_Control" hidden="1">{"'分担ﾙｰﾙ'!$A$1:$M$72","'分担ﾙｰﾙ'!$A$19:$M$71"}</definedName>
    <definedName name="HTML_Control_copy" localSheetId="2" hidden="1">{"'Sheet1'!$B$5:$H$34"}</definedName>
    <definedName name="HTML_Control_copy" hidden="1">{"'Sheet1'!$B$5:$H$34"}</definedName>
    <definedName name="HTML_Control_Copy2" localSheetId="2" hidden="1">{"'Sheet1'!$B$5:$H$34"}</definedName>
    <definedName name="HTML_Control_Copy2" hidden="1">{"'Sheet1'!$B$5:$H$34"}</definedName>
    <definedName name="HTML_Control1" localSheetId="0" hidden="1">{"'分担ﾙｰﾙ'!$A$1:$M$72","'分担ﾙｰﾙ'!$A$19:$M$71"}</definedName>
    <definedName name="HTML_Control1" localSheetId="2" hidden="1">{"'分担ﾙｰﾙ'!$A$1:$M$72","'分担ﾙｰﾙ'!$A$19:$M$71"}</definedName>
    <definedName name="HTML_Control1" hidden="1">{"'分担ﾙｰﾙ'!$A$1:$M$72","'分担ﾙｰﾙ'!$A$19:$M$71"}</definedName>
    <definedName name="HTML_Control2" localSheetId="2"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 hidden="1">#REF!</definedName>
    <definedName name="ｋ" hidden="1">#REF!</definedName>
    <definedName name="ｐ" localSheetId="2" hidden="1">#REF!</definedName>
    <definedName name="ｐ" hidden="1">#REF!</definedName>
    <definedName name="_xlnm.Print_Area" localSheetId="1">パラメータ設定一覧!$A$1:$I$35</definedName>
    <definedName name="s" localSheetId="2" hidden="1">{"'Sheet1'!$B$5:$H$34"}</definedName>
    <definedName name="s" hidden="1">{"'Sheet1'!$B$5:$H$34"}</definedName>
    <definedName name="t" localSheetId="2" hidden="1">{"'Sheet1'!$B$5:$H$34"}</definedName>
    <definedName name="t" hidden="1">{"'Sheet1'!$B$5:$H$34"}</definedName>
    <definedName name="TEST" localSheetId="2" hidden="1">{"'Sheet1'!$B$5:$H$34"}</definedName>
    <definedName name="TEST" hidden="1">{"'Sheet1'!$B$5:$H$34"}</definedName>
    <definedName name="VV" localSheetId="2" hidden="1">#REF!</definedName>
    <definedName name="VV" hidden="1">#REF!</definedName>
    <definedName name="ｗ" localSheetId="2" hidden="1">{"'Sheet1'!$B$5:$H$34"}</definedName>
    <definedName name="ｗ" hidden="1">{"'Sheet1'!$B$5:$H$34"}</definedName>
    <definedName name="work" localSheetId="2" hidden="1">#REF!</definedName>
    <definedName name="work" hidden="1">#REF!</definedName>
    <definedName name="Z_5FB70CD0_6C58_413B_B7A8_B2222A9FFAB3_.wvu.FilterData" localSheetId="2" hidden="1">#REF!</definedName>
    <definedName name="Z_5FB70CD0_6C58_413B_B7A8_B2222A9FFAB3_.wvu.FilterData" hidden="1">#REF!</definedName>
    <definedName name="Z_85CF1BE9_3199_4F5A_9707_53025D8196D4_.wvu.FilterData" localSheetId="2" hidden="1">#REF!</definedName>
    <definedName name="Z_85CF1BE9_3199_4F5A_9707_53025D8196D4_.wvu.FilterData" hidden="1">#REF!</definedName>
    <definedName name="Z_A42E5BFB_D110_4A4D_A35F_734243F40A17_.wvu.FilterData" localSheetId="2" hidden="1">#REF!</definedName>
    <definedName name="Z_A42E5BFB_D110_4A4D_A35F_734243F40A17_.wvu.FilterData" hidden="1">#REF!</definedName>
    <definedName name="Z_CF1E67FB_0D25_4F96_A0AC_373637B05BD1_.wvu.FilterData" localSheetId="2" hidden="1">#REF!</definedName>
    <definedName name="Z_CF1E67FB_0D25_4F96_A0AC_373637B05BD1_.wvu.FilterData" hidden="1">#REF!</definedName>
    <definedName name="Z_CF1E67FB_0D25_4F96_A0AC_373637B05BD1_.wvu.PrintArea" localSheetId="2" hidden="1">#REF!</definedName>
    <definedName name="Z_CF1E67FB_0D25_4F96_A0AC_373637B05BD1_.wvu.PrintArea" hidden="1">#REF!</definedName>
    <definedName name="あ" localSheetId="2" hidden="1">#REF!</definedName>
    <definedName name="あ" hidden="1">#REF!</definedName>
    <definedName name="あああ" localSheetId="0" hidden="1">[1]テーブル仕様!#REF!</definedName>
    <definedName name="あああ" localSheetId="2" hidden="1">[1]テーブル仕様!#REF!</definedName>
    <definedName name="あああ" hidden="1">[1]テーブル仕様!#REF!</definedName>
    <definedName name="い" localSheetId="2" hidden="1">#REF!</definedName>
    <definedName name="い" hidden="1">#REF!</definedName>
    <definedName name="う" localSheetId="2" hidden="1">#REF!</definedName>
    <definedName name="う" hidden="1">#REF!</definedName>
    <definedName name="ええ" localSheetId="2" hidden="1">{"'Sheet1'!$B$5:$H$34"}</definedName>
    <definedName name="ええ" hidden="1">{"'Sheet1'!$B$5:$H$34"}</definedName>
    <definedName name="えええ" localSheetId="0" hidden="1">{"'9.項目'!$B$5:$AW$60"}</definedName>
    <definedName name="えええ" localSheetId="2" hidden="1">{"'9.項目'!$B$5:$AW$60"}</definedName>
    <definedName name="えええ" hidden="1">{"'9.項目'!$B$5:$AW$60"}</definedName>
    <definedName name="お" localSheetId="2" hidden="1">{"'Sheet1'!$B$5:$H$34"}</definedName>
    <definedName name="お" hidden="1">{"'Sheet1'!$B$5:$H$34"}</definedName>
    <definedName name="サンプル" localSheetId="2" hidden="1">#REF!</definedName>
    <definedName name="サンプル" hidden="1">#REF!</definedName>
    <definedName name="タスクドキュメント１" localSheetId="2" hidden="1">#REF!</definedName>
    <definedName name="タスクドキュメント１" hidden="1">#REF!</definedName>
    <definedName name="安藤" localSheetId="2" hidden="1">#REF!</definedName>
    <definedName name="安藤" hidden="1">#REF!</definedName>
    <definedName name="関連" localSheetId="2" hidden="1">#REF!</definedName>
    <definedName name="関連" hidden="1">#REF!</definedName>
    <definedName name="関連表" localSheetId="2" hidden="1">#REF!</definedName>
    <definedName name="関連表" hidden="1">#REF!</definedName>
    <definedName name="仕様書" localSheetId="2" hidden="1">#REF!</definedName>
    <definedName name="仕様書" hidden="1">#REF!</definedName>
    <definedName name="束原" localSheetId="2" hidden="1">#REF!</definedName>
    <definedName name="束原" hidden="1">#REF!</definedName>
    <definedName name="導入時期う" localSheetId="2"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391" l="1"/>
  <c r="B15" i="391"/>
  <c r="B18" i="404"/>
  <c r="B17" i="404"/>
  <c r="B9" i="402" l="1"/>
  <c r="B8" i="402"/>
  <c r="B45" i="378" l="1"/>
  <c r="B44" i="378"/>
  <c r="B16" i="404"/>
  <c r="B15" i="404"/>
  <c r="B14" i="404"/>
  <c r="B13" i="404"/>
  <c r="B12" i="404"/>
  <c r="B11" i="404"/>
  <c r="B10" i="404"/>
  <c r="B9" i="404"/>
  <c r="B8" i="404"/>
  <c r="B7" i="404"/>
  <c r="B16" i="403"/>
  <c r="B15" i="403"/>
  <c r="B14" i="403"/>
  <c r="B13" i="403"/>
  <c r="B12" i="403"/>
  <c r="B11" i="403"/>
  <c r="B10" i="403"/>
  <c r="B9" i="403"/>
  <c r="B8" i="403"/>
  <c r="B7" i="403"/>
  <c r="B51" i="378"/>
  <c r="B18" i="402"/>
  <c r="B17" i="402"/>
  <c r="B16" i="402"/>
  <c r="B15" i="402"/>
  <c r="B14" i="402"/>
  <c r="B13" i="402"/>
  <c r="B12" i="402"/>
  <c r="B11" i="402"/>
  <c r="B10" i="402"/>
  <c r="B7" i="402"/>
  <c r="B31" i="378"/>
  <c r="B47" i="378"/>
  <c r="B46" i="378"/>
  <c r="B16" i="401"/>
  <c r="B15" i="401"/>
  <c r="B14" i="401"/>
  <c r="B13" i="401"/>
  <c r="B12" i="401"/>
  <c r="B11" i="401"/>
  <c r="B10" i="401"/>
  <c r="B9" i="401"/>
  <c r="B8" i="401"/>
  <c r="B7" i="401"/>
  <c r="B16" i="400"/>
  <c r="B15" i="400"/>
  <c r="B14" i="400"/>
  <c r="B13" i="400"/>
  <c r="B12" i="400"/>
  <c r="B11" i="400"/>
  <c r="B10" i="400"/>
  <c r="B9" i="400"/>
  <c r="B8" i="400"/>
  <c r="B7" i="400"/>
  <c r="B16" i="399"/>
  <c r="B15" i="399"/>
  <c r="B14" i="399"/>
  <c r="B13" i="399"/>
  <c r="B12" i="399"/>
  <c r="B11" i="399"/>
  <c r="B10" i="399"/>
  <c r="B9" i="399"/>
  <c r="B8" i="399"/>
  <c r="B7" i="399"/>
  <c r="B30" i="378"/>
  <c r="B28" i="378"/>
  <c r="B29" i="378"/>
  <c r="B7" i="398"/>
  <c r="B16" i="397"/>
  <c r="B15" i="397"/>
  <c r="B14" i="397"/>
  <c r="B13" i="397"/>
  <c r="B12" i="397"/>
  <c r="B11" i="397"/>
  <c r="B10" i="397"/>
  <c r="B9" i="397"/>
  <c r="B8" i="397"/>
  <c r="B7" i="397"/>
  <c r="B16" i="396"/>
  <c r="B15" i="396"/>
  <c r="B14" i="396"/>
  <c r="B13" i="396"/>
  <c r="B12" i="396"/>
  <c r="B11" i="396"/>
  <c r="B10" i="396"/>
  <c r="B9" i="396"/>
  <c r="B8" i="396"/>
  <c r="B7" i="396"/>
  <c r="B7" i="395"/>
  <c r="B8" i="395"/>
  <c r="B9" i="395"/>
  <c r="B10" i="395"/>
  <c r="B11" i="395"/>
  <c r="B12" i="395"/>
  <c r="B13" i="395"/>
  <c r="B14" i="395"/>
  <c r="B15" i="395"/>
  <c r="B16" i="395"/>
  <c r="B27" i="387" l="1"/>
  <c r="B28" i="387"/>
  <c r="B29" i="387"/>
  <c r="B30" i="387"/>
  <c r="B31" i="387"/>
  <c r="B19" i="387"/>
  <c r="B20" i="387"/>
  <c r="B21" i="387"/>
  <c r="B22" i="387"/>
  <c r="B23" i="387"/>
  <c r="B24" i="387"/>
  <c r="B25" i="387"/>
  <c r="B14" i="387"/>
  <c r="B15" i="387"/>
  <c r="B16" i="387"/>
  <c r="B17" i="387"/>
  <c r="B7" i="387"/>
  <c r="B8" i="387"/>
  <c r="B9" i="387"/>
  <c r="B10" i="387"/>
  <c r="B11" i="387"/>
  <c r="B12" i="387"/>
  <c r="B26" i="387"/>
  <c r="B9" i="383"/>
  <c r="B10" i="383"/>
  <c r="B11" i="383"/>
  <c r="B12" i="383"/>
  <c r="B13" i="383"/>
  <c r="B14" i="383"/>
  <c r="B15" i="383"/>
  <c r="B8" i="383"/>
  <c r="B59" i="378" l="1"/>
  <c r="B58" i="378"/>
  <c r="B57" i="378"/>
  <c r="B56" i="378"/>
  <c r="B55" i="378"/>
  <c r="B54" i="378"/>
  <c r="B53" i="378"/>
  <c r="B52" i="378"/>
  <c r="B50" i="378"/>
  <c r="B49" i="378"/>
  <c r="B48" i="378"/>
  <c r="B43" i="378"/>
  <c r="B42" i="378"/>
  <c r="B41" i="378"/>
  <c r="B40" i="378"/>
  <c r="B39" i="378"/>
  <c r="B38" i="378"/>
  <c r="B37" i="378"/>
  <c r="B36" i="378"/>
  <c r="B35" i="378"/>
  <c r="B34" i="378"/>
  <c r="B33" i="378"/>
  <c r="B32" i="378"/>
  <c r="B27" i="378"/>
  <c r="B26" i="378"/>
  <c r="B25" i="378"/>
  <c r="B24" i="378"/>
  <c r="B23" i="378"/>
  <c r="B22" i="378"/>
  <c r="B21" i="378"/>
  <c r="B20" i="378"/>
  <c r="B19" i="378"/>
  <c r="B18" i="378"/>
  <c r="B17" i="378"/>
  <c r="B16" i="378"/>
  <c r="B15" i="378"/>
  <c r="B14" i="378"/>
  <c r="B13" i="378"/>
  <c r="B12" i="378"/>
  <c r="B11" i="378"/>
  <c r="B16" i="393"/>
  <c r="B15" i="393"/>
  <c r="B14" i="393"/>
  <c r="B13" i="393"/>
  <c r="B12" i="393"/>
  <c r="B11" i="393"/>
  <c r="B10" i="393"/>
  <c r="B9" i="393"/>
  <c r="B8" i="393"/>
  <c r="B7" i="393"/>
  <c r="B16" i="392"/>
  <c r="B15" i="392"/>
  <c r="B14" i="392"/>
  <c r="B13" i="392"/>
  <c r="B12" i="392"/>
  <c r="B11" i="392"/>
  <c r="B10" i="392"/>
  <c r="B9" i="392"/>
  <c r="B8" i="392"/>
  <c r="B7" i="392"/>
  <c r="B18" i="391"/>
  <c r="B17" i="391"/>
  <c r="B14" i="391"/>
  <c r="B13" i="391"/>
  <c r="B12" i="391"/>
  <c r="B11" i="391"/>
  <c r="B10" i="391"/>
  <c r="B9" i="391"/>
  <c r="B8" i="391"/>
  <c r="B7" i="391"/>
  <c r="B16" i="390"/>
  <c r="B15" i="390"/>
  <c r="B14" i="390"/>
  <c r="B13" i="390"/>
  <c r="B12" i="390"/>
  <c r="B11" i="390"/>
  <c r="B10" i="390"/>
  <c r="B9" i="390"/>
  <c r="B8" i="390"/>
  <c r="B7" i="390"/>
  <c r="B16" i="389"/>
  <c r="B15" i="389"/>
  <c r="B14" i="389"/>
  <c r="B13" i="389"/>
  <c r="B12" i="389"/>
  <c r="B11" i="389"/>
  <c r="B10" i="389"/>
  <c r="B9" i="389"/>
  <c r="B8" i="389"/>
  <c r="B7" i="389"/>
  <c r="B16" i="388"/>
  <c r="B15" i="388"/>
  <c r="B14" i="388"/>
  <c r="B13" i="388"/>
  <c r="B12" i="388"/>
  <c r="B11" i="388"/>
  <c r="B10" i="388"/>
  <c r="B9" i="388"/>
  <c r="B8" i="388"/>
  <c r="B7" i="388"/>
  <c r="B18" i="387"/>
  <c r="B13" i="387"/>
  <c r="B6" i="387"/>
  <c r="B16" i="386"/>
  <c r="B15" i="386"/>
  <c r="B14" i="386"/>
  <c r="B13" i="386"/>
  <c r="B12" i="386"/>
  <c r="B11" i="386"/>
  <c r="B10" i="386"/>
  <c r="B9" i="386"/>
  <c r="B8" i="386"/>
  <c r="B7" i="386"/>
  <c r="B7" i="385"/>
  <c r="B6" i="385"/>
  <c r="B11" i="384"/>
  <c r="B10" i="384"/>
  <c r="B9" i="384"/>
  <c r="B8" i="384"/>
  <c r="B7" i="384"/>
  <c r="B18" i="368" l="1"/>
  <c r="B17" i="368"/>
  <c r="B16" i="368"/>
  <c r="B15" i="368"/>
  <c r="B7" i="382" l="1"/>
  <c r="B14" i="377" l="1"/>
  <c r="B13" i="377"/>
  <c r="B12" i="377"/>
  <c r="B11" i="377"/>
  <c r="B10" i="377"/>
  <c r="B9" i="377"/>
  <c r="B8" i="377"/>
  <c r="B16" i="381"/>
  <c r="B15" i="381"/>
  <c r="B14" i="381"/>
  <c r="B13" i="381"/>
  <c r="B12" i="381"/>
  <c r="B11" i="381"/>
  <c r="B10" i="381"/>
  <c r="B9" i="381"/>
  <c r="B8" i="381"/>
  <c r="B7" i="381"/>
  <c r="B16" i="380"/>
  <c r="B15" i="380"/>
  <c r="B14" i="380"/>
  <c r="B13" i="380"/>
  <c r="B12" i="380"/>
  <c r="B11" i="380"/>
  <c r="B10" i="380"/>
  <c r="B8" i="380"/>
  <c r="B9" i="380"/>
  <c r="B7" i="380"/>
  <c r="B7" i="375"/>
  <c r="B8" i="375"/>
  <c r="B9" i="375"/>
  <c r="B10" i="375"/>
  <c r="B10" i="378"/>
  <c r="B9" i="378"/>
  <c r="B8" i="378"/>
  <c r="B7" i="378"/>
  <c r="B6" i="378"/>
  <c r="B11" i="376"/>
  <c r="B10" i="376"/>
  <c r="B9" i="376"/>
  <c r="B8" i="376"/>
  <c r="B7" i="376"/>
  <c r="B6" i="376"/>
  <c r="B6" i="375"/>
  <c r="B7" i="4" l="1"/>
  <c r="B8" i="4"/>
  <c r="B9" i="4"/>
  <c r="B10" i="4"/>
  <c r="B11" i="4"/>
  <c r="B12" i="4"/>
  <c r="B13" i="4"/>
  <c r="B14" i="4"/>
  <c r="B15" i="4"/>
  <c r="B16" i="4"/>
  <c r="B17" i="4"/>
  <c r="B18" i="4"/>
  <c r="B19" i="4"/>
  <c r="B20" i="4"/>
  <c r="B21" i="4"/>
  <c r="B38" i="368" l="1"/>
  <c r="B37" i="368"/>
  <c r="B36" i="368"/>
  <c r="B35" i="368"/>
  <c r="B34" i="368"/>
  <c r="B33" i="368"/>
  <c r="B32" i="368"/>
  <c r="B31" i="368"/>
  <c r="B30" i="368"/>
  <c r="B29" i="368"/>
  <c r="B28" i="368"/>
  <c r="B27" i="368"/>
  <c r="B26" i="368"/>
  <c r="B25" i="368"/>
  <c r="B24" i="368"/>
  <c r="B23" i="368"/>
  <c r="B22" i="368"/>
  <c r="B21" i="368"/>
  <c r="B20" i="368"/>
  <c r="B19" i="368"/>
  <c r="B14" i="368"/>
  <c r="B13" i="368"/>
  <c r="B12" i="368"/>
  <c r="B11" i="368"/>
  <c r="B10" i="368"/>
  <c r="B9" i="368"/>
  <c r="B8" i="368"/>
  <c r="B6" i="4" l="1"/>
  <c r="B10" i="342" l="1"/>
  <c r="B9" i="342"/>
  <c r="B8" i="342"/>
  <c r="B7" i="342"/>
  <c r="B6" i="342"/>
  <c r="B4" i="4" l="1"/>
  <c r="B5" i="4"/>
</calcChain>
</file>

<file path=xl/sharedStrings.xml><?xml version="1.0" encoding="utf-8"?>
<sst xmlns="http://schemas.openxmlformats.org/spreadsheetml/2006/main" count="1527" uniqueCount="565">
  <si>
    <t>日本ビジネスシステムズ株式会社</t>
    <rPh sb="0" eb="2">
      <t>ニホン</t>
    </rPh>
    <rPh sb="11" eb="15">
      <t>カブシキガイシャ</t>
    </rPh>
    <phoneticPr fontId="29"/>
  </si>
  <si>
    <t>No</t>
  </si>
  <si>
    <t>該当モジュール</t>
  </si>
  <si>
    <t>設定項目</t>
  </si>
  <si>
    <t>説明</t>
  </si>
  <si>
    <t>パス</t>
    <phoneticPr fontId="15"/>
  </si>
  <si>
    <t>#</t>
  </si>
  <si>
    <t>参照</t>
  </si>
  <si>
    <t>番号順序コード</t>
    <rPh sb="2" eb="4">
      <t>ジュンジョ</t>
    </rPh>
    <phoneticPr fontId="23"/>
  </si>
  <si>
    <t>説明</t>
    <rPh sb="0" eb="2">
      <t>セツメイ</t>
    </rPh>
    <phoneticPr fontId="23"/>
  </si>
  <si>
    <t>タブ</t>
  </si>
  <si>
    <t>タブ説明</t>
    <rPh sb="2" eb="4">
      <t>セツメイ</t>
    </rPh>
    <phoneticPr fontId="23"/>
  </si>
  <si>
    <t>項目分類</t>
    <rPh sb="0" eb="2">
      <t>コウモク</t>
    </rPh>
    <rPh sb="2" eb="4">
      <t>ブンルイ</t>
    </rPh>
    <phoneticPr fontId="18"/>
  </si>
  <si>
    <t>項目</t>
  </si>
  <si>
    <t>Description（標準）</t>
    <phoneticPr fontId="18"/>
  </si>
  <si>
    <t>設定可能値</t>
  </si>
  <si>
    <t>デフォルト値</t>
    <rPh sb="5" eb="6">
      <t>チ</t>
    </rPh>
    <phoneticPr fontId="23"/>
  </si>
  <si>
    <t>備考</t>
  </si>
  <si>
    <t>設定値</t>
  </si>
  <si>
    <t>設定基準</t>
  </si>
  <si>
    <t>一般</t>
    <rPh sb="0" eb="2">
      <t>イッパン</t>
    </rPh>
    <phoneticPr fontId="15"/>
  </si>
  <si>
    <t>システム入力</t>
    <rPh sb="4" eb="6">
      <t>ニュウリョク</t>
    </rPh>
    <phoneticPr fontId="15"/>
  </si>
  <si>
    <t>ー</t>
  </si>
  <si>
    <t>ー</t>
    <phoneticPr fontId="15"/>
  </si>
  <si>
    <t>はい/いいえ</t>
    <phoneticPr fontId="15"/>
  </si>
  <si>
    <t>いいえ</t>
    <phoneticPr fontId="15"/>
  </si>
  <si>
    <t>データベースのレコードの固有 ID</t>
    <phoneticPr fontId="15"/>
  </si>
  <si>
    <t>期間</t>
    <rPh sb="0" eb="2">
      <t>キカン</t>
    </rPh>
    <phoneticPr fontId="15"/>
  </si>
  <si>
    <t>数値</t>
    <rPh sb="0" eb="2">
      <t>スウチ</t>
    </rPh>
    <phoneticPr fontId="15"/>
  </si>
  <si>
    <t>はい</t>
    <phoneticPr fontId="15"/>
  </si>
  <si>
    <t>文字列</t>
    <rPh sb="0" eb="3">
      <t>モジレツ</t>
    </rPh>
    <phoneticPr fontId="15"/>
  </si>
  <si>
    <t>番号順序</t>
    <rPh sb="0" eb="2">
      <t>バンゴウ</t>
    </rPh>
    <rPh sb="2" eb="4">
      <t>ジュンジョ</t>
    </rPh>
    <phoneticPr fontId="15"/>
  </si>
  <si>
    <t>参照</t>
    <rPh sb="0" eb="2">
      <t>サンショウ</t>
    </rPh>
    <phoneticPr fontId="15"/>
  </si>
  <si>
    <t>番号順序コード</t>
    <rPh sb="0" eb="2">
      <t>バンゴウ</t>
    </rPh>
    <rPh sb="2" eb="4">
      <t>ジュンジョ</t>
    </rPh>
    <phoneticPr fontId="15"/>
  </si>
  <si>
    <t>説明</t>
    <rPh sb="0" eb="2">
      <t>セツメイ</t>
    </rPh>
    <phoneticPr fontId="15"/>
  </si>
  <si>
    <t>ID</t>
    <phoneticPr fontId="15"/>
  </si>
  <si>
    <t>社会保証番号 (SSN) の ID タイプを選択します。このフィールドの情報は [ID タイプ] ページで管理されます。</t>
  </si>
  <si>
    <t>ワークフローID</t>
    <phoneticPr fontId="15"/>
  </si>
  <si>
    <t>名前</t>
    <rPh sb="0" eb="2">
      <t>ナマエ</t>
    </rPh>
    <phoneticPr fontId="15"/>
  </si>
  <si>
    <t>第1.0版</t>
  </si>
  <si>
    <t>作成者</t>
    <rPh sb="0" eb="3">
      <t>サクセイシャ</t>
    </rPh>
    <phoneticPr fontId="29"/>
  </si>
  <si>
    <t>JBS承認者</t>
    <rPh sb="3" eb="6">
      <t>ショウニンシャ</t>
    </rPh>
    <phoneticPr fontId="29"/>
  </si>
  <si>
    <t>氏名</t>
    <rPh sb="0" eb="2">
      <t>シメイ</t>
    </rPh>
    <phoneticPr fontId="29"/>
  </si>
  <si>
    <t>法人共通/個別</t>
    <rPh sb="0" eb="4">
      <t>ホウジンキョウツウ</t>
    </rPh>
    <rPh sb="5" eb="7">
      <t>コベツ</t>
    </rPh>
    <phoneticPr fontId="15"/>
  </si>
  <si>
    <t>共通</t>
    <rPh sb="0" eb="2">
      <t>キョウツウ</t>
    </rPh>
    <phoneticPr fontId="15"/>
  </si>
  <si>
    <t>番号順序（ユーザー定義）</t>
    <phoneticPr fontId="15"/>
  </si>
  <si>
    <t>財務分析コード（ユーザー定義）</t>
    <rPh sb="0" eb="4">
      <t>ザイムブンセキ</t>
    </rPh>
    <rPh sb="12" eb="14">
      <t>テイギ</t>
    </rPh>
    <phoneticPr fontId="15"/>
  </si>
  <si>
    <t>＜YYYY/MM/DD＞</t>
    <phoneticPr fontId="29"/>
  </si>
  <si>
    <t>パラメータ設定一覧</t>
  </si>
  <si>
    <t>パラメータ設定一覧へ</t>
  </si>
  <si>
    <t>GC設定担当者</t>
    <rPh sb="2" eb="4">
      <t>セッテイ</t>
    </rPh>
    <rPh sb="4" eb="7">
      <t>タントウシャ</t>
    </rPh>
    <phoneticPr fontId="15"/>
  </si>
  <si>
    <t>GC設定完了日</t>
    <rPh sb="2" eb="4">
      <t>セッテイ</t>
    </rPh>
    <rPh sb="4" eb="7">
      <t>カンリョウビ</t>
    </rPh>
    <phoneticPr fontId="15"/>
  </si>
  <si>
    <t>予算作成</t>
    <rPh sb="0" eb="4">
      <t>ヨサンサクセイ</t>
    </rPh>
    <phoneticPr fontId="15"/>
  </si>
  <si>
    <t>予算作成パラメーター</t>
    <rPh sb="0" eb="4">
      <t>ヨサンサクセイ</t>
    </rPh>
    <phoneticPr fontId="15"/>
  </si>
  <si>
    <t>予算作成ワークフロー</t>
    <rPh sb="0" eb="4">
      <t>ヨサンサクセイ</t>
    </rPh>
    <phoneticPr fontId="15"/>
  </si>
  <si>
    <t>予算作成用の分析コード</t>
    <rPh sb="0" eb="5">
      <t>ヨサンサクセイヨウ</t>
    </rPh>
    <rPh sb="6" eb="8">
      <t>ブンセキ</t>
    </rPh>
    <phoneticPr fontId="15"/>
  </si>
  <si>
    <t>予算モデル</t>
    <rPh sb="0" eb="2">
      <t>ヨサン</t>
    </rPh>
    <phoneticPr fontId="15"/>
  </si>
  <si>
    <t>予算コード</t>
    <rPh sb="0" eb="2">
      <t>ヨサン</t>
    </rPh>
    <phoneticPr fontId="15"/>
  </si>
  <si>
    <t>予算配賦条件</t>
    <rPh sb="0" eb="6">
      <t>ヨサンハイフジョウケン</t>
    </rPh>
    <phoneticPr fontId="15"/>
  </si>
  <si>
    <t>予算振替ルール</t>
    <rPh sb="0" eb="4">
      <t>ヨサンフリカエ</t>
    </rPh>
    <phoneticPr fontId="15"/>
  </si>
  <si>
    <t>予算作成 Power BI</t>
    <rPh sb="0" eb="4">
      <t>ヨサンサクセイ</t>
    </rPh>
    <phoneticPr fontId="15"/>
  </si>
  <si>
    <t>予算サイクル</t>
    <rPh sb="0" eb="2">
      <t>ヨサン</t>
    </rPh>
    <phoneticPr fontId="15"/>
  </si>
  <si>
    <t>予算計画のコンフィギュレーション</t>
    <rPh sb="0" eb="4">
      <t>ヨサンケイカク</t>
    </rPh>
    <phoneticPr fontId="15"/>
  </si>
  <si>
    <t>予算計画プロセス</t>
    <rPh sb="0" eb="4">
      <t>ヨサンケイカク</t>
    </rPh>
    <phoneticPr fontId="15"/>
  </si>
  <si>
    <t>予算計画の属性</t>
    <rPh sb="0" eb="4">
      <t>ヨサンケイカク</t>
    </rPh>
    <rPh sb="5" eb="7">
      <t>ゾクセイ</t>
    </rPh>
    <phoneticPr fontId="15"/>
  </si>
  <si>
    <t>予算原価要素</t>
    <rPh sb="0" eb="4">
      <t>ヨサンゲンカ</t>
    </rPh>
    <rPh sb="4" eb="6">
      <t>ヨウソ</t>
    </rPh>
    <phoneticPr fontId="15"/>
  </si>
  <si>
    <t>報酬グループ</t>
    <rPh sb="0" eb="2">
      <t>ホウシュウ</t>
    </rPh>
    <phoneticPr fontId="15"/>
  </si>
  <si>
    <t>妥当性ドキュメント テンプレート</t>
    <rPh sb="0" eb="3">
      <t>ダトウセイ</t>
    </rPh>
    <phoneticPr fontId="15"/>
  </si>
  <si>
    <t>予算管理コンフィギュレーション</t>
    <rPh sb="0" eb="4">
      <t>ヨサンカンリ</t>
    </rPh>
    <phoneticPr fontId="15"/>
  </si>
  <si>
    <t>引当タイプ</t>
    <rPh sb="0" eb="2">
      <t>ヒキアテ</t>
    </rPh>
    <phoneticPr fontId="15"/>
  </si>
  <si>
    <t>予算</t>
    <rPh sb="0" eb="2">
      <t>ヨサン</t>
    </rPh>
    <phoneticPr fontId="15"/>
  </si>
  <si>
    <t>配賦キー</t>
    <rPh sb="0" eb="2">
      <t>ハイフ</t>
    </rPh>
    <phoneticPr fontId="15"/>
  </si>
  <si>
    <t>予算振替のルールを使用</t>
    <rPh sb="0" eb="4">
      <t>ヨサンフリカエ</t>
    </rPh>
    <rPh sb="9" eb="11">
      <t>シヨウ</t>
    </rPh>
    <phoneticPr fontId="15"/>
  </si>
  <si>
    <t>レガシ予算分析照会の表示</t>
    <rPh sb="3" eb="5">
      <t>ヨサン</t>
    </rPh>
    <rPh sb="5" eb="7">
      <t>ブンセキ</t>
    </rPh>
    <rPh sb="7" eb="9">
      <t>ショウカイ</t>
    </rPh>
    <rPh sb="10" eb="12">
      <t>ヒョウジ</t>
    </rPh>
    <phoneticPr fontId="15"/>
  </si>
  <si>
    <t>既定の勘定構造</t>
    <rPh sb="0" eb="2">
      <t>キテイ</t>
    </rPh>
    <rPh sb="3" eb="7">
      <t>カンジョウコウゾウ</t>
    </rPh>
    <phoneticPr fontId="15"/>
  </si>
  <si>
    <t>予算仕訳帳</t>
    <rPh sb="0" eb="5">
      <t>ヨサンシワケチョウ</t>
    </rPh>
    <phoneticPr fontId="15"/>
  </si>
  <si>
    <t>検証および予算に関する情報を設定します</t>
    <rPh sb="0" eb="2">
      <t>ケンショウ</t>
    </rPh>
    <rPh sb="5" eb="7">
      <t>ヨサン</t>
    </rPh>
    <rPh sb="8" eb="9">
      <t>カン</t>
    </rPh>
    <rPh sb="11" eb="13">
      <t>ジョウホウ</t>
    </rPh>
    <rPh sb="14" eb="16">
      <t>セッテイ</t>
    </rPh>
    <phoneticPr fontId="15"/>
  </si>
  <si>
    <t>予算作成パラメーター 番号順序</t>
    <rPh sb="0" eb="4">
      <t>ヨサンサクセイ</t>
    </rPh>
    <phoneticPr fontId="15"/>
  </si>
  <si>
    <t>予算資金の振替に使用する予算登録エントリを確認するために予算振替ルールを有効にするには、このオプションを選択します。</t>
    <phoneticPr fontId="15"/>
  </si>
  <si>
    <t>選択するとレガシ予算分析照会が表示されます</t>
    <phoneticPr fontId="15"/>
  </si>
  <si>
    <t>このオプションを選択すると、予算登録エントリで選択した主勘定と分析コードの値に基づいて、勘定構造を自動で入力します</t>
    <phoneticPr fontId="15"/>
  </si>
  <si>
    <t>総勘定元帳のパラメータのページで予算割り当ての有効化を選択する場合、予算割り当ての仕訳帳名を選択します。この予算仕訳は 仕訳帳名ページの中の予算の仕訳タイプである必要があります。予算割り当ての有効化を選択する前に、総勘定元帳のパラメータ ページで [転記の定義の使用] を選択し、転記の定義とトランザクションの転記の定義を作成します。その後、口座の予算登録エントリ、または転記の定義の照合基準に使用する財務分析コードの組み合わせを入力すると、転記の定義から生成されたエントリの総勘定元帳で伝票が作成されます。生成されたエントリは、選択した予算仕訳の仕訳番号を使用します。</t>
    <phoneticPr fontId="15"/>
  </si>
  <si>
    <t>売上予算オプション</t>
    <rPh sb="0" eb="2">
      <t>ウリアゲ</t>
    </rPh>
    <rPh sb="2" eb="4">
      <t>ヨサン</t>
    </rPh>
    <phoneticPr fontId="15"/>
  </si>
  <si>
    <t>予算残高がゼロかどうか売上予算を確認します</t>
    <phoneticPr fontId="15"/>
  </si>
  <si>
    <t>予算登録エントリによって収益の予算がゼロより低くなる場合、次のオプションの一つを選択します。売上予算がゼロより低くなることを許可するには、[なし] オプションを選択します。売上予算がゼロより低くなることを許可するが、警告を提示するようにする場合、[警告の提供] オプションを選択します。売上予算がゼロより低くなることを防ぐには、 [予算更新の防止] オプションを選択します。</t>
    <phoneticPr fontId="15"/>
  </si>
  <si>
    <t>予算残高の期間</t>
    <phoneticPr fontId="15"/>
  </si>
  <si>
    <t>予算確認を集計する売上予算残高の期間を選択します。予算残高ゼロ フィールドの売上予算の確認で [警告の提供] または [予算更新の防止] が選択されている場合のみ、予算チェックが実行されます。</t>
    <phoneticPr fontId="15"/>
  </si>
  <si>
    <t>規制</t>
    <rPh sb="0" eb="2">
      <t>キセイ</t>
    </rPh>
    <phoneticPr fontId="15"/>
  </si>
  <si>
    <t>フランスの公的機関会計ルールを使用</t>
    <phoneticPr fontId="15"/>
  </si>
  <si>
    <t>フランスの公的機関に必要な会計ドキュメントと会計ルールを使用する場合には、このオプションを選択します。また、[公的機関のコンフィギュレーション キー] および [フランス規制サブキー] を選択する必要があります。</t>
    <phoneticPr fontId="15"/>
  </si>
  <si>
    <t>一般予算引当</t>
    <phoneticPr fontId="15"/>
  </si>
  <si>
    <t>債務管理</t>
    <rPh sb="0" eb="4">
      <t>サイムカンリ</t>
    </rPh>
    <phoneticPr fontId="15"/>
  </si>
  <si>
    <t>繰越債務増加の防止</t>
    <phoneticPr fontId="15"/>
  </si>
  <si>
    <t>GBR 会計にセッション日付を使用する</t>
    <phoneticPr fontId="15"/>
  </si>
  <si>
    <t>新しい一般予算引当の勘定配布の作成、または更新を行う場合、元の日付の代わりにセッション日付を使用します。</t>
    <phoneticPr fontId="15"/>
  </si>
  <si>
    <t>前年度の一般予算引当の修正</t>
    <rPh sb="0" eb="3">
      <t>ゼンネンド</t>
    </rPh>
    <rPh sb="4" eb="6">
      <t>イッパン</t>
    </rPh>
    <rPh sb="6" eb="8">
      <t>ヨサン</t>
    </rPh>
    <rPh sb="8" eb="10">
      <t>ヒキアテ</t>
    </rPh>
    <rPh sb="11" eb="13">
      <t>シュウセイ</t>
    </rPh>
    <phoneticPr fontId="15"/>
  </si>
  <si>
    <t>前年度の修正を許可</t>
    <rPh sb="0" eb="3">
      <t>ゼンネンド</t>
    </rPh>
    <rPh sb="4" eb="6">
      <t>シュウセイ</t>
    </rPh>
    <rPh sb="7" eb="9">
      <t>キョカ</t>
    </rPh>
    <phoneticPr fontId="15"/>
  </si>
  <si>
    <t>一般予算引当修正機能を有効にするには、このオプションを選択します。</t>
    <phoneticPr fontId="15"/>
  </si>
  <si>
    <t>ワークスペースの設定</t>
    <phoneticPr fontId="15"/>
  </si>
  <si>
    <t>元帳予算および予測</t>
    <rPh sb="0" eb="4">
      <t>モトチョウヨサン</t>
    </rPh>
    <rPh sb="7" eb="9">
      <t>ヨソク</t>
    </rPh>
    <phoneticPr fontId="15"/>
  </si>
  <si>
    <t>使用するデータの選択</t>
    <rPh sb="0" eb="2">
      <t>シヨウ</t>
    </rPh>
    <rPh sb="8" eb="10">
      <t>センタク</t>
    </rPh>
    <phoneticPr fontId="15"/>
  </si>
  <si>
    <t>金額の表示</t>
    <rPh sb="0" eb="2">
      <t>キンガク</t>
    </rPh>
    <rPh sb="3" eb="5">
      <t>ヒョウジ</t>
    </rPh>
    <phoneticPr fontId="15"/>
  </si>
  <si>
    <t>組織階層</t>
    <rPh sb="0" eb="4">
      <t>ソシキカイソウ</t>
    </rPh>
    <phoneticPr fontId="15"/>
  </si>
  <si>
    <t>有効な予測プロセス</t>
    <rPh sb="0" eb="2">
      <t>ユウコウ</t>
    </rPh>
    <rPh sb="3" eb="5">
      <t>ヨソク</t>
    </rPh>
    <phoneticPr fontId="15"/>
  </si>
  <si>
    <t>会計年度期間</t>
    <rPh sb="0" eb="2">
      <t>カイケイ</t>
    </rPh>
    <rPh sb="2" eb="4">
      <t>ネンド</t>
    </rPh>
    <rPh sb="4" eb="6">
      <t>キカン</t>
    </rPh>
    <phoneticPr fontId="15"/>
  </si>
  <si>
    <t>詳細セクションに表示する情報の指定</t>
    <rPh sb="0" eb="2">
      <t>ショウサイ</t>
    </rPh>
    <rPh sb="8" eb="10">
      <t>ヒョウジ</t>
    </rPh>
    <rPh sb="12" eb="14">
      <t>ジョウホウ</t>
    </rPh>
    <rPh sb="15" eb="17">
      <t>シテイ</t>
    </rPh>
    <phoneticPr fontId="15"/>
  </si>
  <si>
    <t>経費分析コードセット</t>
    <rPh sb="0" eb="2">
      <t>ケイヒ</t>
    </rPh>
    <rPh sb="2" eb="4">
      <t>ブンセキ</t>
    </rPh>
    <phoneticPr fontId="15"/>
  </si>
  <si>
    <t>経費予算しきい値の割合</t>
    <rPh sb="0" eb="4">
      <t>ケイヒヨサン</t>
    </rPh>
    <rPh sb="7" eb="8">
      <t>チ</t>
    </rPh>
    <rPh sb="9" eb="11">
      <t>ワリアイ</t>
    </rPh>
    <phoneticPr fontId="15"/>
  </si>
  <si>
    <t>収益分析コードセット</t>
    <rPh sb="0" eb="2">
      <t>シュウエキ</t>
    </rPh>
    <rPh sb="2" eb="4">
      <t>ブンセキ</t>
    </rPh>
    <phoneticPr fontId="15"/>
  </si>
  <si>
    <t>収益予算しきい値の割合</t>
    <rPh sb="0" eb="2">
      <t>シュウエキ</t>
    </rPh>
    <rPh sb="2" eb="4">
      <t>ヨサン</t>
    </rPh>
    <rPh sb="7" eb="8">
      <t>チ</t>
    </rPh>
    <rPh sb="9" eb="11">
      <t>ワリアイ</t>
    </rPh>
    <phoneticPr fontId="15"/>
  </si>
  <si>
    <t>予算計画</t>
    <rPh sb="0" eb="4">
      <t>ヨサンケイカク</t>
    </rPh>
    <phoneticPr fontId="15"/>
  </si>
  <si>
    <t>予算作成用の番号順序を設定します</t>
    <rPh sb="0" eb="5">
      <t>ヨサンサクセイヨウ</t>
    </rPh>
    <rPh sb="6" eb="10">
      <t>バンゴウジュンジョ</t>
    </rPh>
    <rPh sb="11" eb="13">
      <t>セッテイ</t>
    </rPh>
    <phoneticPr fontId="15"/>
  </si>
  <si>
    <t>会計年度期間
会計年度
会計年度の累計</t>
    <rPh sb="0" eb="2">
      <t>カイケイ</t>
    </rPh>
    <rPh sb="2" eb="4">
      <t>ネンド</t>
    </rPh>
    <rPh sb="4" eb="6">
      <t>キカン</t>
    </rPh>
    <rPh sb="7" eb="11">
      <t>カイケイネンド</t>
    </rPh>
    <rPh sb="12" eb="16">
      <t>カイケイネンド</t>
    </rPh>
    <rPh sb="17" eb="19">
      <t>ルイケイ</t>
    </rPh>
    <phoneticPr fontId="15"/>
  </si>
  <si>
    <t>なし
警告を提供
予算の更新を防止</t>
    <rPh sb="3" eb="5">
      <t>ケイコク</t>
    </rPh>
    <rPh sb="6" eb="8">
      <t>テイキョウ</t>
    </rPh>
    <rPh sb="9" eb="11">
      <t>ヨサン</t>
    </rPh>
    <rPh sb="12" eb="14">
      <t>コウシン</t>
    </rPh>
    <rPh sb="15" eb="17">
      <t>ボウシ</t>
    </rPh>
    <phoneticPr fontId="15"/>
  </si>
  <si>
    <t>予算サイクル別
会計年度期間別</t>
    <phoneticPr fontId="15"/>
  </si>
  <si>
    <t>予算作成＞設定＞基本予算作成＞予算配賦条件</t>
    <rPh sb="0" eb="2">
      <t>ヨサン</t>
    </rPh>
    <rPh sb="2" eb="4">
      <t>サクセイ</t>
    </rPh>
    <rPh sb="5" eb="7">
      <t>セッテイ</t>
    </rPh>
    <rPh sb="8" eb="10">
      <t>キホン</t>
    </rPh>
    <rPh sb="10" eb="12">
      <t>ヨサン</t>
    </rPh>
    <rPh sb="12" eb="14">
      <t>サクセイ</t>
    </rPh>
    <rPh sb="15" eb="17">
      <t>ヨサン</t>
    </rPh>
    <rPh sb="17" eb="19">
      <t>ハイフ</t>
    </rPh>
    <rPh sb="19" eb="21">
      <t>ジョウケン</t>
    </rPh>
    <phoneticPr fontId="15"/>
  </si>
  <si>
    <t>予算作成＞設定＞基本予算作成＞予算振替ルール</t>
    <rPh sb="0" eb="2">
      <t>ヨサン</t>
    </rPh>
    <rPh sb="2" eb="4">
      <t>サクセイ</t>
    </rPh>
    <rPh sb="5" eb="7">
      <t>セッテイ</t>
    </rPh>
    <rPh sb="8" eb="10">
      <t>キホン</t>
    </rPh>
    <rPh sb="10" eb="12">
      <t>ヨサン</t>
    </rPh>
    <rPh sb="12" eb="14">
      <t>サクセイ</t>
    </rPh>
    <rPh sb="15" eb="17">
      <t>ヨサン</t>
    </rPh>
    <rPh sb="17" eb="19">
      <t>フリカエ</t>
    </rPh>
    <phoneticPr fontId="15"/>
  </si>
  <si>
    <t>予算作成＞設定＞予算計画＞予算Power BI</t>
    <rPh sb="0" eb="2">
      <t>ヨサン</t>
    </rPh>
    <rPh sb="2" eb="4">
      <t>サクセイ</t>
    </rPh>
    <rPh sb="5" eb="7">
      <t>セッテイ</t>
    </rPh>
    <rPh sb="8" eb="12">
      <t>ヨサンケイカク</t>
    </rPh>
    <rPh sb="13" eb="15">
      <t>ヨサン</t>
    </rPh>
    <phoneticPr fontId="15"/>
  </si>
  <si>
    <t>予算作成＞設定＞予算計画＞予算計画の属性</t>
    <rPh sb="0" eb="2">
      <t>ヨサン</t>
    </rPh>
    <rPh sb="2" eb="4">
      <t>サクセイ</t>
    </rPh>
    <rPh sb="5" eb="7">
      <t>セッテイ</t>
    </rPh>
    <rPh sb="8" eb="12">
      <t>ヨサンケイカク</t>
    </rPh>
    <rPh sb="13" eb="15">
      <t>ヨサン</t>
    </rPh>
    <rPh sb="15" eb="17">
      <t>ケイカク</t>
    </rPh>
    <rPh sb="18" eb="20">
      <t>ゾクセイ</t>
    </rPh>
    <phoneticPr fontId="15"/>
  </si>
  <si>
    <t>予算作成＞設定＞予算計画＞予算配賦条件</t>
    <rPh sb="0" eb="2">
      <t>ヨサン</t>
    </rPh>
    <rPh sb="2" eb="4">
      <t>サクセイ</t>
    </rPh>
    <rPh sb="5" eb="7">
      <t>セッテイ</t>
    </rPh>
    <rPh sb="8" eb="12">
      <t>ヨサンケイカク</t>
    </rPh>
    <rPh sb="13" eb="15">
      <t>ヨサン</t>
    </rPh>
    <rPh sb="15" eb="19">
      <t>ハイフジョウケン</t>
    </rPh>
    <phoneticPr fontId="15"/>
  </si>
  <si>
    <t>予算作成＞設定＞予算計画＞予算原価要素</t>
    <rPh sb="0" eb="2">
      <t>ヨサン</t>
    </rPh>
    <rPh sb="2" eb="4">
      <t>サクセイ</t>
    </rPh>
    <rPh sb="5" eb="7">
      <t>セッテイ</t>
    </rPh>
    <rPh sb="8" eb="12">
      <t>ヨサンケイカク</t>
    </rPh>
    <rPh sb="13" eb="15">
      <t>ヨサン</t>
    </rPh>
    <rPh sb="15" eb="19">
      <t>ゲンカヨウソ</t>
    </rPh>
    <phoneticPr fontId="15"/>
  </si>
  <si>
    <t>予算作成＞設定＞予算計画＞報酬グループ</t>
    <rPh sb="0" eb="2">
      <t>ヨサン</t>
    </rPh>
    <rPh sb="2" eb="4">
      <t>サクセイ</t>
    </rPh>
    <rPh sb="5" eb="7">
      <t>セッテイ</t>
    </rPh>
    <rPh sb="8" eb="12">
      <t>ヨサンケイカク</t>
    </rPh>
    <rPh sb="13" eb="15">
      <t>ホウシュウ</t>
    </rPh>
    <phoneticPr fontId="15"/>
  </si>
  <si>
    <t>予算作成＞設定＞一般予算引当＞引当タイプ</t>
    <rPh sb="0" eb="2">
      <t>ヨサン</t>
    </rPh>
    <rPh sb="2" eb="4">
      <t>サクセイ</t>
    </rPh>
    <rPh sb="5" eb="7">
      <t>セッテイ</t>
    </rPh>
    <rPh sb="8" eb="12">
      <t>イッパンヨサン</t>
    </rPh>
    <rPh sb="12" eb="14">
      <t>ヒキアテ</t>
    </rPh>
    <rPh sb="15" eb="17">
      <t>ヒキアテ</t>
    </rPh>
    <phoneticPr fontId="15"/>
  </si>
  <si>
    <t>予算作成＞設定＞予算計画＞妥当性ドキュメント テンプレート</t>
    <rPh sb="0" eb="2">
      <t>ヨサン</t>
    </rPh>
    <rPh sb="2" eb="4">
      <t>サクセイ</t>
    </rPh>
    <rPh sb="5" eb="7">
      <t>セッテイ</t>
    </rPh>
    <rPh sb="8" eb="12">
      <t>ヨサンケイカク</t>
    </rPh>
    <phoneticPr fontId="15"/>
  </si>
  <si>
    <t>予算作成＞設定＞予算管理＞予算管理コンフィギュレーション</t>
    <rPh sb="0" eb="2">
      <t>ヨサン</t>
    </rPh>
    <rPh sb="2" eb="4">
      <t>サクセイ</t>
    </rPh>
    <rPh sb="5" eb="7">
      <t>セッテイ</t>
    </rPh>
    <rPh sb="8" eb="10">
      <t>ヨサン</t>
    </rPh>
    <rPh sb="10" eb="12">
      <t>カンリ</t>
    </rPh>
    <rPh sb="13" eb="15">
      <t>ヨサン</t>
    </rPh>
    <rPh sb="15" eb="17">
      <t>カンリ</t>
    </rPh>
    <phoneticPr fontId="15"/>
  </si>
  <si>
    <t>期間キー（ユーザー定義）</t>
    <rPh sb="0" eb="2">
      <t>キカン</t>
    </rPh>
    <phoneticPr fontId="15"/>
  </si>
  <si>
    <t>予算モデル（ユーザー定義）</t>
    <rPh sb="0" eb="2">
      <t>ヨサン</t>
    </rPh>
    <phoneticPr fontId="15"/>
  </si>
  <si>
    <t>予算コード（ユーザー定義）</t>
    <rPh sb="0" eb="2">
      <t>ヨサン</t>
    </rPh>
    <phoneticPr fontId="15"/>
  </si>
  <si>
    <t>組織階層（ユーザー定義）</t>
    <rPh sb="0" eb="4">
      <t>ソシキカイソウ</t>
    </rPh>
    <phoneticPr fontId="15"/>
  </si>
  <si>
    <t>予算計画プロセス（ユーザー定義）</t>
    <rPh sb="0" eb="4">
      <t>ヨサンケイカク</t>
    </rPh>
    <phoneticPr fontId="15"/>
  </si>
  <si>
    <t>予算サイクル（ユーザー定義）</t>
    <phoneticPr fontId="15"/>
  </si>
  <si>
    <t>分析コードツリー名（ユーザー定義）</t>
    <rPh sb="0" eb="2">
      <t>ブンセキ</t>
    </rPh>
    <rPh sb="8" eb="9">
      <t>メイ</t>
    </rPh>
    <phoneticPr fontId="15"/>
  </si>
  <si>
    <t>番号順序（ユーザー定義）</t>
    <rPh sb="0" eb="4">
      <t>バンゴウジュンジョ</t>
    </rPh>
    <rPh sb="9" eb="11">
      <t>テイギ</t>
    </rPh>
    <phoneticPr fontId="15"/>
  </si>
  <si>
    <t>予算登録エントリ</t>
    <phoneticPr fontId="15"/>
  </si>
  <si>
    <t>予算計画</t>
    <phoneticPr fontId="15"/>
  </si>
  <si>
    <t>確約</t>
    <phoneticPr fontId="15"/>
  </si>
  <si>
    <t>予算引当</t>
    <phoneticPr fontId="15"/>
  </si>
  <si>
    <t>一般予算引当伝票</t>
    <phoneticPr fontId="15"/>
  </si>
  <si>
    <t>予算登録エントリの固有キー (予算登録エントリの処理時に使用)</t>
    <phoneticPr fontId="15"/>
  </si>
  <si>
    <t>予算計画の文書番号の固有キー (予算計画の作成時に使用されます)</t>
    <phoneticPr fontId="15"/>
  </si>
  <si>
    <t>確約番号</t>
    <phoneticPr fontId="15"/>
  </si>
  <si>
    <t>f this option is selected, an organization can use this document to set aside or earmark budgeted funds so that they aren't available for other purposes.</t>
    <phoneticPr fontId="15"/>
  </si>
  <si>
    <t>If this check box is selected, amounts in encumbering documents that are carried forward cannot be increased</t>
    <phoneticPr fontId="15"/>
  </si>
  <si>
    <t>The key used to generate unique ID numbers for general budget reservations</t>
    <phoneticPr fontId="15"/>
  </si>
  <si>
    <t>The key used to generate unique ID numbers for general budget reservation vouchers</t>
    <phoneticPr fontId="15"/>
  </si>
  <si>
    <t>概要</t>
    <rPh sb="0" eb="2">
      <t>ガイヨウ</t>
    </rPh>
    <phoneticPr fontId="15"/>
  </si>
  <si>
    <t>キャッシュフロー予測に含める</t>
    <rPh sb="8" eb="10">
      <t>ヨソク</t>
    </rPh>
    <rPh sb="11" eb="12">
      <t>フク</t>
    </rPh>
    <phoneticPr fontId="15"/>
  </si>
  <si>
    <t>下位モデル</t>
    <rPh sb="0" eb="2">
      <t>カイ</t>
    </rPh>
    <phoneticPr fontId="15"/>
  </si>
  <si>
    <t>停止済</t>
    <rPh sb="0" eb="2">
      <t>テイシ</t>
    </rPh>
    <rPh sb="2" eb="3">
      <t>ズ</t>
    </rPh>
    <phoneticPr fontId="15"/>
  </si>
  <si>
    <t>予算モデル（ユーザー定義）</t>
    <rPh sb="0" eb="2">
      <t>ヨサン</t>
    </rPh>
    <rPh sb="10" eb="12">
      <t>テイギ</t>
    </rPh>
    <phoneticPr fontId="15"/>
  </si>
  <si>
    <t>予算モデル-設定値</t>
    <rPh sb="0" eb="2">
      <t>ヨサン</t>
    </rPh>
    <rPh sb="6" eb="9">
      <t>セッテイチ</t>
    </rPh>
    <phoneticPr fontId="15"/>
  </si>
  <si>
    <t>予算タイプ</t>
    <rPh sb="0" eb="2">
      <t>ヨサン</t>
    </rPh>
    <phoneticPr fontId="15"/>
  </si>
  <si>
    <t>規定コードとして設定</t>
    <rPh sb="0" eb="2">
      <t>キテイ</t>
    </rPh>
    <rPh sb="8" eb="10">
      <t>セッテイ</t>
    </rPh>
    <phoneticPr fontId="15"/>
  </si>
  <si>
    <t>既定コードとして設定</t>
    <rPh sb="0" eb="2">
      <t>キテイ</t>
    </rPh>
    <rPh sb="8" eb="10">
      <t>セッテイ</t>
    </rPh>
    <phoneticPr fontId="15"/>
  </si>
  <si>
    <t>理由コード</t>
    <rPh sb="0" eb="2">
      <t>リユウ</t>
    </rPh>
    <phoneticPr fontId="15"/>
  </si>
  <si>
    <t>ワークフロー</t>
    <phoneticPr fontId="15"/>
  </si>
  <si>
    <t>予算登録エントリでこの予算コードが選択されたときに使用する予算タイプを選択します。勘定の最初の予算金額を作成するときには、元の予算タイプを使用します。勘定間で予算金額を移動する場合、[移動タイプ] を使用します。勘定の予算金額を変更する場合、[リビジョン タイプ] を使用します。勘定の元の予算登録エントリを転記した後はこの予算タイプを使用します。仕入先に支払う義務がある債務を手動で作成する場合、[債務タイプ] を使用します。実際の経費が勘定の予算金額を超過しないように予算財源を確保する場合、この予算タイプを使用します。未来発生する可能性の高い、支払う義務のある購買の事前債務を手動で作成する場合、[事前債務タイプ] を使用します。実際の経費が勘定の予算金額を超過しないように予算財源を確保する場合、この予算タイプを使用します。1 会計年度から次の会計年度に予算金額を移動する場合、[繰越予算タイプ] を使用します。総勘定元帳にプロジェクト予算の予測を移動する場合、[プロジェクト タイプ] を使用します。総勘定元帳に固定資産の予算予測を移動する場合、[固定資産タイプ] を使用します。総勘定元帳に需要予算予測を移動する場合、[需要予測タイプ] を使用します。総勘定元帳に販売予算予測を移動する場合、[供給予測タイプ] を使用します。実際の予算が確認されて承認されるときに勘定の予算を作成する場合、[暫定予算タイプ] を使用します。予算金額と支払いが承認された金額との差額を示すために、[配賦タイプ] を使用します。たとえば、公的部門の組織の勘定に 10,000.00 の元予算があると、5000.00 の支出を承認するのにこの予算タイプを使用する場合があります。割り当てられた金額のみ使用できます。</t>
    <phoneticPr fontId="15"/>
  </si>
  <si>
    <t>選択された予算タイプの予算登録エントリが自動的に作成されるとき、このコードが既定の予算コードであることを示すには、このオプションを選択します。既定の予算コードは、予算登録エントリのページで手動で予算登録エントリを入力する時には使用されません。各予算タイプの既定の予算コードを選択する必要があります。</t>
    <phoneticPr fontId="15"/>
  </si>
  <si>
    <t>チェック有/チェック無</t>
    <rPh sb="4" eb="5">
      <t>アリ</t>
    </rPh>
    <rPh sb="10" eb="11">
      <t>ナシ</t>
    </rPh>
    <phoneticPr fontId="15"/>
  </si>
  <si>
    <t>理由コード（ユーザー定義）</t>
    <rPh sb="0" eb="2">
      <t>リユウ</t>
    </rPh>
    <rPh sb="10" eb="12">
      <t>テイギ</t>
    </rPh>
    <phoneticPr fontId="15"/>
  </si>
  <si>
    <t>ワークフローID（ユーザー定義）</t>
    <rPh sb="13" eb="15">
      <t>テイギ</t>
    </rPh>
    <phoneticPr fontId="15"/>
  </si>
  <si>
    <t>予算コード-設定値</t>
    <rPh sb="0" eb="2">
      <t>ヨサン</t>
    </rPh>
    <rPh sb="6" eb="9">
      <t>セッテイチ</t>
    </rPh>
    <phoneticPr fontId="15"/>
  </si>
  <si>
    <t>予算期間</t>
    <rPh sb="0" eb="2">
      <t>ヨサン</t>
    </rPh>
    <rPh sb="2" eb="4">
      <t>キカン</t>
    </rPh>
    <phoneticPr fontId="15"/>
  </si>
  <si>
    <t>会計カレンダー</t>
    <rPh sb="0" eb="2">
      <t>カイケイ</t>
    </rPh>
    <phoneticPr fontId="15"/>
  </si>
  <si>
    <t>予算期間の長さ</t>
    <rPh sb="0" eb="4">
      <t>ヨサンキカン</t>
    </rPh>
    <rPh sb="5" eb="6">
      <t>ナガ</t>
    </rPh>
    <phoneticPr fontId="15"/>
  </si>
  <si>
    <t>会計年度期間数</t>
    <phoneticPr fontId="15"/>
  </si>
  <si>
    <t>開始期間</t>
    <rPh sb="0" eb="4">
      <t>カイシキカン</t>
    </rPh>
    <phoneticPr fontId="15"/>
  </si>
  <si>
    <t>終了期間</t>
    <rPh sb="0" eb="4">
      <t>シュウリョウキカン</t>
    </rPh>
    <phoneticPr fontId="15"/>
  </si>
  <si>
    <t>予算サイクルの長さの定義方法を選択します。6、24、36 期間など、予算サイクルの特定の期間を指定するのに、期間数の指定オプションを選択します。このオプションを選択してから、期間の数を入力します。予算サイクルの開始期間と終了期間で定義された会計年度を使用する会計年度オプションのマップを選択します。</t>
    <phoneticPr fontId="15"/>
  </si>
  <si>
    <t>[予算サイクルのフィールドの長さにおける期間数の指定] を選択する場合、期間数を入力します。</t>
    <phoneticPr fontId="15"/>
  </si>
  <si>
    <t>予算サイクル期間を使用する各予算サイクルの名前を入力します。たとえば、会計年度の予算サイクルの長さをマップした場合、各会計年度の予算サイクルを作成します。</t>
    <phoneticPr fontId="15"/>
  </si>
  <si>
    <t>カレンダー（ユーザー定義）</t>
    <rPh sb="10" eb="12">
      <t>テイギ</t>
    </rPh>
    <phoneticPr fontId="15"/>
  </si>
  <si>
    <t>会計カレンダーを設定後、選択が可能。</t>
    <rPh sb="0" eb="2">
      <t>カイケイ</t>
    </rPh>
    <rPh sb="8" eb="11">
      <t>セッテイゴ</t>
    </rPh>
    <rPh sb="12" eb="14">
      <t>センタク</t>
    </rPh>
    <rPh sb="15" eb="17">
      <t>カノウ</t>
    </rPh>
    <phoneticPr fontId="15"/>
  </si>
  <si>
    <t>期間数の指定
会計年度にマップ</t>
    <rPh sb="0" eb="3">
      <t>キカンスウ</t>
    </rPh>
    <rPh sb="4" eb="6">
      <t>シテイ</t>
    </rPh>
    <rPh sb="7" eb="9">
      <t>カイケイ</t>
    </rPh>
    <rPh sb="9" eb="11">
      <t>ネンド</t>
    </rPh>
    <phoneticPr fontId="15"/>
  </si>
  <si>
    <t>予算作成＞設定＞基本予算作成＞予算作成パラメータ</t>
    <rPh sb="0" eb="4">
      <t>ヨサンサクセイ</t>
    </rPh>
    <rPh sb="8" eb="10">
      <t>キホン</t>
    </rPh>
    <rPh sb="10" eb="12">
      <t>ヨサン</t>
    </rPh>
    <rPh sb="12" eb="14">
      <t>サクセイ</t>
    </rPh>
    <rPh sb="15" eb="19">
      <t>ヨサンサクセイ</t>
    </rPh>
    <phoneticPr fontId="15"/>
  </si>
  <si>
    <t>振替に関する完了した予算登録エントリ</t>
    <phoneticPr fontId="15"/>
  </si>
  <si>
    <t>プロジェクト</t>
    <phoneticPr fontId="15"/>
  </si>
  <si>
    <t>固定資産</t>
    <rPh sb="0" eb="4">
      <t>コテイシサン</t>
    </rPh>
    <phoneticPr fontId="15"/>
  </si>
  <si>
    <t>需要予測</t>
    <rPh sb="0" eb="4">
      <t>ジュヨウヨソク</t>
    </rPh>
    <phoneticPr fontId="15"/>
  </si>
  <si>
    <t>供給予測</t>
    <rPh sb="0" eb="4">
      <t>キョウキュウヨソク</t>
    </rPh>
    <phoneticPr fontId="15"/>
  </si>
  <si>
    <t>予算作成＞設定＞基本予算作成＞予算モデル</t>
    <phoneticPr fontId="15"/>
  </si>
  <si>
    <t>買掛金勘定ワークフロー</t>
    <rPh sb="0" eb="3">
      <t>カイカケキン</t>
    </rPh>
    <rPh sb="3" eb="5">
      <t>カンジョウ</t>
    </rPh>
    <phoneticPr fontId="15"/>
  </si>
  <si>
    <t>状態</t>
    <rPh sb="0" eb="2">
      <t>ジョウタイ</t>
    </rPh>
    <phoneticPr fontId="15"/>
  </si>
  <si>
    <t>既定</t>
    <rPh sb="0" eb="2">
      <t>キテイ</t>
    </rPh>
    <phoneticPr fontId="15"/>
  </si>
  <si>
    <t>チェック有/チェック無</t>
    <phoneticPr fontId="15"/>
  </si>
  <si>
    <t>関連</t>
    <rPh sb="0" eb="2">
      <t>カンレン</t>
    </rPh>
    <phoneticPr fontId="15"/>
  </si>
  <si>
    <t>タイプ</t>
    <phoneticPr fontId="15"/>
  </si>
  <si>
    <t>AOT のワークフロー タイプの名前です。</t>
    <phoneticPr fontId="15"/>
  </si>
  <si>
    <t>インスタンス</t>
    <phoneticPr fontId="15"/>
  </si>
  <si>
    <t>有効なバージョン</t>
    <rPh sb="0" eb="2">
      <t>ユウコウ</t>
    </rPh>
    <phoneticPr fontId="15"/>
  </si>
  <si>
    <t>※ワークフローの詳細設定は実機を確認</t>
    <rPh sb="8" eb="10">
      <t>ショウサイ</t>
    </rPh>
    <rPh sb="10" eb="12">
      <t>セッテイ</t>
    </rPh>
    <rPh sb="13" eb="15">
      <t>ジッキ</t>
    </rPh>
    <rPh sb="16" eb="18">
      <t>カクニン</t>
    </rPh>
    <phoneticPr fontId="15"/>
  </si>
  <si>
    <t>予算作成＞設定＞基本予算作成＞予算作成ワークフロー</t>
    <rPh sb="0" eb="2">
      <t>ヨサン</t>
    </rPh>
    <rPh sb="2" eb="4">
      <t>サクセイ</t>
    </rPh>
    <rPh sb="5" eb="7">
      <t>セッテイ</t>
    </rPh>
    <rPh sb="8" eb="10">
      <t>キホン</t>
    </rPh>
    <rPh sb="10" eb="12">
      <t>ヨサン</t>
    </rPh>
    <rPh sb="12" eb="14">
      <t>サクセイ</t>
    </rPh>
    <rPh sb="15" eb="17">
      <t>ヨサン</t>
    </rPh>
    <rPh sb="17" eb="19">
      <t>サクセイ</t>
    </rPh>
    <phoneticPr fontId="15"/>
  </si>
  <si>
    <t>予算作成ワークフロー</t>
    <rPh sb="0" eb="2">
      <t>ヨサン</t>
    </rPh>
    <rPh sb="2" eb="4">
      <t>サクセイ</t>
    </rPh>
    <phoneticPr fontId="15"/>
  </si>
  <si>
    <t>予算作成ワークフロー-設定値</t>
    <rPh sb="0" eb="2">
      <t>ヨサン</t>
    </rPh>
    <rPh sb="2" eb="4">
      <t>サクセイ</t>
    </rPh>
    <phoneticPr fontId="15"/>
  </si>
  <si>
    <t>予算作成＞設定＞基本予算作成＞予算作成の分析コード</t>
    <phoneticPr fontId="15"/>
  </si>
  <si>
    <t>予算作成の分析コード</t>
    <phoneticPr fontId="15"/>
  </si>
  <si>
    <t>予算作成＞設定＞基本予算作成＞予算コード</t>
    <phoneticPr fontId="15"/>
  </si>
  <si>
    <t>予算作成＞設定＞予算管理＞予算サイクル</t>
  </si>
  <si>
    <t>予算作成＞設定＞予算計画＞予算サイクル</t>
  </si>
  <si>
    <t>予算計画プロセス-設定値</t>
    <rPh sb="0" eb="2">
      <t>ヨサン</t>
    </rPh>
    <rPh sb="2" eb="4">
      <t>ケイカク</t>
    </rPh>
    <rPh sb="9" eb="12">
      <t>セッテイチ</t>
    </rPh>
    <phoneticPr fontId="15"/>
  </si>
  <si>
    <t>予算作成＞設定＞予算計画＞予算計画のプロセス</t>
    <phoneticPr fontId="15"/>
  </si>
  <si>
    <t>「予算作成パラメーター-番号順序」シートを参照</t>
    <rPh sb="21" eb="23">
      <t>サンショウ</t>
    </rPh>
    <phoneticPr fontId="15"/>
  </si>
  <si>
    <t>「予算モデル-設定値」シートを参照</t>
    <rPh sb="7" eb="10">
      <t>セッテイチ</t>
    </rPh>
    <rPh sb="15" eb="17">
      <t>サンショウ</t>
    </rPh>
    <phoneticPr fontId="15"/>
  </si>
  <si>
    <t>「予算コード-設定値」シートを参照</t>
    <rPh sb="7" eb="10">
      <t>セッテイチ</t>
    </rPh>
    <rPh sb="15" eb="17">
      <t>サンショウ</t>
    </rPh>
    <phoneticPr fontId="15"/>
  </si>
  <si>
    <t>予算計画のステージ ルールとレイアウト-設定値</t>
    <rPh sb="0" eb="2">
      <t>ヨサン</t>
    </rPh>
    <rPh sb="2" eb="4">
      <t>ケイカク</t>
    </rPh>
    <rPh sb="20" eb="22">
      <t>セッテイ</t>
    </rPh>
    <rPh sb="22" eb="23">
      <t>チ</t>
    </rPh>
    <phoneticPr fontId="15"/>
  </si>
  <si>
    <t>予算計画プロセス管理-設定値</t>
    <rPh sb="0" eb="2">
      <t>ヨサン</t>
    </rPh>
    <rPh sb="2" eb="4">
      <t>ケイカク</t>
    </rPh>
    <rPh sb="8" eb="10">
      <t>カンリ</t>
    </rPh>
    <rPh sb="11" eb="14">
      <t>セッテイチ</t>
    </rPh>
    <phoneticPr fontId="15"/>
  </si>
  <si>
    <t>予算計画優先順位と制約-設定値</t>
    <rPh sb="0" eb="2">
      <t>ヨサン</t>
    </rPh>
    <rPh sb="2" eb="4">
      <t>ケイカク</t>
    </rPh>
    <rPh sb="4" eb="6">
      <t>ユウセン</t>
    </rPh>
    <rPh sb="6" eb="8">
      <t>ジュンイ</t>
    </rPh>
    <rPh sb="9" eb="11">
      <t>セイヤク</t>
    </rPh>
    <rPh sb="12" eb="14">
      <t>セッテイ</t>
    </rPh>
    <rPh sb="14" eb="15">
      <t>チ</t>
    </rPh>
    <phoneticPr fontId="15"/>
  </si>
  <si>
    <t>予算作成＞設定＞予算計画＞予算作成ワークフロー</t>
    <phoneticPr fontId="15"/>
  </si>
  <si>
    <t>予算作成＞設定＞予算計画＞予算作成パラメーター</t>
  </si>
  <si>
    <t>仕訳帳名（ユーザー定義）</t>
    <rPh sb="0" eb="3">
      <t>シワケチョウ</t>
    </rPh>
    <rPh sb="3" eb="4">
      <t>メイ</t>
    </rPh>
    <phoneticPr fontId="15"/>
  </si>
  <si>
    <t>なし</t>
    <phoneticPr fontId="15"/>
  </si>
  <si>
    <t>会計年度期間</t>
    <rPh sb="0" eb="6">
      <t>カイケイネンドキカン</t>
    </rPh>
    <phoneticPr fontId="15"/>
  </si>
  <si>
    <t>予算サイクル別</t>
    <rPh sb="0" eb="2">
      <t>ヨサン</t>
    </rPh>
    <rPh sb="6" eb="7">
      <t>ベツ</t>
    </rPh>
    <phoneticPr fontId="15"/>
  </si>
  <si>
    <t>会計カレンダー＞期間名（ユーザー定義）</t>
    <rPh sb="0" eb="2">
      <t>カイケイ</t>
    </rPh>
    <rPh sb="8" eb="10">
      <t>キカン</t>
    </rPh>
    <rPh sb="10" eb="11">
      <t>メイ</t>
    </rPh>
    <phoneticPr fontId="15"/>
  </si>
  <si>
    <t>財務分析コードセット（ユーザー定義）</t>
    <rPh sb="0" eb="2">
      <t>ザイム</t>
    </rPh>
    <rPh sb="2" eb="4">
      <t>ブンセキ</t>
    </rPh>
    <phoneticPr fontId="15"/>
  </si>
  <si>
    <t>予算作成に使用される財務分析コードを選択します。元帳で使用可能な財務分析コードの中から選択できます。</t>
    <phoneticPr fontId="15"/>
  </si>
  <si>
    <t>勘定科目表の分析コード</t>
    <rPh sb="0" eb="5">
      <t>カンジョウカモクヒョウ</t>
    </rPh>
    <rPh sb="6" eb="8">
      <t>ブンセキ</t>
    </rPh>
    <phoneticPr fontId="15"/>
  </si>
  <si>
    <t>予算分析コード</t>
    <rPh sb="0" eb="4">
      <t>ヨサンブンセキ</t>
    </rPh>
    <phoneticPr fontId="15"/>
  </si>
  <si>
    <t>「予算作成の分析コード-設定値」シートを参照</t>
    <rPh sb="6" eb="8">
      <t>ブンセキ</t>
    </rPh>
    <rPh sb="12" eb="15">
      <t>セッテイチ</t>
    </rPh>
    <rPh sb="20" eb="22">
      <t>サンショウ</t>
    </rPh>
    <phoneticPr fontId="15"/>
  </si>
  <si>
    <t>財務分析コード（ユーザー定義）</t>
    <rPh sb="0" eb="2">
      <t>ザイム</t>
    </rPh>
    <rPh sb="2" eb="4">
      <t>ブンセキ</t>
    </rPh>
    <rPh sb="12" eb="14">
      <t>テイギ</t>
    </rPh>
    <phoneticPr fontId="15"/>
  </si>
  <si>
    <t>予算計画コンフィギュレーション</t>
    <rPh sb="0" eb="4">
      <t>ヨサンケイカク</t>
    </rPh>
    <phoneticPr fontId="15"/>
  </si>
  <si>
    <t>予算作成＞設定＞予算計画＞予算計画のコンフィギュレーション</t>
    <phoneticPr fontId="15"/>
  </si>
  <si>
    <t>パラメータ</t>
    <phoneticPr fontId="15"/>
  </si>
  <si>
    <t>予算計画に適用するセキュリティ ルールを選択します。"予算計画プロセス状態" フォームからシナリオ金額の詳細を表示する場合に使用する財務分析コード セットを選択します。</t>
    <rPh sb="0" eb="2">
      <t>ヨサン</t>
    </rPh>
    <rPh sb="2" eb="4">
      <t>ケイカク</t>
    </rPh>
    <rPh sb="5" eb="7">
      <t>テキヨウ</t>
    </rPh>
    <rPh sb="20" eb="22">
      <t>センタク</t>
    </rPh>
    <rPh sb="27" eb="29">
      <t>ヨサン</t>
    </rPh>
    <rPh sb="29" eb="31">
      <t>ケイカク</t>
    </rPh>
    <rPh sb="35" eb="37">
      <t>ジョウタイ</t>
    </rPh>
    <rPh sb="49" eb="51">
      <t>キンガク</t>
    </rPh>
    <rPh sb="52" eb="54">
      <t>ショウサイ</t>
    </rPh>
    <rPh sb="55" eb="57">
      <t>ヒョウジ</t>
    </rPh>
    <rPh sb="59" eb="61">
      <t>バアイ</t>
    </rPh>
    <rPh sb="62" eb="64">
      <t>シヨウ</t>
    </rPh>
    <rPh sb="66" eb="68">
      <t>ザイム</t>
    </rPh>
    <rPh sb="68" eb="70">
      <t>ブンセキ</t>
    </rPh>
    <rPh sb="78" eb="80">
      <t>センタク</t>
    </rPh>
    <phoneticPr fontId="15"/>
  </si>
  <si>
    <t>セキュリティ モデル</t>
    <phoneticPr fontId="15"/>
  </si>
  <si>
    <t>既定の財務分析コード セット</t>
    <rPh sb="0" eb="2">
      <t>キテイ</t>
    </rPh>
    <rPh sb="3" eb="7">
      <t>ザイムブンセキ</t>
    </rPh>
    <phoneticPr fontId="15"/>
  </si>
  <si>
    <t>集約の際に通貨を換算しないでください</t>
    <rPh sb="0" eb="2">
      <t>シュウヤク</t>
    </rPh>
    <rPh sb="3" eb="4">
      <t>サイ</t>
    </rPh>
    <rPh sb="5" eb="7">
      <t>ツウカ</t>
    </rPh>
    <rPh sb="8" eb="10">
      <t>カンザン</t>
    </rPh>
    <phoneticPr fontId="15"/>
  </si>
  <si>
    <t>予算計画の生成</t>
    <rPh sb="0" eb="4">
      <t>ヨサンケイカク</t>
    </rPh>
    <rPh sb="5" eb="7">
      <t>セイセイ</t>
    </rPh>
    <phoneticPr fontId="15"/>
  </si>
  <si>
    <t>予算計画シナリオの置き換えを禁止する</t>
    <rPh sb="0" eb="4">
      <t>ヨサンケイカク</t>
    </rPh>
    <rPh sb="9" eb="10">
      <t>オ</t>
    </rPh>
    <rPh sb="11" eb="12">
      <t>カ</t>
    </rPh>
    <rPh sb="14" eb="16">
      <t>キンシ</t>
    </rPh>
    <phoneticPr fontId="15"/>
  </si>
  <si>
    <t>シナリオ</t>
    <phoneticPr fontId="15"/>
  </si>
  <si>
    <t>要求された見積、実際の見積、承認された見積などの予算計画見積の予算計画シナリオを管理します。</t>
    <phoneticPr fontId="15"/>
  </si>
  <si>
    <t>予算計画シナリオ</t>
    <rPh sb="0" eb="4">
      <t>ヨサンケイカク</t>
    </rPh>
    <phoneticPr fontId="15"/>
  </si>
  <si>
    <t>測定単位クラス</t>
    <rPh sb="0" eb="4">
      <t>ソクテイタンイ</t>
    </rPh>
    <phoneticPr fontId="15"/>
  </si>
  <si>
    <t>測定単位</t>
    <rPh sb="0" eb="4">
      <t>ソクテイタンイ</t>
    </rPh>
    <phoneticPr fontId="15"/>
  </si>
  <si>
    <t>ステージ</t>
    <phoneticPr fontId="15"/>
  </si>
  <si>
    <t>予算計画の予算計画ステージを設定します。予算計画ステージは、予算組織構造内の予算計画の活動を定義します。</t>
    <rPh sb="0" eb="2">
      <t>ヨサン</t>
    </rPh>
    <rPh sb="2" eb="4">
      <t>ケイカク</t>
    </rPh>
    <rPh sb="5" eb="7">
      <t>ヨサン</t>
    </rPh>
    <rPh sb="7" eb="9">
      <t>ケイカク</t>
    </rPh>
    <rPh sb="14" eb="16">
      <t>セッテイ</t>
    </rPh>
    <rPh sb="20" eb="22">
      <t>ヨサン</t>
    </rPh>
    <rPh sb="22" eb="24">
      <t>ケイカク</t>
    </rPh>
    <rPh sb="30" eb="32">
      <t>ヨサン</t>
    </rPh>
    <rPh sb="32" eb="34">
      <t>ソシキ</t>
    </rPh>
    <rPh sb="34" eb="36">
      <t>コウゾウ</t>
    </rPh>
    <rPh sb="36" eb="37">
      <t>ナイ</t>
    </rPh>
    <rPh sb="38" eb="40">
      <t>ヨサン</t>
    </rPh>
    <rPh sb="40" eb="42">
      <t>ケイカク</t>
    </rPh>
    <rPh sb="43" eb="45">
      <t>カツドウ</t>
    </rPh>
    <rPh sb="46" eb="48">
      <t>テイギ</t>
    </rPh>
    <phoneticPr fontId="15"/>
  </si>
  <si>
    <t>予算計画ステージ</t>
    <rPh sb="0" eb="4">
      <t>ヨサンケイカク</t>
    </rPh>
    <phoneticPr fontId="15"/>
  </si>
  <si>
    <t>ワークフロー ステージ</t>
    <phoneticPr fontId="15"/>
  </si>
  <si>
    <t>各予算計画ワークフローのステージを選択します。</t>
    <rPh sb="0" eb="1">
      <t>カク</t>
    </rPh>
    <rPh sb="1" eb="3">
      <t>ヨサン</t>
    </rPh>
    <rPh sb="3" eb="5">
      <t>ケイカク</t>
    </rPh>
    <rPh sb="17" eb="19">
      <t>センタク</t>
    </rPh>
    <phoneticPr fontId="15"/>
  </si>
  <si>
    <t>予算計画ワークフロー</t>
    <rPh sb="0" eb="4">
      <t>ヨサンケイカク</t>
    </rPh>
    <phoneticPr fontId="15"/>
  </si>
  <si>
    <t>親の予算計画が必要</t>
    <rPh sb="0" eb="1">
      <t>オヤ</t>
    </rPh>
    <rPh sb="2" eb="4">
      <t>ヨサン</t>
    </rPh>
    <rPh sb="4" eb="6">
      <t>ケイカク</t>
    </rPh>
    <rPh sb="7" eb="9">
      <t>ヒツヨウ</t>
    </rPh>
    <phoneticPr fontId="15"/>
  </si>
  <si>
    <t>予算計画が削除されないようにします</t>
    <rPh sb="0" eb="4">
      <t>ヨサンケイカク</t>
    </rPh>
    <rPh sb="5" eb="7">
      <t>サクジョ</t>
    </rPh>
    <phoneticPr fontId="15"/>
  </si>
  <si>
    <t>残余計画ステージ</t>
    <rPh sb="0" eb="2">
      <t>ザンヨ</t>
    </rPh>
    <rPh sb="2" eb="4">
      <t>ケイカク</t>
    </rPh>
    <phoneticPr fontId="15"/>
  </si>
  <si>
    <t>選択された計画ステージ</t>
    <rPh sb="0" eb="2">
      <t>センタク</t>
    </rPh>
    <rPh sb="5" eb="7">
      <t>ケイカク</t>
    </rPh>
    <phoneticPr fontId="15"/>
  </si>
  <si>
    <t>予算分析コードのみ管理する。
ここに表示されるのは、予算分析コードに選択されていない財務分析コード。</t>
    <rPh sb="0" eb="2">
      <t>ヨサン</t>
    </rPh>
    <rPh sb="2" eb="4">
      <t>ブンセキ</t>
    </rPh>
    <rPh sb="9" eb="11">
      <t>カンリ</t>
    </rPh>
    <rPh sb="18" eb="20">
      <t>ヒョウジ</t>
    </rPh>
    <rPh sb="26" eb="28">
      <t>ヨサン</t>
    </rPh>
    <rPh sb="28" eb="30">
      <t>ブンセキ</t>
    </rPh>
    <rPh sb="34" eb="36">
      <t>センタク</t>
    </rPh>
    <rPh sb="42" eb="44">
      <t>ザイム</t>
    </rPh>
    <rPh sb="44" eb="46">
      <t>ブンセキ</t>
    </rPh>
    <phoneticPr fontId="15"/>
  </si>
  <si>
    <t>選択された計画ステージのみ管理する。
ここに表示されるのは、選択された計画ステージに選択されていない予算計画ステージ。</t>
    <rPh sb="0" eb="2">
      <t>センタク</t>
    </rPh>
    <rPh sb="5" eb="7">
      <t>ケイカク</t>
    </rPh>
    <rPh sb="13" eb="15">
      <t>カンリ</t>
    </rPh>
    <rPh sb="22" eb="24">
      <t>ヒョウジ</t>
    </rPh>
    <rPh sb="30" eb="32">
      <t>センタク</t>
    </rPh>
    <rPh sb="35" eb="37">
      <t>ケイカク</t>
    </rPh>
    <rPh sb="41" eb="43">
      <t>イガイ</t>
    </rPh>
    <rPh sb="44" eb="46">
      <t>センタク</t>
    </rPh>
    <rPh sb="52" eb="56">
      <t>ヨサンケイカク</t>
    </rPh>
    <phoneticPr fontId="15"/>
  </si>
  <si>
    <t>配賦スケジュール</t>
    <rPh sb="0" eb="2">
      <t>ハイフ</t>
    </rPh>
    <phoneticPr fontId="15"/>
  </si>
  <si>
    <t>ワークフロー処理時に使用する配賦スケジュールを定義します。これらの配賦スケジュールでは、他のシナリオの見積に基づいた予算計画シナリオが設定されます。</t>
    <phoneticPr fontId="15"/>
  </si>
  <si>
    <t>元帳</t>
    <rPh sb="0" eb="2">
      <t>モトチョウ</t>
    </rPh>
    <phoneticPr fontId="15"/>
  </si>
  <si>
    <t>配賦</t>
    <rPh sb="0" eb="2">
      <t>ハイフ</t>
    </rPh>
    <phoneticPr fontId="15"/>
  </si>
  <si>
    <t>配賦方法</t>
    <rPh sb="0" eb="4">
      <t>ハイフホウホウ</t>
    </rPh>
    <phoneticPr fontId="15"/>
  </si>
  <si>
    <t>ソース</t>
    <phoneticPr fontId="15"/>
  </si>
  <si>
    <t>ソースシナリオ</t>
    <phoneticPr fontId="15"/>
  </si>
  <si>
    <t>配賦先</t>
    <rPh sb="0" eb="3">
      <t>ハイフサキ</t>
    </rPh>
    <phoneticPr fontId="15"/>
  </si>
  <si>
    <t>ターゲットシナリオ</t>
    <phoneticPr fontId="15"/>
  </si>
  <si>
    <t>乗数</t>
    <rPh sb="0" eb="2">
      <t>ジョウスウ</t>
    </rPh>
    <phoneticPr fontId="15"/>
  </si>
  <si>
    <t>計画への追加</t>
    <rPh sb="0" eb="2">
      <t>ケイカク</t>
    </rPh>
    <rPh sb="4" eb="6">
      <t>ツイカ</t>
    </rPh>
    <phoneticPr fontId="15"/>
  </si>
  <si>
    <t>ステージの配賦</t>
    <rPh sb="5" eb="7">
      <t>ハイフ</t>
    </rPh>
    <phoneticPr fontId="15"/>
  </si>
  <si>
    <t>ステージの配賦を作成し、予算計画プロセスのステージで予算計画の配賦を実行します。</t>
    <rPh sb="5" eb="7">
      <t>ハイフ</t>
    </rPh>
    <rPh sb="8" eb="10">
      <t>サクセイ</t>
    </rPh>
    <rPh sb="12" eb="14">
      <t>ヨサン</t>
    </rPh>
    <rPh sb="14" eb="16">
      <t>ケイカク</t>
    </rPh>
    <rPh sb="26" eb="28">
      <t>ヨサン</t>
    </rPh>
    <rPh sb="28" eb="30">
      <t>ケイカク</t>
    </rPh>
    <rPh sb="31" eb="33">
      <t>ハイフ</t>
    </rPh>
    <rPh sb="34" eb="36">
      <t>ジッコウ</t>
    </rPh>
    <phoneticPr fontId="15"/>
  </si>
  <si>
    <t>予算計画ワークフローおよびステージ</t>
    <rPh sb="0" eb="4">
      <t>ヨサンケイカク</t>
    </rPh>
    <phoneticPr fontId="15"/>
  </si>
  <si>
    <t>優先順位</t>
    <rPh sb="0" eb="4">
      <t>ユウセンジュンイ</t>
    </rPh>
    <phoneticPr fontId="15"/>
  </si>
  <si>
    <t>利害関係者によって識別される予算計画優先順位を管理します。予算計画は、予算計画優先順位に基づいて整列できます。</t>
    <phoneticPr fontId="15"/>
  </si>
  <si>
    <t>列</t>
    <rPh sb="0" eb="1">
      <t>レツ</t>
    </rPh>
    <phoneticPr fontId="15"/>
  </si>
  <si>
    <t>予算計画レイアウトで使用する列を設定します。</t>
    <phoneticPr fontId="15"/>
  </si>
  <si>
    <t>列＞パラメーター</t>
    <rPh sb="0" eb="1">
      <t>レツ</t>
    </rPh>
    <phoneticPr fontId="15"/>
  </si>
  <si>
    <t>列の期間</t>
    <rPh sb="0" eb="1">
      <t>レツ</t>
    </rPh>
    <rPh sb="2" eb="4">
      <t>キカン</t>
    </rPh>
    <phoneticPr fontId="15"/>
  </si>
  <si>
    <t>フィルター</t>
    <phoneticPr fontId="15"/>
  </si>
  <si>
    <t>テーブル</t>
    <phoneticPr fontId="15"/>
  </si>
  <si>
    <t>フィールド</t>
    <phoneticPr fontId="15"/>
  </si>
  <si>
    <t>演算子</t>
    <rPh sb="0" eb="3">
      <t>エンザンシ</t>
    </rPh>
    <phoneticPr fontId="15"/>
  </si>
  <si>
    <t>値範囲の終了値(To)</t>
    <rPh sb="0" eb="1">
      <t>アタイ</t>
    </rPh>
    <rPh sb="1" eb="3">
      <t>ハンイ</t>
    </rPh>
    <rPh sb="4" eb="6">
      <t>シュウリョウ</t>
    </rPh>
    <rPh sb="6" eb="7">
      <t>チ</t>
    </rPh>
    <phoneticPr fontId="15"/>
  </si>
  <si>
    <t>レイアウト</t>
    <phoneticPr fontId="15"/>
  </si>
  <si>
    <t>要素と勘定分析コード セットを選択し、予算計画ドキュメントを表示します。予算計画プロセスおよびステージごとに別々のレイアウトを作成できます。</t>
    <phoneticPr fontId="15"/>
  </si>
  <si>
    <t>勘定分析コード セット</t>
    <rPh sb="0" eb="4">
      <t>カンジョウブンセキ</t>
    </rPh>
    <phoneticPr fontId="15"/>
  </si>
  <si>
    <t>予算計画明細行の一括更新</t>
    <rPh sb="0" eb="7">
      <t>ヨサンケイカクメイサイギョウ</t>
    </rPh>
    <rPh sb="8" eb="12">
      <t>イッカツコウシン</t>
    </rPh>
    <phoneticPr fontId="15"/>
  </si>
  <si>
    <t>レイアウト要素</t>
    <rPh sb="5" eb="7">
      <t>ヨウソ</t>
    </rPh>
    <phoneticPr fontId="15"/>
  </si>
  <si>
    <t>要素</t>
    <rPh sb="0" eb="2">
      <t>ヨウソ</t>
    </rPh>
    <phoneticPr fontId="15"/>
  </si>
  <si>
    <t>編集可能</t>
    <rPh sb="0" eb="4">
      <t>ヘンシュウカノウ</t>
    </rPh>
    <phoneticPr fontId="15"/>
  </si>
  <si>
    <t>ワークシートで利用可能</t>
    <rPh sb="7" eb="11">
      <t>リヨウカノウ</t>
    </rPh>
    <phoneticPr fontId="15"/>
  </si>
  <si>
    <t>作業者の職位にも続く
セキュリティ組織に基づく</t>
    <rPh sb="0" eb="3">
      <t>サギョウシャ</t>
    </rPh>
    <rPh sb="4" eb="6">
      <t>ショクイ</t>
    </rPh>
    <rPh sb="8" eb="9">
      <t>ツヅ</t>
    </rPh>
    <rPh sb="17" eb="19">
      <t>ソシキ</t>
    </rPh>
    <rPh sb="20" eb="21">
      <t>モト</t>
    </rPh>
    <phoneticPr fontId="15"/>
  </si>
  <si>
    <t>作業者の職位にも続く</t>
  </si>
  <si>
    <t>財務分析コードセット（ユーザー定義）</t>
    <rPh sb="0" eb="4">
      <t>ザイムブンセキ</t>
    </rPh>
    <rPh sb="15" eb="17">
      <t>テイギ</t>
    </rPh>
    <phoneticPr fontId="15"/>
  </si>
  <si>
    <t>未定義</t>
    <rPh sb="0" eb="3">
      <t>ミテイギ</t>
    </rPh>
    <phoneticPr fontId="15"/>
  </si>
  <si>
    <t>予算計画ステージ（ユーザー定義）</t>
    <rPh sb="0" eb="4">
      <t>ヨサンケイカク</t>
    </rPh>
    <rPh sb="13" eb="15">
      <t>テイギ</t>
    </rPh>
    <phoneticPr fontId="15"/>
  </si>
  <si>
    <t>元帳（ユーザー定義）</t>
    <rPh sb="0" eb="2">
      <t>モトチョウ</t>
    </rPh>
    <rPh sb="7" eb="9">
      <t>テイギ</t>
    </rPh>
    <phoneticPr fontId="15"/>
  </si>
  <si>
    <t>複数の期間に割り当て
分析コードへの配賦
集計
配布
元帳配賦ルールの使用
予算計画からのコピー</t>
    <rPh sb="0" eb="2">
      <t>フクスウ</t>
    </rPh>
    <rPh sb="3" eb="5">
      <t>キカン</t>
    </rPh>
    <rPh sb="6" eb="7">
      <t>ワ</t>
    </rPh>
    <rPh sb="8" eb="9">
      <t>ア</t>
    </rPh>
    <rPh sb="11" eb="13">
      <t>ブンセキ</t>
    </rPh>
    <rPh sb="18" eb="20">
      <t>ハイフ</t>
    </rPh>
    <rPh sb="21" eb="23">
      <t>シュウケイ</t>
    </rPh>
    <rPh sb="24" eb="26">
      <t>ハイフ</t>
    </rPh>
    <rPh sb="27" eb="29">
      <t>モトチョウ</t>
    </rPh>
    <rPh sb="29" eb="31">
      <t>ハイフ</t>
    </rPh>
    <rPh sb="35" eb="37">
      <t>シヨウ</t>
    </rPh>
    <rPh sb="38" eb="40">
      <t>ヨサン</t>
    </rPh>
    <rPh sb="40" eb="42">
      <t>ケイカク</t>
    </rPh>
    <phoneticPr fontId="15"/>
  </si>
  <si>
    <t>予算計画シナリオ（ユーザー定義）</t>
    <rPh sb="0" eb="4">
      <t>ヨサンケイカク</t>
    </rPh>
    <rPh sb="13" eb="15">
      <t>テイギ</t>
    </rPh>
    <phoneticPr fontId="15"/>
  </si>
  <si>
    <t>予算計画ワークフロー × 予算計画ステージ（ユーザー定義）</t>
    <rPh sb="0" eb="4">
      <t>ヨサンケイカク</t>
    </rPh>
    <rPh sb="13" eb="17">
      <t>ヨサンケイカク</t>
    </rPh>
    <rPh sb="26" eb="28">
      <t>テイギ</t>
    </rPh>
    <phoneticPr fontId="15"/>
  </si>
  <si>
    <t>配賦スケジュール（ユーザー定義）</t>
    <rPh sb="0" eb="2">
      <t>ハイフ</t>
    </rPh>
    <rPh sb="13" eb="15">
      <t>テイギ</t>
    </rPh>
    <phoneticPr fontId="15"/>
  </si>
  <si>
    <t>すべて
会計年度期間
月
四半期
年</t>
    <rPh sb="4" eb="10">
      <t>カイケイネンドキカン</t>
    </rPh>
    <rPh sb="11" eb="12">
      <t>ツキ</t>
    </rPh>
    <rPh sb="13" eb="16">
      <t>シハンキ</t>
    </rPh>
    <rPh sb="17" eb="18">
      <t>ネン</t>
    </rPh>
    <phoneticPr fontId="15"/>
  </si>
  <si>
    <t>予算作成＞設定＞基本予算作成＞予算作成パラメーター
予算作成＞設定＞予算計画＞予算作成パラメーター
Budgeting＞Setup＞Basic budgeting＞Budgeting parameters
Budgeting＞Setup＞Budget planning＞Budgeting parameters</t>
    <rPh sb="0" eb="2">
      <t>ヨサン</t>
    </rPh>
    <rPh sb="2" eb="4">
      <t>サクセイ</t>
    </rPh>
    <rPh sb="5" eb="7">
      <t>セッテイ</t>
    </rPh>
    <rPh sb="8" eb="10">
      <t>キホン</t>
    </rPh>
    <rPh sb="10" eb="12">
      <t>ヨサン</t>
    </rPh>
    <rPh sb="12" eb="14">
      <t>サクセイ</t>
    </rPh>
    <rPh sb="15" eb="17">
      <t>ヨサン</t>
    </rPh>
    <rPh sb="17" eb="19">
      <t>サクセイ</t>
    </rPh>
    <rPh sb="26" eb="30">
      <t>ヨサンサクセイ</t>
    </rPh>
    <rPh sb="31" eb="33">
      <t>セッテイ</t>
    </rPh>
    <rPh sb="34" eb="38">
      <t>ヨサンケイカク</t>
    </rPh>
    <rPh sb="39" eb="43">
      <t>ヨサンサクセイ</t>
    </rPh>
    <phoneticPr fontId="15"/>
  </si>
  <si>
    <t>Budgeting＞Setup＞Basic budgeting＞Budgeting parameters</t>
    <phoneticPr fontId="15"/>
  </si>
  <si>
    <t>Budgeting＞Setup＞Budget planning＞Budgeting parameters</t>
    <phoneticPr fontId="15"/>
  </si>
  <si>
    <t>予算作成＞設定＞基本予算作成＞予算作成ワークフロー
予算作成＞設定＞予算計画＞予算作成ワークフロー
Budgeting＞Setup＞Basic budgeting＞Budgeting workflows
Budgeting＞Setup＞Budget planning＞Budgeting workflows</t>
    <rPh sb="0" eb="2">
      <t>ヨサン</t>
    </rPh>
    <rPh sb="2" eb="4">
      <t>サクセイ</t>
    </rPh>
    <rPh sb="5" eb="7">
      <t>セッテイ</t>
    </rPh>
    <rPh sb="8" eb="10">
      <t>キホン</t>
    </rPh>
    <rPh sb="10" eb="12">
      <t>ヨサン</t>
    </rPh>
    <rPh sb="12" eb="14">
      <t>サクセイ</t>
    </rPh>
    <rPh sb="15" eb="17">
      <t>ヨサン</t>
    </rPh>
    <rPh sb="17" eb="18">
      <t>サク</t>
    </rPh>
    <phoneticPr fontId="15"/>
  </si>
  <si>
    <t>予算作成＞設定＞基本予算作成＞予算作成の分析コード
Budgeting＞Setup＞Basic budgeting＞Dimensions for budgeting</t>
    <rPh sb="0" eb="2">
      <t>ヨサン</t>
    </rPh>
    <rPh sb="2" eb="4">
      <t>サクセイ</t>
    </rPh>
    <rPh sb="5" eb="7">
      <t>セッテイ</t>
    </rPh>
    <rPh sb="8" eb="10">
      <t>キホン</t>
    </rPh>
    <rPh sb="10" eb="12">
      <t>ヨサン</t>
    </rPh>
    <rPh sb="12" eb="14">
      <t>サクセイ</t>
    </rPh>
    <rPh sb="15" eb="17">
      <t>ヨサン</t>
    </rPh>
    <rPh sb="17" eb="18">
      <t>サク</t>
    </rPh>
    <rPh sb="20" eb="22">
      <t>ブンセキ</t>
    </rPh>
    <phoneticPr fontId="15"/>
  </si>
  <si>
    <t>Budgeting＞Setup＞Basic budgeting＞Budgeting workflows</t>
    <phoneticPr fontId="15"/>
  </si>
  <si>
    <t>Budgeting＞Setup＞Budget planning＞Budgeting workflows</t>
    <phoneticPr fontId="15"/>
  </si>
  <si>
    <t>Budgeting＞Setup＞Basic budgeting＞Dimensions for budgeting</t>
    <phoneticPr fontId="15"/>
  </si>
  <si>
    <t>予算作成＞設定＞基本予算作成＞予算モデル
Budgeting＞Setup＞Basic budgeting＞Budget models</t>
    <rPh sb="0" eb="2">
      <t>ヨサン</t>
    </rPh>
    <rPh sb="2" eb="4">
      <t>サクセイ</t>
    </rPh>
    <rPh sb="5" eb="7">
      <t>セッテイ</t>
    </rPh>
    <rPh sb="8" eb="10">
      <t>キホン</t>
    </rPh>
    <rPh sb="10" eb="12">
      <t>ヨサン</t>
    </rPh>
    <rPh sb="12" eb="14">
      <t>サクセイ</t>
    </rPh>
    <rPh sb="15" eb="17">
      <t>ヨサン</t>
    </rPh>
    <phoneticPr fontId="15"/>
  </si>
  <si>
    <t>Budgeting＞Setup＞Basic budgeting＞Budget models</t>
    <phoneticPr fontId="15"/>
  </si>
  <si>
    <t>予算作成＞設定＞基本予算作成＞予算コード
Budgeting＞Setup＞Basic budgeting＞Budget codes</t>
    <rPh sb="0" eb="2">
      <t>ヨサン</t>
    </rPh>
    <rPh sb="2" eb="4">
      <t>サクセイ</t>
    </rPh>
    <rPh sb="5" eb="7">
      <t>セッテイ</t>
    </rPh>
    <rPh sb="8" eb="10">
      <t>キホン</t>
    </rPh>
    <rPh sb="10" eb="12">
      <t>ヨサン</t>
    </rPh>
    <rPh sb="12" eb="14">
      <t>サクセイ</t>
    </rPh>
    <rPh sb="15" eb="17">
      <t>ヨサン</t>
    </rPh>
    <phoneticPr fontId="15"/>
  </si>
  <si>
    <t>予算作成＞設定＞予算計画＞予算サイクル
予算作成＞設定＞予算管理＞予算サイクル
Budgeting＞Setup＞Budget planning＞Budget cycles
Budgeting＞Setup＞Budget control＞Budget cycles</t>
    <rPh sb="20" eb="22">
      <t>ヨサン</t>
    </rPh>
    <rPh sb="22" eb="24">
      <t>サクセイ</t>
    </rPh>
    <rPh sb="25" eb="27">
      <t>セッテイ</t>
    </rPh>
    <rPh sb="28" eb="30">
      <t>ヨサン</t>
    </rPh>
    <rPh sb="30" eb="32">
      <t>カンリ</t>
    </rPh>
    <rPh sb="33" eb="35">
      <t>ヨサン</t>
    </rPh>
    <phoneticPr fontId="15"/>
  </si>
  <si>
    <t>Budgeting＞Setup＞Budget planning＞Budget cycles</t>
    <phoneticPr fontId="15"/>
  </si>
  <si>
    <t>Budgeting＞Setup＞Budget control＞Budget cycles</t>
  </si>
  <si>
    <t>予算作成＞設定＞予算計画＞予算計画のコンフィギュレーション
Budgeting＞Setup＞Budget planning＞Budget planning configuration</t>
    <rPh sb="0" eb="2">
      <t>ヨサン</t>
    </rPh>
    <rPh sb="2" eb="4">
      <t>サクセイ</t>
    </rPh>
    <rPh sb="5" eb="7">
      <t>セッテイ</t>
    </rPh>
    <rPh sb="8" eb="12">
      <t>ヨサンケイカク</t>
    </rPh>
    <rPh sb="13" eb="15">
      <t>ヨサン</t>
    </rPh>
    <rPh sb="15" eb="17">
      <t>ケイカク</t>
    </rPh>
    <phoneticPr fontId="15"/>
  </si>
  <si>
    <t>Budgeting＞Setup＞Budget planning＞Budget planning configuration</t>
    <phoneticPr fontId="15"/>
  </si>
  <si>
    <t>予算作成＞設定＞予算計画＞予算計画のプロセス
Budgeting＞Setup＞Budget planning＞Budget planning process</t>
    <rPh sb="0" eb="2">
      <t>ヨサン</t>
    </rPh>
    <rPh sb="2" eb="4">
      <t>サクセイ</t>
    </rPh>
    <rPh sb="5" eb="7">
      <t>セッテイ</t>
    </rPh>
    <rPh sb="8" eb="12">
      <t>ヨサンケイカク</t>
    </rPh>
    <rPh sb="13" eb="15">
      <t>ヨサン</t>
    </rPh>
    <rPh sb="15" eb="17">
      <t>ケイカク</t>
    </rPh>
    <phoneticPr fontId="15"/>
  </si>
  <si>
    <t>Budgeting＞Setup＞Budget planning＞Budget planning process</t>
    <phoneticPr fontId="15"/>
  </si>
  <si>
    <t>Budgeting＞Setup＞Basic budgeting＞Budget codes</t>
    <phoneticPr fontId="15"/>
  </si>
  <si>
    <t>#</t>
    <phoneticPr fontId="15"/>
  </si>
  <si>
    <t>「予算作成ワークフロー-設定値」を参照</t>
    <rPh sb="1" eb="3">
      <t>ヨサン</t>
    </rPh>
    <rPh sb="3" eb="5">
      <t>サクセイ</t>
    </rPh>
    <rPh sb="12" eb="15">
      <t>セッテイチ</t>
    </rPh>
    <phoneticPr fontId="34"/>
  </si>
  <si>
    <t>設定可能値</t>
    <phoneticPr fontId="15"/>
  </si>
  <si>
    <t>-</t>
    <phoneticPr fontId="15"/>
  </si>
  <si>
    <t>チェック無</t>
    <rPh sb="4" eb="5">
      <t>ナ</t>
    </rPh>
    <phoneticPr fontId="15"/>
  </si>
  <si>
    <t>予算計画プロセス</t>
    <rPh sb="0" eb="2">
      <t>ヨサン</t>
    </rPh>
    <rPh sb="2" eb="4">
      <t>ケイカク</t>
    </rPh>
    <phoneticPr fontId="15"/>
  </si>
  <si>
    <t>「予算計画プロセス-設定値」シートを参照</t>
    <rPh sb="18" eb="20">
      <t>サンショウ</t>
    </rPh>
    <phoneticPr fontId="15"/>
  </si>
  <si>
    <t>予算計画プロセス管理</t>
    <rPh sb="0" eb="2">
      <t>ヨサン</t>
    </rPh>
    <rPh sb="2" eb="4">
      <t>ケイカク</t>
    </rPh>
    <rPh sb="8" eb="10">
      <t>カンリ</t>
    </rPh>
    <phoneticPr fontId="15"/>
  </si>
  <si>
    <t>予算計画のステージ　ルールとレイアウト</t>
    <rPh sb="0" eb="2">
      <t>ヨサン</t>
    </rPh>
    <rPh sb="2" eb="4">
      <t>ケイカク</t>
    </rPh>
    <phoneticPr fontId="15"/>
  </si>
  <si>
    <t>予算計画優先順位の制約</t>
    <rPh sb="0" eb="2">
      <t>ヨサン</t>
    </rPh>
    <rPh sb="2" eb="4">
      <t>ケイカク</t>
    </rPh>
    <rPh sb="4" eb="8">
      <t>ユウセンジュンイ</t>
    </rPh>
    <rPh sb="9" eb="11">
      <t>セイヤク</t>
    </rPh>
    <phoneticPr fontId="15"/>
  </si>
  <si>
    <t>マイルストーン</t>
    <phoneticPr fontId="15"/>
  </si>
  <si>
    <t>ステータス</t>
    <phoneticPr fontId="15"/>
  </si>
  <si>
    <t>既定の勘定構造</t>
    <rPh sb="0" eb="2">
      <t>キテイ</t>
    </rPh>
    <rPh sb="3" eb="5">
      <t>カンジョウ</t>
    </rPh>
    <rPh sb="5" eb="7">
      <t>コウゾウ</t>
    </rPh>
    <phoneticPr fontId="15"/>
  </si>
  <si>
    <t>妥当性ドキュメント　テンプレート</t>
    <rPh sb="0" eb="3">
      <t>ダトウセイ</t>
    </rPh>
    <phoneticPr fontId="15"/>
  </si>
  <si>
    <t>組織階層</t>
    <rPh sb="0" eb="2">
      <t>ソシキ</t>
    </rPh>
    <rPh sb="2" eb="4">
      <t>カイソウ</t>
    </rPh>
    <phoneticPr fontId="15"/>
  </si>
  <si>
    <t>予算計画ワークフロー</t>
    <rPh sb="0" eb="2">
      <t>ヨサン</t>
    </rPh>
    <rPh sb="2" eb="4">
      <t>ケイカク</t>
    </rPh>
    <phoneticPr fontId="15"/>
  </si>
  <si>
    <t>責任センター</t>
    <rPh sb="0" eb="2">
      <t>セキニン</t>
    </rPh>
    <phoneticPr fontId="15"/>
  </si>
  <si>
    <t>責任センターグループ</t>
    <rPh sb="0" eb="2">
      <t>セキニン</t>
    </rPh>
    <phoneticPr fontId="15"/>
  </si>
  <si>
    <t>使用可能な予算計画レイアウト</t>
    <rPh sb="0" eb="4">
      <t>シヨウカノウ</t>
    </rPh>
    <rPh sb="5" eb="9">
      <t>ヨサンケイカク</t>
    </rPh>
    <phoneticPr fontId="15"/>
  </si>
  <si>
    <t>選択された予算計画レイアウト</t>
    <rPh sb="0" eb="2">
      <t>センタク</t>
    </rPh>
    <rPh sb="5" eb="7">
      <t>ヨサン</t>
    </rPh>
    <rPh sb="7" eb="9">
      <t>ケイカク</t>
    </rPh>
    <phoneticPr fontId="15"/>
  </si>
  <si>
    <t>予算計画ステージ</t>
    <rPh sb="0" eb="2">
      <t>ヨサン</t>
    </rPh>
    <rPh sb="2" eb="4">
      <t>ケイカク</t>
    </rPh>
    <phoneticPr fontId="15"/>
  </si>
  <si>
    <t>予算計画の関連付け</t>
    <rPh sb="0" eb="2">
      <t>ヨサン</t>
    </rPh>
    <rPh sb="2" eb="4">
      <t>ケイカク</t>
    </rPh>
    <rPh sb="5" eb="8">
      <t>カンレンヅ</t>
    </rPh>
    <phoneticPr fontId="15"/>
  </si>
  <si>
    <t>行の追加</t>
    <rPh sb="0" eb="1">
      <t>ギョウ</t>
    </rPh>
    <rPh sb="2" eb="4">
      <t>ツイカ</t>
    </rPh>
    <phoneticPr fontId="15"/>
  </si>
  <si>
    <t>明細行の変更</t>
    <rPh sb="0" eb="3">
      <t>メイサイギョウ</t>
    </rPh>
    <rPh sb="4" eb="6">
      <t>ヘンコウ</t>
    </rPh>
    <phoneticPr fontId="15"/>
  </si>
  <si>
    <t>残りの優先順位</t>
    <rPh sb="0" eb="1">
      <t>ノコ</t>
    </rPh>
    <rPh sb="3" eb="7">
      <t>ユウセンジュンイ</t>
    </rPh>
    <phoneticPr fontId="15"/>
  </si>
  <si>
    <t>選択された優先順位</t>
    <rPh sb="0" eb="2">
      <t>センタク</t>
    </rPh>
    <rPh sb="5" eb="9">
      <t>ユウセンジュンイ</t>
    </rPh>
    <phoneticPr fontId="15"/>
  </si>
  <si>
    <t>期日</t>
    <rPh sb="0" eb="2">
      <t>キジツ</t>
    </rPh>
    <phoneticPr fontId="15"/>
  </si>
  <si>
    <t>完了日</t>
    <rPh sb="0" eb="3">
      <t>カンリョウヒ</t>
    </rPh>
    <phoneticPr fontId="15"/>
  </si>
  <si>
    <t>予算計画プロセスの識別子。</t>
    <rPh sb="0" eb="2">
      <t>ヨサン</t>
    </rPh>
    <rPh sb="2" eb="4">
      <t>ケイカク</t>
    </rPh>
    <rPh sb="9" eb="12">
      <t>シキベツシ</t>
    </rPh>
    <phoneticPr fontId="15"/>
  </si>
  <si>
    <t>予算計画プロセスに関連付けられている予算サイクル。</t>
    <rPh sb="0" eb="2">
      <t>ヨサン</t>
    </rPh>
    <rPh sb="2" eb="4">
      <t>ケイカク</t>
    </rPh>
    <rPh sb="9" eb="12">
      <t>カンレンヅ</t>
    </rPh>
    <rPh sb="18" eb="20">
      <t>ヨサン</t>
    </rPh>
    <phoneticPr fontId="15"/>
  </si>
  <si>
    <t>予算計画プロセスで使用する元帳。</t>
    <rPh sb="0" eb="2">
      <t>ヨサン</t>
    </rPh>
    <rPh sb="2" eb="4">
      <t>ケイカク</t>
    </rPh>
    <rPh sb="9" eb="11">
      <t>シヨウ</t>
    </rPh>
    <rPh sb="13" eb="15">
      <t>モトチョウ</t>
    </rPh>
    <phoneticPr fontId="15"/>
  </si>
  <si>
    <t>予算計画プロセスの現在の状態 次のステータスが使用されます : [ドラフト] - 予算計画プロセスは有効ではないか、または完了していません。これは新規予算計画プロセスの既定です。予算計画プロセスが [ドラフト] のステータスにある場合、ユーザーは予算計画プロセスに含める設定を構成できます。[進行中] - 予算計画プロセスは有効ですが、完了していません。予算計画プロセスが有効化された後、予算計画プロセスの設定を変更した場合、変更は予算計画プロセスの新規予算計画にのみ適用されます。[完了] - 予算計画プロセスは承認されています。予算計画プロセスの設定の変更と、予算計画プロセスに対する新しい予算計画の作成はできません。</t>
    <rPh sb="0" eb="2">
      <t>ヨサン</t>
    </rPh>
    <phoneticPr fontId="15"/>
  </si>
  <si>
    <t>データベースのレコードの固有ID</t>
    <rPh sb="12" eb="14">
      <t>コユウ</t>
    </rPh>
    <phoneticPr fontId="15"/>
  </si>
  <si>
    <t>オプション : 予算計画プロセスの簡単な説明。</t>
    <rPh sb="8" eb="10">
      <t>ヨサン</t>
    </rPh>
    <rPh sb="10" eb="12">
      <t>ケイカク</t>
    </rPh>
    <rPh sb="17" eb="19">
      <t>カンタン</t>
    </rPh>
    <rPh sb="20" eb="22">
      <t>セツメイ</t>
    </rPh>
    <phoneticPr fontId="15"/>
  </si>
  <si>
    <t>データベースのレコードの固有ID</t>
    <phoneticPr fontId="15"/>
  </si>
  <si>
    <t>代替予算計画レイアウト</t>
    <rPh sb="0" eb="2">
      <t>ダイタイ</t>
    </rPh>
    <rPh sb="2" eb="4">
      <t>ヨサン</t>
    </rPh>
    <rPh sb="4" eb="6">
      <t>ケイカク</t>
    </rPh>
    <phoneticPr fontId="15"/>
  </si>
  <si>
    <t>予算サイクル（ユーザー定義）</t>
    <rPh sb="0" eb="2">
      <t>ヨサン</t>
    </rPh>
    <phoneticPr fontId="15"/>
  </si>
  <si>
    <t>元帳（ユーザー定義）</t>
    <phoneticPr fontId="15"/>
  </si>
  <si>
    <t>勘定構造（ユーザー定義）</t>
    <rPh sb="0" eb="4">
      <t>カンジョウコウゾウ</t>
    </rPh>
    <rPh sb="9" eb="11">
      <t>テイギ</t>
    </rPh>
    <phoneticPr fontId="15"/>
  </si>
  <si>
    <t>妥当性ドキュメント テンプレート（ユーザー定義）</t>
    <rPh sb="0" eb="3">
      <t>ダトウセイ</t>
    </rPh>
    <phoneticPr fontId="15"/>
  </si>
  <si>
    <t>チェック有/チェック無</t>
    <rPh sb="4" eb="5">
      <t>アリ</t>
    </rPh>
    <rPh sb="10" eb="11">
      <t>ナ</t>
    </rPh>
    <phoneticPr fontId="15"/>
  </si>
  <si>
    <t>日付</t>
    <rPh sb="0" eb="2">
      <t>ヒヅケ</t>
    </rPh>
    <phoneticPr fontId="15"/>
  </si>
  <si>
    <t>ドラフト</t>
    <phoneticPr fontId="15"/>
  </si>
  <si>
    <t>期間数の指定</t>
    <rPh sb="0" eb="3">
      <t>キカンスウ</t>
    </rPh>
    <rPh sb="4" eb="6">
      <t>シテイ</t>
    </rPh>
    <phoneticPr fontId="15"/>
  </si>
  <si>
    <t>会計年度期間数</t>
  </si>
  <si>
    <t>終了期間</t>
    <rPh sb="0" eb="2">
      <t>シュウリョウ</t>
    </rPh>
    <rPh sb="2" eb="4">
      <t>キカン</t>
    </rPh>
    <phoneticPr fontId="15"/>
  </si>
  <si>
    <t>文字列</t>
  </si>
  <si>
    <t>カレンダー（ユーザー定義）</t>
  </si>
  <si>
    <t>期間数の指定
会計年度にマップ</t>
  </si>
  <si>
    <t>数値</t>
  </si>
  <si>
    <t>期間名を指定すると開始期間が設定されます。</t>
    <rPh sb="0" eb="3">
      <t>キカンメイ</t>
    </rPh>
    <rPh sb="4" eb="6">
      <t>シテイ</t>
    </rPh>
    <rPh sb="9" eb="11">
      <t>カイシ</t>
    </rPh>
    <rPh sb="11" eb="13">
      <t>キカン</t>
    </rPh>
    <rPh sb="14" eb="16">
      <t>セッテイ</t>
    </rPh>
    <phoneticPr fontId="15"/>
  </si>
  <si>
    <t>開始期間を設定すると、終了期間が自動入力されます。</t>
    <rPh sb="0" eb="4">
      <t>カイシキカン</t>
    </rPh>
    <rPh sb="5" eb="7">
      <t>セッテイ</t>
    </rPh>
    <rPh sb="11" eb="15">
      <t>シュウリョウキカン</t>
    </rPh>
    <rPh sb="16" eb="18">
      <t>ジドウ</t>
    </rPh>
    <rPh sb="18" eb="20">
      <t>ニュウリョク</t>
    </rPh>
    <phoneticPr fontId="15"/>
  </si>
  <si>
    <t>元の予算
転送
リビジョン
債務
債務
繰越予算
プロジェクト
固定資産
需要予測
供給予測
配賦
暫定予算</t>
    <rPh sb="0" eb="1">
      <t>モト</t>
    </rPh>
    <rPh sb="2" eb="4">
      <t>ヨサン</t>
    </rPh>
    <rPh sb="5" eb="7">
      <t>テンソウ</t>
    </rPh>
    <rPh sb="14" eb="16">
      <t>サイム</t>
    </rPh>
    <rPh sb="17" eb="19">
      <t>サイム</t>
    </rPh>
    <rPh sb="20" eb="22">
      <t>クリコシ</t>
    </rPh>
    <rPh sb="22" eb="24">
      <t>ヨサン</t>
    </rPh>
    <rPh sb="32" eb="34">
      <t>コテイ</t>
    </rPh>
    <rPh sb="34" eb="36">
      <t>シサン</t>
    </rPh>
    <rPh sb="37" eb="39">
      <t>ジュヨウ</t>
    </rPh>
    <rPh sb="39" eb="41">
      <t>ヨソク</t>
    </rPh>
    <rPh sb="42" eb="44">
      <t>キョウキュウ</t>
    </rPh>
    <rPh sb="44" eb="46">
      <t>ヨソク</t>
    </rPh>
    <rPh sb="47" eb="49">
      <t>ハイフ</t>
    </rPh>
    <rPh sb="50" eb="52">
      <t>ザンテイ</t>
    </rPh>
    <rPh sb="52" eb="54">
      <t>ヨサン</t>
    </rPh>
    <phoneticPr fontId="15"/>
  </si>
  <si>
    <t>予算モデル(下位モデル)-設定値</t>
    <rPh sb="0" eb="2">
      <t>ヨサン</t>
    </rPh>
    <rPh sb="6" eb="8">
      <t>カイ</t>
    </rPh>
    <rPh sb="13" eb="16">
      <t>セッテイチ</t>
    </rPh>
    <phoneticPr fontId="15"/>
  </si>
  <si>
    <t>会計カレンダー＞期間名（ユーザー定義）</t>
    <phoneticPr fontId="15"/>
  </si>
  <si>
    <t>（システム自動入力）</t>
    <phoneticPr fontId="15"/>
  </si>
  <si>
    <t>（システム自動入力）</t>
    <rPh sb="5" eb="7">
      <t>ジドウ</t>
    </rPh>
    <rPh sb="7" eb="9">
      <t>ニュウリョク</t>
    </rPh>
    <phoneticPr fontId="15"/>
  </si>
  <si>
    <t>「予算モデル(下位モデル)-設定値」シートを参照</t>
    <rPh sb="1" eb="3">
      <t>ヨサン</t>
    </rPh>
    <rPh sb="7" eb="9">
      <t>カイ</t>
    </rPh>
    <rPh sb="14" eb="17">
      <t>セッテイチ</t>
    </rPh>
    <rPh sb="22" eb="24">
      <t>サンショウ</t>
    </rPh>
    <phoneticPr fontId="15"/>
  </si>
  <si>
    <t>予算管理がオフの場合、プロジェクト予算予測を処理済みの予算登録エントリとして転送する場合にこのオプションを選択します。このオプションが選択されていない場合、プロジェクト予算予測はドラフトの予算登録エントリとして転送されます。</t>
    <phoneticPr fontId="15"/>
  </si>
  <si>
    <t>予算管理がオフの場合、固定資産予算予測を処理済みの予算登録エントリとして転送する場合にこのオプションを選択します。このオプションが選択されていない場合、固定資産予算予測はドラフトの予算登録エントリとして転送されます。</t>
    <phoneticPr fontId="15"/>
  </si>
  <si>
    <t>予算管理がオフの場合、需要予算予測を処理済みの予算登録エントリとして転送する場合にこのオプションを選択します。このオプションが選択されていない場合、需要予算予測はドラフトの予算登録エントリとして転送されます。</t>
    <phoneticPr fontId="15"/>
  </si>
  <si>
    <t>予算管理がオフの場合、供給予算予測を処理済みの予算登録エントリとして転送する場合にこのオプションを選択します。このオプションが選択されていない場合、供給予算予測はドラフトの予算登録エントリとして転送されます。</t>
    <phoneticPr fontId="15"/>
  </si>
  <si>
    <t>ドラフト
進行中
完了</t>
    <rPh sb="5" eb="8">
      <t>シンコウチュウ</t>
    </rPh>
    <rPh sb="9" eb="11">
      <t>カンリョウ</t>
    </rPh>
    <phoneticPr fontId="15"/>
  </si>
  <si>
    <t>組織階層を設定すると、組織階層の内容が自動入力されます。</t>
    <rPh sb="0" eb="4">
      <t>ソシキカイソウ</t>
    </rPh>
    <rPh sb="5" eb="7">
      <t>セッテイ</t>
    </rPh>
    <rPh sb="11" eb="15">
      <t>ソシキカイソウ</t>
    </rPh>
    <rPh sb="16" eb="18">
      <t>ナイヨウ</t>
    </rPh>
    <rPh sb="19" eb="21">
      <t>ジドウ</t>
    </rPh>
    <rPh sb="21" eb="23">
      <t>ニュウリョク</t>
    </rPh>
    <phoneticPr fontId="15"/>
  </si>
  <si>
    <t>選択された予算計画レイアウトのみ管理する。
ここに表示されるのは、選択された予算計画レイアウトに選択されていない予算計画レイアウト。</t>
    <rPh sb="0" eb="2">
      <t>センタク</t>
    </rPh>
    <rPh sb="5" eb="7">
      <t>ヨサン</t>
    </rPh>
    <rPh sb="7" eb="9">
      <t>ケイカク</t>
    </rPh>
    <rPh sb="16" eb="18">
      <t>カンリ</t>
    </rPh>
    <rPh sb="25" eb="27">
      <t>ヒョウジ</t>
    </rPh>
    <rPh sb="33" eb="35">
      <t>センタク</t>
    </rPh>
    <rPh sb="38" eb="40">
      <t>ヨサン</t>
    </rPh>
    <rPh sb="40" eb="42">
      <t>ケイカク</t>
    </rPh>
    <rPh sb="48" eb="50">
      <t>センタク</t>
    </rPh>
    <rPh sb="56" eb="60">
      <t>ヨサンケイカク</t>
    </rPh>
    <phoneticPr fontId="15"/>
  </si>
  <si>
    <t>ユーザー グループによる予算計画へのアクセスを許可する</t>
    <phoneticPr fontId="15"/>
  </si>
  <si>
    <t>ユーザー グループによる予算計画へのアクセスを制御する場合は、このオプションを選択します。予算計画または予算計画のページを作成する場合、各予算計画に、予算計画のユーザー グループを選択できます。</t>
    <phoneticPr fontId="15"/>
  </si>
  <si>
    <t>予算計画のセキュリティは、組織の各法人に対して選択するセキュリティ モデルによって決まります。以下のオプションから選択します。予算計画組織階層の組織単位に直属する職位の作業者に関連付けられているすべての予算計画作成者が、予算計画にアクセスできるようにするには [作業者の職位に基づく] オプション を選択します。セキュリティ ロールの組織へのアクセスを許可されているすべてのユーザーが、その組織の予算計画にアクセスできるようにするには、[セキュリティ組織に基づく] オプションを選択します。このセキュリティ モデルを有効にするには、使用する組織階層に、セキュリティと予算計画の両方の目的が割り当てられている必要があります。</t>
    <phoneticPr fontId="15"/>
  </si>
  <si>
    <t>このチェック ボックスをオンにすると、[予算計画の生成プロセス]ページで、[アクション]プロセス フィールドにある[既存の予算計画シナリオの置き換えオプション]が非表示になります。</t>
    <rPh sb="20" eb="24">
      <t>ヨサンケイカク</t>
    </rPh>
    <rPh sb="25" eb="27">
      <t>セイセイ</t>
    </rPh>
    <rPh sb="58" eb="60">
      <t>キゾン</t>
    </rPh>
    <rPh sb="61" eb="65">
      <t>ヨサンケイカク</t>
    </rPh>
    <rPh sb="70" eb="71">
      <t>オ</t>
    </rPh>
    <rPh sb="72" eb="73">
      <t>カ</t>
    </rPh>
    <rPh sb="81" eb="84">
      <t>ヒヒョウジ</t>
    </rPh>
    <phoneticPr fontId="15"/>
  </si>
  <si>
    <t>予算計画ステージの予算計画シナリオを選択します。予算計画ステージに複数のシナリオを選択できます。</t>
    <rPh sb="9" eb="11">
      <t>ヨサン</t>
    </rPh>
    <rPh sb="11" eb="13">
      <t>ケイカク</t>
    </rPh>
    <rPh sb="18" eb="20">
      <t>センタク</t>
    </rPh>
    <rPh sb="24" eb="26">
      <t>ヨサン</t>
    </rPh>
    <rPh sb="26" eb="28">
      <t>ケイカク</t>
    </rPh>
    <rPh sb="33" eb="35">
      <t>フクスウ</t>
    </rPh>
    <rPh sb="41" eb="43">
      <t>センタク</t>
    </rPh>
    <phoneticPr fontId="15"/>
  </si>
  <si>
    <t>金額または数量などの予算計画シナリオの見積で使用する測定単位のタイプのタイプ。</t>
    <rPh sb="0" eb="2">
      <t>キンガク</t>
    </rPh>
    <rPh sb="5" eb="7">
      <t>スウリョウ</t>
    </rPh>
    <rPh sb="10" eb="14">
      <t>ヨサンケイカク</t>
    </rPh>
    <rPh sb="19" eb="21">
      <t>ミツ</t>
    </rPh>
    <rPh sb="22" eb="24">
      <t>シヨウ</t>
    </rPh>
    <rPh sb="26" eb="30">
      <t>ソクテイタンイ</t>
    </rPh>
    <phoneticPr fontId="15"/>
  </si>
  <si>
    <t>数量
長さ
面積
液体体積
乾燥体積
質量
時刻
金銭情報
温度
情報エントロピー
輝度
速度
加速度
角度
立体角
強制適用
抑圧または機械的ストレス
トルク
エネルギー
パワー
角運動量
静電容量
密度
電流
磁場
磁束
電荷
双極子
電位差
電気抵抗
インダクタンス
動粘性係数
動粘性率
放射能
未定義</t>
    <phoneticPr fontId="15"/>
  </si>
  <si>
    <t>予算計画ワークフローの名前。予算作成ワークフローと異なり、予算計画のワークフローは、予算計画ステージの順序付きリストです。予算計画のワークフローと予算作成ワークフローを共に利用して、予算計画プロセスを通じて予算計画を移動します。</t>
    <rPh sb="0" eb="4">
      <t>ヨサンケイカク</t>
    </rPh>
    <rPh sb="11" eb="13">
      <t>ナマエ</t>
    </rPh>
    <rPh sb="14" eb="18">
      <t>ヨサンサクセイ</t>
    </rPh>
    <rPh sb="25" eb="26">
      <t>コト</t>
    </rPh>
    <rPh sb="29" eb="33">
      <t>ヨサンケイカク</t>
    </rPh>
    <rPh sb="42" eb="46">
      <t>ヨサンケイカク</t>
    </rPh>
    <rPh sb="51" eb="54">
      <t>ジュンジョヅ</t>
    </rPh>
    <rPh sb="61" eb="65">
      <t>ヨサンケイカク</t>
    </rPh>
    <rPh sb="73" eb="77">
      <t>ヨサンサクセイ</t>
    </rPh>
    <rPh sb="84" eb="85">
      <t>トモ</t>
    </rPh>
    <rPh sb="86" eb="88">
      <t>リヨウ</t>
    </rPh>
    <rPh sb="91" eb="95">
      <t>ヨサンケイカク</t>
    </rPh>
    <rPh sb="100" eb="101">
      <t>ツウ</t>
    </rPh>
    <rPh sb="103" eb="107">
      <t>ヨサンケイカク</t>
    </rPh>
    <rPh sb="108" eb="110">
      <t>イドウ</t>
    </rPh>
    <phoneticPr fontId="15"/>
  </si>
  <si>
    <t>予算サイクル(概要)-設定値</t>
  </si>
  <si>
    <t>予算サイクル(予算サイクル)-設定値</t>
  </si>
  <si>
    <t>「予算サイクル(予算サイクル)-設定値」シートを参照</t>
    <rPh sb="1" eb="3">
      <t>ヨサン</t>
    </rPh>
    <rPh sb="8" eb="10">
      <t>ヨサン</t>
    </rPh>
    <rPh sb="16" eb="19">
      <t>セッテイチ</t>
    </rPh>
    <rPh sb="24" eb="26">
      <t>サンショウ</t>
    </rPh>
    <phoneticPr fontId="15"/>
  </si>
  <si>
    <t>予算計画ワークフロー（ユーザー定義）</t>
    <rPh sb="0" eb="2">
      <t>ヨサン</t>
    </rPh>
    <rPh sb="2" eb="4">
      <t>ケイカク</t>
    </rPh>
    <rPh sb="15" eb="17">
      <t>テイギ</t>
    </rPh>
    <phoneticPr fontId="15"/>
  </si>
  <si>
    <t>予算計画レイアウト（ユーザー定義）</t>
    <rPh sb="0" eb="4">
      <t>ヨサンケイカク</t>
    </rPh>
    <rPh sb="14" eb="16">
      <t>テイギ</t>
    </rPh>
    <phoneticPr fontId="15"/>
  </si>
  <si>
    <t>予算計画ステージ（ユーザー定義）</t>
    <rPh sb="0" eb="2">
      <t>ヨサン</t>
    </rPh>
    <rPh sb="2" eb="4">
      <t>ケイカク</t>
    </rPh>
    <rPh sb="13" eb="15">
      <t>テイギ</t>
    </rPh>
    <phoneticPr fontId="15"/>
  </si>
  <si>
    <t>予算計画のステージ ルールとレイアウト</t>
    <phoneticPr fontId="15"/>
  </si>
  <si>
    <t>予算計画優先順位と制約</t>
    <rPh sb="0" eb="2">
      <t>ヨサン</t>
    </rPh>
    <rPh sb="2" eb="4">
      <t>ケイカク</t>
    </rPh>
    <rPh sb="4" eb="6">
      <t>ユウセン</t>
    </rPh>
    <rPh sb="6" eb="8">
      <t>ジュンイ</t>
    </rPh>
    <rPh sb="9" eb="11">
      <t>セイヤク</t>
    </rPh>
    <phoneticPr fontId="15"/>
  </si>
  <si>
    <t>マイルストーン-設定値</t>
    <rPh sb="8" eb="10">
      <t>セッテイ</t>
    </rPh>
    <rPh sb="10" eb="11">
      <t>チ</t>
    </rPh>
    <phoneticPr fontId="15"/>
  </si>
  <si>
    <t>「予算計画プロセス管理-設定値」シートを参照</t>
    <rPh sb="20" eb="22">
      <t>サンショウ</t>
    </rPh>
    <phoneticPr fontId="15"/>
  </si>
  <si>
    <t>「予算計画のステージ ルールとレイアウト-設定値」シートを参照</t>
    <rPh sb="29" eb="31">
      <t>サンショウ</t>
    </rPh>
    <phoneticPr fontId="15"/>
  </si>
  <si>
    <t>「予算計画優先順位と制約-設定値」シートを参照</t>
    <rPh sb="21" eb="23">
      <t>サンショウ</t>
    </rPh>
    <phoneticPr fontId="15"/>
  </si>
  <si>
    <t>「マイルストーン-設定値」シートを参照</t>
    <rPh sb="17" eb="19">
      <t>サンショウ</t>
    </rPh>
    <phoneticPr fontId="15"/>
  </si>
  <si>
    <t>このワークフローを使用する予算計画に親予算計画が必要な場合、オプションを選択します。他の予算にロールアップする必要がある部門の予算に使用するワークフローに対してこのオプションを使用します。</t>
    <rPh sb="9" eb="11">
      <t>シヨウ</t>
    </rPh>
    <rPh sb="13" eb="17">
      <t>ヨサンケイカク</t>
    </rPh>
    <rPh sb="18" eb="23">
      <t>オヤヨサンケイカク</t>
    </rPh>
    <rPh sb="24" eb="26">
      <t>ヒツヨウ</t>
    </rPh>
    <rPh sb="27" eb="29">
      <t>バアイ</t>
    </rPh>
    <rPh sb="36" eb="38">
      <t>センタク</t>
    </rPh>
    <rPh sb="42" eb="43">
      <t>ホカ</t>
    </rPh>
    <rPh sb="44" eb="46">
      <t>ヨサン</t>
    </rPh>
    <rPh sb="55" eb="57">
      <t>ヒツヨウ</t>
    </rPh>
    <rPh sb="60" eb="62">
      <t>ブモン</t>
    </rPh>
    <rPh sb="63" eb="65">
      <t>ヨサン</t>
    </rPh>
    <rPh sb="66" eb="68">
      <t>シヨウ</t>
    </rPh>
    <rPh sb="77" eb="78">
      <t>タイ</t>
    </rPh>
    <rPh sb="88" eb="90">
      <t>シヨウ</t>
    </rPh>
    <phoneticPr fontId="15"/>
  </si>
  <si>
    <t>このワークフローを使用する予算計画が削除されないようにするには、このオプションを選択します。[削除]ボタンは、このワークフローを使用する予算計画には使用できません。</t>
    <rPh sb="9" eb="11">
      <t>シヨウ</t>
    </rPh>
    <rPh sb="13" eb="17">
      <t>ヨサンケイカク</t>
    </rPh>
    <rPh sb="18" eb="20">
      <t>サクジョ</t>
    </rPh>
    <rPh sb="40" eb="42">
      <t>センタク</t>
    </rPh>
    <rPh sb="47" eb="49">
      <t>サクジョ</t>
    </rPh>
    <rPh sb="64" eb="66">
      <t>シヨウ</t>
    </rPh>
    <rPh sb="68" eb="72">
      <t>ヨサンケイカク</t>
    </rPh>
    <rPh sb="74" eb="76">
      <t>シヨウ</t>
    </rPh>
    <phoneticPr fontId="15"/>
  </si>
  <si>
    <t>予算計画がリセットされないようにします</t>
    <rPh sb="0" eb="4">
      <t>ヨサンケイカク</t>
    </rPh>
    <phoneticPr fontId="15"/>
  </si>
  <si>
    <t>このワークフローを使用する予算計画がリセットされないようにします。このオプションを選択します。[リセット]ボタンは、このワークフローを使用する予算計画には使用できません。</t>
    <rPh sb="9" eb="11">
      <t>シヨウ</t>
    </rPh>
    <rPh sb="13" eb="17">
      <t>ヨサンケイカク</t>
    </rPh>
    <rPh sb="41" eb="43">
      <t>センタク</t>
    </rPh>
    <rPh sb="67" eb="69">
      <t>シヨウ</t>
    </rPh>
    <rPh sb="71" eb="75">
      <t>ヨサンケイカク</t>
    </rPh>
    <rPh sb="77" eb="79">
      <t>シヨウ</t>
    </rPh>
    <phoneticPr fontId="15"/>
  </si>
  <si>
    <t>配賦の元帳を選択します。選択した予算計画のワークフローおよび配賦のステージを含む予算計画プロセスに対して、同じ元帳を選択する必要があります。</t>
    <phoneticPr fontId="15"/>
  </si>
  <si>
    <t>次の配賦方法のいずれかを選択します。デスティネーション シナリオの期間全域で、ソース予算計画シナリオから予算計画明細行を割り当てるには、[複数の期間に割り当て] メソッドを選択します。期間キー フィールドの期間割り当てキーを選択します。デスティネーション シナリオの財務分析コードにソース予算計画シナリオからの予算計画明細行を配賦するには、[分析コードのメソッドへの割り当て] を選択します。配賦条件フィールドで予算配賦条件を選択します。関連する予算計画のソースシナリオから親の予算計画のコピー先のシナリオに至るすべての予算計画ラインを集計する場合は、[集計メソッド] を選択します。親の予算計画のソース予算計画シナリオから関連する予算計画のデスティネーション シナリオに至るまで予算計画明細行を配分するには、[配分メソッド] を選択します。</t>
    <phoneticPr fontId="15"/>
  </si>
  <si>
    <t>配賦ソースの予算計画シナリオを選択します。シナリオのすべての予算計画明細行は配賦されます。</t>
    <rPh sb="0" eb="2">
      <t>ハイフ</t>
    </rPh>
    <rPh sb="6" eb="10">
      <t>ヨサンケイカク</t>
    </rPh>
    <rPh sb="15" eb="17">
      <t>センタク</t>
    </rPh>
    <rPh sb="30" eb="34">
      <t>ヨサンケイカク</t>
    </rPh>
    <rPh sb="34" eb="37">
      <t>メイサイギョウ</t>
    </rPh>
    <rPh sb="38" eb="40">
      <t>ハイフ</t>
    </rPh>
    <phoneticPr fontId="15"/>
  </si>
  <si>
    <t>配賦出力先の予算計画シナリオを選択します。</t>
    <rPh sb="0" eb="2">
      <t>ハイフ</t>
    </rPh>
    <rPh sb="2" eb="5">
      <t>シュツリョクサキ</t>
    </rPh>
    <rPh sb="6" eb="10">
      <t>ヨサンケイカク</t>
    </rPh>
    <rPh sb="15" eb="17">
      <t>センタク</t>
    </rPh>
    <phoneticPr fontId="15"/>
  </si>
  <si>
    <t>ソース シナリオの通貨金額または数量を乗じる値を入力します。</t>
    <rPh sb="9" eb="13">
      <t>ツウカキンガク</t>
    </rPh>
    <rPh sb="16" eb="18">
      <t>スウリョウ</t>
    </rPh>
    <rPh sb="19" eb="20">
      <t>ジョウ</t>
    </rPh>
    <rPh sb="22" eb="23">
      <t>アタイ</t>
    </rPh>
    <rPh sb="24" eb="26">
      <t>ニュウリョク</t>
    </rPh>
    <phoneticPr fontId="15"/>
  </si>
  <si>
    <t>予算計画優先順位の名前。</t>
    <rPh sb="0" eb="4">
      <t>ヨサンケイカク</t>
    </rPh>
    <rPh sb="4" eb="8">
      <t>ユウセンジュンイ</t>
    </rPh>
    <rPh sb="9" eb="11">
      <t>ナマエ</t>
    </rPh>
    <phoneticPr fontId="15"/>
  </si>
  <si>
    <t>予算計画シナリオ-設定値</t>
    <rPh sb="2" eb="4">
      <t>ケイカク</t>
    </rPh>
    <phoneticPr fontId="15"/>
  </si>
  <si>
    <t>「予算サイクル(概要)-設定値」シートを参照</t>
    <rPh sb="1" eb="3">
      <t>ヨサン</t>
    </rPh>
    <rPh sb="8" eb="10">
      <t>ガイヨウ</t>
    </rPh>
    <rPh sb="12" eb="15">
      <t>セッテイチ</t>
    </rPh>
    <rPh sb="20" eb="22">
      <t>サンショウ</t>
    </rPh>
    <phoneticPr fontId="15"/>
  </si>
  <si>
    <t>「予算計画シナリオ-設定値」シートを参照</t>
    <rPh sb="1" eb="3">
      <t>ヨサン</t>
    </rPh>
    <rPh sb="3" eb="5">
      <t>ケイカク</t>
    </rPh>
    <rPh sb="10" eb="13">
      <t>セッテイチ</t>
    </rPh>
    <rPh sb="18" eb="20">
      <t>サンショウ</t>
    </rPh>
    <phoneticPr fontId="15"/>
  </si>
  <si>
    <t>文字列</t>
    <phoneticPr fontId="15"/>
  </si>
  <si>
    <t>予算計画ステージ-設定値</t>
    <rPh sb="2" eb="4">
      <t>ケイカク</t>
    </rPh>
    <phoneticPr fontId="15"/>
  </si>
  <si>
    <t>「予算計画ステージ-設定値」シートを参照</t>
    <rPh sb="1" eb="3">
      <t>ヨサン</t>
    </rPh>
    <rPh sb="3" eb="5">
      <t>ケイカク</t>
    </rPh>
    <rPh sb="10" eb="13">
      <t>セッテイチ</t>
    </rPh>
    <rPh sb="18" eb="20">
      <t>サンショウ</t>
    </rPh>
    <phoneticPr fontId="15"/>
  </si>
  <si>
    <t>予算計画ワークフロー ステージ-設定値</t>
    <phoneticPr fontId="15"/>
  </si>
  <si>
    <t>「予算計画ワークフロー ステージ-設定値」シートを参照</t>
    <rPh sb="1" eb="3">
      <t>ヨサン</t>
    </rPh>
    <rPh sb="3" eb="5">
      <t>ケイカク</t>
    </rPh>
    <rPh sb="17" eb="20">
      <t>セッテイチ</t>
    </rPh>
    <rPh sb="25" eb="27">
      <t>サンショウ</t>
    </rPh>
    <phoneticPr fontId="15"/>
  </si>
  <si>
    <t>期間キー</t>
    <rPh sb="0" eb="2">
      <t>キカン</t>
    </rPh>
    <phoneticPr fontId="15"/>
  </si>
  <si>
    <t>[複数の期間に割り当て]を選択した場合、期間キーを選択します。</t>
    <rPh sb="1" eb="3">
      <t>フクスウ</t>
    </rPh>
    <rPh sb="4" eb="6">
      <t>キカン</t>
    </rPh>
    <rPh sb="7" eb="8">
      <t>ワ</t>
    </rPh>
    <rPh sb="9" eb="10">
      <t>ア</t>
    </rPh>
    <rPh sb="13" eb="15">
      <t>センタク</t>
    </rPh>
    <rPh sb="17" eb="19">
      <t>バアイ</t>
    </rPh>
    <rPh sb="20" eb="22">
      <t>キカン</t>
    </rPh>
    <rPh sb="25" eb="27">
      <t>センタク</t>
    </rPh>
    <phoneticPr fontId="15"/>
  </si>
  <si>
    <t>期間キー（ユーザー定義）</t>
    <rPh sb="0" eb="2">
      <t>キカン</t>
    </rPh>
    <rPh sb="9" eb="11">
      <t>テイギ</t>
    </rPh>
    <phoneticPr fontId="15"/>
  </si>
  <si>
    <t>複数の期間に割り当て</t>
  </si>
  <si>
    <t>予算配賦条件</t>
    <rPh sb="0" eb="4">
      <t>ヨサンハイフ</t>
    </rPh>
    <rPh sb="4" eb="6">
      <t>ジョウケン</t>
    </rPh>
    <phoneticPr fontId="15"/>
  </si>
  <si>
    <t>[予算配賦条件]を選択した場合、予算配賦条件を選択します。</t>
    <rPh sb="1" eb="3">
      <t>ヨサン</t>
    </rPh>
    <rPh sb="3" eb="5">
      <t>ハイフ</t>
    </rPh>
    <rPh sb="5" eb="7">
      <t>ジョウケン</t>
    </rPh>
    <rPh sb="9" eb="11">
      <t>センタク</t>
    </rPh>
    <rPh sb="13" eb="15">
      <t>バアイ</t>
    </rPh>
    <rPh sb="23" eb="25">
      <t>センタク</t>
    </rPh>
    <phoneticPr fontId="15"/>
  </si>
  <si>
    <t>予算配賦条件（ユーザー定義）</t>
    <rPh sb="0" eb="2">
      <t>ヨサン</t>
    </rPh>
    <rPh sb="2" eb="4">
      <t>ハイフ</t>
    </rPh>
    <rPh sb="4" eb="6">
      <t>ジョウケン</t>
    </rPh>
    <rPh sb="11" eb="13">
      <t>テイギ</t>
    </rPh>
    <phoneticPr fontId="15"/>
  </si>
  <si>
    <t>配賦ルール</t>
    <rPh sb="0" eb="2">
      <t>ハイフ</t>
    </rPh>
    <phoneticPr fontId="15"/>
  </si>
  <si>
    <t>元帳配賦ルール（ユーザー定義）</t>
    <rPh sb="0" eb="2">
      <t>モトチョウ</t>
    </rPh>
    <rPh sb="2" eb="4">
      <t>ハイフ</t>
    </rPh>
    <rPh sb="12" eb="14">
      <t>テイギ</t>
    </rPh>
    <phoneticPr fontId="15"/>
  </si>
  <si>
    <t>[元帳配賦ルールの使用]を選択した場合、元帳配賦ルールを選択します。</t>
    <rPh sb="13" eb="15">
      <t>センタク</t>
    </rPh>
    <rPh sb="17" eb="19">
      <t>バアイ</t>
    </rPh>
    <rPh sb="28" eb="30">
      <t>センタク</t>
    </rPh>
    <phoneticPr fontId="15"/>
  </si>
  <si>
    <t>祖先レベル</t>
    <rPh sb="0" eb="2">
      <t>ソセン</t>
    </rPh>
    <phoneticPr fontId="15"/>
  </si>
  <si>
    <t>[予算計画からのコピー]を選択した場合、数値を入力します。</t>
    <rPh sb="1" eb="5">
      <t>ヨサンケイカク</t>
    </rPh>
    <rPh sb="13" eb="15">
      <t>センタク</t>
    </rPh>
    <rPh sb="17" eb="19">
      <t>バアイ</t>
    </rPh>
    <rPh sb="20" eb="22">
      <t>スウチ</t>
    </rPh>
    <rPh sb="23" eb="25">
      <t>ニュウリョク</t>
    </rPh>
    <phoneticPr fontId="15"/>
  </si>
  <si>
    <t>1.00</t>
    <phoneticPr fontId="15"/>
  </si>
  <si>
    <t>0</t>
    <phoneticPr fontId="15"/>
  </si>
  <si>
    <t>配賦スケジュール-設定値</t>
    <phoneticPr fontId="15"/>
  </si>
  <si>
    <t>配賦スケジュール</t>
    <phoneticPr fontId="15"/>
  </si>
  <si>
    <t>「配賦スケジュール-設定値」シートを参照</t>
    <rPh sb="1" eb="3">
      <t>ハイフ</t>
    </rPh>
    <rPh sb="10" eb="13">
      <t>セッテイチ</t>
    </rPh>
    <rPh sb="18" eb="20">
      <t>サンショウ</t>
    </rPh>
    <phoneticPr fontId="15"/>
  </si>
  <si>
    <t>ステージの配賦-設定値-設定値</t>
    <phoneticPr fontId="15"/>
  </si>
  <si>
    <t>「ステージの配賦-設定値」シートを参照</t>
    <rPh sb="6" eb="8">
      <t>ハイフ</t>
    </rPh>
    <rPh sb="9" eb="12">
      <t>セッテイチ</t>
    </rPh>
    <rPh sb="17" eb="19">
      <t>サンショウ</t>
    </rPh>
    <phoneticPr fontId="15"/>
  </si>
  <si>
    <t>ステージの配賦</t>
    <phoneticPr fontId="15"/>
  </si>
  <si>
    <t>予算計画ワークフロー（ユーザー定義）</t>
    <rPh sb="0" eb="4">
      <t>ヨサンケイカク</t>
    </rPh>
    <rPh sb="15" eb="17">
      <t>テイギ</t>
    </rPh>
    <phoneticPr fontId="15"/>
  </si>
  <si>
    <t>予算計画の優先順位-設定値</t>
    <phoneticPr fontId="15"/>
  </si>
  <si>
    <t>優先順位</t>
    <phoneticPr fontId="15"/>
  </si>
  <si>
    <t>予算計画優先順位</t>
    <rPh sb="0" eb="2">
      <t>ヨサン</t>
    </rPh>
    <rPh sb="2" eb="4">
      <t>ケイカク</t>
    </rPh>
    <rPh sb="4" eb="6">
      <t>ユウセン</t>
    </rPh>
    <rPh sb="6" eb="8">
      <t>ジュンイ</t>
    </rPh>
    <phoneticPr fontId="15"/>
  </si>
  <si>
    <t>予算計画優先順位</t>
    <phoneticPr fontId="15"/>
  </si>
  <si>
    <t>「予算計画の優先順位-設定値」シートを参照</t>
    <rPh sb="1" eb="3">
      <t>ヨサン</t>
    </rPh>
    <rPh sb="3" eb="5">
      <t>ケイカク</t>
    </rPh>
    <rPh sb="6" eb="8">
      <t>ユウセン</t>
    </rPh>
    <rPh sb="8" eb="10">
      <t>ジュンイ</t>
    </rPh>
    <rPh sb="11" eb="14">
      <t>セッテイチ</t>
    </rPh>
    <rPh sb="19" eb="21">
      <t>サンショウ</t>
    </rPh>
    <phoneticPr fontId="15"/>
  </si>
  <si>
    <t>四半期番号</t>
    <phoneticPr fontId="15"/>
  </si>
  <si>
    <t>+/- 年</t>
    <phoneticPr fontId="15"/>
  </si>
  <si>
    <t>財務期間番号</t>
    <rPh sb="0" eb="2">
      <t>ザイム</t>
    </rPh>
    <rPh sb="2" eb="4">
      <t>キカン</t>
    </rPh>
    <rPh sb="4" eb="6">
      <t>バンゴウ</t>
    </rPh>
    <phoneticPr fontId="15"/>
  </si>
  <si>
    <t>[会計年度期間]を選択した場合、数値を入力します。</t>
    <rPh sb="1" eb="7">
      <t>カイケイネンドキカン</t>
    </rPh>
    <rPh sb="9" eb="11">
      <t>センタク</t>
    </rPh>
    <rPh sb="13" eb="15">
      <t>バアイ</t>
    </rPh>
    <rPh sb="16" eb="18">
      <t>スウチ</t>
    </rPh>
    <rPh sb="19" eb="21">
      <t>ニュウリョク</t>
    </rPh>
    <phoneticPr fontId="15"/>
  </si>
  <si>
    <t>月番号</t>
    <rPh sb="0" eb="3">
      <t>ツキバンゴウ</t>
    </rPh>
    <phoneticPr fontId="15"/>
  </si>
  <si>
    <t>[月]を選択した場合、数値を入力します。</t>
    <rPh sb="1" eb="2">
      <t>ツキ</t>
    </rPh>
    <rPh sb="4" eb="6">
      <t>センタク</t>
    </rPh>
    <rPh sb="8" eb="10">
      <t>バアイ</t>
    </rPh>
    <rPh sb="11" eb="13">
      <t>スウチ</t>
    </rPh>
    <rPh sb="14" eb="16">
      <t>ニュウリョク</t>
    </rPh>
    <phoneticPr fontId="15"/>
  </si>
  <si>
    <t>[四半期]を選択した場合、数値を入力します。</t>
    <rPh sb="1" eb="4">
      <t>シハンキ</t>
    </rPh>
    <rPh sb="6" eb="8">
      <t>センタク</t>
    </rPh>
    <rPh sb="10" eb="12">
      <t>バアイ</t>
    </rPh>
    <rPh sb="13" eb="15">
      <t>スウチ</t>
    </rPh>
    <rPh sb="16" eb="18">
      <t>ニュウリョク</t>
    </rPh>
    <phoneticPr fontId="15"/>
  </si>
  <si>
    <t>[すべて]以外を選択した場合、数値を入力します。</t>
    <rPh sb="5" eb="7">
      <t>イガイ</t>
    </rPh>
    <rPh sb="8" eb="10">
      <t>センタク</t>
    </rPh>
    <rPh sb="12" eb="14">
      <t>バアイ</t>
    </rPh>
    <rPh sb="15" eb="17">
      <t>スウチ</t>
    </rPh>
    <rPh sb="18" eb="20">
      <t>ニュウリョク</t>
    </rPh>
    <phoneticPr fontId="15"/>
  </si>
  <si>
    <t>予算計画列-設定値</t>
    <phoneticPr fontId="15"/>
  </si>
  <si>
    <t>プロジェクト
主勘定
予測職位
予算計画の提案済みプロジェクト
予算計画の提案済み資産
予算計画ライン
固定資産</t>
    <rPh sb="7" eb="10">
      <t>シュカンジョウ</t>
    </rPh>
    <rPh sb="11" eb="13">
      <t>ヨソク</t>
    </rPh>
    <rPh sb="13" eb="15">
      <t>ショクイ</t>
    </rPh>
    <rPh sb="16" eb="20">
      <t>ヨサンケイカク</t>
    </rPh>
    <rPh sb="21" eb="24">
      <t>テイアンズ</t>
    </rPh>
    <rPh sb="41" eb="43">
      <t>シサン</t>
    </rPh>
    <rPh sb="44" eb="48">
      <t>ヨサンケイカク</t>
    </rPh>
    <rPh sb="52" eb="54">
      <t>コテイ</t>
    </rPh>
    <rPh sb="54" eb="56">
      <t>シサン</t>
    </rPh>
    <phoneticPr fontId="15"/>
  </si>
  <si>
    <t>すべて</t>
    <phoneticPr fontId="15"/>
  </si>
  <si>
    <t>=
BETWEEN
&lt; 
&lt;=
&gt;
&gt;=</t>
    <phoneticPr fontId="15"/>
  </si>
  <si>
    <t>=</t>
    <phoneticPr fontId="15"/>
  </si>
  <si>
    <t>プロジェクトID
主勘定
職位
提案済みプロジェクト
提案済み資産
コメント
予算クラス
新しい要求
繰返し?
通貨
固定資産番号</t>
    <rPh sb="9" eb="12">
      <t>シュカンジョウ</t>
    </rPh>
    <rPh sb="13" eb="15">
      <t>ショクイ</t>
    </rPh>
    <rPh sb="16" eb="18">
      <t>テイアン</t>
    </rPh>
    <rPh sb="18" eb="19">
      <t>ズ</t>
    </rPh>
    <rPh sb="30" eb="32">
      <t>シサン</t>
    </rPh>
    <rPh sb="39" eb="41">
      <t>ヨサン</t>
    </rPh>
    <rPh sb="45" eb="46">
      <t>アタラ</t>
    </rPh>
    <rPh sb="48" eb="50">
      <t>ヨウキュウ</t>
    </rPh>
    <rPh sb="51" eb="53">
      <t>クリカエ</t>
    </rPh>
    <rPh sb="56" eb="58">
      <t>ツウカ</t>
    </rPh>
    <rPh sb="58" eb="60">
      <t>コテイ</t>
    </rPh>
    <rPh sb="60" eb="62">
      <t>シサン</t>
    </rPh>
    <rPh sb="63" eb="65">
      <t>バンゴウ</t>
    </rPh>
    <phoneticPr fontId="15"/>
  </si>
  <si>
    <t>値</t>
    <rPh sb="0" eb="1">
      <t>アタイ</t>
    </rPh>
    <phoneticPr fontId="15"/>
  </si>
  <si>
    <t>プロジェクトID（ユーザー定義）
主勘定（ユーザー定義）
職位（ユーザー定義）
提案済みプロジェクト（ユーザー定義）
提案済み資産（ユーザー定義）
文字列
予算クラス（ユーザー定義）
いいえ/はい
通貨（ユーザー定義）
固定資産番号（ユーザー定義）</t>
    <rPh sb="13" eb="15">
      <t>テイギ</t>
    </rPh>
    <rPh sb="17" eb="20">
      <t>シュカンジョウ</t>
    </rPh>
    <rPh sb="29" eb="31">
      <t>ショクイ</t>
    </rPh>
    <rPh sb="40" eb="43">
      <t>テイアンズ</t>
    </rPh>
    <rPh sb="63" eb="65">
      <t>シサン</t>
    </rPh>
    <rPh sb="74" eb="77">
      <t>モジレツ</t>
    </rPh>
    <rPh sb="78" eb="80">
      <t>ヨサン</t>
    </rPh>
    <rPh sb="88" eb="90">
      <t>テイギ</t>
    </rPh>
    <rPh sb="99" eb="101">
      <t>ツウカ</t>
    </rPh>
    <rPh sb="106" eb="108">
      <t>テイギ</t>
    </rPh>
    <rPh sb="110" eb="112">
      <t>コテイ</t>
    </rPh>
    <rPh sb="112" eb="114">
      <t>シサン</t>
    </rPh>
    <rPh sb="114" eb="116">
      <t>バンゴウ</t>
    </rPh>
    <rPh sb="121" eb="123">
      <t>テイギ</t>
    </rPh>
    <phoneticPr fontId="15"/>
  </si>
  <si>
    <t>「予算計画列-設定値」シートを参照</t>
    <rPh sb="1" eb="3">
      <t>ヨサン</t>
    </rPh>
    <rPh sb="3" eb="5">
      <t>ケイカク</t>
    </rPh>
    <rPh sb="5" eb="6">
      <t>レツ</t>
    </rPh>
    <rPh sb="7" eb="10">
      <t>セッテイチ</t>
    </rPh>
    <rPh sb="15" eb="17">
      <t>サンショウ</t>
    </rPh>
    <phoneticPr fontId="15"/>
  </si>
  <si>
    <t>シナリオ（ユーザー定義）
列（ユーザー定義）</t>
    <rPh sb="9" eb="11">
      <t>テイギ</t>
    </rPh>
    <rPh sb="13" eb="14">
      <t>レツ</t>
    </rPh>
    <rPh sb="19" eb="21">
      <t>テイギ</t>
    </rPh>
    <phoneticPr fontId="15"/>
  </si>
  <si>
    <t>予算計画レイアウト-設定値</t>
    <phoneticPr fontId="15"/>
  </si>
  <si>
    <t>予算計画レイアウト要素-設定値</t>
    <rPh sb="9" eb="11">
      <t>ヨウソ</t>
    </rPh>
    <phoneticPr fontId="15"/>
  </si>
  <si>
    <t>レイアウト要素</t>
    <phoneticPr fontId="15"/>
  </si>
  <si>
    <t>「予算計画レイアウト-設定値」シートを参照</t>
    <rPh sb="1" eb="3">
      <t>ヨサン</t>
    </rPh>
    <rPh sb="3" eb="5">
      <t>ケイカク</t>
    </rPh>
    <rPh sb="11" eb="14">
      <t>セッテイチ</t>
    </rPh>
    <rPh sb="19" eb="21">
      <t>サンショウ</t>
    </rPh>
    <phoneticPr fontId="15"/>
  </si>
  <si>
    <t>「予算計画レイアウト要素-設定値」シートを参照</t>
    <rPh sb="1" eb="3">
      <t>ヨサン</t>
    </rPh>
    <rPh sb="3" eb="5">
      <t>ケイカク</t>
    </rPh>
    <rPh sb="10" eb="12">
      <t>ヨウソ</t>
    </rPh>
    <rPh sb="13" eb="16">
      <t>セッテイチ</t>
    </rPh>
    <rPh sb="21" eb="23">
      <t>サンショウ</t>
    </rPh>
    <phoneticPr fontId="15"/>
  </si>
  <si>
    <t>JBS秋信</t>
    <rPh sb="3" eb="5">
      <t>アキノブ</t>
    </rPh>
    <phoneticPr fontId="29"/>
  </si>
  <si>
    <t>使用想定なし</t>
    <rPh sb="0" eb="4">
      <t>シヨウソウテイ</t>
    </rPh>
    <phoneticPr fontId="1"/>
  </si>
  <si>
    <t>JBS秋信</t>
    <rPh sb="3" eb="5">
      <t>アキノブ</t>
    </rPh>
    <phoneticPr fontId="15"/>
  </si>
  <si>
    <t>予算サイクル別</t>
    <rPh sb="0" eb="1">
      <t>ヨサン</t>
    </rPh>
    <rPh sb="5" eb="6">
      <t>ベツ</t>
    </rPh>
    <phoneticPr fontId="15"/>
  </si>
  <si>
    <t>FY2024</t>
  </si>
  <si>
    <t>FY2024</t>
    <phoneticPr fontId="15"/>
  </si>
  <si>
    <t>2024年度　予算</t>
  </si>
  <si>
    <t>当初予算</t>
    <rPh sb="0" eb="4">
      <t>トウショヨサン</t>
    </rPh>
    <phoneticPr fontId="15"/>
  </si>
  <si>
    <t>元の予算</t>
    <rPh sb="0" eb="1">
      <t>モト</t>
    </rPh>
    <rPh sb="2" eb="4">
      <t>ヨサン</t>
    </rPh>
    <phoneticPr fontId="15"/>
  </si>
  <si>
    <t>チェック有</t>
    <rPh sb="4" eb="5">
      <t>アリ</t>
    </rPh>
    <phoneticPr fontId="15"/>
  </si>
  <si>
    <t>Fiscal</t>
  </si>
  <si>
    <t>会計年度にマップ</t>
  </si>
  <si>
    <t>FY2023</t>
    <phoneticPr fontId="15"/>
  </si>
  <si>
    <t>FY2025</t>
  </si>
  <si>
    <t>FY2026</t>
  </si>
  <si>
    <t>1/1/2023</t>
    <phoneticPr fontId="15"/>
  </si>
  <si>
    <t>12/31/2023</t>
    <phoneticPr fontId="15"/>
  </si>
  <si>
    <t>1/1/2024</t>
    <phoneticPr fontId="15"/>
  </si>
  <si>
    <t>12/31/2024</t>
    <phoneticPr fontId="15"/>
  </si>
  <si>
    <t>1/1/2025</t>
  </si>
  <si>
    <t>12/31/2025</t>
  </si>
  <si>
    <t>1/1/2026</t>
  </si>
  <si>
    <t>12/31/2026</t>
  </si>
  <si>
    <t>セキュリティ組織に基づく</t>
  </si>
  <si>
    <t>予算計画額</t>
    <rPh sb="0" eb="5">
      <t>ヨサンケイカクガク</t>
    </rPh>
    <phoneticPr fontId="15"/>
  </si>
  <si>
    <t>金銭情報</t>
    <rPh sb="0" eb="4">
      <t>キンセンジョウホウ</t>
    </rPh>
    <phoneticPr fontId="15"/>
  </si>
  <si>
    <t>予算計画作成中</t>
    <rPh sb="0" eb="7">
      <t>ヨサンケイカクサクセイチュウ</t>
    </rPh>
    <phoneticPr fontId="15"/>
  </si>
  <si>
    <t>承認済</t>
    <rPh sb="0" eb="3">
      <t>ショウニンズ</t>
    </rPh>
    <phoneticPr fontId="15"/>
  </si>
  <si>
    <t>WF承認済</t>
    <rPh sb="2" eb="5">
      <t>ショウニンズ</t>
    </rPh>
    <phoneticPr fontId="15"/>
  </si>
  <si>
    <t>SSJ予算計画WF</t>
  </si>
  <si>
    <t>SEJ予算計画WF</t>
    <phoneticPr fontId="15"/>
  </si>
  <si>
    <t>SLJ予算計画WF</t>
    <phoneticPr fontId="15"/>
  </si>
  <si>
    <t>1月</t>
  </si>
  <si>
    <t>月</t>
    <rPh sb="0" eb="1">
      <t>ツキ</t>
    </rPh>
    <phoneticPr fontId="15"/>
  </si>
  <si>
    <t>2月</t>
    <phoneticPr fontId="15"/>
  </si>
  <si>
    <t>3月</t>
  </si>
  <si>
    <t>4月</t>
  </si>
  <si>
    <t>5月</t>
  </si>
  <si>
    <t>6月</t>
  </si>
  <si>
    <t>7月</t>
  </si>
  <si>
    <t>8月</t>
  </si>
  <si>
    <t>9月</t>
  </si>
  <si>
    <t>10月</t>
  </si>
  <si>
    <t>11月</t>
  </si>
  <si>
    <t>12月</t>
  </si>
  <si>
    <t>※詳細は、別途設計資料を参照。</t>
    <rPh sb="1" eb="3">
      <t>ショウサイ</t>
    </rPh>
    <rPh sb="5" eb="7">
      <t>ベット</t>
    </rPh>
    <rPh sb="7" eb="11">
      <t>セッケイシリョウ</t>
    </rPh>
    <rPh sb="12" eb="14">
      <t>サンショウ</t>
    </rPh>
    <phoneticPr fontId="15"/>
  </si>
  <si>
    <t>チェック有</t>
    <phoneticPr fontId="15"/>
  </si>
  <si>
    <t>SSJ予算計画ワークフロー</t>
  </si>
  <si>
    <t>SEJ予算計画ワークフロー</t>
    <phoneticPr fontId="15"/>
  </si>
  <si>
    <t>SLJ予算計画ワークフロー</t>
    <phoneticPr fontId="15"/>
  </si>
  <si>
    <t>組織全体</t>
    <rPh sb="0" eb="4">
      <t>ソシキゼンタイ</t>
    </rPh>
    <phoneticPr fontId="15"/>
  </si>
  <si>
    <t>BudgetPlanReview</t>
  </si>
  <si>
    <t>MainAccount</t>
  </si>
  <si>
    <t>Department</t>
  </si>
  <si>
    <t>FunctionalArea</t>
  </si>
  <si>
    <t>CostCenter</t>
  </si>
  <si>
    <t>ChannelA</t>
  </si>
  <si>
    <t>BrandCode</t>
  </si>
  <si>
    <t>CategoryClassificationCode</t>
  </si>
  <si>
    <t>MA+COST+DEPT+FC+CHAN+BRAN+CATE</t>
  </si>
  <si>
    <t>12か月レイアウト</t>
  </si>
  <si>
    <t>※移行対象</t>
    <rPh sb="1" eb="5">
      <t>イコウタイショウ</t>
    </rPh>
    <phoneticPr fontId="15"/>
  </si>
  <si>
    <t xml:space="preserve">
サンスター株式会社　御中</t>
    <phoneticPr fontId="29"/>
  </si>
  <si>
    <t>会計システム刷新プロジェクト（LIBRA）</t>
    <phoneticPr fontId="29"/>
  </si>
  <si>
    <t>FY2023_SSJ予算計画</t>
    <phoneticPr fontId="15"/>
  </si>
  <si>
    <t>SSJ</t>
    <phoneticPr fontId="15"/>
  </si>
  <si>
    <t>進行中</t>
    <phoneticPr fontId="15"/>
  </si>
  <si>
    <t>SUNSTER_Group PL</t>
    <phoneticPr fontId="15"/>
  </si>
  <si>
    <t>SSJ予算計画責任センター</t>
    <phoneticPr fontId="15"/>
  </si>
  <si>
    <t>SSJ予算計画WF</t>
    <phoneticPr fontId="15"/>
  </si>
  <si>
    <t>000002</t>
    <phoneticPr fontId="15"/>
  </si>
  <si>
    <t>ドラフト</t>
    <phoneticPr fontId="15"/>
  </si>
  <si>
    <t>承認</t>
    <rPh sb="0" eb="2">
      <t>ショウニン</t>
    </rPh>
    <phoneticPr fontId="15"/>
  </si>
  <si>
    <t>有</t>
    <rPh sb="0" eb="1">
      <t>アリ</t>
    </rPh>
    <phoneticPr fontId="15"/>
  </si>
  <si>
    <t>12か月レイアウト</t>
    <phoneticPr fontId="15"/>
  </si>
  <si>
    <t>なし</t>
    <phoneticPr fontId="15"/>
  </si>
  <si>
    <t>予算計画プロセス</t>
    <rPh sb="0" eb="2">
      <t>ヨサン</t>
    </rPh>
    <rPh sb="2" eb="4">
      <t>ケイカク</t>
    </rPh>
    <phoneticPr fontId="15"/>
  </si>
  <si>
    <t>FY2024_SSJ予算計画</t>
    <phoneticPr fontId="15"/>
  </si>
  <si>
    <t>FY2023</t>
    <phoneticPr fontId="15"/>
  </si>
  <si>
    <t>FY2024</t>
    <phoneticPr fontId="15"/>
  </si>
  <si>
    <t>本社(ヒアリング中)</t>
    <rPh sb="0" eb="2">
      <t>ホンシャ</t>
    </rPh>
    <rPh sb="8" eb="9">
      <t>ナカ</t>
    </rPh>
    <phoneticPr fontId="15"/>
  </si>
  <si>
    <t>FY2024_SEJ予算計画</t>
  </si>
  <si>
    <t>SEJ</t>
  </si>
  <si>
    <t>FY2024_SLJ予算計画</t>
  </si>
  <si>
    <t>SLJ</t>
  </si>
  <si>
    <t>FY2023_SEJ予算計画</t>
    <phoneticPr fontId="15"/>
  </si>
  <si>
    <t>SEJ予算計画責任センター</t>
  </si>
  <si>
    <t>SEJ予算計画WF</t>
  </si>
  <si>
    <t>FY2023_SLJ予算計画</t>
  </si>
  <si>
    <t>SLJ予算計画責任センター</t>
  </si>
  <si>
    <t>SLJ予算計画WF</t>
  </si>
  <si>
    <t>000013</t>
    <phoneticPr fontId="15"/>
  </si>
  <si>
    <t>000014</t>
    <phoneticPr fontId="15"/>
  </si>
  <si>
    <t>責任センタータイプ</t>
    <rPh sb="0" eb="2">
      <t>セキニン</t>
    </rPh>
    <phoneticPr fontId="15"/>
  </si>
  <si>
    <t>部門</t>
    <rPh sb="0" eb="2">
      <t>ブモン</t>
    </rPh>
    <phoneticPr fontId="15"/>
  </si>
  <si>
    <t>FY2024_SEJ予算計画</t>
    <phoneticPr fontId="15"/>
  </si>
  <si>
    <t>FY2024_SLJ予算計画</t>
    <phoneticPr fontId="15"/>
  </si>
  <si>
    <t>個別</t>
  </si>
  <si>
    <t>※パラメータタブのみ法人個別の設定</t>
    <rPh sb="10" eb="14">
      <t>ホウジンコベツ</t>
    </rPh>
    <rPh sb="15" eb="17">
      <t>セッテイ</t>
    </rPh>
    <phoneticPr fontId="15"/>
  </si>
  <si>
    <t>FOパラメータ定義書-SSJ_22.予算作成</t>
    <rPh sb="7" eb="10">
      <t>テイギショ</t>
    </rPh>
    <rPh sb="18" eb="22">
      <t>ヨサンサクセイ</t>
    </rPh>
    <phoneticPr fontId="15"/>
  </si>
  <si>
    <t>000093</t>
    <phoneticPr fontId="15"/>
  </si>
  <si>
    <t>000094</t>
    <phoneticPr fontId="15"/>
  </si>
  <si>
    <t>000095</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</si>
</sst>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name val="Meiryo UI"/>
      <family val="2"/>
      <charset val="128"/>
    </font>
    <font>
      <u/>
      <sz val="11"/>
      <color theme="1"/>
      <name val="Meiryo UI"/>
      <family val="2"/>
      <charset val="128"/>
    </font>
    <font>
      <sz val="10"/>
      <color theme="9" tint="0.39997558519241921"/>
      <name val="Meiryo UI"/>
      <family val="3"/>
      <charset val="128"/>
    </font>
    <font>
      <sz val="10"/>
      <color rgb="FFFF0000"/>
      <name val="Meiryo UI"/>
      <family val="3"/>
      <charset val="128"/>
    </font>
    <font>
      <sz val="11"/>
      <name val="Meiryo UI"/>
      <family val="3"/>
      <charset val="128"/>
    </font>
    <font>
      <sz val="11"/>
      <color rgb="FFFF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5"/>
        <bgColor indexed="64"/>
      </patternFill>
    </fill>
    <fill>
      <patternFill patternType="solid">
        <fgColor theme="0" tint="-0.149998474074526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0"/>
      </bottom>
      <diagonal/>
    </border>
    <border>
      <left/>
      <right/>
      <top style="thin">
        <color indexed="64"/>
      </top>
      <bottom style="thin">
        <color indexed="64"/>
      </bottom>
      <diagonal/>
    </border>
  </borders>
  <cellStyleXfs count="36">
    <xf numFmtId="0" fontId="0" fillId="0" borderId="0">
      <alignment vertical="center"/>
    </xf>
    <xf numFmtId="0" fontId="16" fillId="0" borderId="0">
      <alignment vertical="center"/>
    </xf>
    <xf numFmtId="0" fontId="20" fillId="0" borderId="0"/>
    <xf numFmtId="0" fontId="25" fillId="0" borderId="0" applyNumberFormat="0" applyFill="0" applyBorder="0" applyAlignment="0" applyProtection="0">
      <alignment vertical="center"/>
    </xf>
    <xf numFmtId="0" fontId="14" fillId="0" borderId="0">
      <alignment vertical="center"/>
    </xf>
    <xf numFmtId="0" fontId="13"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26" fillId="0" borderId="0"/>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171">
    <xf numFmtId="0" fontId="0" fillId="0" borderId="0" xfId="0">
      <alignment vertical="center"/>
    </xf>
    <xf numFmtId="0" fontId="22" fillId="6" borderId="1" xfId="0" applyFont="1" applyFill="1" applyBorder="1" applyAlignment="1" applyProtection="1">
      <alignment horizontal="left" vertical="top" wrapText="1"/>
      <protection locked="0"/>
    </xf>
    <xf numFmtId="0" fontId="22" fillId="6" borderId="1" xfId="0" applyFont="1" applyFill="1" applyBorder="1" applyAlignment="1" applyProtection="1">
      <alignment vertical="top" wrapText="1"/>
      <protection locked="0"/>
    </xf>
    <xf numFmtId="0" fontId="21" fillId="6" borderId="13" xfId="0" applyFont="1" applyFill="1" applyBorder="1" applyAlignment="1">
      <alignment vertical="top" wrapText="1"/>
    </xf>
    <xf numFmtId="0" fontId="21" fillId="6" borderId="1" xfId="0" applyFont="1" applyFill="1" applyBorder="1" applyAlignment="1">
      <alignment vertical="top" wrapText="1"/>
    </xf>
    <xf numFmtId="0" fontId="17" fillId="0" borderId="0" xfId="4" applyFont="1">
      <alignment vertical="center"/>
    </xf>
    <xf numFmtId="0" fontId="25" fillId="0" borderId="0" xfId="3" applyProtection="1">
      <alignment vertical="center"/>
    </xf>
    <xf numFmtId="0" fontId="24" fillId="4" borderId="1" xfId="0" applyFont="1" applyFill="1" applyBorder="1" applyAlignment="1">
      <alignment horizontal="center" vertical="top" wrapText="1"/>
    </xf>
    <xf numFmtId="0" fontId="24" fillId="4" borderId="11" xfId="0" applyFont="1" applyFill="1" applyBorder="1" applyAlignment="1">
      <alignment horizontal="center" vertical="top" wrapText="1"/>
    </xf>
    <xf numFmtId="0" fontId="24" fillId="4" borderId="11" xfId="0" applyFont="1" applyFill="1" applyBorder="1" applyAlignment="1">
      <alignment horizontal="center" vertical="top"/>
    </xf>
    <xf numFmtId="0" fontId="24" fillId="5" borderId="1" xfId="0" applyFont="1" applyFill="1" applyBorder="1" applyAlignment="1">
      <alignment horizontal="center" vertical="top"/>
    </xf>
    <xf numFmtId="0" fontId="22" fillId="0" borderId="15" xfId="0" applyFont="1" applyBorder="1" applyAlignment="1">
      <alignment vertical="top"/>
    </xf>
    <xf numFmtId="0" fontId="22" fillId="0" borderId="1" xfId="0" applyFont="1" applyBorder="1" applyAlignment="1">
      <alignment vertical="top" wrapText="1"/>
    </xf>
    <xf numFmtId="0" fontId="22" fillId="0" borderId="1" xfId="0" applyFont="1" applyBorder="1" applyAlignment="1">
      <alignment horizontal="left" vertical="top" wrapText="1"/>
    </xf>
    <xf numFmtId="0" fontId="21" fillId="5" borderId="13" xfId="0" applyFont="1" applyFill="1" applyBorder="1" applyAlignment="1">
      <alignment vertical="top" wrapText="1"/>
    </xf>
    <xf numFmtId="0" fontId="0" fillId="0" borderId="1" xfId="0" applyBorder="1">
      <alignment vertical="center"/>
    </xf>
    <xf numFmtId="1" fontId="22" fillId="0" borderId="1" xfId="0" applyNumberFormat="1" applyFont="1" applyBorder="1" applyAlignment="1">
      <alignment horizontal="left" vertical="top" wrapText="1"/>
    </xf>
    <xf numFmtId="0" fontId="22" fillId="0" borderId="11" xfId="0" applyFont="1" applyBorder="1" applyAlignment="1">
      <alignment vertical="center" wrapText="1"/>
    </xf>
    <xf numFmtId="0" fontId="0" fillId="4" borderId="1" xfId="0" applyFill="1" applyBorder="1">
      <alignment vertical="center"/>
    </xf>
    <xf numFmtId="49" fontId="0" fillId="0" borderId="0" xfId="0" applyNumberFormat="1" applyAlignment="1">
      <alignment horizontal="left" vertical="center"/>
    </xf>
    <xf numFmtId="0" fontId="21" fillId="5" borderId="1" xfId="0" applyFont="1" applyFill="1" applyBorder="1" applyAlignment="1">
      <alignment vertical="top" wrapText="1"/>
    </xf>
    <xf numFmtId="0" fontId="17" fillId="0" borderId="0" xfId="14" applyFont="1">
      <alignment vertical="center"/>
    </xf>
    <xf numFmtId="0" fontId="0" fillId="0" borderId="1" xfId="0" applyBorder="1" applyAlignment="1">
      <alignment vertical="center" wrapText="1"/>
    </xf>
    <xf numFmtId="0" fontId="17" fillId="0" borderId="0" xfId="16" applyFont="1">
      <alignment vertical="center"/>
    </xf>
    <xf numFmtId="0" fontId="22" fillId="0" borderId="1" xfId="0" applyFont="1" applyBorder="1">
      <alignment vertical="center"/>
    </xf>
    <xf numFmtId="0" fontId="22" fillId="0" borderId="1" xfId="0" applyFont="1" applyBorder="1" applyAlignment="1">
      <alignment vertical="center" wrapText="1"/>
    </xf>
    <xf numFmtId="0" fontId="22" fillId="0" borderId="0" xfId="0" applyFont="1">
      <alignment vertical="center"/>
    </xf>
    <xf numFmtId="0" fontId="22" fillId="0" borderId="0" xfId="0" applyFont="1" applyAlignment="1">
      <alignment horizontal="left" vertical="center"/>
    </xf>
    <xf numFmtId="0" fontId="24" fillId="4" borderId="1" xfId="0" applyFont="1" applyFill="1" applyBorder="1" applyAlignment="1">
      <alignment horizontal="center" vertical="top"/>
    </xf>
    <xf numFmtId="0" fontId="24" fillId="4" borderId="1" xfId="0" applyFont="1" applyFill="1" applyBorder="1" applyAlignment="1">
      <alignment horizontal="center" vertical="center" wrapText="1"/>
    </xf>
    <xf numFmtId="0" fontId="21" fillId="0" borderId="1" xfId="0" applyFont="1" applyBorder="1" applyAlignment="1">
      <alignment horizontal="left" vertical="top" wrapText="1"/>
    </xf>
    <xf numFmtId="0" fontId="22" fillId="0" borderId="1" xfId="0" applyFont="1" applyBorder="1" applyAlignment="1">
      <alignment horizontal="left" vertical="center" wrapText="1"/>
    </xf>
    <xf numFmtId="0" fontId="22" fillId="6" borderId="1" xfId="0" quotePrefix="1" applyFont="1" applyFill="1" applyBorder="1" applyAlignment="1" applyProtection="1">
      <alignment horizontal="left" vertical="top" wrapText="1"/>
      <protection locked="0"/>
    </xf>
    <xf numFmtId="0" fontId="25" fillId="0" borderId="0" xfId="3" applyAlignment="1" applyProtection="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22" fillId="0" borderId="1" xfId="0" applyFont="1" applyBorder="1" applyAlignment="1">
      <alignment vertical="top"/>
    </xf>
    <xf numFmtId="0" fontId="19" fillId="0" borderId="0" xfId="0" applyFont="1" applyAlignment="1"/>
    <xf numFmtId="0" fontId="19" fillId="2" borderId="0" xfId="10" applyFont="1" applyFill="1"/>
    <xf numFmtId="0" fontId="28" fillId="0" borderId="0" xfId="0" applyFont="1" applyAlignment="1"/>
    <xf numFmtId="0" fontId="30" fillId="0" borderId="0" xfId="0" applyFont="1" applyAlignment="1"/>
    <xf numFmtId="0" fontId="30" fillId="0" borderId="16" xfId="0" applyFont="1" applyBorder="1" applyAlignment="1"/>
    <xf numFmtId="0" fontId="19" fillId="0" borderId="0" xfId="0" applyFont="1">
      <alignment vertical="center"/>
    </xf>
    <xf numFmtId="0" fontId="19" fillId="0" borderId="5" xfId="0" applyFont="1" applyBorder="1">
      <alignment vertical="center"/>
    </xf>
    <xf numFmtId="0" fontId="17" fillId="0" borderId="0" xfId="32" applyFont="1">
      <alignment vertical="center"/>
    </xf>
    <xf numFmtId="0" fontId="22" fillId="0" borderId="12" xfId="0" applyFont="1" applyBorder="1" applyAlignment="1">
      <alignment vertical="top"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22" fillId="0" borderId="11" xfId="0" applyFont="1" applyBorder="1" applyAlignment="1">
      <alignment vertical="top" wrapText="1"/>
    </xf>
    <xf numFmtId="0" fontId="22" fillId="0" borderId="10" xfId="0" applyFont="1" applyBorder="1" applyAlignment="1">
      <alignment vertical="top" wrapText="1"/>
    </xf>
    <xf numFmtId="0" fontId="22" fillId="0" borderId="11" xfId="0" applyFont="1" applyBorder="1" applyAlignment="1">
      <alignment horizontal="left" vertical="top" wrapText="1"/>
    </xf>
    <xf numFmtId="0" fontId="22" fillId="3" borderId="1" xfId="0" applyFont="1" applyFill="1" applyBorder="1" applyAlignment="1"/>
    <xf numFmtId="0" fontId="22" fillId="3" borderId="1" xfId="0" applyFont="1" applyFill="1" applyBorder="1" applyAlignment="1" applyProtection="1">
      <protection locked="0"/>
    </xf>
    <xf numFmtId="0" fontId="21" fillId="6" borderId="10" xfId="0" applyFont="1" applyFill="1" applyBorder="1" applyAlignment="1">
      <alignment vertical="top" wrapText="1"/>
    </xf>
    <xf numFmtId="0" fontId="21" fillId="0" borderId="15" xfId="0" applyFont="1" applyBorder="1" applyAlignment="1">
      <alignment horizontal="left" vertical="top" wrapText="1"/>
    </xf>
    <xf numFmtId="0" fontId="22" fillId="0" borderId="12" xfId="0" applyFont="1" applyBorder="1" applyAlignment="1">
      <alignment horizontal="left" vertical="top" wrapText="1"/>
    </xf>
    <xf numFmtId="0" fontId="21" fillId="5" borderId="15" xfId="0" applyFont="1" applyFill="1" applyBorder="1" applyAlignment="1">
      <alignment horizontal="left" vertical="top" wrapText="1"/>
    </xf>
    <xf numFmtId="0" fontId="22" fillId="0" borderId="10" xfId="0" applyFont="1" applyBorder="1" applyAlignment="1">
      <alignment horizontal="center" vertical="top" wrapText="1"/>
    </xf>
    <xf numFmtId="0" fontId="33" fillId="0" borderId="0" xfId="0" applyFont="1">
      <alignment vertical="center"/>
    </xf>
    <xf numFmtId="0" fontId="17" fillId="0" borderId="0" xfId="35" applyFont="1">
      <alignment vertical="center"/>
    </xf>
    <xf numFmtId="0" fontId="22" fillId="0" borderId="12" xfId="0" applyFont="1" applyBorder="1">
      <alignment vertical="center"/>
    </xf>
    <xf numFmtId="0" fontId="22" fillId="0" borderId="6" xfId="0" applyFont="1" applyBorder="1" applyAlignment="1">
      <alignment vertical="top" wrapText="1"/>
    </xf>
    <xf numFmtId="0" fontId="22" fillId="0" borderId="10" xfId="0" applyFont="1" applyBorder="1">
      <alignment vertical="center"/>
    </xf>
    <xf numFmtId="0" fontId="35" fillId="6" borderId="10" xfId="0" applyFont="1" applyFill="1" applyBorder="1" applyProtection="1">
      <alignment vertical="center"/>
      <protection locked="0"/>
    </xf>
    <xf numFmtId="0" fontId="21" fillId="5" borderId="15" xfId="0" applyFont="1" applyFill="1" applyBorder="1">
      <alignment vertical="center"/>
    </xf>
    <xf numFmtId="0" fontId="21" fillId="5" borderId="17" xfId="0" applyFont="1" applyFill="1" applyBorder="1">
      <alignment vertical="center"/>
    </xf>
    <xf numFmtId="0" fontId="21" fillId="5" borderId="17" xfId="0" applyFont="1" applyFill="1" applyBorder="1" applyAlignment="1">
      <alignment vertical="center" wrapText="1"/>
    </xf>
    <xf numFmtId="0" fontId="21" fillId="5" borderId="14" xfId="0" applyFont="1" applyFill="1" applyBorder="1" applyAlignment="1">
      <alignment vertical="center" wrapText="1"/>
    </xf>
    <xf numFmtId="49" fontId="22" fillId="0" borderId="1" xfId="0" quotePrefix="1" applyNumberFormat="1" applyFont="1" applyBorder="1" applyAlignment="1" applyProtection="1">
      <protection locked="0"/>
    </xf>
    <xf numFmtId="0" fontId="22" fillId="0" borderId="14" xfId="0" applyFont="1" applyBorder="1" applyAlignment="1" applyProtection="1">
      <protection locked="0"/>
    </xf>
    <xf numFmtId="0" fontId="22" fillId="0" borderId="14" xfId="0" quotePrefix="1" applyFont="1" applyBorder="1" applyAlignment="1" applyProtection="1">
      <protection locked="0"/>
    </xf>
    <xf numFmtId="49" fontId="22" fillId="0" borderId="1" xfId="0" applyNumberFormat="1" applyFont="1" applyBorder="1" applyAlignment="1" applyProtection="1">
      <protection locked="0"/>
    </xf>
    <xf numFmtId="0" fontId="22" fillId="3" borderId="14" xfId="0" applyFont="1" applyFill="1" applyBorder="1" applyAlignment="1" applyProtection="1">
      <protection locked="0"/>
    </xf>
    <xf numFmtId="0" fontId="36" fillId="0" borderId="0" xfId="0" applyFont="1">
      <alignment vertical="center"/>
    </xf>
    <xf numFmtId="0" fontId="0" fillId="7" borderId="1" xfId="0" applyFill="1" applyBorder="1">
      <alignment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25" fillId="0" borderId="1" xfId="3" applyFill="1" applyBorder="1" applyAlignment="1">
      <alignment horizontal="center" vertical="center" wrapText="1"/>
    </xf>
    <xf numFmtId="2" fontId="22" fillId="0" borderId="1" xfId="0" applyNumberFormat="1" applyFont="1" applyBorder="1" applyAlignment="1">
      <alignment vertical="top" wrapText="1"/>
    </xf>
    <xf numFmtId="0" fontId="37" fillId="0" borderId="0" xfId="0" applyFont="1">
      <alignment vertical="center"/>
    </xf>
    <xf numFmtId="0" fontId="22" fillId="0" borderId="14" xfId="0" applyFont="1" applyBorder="1" applyAlignment="1">
      <alignment vertical="top" wrapText="1"/>
    </xf>
    <xf numFmtId="0" fontId="22" fillId="5" borderId="1" xfId="0" applyFont="1" applyFill="1" applyBorder="1" applyAlignment="1">
      <alignment vertical="top" wrapText="1"/>
    </xf>
    <xf numFmtId="0" fontId="22" fillId="6" borderId="1" xfId="0" applyFont="1" applyFill="1" applyBorder="1" applyAlignment="1">
      <alignment vertical="top" wrapText="1"/>
    </xf>
    <xf numFmtId="0" fontId="22" fillId="0" borderId="0" xfId="0" applyFont="1" applyAlignment="1">
      <alignment vertical="center" wrapText="1"/>
    </xf>
    <xf numFmtId="0" fontId="21" fillId="0" borderId="14" xfId="0" applyFont="1" applyBorder="1" applyAlignment="1">
      <alignment horizontal="left" vertical="top" wrapText="1"/>
    </xf>
    <xf numFmtId="0" fontId="25" fillId="0" borderId="0" xfId="3">
      <alignment vertical="center"/>
    </xf>
    <xf numFmtId="0" fontId="38" fillId="0" borderId="0" xfId="0" applyFont="1">
      <alignment vertical="center"/>
    </xf>
    <xf numFmtId="0" fontId="22" fillId="8" borderId="1" xfId="0" applyFont="1" applyFill="1" applyBorder="1" applyAlignment="1">
      <alignment vertical="top" wrapText="1"/>
    </xf>
    <xf numFmtId="0" fontId="22" fillId="5" borderId="11" xfId="0" applyFont="1" applyFill="1" applyBorder="1" applyAlignment="1">
      <alignment vertical="top" wrapText="1"/>
    </xf>
    <xf numFmtId="0" fontId="22" fillId="0" borderId="1" xfId="0" quotePrefix="1" applyFont="1" applyBorder="1" applyAlignment="1">
      <alignment vertical="top" wrapText="1"/>
    </xf>
    <xf numFmtId="0" fontId="22" fillId="5" borderId="15" xfId="0" applyFont="1" applyFill="1" applyBorder="1" applyAlignment="1">
      <alignment vertical="top" wrapText="1"/>
    </xf>
    <xf numFmtId="0" fontId="22" fillId="5" borderId="14" xfId="0" applyFont="1" applyFill="1" applyBorder="1" applyAlignment="1">
      <alignment vertical="top" wrapText="1"/>
    </xf>
    <xf numFmtId="2" fontId="22" fillId="6" borderId="1" xfId="0" applyNumberFormat="1" applyFont="1" applyFill="1" applyBorder="1" applyAlignment="1">
      <alignment vertical="top" wrapText="1"/>
    </xf>
    <xf numFmtId="0" fontId="22" fillId="5" borderId="17" xfId="0" applyFont="1" applyFill="1" applyBorder="1">
      <alignment vertical="center"/>
    </xf>
    <xf numFmtId="0" fontId="22" fillId="3" borderId="11" xfId="0" applyFont="1" applyFill="1" applyBorder="1" applyAlignment="1"/>
    <xf numFmtId="0" fontId="22" fillId="0" borderId="11" xfId="0" applyFont="1" applyBorder="1">
      <alignment vertical="center"/>
    </xf>
    <xf numFmtId="0" fontId="22" fillId="3" borderId="12" xfId="0" applyFont="1" applyFill="1" applyBorder="1" applyAlignment="1"/>
    <xf numFmtId="0" fontId="22" fillId="3" borderId="10" xfId="0" applyFont="1" applyFill="1" applyBorder="1" applyAlignment="1"/>
    <xf numFmtId="49" fontId="0" fillId="0" borderId="0" xfId="0" applyNumberFormat="1">
      <alignment vertical="center"/>
    </xf>
    <xf numFmtId="49" fontId="22" fillId="5" borderId="1" xfId="0" applyNumberFormat="1" applyFont="1" applyFill="1" applyBorder="1" applyAlignment="1">
      <alignment vertical="top" wrapText="1"/>
    </xf>
    <xf numFmtId="49" fontId="22" fillId="6" borderId="1" xfId="0" applyNumberFormat="1" applyFont="1" applyFill="1" applyBorder="1" applyAlignment="1">
      <alignment vertical="top" wrapText="1"/>
    </xf>
    <xf numFmtId="49" fontId="22" fillId="0" borderId="0" xfId="0" applyNumberFormat="1" applyFont="1">
      <alignment vertical="center"/>
    </xf>
    <xf numFmtId="49" fontId="22" fillId="0" borderId="11" xfId="0" applyNumberFormat="1" applyFont="1" applyBorder="1">
      <alignment vertical="center"/>
    </xf>
    <xf numFmtId="49" fontId="22" fillId="0" borderId="10" xfId="0" applyNumberFormat="1" applyFont="1" applyBorder="1">
      <alignment vertical="center"/>
    </xf>
    <xf numFmtId="0" fontId="25" fillId="7" borderId="1" xfId="3" applyFill="1" applyBorder="1" applyAlignment="1">
      <alignment horizontal="center" vertical="center" wrapText="1"/>
    </xf>
    <xf numFmtId="0" fontId="28" fillId="0" borderId="0" xfId="0" applyFont="1" applyAlignment="1">
      <alignment vertical="center" wrapText="1"/>
    </xf>
    <xf numFmtId="0" fontId="22" fillId="3" borderId="1" xfId="0" quotePrefix="1" applyFont="1" applyFill="1" applyBorder="1" applyAlignment="1" applyProtection="1">
      <protection locked="0"/>
    </xf>
    <xf numFmtId="0" fontId="22" fillId="6" borderId="14" xfId="0" applyFont="1" applyFill="1" applyBorder="1" applyAlignment="1">
      <alignment vertical="top" wrapText="1"/>
    </xf>
    <xf numFmtId="0" fontId="0" fillId="10" borderId="1" xfId="0" applyFill="1" applyBorder="1" applyAlignment="1">
      <alignment horizontal="center" vertical="center"/>
    </xf>
    <xf numFmtId="0" fontId="32" fillId="0" borderId="0" xfId="0" applyFont="1" applyAlignment="1">
      <alignment horizontal="center" vertical="center"/>
    </xf>
    <xf numFmtId="0" fontId="27" fillId="0" borderId="0" xfId="0" applyFont="1" applyAlignment="1">
      <alignment horizontal="center"/>
    </xf>
    <xf numFmtId="0" fontId="27" fillId="0" borderId="16" xfId="0" applyFont="1" applyBorder="1" applyAlignment="1">
      <alignment horizontal="center"/>
    </xf>
    <xf numFmtId="0" fontId="31" fillId="0" borderId="2" xfId="0" applyFont="1" applyBorder="1" applyAlignment="1">
      <alignment horizontal="center" vertical="center" wrapText="1"/>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27" fillId="0" borderId="5" xfId="0" applyFont="1" applyBorder="1" applyAlignment="1">
      <alignment horizontal="center" vertical="center"/>
    </xf>
    <xf numFmtId="0" fontId="27" fillId="0" borderId="0" xfId="0" applyFont="1" applyAlignment="1">
      <alignment horizontal="center" vertical="center"/>
    </xf>
    <xf numFmtId="0" fontId="27" fillId="0" borderId="6" xfId="0" applyFont="1" applyBorder="1" applyAlignment="1">
      <alignment horizontal="center" vertical="center"/>
    </xf>
    <xf numFmtId="0" fontId="27" fillId="0" borderId="7" xfId="0" applyFont="1" applyBorder="1" applyAlignment="1">
      <alignment horizontal="center" vertical="center"/>
    </xf>
    <xf numFmtId="0" fontId="27" fillId="0" borderId="8" xfId="0" applyFont="1" applyBorder="1" applyAlignment="1">
      <alignment horizontal="center" vertical="center"/>
    </xf>
    <xf numFmtId="0" fontId="27" fillId="0" borderId="9" xfId="0" applyFont="1" applyBorder="1" applyAlignment="1">
      <alignment horizontal="center" vertical="center"/>
    </xf>
    <xf numFmtId="14" fontId="32" fillId="0" borderId="0" xfId="0" applyNumberFormat="1" applyFont="1" applyAlignment="1">
      <alignment horizontal="center" vertical="center"/>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4" fontId="19" fillId="0" borderId="15" xfId="0" applyNumberFormat="1" applyFont="1" applyBorder="1" applyAlignment="1">
      <alignment horizontal="center" vertical="center"/>
    </xf>
    <xf numFmtId="14" fontId="19" fillId="0" borderId="17" xfId="0" applyNumberFormat="1" applyFont="1" applyBorder="1" applyAlignment="1">
      <alignment horizontal="center" vertical="center"/>
    </xf>
    <xf numFmtId="14" fontId="19" fillId="0" borderId="14" xfId="0" applyNumberFormat="1" applyFont="1" applyBorder="1" applyAlignment="1">
      <alignment horizontal="center" vertical="center"/>
    </xf>
    <xf numFmtId="0" fontId="22" fillId="0" borderId="11" xfId="0" applyFont="1" applyBorder="1" applyAlignment="1">
      <alignment horizontal="left" vertical="top" wrapText="1"/>
    </xf>
    <xf numFmtId="0" fontId="22" fillId="0" borderId="12" xfId="0" applyFont="1" applyBorder="1" applyAlignment="1">
      <alignment horizontal="left" vertical="top" wrapText="1"/>
    </xf>
    <xf numFmtId="0" fontId="22" fillId="0" borderId="10" xfId="0" applyFont="1" applyBorder="1" applyAlignment="1">
      <alignment horizontal="left" vertical="top" wrapText="1"/>
    </xf>
    <xf numFmtId="0" fontId="22" fillId="0" borderId="1" xfId="0" applyFont="1" applyBorder="1" applyAlignment="1">
      <alignment horizontal="left" vertical="top" wrapText="1"/>
    </xf>
    <xf numFmtId="0" fontId="22" fillId="5" borderId="1" xfId="0" applyFont="1" applyFill="1" applyBorder="1">
      <alignment vertical="center"/>
    </xf>
    <xf numFmtId="0" fontId="21" fillId="5" borderId="11" xfId="0" applyFont="1" applyFill="1" applyBorder="1" applyAlignment="1">
      <alignment vertical="center" wrapText="1"/>
    </xf>
    <xf numFmtId="0" fontId="21" fillId="5" borderId="10" xfId="0" applyFont="1" applyFill="1" applyBorder="1" applyAlignment="1">
      <alignment vertical="center" wrapText="1"/>
    </xf>
    <xf numFmtId="0" fontId="22" fillId="0" borderId="11" xfId="0" applyFont="1" applyBorder="1" applyAlignment="1">
      <alignment horizontal="center" vertical="top" wrapText="1"/>
    </xf>
    <xf numFmtId="0" fontId="22" fillId="0" borderId="10" xfId="0" applyFont="1" applyBorder="1" applyAlignment="1">
      <alignment horizontal="center" vertical="top" wrapText="1"/>
    </xf>
    <xf numFmtId="0" fontId="21" fillId="5" borderId="15" xfId="0" applyFont="1" applyFill="1" applyBorder="1" applyAlignment="1">
      <alignment horizontal="left" vertical="top" wrapText="1"/>
    </xf>
    <xf numFmtId="0" fontId="21" fillId="5" borderId="14" xfId="0" applyFont="1" applyFill="1" applyBorder="1" applyAlignment="1">
      <alignment horizontal="left" vertical="top" wrapText="1"/>
    </xf>
    <xf numFmtId="0" fontId="22" fillId="0" borderId="12" xfId="0" applyFont="1" applyBorder="1" applyAlignment="1">
      <alignment horizontal="center" vertical="top" wrapText="1"/>
    </xf>
    <xf numFmtId="0" fontId="21" fillId="5" borderId="17" xfId="0" applyFont="1" applyFill="1" applyBorder="1" applyAlignment="1">
      <alignment horizontal="left" vertical="top" wrapText="1"/>
    </xf>
    <xf numFmtId="0" fontId="21" fillId="5" borderId="7" xfId="0" applyFont="1" applyFill="1" applyBorder="1" applyAlignment="1">
      <alignment horizontal="left" vertical="top" wrapText="1"/>
    </xf>
    <xf numFmtId="0" fontId="21" fillId="5" borderId="8" xfId="0" applyFont="1" applyFill="1" applyBorder="1" applyAlignment="1">
      <alignment horizontal="left" vertical="top" wrapText="1"/>
    </xf>
    <xf numFmtId="0" fontId="22" fillId="8" borderId="11" xfId="0" applyFont="1" applyFill="1" applyBorder="1" applyAlignment="1">
      <alignment horizontal="left" vertical="top" wrapText="1"/>
    </xf>
    <xf numFmtId="0" fontId="22" fillId="8" borderId="10" xfId="0" applyFont="1" applyFill="1" applyBorder="1" applyAlignment="1">
      <alignment horizontal="left" vertical="top" wrapText="1"/>
    </xf>
    <xf numFmtId="0" fontId="22" fillId="0" borderId="2" xfId="0" applyFont="1" applyBorder="1" applyAlignment="1">
      <alignment horizontal="left" vertical="top" wrapText="1"/>
    </xf>
    <xf numFmtId="0" fontId="22" fillId="0" borderId="5" xfId="0" applyFont="1" applyBorder="1" applyAlignment="1">
      <alignment horizontal="left" vertical="top" wrapText="1"/>
    </xf>
    <xf numFmtId="0" fontId="22" fillId="5" borderId="15" xfId="0" applyFont="1" applyFill="1" applyBorder="1">
      <alignment vertical="center"/>
    </xf>
    <xf numFmtId="0" fontId="22" fillId="5" borderId="1" xfId="0" applyFont="1" applyFill="1" applyBorder="1" applyAlignment="1">
      <alignment horizontal="left" vertical="top" wrapText="1"/>
    </xf>
    <xf numFmtId="0" fontId="22" fillId="9" borderId="11" xfId="0" applyFont="1" applyFill="1" applyBorder="1" applyAlignment="1">
      <alignment horizontal="left" vertical="center"/>
    </xf>
    <xf numFmtId="0" fontId="22" fillId="9" borderId="12" xfId="0" applyFont="1" applyFill="1" applyBorder="1" applyAlignment="1">
      <alignment horizontal="left" vertical="center"/>
    </xf>
    <xf numFmtId="0" fontId="22" fillId="9" borderId="10" xfId="0" applyFont="1" applyFill="1" applyBorder="1" applyAlignment="1">
      <alignment horizontal="left" vertical="center"/>
    </xf>
  </cellXfs>
  <cellStyles count="36">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22" xr:uid="{0ACDA241-774B-4FFA-99FB-302704CC6F70}"/>
    <cellStyle name="標準 2 2 2 2 2 3" xfId="9" xr:uid="{F21DC37F-6F2E-4EF0-B13D-E8150630710F}"/>
    <cellStyle name="標準 2 2 2 2 2 3 2" xfId="23" xr:uid="{513FEB82-B4EF-4ECA-939F-62C528FF5CEA}"/>
    <cellStyle name="標準 2 2 2 2 2 4" xfId="21" xr:uid="{B5F626E7-1ED6-49C9-ABE3-A05CA2B2A514}"/>
    <cellStyle name="標準 2 2 2 2 3" xfId="14" xr:uid="{0BC89B50-B996-4F32-A12A-F6A89F010291}"/>
    <cellStyle name="標準 2 2 2 2 3 2" xfId="27" xr:uid="{0881E7AD-FBBE-48D7-93F5-5077C70D25BF}"/>
    <cellStyle name="標準 2 2 2 2 4" xfId="20" xr:uid="{6EB62251-479C-42A0-BBFD-79AD166F9CA0}"/>
    <cellStyle name="標準 2 2 2 3" xfId="19" xr:uid="{E37A30F4-C0A1-41AB-AD67-CB937DA5A980}"/>
    <cellStyle name="標準 2 2 3" xfId="11" xr:uid="{AB8DAD6B-6F07-4F84-AFF4-9001F04CD5BE}"/>
    <cellStyle name="標準 2 2 3 2" xfId="24" xr:uid="{A7D5AC7F-3287-4A49-89FC-161EE4308431}"/>
    <cellStyle name="標準 2 2 4" xfId="13" xr:uid="{FAA0CA57-CC80-47D6-86EC-D6EBE1EFFACE}"/>
    <cellStyle name="標準 2 2 4 2" xfId="26" xr:uid="{18F44126-4C2D-4358-9EEF-F65657E2371B}"/>
    <cellStyle name="標準 2 2 5" xfId="18" xr:uid="{88B5A4FC-CD68-4094-BD81-6DFA43A152DC}"/>
    <cellStyle name="標準 2 2 6" xfId="32" xr:uid="{632C49BF-EDAC-47A4-8BDF-99822020F1AE}"/>
    <cellStyle name="標準 2 3" xfId="12" xr:uid="{1C014ACD-DAA1-4DF1-9B40-427746B15741}"/>
    <cellStyle name="標準 2 3 2" xfId="25" xr:uid="{2571EF87-54FF-4249-BA69-09BDE6CA0668}"/>
    <cellStyle name="標準 2 4" xfId="15" xr:uid="{9F25C8E6-9714-4DB7-8282-F332EBEF3C83}"/>
    <cellStyle name="標準 2 4 2" xfId="28" xr:uid="{231AF7F3-7B68-494A-9F1A-0041DE24A2D7}"/>
    <cellStyle name="標準 2 4 2 2" xfId="35" xr:uid="{8B6461BD-F348-432A-A7B6-7F5FC20EBF92}"/>
    <cellStyle name="標準 2 5" xfId="16" xr:uid="{32231B12-71E4-4AC4-9B26-CD435D022884}"/>
    <cellStyle name="標準 2 5 2" xfId="29" xr:uid="{51AC8C4B-A513-4C1F-B0A9-821064D5765E}"/>
    <cellStyle name="標準 2 5 3" xfId="30" xr:uid="{301CD210-D260-46DE-971F-1DA4FBC4C8B5}"/>
    <cellStyle name="標準 2 5 4" xfId="33" xr:uid="{3B4D675C-BAC8-4A72-9338-83D583D40B51}"/>
    <cellStyle name="標準 2 6" xfId="17" xr:uid="{79EF40BF-07E4-40DC-9B3F-6D3E538888B5}"/>
    <cellStyle name="標準 2 6 2" xfId="31" xr:uid="{F35785CF-1EEB-4AEF-8A5E-E05AA3A18785}"/>
    <cellStyle name="標準 2 6 3" xfId="34" xr:uid="{D7B65913-7786-4557-B979-F31A764258CC}"/>
    <cellStyle name="標準 3" xfId="10" xr:uid="{942EA3AA-1AAC-488E-A27D-5DABE16255B0}"/>
  </cellStyles>
  <dxfs count="3">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2</xdr:col>
      <xdr:colOff>1181100</xdr:colOff>
      <xdr:row>8</xdr:row>
      <xdr:rowOff>0</xdr:rowOff>
    </xdr:from>
    <xdr:to>
      <xdr:col>3</xdr:col>
      <xdr:colOff>295275</xdr:colOff>
      <xdr:row>10</xdr:row>
      <xdr:rowOff>142875</xdr:rowOff>
    </xdr:to>
    <xdr:sp macro="" textlink="">
      <xdr:nvSpPr>
        <xdr:cNvPr id="2" name="吹き出し: 線 1">
          <a:extLst>
            <a:ext uri="{FF2B5EF4-FFF2-40B4-BE49-F238E27FC236}">
              <a16:creationId xmlns:a16="http://schemas.microsoft.com/office/drawing/2014/main" id="{F1FF1E18-A342-9EC4-246C-EE92FB307768}"/>
            </a:ext>
          </a:extLst>
        </xdr:cNvPr>
        <xdr:cNvSpPr/>
      </xdr:nvSpPr>
      <xdr:spPr>
        <a:xfrm>
          <a:off x="1990725" y="2095500"/>
          <a:ext cx="1362075" cy="504825"/>
        </a:xfrm>
        <a:prstGeom prst="borderCallout1">
          <a:avLst>
            <a:gd name="adj1" fmla="val 18750"/>
            <a:gd name="adj2" fmla="val -8333"/>
            <a:gd name="adj3" fmla="val -17689"/>
            <a:gd name="adj4" fmla="val -29941"/>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solidFill>
                <a:sysClr val="windowText" lastClr="000000"/>
              </a:solidFill>
            </a:rPr>
            <a:t>設定なし</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2162175</xdr:colOff>
      <xdr:row>8</xdr:row>
      <xdr:rowOff>19050</xdr:rowOff>
    </xdr:from>
    <xdr:to>
      <xdr:col>3</xdr:col>
      <xdr:colOff>1276350</xdr:colOff>
      <xdr:row>10</xdr:row>
      <xdr:rowOff>161925</xdr:rowOff>
    </xdr:to>
    <xdr:sp macro="" textlink="">
      <xdr:nvSpPr>
        <xdr:cNvPr id="2" name="吹き出し: 線 1">
          <a:extLst>
            <a:ext uri="{FF2B5EF4-FFF2-40B4-BE49-F238E27FC236}">
              <a16:creationId xmlns:a16="http://schemas.microsoft.com/office/drawing/2014/main" id="{C042F75A-4E9C-4EC1-AF21-D3A63CEC26B5}"/>
            </a:ext>
          </a:extLst>
        </xdr:cNvPr>
        <xdr:cNvSpPr/>
      </xdr:nvSpPr>
      <xdr:spPr>
        <a:xfrm>
          <a:off x="2971800" y="2114550"/>
          <a:ext cx="1362075" cy="504825"/>
        </a:xfrm>
        <a:prstGeom prst="borderCallout1">
          <a:avLst>
            <a:gd name="adj1" fmla="val 18750"/>
            <a:gd name="adj2" fmla="val -8333"/>
            <a:gd name="adj3" fmla="val -17689"/>
            <a:gd name="adj4" fmla="val -29941"/>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solidFill>
                <a:sysClr val="windowText" lastClr="000000"/>
              </a:solidFill>
            </a:rPr>
            <a:t>設定なし</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9133-30AF-4AF6-A338-586AB62B6C8D}">
  <sheetPr>
    <pageSetUpPr autoPageBreaks="0"/>
  </sheetPr>
  <dimension ref="A1:AK37"/>
  <sheetViews>
    <sheetView showGridLines="0" zoomScaleNormal="100" zoomScaleSheetLayoutView="100" workbookViewId="0">
      <selection activeCell="B14" sqref="B14:AE16"/>
    </sheetView>
  </sheetViews>
  <sheetFormatPr defaultColWidth="2.2109375" defaultRowHeight="15" customHeight="1" x14ac:dyDescent="0.35"/>
  <cols>
    <col min="1" max="16384" width="2.2109375" style="39"/>
  </cols>
  <sheetData>
    <row r="1" spans="1:37" ht="15" customHeight="1" x14ac:dyDescent="0.3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row>
    <row r="2" spans="1:37" ht="15" customHeight="1" x14ac:dyDescent="0.35">
      <c r="A2" s="38"/>
      <c r="B2" s="38"/>
      <c r="C2" s="40"/>
      <c r="D2" s="40"/>
      <c r="E2" s="40"/>
      <c r="F2" s="40"/>
      <c r="G2" s="40"/>
      <c r="H2" s="40"/>
      <c r="I2" s="40"/>
      <c r="J2" s="40"/>
      <c r="K2" s="40"/>
      <c r="L2" s="40"/>
      <c r="M2" s="40"/>
      <c r="N2" s="40"/>
      <c r="O2" s="40"/>
      <c r="P2" s="40"/>
      <c r="Q2" s="40"/>
      <c r="R2" s="38"/>
      <c r="S2" s="38"/>
      <c r="T2" s="38"/>
      <c r="U2" s="38"/>
      <c r="V2" s="38"/>
      <c r="W2" s="38"/>
      <c r="X2" s="38"/>
      <c r="Y2" s="38"/>
      <c r="Z2" s="38"/>
      <c r="AA2" s="38"/>
      <c r="AB2" s="38"/>
      <c r="AC2" s="38"/>
      <c r="AD2" s="38"/>
      <c r="AE2" s="38"/>
      <c r="AF2" s="38"/>
      <c r="AG2" s="38"/>
      <c r="AH2" s="38"/>
      <c r="AI2" s="38"/>
      <c r="AJ2" s="38"/>
      <c r="AK2" s="38"/>
    </row>
    <row r="3" spans="1:37" ht="15" customHeight="1" x14ac:dyDescent="0.35">
      <c r="A3" s="38"/>
      <c r="B3" s="107" t="s">
        <v>524</v>
      </c>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row>
    <row r="4" spans="1:37" ht="15" customHeight="1" x14ac:dyDescent="0.55000000000000004">
      <c r="A4" s="41"/>
      <c r="B4" s="41"/>
      <c r="C4" s="41"/>
      <c r="D4" s="41"/>
      <c r="E4" s="41"/>
      <c r="F4" s="41"/>
      <c r="G4" s="41"/>
      <c r="H4" s="41"/>
      <c r="I4" s="41"/>
      <c r="J4" s="112"/>
      <c r="K4" s="112"/>
      <c r="L4" s="112"/>
      <c r="M4" s="38"/>
      <c r="N4" s="38"/>
      <c r="O4" s="38"/>
      <c r="P4" s="38"/>
      <c r="Q4" s="38"/>
      <c r="R4" s="38"/>
      <c r="S4" s="38"/>
      <c r="T4" s="38"/>
      <c r="U4" s="38"/>
      <c r="V4" s="38"/>
      <c r="W4" s="38"/>
      <c r="X4" s="38"/>
      <c r="Y4" s="38"/>
      <c r="Z4" s="38"/>
      <c r="AA4" s="38"/>
      <c r="AB4" s="38"/>
      <c r="AC4" s="38"/>
      <c r="AD4" s="38"/>
      <c r="AE4" s="38"/>
      <c r="AF4" s="38"/>
      <c r="AG4" s="38"/>
      <c r="AH4" s="38"/>
      <c r="AI4" s="38"/>
      <c r="AJ4" s="38"/>
      <c r="AK4" s="38"/>
    </row>
    <row r="5" spans="1:37" ht="15" customHeight="1" x14ac:dyDescent="0.55000000000000004">
      <c r="A5" s="42"/>
      <c r="B5" s="42"/>
      <c r="C5" s="42"/>
      <c r="D5" s="42"/>
      <c r="E5" s="42"/>
      <c r="F5" s="42"/>
      <c r="G5" s="42"/>
      <c r="H5" s="42"/>
      <c r="I5" s="42"/>
      <c r="J5" s="113"/>
      <c r="K5" s="113"/>
      <c r="L5" s="113"/>
      <c r="M5" s="38"/>
      <c r="N5" s="38"/>
      <c r="O5" s="38"/>
      <c r="P5" s="38"/>
      <c r="Q5" s="38"/>
      <c r="R5" s="38"/>
      <c r="S5" s="38"/>
      <c r="T5" s="38"/>
      <c r="U5" s="38"/>
      <c r="V5" s="38"/>
      <c r="W5" s="38"/>
      <c r="X5" s="38"/>
      <c r="Y5" s="38"/>
      <c r="Z5" s="38"/>
      <c r="AA5" s="38"/>
      <c r="AB5" s="38"/>
      <c r="AC5" s="38"/>
      <c r="AD5" s="38"/>
      <c r="AE5" s="38"/>
      <c r="AF5" s="38"/>
      <c r="AG5" s="38"/>
      <c r="AH5" s="38"/>
      <c r="AI5" s="38"/>
      <c r="AJ5" s="38"/>
      <c r="AK5" s="38"/>
    </row>
    <row r="6" spans="1:37" ht="15" customHeight="1" x14ac:dyDescent="0.35">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row>
    <row r="7" spans="1:37" ht="15" customHeight="1" x14ac:dyDescent="0.35">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row>
    <row r="8" spans="1:37" ht="15" customHeight="1" x14ac:dyDescent="0.35">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row>
    <row r="9" spans="1:37" ht="15" customHeight="1" x14ac:dyDescent="0.35">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row>
    <row r="10" spans="1:37" ht="15" customHeight="1" x14ac:dyDescent="0.35">
      <c r="A10" s="38"/>
      <c r="B10" s="114" t="s">
        <v>525</v>
      </c>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6"/>
      <c r="AF10" s="38"/>
      <c r="AG10" s="38"/>
      <c r="AH10" s="38"/>
      <c r="AI10" s="38"/>
      <c r="AJ10" s="38"/>
      <c r="AK10" s="38"/>
    </row>
    <row r="11" spans="1:37" ht="15" customHeight="1" x14ac:dyDescent="0.35">
      <c r="A11" s="38"/>
      <c r="B11" s="117"/>
      <c r="C11" s="118"/>
      <c r="D11" s="118"/>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9"/>
      <c r="AF11" s="38"/>
      <c r="AG11" s="38"/>
      <c r="AH11" s="38"/>
      <c r="AI11" s="38"/>
      <c r="AJ11" s="38"/>
      <c r="AK11" s="38"/>
    </row>
    <row r="12" spans="1:37" ht="15" customHeight="1" x14ac:dyDescent="0.35">
      <c r="A12" s="38"/>
      <c r="B12" s="117"/>
      <c r="C12" s="118"/>
      <c r="D12" s="118"/>
      <c r="E12" s="118"/>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9"/>
      <c r="AF12" s="38"/>
      <c r="AG12" s="38"/>
      <c r="AH12" s="38"/>
      <c r="AI12" s="38"/>
      <c r="AJ12" s="38"/>
      <c r="AK12" s="38"/>
    </row>
    <row r="13" spans="1:37" ht="15" customHeight="1" x14ac:dyDescent="0.35">
      <c r="A13" s="38"/>
      <c r="B13" s="117"/>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9"/>
      <c r="AF13" s="38"/>
      <c r="AG13" s="38"/>
      <c r="AH13" s="38"/>
      <c r="AI13" s="38"/>
      <c r="AJ13" s="38"/>
      <c r="AK13" s="38"/>
    </row>
    <row r="14" spans="1:37" ht="15" customHeight="1" x14ac:dyDescent="0.35">
      <c r="A14" s="38"/>
      <c r="B14" s="120" t="s">
        <v>561</v>
      </c>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2"/>
      <c r="AF14" s="38"/>
      <c r="AG14" s="38"/>
      <c r="AH14" s="38"/>
      <c r="AI14" s="38"/>
      <c r="AJ14" s="38"/>
      <c r="AK14" s="38"/>
    </row>
    <row r="15" spans="1:37" ht="15" customHeight="1" x14ac:dyDescent="0.35">
      <c r="A15" s="38"/>
      <c r="B15" s="120"/>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2"/>
      <c r="AF15" s="38"/>
      <c r="AG15" s="38"/>
      <c r="AH15" s="38"/>
      <c r="AI15" s="38"/>
      <c r="AJ15" s="38"/>
      <c r="AK15" s="38"/>
    </row>
    <row r="16" spans="1:37" ht="15" customHeight="1" x14ac:dyDescent="0.35">
      <c r="A16" s="38"/>
      <c r="B16" s="123"/>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5"/>
      <c r="AF16" s="38"/>
      <c r="AG16" s="38"/>
      <c r="AH16" s="38"/>
      <c r="AI16" s="38"/>
      <c r="AJ16" s="38"/>
      <c r="AK16" s="38"/>
    </row>
    <row r="17" spans="1:37" ht="15" customHeight="1" x14ac:dyDescent="0.35">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row>
    <row r="18" spans="1:37" ht="15" customHeight="1" x14ac:dyDescent="0.35">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row>
    <row r="19" spans="1:37" ht="15" customHeight="1" x14ac:dyDescent="0.35">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row>
    <row r="20" spans="1:37" ht="15" customHeight="1" x14ac:dyDescent="0.35">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row>
    <row r="21" spans="1:37" ht="15" customHeight="1" x14ac:dyDescent="0.35">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row>
    <row r="22" spans="1:37" ht="15" customHeight="1" x14ac:dyDescent="0.35">
      <c r="A22" s="38"/>
      <c r="B22" s="111" t="s">
        <v>39</v>
      </c>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38"/>
      <c r="AG22" s="38"/>
      <c r="AH22" s="38"/>
      <c r="AI22" s="38"/>
      <c r="AJ22" s="38"/>
      <c r="AK22" s="38"/>
    </row>
    <row r="23" spans="1:37" ht="15" customHeight="1" x14ac:dyDescent="0.35">
      <c r="A23" s="38"/>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38"/>
      <c r="AG23" s="38"/>
      <c r="AH23" s="38"/>
      <c r="AI23" s="38"/>
      <c r="AJ23" s="38"/>
      <c r="AK23" s="38"/>
    </row>
    <row r="24" spans="1:37" ht="15" customHeight="1" x14ac:dyDescent="0.35">
      <c r="A24" s="38"/>
      <c r="B24" s="126">
        <v>45631</v>
      </c>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38"/>
      <c r="AG24" s="38"/>
      <c r="AH24" s="38"/>
      <c r="AI24" s="38"/>
      <c r="AJ24" s="38"/>
      <c r="AK24" s="38"/>
    </row>
    <row r="25" spans="1:37" ht="15" customHeight="1" x14ac:dyDescent="0.35">
      <c r="A25" s="38"/>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38"/>
      <c r="AG25" s="38"/>
      <c r="AH25" s="38"/>
      <c r="AI25" s="38"/>
      <c r="AJ25" s="38"/>
      <c r="AK25" s="38"/>
    </row>
    <row r="26" spans="1:37" ht="15" customHeight="1" x14ac:dyDescent="0.35">
      <c r="A26" s="38"/>
      <c r="B26" s="111" t="s">
        <v>0</v>
      </c>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38"/>
      <c r="AG26" s="38"/>
      <c r="AH26" s="38"/>
      <c r="AI26" s="38"/>
      <c r="AJ26" s="38"/>
      <c r="AK26" s="38"/>
    </row>
    <row r="27" spans="1:37" ht="15" customHeight="1" x14ac:dyDescent="0.35">
      <c r="A27" s="38"/>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38"/>
      <c r="AG27" s="38"/>
      <c r="AH27" s="38"/>
      <c r="AI27" s="38"/>
      <c r="AJ27" s="38"/>
      <c r="AK27" s="38"/>
    </row>
    <row r="28" spans="1:37" ht="15" customHeight="1" x14ac:dyDescent="0.35">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row>
    <row r="29" spans="1:37" ht="15" customHeight="1" x14ac:dyDescent="0.35">
      <c r="A29" s="38"/>
      <c r="B29" s="38"/>
      <c r="C29" s="38"/>
      <c r="D29" s="38"/>
      <c r="E29" s="38"/>
      <c r="F29" s="142" t="s">
        <v>40</v>
      </c>
      <c r="G29" s="142"/>
      <c r="H29" s="142"/>
      <c r="I29" s="142"/>
      <c r="J29" s="142"/>
      <c r="K29" s="142"/>
      <c r="L29" s="43"/>
      <c r="M29" s="43"/>
      <c r="N29" s="43"/>
      <c r="O29" s="134" t="s">
        <v>41</v>
      </c>
      <c r="P29" s="142"/>
      <c r="Q29" s="142"/>
      <c r="R29" s="142"/>
      <c r="S29" s="43"/>
      <c r="T29" s="43"/>
      <c r="U29" s="43"/>
      <c r="V29" s="38"/>
      <c r="W29" s="38"/>
      <c r="X29" s="38"/>
      <c r="Y29" s="38"/>
      <c r="Z29" s="38"/>
      <c r="AA29" s="38"/>
      <c r="AB29" s="38"/>
      <c r="AC29" s="38"/>
      <c r="AD29" s="38"/>
      <c r="AE29" s="38"/>
      <c r="AF29" s="38"/>
      <c r="AG29" s="38"/>
      <c r="AH29" s="38"/>
      <c r="AI29" s="38"/>
      <c r="AJ29" s="38"/>
      <c r="AK29" s="38"/>
    </row>
    <row r="30" spans="1:37" x14ac:dyDescent="0.35">
      <c r="A30" s="38"/>
      <c r="B30" s="38"/>
      <c r="C30" s="38"/>
      <c r="D30" s="38"/>
      <c r="E30" s="38"/>
      <c r="F30" s="144">
        <v>45631</v>
      </c>
      <c r="G30" s="145"/>
      <c r="H30" s="145"/>
      <c r="I30" s="145"/>
      <c r="J30" s="145"/>
      <c r="K30" s="145"/>
      <c r="L30" s="44"/>
      <c r="M30" s="43"/>
      <c r="N30" s="144" t="s">
        <v>47</v>
      </c>
      <c r="O30" s="145"/>
      <c r="P30" s="145"/>
      <c r="Q30" s="145"/>
      <c r="R30" s="145"/>
      <c r="S30" s="146"/>
      <c r="T30" s="43"/>
      <c r="U30" s="43"/>
      <c r="V30" s="38"/>
      <c r="W30" s="38"/>
      <c r="X30" s="38"/>
      <c r="Y30" s="38"/>
      <c r="Z30" s="38"/>
      <c r="AA30" s="38"/>
      <c r="AB30" s="38"/>
      <c r="AC30" s="38"/>
      <c r="AD30" s="38"/>
      <c r="AE30" s="38"/>
      <c r="AF30" s="38"/>
      <c r="AG30" s="38"/>
      <c r="AH30" s="38"/>
      <c r="AI30" s="38"/>
      <c r="AJ30" s="38"/>
      <c r="AK30" s="38"/>
    </row>
    <row r="31" spans="1:37" ht="15" customHeight="1" x14ac:dyDescent="0.35">
      <c r="A31" s="38"/>
      <c r="B31" s="38"/>
      <c r="C31" s="38"/>
      <c r="D31" s="38"/>
      <c r="E31" s="38"/>
      <c r="F31" s="127" t="s">
        <v>462</v>
      </c>
      <c r="G31" s="128"/>
      <c r="H31" s="128"/>
      <c r="I31" s="128"/>
      <c r="J31" s="128"/>
      <c r="K31" s="129"/>
      <c r="L31" s="44"/>
      <c r="M31" s="43"/>
      <c r="N31" s="127" t="s">
        <v>42</v>
      </c>
      <c r="O31" s="136"/>
      <c r="P31" s="136"/>
      <c r="Q31" s="136"/>
      <c r="R31" s="136"/>
      <c r="S31" s="137"/>
      <c r="T31" s="43"/>
      <c r="U31" s="43"/>
      <c r="V31" s="38"/>
      <c r="W31" s="38"/>
      <c r="X31" s="38"/>
      <c r="Y31" s="38"/>
      <c r="Z31" s="38"/>
      <c r="AA31" s="38"/>
      <c r="AB31" s="38"/>
      <c r="AC31" s="38"/>
      <c r="AD31" s="38"/>
      <c r="AE31" s="38"/>
      <c r="AF31" s="38"/>
      <c r="AG31" s="38"/>
      <c r="AH31" s="38"/>
      <c r="AI31" s="38"/>
      <c r="AJ31" s="38"/>
      <c r="AK31" s="38"/>
    </row>
    <row r="32" spans="1:37" x14ac:dyDescent="0.35">
      <c r="A32" s="38"/>
      <c r="B32" s="38"/>
      <c r="C32" s="38"/>
      <c r="D32" s="38"/>
      <c r="E32" s="38"/>
      <c r="F32" s="130"/>
      <c r="G32" s="131"/>
      <c r="H32" s="131"/>
      <c r="I32" s="131"/>
      <c r="J32" s="131"/>
      <c r="K32" s="132"/>
      <c r="L32" s="44"/>
      <c r="M32" s="43"/>
      <c r="N32" s="138"/>
      <c r="O32" s="139"/>
      <c r="P32" s="139"/>
      <c r="Q32" s="139"/>
      <c r="R32" s="139"/>
      <c r="S32" s="140"/>
      <c r="T32" s="43"/>
      <c r="U32" s="43"/>
      <c r="V32" s="38"/>
      <c r="W32" s="38"/>
      <c r="X32" s="38"/>
      <c r="Y32" s="38"/>
      <c r="Z32" s="38"/>
      <c r="AA32" s="38"/>
      <c r="AB32" s="38"/>
      <c r="AC32" s="38"/>
      <c r="AD32" s="38"/>
      <c r="AE32" s="38"/>
      <c r="AF32" s="38"/>
      <c r="AG32" s="38"/>
      <c r="AH32" s="38"/>
      <c r="AI32" s="38"/>
      <c r="AJ32" s="38"/>
      <c r="AK32" s="38"/>
    </row>
    <row r="33" spans="1:37" x14ac:dyDescent="0.35">
      <c r="A33" s="38"/>
      <c r="B33" s="38"/>
      <c r="C33" s="38"/>
      <c r="D33" s="38"/>
      <c r="E33" s="38"/>
      <c r="F33" s="130"/>
      <c r="G33" s="131"/>
      <c r="H33" s="131"/>
      <c r="I33" s="131"/>
      <c r="J33" s="131"/>
      <c r="K33" s="132"/>
      <c r="L33" s="44"/>
      <c r="M33" s="43"/>
      <c r="N33" s="138"/>
      <c r="O33" s="139"/>
      <c r="P33" s="139"/>
      <c r="Q33" s="139"/>
      <c r="R33" s="139"/>
      <c r="S33" s="140"/>
      <c r="T33" s="43"/>
      <c r="U33" s="43"/>
      <c r="V33" s="38"/>
      <c r="W33" s="38"/>
      <c r="X33" s="38"/>
      <c r="Y33" s="38"/>
      <c r="Z33" s="38"/>
      <c r="AA33" s="38"/>
      <c r="AB33" s="38"/>
      <c r="AC33" s="38"/>
      <c r="AD33" s="38"/>
      <c r="AE33" s="38"/>
      <c r="AF33" s="38"/>
      <c r="AG33" s="38"/>
      <c r="AH33" s="38"/>
      <c r="AI33" s="38"/>
      <c r="AJ33" s="38"/>
      <c r="AK33" s="38"/>
    </row>
    <row r="34" spans="1:37" x14ac:dyDescent="0.35">
      <c r="A34" s="38"/>
      <c r="B34" s="38"/>
      <c r="C34" s="38"/>
      <c r="D34" s="38"/>
      <c r="E34" s="38"/>
      <c r="F34" s="130"/>
      <c r="G34" s="131"/>
      <c r="H34" s="131"/>
      <c r="I34" s="131"/>
      <c r="J34" s="131"/>
      <c r="K34" s="132"/>
      <c r="L34" s="44"/>
      <c r="M34" s="43"/>
      <c r="N34" s="138"/>
      <c r="O34" s="139"/>
      <c r="P34" s="139"/>
      <c r="Q34" s="139"/>
      <c r="R34" s="139"/>
      <c r="S34" s="140"/>
      <c r="T34" s="43"/>
      <c r="U34" s="43"/>
      <c r="V34" s="38"/>
      <c r="W34" s="38"/>
      <c r="X34" s="38"/>
      <c r="Y34" s="38"/>
      <c r="Z34" s="38"/>
      <c r="AA34" s="38"/>
      <c r="AB34" s="38"/>
      <c r="AC34" s="38"/>
      <c r="AD34" s="38"/>
      <c r="AE34" s="38"/>
      <c r="AF34" s="38"/>
      <c r="AG34" s="38"/>
      <c r="AH34" s="38"/>
      <c r="AI34" s="38"/>
      <c r="AJ34" s="38"/>
      <c r="AK34" s="38"/>
    </row>
    <row r="35" spans="1:37" x14ac:dyDescent="0.35">
      <c r="A35" s="38"/>
      <c r="B35" s="38"/>
      <c r="C35" s="38"/>
      <c r="D35" s="38"/>
      <c r="E35" s="38"/>
      <c r="F35" s="133"/>
      <c r="G35" s="134"/>
      <c r="H35" s="134"/>
      <c r="I35" s="134"/>
      <c r="J35" s="134"/>
      <c r="K35" s="135"/>
      <c r="L35" s="44"/>
      <c r="M35" s="43"/>
      <c r="N35" s="141"/>
      <c r="O35" s="142"/>
      <c r="P35" s="142"/>
      <c r="Q35" s="142"/>
      <c r="R35" s="142"/>
      <c r="S35" s="143"/>
      <c r="T35" s="43"/>
      <c r="U35" s="43"/>
      <c r="V35" s="38"/>
      <c r="W35" s="38"/>
      <c r="X35" s="38"/>
      <c r="Y35" s="38"/>
      <c r="Z35" s="38"/>
      <c r="AA35" s="38"/>
      <c r="AB35" s="38"/>
      <c r="AC35" s="38"/>
      <c r="AD35" s="38"/>
      <c r="AE35" s="38"/>
      <c r="AF35" s="38"/>
      <c r="AG35" s="38"/>
      <c r="AH35" s="38"/>
      <c r="AI35" s="38"/>
      <c r="AJ35" s="38"/>
      <c r="AK35" s="38"/>
    </row>
    <row r="36" spans="1:37" ht="15" customHeight="1" x14ac:dyDescent="0.35">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row>
    <row r="37" spans="1:37" ht="15" customHeight="1" x14ac:dyDescent="0.35">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5"/>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7"/>
  <sheetViews>
    <sheetView showGridLines="0" zoomScale="80" zoomScaleNormal="80" zoomScaleSheetLayoutView="80" workbookViewId="0">
      <pane ySplit="3" topLeftCell="A4" activePane="bottomLeft" state="frozen"/>
      <selection pane="bottomLeft" activeCell="E5" sqref="E5"/>
    </sheetView>
  </sheetViews>
  <sheetFormatPr defaultColWidth="8.78515625" defaultRowHeight="15" x14ac:dyDescent="0.35"/>
  <cols>
    <col min="1" max="1" width="2.78515625" customWidth="1"/>
    <col min="2" max="2" width="3.78515625" bestFit="1" customWidth="1"/>
    <col min="3" max="3" width="10.42578125" bestFit="1" customWidth="1"/>
    <col min="4" max="4" width="11.35546875" style="34" bestFit="1" customWidth="1"/>
    <col min="5" max="5" width="19.5703125" bestFit="1" customWidth="1"/>
    <col min="6" max="6" width="15.78515625" style="34" customWidth="1"/>
    <col min="7" max="7" width="12.2109375" style="34" bestFit="1" customWidth="1"/>
    <col min="8" max="8" width="58.42578125" bestFit="1" customWidth="1"/>
    <col min="9" max="9" width="59.2109375" customWidth="1"/>
  </cols>
  <sheetData>
    <row r="1" spans="1:10" ht="19.5" x14ac:dyDescent="0.35">
      <c r="A1" s="21" t="s">
        <v>48</v>
      </c>
      <c r="D1" s="33"/>
    </row>
    <row r="2" spans="1:10" x14ac:dyDescent="0.35">
      <c r="C2" s="19"/>
    </row>
    <row r="3" spans="1:10" x14ac:dyDescent="0.35">
      <c r="B3" s="18" t="s">
        <v>1</v>
      </c>
      <c r="C3" s="18" t="s">
        <v>2</v>
      </c>
      <c r="D3" s="35" t="s">
        <v>43</v>
      </c>
      <c r="E3" s="18" t="s">
        <v>3</v>
      </c>
      <c r="F3" s="35" t="s">
        <v>50</v>
      </c>
      <c r="G3" s="35" t="s">
        <v>51</v>
      </c>
      <c r="H3" s="18" t="s">
        <v>4</v>
      </c>
      <c r="I3" s="18" t="s">
        <v>5</v>
      </c>
    </row>
    <row r="4" spans="1:10" ht="60" x14ac:dyDescent="0.35">
      <c r="B4" s="15">
        <f t="shared" ref="B4:B21" si="0">ROW()-3</f>
        <v>1</v>
      </c>
      <c r="C4" s="15" t="s">
        <v>52</v>
      </c>
      <c r="D4" s="36" t="s">
        <v>44</v>
      </c>
      <c r="E4" s="79" t="s">
        <v>53</v>
      </c>
      <c r="F4" s="47" t="s">
        <v>464</v>
      </c>
      <c r="G4" s="48">
        <v>45631</v>
      </c>
      <c r="H4" s="22"/>
      <c r="I4" s="22" t="s">
        <v>290</v>
      </c>
    </row>
    <row r="5" spans="1:10" ht="60" x14ac:dyDescent="0.35">
      <c r="B5" s="15">
        <f t="shared" si="0"/>
        <v>2</v>
      </c>
      <c r="C5" s="15" t="s">
        <v>52</v>
      </c>
      <c r="D5" s="36" t="s">
        <v>44</v>
      </c>
      <c r="E5" s="79" t="s">
        <v>54</v>
      </c>
      <c r="F5" s="47" t="s">
        <v>464</v>
      </c>
      <c r="G5" s="48">
        <v>45631</v>
      </c>
      <c r="H5" s="22" t="s">
        <v>507</v>
      </c>
      <c r="I5" s="22" t="s">
        <v>293</v>
      </c>
    </row>
    <row r="6" spans="1:10" ht="30" x14ac:dyDescent="0.35">
      <c r="B6" s="15">
        <f t="shared" si="0"/>
        <v>3</v>
      </c>
      <c r="C6" s="15" t="s">
        <v>52</v>
      </c>
      <c r="D6" s="36" t="s">
        <v>44</v>
      </c>
      <c r="E6" s="79" t="s">
        <v>55</v>
      </c>
      <c r="F6" s="47" t="s">
        <v>464</v>
      </c>
      <c r="G6" s="48">
        <v>45632</v>
      </c>
      <c r="H6" s="22"/>
      <c r="I6" s="22" t="s">
        <v>294</v>
      </c>
    </row>
    <row r="7" spans="1:10" ht="30" x14ac:dyDescent="0.35">
      <c r="B7" s="15">
        <f t="shared" si="0"/>
        <v>4</v>
      </c>
      <c r="C7" s="15" t="s">
        <v>52</v>
      </c>
      <c r="D7" s="110" t="s">
        <v>559</v>
      </c>
      <c r="E7" s="79" t="s">
        <v>56</v>
      </c>
      <c r="F7" s="47" t="s">
        <v>464</v>
      </c>
      <c r="G7" s="48">
        <v>45632</v>
      </c>
      <c r="H7" s="22"/>
      <c r="I7" s="22" t="s">
        <v>298</v>
      </c>
      <c r="J7" s="88"/>
    </row>
    <row r="8" spans="1:10" ht="30" x14ac:dyDescent="0.35">
      <c r="B8" s="15">
        <f t="shared" si="0"/>
        <v>5</v>
      </c>
      <c r="C8" s="15" t="s">
        <v>52</v>
      </c>
      <c r="D8" s="110" t="s">
        <v>559</v>
      </c>
      <c r="E8" s="79" t="s">
        <v>57</v>
      </c>
      <c r="F8" s="47" t="s">
        <v>464</v>
      </c>
      <c r="G8" s="48">
        <v>45631</v>
      </c>
      <c r="H8" s="22"/>
      <c r="I8" s="22" t="s">
        <v>300</v>
      </c>
      <c r="J8" s="88"/>
    </row>
    <row r="9" spans="1:10" x14ac:dyDescent="0.35">
      <c r="B9" s="75">
        <f t="shared" si="0"/>
        <v>6</v>
      </c>
      <c r="C9" s="75" t="s">
        <v>52</v>
      </c>
      <c r="D9" s="76" t="s">
        <v>44</v>
      </c>
      <c r="E9" s="77" t="s">
        <v>58</v>
      </c>
      <c r="F9" s="77"/>
      <c r="G9" s="77"/>
      <c r="H9" s="78" t="s">
        <v>463</v>
      </c>
      <c r="I9" s="78" t="s">
        <v>115</v>
      </c>
    </row>
    <row r="10" spans="1:10" x14ac:dyDescent="0.35">
      <c r="B10" s="75">
        <f t="shared" si="0"/>
        <v>7</v>
      </c>
      <c r="C10" s="75" t="s">
        <v>52</v>
      </c>
      <c r="D10" s="76" t="s">
        <v>44</v>
      </c>
      <c r="E10" s="77" t="s">
        <v>59</v>
      </c>
      <c r="F10" s="77"/>
      <c r="G10" s="77"/>
      <c r="H10" s="78" t="s">
        <v>463</v>
      </c>
      <c r="I10" s="78" t="s">
        <v>116</v>
      </c>
    </row>
    <row r="11" spans="1:10" x14ac:dyDescent="0.35">
      <c r="B11" s="75">
        <f t="shared" si="0"/>
        <v>8</v>
      </c>
      <c r="C11" s="75" t="s">
        <v>52</v>
      </c>
      <c r="D11" s="76" t="s">
        <v>44</v>
      </c>
      <c r="E11" s="77" t="s">
        <v>60</v>
      </c>
      <c r="F11" s="77"/>
      <c r="G11" s="77"/>
      <c r="H11" s="78" t="s">
        <v>463</v>
      </c>
      <c r="I11" s="78" t="s">
        <v>117</v>
      </c>
    </row>
    <row r="12" spans="1:10" ht="60" x14ac:dyDescent="0.35">
      <c r="B12" s="15">
        <f t="shared" si="0"/>
        <v>9</v>
      </c>
      <c r="C12" s="15" t="s">
        <v>52</v>
      </c>
      <c r="D12" s="36" t="s">
        <v>44</v>
      </c>
      <c r="E12" s="79" t="s">
        <v>61</v>
      </c>
      <c r="F12" s="47" t="s">
        <v>464</v>
      </c>
      <c r="G12" s="48">
        <v>45631</v>
      </c>
      <c r="H12" s="22"/>
      <c r="I12" s="22" t="s">
        <v>301</v>
      </c>
      <c r="J12" s="88"/>
    </row>
    <row r="13" spans="1:10" ht="30" x14ac:dyDescent="0.35">
      <c r="B13" s="15">
        <f t="shared" si="0"/>
        <v>10</v>
      </c>
      <c r="C13" s="15" t="s">
        <v>52</v>
      </c>
      <c r="D13" s="36" t="s">
        <v>44</v>
      </c>
      <c r="E13" s="79" t="s">
        <v>62</v>
      </c>
      <c r="F13" s="47" t="s">
        <v>464</v>
      </c>
      <c r="G13" s="48">
        <v>45632</v>
      </c>
      <c r="H13" s="22" t="s">
        <v>560</v>
      </c>
      <c r="I13" s="22" t="s">
        <v>304</v>
      </c>
    </row>
    <row r="14" spans="1:10" ht="30" x14ac:dyDescent="0.35">
      <c r="B14" s="75">
        <f t="shared" si="0"/>
        <v>11</v>
      </c>
      <c r="C14" s="75" t="s">
        <v>52</v>
      </c>
      <c r="D14" s="76" t="s">
        <v>44</v>
      </c>
      <c r="E14" s="106" t="s">
        <v>63</v>
      </c>
      <c r="F14" s="77"/>
      <c r="G14" s="77"/>
      <c r="H14" s="78" t="s">
        <v>523</v>
      </c>
      <c r="I14" s="78" t="s">
        <v>306</v>
      </c>
    </row>
    <row r="15" spans="1:10" x14ac:dyDescent="0.35">
      <c r="B15" s="75">
        <f t="shared" si="0"/>
        <v>12</v>
      </c>
      <c r="C15" s="75" t="s">
        <v>52</v>
      </c>
      <c r="D15" s="76" t="s">
        <v>44</v>
      </c>
      <c r="E15" s="77" t="s">
        <v>64</v>
      </c>
      <c r="F15" s="77"/>
      <c r="G15" s="77"/>
      <c r="H15" s="78" t="s">
        <v>463</v>
      </c>
      <c r="I15" s="78" t="s">
        <v>118</v>
      </c>
    </row>
    <row r="16" spans="1:10" x14ac:dyDescent="0.35">
      <c r="B16" s="75">
        <f t="shared" si="0"/>
        <v>13</v>
      </c>
      <c r="C16" s="75" t="s">
        <v>52</v>
      </c>
      <c r="D16" s="76" t="s">
        <v>44</v>
      </c>
      <c r="E16" s="77" t="s">
        <v>58</v>
      </c>
      <c r="F16" s="77"/>
      <c r="G16" s="77"/>
      <c r="H16" s="78" t="s">
        <v>463</v>
      </c>
      <c r="I16" s="78" t="s">
        <v>119</v>
      </c>
    </row>
    <row r="17" spans="2:9" x14ac:dyDescent="0.35">
      <c r="B17" s="75">
        <f t="shared" si="0"/>
        <v>14</v>
      </c>
      <c r="C17" s="75" t="s">
        <v>52</v>
      </c>
      <c r="D17" s="76" t="s">
        <v>44</v>
      </c>
      <c r="E17" s="77" t="s">
        <v>65</v>
      </c>
      <c r="F17" s="77"/>
      <c r="G17" s="77"/>
      <c r="H17" s="78" t="s">
        <v>463</v>
      </c>
      <c r="I17" s="78" t="s">
        <v>120</v>
      </c>
    </row>
    <row r="18" spans="2:9" x14ac:dyDescent="0.35">
      <c r="B18" s="75">
        <f t="shared" si="0"/>
        <v>15</v>
      </c>
      <c r="C18" s="75" t="s">
        <v>52</v>
      </c>
      <c r="D18" s="76" t="s">
        <v>44</v>
      </c>
      <c r="E18" s="77" t="s">
        <v>66</v>
      </c>
      <c r="F18" s="77"/>
      <c r="G18" s="77"/>
      <c r="H18" s="78" t="s">
        <v>463</v>
      </c>
      <c r="I18" s="78" t="s">
        <v>121</v>
      </c>
    </row>
    <row r="19" spans="2:9" ht="30" x14ac:dyDescent="0.35">
      <c r="B19" s="75">
        <f t="shared" si="0"/>
        <v>16</v>
      </c>
      <c r="C19" s="75" t="s">
        <v>52</v>
      </c>
      <c r="D19" s="76" t="s">
        <v>44</v>
      </c>
      <c r="E19" s="77" t="s">
        <v>67</v>
      </c>
      <c r="F19" s="77"/>
      <c r="G19" s="77"/>
      <c r="H19" s="78" t="s">
        <v>463</v>
      </c>
      <c r="I19" s="78" t="s">
        <v>123</v>
      </c>
    </row>
    <row r="20" spans="2:9" x14ac:dyDescent="0.35">
      <c r="B20" s="75">
        <f t="shared" si="0"/>
        <v>17</v>
      </c>
      <c r="C20" s="75" t="s">
        <v>52</v>
      </c>
      <c r="D20" s="76" t="s">
        <v>44</v>
      </c>
      <c r="E20" s="77" t="s">
        <v>68</v>
      </c>
      <c r="F20" s="77"/>
      <c r="G20" s="77"/>
      <c r="H20" s="78" t="s">
        <v>463</v>
      </c>
      <c r="I20" s="78" t="s">
        <v>124</v>
      </c>
    </row>
    <row r="21" spans="2:9" x14ac:dyDescent="0.35">
      <c r="B21" s="75">
        <f t="shared" si="0"/>
        <v>18</v>
      </c>
      <c r="C21" s="75" t="s">
        <v>52</v>
      </c>
      <c r="D21" s="76" t="s">
        <v>44</v>
      </c>
      <c r="E21" s="77" t="s">
        <v>69</v>
      </c>
      <c r="F21" s="77"/>
      <c r="G21" s="77"/>
      <c r="H21" s="78" t="s">
        <v>463</v>
      </c>
      <c r="I21" s="78" t="s">
        <v>122</v>
      </c>
    </row>
    <row r="22" spans="2:9" x14ac:dyDescent="0.35">
      <c r="F22"/>
      <c r="G22"/>
    </row>
    <row r="23" spans="2:9" x14ac:dyDescent="0.35">
      <c r="F23"/>
      <c r="G23"/>
    </row>
    <row r="24" spans="2:9" x14ac:dyDescent="0.35">
      <c r="F24"/>
      <c r="G24"/>
    </row>
    <row r="25" spans="2:9" x14ac:dyDescent="0.35">
      <c r="F25"/>
      <c r="G25"/>
    </row>
    <row r="26" spans="2:9" x14ac:dyDescent="0.35">
      <c r="F26"/>
      <c r="G26"/>
    </row>
    <row r="27" spans="2:9" x14ac:dyDescent="0.35">
      <c r="F27"/>
      <c r="G27"/>
    </row>
  </sheetData>
  <phoneticPr fontId="15"/>
  <conditionalFormatting sqref="C4:G21">
    <cfRule type="expression" dxfId="2" priority="1">
      <formula>$E4="不要"</formula>
    </cfRule>
  </conditionalFormatting>
  <conditionalFormatting sqref="H6:H21">
    <cfRule type="expression" dxfId="1" priority="51">
      <formula>$D6="不要"</formula>
    </cfRule>
  </conditionalFormatting>
  <conditionalFormatting sqref="H4:I5 I6:I21">
    <cfRule type="expression" dxfId="0" priority="37">
      <formula>$E4="不要"</formula>
    </cfRule>
  </conditionalFormatting>
  <dataValidations count="1">
    <dataValidation type="list" allowBlank="1" showInputMessage="1" showErrorMessage="1" sqref="D4:D21" xr:uid="{9CD42255-CFBB-468E-8F7B-585497B90190}">
      <formula1>"共通,個別"</formula1>
    </dataValidation>
  </dataValidations>
  <hyperlinks>
    <hyperlink ref="E4" location="予算作成パラメーター!A1" display="予算作成パラメーター" xr:uid="{A0724BEF-98B7-4363-8E07-A32AB4CF3363}"/>
    <hyperlink ref="E7" location="予算モデル!A1" display="予算モデル" xr:uid="{577C24FC-3B14-4659-851D-F18F22709668}"/>
    <hyperlink ref="E8" location="予算コード!A1" display="予算コード" xr:uid="{72C33BC2-A8E2-499D-AA44-1606F3B09B04}"/>
    <hyperlink ref="E12" location="予算サイクル!A1" display="予算サイクル" xr:uid="{7D0DE51E-509F-4EDD-97D5-B6A9480AE5C8}"/>
    <hyperlink ref="E13" location="予算計画のコンフィギュレーション!A1" display="予算計画のコンフィギュレーション" xr:uid="{BE46C572-C8BB-4232-8A2C-DE992ABBBA68}"/>
    <hyperlink ref="E14" location="予算計画プロセス!A1" display="予算計画プロセス" xr:uid="{6CEA897F-8732-43EF-B124-C4D513D5BF52}"/>
    <hyperlink ref="E5" location="予算作成ワークフロー!A1" display="予算作成ワークフロー" xr:uid="{82F019C9-0C2E-4528-AA5D-48AF538C46DC}"/>
    <hyperlink ref="E6" location="予算作成の分析コード!A1" display="予算作成用の分析コード" xr:uid="{70FB0DE2-F3AA-401C-ADAE-5042EBF05EBB}"/>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B61C-9DAE-4376-908A-6B4BC5700BD2}">
  <dimension ref="A1:L38"/>
  <sheetViews>
    <sheetView showGridLines="0" zoomScale="70" zoomScaleNormal="70" workbookViewId="0">
      <pane xSplit="6" ySplit="7" topLeftCell="G8"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64.210937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45" t="s">
        <v>53</v>
      </c>
    </row>
    <row r="2" spans="1:12" customFormat="1" ht="19.5" x14ac:dyDescent="0.35">
      <c r="A2" s="45"/>
      <c r="B2" s="59" t="s">
        <v>174</v>
      </c>
    </row>
    <row r="3" spans="1:12" customFormat="1" ht="19.5" x14ac:dyDescent="0.35">
      <c r="A3" s="45"/>
      <c r="B3" s="59" t="s">
        <v>208</v>
      </c>
    </row>
    <row r="4" spans="1:12" s="81" customFormat="1" ht="15" x14ac:dyDescent="0.35">
      <c r="B4" s="81" t="s">
        <v>291</v>
      </c>
    </row>
    <row r="5" spans="1:12" s="81" customFormat="1" ht="15" x14ac:dyDescent="0.35">
      <c r="B5" s="81" t="s">
        <v>292</v>
      </c>
    </row>
    <row r="6" spans="1:12" customFormat="1" ht="15" x14ac:dyDescent="0.35">
      <c r="A6" s="6" t="s">
        <v>49</v>
      </c>
    </row>
    <row r="7" spans="1:12" x14ac:dyDescent="0.35">
      <c r="B7" s="7" t="s">
        <v>6</v>
      </c>
      <c r="C7" s="8" t="s">
        <v>10</v>
      </c>
      <c r="D7" s="8" t="s">
        <v>11</v>
      </c>
      <c r="E7" s="8" t="s">
        <v>12</v>
      </c>
      <c r="F7" s="9" t="s">
        <v>13</v>
      </c>
      <c r="G7" s="9" t="s">
        <v>14</v>
      </c>
      <c r="H7" s="8" t="s">
        <v>15</v>
      </c>
      <c r="I7" s="8" t="s">
        <v>16</v>
      </c>
      <c r="J7" s="7" t="s">
        <v>17</v>
      </c>
      <c r="K7" s="10" t="s">
        <v>18</v>
      </c>
      <c r="L7" s="10" t="s">
        <v>19</v>
      </c>
    </row>
    <row r="8" spans="1:12" x14ac:dyDescent="0.35">
      <c r="B8" s="11">
        <f>ROW() - 5</f>
        <v>3</v>
      </c>
      <c r="C8" s="49" t="s">
        <v>70</v>
      </c>
      <c r="D8" s="49" t="s">
        <v>76</v>
      </c>
      <c r="E8" s="147" t="s">
        <v>70</v>
      </c>
      <c r="F8" s="12" t="s">
        <v>71</v>
      </c>
      <c r="H8" s="12" t="s">
        <v>125</v>
      </c>
      <c r="I8" s="12" t="s">
        <v>23</v>
      </c>
      <c r="J8" s="13"/>
      <c r="K8" s="1"/>
      <c r="L8" s="2"/>
    </row>
    <row r="9" spans="1:12" ht="27" x14ac:dyDescent="0.35">
      <c r="B9" s="11">
        <f t="shared" ref="B9:B38" si="0">ROW() - 5</f>
        <v>4</v>
      </c>
      <c r="C9" s="46"/>
      <c r="D9" s="46"/>
      <c r="E9" s="148"/>
      <c r="F9" s="12" t="s">
        <v>72</v>
      </c>
      <c r="G9" s="12" t="s">
        <v>78</v>
      </c>
      <c r="H9" s="12" t="s">
        <v>24</v>
      </c>
      <c r="I9" s="12" t="s">
        <v>25</v>
      </c>
      <c r="J9" s="13"/>
      <c r="K9" s="1" t="s">
        <v>25</v>
      </c>
      <c r="L9" s="2"/>
    </row>
    <row r="10" spans="1:12" x14ac:dyDescent="0.35">
      <c r="B10" s="11">
        <f t="shared" si="0"/>
        <v>5</v>
      </c>
      <c r="C10" s="46"/>
      <c r="D10" s="46"/>
      <c r="E10" s="148"/>
      <c r="F10" s="12" t="s">
        <v>73</v>
      </c>
      <c r="G10" s="13" t="s">
        <v>79</v>
      </c>
      <c r="H10" s="12" t="s">
        <v>24</v>
      </c>
      <c r="I10" s="12" t="s">
        <v>25</v>
      </c>
      <c r="J10" s="13"/>
      <c r="K10" s="1" t="s">
        <v>25</v>
      </c>
      <c r="L10" s="2"/>
    </row>
    <row r="11" spans="1:12" ht="27" x14ac:dyDescent="0.35">
      <c r="B11" s="11">
        <f t="shared" si="0"/>
        <v>6</v>
      </c>
      <c r="C11" s="46"/>
      <c r="D11" s="46"/>
      <c r="E11" s="148"/>
      <c r="F11" s="12" t="s">
        <v>74</v>
      </c>
      <c r="G11" s="13" t="s">
        <v>80</v>
      </c>
      <c r="H11" s="12" t="s">
        <v>24</v>
      </c>
      <c r="I11" s="12" t="s">
        <v>25</v>
      </c>
      <c r="J11" s="13"/>
      <c r="K11" s="1" t="s">
        <v>25</v>
      </c>
      <c r="L11" s="2"/>
    </row>
    <row r="12" spans="1:12" ht="81" x14ac:dyDescent="0.35">
      <c r="B12" s="11">
        <f t="shared" si="0"/>
        <v>7</v>
      </c>
      <c r="C12" s="46"/>
      <c r="D12" s="46"/>
      <c r="E12" s="149"/>
      <c r="F12" s="12" t="s">
        <v>75</v>
      </c>
      <c r="G12" s="13" t="s">
        <v>81</v>
      </c>
      <c r="H12" s="12" t="s">
        <v>209</v>
      </c>
      <c r="I12" s="16" t="s">
        <v>23</v>
      </c>
      <c r="J12" s="13"/>
      <c r="K12" s="1"/>
      <c r="L12" s="2"/>
    </row>
    <row r="13" spans="1:12" ht="54" x14ac:dyDescent="0.35">
      <c r="B13" s="11">
        <f t="shared" si="0"/>
        <v>8</v>
      </c>
      <c r="C13" s="46"/>
      <c r="D13" s="46"/>
      <c r="E13" s="147" t="s">
        <v>82</v>
      </c>
      <c r="F13" s="12" t="s">
        <v>83</v>
      </c>
      <c r="G13" s="51" t="s">
        <v>84</v>
      </c>
      <c r="H13" s="12" t="s">
        <v>113</v>
      </c>
      <c r="I13" s="12" t="s">
        <v>210</v>
      </c>
      <c r="J13" s="51"/>
      <c r="K13" s="1" t="s">
        <v>210</v>
      </c>
      <c r="L13" s="2"/>
    </row>
    <row r="14" spans="1:12" ht="40.5" x14ac:dyDescent="0.35">
      <c r="B14" s="11">
        <f t="shared" si="0"/>
        <v>9</v>
      </c>
      <c r="C14" s="46"/>
      <c r="D14" s="46"/>
      <c r="E14" s="148"/>
      <c r="F14" s="12" t="s">
        <v>85</v>
      </c>
      <c r="G14" s="51" t="s">
        <v>86</v>
      </c>
      <c r="H14" s="12" t="s">
        <v>112</v>
      </c>
      <c r="I14" s="12" t="s">
        <v>211</v>
      </c>
      <c r="J14" s="51"/>
      <c r="K14" s="1" t="s">
        <v>211</v>
      </c>
      <c r="L14" s="2"/>
    </row>
    <row r="15" spans="1:12" ht="40.5" x14ac:dyDescent="0.35">
      <c r="B15" s="11">
        <f t="shared" si="0"/>
        <v>10</v>
      </c>
      <c r="C15" s="46"/>
      <c r="D15" s="46"/>
      <c r="E15" s="51" t="s">
        <v>175</v>
      </c>
      <c r="F15" s="12" t="s">
        <v>176</v>
      </c>
      <c r="G15" s="51" t="s">
        <v>367</v>
      </c>
      <c r="H15" s="12" t="s">
        <v>24</v>
      </c>
      <c r="I15" s="12" t="s">
        <v>25</v>
      </c>
      <c r="J15" s="51"/>
      <c r="K15" s="1" t="s">
        <v>25</v>
      </c>
      <c r="L15" s="2"/>
    </row>
    <row r="16" spans="1:12" ht="40.5" x14ac:dyDescent="0.35">
      <c r="B16" s="11">
        <f t="shared" si="0"/>
        <v>11</v>
      </c>
      <c r="C16" s="46"/>
      <c r="D16" s="46"/>
      <c r="E16" s="56"/>
      <c r="F16" s="12" t="s">
        <v>177</v>
      </c>
      <c r="G16" s="51" t="s">
        <v>368</v>
      </c>
      <c r="H16" s="12" t="s">
        <v>24</v>
      </c>
      <c r="I16" s="12" t="s">
        <v>25</v>
      </c>
      <c r="J16" s="51"/>
      <c r="K16" s="1" t="s">
        <v>25</v>
      </c>
      <c r="L16" s="2"/>
    </row>
    <row r="17" spans="2:12" ht="27" x14ac:dyDescent="0.35">
      <c r="B17" s="11">
        <f t="shared" si="0"/>
        <v>12</v>
      </c>
      <c r="C17" s="46"/>
      <c r="D17" s="46"/>
      <c r="E17" s="56"/>
      <c r="F17" s="12" t="s">
        <v>178</v>
      </c>
      <c r="G17" s="51" t="s">
        <v>369</v>
      </c>
      <c r="H17" s="12" t="s">
        <v>24</v>
      </c>
      <c r="I17" s="12" t="s">
        <v>25</v>
      </c>
      <c r="J17" s="51"/>
      <c r="K17" s="1" t="s">
        <v>25</v>
      </c>
      <c r="L17" s="2"/>
    </row>
    <row r="18" spans="2:12" ht="27" x14ac:dyDescent="0.35">
      <c r="B18" s="11">
        <f t="shared" si="0"/>
        <v>13</v>
      </c>
      <c r="C18" s="46"/>
      <c r="D18" s="46"/>
      <c r="E18" s="56"/>
      <c r="F18" s="12" t="s">
        <v>179</v>
      </c>
      <c r="G18" s="51" t="s">
        <v>370</v>
      </c>
      <c r="H18" s="12" t="s">
        <v>24</v>
      </c>
      <c r="I18" s="12" t="s">
        <v>25</v>
      </c>
      <c r="J18" s="51"/>
      <c r="K18" s="1" t="s">
        <v>25</v>
      </c>
      <c r="L18" s="2"/>
    </row>
    <row r="19" spans="2:12" ht="27" x14ac:dyDescent="0.35">
      <c r="B19" s="11">
        <f t="shared" si="0"/>
        <v>14</v>
      </c>
      <c r="C19" s="46"/>
      <c r="D19" s="147"/>
      <c r="E19" s="49" t="s">
        <v>87</v>
      </c>
      <c r="F19" s="12" t="s">
        <v>88</v>
      </c>
      <c r="G19" s="51" t="s">
        <v>89</v>
      </c>
      <c r="H19" s="12" t="s">
        <v>24</v>
      </c>
      <c r="I19" s="12" t="s">
        <v>25</v>
      </c>
      <c r="J19" s="51"/>
      <c r="K19" s="1" t="s">
        <v>25</v>
      </c>
      <c r="L19" s="2"/>
    </row>
    <row r="20" spans="2:12" ht="27" x14ac:dyDescent="0.35">
      <c r="B20" s="11">
        <f t="shared" si="0"/>
        <v>15</v>
      </c>
      <c r="C20" s="46"/>
      <c r="D20" s="148"/>
      <c r="E20" s="50"/>
      <c r="F20" s="12" t="s">
        <v>90</v>
      </c>
      <c r="G20" s="51" t="s">
        <v>141</v>
      </c>
      <c r="H20" s="12" t="s">
        <v>24</v>
      </c>
      <c r="I20" s="12" t="s">
        <v>25</v>
      </c>
      <c r="J20" s="51"/>
      <c r="K20" s="1" t="s">
        <v>25</v>
      </c>
      <c r="L20" s="2"/>
    </row>
    <row r="21" spans="2:12" ht="27" x14ac:dyDescent="0.35">
      <c r="B21" s="11">
        <f t="shared" si="0"/>
        <v>16</v>
      </c>
      <c r="C21" s="46"/>
      <c r="D21" s="148"/>
      <c r="E21" s="147" t="s">
        <v>91</v>
      </c>
      <c r="F21" s="12" t="s">
        <v>92</v>
      </c>
      <c r="G21" s="25" t="s">
        <v>142</v>
      </c>
      <c r="H21" s="12" t="s">
        <v>24</v>
      </c>
      <c r="I21" s="12" t="s">
        <v>25</v>
      </c>
      <c r="J21" s="12"/>
      <c r="K21" s="1" t="s">
        <v>25</v>
      </c>
      <c r="L21" s="2"/>
    </row>
    <row r="22" spans="2:12" ht="27" x14ac:dyDescent="0.35">
      <c r="B22" s="11">
        <f t="shared" si="0"/>
        <v>17</v>
      </c>
      <c r="C22" s="46"/>
      <c r="D22" s="148"/>
      <c r="E22" s="149"/>
      <c r="F22" s="12" t="s">
        <v>93</v>
      </c>
      <c r="G22" s="12" t="s">
        <v>94</v>
      </c>
      <c r="H22" s="12" t="s">
        <v>24</v>
      </c>
      <c r="I22" s="12" t="s">
        <v>25</v>
      </c>
      <c r="J22" s="12"/>
      <c r="K22" s="1" t="s">
        <v>25</v>
      </c>
      <c r="L22" s="2"/>
    </row>
    <row r="23" spans="2:12" ht="27" x14ac:dyDescent="0.35">
      <c r="B23" s="11">
        <f t="shared" si="0"/>
        <v>18</v>
      </c>
      <c r="C23" s="46"/>
      <c r="D23" s="148"/>
      <c r="E23" s="49" t="s">
        <v>95</v>
      </c>
      <c r="F23" s="12" t="s">
        <v>96</v>
      </c>
      <c r="G23" s="12" t="s">
        <v>97</v>
      </c>
      <c r="H23" s="12" t="s">
        <v>24</v>
      </c>
      <c r="I23" s="12" t="s">
        <v>25</v>
      </c>
      <c r="J23" s="17"/>
      <c r="K23" s="1" t="s">
        <v>25</v>
      </c>
      <c r="L23" s="2"/>
    </row>
    <row r="24" spans="2:12" ht="28.5" customHeight="1" x14ac:dyDescent="0.35">
      <c r="B24" s="11">
        <f t="shared" si="0"/>
        <v>19</v>
      </c>
      <c r="C24" s="46"/>
      <c r="D24" s="148"/>
      <c r="E24" s="46"/>
      <c r="F24" s="12" t="s">
        <v>56</v>
      </c>
      <c r="G24" s="12"/>
      <c r="H24" s="12" t="s">
        <v>126</v>
      </c>
      <c r="I24" s="12" t="s">
        <v>23</v>
      </c>
      <c r="J24" s="17"/>
      <c r="K24" s="1"/>
      <c r="L24" s="2"/>
    </row>
    <row r="25" spans="2:12" ht="28.5" customHeight="1" x14ac:dyDescent="0.35">
      <c r="B25" s="11">
        <f t="shared" si="0"/>
        <v>20</v>
      </c>
      <c r="C25" s="46"/>
      <c r="D25" s="149"/>
      <c r="E25" s="50"/>
      <c r="F25" s="12" t="s">
        <v>57</v>
      </c>
      <c r="G25" s="17"/>
      <c r="H25" s="12" t="s">
        <v>127</v>
      </c>
      <c r="I25" s="12" t="s">
        <v>23</v>
      </c>
      <c r="J25" s="17"/>
      <c r="K25" s="1"/>
      <c r="L25" s="2"/>
    </row>
    <row r="26" spans="2:12" ht="27" x14ac:dyDescent="0.35">
      <c r="B26" s="11">
        <f t="shared" si="0"/>
        <v>21</v>
      </c>
      <c r="C26" s="147" t="s">
        <v>98</v>
      </c>
      <c r="D26" s="147" t="s">
        <v>99</v>
      </c>
      <c r="E26" s="147" t="s">
        <v>100</v>
      </c>
      <c r="F26" s="12" t="s">
        <v>101</v>
      </c>
      <c r="G26" s="12"/>
      <c r="H26" s="12" t="s">
        <v>114</v>
      </c>
      <c r="I26" s="12" t="s">
        <v>212</v>
      </c>
      <c r="J26" s="17"/>
      <c r="K26" s="32" t="s">
        <v>465</v>
      </c>
      <c r="L26" s="2"/>
    </row>
    <row r="27" spans="2:12" ht="28.5" customHeight="1" x14ac:dyDescent="0.35">
      <c r="B27" s="11">
        <f t="shared" si="0"/>
        <v>22</v>
      </c>
      <c r="C27" s="148"/>
      <c r="D27" s="148"/>
      <c r="E27" s="148"/>
      <c r="F27" s="12" t="s">
        <v>102</v>
      </c>
      <c r="G27" s="12" t="s">
        <v>26</v>
      </c>
      <c r="H27" s="12" t="s">
        <v>128</v>
      </c>
      <c r="I27" s="12" t="s">
        <v>23</v>
      </c>
      <c r="J27" s="17"/>
      <c r="K27" s="1"/>
      <c r="L27" s="2"/>
    </row>
    <row r="28" spans="2:12" x14ac:dyDescent="0.35">
      <c r="B28" s="11">
        <f t="shared" si="0"/>
        <v>23</v>
      </c>
      <c r="C28" s="148"/>
      <c r="D28" s="148"/>
      <c r="E28" s="149"/>
      <c r="F28" s="12" t="s">
        <v>56</v>
      </c>
      <c r="G28" s="12"/>
      <c r="H28" s="12" t="s">
        <v>126</v>
      </c>
      <c r="I28" s="12" t="s">
        <v>23</v>
      </c>
      <c r="J28" s="12"/>
      <c r="K28" s="1"/>
      <c r="L28" s="2"/>
    </row>
    <row r="29" spans="2:12" ht="15" customHeight="1" x14ac:dyDescent="0.35">
      <c r="B29" s="11">
        <f t="shared" si="0"/>
        <v>24</v>
      </c>
      <c r="C29" s="148"/>
      <c r="D29" s="148"/>
      <c r="E29" s="147" t="s">
        <v>27</v>
      </c>
      <c r="F29" s="12" t="s">
        <v>103</v>
      </c>
      <c r="G29" s="12" t="s">
        <v>26</v>
      </c>
      <c r="H29" s="12" t="s">
        <v>129</v>
      </c>
      <c r="I29" s="12" t="s">
        <v>23</v>
      </c>
      <c r="J29" s="12"/>
      <c r="K29" s="1"/>
      <c r="L29" s="2"/>
    </row>
    <row r="30" spans="2:12" x14ac:dyDescent="0.35">
      <c r="B30" s="11">
        <f t="shared" si="0"/>
        <v>25</v>
      </c>
      <c r="C30" s="148"/>
      <c r="D30" s="148"/>
      <c r="E30" s="148"/>
      <c r="F30" s="12" t="s">
        <v>61</v>
      </c>
      <c r="G30" s="12" t="s">
        <v>26</v>
      </c>
      <c r="H30" s="12" t="s">
        <v>130</v>
      </c>
      <c r="I30" s="12" t="s">
        <v>23</v>
      </c>
      <c r="J30" s="12"/>
      <c r="K30" s="1"/>
      <c r="L30" s="2"/>
    </row>
    <row r="31" spans="2:12" ht="27" x14ac:dyDescent="0.35">
      <c r="B31" s="11">
        <f t="shared" si="0"/>
        <v>26</v>
      </c>
      <c r="C31" s="148"/>
      <c r="D31" s="148"/>
      <c r="E31" s="149"/>
      <c r="F31" s="12" t="s">
        <v>104</v>
      </c>
      <c r="G31" s="12" t="s">
        <v>26</v>
      </c>
      <c r="H31" s="12" t="s">
        <v>213</v>
      </c>
      <c r="I31" s="12" t="s">
        <v>23</v>
      </c>
      <c r="J31" s="17"/>
      <c r="K31" s="32"/>
      <c r="L31" s="2"/>
    </row>
    <row r="32" spans="2:12" ht="28.75" customHeight="1" x14ac:dyDescent="0.35">
      <c r="B32" s="11">
        <f t="shared" si="0"/>
        <v>27</v>
      </c>
      <c r="C32" s="148"/>
      <c r="D32" s="148"/>
      <c r="E32" s="147" t="s">
        <v>105</v>
      </c>
      <c r="F32" s="12" t="s">
        <v>106</v>
      </c>
      <c r="G32" s="12" t="s">
        <v>26</v>
      </c>
      <c r="H32" s="12" t="s">
        <v>214</v>
      </c>
      <c r="I32" s="12" t="s">
        <v>23</v>
      </c>
      <c r="J32" s="17"/>
      <c r="K32" s="32"/>
      <c r="L32" s="2"/>
    </row>
    <row r="33" spans="2:12" x14ac:dyDescent="0.35">
      <c r="B33" s="11">
        <f t="shared" si="0"/>
        <v>28</v>
      </c>
      <c r="C33" s="148"/>
      <c r="D33" s="148"/>
      <c r="E33" s="148"/>
      <c r="F33" s="12" t="s">
        <v>107</v>
      </c>
      <c r="G33" s="12"/>
      <c r="H33" s="12" t="s">
        <v>28</v>
      </c>
      <c r="I33" s="80">
        <v>0</v>
      </c>
      <c r="J33" s="17"/>
      <c r="K33" s="94">
        <v>0</v>
      </c>
      <c r="L33" s="2"/>
    </row>
    <row r="34" spans="2:12" x14ac:dyDescent="0.35">
      <c r="B34" s="11">
        <f t="shared" si="0"/>
        <v>29</v>
      </c>
      <c r="C34" s="148"/>
      <c r="D34" s="148"/>
      <c r="E34" s="148"/>
      <c r="F34" s="12" t="s">
        <v>108</v>
      </c>
      <c r="G34" s="12" t="s">
        <v>26</v>
      </c>
      <c r="H34" s="26" t="s">
        <v>131</v>
      </c>
      <c r="I34" s="12" t="s">
        <v>23</v>
      </c>
      <c r="J34" s="17"/>
      <c r="K34" s="32"/>
      <c r="L34" s="2"/>
    </row>
    <row r="35" spans="2:12" x14ac:dyDescent="0.35">
      <c r="B35" s="11">
        <f t="shared" si="0"/>
        <v>30</v>
      </c>
      <c r="C35" s="148"/>
      <c r="D35" s="149"/>
      <c r="E35" s="149"/>
      <c r="F35" s="12" t="s">
        <v>109</v>
      </c>
      <c r="G35" s="12"/>
      <c r="H35" s="12" t="s">
        <v>28</v>
      </c>
      <c r="I35" s="80">
        <v>100</v>
      </c>
      <c r="J35" s="12"/>
      <c r="K35" s="94">
        <v>100</v>
      </c>
      <c r="L35" s="2"/>
    </row>
    <row r="36" spans="2:12" x14ac:dyDescent="0.35">
      <c r="B36" s="11">
        <f t="shared" si="0"/>
        <v>31</v>
      </c>
      <c r="C36" s="149"/>
      <c r="D36" s="46" t="s">
        <v>110</v>
      </c>
      <c r="E36" s="46"/>
      <c r="F36" s="46" t="s">
        <v>63</v>
      </c>
      <c r="G36" s="12" t="s">
        <v>26</v>
      </c>
      <c r="H36" s="12" t="s">
        <v>129</v>
      </c>
      <c r="I36" s="12" t="s">
        <v>23</v>
      </c>
      <c r="J36" s="12"/>
      <c r="K36" s="1"/>
      <c r="L36" s="2"/>
    </row>
    <row r="37" spans="2:12" ht="27" x14ac:dyDescent="0.35">
      <c r="B37" s="37">
        <f t="shared" si="0"/>
        <v>32</v>
      </c>
      <c r="C37" s="147" t="s">
        <v>31</v>
      </c>
      <c r="D37" s="150" t="s">
        <v>111</v>
      </c>
      <c r="E37" s="12"/>
      <c r="F37" s="12" t="s">
        <v>32</v>
      </c>
      <c r="G37" s="12"/>
      <c r="H37" s="12" t="s">
        <v>364</v>
      </c>
      <c r="I37" s="12"/>
      <c r="J37" s="12"/>
      <c r="K37" s="1" t="s">
        <v>201</v>
      </c>
      <c r="L37" s="2"/>
    </row>
    <row r="38" spans="2:12" ht="27" x14ac:dyDescent="0.35">
      <c r="B38" s="37">
        <f t="shared" si="0"/>
        <v>33</v>
      </c>
      <c r="C38" s="149"/>
      <c r="D38" s="150"/>
      <c r="E38" s="12"/>
      <c r="F38" s="37" t="s">
        <v>33</v>
      </c>
      <c r="G38" s="12" t="s">
        <v>26</v>
      </c>
      <c r="H38" s="12" t="s">
        <v>132</v>
      </c>
      <c r="I38" s="12"/>
      <c r="J38" s="12"/>
      <c r="K38" s="1" t="s">
        <v>201</v>
      </c>
      <c r="L38" s="2"/>
    </row>
  </sheetData>
  <mergeCells count="11">
    <mergeCell ref="E13:E14"/>
    <mergeCell ref="E8:E12"/>
    <mergeCell ref="C26:C36"/>
    <mergeCell ref="D37:D38"/>
    <mergeCell ref="E21:E22"/>
    <mergeCell ref="C37:C38"/>
    <mergeCell ref="D19:D25"/>
    <mergeCell ref="E26:E28"/>
    <mergeCell ref="E32:E35"/>
    <mergeCell ref="E29:E31"/>
    <mergeCell ref="D26:D35"/>
  </mergeCells>
  <phoneticPr fontId="15"/>
  <hyperlinks>
    <hyperlink ref="A6" location="パラメータ設定一覧!A1" display="パラメータ設定一覧へ" xr:uid="{95E90874-2248-49C8-89A4-BDC1989DAFF1}"/>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2979-A68F-4CF6-B192-51762DB49407}">
  <dimension ref="A1:E10"/>
  <sheetViews>
    <sheetView showGridLines="0" zoomScaleNormal="100" workbookViewId="0">
      <pane ySplit="5" topLeftCell="A6" activePane="bottomLeft" state="frozen"/>
      <selection pane="bottomLeft" activeCell="E31" sqref="E31"/>
    </sheetView>
  </sheetViews>
  <sheetFormatPr defaultColWidth="8.78515625" defaultRowHeight="13.5" x14ac:dyDescent="0.35"/>
  <cols>
    <col min="1" max="1" width="2.78515625" style="26" customWidth="1"/>
    <col min="2" max="2" width="3.5703125" style="26" bestFit="1" customWidth="1"/>
    <col min="3" max="3" width="26.2109375" style="26" bestFit="1" customWidth="1"/>
    <col min="4" max="4" width="17.78515625" style="26" customWidth="1"/>
    <col min="5" max="5" width="115.2109375" style="26" bestFit="1" customWidth="1"/>
    <col min="6" max="16384" width="8.78515625" style="26"/>
  </cols>
  <sheetData>
    <row r="1" spans="1:5" customFormat="1" ht="19.5" x14ac:dyDescent="0.35">
      <c r="A1" s="23" t="s">
        <v>77</v>
      </c>
    </row>
    <row r="2" spans="1:5" customFormat="1" ht="15" x14ac:dyDescent="0.35"/>
    <row r="3" spans="1:5" customFormat="1" ht="15" x14ac:dyDescent="0.35">
      <c r="A3" s="6" t="s">
        <v>49</v>
      </c>
    </row>
    <row r="4" spans="1:5" x14ac:dyDescent="0.35">
      <c r="B4" s="151" t="s">
        <v>6</v>
      </c>
      <c r="C4" s="14" t="s">
        <v>7</v>
      </c>
      <c r="D4" s="20" t="s">
        <v>8</v>
      </c>
      <c r="E4" s="152" t="s">
        <v>9</v>
      </c>
    </row>
    <row r="5" spans="1:5" x14ac:dyDescent="0.35">
      <c r="B5" s="151"/>
      <c r="C5" s="3" t="s">
        <v>21</v>
      </c>
      <c r="D5" s="4" t="s">
        <v>45</v>
      </c>
      <c r="E5" s="153"/>
    </row>
    <row r="6" spans="1:5" x14ac:dyDescent="0.3">
      <c r="B6" s="52">
        <f t="shared" ref="B6:B10" si="0">ROW() - 5</f>
        <v>1</v>
      </c>
      <c r="C6" s="24" t="s">
        <v>133</v>
      </c>
      <c r="D6" s="53"/>
      <c r="E6" s="25" t="s">
        <v>138</v>
      </c>
    </row>
    <row r="7" spans="1:5" x14ac:dyDescent="0.3">
      <c r="B7" s="52">
        <f t="shared" si="0"/>
        <v>2</v>
      </c>
      <c r="C7" s="24" t="s">
        <v>134</v>
      </c>
      <c r="D7" s="53"/>
      <c r="E7" s="25" t="s">
        <v>139</v>
      </c>
    </row>
    <row r="8" spans="1:5" x14ac:dyDescent="0.3">
      <c r="B8" s="52">
        <f t="shared" si="0"/>
        <v>3</v>
      </c>
      <c r="C8" s="24" t="s">
        <v>135</v>
      </c>
      <c r="D8" s="53"/>
      <c r="E8" s="25" t="s">
        <v>140</v>
      </c>
    </row>
    <row r="9" spans="1:5" x14ac:dyDescent="0.3">
      <c r="B9" s="52">
        <f t="shared" si="0"/>
        <v>4</v>
      </c>
      <c r="C9" s="12" t="s">
        <v>136</v>
      </c>
      <c r="D9" s="53"/>
      <c r="E9" s="25" t="s">
        <v>143</v>
      </c>
    </row>
    <row r="10" spans="1:5" x14ac:dyDescent="0.3">
      <c r="B10" s="52">
        <f t="shared" si="0"/>
        <v>5</v>
      </c>
      <c r="C10" s="24" t="s">
        <v>137</v>
      </c>
      <c r="D10" s="53"/>
      <c r="E10" s="25" t="s">
        <v>144</v>
      </c>
    </row>
  </sheetData>
  <sheetProtection insertRows="0" deleteRows="0" sort="0" autoFilter="0"/>
  <mergeCells count="2">
    <mergeCell ref="B4:B5"/>
    <mergeCell ref="E4:E5"/>
  </mergeCells>
  <phoneticPr fontId="15"/>
  <hyperlinks>
    <hyperlink ref="A3" location="パラメータ設定一覧!A1" display="パラメータ設定一覧へ" xr:uid="{50B59CC0-FC40-47F5-BC42-9EE39212F831}"/>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8E784-B75B-4E16-8D7F-1C3112B1FEF7}">
  <sheetPr>
    <pageSetUpPr fitToPage="1"/>
  </sheetPr>
  <dimension ref="A1:L186"/>
  <sheetViews>
    <sheetView showGridLines="0" zoomScaleNormal="100" zoomScaleSheetLayoutView="100" workbookViewId="0">
      <pane xSplit="6" ySplit="7" topLeftCell="G8" activePane="bottomRight" state="frozen"/>
      <selection activeCell="A7" sqref="A7"/>
      <selection pane="topRight" activeCell="A7" sqref="A7"/>
      <selection pane="bottomLeft" activeCell="A7" sqref="A7"/>
      <selection pane="bottomRight"/>
    </sheetView>
  </sheetViews>
  <sheetFormatPr defaultColWidth="8.78515625" defaultRowHeight="13.5" x14ac:dyDescent="0.35"/>
  <cols>
    <col min="1" max="1" width="2.78515625" style="26" customWidth="1"/>
    <col min="2" max="2" width="3.78515625" style="26" customWidth="1"/>
    <col min="3" max="3" width="16.78515625" style="26" customWidth="1"/>
    <col min="4" max="4" width="19.2109375" style="26" customWidth="1"/>
    <col min="5" max="5" width="16.5703125" style="26" customWidth="1"/>
    <col min="6" max="6" width="22.5703125" style="26" customWidth="1"/>
    <col min="7" max="7" width="52.42578125" style="26" customWidth="1"/>
    <col min="8" max="8" width="23.2109375" style="26" customWidth="1"/>
    <col min="9" max="9" width="17.42578125" style="27" customWidth="1"/>
    <col min="10" max="10" width="22.42578125" style="26" customWidth="1"/>
    <col min="11" max="11" width="23.2109375" style="26" customWidth="1"/>
    <col min="12" max="12" width="13.2109375" style="26" customWidth="1"/>
    <col min="13" max="16384" width="8.78515625" style="26"/>
  </cols>
  <sheetData>
    <row r="1" spans="1:12" s="43" customFormat="1" ht="19.5" x14ac:dyDescent="0.35">
      <c r="A1" s="60" t="s">
        <v>192</v>
      </c>
      <c r="C1" s="26"/>
      <c r="D1" s="26"/>
      <c r="E1" s="26"/>
      <c r="F1" s="26"/>
      <c r="G1" s="26"/>
      <c r="H1" s="26"/>
      <c r="I1" s="27"/>
    </row>
    <row r="2" spans="1:12" s="43" customFormat="1" ht="15" x14ac:dyDescent="0.35">
      <c r="B2" s="43" t="s">
        <v>191</v>
      </c>
      <c r="C2" s="26"/>
      <c r="D2" s="26"/>
      <c r="E2" s="26"/>
      <c r="F2" s="26"/>
      <c r="G2" s="26"/>
      <c r="H2" s="26"/>
      <c r="I2" s="27"/>
    </row>
    <row r="3" spans="1:12" s="43" customFormat="1" ht="15" x14ac:dyDescent="0.35">
      <c r="B3" s="43" t="s">
        <v>207</v>
      </c>
      <c r="C3" s="26"/>
      <c r="D3" s="26"/>
      <c r="E3" s="26"/>
      <c r="F3" s="26"/>
      <c r="G3" s="26"/>
      <c r="H3" s="26"/>
      <c r="I3" s="27"/>
    </row>
    <row r="4" spans="1:12" s="43" customFormat="1" ht="15" x14ac:dyDescent="0.35">
      <c r="B4" s="43" t="s">
        <v>295</v>
      </c>
      <c r="C4" s="26"/>
      <c r="D4" s="26"/>
      <c r="E4" s="26"/>
      <c r="F4" s="26"/>
      <c r="G4" s="26"/>
      <c r="H4" s="26"/>
      <c r="I4" s="27"/>
    </row>
    <row r="5" spans="1:12" s="43" customFormat="1" ht="15" x14ac:dyDescent="0.35">
      <c r="B5" s="43" t="s">
        <v>296</v>
      </c>
      <c r="C5" s="26"/>
      <c r="D5" s="26"/>
      <c r="E5" s="26"/>
      <c r="F5" s="26"/>
      <c r="G5" s="26"/>
      <c r="H5" s="26"/>
      <c r="I5" s="27"/>
    </row>
    <row r="6" spans="1:12" s="43" customFormat="1" ht="15" x14ac:dyDescent="0.35">
      <c r="A6" s="6" t="s">
        <v>49</v>
      </c>
      <c r="C6" s="26"/>
      <c r="D6" s="26"/>
      <c r="E6" s="26"/>
      <c r="F6" s="26"/>
      <c r="G6" s="26"/>
      <c r="H6" s="26"/>
      <c r="I6" s="27"/>
    </row>
    <row r="7" spans="1:12" x14ac:dyDescent="0.35">
      <c r="B7" s="7" t="s">
        <v>309</v>
      </c>
      <c r="C7" s="7" t="s">
        <v>10</v>
      </c>
      <c r="D7" s="7" t="s">
        <v>11</v>
      </c>
      <c r="E7" s="7" t="s">
        <v>12</v>
      </c>
      <c r="F7" s="28" t="s">
        <v>13</v>
      </c>
      <c r="G7" s="28" t="s">
        <v>14</v>
      </c>
      <c r="H7" s="7" t="s">
        <v>311</v>
      </c>
      <c r="I7" s="29" t="s">
        <v>16</v>
      </c>
      <c r="J7" s="7" t="s">
        <v>17</v>
      </c>
      <c r="K7" s="10" t="s">
        <v>18</v>
      </c>
      <c r="L7" s="10" t="s">
        <v>19</v>
      </c>
    </row>
    <row r="8" spans="1:12" x14ac:dyDescent="0.35">
      <c r="B8" s="37">
        <f t="shared" ref="B8:B15" si="0">ROW() - 7</f>
        <v>1</v>
      </c>
      <c r="C8" s="46" t="s">
        <v>192</v>
      </c>
      <c r="D8" s="46"/>
      <c r="E8" s="61"/>
      <c r="F8" s="30" t="s">
        <v>182</v>
      </c>
      <c r="G8" s="30"/>
      <c r="H8" s="31"/>
      <c r="I8" s="31" t="s">
        <v>23</v>
      </c>
      <c r="J8" s="12"/>
      <c r="K8" s="1" t="s">
        <v>310</v>
      </c>
      <c r="L8" s="2"/>
    </row>
    <row r="9" spans="1:12" x14ac:dyDescent="0.35">
      <c r="B9" s="37">
        <f t="shared" si="0"/>
        <v>2</v>
      </c>
      <c r="C9" s="46"/>
      <c r="D9" s="46"/>
      <c r="E9" s="46"/>
      <c r="F9" s="30" t="s">
        <v>183</v>
      </c>
      <c r="G9" s="30"/>
      <c r="H9" s="31" t="s">
        <v>184</v>
      </c>
      <c r="I9" s="31" t="s">
        <v>22</v>
      </c>
      <c r="J9" s="13"/>
      <c r="K9" s="1" t="s">
        <v>310</v>
      </c>
      <c r="L9" s="2"/>
    </row>
    <row r="10" spans="1:12" x14ac:dyDescent="0.35">
      <c r="B10" s="37">
        <f t="shared" si="0"/>
        <v>3</v>
      </c>
      <c r="C10" s="46"/>
      <c r="D10" s="46"/>
      <c r="E10" s="46"/>
      <c r="F10" s="30" t="s">
        <v>35</v>
      </c>
      <c r="G10" s="30"/>
      <c r="H10" s="31" t="s">
        <v>30</v>
      </c>
      <c r="I10" s="31" t="s">
        <v>23</v>
      </c>
      <c r="J10" s="13"/>
      <c r="K10" s="1" t="s">
        <v>310</v>
      </c>
      <c r="L10" s="2"/>
    </row>
    <row r="11" spans="1:12" x14ac:dyDescent="0.35">
      <c r="B11" s="37">
        <f t="shared" si="0"/>
        <v>4</v>
      </c>
      <c r="C11" s="46"/>
      <c r="D11" s="46"/>
      <c r="E11" s="46"/>
      <c r="F11" s="30" t="s">
        <v>38</v>
      </c>
      <c r="G11" s="85"/>
      <c r="H11" s="31" t="s">
        <v>30</v>
      </c>
      <c r="I11" s="31" t="s">
        <v>23</v>
      </c>
      <c r="J11" s="13"/>
      <c r="K11" s="1" t="s">
        <v>310</v>
      </c>
      <c r="L11" s="2"/>
    </row>
    <row r="12" spans="1:12" x14ac:dyDescent="0.35">
      <c r="B12" s="37">
        <f t="shared" si="0"/>
        <v>5</v>
      </c>
      <c r="C12" s="46"/>
      <c r="D12" s="46"/>
      <c r="E12" s="46"/>
      <c r="F12" s="30" t="s">
        <v>185</v>
      </c>
      <c r="G12" s="86"/>
      <c r="H12" s="31" t="s">
        <v>30</v>
      </c>
      <c r="I12" s="31" t="s">
        <v>23</v>
      </c>
      <c r="J12" s="13"/>
      <c r="K12" s="1" t="s">
        <v>310</v>
      </c>
      <c r="L12" s="2"/>
    </row>
    <row r="13" spans="1:12" x14ac:dyDescent="0.35">
      <c r="B13" s="37">
        <f t="shared" si="0"/>
        <v>6</v>
      </c>
      <c r="C13" s="46"/>
      <c r="D13" s="62"/>
      <c r="E13" s="46"/>
      <c r="F13" s="30" t="s">
        <v>186</v>
      </c>
      <c r="G13" s="30" t="s">
        <v>187</v>
      </c>
      <c r="H13" s="31" t="s">
        <v>30</v>
      </c>
      <c r="I13" s="31" t="s">
        <v>23</v>
      </c>
      <c r="J13" s="13"/>
      <c r="K13" s="1" t="s">
        <v>310</v>
      </c>
      <c r="L13" s="2"/>
    </row>
    <row r="14" spans="1:12" x14ac:dyDescent="0.35">
      <c r="B14" s="37">
        <f t="shared" si="0"/>
        <v>7</v>
      </c>
      <c r="C14" s="46"/>
      <c r="D14" s="62"/>
      <c r="E14" s="46"/>
      <c r="F14" s="30" t="s">
        <v>188</v>
      </c>
      <c r="G14" s="30"/>
      <c r="H14" s="31" t="s">
        <v>28</v>
      </c>
      <c r="I14" s="31" t="s">
        <v>23</v>
      </c>
      <c r="J14" s="13"/>
      <c r="K14" s="1" t="s">
        <v>310</v>
      </c>
      <c r="L14" s="2"/>
    </row>
    <row r="15" spans="1:12" x14ac:dyDescent="0.35">
      <c r="B15" s="37">
        <f t="shared" si="0"/>
        <v>8</v>
      </c>
      <c r="C15" s="63"/>
      <c r="D15" s="63"/>
      <c r="E15" s="63"/>
      <c r="F15" s="30" t="s">
        <v>189</v>
      </c>
      <c r="G15" s="24"/>
      <c r="H15" s="31" t="s">
        <v>28</v>
      </c>
      <c r="I15" s="31" t="s">
        <v>23</v>
      </c>
      <c r="J15" s="24"/>
      <c r="K15" s="1" t="s">
        <v>310</v>
      </c>
      <c r="L15" s="64"/>
    </row>
    <row r="16" spans="1:12" x14ac:dyDescent="0.35">
      <c r="I16" s="26"/>
    </row>
    <row r="17" spans="9:9" x14ac:dyDescent="0.35">
      <c r="I17" s="26"/>
    </row>
    <row r="18" spans="9:9" x14ac:dyDescent="0.35">
      <c r="I18" s="26"/>
    </row>
    <row r="19" spans="9:9" x14ac:dyDescent="0.35">
      <c r="I19" s="26"/>
    </row>
    <row r="20" spans="9:9" x14ac:dyDescent="0.35">
      <c r="I20" s="26"/>
    </row>
    <row r="21" spans="9:9" x14ac:dyDescent="0.35">
      <c r="I21" s="26"/>
    </row>
    <row r="22" spans="9:9" x14ac:dyDescent="0.35">
      <c r="I22" s="26"/>
    </row>
    <row r="23" spans="9:9" x14ac:dyDescent="0.35">
      <c r="I23" s="26"/>
    </row>
    <row r="24" spans="9:9" x14ac:dyDescent="0.35">
      <c r="I24" s="26"/>
    </row>
    <row r="25" spans="9:9" x14ac:dyDescent="0.35">
      <c r="I25" s="26"/>
    </row>
    <row r="26" spans="9:9" x14ac:dyDescent="0.35">
      <c r="I26" s="26"/>
    </row>
    <row r="27" spans="9:9" x14ac:dyDescent="0.35">
      <c r="I27" s="26"/>
    </row>
    <row r="28" spans="9:9" x14ac:dyDescent="0.35">
      <c r="I28" s="26"/>
    </row>
    <row r="29" spans="9:9" x14ac:dyDescent="0.35">
      <c r="I29" s="26"/>
    </row>
    <row r="30" spans="9:9" x14ac:dyDescent="0.35">
      <c r="I30" s="26"/>
    </row>
    <row r="31" spans="9:9" x14ac:dyDescent="0.35">
      <c r="I31" s="26"/>
    </row>
    <row r="32" spans="9:9" x14ac:dyDescent="0.35">
      <c r="I32" s="26"/>
    </row>
    <row r="33" spans="9:9" x14ac:dyDescent="0.35">
      <c r="I33" s="26"/>
    </row>
    <row r="34" spans="9:9" ht="33" customHeight="1" x14ac:dyDescent="0.35">
      <c r="I34" s="26"/>
    </row>
    <row r="35" spans="9:9" x14ac:dyDescent="0.35">
      <c r="I35" s="26"/>
    </row>
    <row r="36" spans="9:9" x14ac:dyDescent="0.35">
      <c r="I36" s="26"/>
    </row>
    <row r="37" spans="9:9" x14ac:dyDescent="0.35">
      <c r="I37" s="26"/>
    </row>
    <row r="38" spans="9:9" x14ac:dyDescent="0.35">
      <c r="I38" s="26"/>
    </row>
    <row r="39" spans="9:9" ht="31.5" customHeight="1" x14ac:dyDescent="0.35">
      <c r="I39" s="26"/>
    </row>
    <row r="40" spans="9:9" x14ac:dyDescent="0.35">
      <c r="I40" s="26"/>
    </row>
    <row r="41" spans="9:9" x14ac:dyDescent="0.35">
      <c r="I41" s="26"/>
    </row>
    <row r="42" spans="9:9" x14ac:dyDescent="0.35">
      <c r="I42" s="26"/>
    </row>
    <row r="43" spans="9:9" x14ac:dyDescent="0.35">
      <c r="I43" s="26"/>
    </row>
    <row r="44" spans="9:9" x14ac:dyDescent="0.35">
      <c r="I44" s="26"/>
    </row>
    <row r="45" spans="9:9" x14ac:dyDescent="0.35">
      <c r="I45" s="26"/>
    </row>
    <row r="46" spans="9:9" x14ac:dyDescent="0.35">
      <c r="I46" s="26"/>
    </row>
    <row r="47" spans="9:9" x14ac:dyDescent="0.35">
      <c r="I47" s="26"/>
    </row>
    <row r="48" spans="9:9" x14ac:dyDescent="0.35">
      <c r="I48" s="26"/>
    </row>
    <row r="49" spans="9:9" ht="30.75" customHeight="1" x14ac:dyDescent="0.35">
      <c r="I49" s="26"/>
    </row>
    <row r="50" spans="9:9" ht="33" customHeight="1" x14ac:dyDescent="0.35">
      <c r="I50" s="26"/>
    </row>
    <row r="51" spans="9:9" x14ac:dyDescent="0.35">
      <c r="I51" s="26"/>
    </row>
    <row r="52" spans="9:9" x14ac:dyDescent="0.35">
      <c r="I52" s="26"/>
    </row>
    <row r="53" spans="9:9" x14ac:dyDescent="0.35">
      <c r="I53" s="26"/>
    </row>
    <row r="54" spans="9:9" x14ac:dyDescent="0.35">
      <c r="I54" s="26"/>
    </row>
    <row r="55" spans="9:9" ht="31.5" customHeight="1" x14ac:dyDescent="0.35">
      <c r="I55" s="26"/>
    </row>
    <row r="56" spans="9:9" x14ac:dyDescent="0.35">
      <c r="I56" s="26"/>
    </row>
    <row r="57" spans="9:9" ht="30.75" customHeight="1" x14ac:dyDescent="0.35">
      <c r="I57" s="26"/>
    </row>
    <row r="58" spans="9:9" x14ac:dyDescent="0.35">
      <c r="I58" s="26"/>
    </row>
    <row r="59" spans="9:9" ht="31.5" customHeight="1" x14ac:dyDescent="0.35">
      <c r="I59" s="26"/>
    </row>
    <row r="60" spans="9:9" x14ac:dyDescent="0.35">
      <c r="I60" s="26"/>
    </row>
    <row r="61" spans="9:9" x14ac:dyDescent="0.35">
      <c r="I61" s="26"/>
    </row>
    <row r="62" spans="9:9" x14ac:dyDescent="0.35">
      <c r="I62" s="26"/>
    </row>
    <row r="63" spans="9:9" ht="33" customHeight="1" x14ac:dyDescent="0.35">
      <c r="I63" s="26"/>
    </row>
    <row r="64" spans="9:9" x14ac:dyDescent="0.35">
      <c r="I64" s="26"/>
    </row>
    <row r="65" spans="9:9" ht="30.75" customHeight="1" x14ac:dyDescent="0.35">
      <c r="I65" s="26"/>
    </row>
    <row r="66" spans="9:9" ht="27" customHeight="1" x14ac:dyDescent="0.35">
      <c r="I66" s="26"/>
    </row>
    <row r="67" spans="9:9" x14ac:dyDescent="0.35">
      <c r="I67" s="26"/>
    </row>
    <row r="68" spans="9:9" x14ac:dyDescent="0.35">
      <c r="I68" s="26"/>
    </row>
    <row r="69" spans="9:9" x14ac:dyDescent="0.35">
      <c r="I69" s="26"/>
    </row>
    <row r="70" spans="9:9" x14ac:dyDescent="0.35">
      <c r="I70" s="26"/>
    </row>
    <row r="71" spans="9:9" x14ac:dyDescent="0.35">
      <c r="I71" s="26"/>
    </row>
    <row r="72" spans="9:9" x14ac:dyDescent="0.35">
      <c r="I72" s="26"/>
    </row>
    <row r="73" spans="9:9" x14ac:dyDescent="0.35">
      <c r="I73" s="26"/>
    </row>
    <row r="74" spans="9:9" x14ac:dyDescent="0.35">
      <c r="I74" s="26"/>
    </row>
    <row r="75" spans="9:9" x14ac:dyDescent="0.35">
      <c r="I75" s="26"/>
    </row>
    <row r="76" spans="9:9" x14ac:dyDescent="0.35">
      <c r="I76" s="26"/>
    </row>
    <row r="77" spans="9:9" x14ac:dyDescent="0.35">
      <c r="I77" s="26"/>
    </row>
    <row r="78" spans="9:9" x14ac:dyDescent="0.35">
      <c r="I78" s="26"/>
    </row>
    <row r="79" spans="9:9" x14ac:dyDescent="0.35">
      <c r="I79" s="26"/>
    </row>
    <row r="80" spans="9:9" x14ac:dyDescent="0.35">
      <c r="I80" s="26"/>
    </row>
    <row r="81" spans="9:9" x14ac:dyDescent="0.35">
      <c r="I81" s="26"/>
    </row>
    <row r="82" spans="9:9" x14ac:dyDescent="0.35">
      <c r="I82" s="26"/>
    </row>
    <row r="83" spans="9:9" x14ac:dyDescent="0.35">
      <c r="I83" s="26"/>
    </row>
    <row r="84" spans="9:9" x14ac:dyDescent="0.35">
      <c r="I84" s="26"/>
    </row>
    <row r="85" spans="9:9" x14ac:dyDescent="0.35">
      <c r="I85" s="26"/>
    </row>
    <row r="86" spans="9:9" x14ac:dyDescent="0.35">
      <c r="I86" s="26"/>
    </row>
    <row r="87" spans="9:9" x14ac:dyDescent="0.35">
      <c r="I87" s="26"/>
    </row>
    <row r="88" spans="9:9" x14ac:dyDescent="0.35">
      <c r="I88" s="26"/>
    </row>
    <row r="89" spans="9:9" x14ac:dyDescent="0.35">
      <c r="I89" s="26"/>
    </row>
    <row r="90" spans="9:9" x14ac:dyDescent="0.35">
      <c r="I90" s="26"/>
    </row>
    <row r="91" spans="9:9" x14ac:dyDescent="0.35">
      <c r="I91" s="26"/>
    </row>
    <row r="92" spans="9:9" x14ac:dyDescent="0.35">
      <c r="I92" s="26"/>
    </row>
    <row r="93" spans="9:9" x14ac:dyDescent="0.35">
      <c r="I93" s="26"/>
    </row>
    <row r="94" spans="9:9" x14ac:dyDescent="0.35">
      <c r="I94" s="26"/>
    </row>
    <row r="95" spans="9:9" x14ac:dyDescent="0.35">
      <c r="I95" s="26"/>
    </row>
    <row r="96" spans="9:9" x14ac:dyDescent="0.35">
      <c r="I96" s="26"/>
    </row>
    <row r="97" spans="9:9" ht="409" customHeight="1" x14ac:dyDescent="0.35">
      <c r="I97" s="26"/>
    </row>
    <row r="98" spans="9:9" x14ac:dyDescent="0.35">
      <c r="I98" s="26"/>
    </row>
    <row r="99" spans="9:9" x14ac:dyDescent="0.35">
      <c r="I99" s="26"/>
    </row>
    <row r="100" spans="9:9" x14ac:dyDescent="0.35">
      <c r="I100" s="26"/>
    </row>
    <row r="101" spans="9:9" x14ac:dyDescent="0.35">
      <c r="I101" s="26"/>
    </row>
    <row r="102" spans="9:9" x14ac:dyDescent="0.35">
      <c r="I102" s="26"/>
    </row>
    <row r="103" spans="9:9" x14ac:dyDescent="0.35">
      <c r="I103" s="26"/>
    </row>
    <row r="104" spans="9:9" x14ac:dyDescent="0.35">
      <c r="I104" s="26"/>
    </row>
    <row r="105" spans="9:9" x14ac:dyDescent="0.35">
      <c r="I105" s="26"/>
    </row>
    <row r="106" spans="9:9" x14ac:dyDescent="0.35">
      <c r="I106" s="26"/>
    </row>
    <row r="107" spans="9:9" x14ac:dyDescent="0.35">
      <c r="I107" s="26"/>
    </row>
    <row r="108" spans="9:9" x14ac:dyDescent="0.35">
      <c r="I108" s="26"/>
    </row>
    <row r="109" spans="9:9" x14ac:dyDescent="0.35">
      <c r="I109" s="26"/>
    </row>
    <row r="110" spans="9:9" x14ac:dyDescent="0.35">
      <c r="I110" s="26"/>
    </row>
    <row r="111" spans="9:9" x14ac:dyDescent="0.35">
      <c r="I111" s="26"/>
    </row>
    <row r="112" spans="9:9" x14ac:dyDescent="0.35">
      <c r="I112" s="26"/>
    </row>
    <row r="113" spans="9:9" x14ac:dyDescent="0.35">
      <c r="I113" s="26"/>
    </row>
    <row r="114" spans="9:9" x14ac:dyDescent="0.35">
      <c r="I114" s="26"/>
    </row>
    <row r="115" spans="9:9" x14ac:dyDescent="0.35">
      <c r="I115" s="26"/>
    </row>
    <row r="116" spans="9:9" x14ac:dyDescent="0.35">
      <c r="I116" s="26"/>
    </row>
    <row r="117" spans="9:9" x14ac:dyDescent="0.35">
      <c r="I117" s="26"/>
    </row>
    <row r="118" spans="9:9" x14ac:dyDescent="0.35">
      <c r="I118" s="26"/>
    </row>
    <row r="119" spans="9:9" x14ac:dyDescent="0.35">
      <c r="I119" s="26"/>
    </row>
    <row r="120" spans="9:9" x14ac:dyDescent="0.35">
      <c r="I120" s="26"/>
    </row>
    <row r="121" spans="9:9" x14ac:dyDescent="0.35">
      <c r="I121" s="26"/>
    </row>
    <row r="122" spans="9:9" x14ac:dyDescent="0.35">
      <c r="I122" s="26"/>
    </row>
    <row r="123" spans="9:9" x14ac:dyDescent="0.35">
      <c r="I123" s="26"/>
    </row>
    <row r="124" spans="9:9" x14ac:dyDescent="0.35">
      <c r="I124" s="26"/>
    </row>
    <row r="125" spans="9:9" x14ac:dyDescent="0.35">
      <c r="I125" s="26"/>
    </row>
    <row r="126" spans="9:9" x14ac:dyDescent="0.35">
      <c r="I126" s="26"/>
    </row>
    <row r="127" spans="9:9" x14ac:dyDescent="0.35">
      <c r="I127" s="26"/>
    </row>
    <row r="128" spans="9:9" x14ac:dyDescent="0.35">
      <c r="I128" s="26"/>
    </row>
    <row r="129" spans="9:9" x14ac:dyDescent="0.35">
      <c r="I129" s="26"/>
    </row>
    <row r="130" spans="9:9" x14ac:dyDescent="0.35">
      <c r="I130" s="26"/>
    </row>
    <row r="131" spans="9:9" x14ac:dyDescent="0.35">
      <c r="I131" s="26"/>
    </row>
    <row r="132" spans="9:9" x14ac:dyDescent="0.35">
      <c r="I132" s="26"/>
    </row>
    <row r="133" spans="9:9" x14ac:dyDescent="0.35">
      <c r="I133" s="26"/>
    </row>
    <row r="134" spans="9:9" x14ac:dyDescent="0.35">
      <c r="I134" s="26"/>
    </row>
    <row r="135" spans="9:9" x14ac:dyDescent="0.35">
      <c r="I135" s="26"/>
    </row>
    <row r="136" spans="9:9" x14ac:dyDescent="0.35">
      <c r="I136" s="26"/>
    </row>
    <row r="137" spans="9:9" x14ac:dyDescent="0.35">
      <c r="I137" s="26"/>
    </row>
    <row r="138" spans="9:9" x14ac:dyDescent="0.35">
      <c r="I138" s="26"/>
    </row>
    <row r="139" spans="9:9" x14ac:dyDescent="0.35">
      <c r="I139" s="26"/>
    </row>
    <row r="140" spans="9:9" x14ac:dyDescent="0.35">
      <c r="I140" s="26"/>
    </row>
    <row r="141" spans="9:9" x14ac:dyDescent="0.35">
      <c r="I141" s="26"/>
    </row>
    <row r="142" spans="9:9" x14ac:dyDescent="0.35">
      <c r="I142" s="26"/>
    </row>
    <row r="143" spans="9:9" x14ac:dyDescent="0.35">
      <c r="I143" s="26"/>
    </row>
    <row r="144" spans="9:9" x14ac:dyDescent="0.35">
      <c r="I144" s="26"/>
    </row>
    <row r="145" spans="9:9" x14ac:dyDescent="0.35">
      <c r="I145" s="26"/>
    </row>
    <row r="146" spans="9:9" x14ac:dyDescent="0.35">
      <c r="I146" s="26"/>
    </row>
    <row r="147" spans="9:9" x14ac:dyDescent="0.35">
      <c r="I147" s="26"/>
    </row>
    <row r="148" spans="9:9" x14ac:dyDescent="0.35">
      <c r="I148" s="26"/>
    </row>
    <row r="149" spans="9:9" x14ac:dyDescent="0.35">
      <c r="I149" s="26"/>
    </row>
    <row r="150" spans="9:9" x14ac:dyDescent="0.35">
      <c r="I150" s="26"/>
    </row>
    <row r="151" spans="9:9" x14ac:dyDescent="0.35">
      <c r="I151" s="26"/>
    </row>
    <row r="152" spans="9:9" x14ac:dyDescent="0.35">
      <c r="I152" s="26"/>
    </row>
    <row r="153" spans="9:9" x14ac:dyDescent="0.35">
      <c r="I153" s="26"/>
    </row>
    <row r="154" spans="9:9" x14ac:dyDescent="0.35">
      <c r="I154" s="26"/>
    </row>
    <row r="155" spans="9:9" x14ac:dyDescent="0.35">
      <c r="I155" s="26"/>
    </row>
    <row r="156" spans="9:9" x14ac:dyDescent="0.35">
      <c r="I156" s="26"/>
    </row>
    <row r="157" spans="9:9" x14ac:dyDescent="0.35">
      <c r="I157" s="26"/>
    </row>
    <row r="158" spans="9:9" x14ac:dyDescent="0.35">
      <c r="I158" s="26"/>
    </row>
    <row r="159" spans="9:9" x14ac:dyDescent="0.35">
      <c r="I159" s="26"/>
    </row>
    <row r="160" spans="9:9" x14ac:dyDescent="0.35">
      <c r="I160" s="26"/>
    </row>
    <row r="161" spans="9:9" x14ac:dyDescent="0.35">
      <c r="I161" s="26"/>
    </row>
    <row r="162" spans="9:9" x14ac:dyDescent="0.35">
      <c r="I162" s="26"/>
    </row>
    <row r="163" spans="9:9" x14ac:dyDescent="0.35">
      <c r="I163" s="26"/>
    </row>
    <row r="164" spans="9:9" x14ac:dyDescent="0.35">
      <c r="I164" s="26"/>
    </row>
    <row r="165" spans="9:9" x14ac:dyDescent="0.35">
      <c r="I165" s="26"/>
    </row>
    <row r="166" spans="9:9" x14ac:dyDescent="0.35">
      <c r="I166" s="26"/>
    </row>
    <row r="167" spans="9:9" x14ac:dyDescent="0.35">
      <c r="I167" s="26"/>
    </row>
    <row r="168" spans="9:9" x14ac:dyDescent="0.35">
      <c r="I168" s="26"/>
    </row>
    <row r="169" spans="9:9" x14ac:dyDescent="0.35">
      <c r="I169" s="26"/>
    </row>
    <row r="170" spans="9:9" x14ac:dyDescent="0.35">
      <c r="I170" s="26"/>
    </row>
    <row r="171" spans="9:9" x14ac:dyDescent="0.35">
      <c r="I171" s="26"/>
    </row>
    <row r="172" spans="9:9" x14ac:dyDescent="0.35">
      <c r="I172" s="26"/>
    </row>
    <row r="173" spans="9:9" x14ac:dyDescent="0.35">
      <c r="I173" s="26"/>
    </row>
    <row r="174" spans="9:9" ht="2.25" customHeight="1" x14ac:dyDescent="0.35">
      <c r="I174" s="26"/>
    </row>
    <row r="175" spans="9:9" ht="409.5" customHeight="1" x14ac:dyDescent="0.35">
      <c r="I175" s="26"/>
    </row>
    <row r="176" spans="9:9" x14ac:dyDescent="0.35">
      <c r="I176" s="26"/>
    </row>
    <row r="177" spans="9:9" x14ac:dyDescent="0.35">
      <c r="I177" s="26"/>
    </row>
    <row r="178" spans="9:9" x14ac:dyDescent="0.35">
      <c r="I178" s="26"/>
    </row>
    <row r="179" spans="9:9" x14ac:dyDescent="0.35">
      <c r="I179" s="26"/>
    </row>
    <row r="180" spans="9:9" x14ac:dyDescent="0.35">
      <c r="I180" s="26"/>
    </row>
    <row r="181" spans="9:9" x14ac:dyDescent="0.35">
      <c r="I181" s="26"/>
    </row>
    <row r="182" spans="9:9" x14ac:dyDescent="0.35">
      <c r="I182" s="26"/>
    </row>
    <row r="183" spans="9:9" x14ac:dyDescent="0.35">
      <c r="I183" s="26"/>
    </row>
    <row r="184" spans="9:9" x14ac:dyDescent="0.35">
      <c r="I184" s="26"/>
    </row>
    <row r="185" spans="9:9" x14ac:dyDescent="0.35">
      <c r="I185" s="26"/>
    </row>
    <row r="186" spans="9:9" x14ac:dyDescent="0.35">
      <c r="I186" s="26"/>
    </row>
  </sheetData>
  <phoneticPr fontId="15"/>
  <hyperlinks>
    <hyperlink ref="A6" location="パラメータ設定一覧!A1" display="パラメータ設定一覧へ" xr:uid="{AC01488B-2DDB-4F1B-836C-58D412D4AF1F}"/>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83EB-7953-4178-930F-B077AA404334}">
  <sheetPr>
    <pageSetUpPr fitToPage="1"/>
  </sheetPr>
  <dimension ref="A1:J12"/>
  <sheetViews>
    <sheetView showGridLines="0" zoomScaleNormal="100" zoomScaleSheetLayoutView="100" workbookViewId="0">
      <pane ySplit="6" topLeftCell="A7" activePane="bottomLeft" state="frozen"/>
      <selection activeCell="A4" sqref="A4"/>
      <selection pane="bottomLeft" activeCell="E9" sqref="E9"/>
    </sheetView>
  </sheetViews>
  <sheetFormatPr defaultColWidth="8.78515625" defaultRowHeight="13.5" x14ac:dyDescent="0.35"/>
  <cols>
    <col min="1" max="1" width="2.78515625" style="26" customWidth="1"/>
    <col min="2" max="2" width="3.5703125" style="26" bestFit="1" customWidth="1"/>
    <col min="3" max="3" width="7.78515625" style="26" customWidth="1"/>
    <col min="4" max="4" width="19.35546875" style="26" customWidth="1"/>
    <col min="5" max="5" width="10.2109375" style="26" bestFit="1" customWidth="1"/>
    <col min="6" max="6" width="24.78515625" style="26" bestFit="1" customWidth="1"/>
    <col min="7" max="7" width="14.2109375" style="26" customWidth="1"/>
    <col min="8" max="8" width="26.5703125" style="26" bestFit="1" customWidth="1"/>
    <col min="9" max="9" width="16.42578125" style="26" bestFit="1" customWidth="1"/>
    <col min="10" max="10" width="19.78515625" style="26" customWidth="1"/>
    <col min="11" max="11" width="19.640625" style="26" bestFit="1" customWidth="1"/>
    <col min="12" max="12" width="15.2109375" style="26" bestFit="1" customWidth="1"/>
    <col min="13" max="14" width="15.2109375" style="26" customWidth="1"/>
    <col min="15" max="15" width="20.640625" style="26" bestFit="1" customWidth="1"/>
    <col min="16" max="16" width="14.42578125" style="26" bestFit="1" customWidth="1"/>
    <col min="17" max="17" width="11.78515625" style="26" customWidth="1"/>
    <col min="18" max="18" width="8.2109375" style="26" bestFit="1" customWidth="1"/>
    <col min="19" max="16384" width="8.78515625" style="26"/>
  </cols>
  <sheetData>
    <row r="1" spans="1:10" s="43" customFormat="1" ht="19.5" x14ac:dyDescent="0.35">
      <c r="A1" s="60" t="s">
        <v>193</v>
      </c>
    </row>
    <row r="2" spans="1:10" s="43" customFormat="1" ht="15" x14ac:dyDescent="0.35">
      <c r="A2" s="43" t="s">
        <v>190</v>
      </c>
    </row>
    <row r="3" spans="1:10" s="43" customFormat="1" ht="15" x14ac:dyDescent="0.35">
      <c r="A3" s="6" t="s">
        <v>49</v>
      </c>
    </row>
    <row r="4" spans="1:10" ht="15.75" customHeight="1" x14ac:dyDescent="0.35">
      <c r="B4" s="151" t="s">
        <v>6</v>
      </c>
      <c r="C4" s="65" t="s">
        <v>181</v>
      </c>
      <c r="D4" s="66"/>
      <c r="E4" s="67"/>
      <c r="F4" s="67"/>
      <c r="G4" s="67"/>
      <c r="H4" s="67"/>
      <c r="I4" s="67"/>
      <c r="J4" s="68"/>
    </row>
    <row r="5" spans="1:10" x14ac:dyDescent="0.35">
      <c r="B5" s="151"/>
      <c r="C5" s="20" t="s">
        <v>182</v>
      </c>
      <c r="D5" s="20" t="s">
        <v>183</v>
      </c>
      <c r="E5" s="20" t="s">
        <v>35</v>
      </c>
      <c r="F5" s="20" t="s">
        <v>38</v>
      </c>
      <c r="G5" s="20" t="s">
        <v>185</v>
      </c>
      <c r="H5" s="20" t="s">
        <v>186</v>
      </c>
      <c r="I5" s="20" t="s">
        <v>188</v>
      </c>
      <c r="J5" s="20" t="s">
        <v>189</v>
      </c>
    </row>
    <row r="6" spans="1:10" x14ac:dyDescent="0.35">
      <c r="B6" s="151"/>
      <c r="C6" s="4"/>
      <c r="D6" s="4" t="s">
        <v>184</v>
      </c>
      <c r="E6" s="4" t="s">
        <v>30</v>
      </c>
      <c r="F6" s="4" t="s">
        <v>30</v>
      </c>
      <c r="G6" s="4" t="s">
        <v>30</v>
      </c>
      <c r="H6" s="4" t="s">
        <v>30</v>
      </c>
      <c r="I6" s="4" t="s">
        <v>28</v>
      </c>
      <c r="J6" s="4" t="s">
        <v>28</v>
      </c>
    </row>
    <row r="7" spans="1:10" x14ac:dyDescent="0.3">
      <c r="B7" s="53">
        <f>ROW() - 6</f>
        <v>1</v>
      </c>
      <c r="C7" s="53"/>
      <c r="D7" s="53" t="s">
        <v>508</v>
      </c>
      <c r="E7" s="69" t="s">
        <v>562</v>
      </c>
      <c r="F7" s="70" t="s">
        <v>509</v>
      </c>
      <c r="G7" s="70" t="s">
        <v>512</v>
      </c>
      <c r="H7" s="70" t="s">
        <v>513</v>
      </c>
      <c r="I7" s="71"/>
      <c r="J7" s="70"/>
    </row>
    <row r="8" spans="1:10" x14ac:dyDescent="0.3">
      <c r="B8" s="53">
        <f t="shared" ref="B8:B11" si="0">ROW() - 6</f>
        <v>2</v>
      </c>
      <c r="C8" s="53"/>
      <c r="D8" s="53"/>
      <c r="E8" s="69" t="s">
        <v>563</v>
      </c>
      <c r="F8" s="70" t="s">
        <v>510</v>
      </c>
      <c r="G8" s="70" t="s">
        <v>512</v>
      </c>
      <c r="H8" s="70" t="s">
        <v>513</v>
      </c>
      <c r="I8" s="70"/>
      <c r="J8" s="70"/>
    </row>
    <row r="9" spans="1:10" x14ac:dyDescent="0.3">
      <c r="B9" s="53">
        <f t="shared" si="0"/>
        <v>3</v>
      </c>
      <c r="C9" s="53"/>
      <c r="D9" s="53"/>
      <c r="E9" s="69" t="s">
        <v>564</v>
      </c>
      <c r="F9" s="73" t="s">
        <v>511</v>
      </c>
      <c r="G9" s="70" t="s">
        <v>512</v>
      </c>
      <c r="H9" s="70" t="s">
        <v>513</v>
      </c>
      <c r="I9" s="73"/>
      <c r="J9" s="73"/>
    </row>
    <row r="10" spans="1:10" x14ac:dyDescent="0.3">
      <c r="B10" s="53">
        <f t="shared" si="0"/>
        <v>4</v>
      </c>
      <c r="C10" s="53"/>
      <c r="D10" s="53"/>
      <c r="E10" s="72"/>
      <c r="F10" s="73"/>
      <c r="G10" s="73"/>
      <c r="H10" s="73"/>
      <c r="I10" s="73"/>
      <c r="J10" s="73"/>
    </row>
    <row r="11" spans="1:10" x14ac:dyDescent="0.3">
      <c r="B11" s="53">
        <f t="shared" si="0"/>
        <v>5</v>
      </c>
      <c r="C11" s="53"/>
      <c r="D11" s="53"/>
      <c r="E11" s="72"/>
      <c r="F11" s="73"/>
      <c r="G11" s="73"/>
      <c r="H11" s="73"/>
      <c r="I11" s="73"/>
      <c r="J11" s="73"/>
    </row>
    <row r="12" spans="1:10" x14ac:dyDescent="0.35">
      <c r="B12" s="74"/>
      <c r="C12" s="74"/>
    </row>
  </sheetData>
  <sheetProtection insertRows="0" deleteRows="0" sort="0" autoFilter="0"/>
  <mergeCells count="1">
    <mergeCell ref="B4:B6"/>
  </mergeCells>
  <phoneticPr fontId="15"/>
  <hyperlinks>
    <hyperlink ref="A3" location="パラメータ設定一覧!A1" display="パラメータ設定一覧へ" xr:uid="{44A2960A-E49D-412D-9A34-EFCB6ECAA6EF}"/>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3C9B-A8B9-4B80-9765-86A6EF931A5F}">
  <dimension ref="A1:L7"/>
  <sheetViews>
    <sheetView showGridLines="0" zoomScale="80" zoomScaleNormal="80" workbookViewId="0">
      <pane xSplit="6" ySplit="5" topLeftCell="J6" activePane="bottomRight" state="frozen"/>
      <selection activeCell="J7" sqref="J7"/>
      <selection pane="topRight" activeCell="J7" sqref="J7"/>
      <selection pane="bottomLeft" activeCell="J7" sqref="J7"/>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195</v>
      </c>
    </row>
    <row r="2" spans="1:12" customFormat="1" ht="19.5" x14ac:dyDescent="0.35">
      <c r="A2" s="5"/>
      <c r="B2" t="s">
        <v>194</v>
      </c>
    </row>
    <row r="3" spans="1:12" customFormat="1" ht="15" x14ac:dyDescent="0.35">
      <c r="B3" t="s">
        <v>297</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40.5" x14ac:dyDescent="0.35">
      <c r="B6" s="11">
        <f>ROW() - 5</f>
        <v>1</v>
      </c>
      <c r="C6" s="147" t="s">
        <v>145</v>
      </c>
      <c r="D6" s="147" t="s">
        <v>215</v>
      </c>
      <c r="E6" s="154"/>
      <c r="F6" s="12" t="s">
        <v>216</v>
      </c>
      <c r="G6" s="12"/>
      <c r="H6" s="12" t="s">
        <v>46</v>
      </c>
      <c r="I6" s="12" t="s">
        <v>23</v>
      </c>
      <c r="J6" s="13" t="s">
        <v>244</v>
      </c>
      <c r="K6" s="1" t="s">
        <v>23</v>
      </c>
      <c r="L6" s="2"/>
    </row>
    <row r="7" spans="1:12" ht="27" x14ac:dyDescent="0.35">
      <c r="B7" s="11">
        <f t="shared" ref="B7" si="0">ROW() - 5</f>
        <v>2</v>
      </c>
      <c r="C7" s="149"/>
      <c r="D7" s="149"/>
      <c r="E7" s="155"/>
      <c r="F7" s="12" t="s">
        <v>217</v>
      </c>
      <c r="G7" s="12"/>
      <c r="H7" s="12" t="s">
        <v>46</v>
      </c>
      <c r="I7" s="12" t="s">
        <v>23</v>
      </c>
      <c r="J7" s="13"/>
      <c r="K7" s="1" t="s">
        <v>218</v>
      </c>
      <c r="L7" s="2"/>
    </row>
  </sheetData>
  <mergeCells count="3">
    <mergeCell ref="C6:C7"/>
    <mergeCell ref="D6:D7"/>
    <mergeCell ref="E6:E7"/>
  </mergeCells>
  <phoneticPr fontId="15"/>
  <hyperlinks>
    <hyperlink ref="A4" location="パラメータ設定一覧!A1" display="パラメータ設定一覧へ" xr:uid="{00D9A0B4-D55B-4EAE-872B-00C4EEC39A2D}"/>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5ABE-708A-4F9E-AA39-85559C4737FE}">
  <dimension ref="A1:C16"/>
  <sheetViews>
    <sheetView showGridLines="0" zoomScaleNormal="100" workbookViewId="0">
      <pane ySplit="6" topLeftCell="A7" activePane="bottomLeft" state="frozen"/>
      <selection activeCell="J7" sqref="J7"/>
      <selection pane="bottomLeft" activeCell="A3" sqref="A3"/>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6384" width="8.78515625" style="26"/>
  </cols>
  <sheetData>
    <row r="1" spans="1:3" customFormat="1" ht="19.5" x14ac:dyDescent="0.35">
      <c r="A1" s="23" t="s">
        <v>195</v>
      </c>
    </row>
    <row r="2" spans="1:3" customFormat="1" ht="15" x14ac:dyDescent="0.35"/>
    <row r="3" spans="1:3" customFormat="1" ht="15" x14ac:dyDescent="0.35">
      <c r="A3" s="6" t="s">
        <v>49</v>
      </c>
    </row>
    <row r="4" spans="1:3" x14ac:dyDescent="0.35">
      <c r="B4" s="151" t="s">
        <v>6</v>
      </c>
      <c r="C4" s="57" t="s">
        <v>145</v>
      </c>
    </row>
    <row r="5" spans="1:3" ht="28.75" customHeight="1" x14ac:dyDescent="0.35">
      <c r="B5" s="151"/>
      <c r="C5" s="14" t="s">
        <v>217</v>
      </c>
    </row>
    <row r="6" spans="1:3" x14ac:dyDescent="0.35">
      <c r="B6" s="151"/>
      <c r="C6" s="3" t="s">
        <v>219</v>
      </c>
    </row>
    <row r="7" spans="1:3" x14ac:dyDescent="0.3">
      <c r="B7" s="52">
        <f>ROW()-6</f>
        <v>1</v>
      </c>
      <c r="C7" s="24" t="s">
        <v>514</v>
      </c>
    </row>
    <row r="8" spans="1:3" x14ac:dyDescent="0.3">
      <c r="B8" s="52">
        <f t="shared" ref="B8:B16" si="0">ROW()-6</f>
        <v>2</v>
      </c>
      <c r="C8" s="24" t="s">
        <v>515</v>
      </c>
    </row>
    <row r="9" spans="1:3" x14ac:dyDescent="0.3">
      <c r="B9" s="52">
        <f t="shared" si="0"/>
        <v>3</v>
      </c>
      <c r="C9" s="24" t="s">
        <v>516</v>
      </c>
    </row>
    <row r="10" spans="1:3" x14ac:dyDescent="0.3">
      <c r="B10" s="52">
        <f t="shared" si="0"/>
        <v>4</v>
      </c>
      <c r="C10" s="24" t="s">
        <v>517</v>
      </c>
    </row>
    <row r="11" spans="1:3" x14ac:dyDescent="0.3">
      <c r="B11" s="52">
        <f t="shared" si="0"/>
        <v>5</v>
      </c>
      <c r="C11" s="24" t="s">
        <v>518</v>
      </c>
    </row>
    <row r="12" spans="1:3" x14ac:dyDescent="0.3">
      <c r="B12" s="52">
        <f t="shared" si="0"/>
        <v>6</v>
      </c>
      <c r="C12" s="24" t="s">
        <v>519</v>
      </c>
    </row>
    <row r="13" spans="1:3" x14ac:dyDescent="0.3">
      <c r="B13" s="52">
        <f t="shared" si="0"/>
        <v>7</v>
      </c>
      <c r="C13" s="24" t="s">
        <v>520</v>
      </c>
    </row>
    <row r="14" spans="1:3" x14ac:dyDescent="0.3">
      <c r="B14" s="52">
        <f t="shared" si="0"/>
        <v>8</v>
      </c>
      <c r="C14" s="24"/>
    </row>
    <row r="15" spans="1:3" x14ac:dyDescent="0.3">
      <c r="B15" s="52">
        <f t="shared" si="0"/>
        <v>9</v>
      </c>
      <c r="C15" s="24"/>
    </row>
    <row r="16" spans="1:3" x14ac:dyDescent="0.3">
      <c r="B16" s="52">
        <f t="shared" si="0"/>
        <v>10</v>
      </c>
      <c r="C16" s="24"/>
    </row>
  </sheetData>
  <sheetProtection insertRows="0" deleteRows="0" sort="0" autoFilter="0"/>
  <mergeCells count="1">
    <mergeCell ref="B4:B6"/>
  </mergeCells>
  <phoneticPr fontId="15"/>
  <hyperlinks>
    <hyperlink ref="A3" location="パラメータ設定一覧!A1" display="パラメータ設定一覧へ" xr:uid="{8495BACB-74CC-4C8B-8986-24456A6E7154}"/>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4B9E-5A24-4434-B603-80E3E3B7EFDB}">
  <dimension ref="A1:L10"/>
  <sheetViews>
    <sheetView showGridLines="0" zoomScale="80" zoomScaleNormal="8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56</v>
      </c>
    </row>
    <row r="2" spans="1:12" customFormat="1" ht="19.5" x14ac:dyDescent="0.35">
      <c r="A2" s="5"/>
      <c r="B2" t="s">
        <v>180</v>
      </c>
    </row>
    <row r="3" spans="1:12" customFormat="1" ht="15" x14ac:dyDescent="0.35">
      <c r="B3" t="s">
        <v>299</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ROW() - 5</f>
        <v>1</v>
      </c>
      <c r="C6" s="147" t="s">
        <v>145</v>
      </c>
      <c r="D6" s="154"/>
      <c r="E6" s="154"/>
      <c r="F6" s="12" t="s">
        <v>56</v>
      </c>
      <c r="G6" s="12" t="s">
        <v>26</v>
      </c>
      <c r="H6" s="12" t="s">
        <v>30</v>
      </c>
      <c r="I6" s="12" t="s">
        <v>23</v>
      </c>
      <c r="J6" s="13"/>
      <c r="K6" s="1" t="s">
        <v>202</v>
      </c>
      <c r="L6" s="2"/>
    </row>
    <row r="7" spans="1:12" ht="27" x14ac:dyDescent="0.35">
      <c r="B7" s="11">
        <f t="shared" ref="B7:B10" si="0">ROW() - 5</f>
        <v>2</v>
      </c>
      <c r="C7" s="148"/>
      <c r="D7" s="155"/>
      <c r="E7" s="155"/>
      <c r="F7" s="12" t="s">
        <v>38</v>
      </c>
      <c r="G7" s="12" t="s">
        <v>36</v>
      </c>
      <c r="H7" s="12" t="s">
        <v>30</v>
      </c>
      <c r="I7" s="12" t="s">
        <v>23</v>
      </c>
      <c r="J7" s="13"/>
      <c r="K7" s="1" t="s">
        <v>202</v>
      </c>
      <c r="L7" s="2"/>
    </row>
    <row r="8" spans="1:12" ht="27" x14ac:dyDescent="0.35">
      <c r="B8" s="11">
        <f t="shared" si="0"/>
        <v>3</v>
      </c>
      <c r="C8" s="147" t="s">
        <v>20</v>
      </c>
      <c r="D8" s="46"/>
      <c r="E8" s="46"/>
      <c r="F8" s="12" t="s">
        <v>148</v>
      </c>
      <c r="G8" s="12"/>
      <c r="H8" s="12" t="s">
        <v>24</v>
      </c>
      <c r="I8" s="12" t="s">
        <v>25</v>
      </c>
      <c r="J8" s="13"/>
      <c r="K8" s="1" t="s">
        <v>202</v>
      </c>
      <c r="L8" s="2"/>
    </row>
    <row r="9" spans="1:12" ht="27" x14ac:dyDescent="0.35">
      <c r="B9" s="11">
        <f t="shared" si="0"/>
        <v>4</v>
      </c>
      <c r="C9" s="148"/>
      <c r="D9" s="46"/>
      <c r="E9" s="46"/>
      <c r="F9" s="46" t="s">
        <v>146</v>
      </c>
      <c r="G9" s="12"/>
      <c r="H9" s="12" t="s">
        <v>24</v>
      </c>
      <c r="I9" s="12" t="s">
        <v>25</v>
      </c>
      <c r="J9" s="13"/>
      <c r="K9" s="1" t="s">
        <v>202</v>
      </c>
      <c r="L9" s="2"/>
    </row>
    <row r="10" spans="1:12" ht="27" x14ac:dyDescent="0.35">
      <c r="B10" s="11">
        <f t="shared" si="0"/>
        <v>5</v>
      </c>
      <c r="C10" s="12" t="s">
        <v>147</v>
      </c>
      <c r="D10" s="12"/>
      <c r="E10" s="12"/>
      <c r="F10" s="12" t="s">
        <v>147</v>
      </c>
      <c r="G10" s="12"/>
      <c r="H10" s="12" t="s">
        <v>149</v>
      </c>
      <c r="I10" s="12" t="s">
        <v>23</v>
      </c>
      <c r="J10" s="13"/>
      <c r="K10" s="1" t="s">
        <v>366</v>
      </c>
      <c r="L10" s="2"/>
    </row>
  </sheetData>
  <mergeCells count="4">
    <mergeCell ref="C6:C7"/>
    <mergeCell ref="C8:C9"/>
    <mergeCell ref="D6:D7"/>
    <mergeCell ref="E6:E7"/>
  </mergeCells>
  <phoneticPr fontId="15"/>
  <hyperlinks>
    <hyperlink ref="A4" location="パラメータ設定一覧!A1" display="パラメータ設定一覧へ" xr:uid="{9AEE5F17-FA01-46BB-9EDB-C08A1DACF63E}"/>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D7D3-5EA1-4D4D-8C67-80177E05A093}">
  <dimension ref="A1:F16"/>
  <sheetViews>
    <sheetView showGridLines="0" zoomScaleNormal="100" workbookViewId="0">
      <pane ySplit="6" topLeftCell="A7" activePane="bottomLeft" state="frozen"/>
      <selection pane="bottomLeft" activeCell="A3" sqref="A3"/>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ht="19.5" x14ac:dyDescent="0.35">
      <c r="A1" s="23" t="s">
        <v>150</v>
      </c>
      <c r="B1"/>
      <c r="C1"/>
      <c r="D1"/>
      <c r="E1"/>
      <c r="F1"/>
    </row>
    <row r="2" spans="1:6" ht="15" x14ac:dyDescent="0.35">
      <c r="A2"/>
      <c r="B2"/>
      <c r="C2"/>
      <c r="D2"/>
      <c r="E2"/>
      <c r="F2"/>
    </row>
    <row r="3" spans="1:6" ht="15" x14ac:dyDescent="0.35">
      <c r="A3" s="87" t="s">
        <v>49</v>
      </c>
      <c r="B3"/>
      <c r="C3"/>
      <c r="D3"/>
      <c r="E3"/>
      <c r="F3"/>
    </row>
    <row r="4" spans="1:6" ht="13.5" customHeight="1" x14ac:dyDescent="0.35">
      <c r="B4" s="151" t="s">
        <v>6</v>
      </c>
      <c r="C4" s="156" t="s">
        <v>145</v>
      </c>
      <c r="D4" s="157"/>
      <c r="E4" s="156" t="s">
        <v>20</v>
      </c>
      <c r="F4" s="157"/>
    </row>
    <row r="5" spans="1:6" ht="28.75" customHeight="1" x14ac:dyDescent="0.35">
      <c r="B5" s="151"/>
      <c r="C5" s="14" t="s">
        <v>56</v>
      </c>
      <c r="D5" s="20" t="s">
        <v>38</v>
      </c>
      <c r="E5" s="20" t="s">
        <v>148</v>
      </c>
      <c r="F5" s="20" t="s">
        <v>146</v>
      </c>
    </row>
    <row r="6" spans="1:6" ht="43.4" customHeight="1" x14ac:dyDescent="0.35">
      <c r="B6" s="151"/>
      <c r="C6" s="3" t="s">
        <v>30</v>
      </c>
      <c r="D6" s="4" t="s">
        <v>30</v>
      </c>
      <c r="E6" s="4" t="s">
        <v>24</v>
      </c>
      <c r="F6" s="4" t="s">
        <v>24</v>
      </c>
    </row>
    <row r="7" spans="1:6" x14ac:dyDescent="0.3">
      <c r="B7" s="52">
        <f t="shared" ref="B7:B16" si="0">ROW()-6</f>
        <v>1</v>
      </c>
      <c r="C7" s="24" t="s">
        <v>467</v>
      </c>
      <c r="D7" s="53" t="s">
        <v>468</v>
      </c>
      <c r="E7" s="53" t="s">
        <v>25</v>
      </c>
      <c r="F7" s="53" t="s">
        <v>25</v>
      </c>
    </row>
    <row r="8" spans="1:6" x14ac:dyDescent="0.3">
      <c r="B8" s="52">
        <f t="shared" si="0"/>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3">
    <mergeCell ref="B4:B6"/>
    <mergeCell ref="C4:D4"/>
    <mergeCell ref="E4:F4"/>
  </mergeCells>
  <phoneticPr fontId="15"/>
  <hyperlinks>
    <hyperlink ref="A3" location="パラメータ設定一覧!A1" display="パラメータ設定一覧へ" xr:uid="{9C58BED1-F4FD-4395-825D-0018E3B64C54}"/>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2A91-F7C3-49D1-9EAF-03181C60CD3F}">
  <dimension ref="A1:C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3" customFormat="1" ht="19.5" x14ac:dyDescent="0.35">
      <c r="A1" s="23" t="s">
        <v>362</v>
      </c>
    </row>
    <row r="2" spans="1:3" customFormat="1" ht="15" x14ac:dyDescent="0.35"/>
    <row r="3" spans="1:3" customFormat="1" ht="15" x14ac:dyDescent="0.35">
      <c r="A3" s="6" t="s">
        <v>49</v>
      </c>
    </row>
    <row r="4" spans="1:3" x14ac:dyDescent="0.35">
      <c r="B4" s="151" t="s">
        <v>6</v>
      </c>
      <c r="C4" s="20" t="s">
        <v>147</v>
      </c>
    </row>
    <row r="5" spans="1:3" ht="28.75" customHeight="1" x14ac:dyDescent="0.35">
      <c r="B5" s="151"/>
      <c r="C5" s="20" t="s">
        <v>147</v>
      </c>
    </row>
    <row r="6" spans="1:3" ht="43.4" customHeight="1" x14ac:dyDescent="0.35">
      <c r="B6" s="151"/>
      <c r="C6" s="54" t="s">
        <v>149</v>
      </c>
    </row>
    <row r="7" spans="1:3" x14ac:dyDescent="0.3">
      <c r="B7" s="52">
        <f>ROW()-6</f>
        <v>1</v>
      </c>
      <c r="C7" s="53"/>
    </row>
    <row r="8" spans="1:3" x14ac:dyDescent="0.3">
      <c r="B8" s="52">
        <f t="shared" ref="B8:B16" si="0">ROW()-6</f>
        <v>2</v>
      </c>
      <c r="C8" s="53"/>
    </row>
    <row r="9" spans="1:3" x14ac:dyDescent="0.3">
      <c r="B9" s="52">
        <f t="shared" si="0"/>
        <v>3</v>
      </c>
      <c r="C9" s="53"/>
    </row>
    <row r="10" spans="1:3" x14ac:dyDescent="0.3">
      <c r="B10" s="52">
        <f t="shared" si="0"/>
        <v>4</v>
      </c>
      <c r="C10" s="53"/>
    </row>
    <row r="11" spans="1:3" x14ac:dyDescent="0.3">
      <c r="B11" s="52">
        <f t="shared" si="0"/>
        <v>5</v>
      </c>
      <c r="C11" s="53"/>
    </row>
    <row r="12" spans="1:3" x14ac:dyDescent="0.3">
      <c r="B12" s="52">
        <f t="shared" si="0"/>
        <v>6</v>
      </c>
      <c r="C12" s="53"/>
    </row>
    <row r="13" spans="1:3" x14ac:dyDescent="0.3">
      <c r="B13" s="52">
        <f t="shared" si="0"/>
        <v>7</v>
      </c>
      <c r="C13" s="53"/>
    </row>
    <row r="14" spans="1:3" x14ac:dyDescent="0.3">
      <c r="B14" s="52">
        <f t="shared" si="0"/>
        <v>8</v>
      </c>
      <c r="C14" s="53"/>
    </row>
    <row r="15" spans="1:3" x14ac:dyDescent="0.3">
      <c r="B15" s="52">
        <f t="shared" si="0"/>
        <v>9</v>
      </c>
      <c r="C15" s="53"/>
    </row>
    <row r="16" spans="1:3" x14ac:dyDescent="0.3">
      <c r="B16" s="52">
        <f t="shared" si="0"/>
        <v>10</v>
      </c>
      <c r="C16" s="53"/>
    </row>
  </sheetData>
  <sheetProtection insertRows="0" deleteRows="0" sort="0" autoFilter="0"/>
  <mergeCells count="1">
    <mergeCell ref="B4:B6"/>
  </mergeCells>
  <phoneticPr fontId="15"/>
  <hyperlinks>
    <hyperlink ref="A3" location="パラメータ設定一覧!A1" display="パラメータ設定一覧へ" xr:uid="{C57A9561-D118-4680-8811-9CAF45210564}"/>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77C2-DCCD-4068-9438-9E6072D0984B}">
  <dimension ref="A1:L11"/>
  <sheetViews>
    <sheetView showGridLines="0" zoomScale="70" zoomScaleNormal="70" workbookViewId="0">
      <pane xSplit="6" ySplit="5" topLeftCell="G6" activePane="bottomRight" state="frozen"/>
      <selection pane="topRight"/>
      <selection pane="bottomLeft"/>
      <selection pane="bottomRight" activeCell="G8" sqref="G8"/>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61.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57</v>
      </c>
    </row>
    <row r="2" spans="1:12" customFormat="1" ht="19.5" x14ac:dyDescent="0.35">
      <c r="A2" s="5"/>
      <c r="B2" t="s">
        <v>196</v>
      </c>
    </row>
    <row r="3" spans="1:12" customFormat="1" ht="15" x14ac:dyDescent="0.35">
      <c r="B3" t="s">
        <v>308</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ROW() - 5</f>
        <v>1</v>
      </c>
      <c r="C6" s="147" t="s">
        <v>145</v>
      </c>
      <c r="D6" s="154"/>
      <c r="E6" s="154"/>
      <c r="F6" s="12" t="s">
        <v>57</v>
      </c>
      <c r="G6" s="12"/>
      <c r="H6" s="12" t="s">
        <v>30</v>
      </c>
      <c r="I6" s="12" t="s">
        <v>22</v>
      </c>
      <c r="J6" s="13"/>
      <c r="K6" s="1" t="s">
        <v>203</v>
      </c>
      <c r="L6" s="2"/>
    </row>
    <row r="7" spans="1:12" ht="27" x14ac:dyDescent="0.35">
      <c r="B7" s="11">
        <f>ROW() - 5</f>
        <v>2</v>
      </c>
      <c r="C7" s="148"/>
      <c r="D7" s="158"/>
      <c r="E7" s="158"/>
      <c r="F7" s="12" t="s">
        <v>34</v>
      </c>
      <c r="G7" s="12"/>
      <c r="H7" s="12" t="s">
        <v>30</v>
      </c>
      <c r="I7" s="12" t="s">
        <v>22</v>
      </c>
      <c r="J7" s="13"/>
      <c r="K7" s="1" t="s">
        <v>203</v>
      </c>
      <c r="L7" s="2"/>
    </row>
    <row r="8" spans="1:12" ht="212.5" customHeight="1" x14ac:dyDescent="0.35">
      <c r="B8" s="11">
        <f t="shared" ref="B8:B11" si="0">ROW() - 5</f>
        <v>3</v>
      </c>
      <c r="C8" s="148"/>
      <c r="D8" s="158"/>
      <c r="E8" s="158"/>
      <c r="F8" s="12" t="s">
        <v>151</v>
      </c>
      <c r="G8" s="12" t="s">
        <v>156</v>
      </c>
      <c r="H8" s="12" t="s">
        <v>361</v>
      </c>
      <c r="I8" s="12" t="s">
        <v>22</v>
      </c>
      <c r="J8" s="13"/>
      <c r="K8" s="1" t="s">
        <v>203</v>
      </c>
      <c r="L8" s="2"/>
    </row>
    <row r="9" spans="1:12" ht="40.5" x14ac:dyDescent="0.35">
      <c r="B9" s="11">
        <f t="shared" si="0"/>
        <v>4</v>
      </c>
      <c r="C9" s="148"/>
      <c r="D9" s="158"/>
      <c r="E9" s="158"/>
      <c r="F9" s="12" t="s">
        <v>153</v>
      </c>
      <c r="G9" s="12" t="s">
        <v>157</v>
      </c>
      <c r="H9" s="55" t="s">
        <v>158</v>
      </c>
      <c r="I9" s="12" t="s">
        <v>313</v>
      </c>
      <c r="J9" s="13"/>
      <c r="K9" s="1" t="s">
        <v>203</v>
      </c>
      <c r="L9" s="2"/>
    </row>
    <row r="10" spans="1:12" ht="27" x14ac:dyDescent="0.35">
      <c r="B10" s="11">
        <f t="shared" si="0"/>
        <v>5</v>
      </c>
      <c r="C10" s="148"/>
      <c r="D10" s="158"/>
      <c r="E10" s="158"/>
      <c r="F10" s="12" t="s">
        <v>154</v>
      </c>
      <c r="G10" s="49"/>
      <c r="H10" s="12" t="s">
        <v>159</v>
      </c>
      <c r="I10" s="12" t="s">
        <v>22</v>
      </c>
      <c r="J10" s="13"/>
      <c r="K10" s="1" t="s">
        <v>203</v>
      </c>
      <c r="L10" s="2"/>
    </row>
    <row r="11" spans="1:12" ht="27" x14ac:dyDescent="0.35">
      <c r="B11" s="11">
        <f t="shared" si="0"/>
        <v>6</v>
      </c>
      <c r="C11" s="149"/>
      <c r="D11" s="155"/>
      <c r="E11" s="155"/>
      <c r="F11" s="12" t="s">
        <v>155</v>
      </c>
      <c r="G11" s="12"/>
      <c r="H11" s="12" t="s">
        <v>160</v>
      </c>
      <c r="I11" s="12" t="s">
        <v>22</v>
      </c>
      <c r="J11" s="12"/>
      <c r="K11" s="1" t="s">
        <v>203</v>
      </c>
      <c r="L11" s="2"/>
    </row>
  </sheetData>
  <mergeCells count="3">
    <mergeCell ref="C6:C11"/>
    <mergeCell ref="D6:D11"/>
    <mergeCell ref="E6:E11"/>
  </mergeCells>
  <phoneticPr fontId="15"/>
  <hyperlinks>
    <hyperlink ref="A4" location="パラメータ設定一覧!A1" display="パラメータ設定一覧へ" xr:uid="{16990A03-60D9-4FE9-86C2-1F49E69F2D7A}"/>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EC2A-4E75-441A-8A92-E89C4E1927FF}">
  <dimension ref="A1:H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7" width="20.42578125" style="26" customWidth="1"/>
    <col min="8" max="8" width="20.85546875" style="26" customWidth="1"/>
    <col min="9" max="16384" width="8.78515625" style="26"/>
  </cols>
  <sheetData>
    <row r="1" spans="1:8" customFormat="1" ht="19.5" x14ac:dyDescent="0.35">
      <c r="A1" s="23" t="s">
        <v>161</v>
      </c>
    </row>
    <row r="2" spans="1:8" customFormat="1" ht="15" x14ac:dyDescent="0.35"/>
    <row r="3" spans="1:8" customFormat="1" ht="15" x14ac:dyDescent="0.35">
      <c r="A3" s="6" t="s">
        <v>49</v>
      </c>
    </row>
    <row r="4" spans="1:8" x14ac:dyDescent="0.35">
      <c r="B4" s="151" t="s">
        <v>6</v>
      </c>
      <c r="C4" s="156" t="s">
        <v>145</v>
      </c>
      <c r="D4" s="159"/>
      <c r="E4" s="159"/>
      <c r="F4" s="159"/>
      <c r="G4" s="159"/>
      <c r="H4" s="157"/>
    </row>
    <row r="5" spans="1:8" ht="28.75" customHeight="1" x14ac:dyDescent="0.35">
      <c r="B5" s="151"/>
      <c r="C5" s="14" t="s">
        <v>57</v>
      </c>
      <c r="D5" s="20" t="s">
        <v>34</v>
      </c>
      <c r="E5" s="20" t="s">
        <v>151</v>
      </c>
      <c r="F5" s="20" t="s">
        <v>152</v>
      </c>
      <c r="G5" s="20" t="s">
        <v>154</v>
      </c>
      <c r="H5" s="20" t="s">
        <v>155</v>
      </c>
    </row>
    <row r="6" spans="1:8" ht="43.4" customHeight="1" x14ac:dyDescent="0.35">
      <c r="B6" s="151"/>
      <c r="C6" s="3" t="s">
        <v>30</v>
      </c>
      <c r="D6" s="4" t="s">
        <v>30</v>
      </c>
      <c r="E6" s="4" t="s">
        <v>23</v>
      </c>
      <c r="F6" s="4" t="s">
        <v>158</v>
      </c>
      <c r="G6" s="4" t="s">
        <v>159</v>
      </c>
      <c r="H6" s="54" t="s">
        <v>160</v>
      </c>
    </row>
    <row r="7" spans="1:8" x14ac:dyDescent="0.3">
      <c r="B7" s="52">
        <f>ROW()-6</f>
        <v>1</v>
      </c>
      <c r="C7" s="24" t="s">
        <v>469</v>
      </c>
      <c r="D7" s="24" t="s">
        <v>469</v>
      </c>
      <c r="E7" s="53" t="s">
        <v>470</v>
      </c>
      <c r="F7" s="53" t="s">
        <v>471</v>
      </c>
      <c r="G7" s="53"/>
      <c r="H7" s="53"/>
    </row>
    <row r="8" spans="1:8" x14ac:dyDescent="0.3">
      <c r="B8" s="52">
        <f t="shared" ref="B8:B16" si="0">ROW()-6</f>
        <v>2</v>
      </c>
      <c r="C8" s="24"/>
      <c r="D8" s="53"/>
      <c r="E8" s="53"/>
      <c r="F8" s="53"/>
      <c r="G8" s="53"/>
      <c r="H8" s="53"/>
    </row>
    <row r="9" spans="1:8" x14ac:dyDescent="0.3">
      <c r="B9" s="52">
        <f t="shared" si="0"/>
        <v>3</v>
      </c>
      <c r="C9" s="24"/>
      <c r="D9" s="53"/>
      <c r="E9" s="53"/>
      <c r="F9" s="53"/>
      <c r="G9" s="53"/>
      <c r="H9" s="53"/>
    </row>
    <row r="10" spans="1:8" x14ac:dyDescent="0.3">
      <c r="B10" s="52">
        <f t="shared" si="0"/>
        <v>4</v>
      </c>
      <c r="C10" s="24"/>
      <c r="D10" s="53"/>
      <c r="E10" s="53"/>
      <c r="F10" s="53"/>
      <c r="G10" s="53"/>
      <c r="H10" s="53"/>
    </row>
    <row r="11" spans="1:8" x14ac:dyDescent="0.3">
      <c r="B11" s="52">
        <f t="shared" si="0"/>
        <v>5</v>
      </c>
      <c r="C11" s="24"/>
      <c r="D11" s="53"/>
      <c r="E11" s="53"/>
      <c r="F11" s="53"/>
      <c r="G11" s="53"/>
      <c r="H11" s="53"/>
    </row>
    <row r="12" spans="1:8" x14ac:dyDescent="0.3">
      <c r="B12" s="52">
        <f t="shared" si="0"/>
        <v>6</v>
      </c>
      <c r="C12" s="24"/>
      <c r="D12" s="53"/>
      <c r="E12" s="53"/>
      <c r="F12" s="53"/>
      <c r="G12" s="53"/>
      <c r="H12" s="53"/>
    </row>
    <row r="13" spans="1:8" x14ac:dyDescent="0.3">
      <c r="B13" s="52">
        <f t="shared" si="0"/>
        <v>7</v>
      </c>
      <c r="C13" s="24"/>
      <c r="D13" s="53"/>
      <c r="E13" s="53"/>
      <c r="F13" s="53"/>
      <c r="G13" s="53"/>
      <c r="H13" s="53"/>
    </row>
    <row r="14" spans="1:8" x14ac:dyDescent="0.3">
      <c r="B14" s="52">
        <f t="shared" si="0"/>
        <v>8</v>
      </c>
      <c r="C14" s="24"/>
      <c r="D14" s="53"/>
      <c r="E14" s="53"/>
      <c r="F14" s="53"/>
      <c r="G14" s="53"/>
      <c r="H14" s="53"/>
    </row>
    <row r="15" spans="1:8" x14ac:dyDescent="0.3">
      <c r="B15" s="52">
        <f t="shared" si="0"/>
        <v>9</v>
      </c>
      <c r="C15" s="24"/>
      <c r="D15" s="53"/>
      <c r="E15" s="53"/>
      <c r="F15" s="53"/>
      <c r="G15" s="53"/>
      <c r="H15" s="53"/>
    </row>
    <row r="16" spans="1:8" x14ac:dyDescent="0.3">
      <c r="B16" s="52">
        <f t="shared" si="0"/>
        <v>10</v>
      </c>
      <c r="C16" s="24"/>
      <c r="D16" s="53"/>
      <c r="E16" s="53"/>
      <c r="F16" s="53"/>
      <c r="G16" s="53"/>
      <c r="H16" s="53"/>
    </row>
  </sheetData>
  <sheetProtection insertRows="0" deleteRows="0" sort="0" autoFilter="0"/>
  <mergeCells count="2">
    <mergeCell ref="B4:B6"/>
    <mergeCell ref="C4:H4"/>
  </mergeCells>
  <phoneticPr fontId="15"/>
  <hyperlinks>
    <hyperlink ref="A3" location="パラメータ設定一覧!A1" display="パラメータ設定一覧へ" xr:uid="{C7CFF2CC-2993-4962-830F-1555FC8462E1}"/>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8F346-5285-4BC9-B98B-92E4DD8EE921}">
  <dimension ref="A1:L14"/>
  <sheetViews>
    <sheetView showGridLines="0" zoomScale="70" zoomScaleNormal="70" workbookViewId="0">
      <pane xSplit="6" ySplit="7" topLeftCell="H8" activePane="bottomRight" state="frozen"/>
      <selection pane="topRight"/>
      <selection pane="bottomLeft"/>
      <selection pane="bottomRight" activeCell="K8" sqref="K8"/>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61</v>
      </c>
    </row>
    <row r="2" spans="1:12" customFormat="1" ht="19.5" x14ac:dyDescent="0.35">
      <c r="A2" s="5"/>
      <c r="B2" t="s">
        <v>197</v>
      </c>
    </row>
    <row r="3" spans="1:12" customFormat="1" ht="19.5" x14ac:dyDescent="0.35">
      <c r="A3" s="5"/>
      <c r="B3" t="s">
        <v>198</v>
      </c>
    </row>
    <row r="4" spans="1:12" customFormat="1" ht="15" x14ac:dyDescent="0.35">
      <c r="B4" t="s">
        <v>302</v>
      </c>
    </row>
    <row r="5" spans="1:12" customFormat="1" ht="15" x14ac:dyDescent="0.35">
      <c r="B5" t="s">
        <v>303</v>
      </c>
    </row>
    <row r="6" spans="1:12" customFormat="1" ht="15" x14ac:dyDescent="0.35">
      <c r="A6" s="6" t="s">
        <v>49</v>
      </c>
    </row>
    <row r="7" spans="1:12" x14ac:dyDescent="0.35">
      <c r="B7" s="7" t="s">
        <v>6</v>
      </c>
      <c r="C7" s="8" t="s">
        <v>10</v>
      </c>
      <c r="D7" s="8" t="s">
        <v>11</v>
      </c>
      <c r="E7" s="8" t="s">
        <v>12</v>
      </c>
      <c r="F7" s="9" t="s">
        <v>13</v>
      </c>
      <c r="G7" s="9" t="s">
        <v>14</v>
      </c>
      <c r="H7" s="8" t="s">
        <v>15</v>
      </c>
      <c r="I7" s="8" t="s">
        <v>16</v>
      </c>
      <c r="J7" s="7" t="s">
        <v>17</v>
      </c>
      <c r="K7" s="10" t="s">
        <v>18</v>
      </c>
      <c r="L7" s="10" t="s">
        <v>19</v>
      </c>
    </row>
    <row r="8" spans="1:12" ht="27" x14ac:dyDescent="0.35">
      <c r="B8" s="11">
        <f>ROW() - 5</f>
        <v>3</v>
      </c>
      <c r="C8" s="147" t="s">
        <v>145</v>
      </c>
      <c r="D8" s="147"/>
      <c r="E8" s="147"/>
      <c r="F8" s="12" t="s">
        <v>162</v>
      </c>
      <c r="G8" s="12"/>
      <c r="H8" s="12" t="s">
        <v>30</v>
      </c>
      <c r="I8" s="12" t="s">
        <v>312</v>
      </c>
      <c r="J8" s="13"/>
      <c r="K8" s="1" t="s">
        <v>406</v>
      </c>
      <c r="L8" s="2"/>
    </row>
    <row r="9" spans="1:12" ht="14.5" customHeight="1" x14ac:dyDescent="0.35">
      <c r="B9" s="11">
        <f t="shared" ref="B9:B14" si="0">ROW() - 5</f>
        <v>4</v>
      </c>
      <c r="C9" s="148"/>
      <c r="D9" s="148"/>
      <c r="E9" s="148"/>
      <c r="F9" s="12" t="s">
        <v>163</v>
      </c>
      <c r="G9" s="12" t="s">
        <v>26</v>
      </c>
      <c r="H9" s="12" t="s">
        <v>171</v>
      </c>
      <c r="I9" s="12" t="s">
        <v>312</v>
      </c>
      <c r="J9" s="13"/>
      <c r="K9" s="1" t="s">
        <v>406</v>
      </c>
      <c r="L9" s="2"/>
    </row>
    <row r="10" spans="1:12" ht="67.5" x14ac:dyDescent="0.35">
      <c r="B10" s="11">
        <f t="shared" si="0"/>
        <v>5</v>
      </c>
      <c r="C10" s="148"/>
      <c r="D10" s="148"/>
      <c r="E10" s="148"/>
      <c r="F10" s="12" t="s">
        <v>164</v>
      </c>
      <c r="G10" s="12" t="s">
        <v>168</v>
      </c>
      <c r="H10" s="12" t="s">
        <v>173</v>
      </c>
      <c r="I10" s="12" t="s">
        <v>352</v>
      </c>
      <c r="J10" s="13" t="s">
        <v>172</v>
      </c>
      <c r="K10" s="1" t="s">
        <v>406</v>
      </c>
      <c r="L10" s="2"/>
    </row>
    <row r="11" spans="1:12" ht="27" x14ac:dyDescent="0.35">
      <c r="B11" s="11">
        <f t="shared" si="0"/>
        <v>6</v>
      </c>
      <c r="C11" s="149"/>
      <c r="D11" s="149"/>
      <c r="E11" s="149"/>
      <c r="F11" s="46" t="s">
        <v>165</v>
      </c>
      <c r="G11" s="12" t="s">
        <v>169</v>
      </c>
      <c r="H11" s="12" t="s">
        <v>28</v>
      </c>
      <c r="I11" s="12">
        <v>0</v>
      </c>
      <c r="J11" s="13"/>
      <c r="K11" s="1" t="s">
        <v>406</v>
      </c>
      <c r="L11" s="2"/>
    </row>
    <row r="12" spans="1:12" ht="40.5" x14ac:dyDescent="0.35">
      <c r="B12" s="11">
        <f t="shared" si="0"/>
        <v>7</v>
      </c>
      <c r="C12" s="147" t="s">
        <v>61</v>
      </c>
      <c r="D12" s="147"/>
      <c r="E12" s="147"/>
      <c r="F12" s="12" t="s">
        <v>38</v>
      </c>
      <c r="G12" s="12" t="s">
        <v>170</v>
      </c>
      <c r="H12" s="12" t="s">
        <v>30</v>
      </c>
      <c r="I12" s="12" t="s">
        <v>312</v>
      </c>
      <c r="J12" s="13"/>
      <c r="K12" s="1" t="s">
        <v>384</v>
      </c>
      <c r="L12" s="2"/>
    </row>
    <row r="13" spans="1:12" ht="27" x14ac:dyDescent="0.35">
      <c r="B13" s="11">
        <f t="shared" si="0"/>
        <v>8</v>
      </c>
      <c r="C13" s="148"/>
      <c r="D13" s="148"/>
      <c r="E13" s="148"/>
      <c r="F13" s="12" t="s">
        <v>166</v>
      </c>
      <c r="G13" s="12"/>
      <c r="H13" s="12" t="s">
        <v>363</v>
      </c>
      <c r="I13" s="12" t="s">
        <v>312</v>
      </c>
      <c r="J13" s="13" t="s">
        <v>359</v>
      </c>
      <c r="K13" s="1" t="s">
        <v>384</v>
      </c>
      <c r="L13" s="2"/>
    </row>
    <row r="14" spans="1:12" ht="27" x14ac:dyDescent="0.35">
      <c r="B14" s="11">
        <f t="shared" si="0"/>
        <v>9</v>
      </c>
      <c r="C14" s="149"/>
      <c r="D14" s="149"/>
      <c r="E14" s="149"/>
      <c r="F14" s="12" t="s">
        <v>167</v>
      </c>
      <c r="G14" s="12"/>
      <c r="H14" s="12" t="s">
        <v>365</v>
      </c>
      <c r="I14" s="12" t="s">
        <v>312</v>
      </c>
      <c r="J14" s="13" t="s">
        <v>360</v>
      </c>
      <c r="K14" s="1" t="s">
        <v>384</v>
      </c>
      <c r="L14" s="2"/>
    </row>
  </sheetData>
  <mergeCells count="6">
    <mergeCell ref="C12:C14"/>
    <mergeCell ref="D12:D14"/>
    <mergeCell ref="E12:E14"/>
    <mergeCell ref="C8:C11"/>
    <mergeCell ref="D8:D11"/>
    <mergeCell ref="E8:E11"/>
  </mergeCells>
  <phoneticPr fontId="15"/>
  <hyperlinks>
    <hyperlink ref="A6" location="パラメータ設定一覧!A1" display="パラメータ設定一覧へ" xr:uid="{71757DA4-DBA2-4C96-AFB8-6FC771F3B454}"/>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9CAB-AF4E-42DC-944B-29D2543ECFDE}">
  <dimension ref="A1:F16"/>
  <sheetViews>
    <sheetView showGridLines="0" zoomScaleNormal="100" workbookViewId="0">
      <pane ySplit="6" topLeftCell="A7" activePane="bottomLeft" state="frozen"/>
      <selection pane="bottomLeft" activeCell="C1" sqref="C1:C104857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16384" width="8.78515625" style="26"/>
  </cols>
  <sheetData>
    <row r="1" spans="1:6" customFormat="1" ht="19.5" x14ac:dyDescent="0.35">
      <c r="A1" s="23" t="s">
        <v>382</v>
      </c>
    </row>
    <row r="2" spans="1:6" customFormat="1" ht="15" x14ac:dyDescent="0.35"/>
    <row r="3" spans="1:6" customFormat="1" ht="15" x14ac:dyDescent="0.35">
      <c r="A3" s="6" t="s">
        <v>49</v>
      </c>
    </row>
    <row r="4" spans="1:6" x14ac:dyDescent="0.35">
      <c r="B4" s="151" t="s">
        <v>6</v>
      </c>
      <c r="C4" s="156" t="s">
        <v>145</v>
      </c>
      <c r="D4" s="159"/>
      <c r="E4" s="159"/>
      <c r="F4" s="159"/>
    </row>
    <row r="5" spans="1:6" ht="28.75" customHeight="1" x14ac:dyDescent="0.35">
      <c r="B5" s="151"/>
      <c r="C5" s="14" t="s">
        <v>162</v>
      </c>
      <c r="D5" s="20" t="s">
        <v>163</v>
      </c>
      <c r="E5" s="20" t="s">
        <v>164</v>
      </c>
      <c r="F5" s="20" t="s">
        <v>353</v>
      </c>
    </row>
    <row r="6" spans="1:6" ht="43.4" customHeight="1" x14ac:dyDescent="0.35">
      <c r="B6" s="151"/>
      <c r="C6" s="3" t="s">
        <v>355</v>
      </c>
      <c r="D6" s="4" t="s">
        <v>356</v>
      </c>
      <c r="E6" s="4" t="s">
        <v>357</v>
      </c>
      <c r="F6" s="4" t="s">
        <v>358</v>
      </c>
    </row>
    <row r="7" spans="1:6" x14ac:dyDescent="0.3">
      <c r="B7" s="52">
        <f>ROW()-6</f>
        <v>1</v>
      </c>
      <c r="C7" s="24" t="s">
        <v>472</v>
      </c>
      <c r="D7" s="53" t="s">
        <v>472</v>
      </c>
      <c r="E7" s="53" t="s">
        <v>473</v>
      </c>
      <c r="F7" s="53">
        <v>0</v>
      </c>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A9268ED0-4A56-4877-BAD4-5775E2C9D526}"/>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3A87-2E3E-488D-9637-59C0EABA13BC}">
  <dimension ref="A1:F10"/>
  <sheetViews>
    <sheetView showGridLines="0" zoomScaleNormal="100" workbookViewId="0">
      <pane ySplit="6" topLeftCell="A7" activePane="bottomLeft" state="frozen"/>
      <selection pane="bottomLeft" activeCell="A3" sqref="A3"/>
    </sheetView>
  </sheetViews>
  <sheetFormatPr defaultColWidth="8.78515625" defaultRowHeight="13.5" x14ac:dyDescent="0.35"/>
  <cols>
    <col min="1" max="1" width="2.78515625" style="26" customWidth="1"/>
    <col min="2" max="2" width="6.640625" style="26" bestFit="1" customWidth="1"/>
    <col min="3" max="4" width="26.2109375" style="26" bestFit="1" customWidth="1"/>
    <col min="5" max="5" width="17.78515625" style="26" customWidth="1"/>
    <col min="6" max="6" width="20.140625" style="26" customWidth="1"/>
    <col min="7" max="16384" width="8.78515625" style="26"/>
  </cols>
  <sheetData>
    <row r="1" spans="1:6" customFormat="1" ht="19.5" x14ac:dyDescent="0.35">
      <c r="A1" s="23" t="s">
        <v>383</v>
      </c>
    </row>
    <row r="2" spans="1:6" customFormat="1" ht="15" x14ac:dyDescent="0.35"/>
    <row r="3" spans="1:6" customFormat="1" ht="15" x14ac:dyDescent="0.35">
      <c r="A3" s="6" t="s">
        <v>49</v>
      </c>
    </row>
    <row r="4" spans="1:6" x14ac:dyDescent="0.35">
      <c r="B4" s="151" t="s">
        <v>6</v>
      </c>
      <c r="C4" s="95"/>
      <c r="D4" s="156" t="s">
        <v>61</v>
      </c>
      <c r="E4" s="159"/>
      <c r="F4" s="157"/>
    </row>
    <row r="5" spans="1:6" ht="28.75" customHeight="1" x14ac:dyDescent="0.35">
      <c r="B5" s="151"/>
      <c r="C5" s="14" t="s">
        <v>162</v>
      </c>
      <c r="D5" s="20" t="s">
        <v>38</v>
      </c>
      <c r="E5" s="20" t="s">
        <v>166</v>
      </c>
      <c r="F5" s="20" t="s">
        <v>354</v>
      </c>
    </row>
    <row r="6" spans="1:6" ht="43.4" customHeight="1" x14ac:dyDescent="0.35">
      <c r="B6" s="151"/>
      <c r="C6" s="3" t="s">
        <v>355</v>
      </c>
      <c r="D6" s="4" t="s">
        <v>355</v>
      </c>
      <c r="E6" s="84" t="s">
        <v>363</v>
      </c>
      <c r="F6" s="84" t="s">
        <v>365</v>
      </c>
    </row>
    <row r="7" spans="1:6" x14ac:dyDescent="0.3">
      <c r="B7" s="96">
        <f>ROW()-6</f>
        <v>1</v>
      </c>
      <c r="C7" s="97" t="s">
        <v>472</v>
      </c>
      <c r="D7" s="53" t="s">
        <v>474</v>
      </c>
      <c r="E7" s="53" t="s">
        <v>477</v>
      </c>
      <c r="F7" s="53" t="s">
        <v>478</v>
      </c>
    </row>
    <row r="8" spans="1:6" x14ac:dyDescent="0.3">
      <c r="B8" s="98"/>
      <c r="C8" s="61"/>
      <c r="D8" s="53" t="s">
        <v>466</v>
      </c>
      <c r="E8" s="53" t="s">
        <v>479</v>
      </c>
      <c r="F8" s="53" t="s">
        <v>480</v>
      </c>
    </row>
    <row r="9" spans="1:6" x14ac:dyDescent="0.3">
      <c r="B9" s="98"/>
      <c r="C9" s="61"/>
      <c r="D9" s="53" t="s">
        <v>475</v>
      </c>
      <c r="E9" s="53" t="s">
        <v>481</v>
      </c>
      <c r="F9" s="53" t="s">
        <v>482</v>
      </c>
    </row>
    <row r="10" spans="1:6" x14ac:dyDescent="0.3">
      <c r="B10" s="99"/>
      <c r="C10" s="63"/>
      <c r="D10" s="53" t="s">
        <v>476</v>
      </c>
      <c r="E10" s="53" t="s">
        <v>483</v>
      </c>
      <c r="F10" s="53" t="s">
        <v>484</v>
      </c>
    </row>
  </sheetData>
  <sheetProtection insertRows="0" deleteRows="0" sort="0" autoFilter="0"/>
  <mergeCells count="2">
    <mergeCell ref="B4:B6"/>
    <mergeCell ref="D4:F4"/>
  </mergeCells>
  <phoneticPr fontId="15"/>
  <hyperlinks>
    <hyperlink ref="A3" location="パラメータ設定一覧!A1" display="パラメータ設定一覧へ" xr:uid="{186E428B-58C7-492A-9333-AF0D4B8AC86A}"/>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B832-C0B1-4FEE-BF66-CA74DD8E9523}">
  <dimension ref="A1:L59"/>
  <sheetViews>
    <sheetView showGridLines="0" zoomScale="70" zoomScaleNormal="70" workbookViewId="0">
      <pane xSplit="6" ySplit="5" topLeftCell="G12" activePane="bottomRight" state="frozen"/>
      <selection pane="topRight"/>
      <selection pane="bottomLeft"/>
      <selection pane="bottomRight"/>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56.35546875" style="26" customWidth="1"/>
    <col min="8" max="8" width="24.42578125" style="26" customWidth="1"/>
    <col min="9" max="9" width="15.640625" style="26" customWidth="1"/>
    <col min="10" max="10" width="34.78515625" style="26" customWidth="1"/>
    <col min="11" max="11" width="18.2109375" style="26" customWidth="1"/>
    <col min="12" max="12" width="13.2109375" style="26" customWidth="1"/>
    <col min="13" max="16384" width="8.78515625" style="26"/>
  </cols>
  <sheetData>
    <row r="1" spans="1:12" customFormat="1" ht="19.5" x14ac:dyDescent="0.35">
      <c r="A1" s="5" t="s">
        <v>220</v>
      </c>
    </row>
    <row r="2" spans="1:12" customFormat="1" ht="19.5" x14ac:dyDescent="0.35">
      <c r="A2" s="5"/>
      <c r="B2" t="s">
        <v>221</v>
      </c>
    </row>
    <row r="3" spans="1:12" customFormat="1" ht="15" x14ac:dyDescent="0.35">
      <c r="B3" t="s">
        <v>305</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94.5" x14ac:dyDescent="0.35">
      <c r="B6" s="11">
        <f>ROW() - 5</f>
        <v>1</v>
      </c>
      <c r="C6" s="46" t="s">
        <v>222</v>
      </c>
      <c r="D6" s="46" t="s">
        <v>223</v>
      </c>
      <c r="E6" s="49"/>
      <c r="F6" s="12" t="s">
        <v>224</v>
      </c>
      <c r="G6" s="12" t="s">
        <v>376</v>
      </c>
      <c r="H6" s="12" t="s">
        <v>279</v>
      </c>
      <c r="I6" s="12" t="s">
        <v>280</v>
      </c>
      <c r="J6" s="13"/>
      <c r="K6" s="1" t="s">
        <v>485</v>
      </c>
      <c r="L6" s="2"/>
    </row>
    <row r="7" spans="1:12" ht="40.5" x14ac:dyDescent="0.35">
      <c r="B7" s="11">
        <f>ROW() - 5</f>
        <v>2</v>
      </c>
      <c r="C7" s="46"/>
      <c r="D7" s="46"/>
      <c r="E7" s="46"/>
      <c r="F7" s="12" t="s">
        <v>374</v>
      </c>
      <c r="G7" s="12" t="s">
        <v>375</v>
      </c>
      <c r="H7" s="12" t="s">
        <v>24</v>
      </c>
      <c r="I7" s="12" t="s">
        <v>29</v>
      </c>
      <c r="J7" s="13"/>
      <c r="K7" s="1" t="s">
        <v>29</v>
      </c>
      <c r="L7" s="2"/>
    </row>
    <row r="8" spans="1:12" x14ac:dyDescent="0.35">
      <c r="B8" s="11">
        <f t="shared" ref="B8:B59" si="0">ROW() - 5</f>
        <v>3</v>
      </c>
      <c r="C8" s="46"/>
      <c r="D8" s="46"/>
      <c r="E8" s="46"/>
      <c r="F8" s="12" t="s">
        <v>225</v>
      </c>
      <c r="G8" s="12" t="s">
        <v>341</v>
      </c>
      <c r="H8" s="12" t="s">
        <v>281</v>
      </c>
      <c r="I8" s="12" t="s">
        <v>23</v>
      </c>
      <c r="J8" s="13"/>
      <c r="K8" s="1"/>
      <c r="L8" s="2"/>
    </row>
    <row r="9" spans="1:12" ht="27" x14ac:dyDescent="0.35">
      <c r="B9" s="11">
        <f t="shared" si="0"/>
        <v>4</v>
      </c>
      <c r="C9" s="46"/>
      <c r="D9" s="46"/>
      <c r="E9" s="50"/>
      <c r="F9" s="46" t="s">
        <v>226</v>
      </c>
      <c r="G9" s="12"/>
      <c r="H9" s="12" t="s">
        <v>24</v>
      </c>
      <c r="I9" s="12" t="s">
        <v>25</v>
      </c>
      <c r="J9" s="13"/>
      <c r="K9" s="1" t="s">
        <v>25</v>
      </c>
      <c r="L9" s="2"/>
    </row>
    <row r="10" spans="1:12" ht="27" x14ac:dyDescent="0.35">
      <c r="B10" s="11">
        <f t="shared" si="0"/>
        <v>5</v>
      </c>
      <c r="C10" s="50"/>
      <c r="D10" s="50"/>
      <c r="E10" s="46" t="s">
        <v>227</v>
      </c>
      <c r="F10" s="49" t="s">
        <v>228</v>
      </c>
      <c r="G10" s="12" t="s">
        <v>377</v>
      </c>
      <c r="H10" s="12" t="s">
        <v>24</v>
      </c>
      <c r="I10" s="12" t="s">
        <v>25</v>
      </c>
      <c r="J10" s="13"/>
      <c r="K10" s="1" t="s">
        <v>25</v>
      </c>
      <c r="L10" s="2"/>
    </row>
    <row r="11" spans="1:12" ht="40.5" x14ac:dyDescent="0.35">
      <c r="B11" s="11">
        <f t="shared" si="0"/>
        <v>6</v>
      </c>
      <c r="C11" s="49" t="s">
        <v>229</v>
      </c>
      <c r="D11" s="49" t="s">
        <v>230</v>
      </c>
      <c r="E11" s="49"/>
      <c r="F11" s="12" t="s">
        <v>231</v>
      </c>
      <c r="G11" s="12" t="s">
        <v>378</v>
      </c>
      <c r="H11" s="12" t="s">
        <v>30</v>
      </c>
      <c r="I11" s="12" t="s">
        <v>23</v>
      </c>
      <c r="J11" s="12"/>
      <c r="K11" s="1" t="s">
        <v>407</v>
      </c>
      <c r="L11" s="2"/>
    </row>
    <row r="12" spans="1:12" ht="27" x14ac:dyDescent="0.35">
      <c r="B12" s="11">
        <f t="shared" si="0"/>
        <v>7</v>
      </c>
      <c r="C12" s="46"/>
      <c r="D12" s="46"/>
      <c r="E12" s="46"/>
      <c r="F12" s="12" t="s">
        <v>34</v>
      </c>
      <c r="G12" s="12"/>
      <c r="H12" s="12" t="s">
        <v>30</v>
      </c>
      <c r="I12" s="12" t="s">
        <v>23</v>
      </c>
      <c r="J12" s="12"/>
      <c r="K12" s="1" t="s">
        <v>407</v>
      </c>
      <c r="L12" s="2"/>
    </row>
    <row r="13" spans="1:12" ht="409.5" x14ac:dyDescent="0.35">
      <c r="B13" s="11">
        <f t="shared" si="0"/>
        <v>8</v>
      </c>
      <c r="C13" s="46"/>
      <c r="D13" s="46"/>
      <c r="E13" s="46"/>
      <c r="F13" s="12" t="s">
        <v>232</v>
      </c>
      <c r="G13" s="12" t="s">
        <v>379</v>
      </c>
      <c r="H13" s="12" t="s">
        <v>380</v>
      </c>
      <c r="I13" s="12" t="s">
        <v>282</v>
      </c>
      <c r="J13" s="12"/>
      <c r="K13" s="1" t="s">
        <v>407</v>
      </c>
      <c r="L13" s="2"/>
    </row>
    <row r="14" spans="1:12" ht="27" x14ac:dyDescent="0.35">
      <c r="B14" s="11">
        <f t="shared" si="0"/>
        <v>9</v>
      </c>
      <c r="C14" s="46"/>
      <c r="D14" s="46"/>
      <c r="E14" s="46"/>
      <c r="F14" s="12" t="s">
        <v>233</v>
      </c>
      <c r="G14" s="12" t="s">
        <v>341</v>
      </c>
      <c r="H14" s="12" t="s">
        <v>30</v>
      </c>
      <c r="I14" s="12" t="s">
        <v>23</v>
      </c>
      <c r="J14" s="12"/>
      <c r="K14" s="1" t="s">
        <v>407</v>
      </c>
      <c r="L14" s="2"/>
    </row>
    <row r="15" spans="1:12" ht="40.5" x14ac:dyDescent="0.35">
      <c r="B15" s="11">
        <f t="shared" si="0"/>
        <v>10</v>
      </c>
      <c r="C15" s="49" t="s">
        <v>234</v>
      </c>
      <c r="D15" s="49" t="s">
        <v>235</v>
      </c>
      <c r="E15" s="49"/>
      <c r="F15" s="12" t="s">
        <v>236</v>
      </c>
      <c r="G15" s="12"/>
      <c r="H15" s="12" t="s">
        <v>30</v>
      </c>
      <c r="I15" s="12" t="s">
        <v>23</v>
      </c>
      <c r="J15" s="12"/>
      <c r="K15" s="1" t="s">
        <v>410</v>
      </c>
      <c r="L15" s="2"/>
    </row>
    <row r="16" spans="1:12" ht="27" x14ac:dyDescent="0.35">
      <c r="B16" s="11">
        <f t="shared" si="0"/>
        <v>11</v>
      </c>
      <c r="C16" s="46"/>
      <c r="D16" s="46"/>
      <c r="E16" s="46"/>
      <c r="F16" s="12" t="s">
        <v>34</v>
      </c>
      <c r="G16" s="12"/>
      <c r="H16" s="12" t="s">
        <v>30</v>
      </c>
      <c r="I16" s="12" t="s">
        <v>23</v>
      </c>
      <c r="J16" s="12"/>
      <c r="K16" s="1" t="s">
        <v>410</v>
      </c>
      <c r="L16" s="2"/>
    </row>
    <row r="17" spans="2:12" ht="40.5" x14ac:dyDescent="0.35">
      <c r="B17" s="11">
        <f t="shared" si="0"/>
        <v>12</v>
      </c>
      <c r="C17" s="49" t="s">
        <v>237</v>
      </c>
      <c r="D17" s="49" t="s">
        <v>238</v>
      </c>
      <c r="E17" s="49"/>
      <c r="F17" s="49" t="s">
        <v>239</v>
      </c>
      <c r="G17" s="12" t="s">
        <v>381</v>
      </c>
      <c r="H17" s="12" t="s">
        <v>30</v>
      </c>
      <c r="I17" s="12" t="s">
        <v>23</v>
      </c>
      <c r="J17" s="12"/>
      <c r="K17" s="1" t="s">
        <v>412</v>
      </c>
      <c r="L17" s="2"/>
    </row>
    <row r="18" spans="2:12" ht="27" x14ac:dyDescent="0.35">
      <c r="B18" s="11">
        <f t="shared" si="0"/>
        <v>13</v>
      </c>
      <c r="C18" s="46"/>
      <c r="D18" s="46"/>
      <c r="E18" s="46"/>
      <c r="F18" s="12" t="s">
        <v>34</v>
      </c>
      <c r="G18" s="12"/>
      <c r="H18" s="12" t="s">
        <v>30</v>
      </c>
      <c r="I18" s="12" t="s">
        <v>23</v>
      </c>
      <c r="J18" s="12"/>
      <c r="K18" s="1" t="s">
        <v>412</v>
      </c>
      <c r="L18" s="2"/>
    </row>
    <row r="19" spans="2:12" ht="27" x14ac:dyDescent="0.35">
      <c r="B19" s="11">
        <f t="shared" si="0"/>
        <v>14</v>
      </c>
      <c r="C19" s="46"/>
      <c r="D19" s="46"/>
      <c r="E19" s="46"/>
      <c r="F19" s="12" t="s">
        <v>37</v>
      </c>
      <c r="G19" s="12"/>
      <c r="H19" s="12" t="s">
        <v>160</v>
      </c>
      <c r="I19" s="12" t="s">
        <v>23</v>
      </c>
      <c r="J19" s="12"/>
      <c r="K19" s="1" t="s">
        <v>412</v>
      </c>
      <c r="L19" s="2"/>
    </row>
    <row r="20" spans="2:12" ht="40.5" x14ac:dyDescent="0.35">
      <c r="B20" s="11">
        <f t="shared" si="0"/>
        <v>15</v>
      </c>
      <c r="C20" s="46"/>
      <c r="D20" s="46"/>
      <c r="E20" s="46"/>
      <c r="F20" s="12" t="s">
        <v>240</v>
      </c>
      <c r="G20" s="12" t="s">
        <v>395</v>
      </c>
      <c r="H20" s="12" t="s">
        <v>24</v>
      </c>
      <c r="I20" s="12" t="s">
        <v>25</v>
      </c>
      <c r="J20" s="12"/>
      <c r="K20" s="1" t="s">
        <v>412</v>
      </c>
      <c r="L20" s="2"/>
    </row>
    <row r="21" spans="2:12" ht="27" x14ac:dyDescent="0.35">
      <c r="B21" s="11">
        <f t="shared" si="0"/>
        <v>16</v>
      </c>
      <c r="C21" s="46"/>
      <c r="D21" s="46"/>
      <c r="E21" s="46"/>
      <c r="F21" s="12" t="s">
        <v>241</v>
      </c>
      <c r="G21" s="12" t="s">
        <v>396</v>
      </c>
      <c r="H21" s="12" t="s">
        <v>24</v>
      </c>
      <c r="I21" s="12" t="s">
        <v>25</v>
      </c>
      <c r="J21" s="12"/>
      <c r="K21" s="1" t="s">
        <v>412</v>
      </c>
      <c r="L21" s="2"/>
    </row>
    <row r="22" spans="2:12" ht="27" x14ac:dyDescent="0.35">
      <c r="B22" s="11">
        <f t="shared" si="0"/>
        <v>17</v>
      </c>
      <c r="C22" s="46"/>
      <c r="D22" s="46"/>
      <c r="E22" s="46"/>
      <c r="F22" s="12" t="s">
        <v>397</v>
      </c>
      <c r="G22" s="12" t="s">
        <v>398</v>
      </c>
      <c r="H22" s="12" t="s">
        <v>24</v>
      </c>
      <c r="I22" s="12" t="s">
        <v>25</v>
      </c>
      <c r="J22" s="12"/>
      <c r="K22" s="1" t="s">
        <v>412</v>
      </c>
      <c r="L22" s="2"/>
    </row>
    <row r="23" spans="2:12" ht="40.5" x14ac:dyDescent="0.35">
      <c r="B23" s="11">
        <f t="shared" si="0"/>
        <v>18</v>
      </c>
      <c r="C23" s="46"/>
      <c r="D23" s="46"/>
      <c r="E23" s="46"/>
      <c r="F23" s="12" t="s">
        <v>242</v>
      </c>
      <c r="G23" s="12"/>
      <c r="H23" s="12" t="s">
        <v>283</v>
      </c>
      <c r="I23" s="12" t="s">
        <v>23</v>
      </c>
      <c r="J23" s="13" t="s">
        <v>245</v>
      </c>
      <c r="K23" s="1" t="s">
        <v>23</v>
      </c>
      <c r="L23" s="2"/>
    </row>
    <row r="24" spans="2:12" ht="27" x14ac:dyDescent="0.35">
      <c r="B24" s="11">
        <f t="shared" si="0"/>
        <v>19</v>
      </c>
      <c r="C24" s="46"/>
      <c r="D24" s="46"/>
      <c r="E24" s="46"/>
      <c r="F24" s="12" t="s">
        <v>243</v>
      </c>
      <c r="G24" s="12"/>
      <c r="H24" s="12" t="s">
        <v>283</v>
      </c>
      <c r="I24" s="12" t="s">
        <v>23</v>
      </c>
      <c r="J24" s="12"/>
      <c r="K24" s="1" t="s">
        <v>412</v>
      </c>
      <c r="L24" s="2"/>
    </row>
    <row r="25" spans="2:12" ht="54" x14ac:dyDescent="0.35">
      <c r="B25" s="11">
        <f t="shared" si="0"/>
        <v>20</v>
      </c>
      <c r="C25" s="49" t="s">
        <v>246</v>
      </c>
      <c r="D25" s="49" t="s">
        <v>247</v>
      </c>
      <c r="E25" s="49"/>
      <c r="F25" s="12" t="s">
        <v>246</v>
      </c>
      <c r="G25" s="12"/>
      <c r="H25" s="12" t="s">
        <v>30</v>
      </c>
      <c r="I25" s="12" t="s">
        <v>23</v>
      </c>
      <c r="J25" s="12"/>
      <c r="K25" s="1" t="s">
        <v>429</v>
      </c>
      <c r="L25" s="2"/>
    </row>
    <row r="26" spans="2:12" ht="27" x14ac:dyDescent="0.35">
      <c r="B26" s="11">
        <f t="shared" si="0"/>
        <v>21</v>
      </c>
      <c r="C26" s="46"/>
      <c r="D26" s="46"/>
      <c r="E26" s="50"/>
      <c r="F26" s="12" t="s">
        <v>248</v>
      </c>
      <c r="G26" s="12" t="s">
        <v>399</v>
      </c>
      <c r="H26" s="12" t="s">
        <v>284</v>
      </c>
      <c r="I26" s="12" t="s">
        <v>23</v>
      </c>
      <c r="J26" s="12"/>
      <c r="K26" s="1" t="s">
        <v>429</v>
      </c>
      <c r="L26" s="2"/>
    </row>
    <row r="27" spans="2:12" ht="108" x14ac:dyDescent="0.35">
      <c r="B27" s="11">
        <f t="shared" si="0"/>
        <v>22</v>
      </c>
      <c r="C27" s="46"/>
      <c r="D27" s="46"/>
      <c r="E27" s="49" t="s">
        <v>249</v>
      </c>
      <c r="F27" s="12" t="s">
        <v>250</v>
      </c>
      <c r="G27" s="12" t="s">
        <v>400</v>
      </c>
      <c r="H27" s="12" t="s">
        <v>285</v>
      </c>
      <c r="I27" s="12" t="s">
        <v>416</v>
      </c>
      <c r="J27" s="12"/>
      <c r="K27" s="1" t="s">
        <v>429</v>
      </c>
      <c r="L27" s="2"/>
    </row>
    <row r="28" spans="2:12" ht="27" x14ac:dyDescent="0.35">
      <c r="B28" s="11">
        <f t="shared" si="0"/>
        <v>23</v>
      </c>
      <c r="C28" s="46"/>
      <c r="D28" s="46"/>
      <c r="E28" s="46"/>
      <c r="F28" s="12" t="s">
        <v>413</v>
      </c>
      <c r="G28" s="12" t="s">
        <v>414</v>
      </c>
      <c r="H28" s="12" t="s">
        <v>415</v>
      </c>
      <c r="I28" s="12" t="s">
        <v>23</v>
      </c>
      <c r="J28" s="12"/>
      <c r="K28" s="1" t="s">
        <v>429</v>
      </c>
      <c r="L28" s="2"/>
    </row>
    <row r="29" spans="2:12" ht="27" x14ac:dyDescent="0.35">
      <c r="B29" s="11">
        <f t="shared" si="0"/>
        <v>24</v>
      </c>
      <c r="C29" s="46"/>
      <c r="D29" s="46"/>
      <c r="E29" s="46"/>
      <c r="F29" s="12" t="s">
        <v>417</v>
      </c>
      <c r="G29" s="12" t="s">
        <v>418</v>
      </c>
      <c r="H29" s="12" t="s">
        <v>419</v>
      </c>
      <c r="I29" s="12" t="s">
        <v>23</v>
      </c>
      <c r="J29" s="12"/>
      <c r="K29" s="1" t="s">
        <v>429</v>
      </c>
      <c r="L29" s="2"/>
    </row>
    <row r="30" spans="2:12" ht="27" x14ac:dyDescent="0.35">
      <c r="B30" s="11">
        <f t="shared" si="0"/>
        <v>25</v>
      </c>
      <c r="C30" s="46"/>
      <c r="D30" s="46"/>
      <c r="E30" s="50"/>
      <c r="F30" s="12" t="s">
        <v>420</v>
      </c>
      <c r="G30" s="12"/>
      <c r="H30" s="12" t="s">
        <v>421</v>
      </c>
      <c r="I30" s="12" t="s">
        <v>23</v>
      </c>
      <c r="J30" s="12" t="s">
        <v>422</v>
      </c>
      <c r="K30" s="1" t="s">
        <v>429</v>
      </c>
      <c r="L30" s="2"/>
    </row>
    <row r="31" spans="2:12" ht="27" x14ac:dyDescent="0.35">
      <c r="B31" s="11">
        <f t="shared" si="0"/>
        <v>26</v>
      </c>
      <c r="C31" s="46"/>
      <c r="D31" s="46"/>
      <c r="E31" s="49" t="s">
        <v>251</v>
      </c>
      <c r="F31" s="12" t="s">
        <v>423</v>
      </c>
      <c r="G31" s="12"/>
      <c r="H31" s="12" t="s">
        <v>28</v>
      </c>
      <c r="I31" s="91" t="s">
        <v>426</v>
      </c>
      <c r="J31" s="12" t="s">
        <v>424</v>
      </c>
      <c r="K31" s="1" t="s">
        <v>429</v>
      </c>
      <c r="L31" s="2"/>
    </row>
    <row r="32" spans="2:12" ht="27" x14ac:dyDescent="0.35">
      <c r="B32" s="11">
        <f t="shared" si="0"/>
        <v>27</v>
      </c>
      <c r="C32" s="46"/>
      <c r="D32" s="46"/>
      <c r="E32" s="50"/>
      <c r="F32" s="12" t="s">
        <v>252</v>
      </c>
      <c r="G32" s="12" t="s">
        <v>401</v>
      </c>
      <c r="H32" s="12" t="s">
        <v>286</v>
      </c>
      <c r="I32" s="12" t="s">
        <v>23</v>
      </c>
      <c r="J32" s="12"/>
      <c r="K32" s="1" t="s">
        <v>429</v>
      </c>
      <c r="L32" s="2"/>
    </row>
    <row r="33" spans="2:12" ht="27" x14ac:dyDescent="0.35">
      <c r="B33" s="11">
        <f t="shared" si="0"/>
        <v>28</v>
      </c>
      <c r="C33" s="46"/>
      <c r="D33" s="46"/>
      <c r="E33" s="46" t="s">
        <v>253</v>
      </c>
      <c r="F33" s="12" t="s">
        <v>254</v>
      </c>
      <c r="G33" s="12" t="s">
        <v>402</v>
      </c>
      <c r="H33" s="12" t="s">
        <v>286</v>
      </c>
      <c r="I33" s="12" t="s">
        <v>23</v>
      </c>
      <c r="J33" s="12"/>
      <c r="K33" s="1" t="s">
        <v>429</v>
      </c>
      <c r="L33" s="2"/>
    </row>
    <row r="34" spans="2:12" ht="27" x14ac:dyDescent="0.35">
      <c r="B34" s="11">
        <f t="shared" si="0"/>
        <v>29</v>
      </c>
      <c r="C34" s="46"/>
      <c r="D34" s="46"/>
      <c r="E34" s="46"/>
      <c r="F34" s="12" t="s">
        <v>255</v>
      </c>
      <c r="G34" s="12" t="s">
        <v>403</v>
      </c>
      <c r="H34" s="12" t="s">
        <v>28</v>
      </c>
      <c r="I34" s="91" t="s">
        <v>425</v>
      </c>
      <c r="J34" s="12"/>
      <c r="K34" s="1" t="s">
        <v>429</v>
      </c>
      <c r="L34" s="2"/>
    </row>
    <row r="35" spans="2:12" ht="27" x14ac:dyDescent="0.35">
      <c r="B35" s="11">
        <f t="shared" si="0"/>
        <v>30</v>
      </c>
      <c r="C35" s="50"/>
      <c r="D35" s="50"/>
      <c r="E35" s="50"/>
      <c r="F35" s="12" t="s">
        <v>256</v>
      </c>
      <c r="G35" s="12"/>
      <c r="H35" s="12" t="s">
        <v>24</v>
      </c>
      <c r="I35" s="12" t="s">
        <v>25</v>
      </c>
      <c r="J35" s="12"/>
      <c r="K35" s="1" t="s">
        <v>429</v>
      </c>
      <c r="L35" s="2"/>
    </row>
    <row r="36" spans="2:12" ht="27" x14ac:dyDescent="0.35">
      <c r="B36" s="11">
        <f t="shared" si="0"/>
        <v>31</v>
      </c>
      <c r="C36" s="49" t="s">
        <v>257</v>
      </c>
      <c r="D36" s="49" t="s">
        <v>258</v>
      </c>
      <c r="E36" s="49"/>
      <c r="F36" s="12" t="s">
        <v>259</v>
      </c>
      <c r="G36" s="12" t="s">
        <v>341</v>
      </c>
      <c r="H36" s="12" t="s">
        <v>287</v>
      </c>
      <c r="I36" s="12" t="s">
        <v>23</v>
      </c>
      <c r="J36" s="12"/>
      <c r="K36" s="1" t="s">
        <v>431</v>
      </c>
      <c r="L36" s="2"/>
    </row>
    <row r="37" spans="2:12" ht="27" x14ac:dyDescent="0.35">
      <c r="B37" s="11">
        <f t="shared" si="0"/>
        <v>32</v>
      </c>
      <c r="C37" s="50"/>
      <c r="D37" s="50"/>
      <c r="E37" s="50"/>
      <c r="F37" s="12" t="s">
        <v>246</v>
      </c>
      <c r="G37" s="12" t="s">
        <v>341</v>
      </c>
      <c r="H37" s="12" t="s">
        <v>288</v>
      </c>
      <c r="I37" s="12" t="s">
        <v>23</v>
      </c>
      <c r="J37" s="12"/>
      <c r="K37" s="1" t="s">
        <v>431</v>
      </c>
      <c r="L37" s="2"/>
    </row>
    <row r="38" spans="2:12" ht="40.5" x14ac:dyDescent="0.35">
      <c r="B38" s="11">
        <f t="shared" si="0"/>
        <v>33</v>
      </c>
      <c r="C38" s="49" t="s">
        <v>260</v>
      </c>
      <c r="D38" s="49" t="s">
        <v>261</v>
      </c>
      <c r="E38" s="49"/>
      <c r="F38" s="12" t="s">
        <v>437</v>
      </c>
      <c r="G38" s="12" t="s">
        <v>404</v>
      </c>
      <c r="H38" s="12" t="s">
        <v>30</v>
      </c>
      <c r="I38" s="12" t="s">
        <v>23</v>
      </c>
      <c r="J38" s="12"/>
      <c r="K38" s="1" t="s">
        <v>438</v>
      </c>
      <c r="L38" s="2"/>
    </row>
    <row r="39" spans="2:12" ht="27" x14ac:dyDescent="0.35">
      <c r="B39" s="11">
        <f t="shared" si="0"/>
        <v>34</v>
      </c>
      <c r="C39" s="46"/>
      <c r="D39" s="46"/>
      <c r="E39" s="46"/>
      <c r="F39" s="49" t="s">
        <v>34</v>
      </c>
      <c r="G39" s="12"/>
      <c r="H39" s="12" t="s">
        <v>30</v>
      </c>
      <c r="I39" s="12" t="s">
        <v>23</v>
      </c>
      <c r="J39" s="12"/>
      <c r="K39" s="1" t="s">
        <v>438</v>
      </c>
      <c r="L39" s="2"/>
    </row>
    <row r="40" spans="2:12" ht="27" x14ac:dyDescent="0.35">
      <c r="B40" s="11">
        <f t="shared" si="0"/>
        <v>35</v>
      </c>
      <c r="C40" s="49" t="s">
        <v>262</v>
      </c>
      <c r="D40" s="49" t="s">
        <v>263</v>
      </c>
      <c r="E40" s="49" t="s">
        <v>262</v>
      </c>
      <c r="F40" s="12" t="s">
        <v>38</v>
      </c>
      <c r="G40" s="12"/>
      <c r="H40" s="12" t="s">
        <v>30</v>
      </c>
      <c r="I40" s="12" t="s">
        <v>23</v>
      </c>
      <c r="J40" s="12"/>
      <c r="K40" s="1" t="s">
        <v>455</v>
      </c>
      <c r="L40" s="2"/>
    </row>
    <row r="41" spans="2:12" ht="27" x14ac:dyDescent="0.35">
      <c r="B41" s="11">
        <f t="shared" si="0"/>
        <v>36</v>
      </c>
      <c r="C41" s="46"/>
      <c r="D41" s="46"/>
      <c r="E41" s="50"/>
      <c r="F41" s="12" t="s">
        <v>34</v>
      </c>
      <c r="G41" s="12"/>
      <c r="H41" s="12" t="s">
        <v>30</v>
      </c>
      <c r="I41" s="12" t="s">
        <v>23</v>
      </c>
      <c r="J41" s="12"/>
      <c r="K41" s="1" t="s">
        <v>455</v>
      </c>
      <c r="L41" s="2"/>
    </row>
    <row r="42" spans="2:12" ht="27" x14ac:dyDescent="0.35">
      <c r="B42" s="11">
        <f t="shared" si="0"/>
        <v>37</v>
      </c>
      <c r="C42" s="46"/>
      <c r="D42" s="46"/>
      <c r="E42" s="46" t="s">
        <v>264</v>
      </c>
      <c r="F42" s="12" t="s">
        <v>231</v>
      </c>
      <c r="G42" s="12" t="s">
        <v>378</v>
      </c>
      <c r="H42" s="12" t="s">
        <v>286</v>
      </c>
      <c r="I42" s="12" t="s">
        <v>23</v>
      </c>
      <c r="J42" s="12"/>
      <c r="K42" s="1" t="s">
        <v>455</v>
      </c>
      <c r="L42" s="2"/>
    </row>
    <row r="43" spans="2:12" ht="67.5" x14ac:dyDescent="0.35">
      <c r="B43" s="11">
        <f t="shared" si="0"/>
        <v>38</v>
      </c>
      <c r="C43" s="46"/>
      <c r="D43" s="46"/>
      <c r="E43" s="46"/>
      <c r="F43" s="12" t="s">
        <v>265</v>
      </c>
      <c r="G43" s="12"/>
      <c r="H43" s="12" t="s">
        <v>289</v>
      </c>
      <c r="I43" s="12" t="s">
        <v>449</v>
      </c>
      <c r="J43" s="12"/>
      <c r="K43" s="1" t="s">
        <v>455</v>
      </c>
      <c r="L43" s="2"/>
    </row>
    <row r="44" spans="2:12" ht="27" x14ac:dyDescent="0.35">
      <c r="B44" s="11">
        <f t="shared" si="0"/>
        <v>39</v>
      </c>
      <c r="C44" s="46"/>
      <c r="D44" s="46"/>
      <c r="E44" s="46"/>
      <c r="F44" s="12" t="s">
        <v>441</v>
      </c>
      <c r="G44" s="12"/>
      <c r="H44" s="12" t="s">
        <v>28</v>
      </c>
      <c r="I44" s="91" t="s">
        <v>426</v>
      </c>
      <c r="J44" s="12" t="s">
        <v>442</v>
      </c>
      <c r="K44" s="1" t="s">
        <v>455</v>
      </c>
      <c r="L44" s="2"/>
    </row>
    <row r="45" spans="2:12" ht="27" x14ac:dyDescent="0.35">
      <c r="B45" s="11">
        <f t="shared" si="0"/>
        <v>40</v>
      </c>
      <c r="C45" s="46"/>
      <c r="D45" s="46"/>
      <c r="E45" s="46"/>
      <c r="F45" s="12" t="s">
        <v>443</v>
      </c>
      <c r="G45" s="12"/>
      <c r="H45" s="12" t="s">
        <v>28</v>
      </c>
      <c r="I45" s="91" t="s">
        <v>426</v>
      </c>
      <c r="J45" s="12" t="s">
        <v>444</v>
      </c>
      <c r="K45" s="1" t="s">
        <v>455</v>
      </c>
      <c r="L45" s="2"/>
    </row>
    <row r="46" spans="2:12" ht="27" x14ac:dyDescent="0.35">
      <c r="B46" s="11">
        <f t="shared" si="0"/>
        <v>41</v>
      </c>
      <c r="C46" s="46"/>
      <c r="D46" s="46"/>
      <c r="E46" s="46"/>
      <c r="F46" s="12" t="s">
        <v>439</v>
      </c>
      <c r="G46" s="12"/>
      <c r="H46" s="12" t="s">
        <v>28</v>
      </c>
      <c r="I46" s="91" t="s">
        <v>426</v>
      </c>
      <c r="J46" s="12" t="s">
        <v>445</v>
      </c>
      <c r="K46" s="1" t="s">
        <v>455</v>
      </c>
      <c r="L46" s="2"/>
    </row>
    <row r="47" spans="2:12" ht="27" x14ac:dyDescent="0.35">
      <c r="B47" s="11">
        <f t="shared" si="0"/>
        <v>42</v>
      </c>
      <c r="C47" s="46"/>
      <c r="D47" s="46"/>
      <c r="E47" s="50"/>
      <c r="F47" s="91" t="s">
        <v>440</v>
      </c>
      <c r="G47" s="12"/>
      <c r="H47" s="12" t="s">
        <v>28</v>
      </c>
      <c r="I47" s="91" t="s">
        <v>426</v>
      </c>
      <c r="J47" s="12" t="s">
        <v>446</v>
      </c>
      <c r="K47" s="1" t="s">
        <v>455</v>
      </c>
      <c r="L47" s="2"/>
    </row>
    <row r="48" spans="2:12" ht="94.5" x14ac:dyDescent="0.35">
      <c r="B48" s="11">
        <f t="shared" si="0"/>
        <v>43</v>
      </c>
      <c r="C48" s="46"/>
      <c r="D48" s="46"/>
      <c r="E48" s="46" t="s">
        <v>266</v>
      </c>
      <c r="F48" s="12" t="s">
        <v>267</v>
      </c>
      <c r="G48" s="12"/>
      <c r="H48" s="12" t="s">
        <v>448</v>
      </c>
      <c r="I48" s="12" t="s">
        <v>23</v>
      </c>
      <c r="J48" s="12"/>
      <c r="K48" s="1" t="s">
        <v>455</v>
      </c>
      <c r="L48" s="2"/>
    </row>
    <row r="49" spans="2:12" ht="148.5" x14ac:dyDescent="0.35">
      <c r="B49" s="11">
        <f t="shared" si="0"/>
        <v>44</v>
      </c>
      <c r="C49" s="46"/>
      <c r="D49" s="46"/>
      <c r="E49" s="46"/>
      <c r="F49" s="12" t="s">
        <v>268</v>
      </c>
      <c r="G49" s="12"/>
      <c r="H49" s="12" t="s">
        <v>452</v>
      </c>
      <c r="I49" s="12" t="s">
        <v>23</v>
      </c>
      <c r="J49" s="12"/>
      <c r="K49" s="1" t="s">
        <v>455</v>
      </c>
      <c r="L49" s="2"/>
    </row>
    <row r="50" spans="2:12" ht="81" x14ac:dyDescent="0.35">
      <c r="B50" s="11">
        <f t="shared" si="0"/>
        <v>45</v>
      </c>
      <c r="C50" s="46"/>
      <c r="D50" s="46"/>
      <c r="E50" s="46"/>
      <c r="F50" s="12" t="s">
        <v>269</v>
      </c>
      <c r="G50" s="12"/>
      <c r="H50" s="91" t="s">
        <v>450</v>
      </c>
      <c r="I50" s="91" t="s">
        <v>451</v>
      </c>
      <c r="J50" s="12"/>
      <c r="K50" s="1" t="s">
        <v>455</v>
      </c>
      <c r="L50" s="2"/>
    </row>
    <row r="51" spans="2:12" ht="135" x14ac:dyDescent="0.35">
      <c r="B51" s="11">
        <f t="shared" si="0"/>
        <v>46</v>
      </c>
      <c r="C51" s="46"/>
      <c r="D51" s="46"/>
      <c r="E51" s="46"/>
      <c r="F51" s="12" t="s">
        <v>453</v>
      </c>
      <c r="G51" s="12"/>
      <c r="H51" s="12" t="s">
        <v>454</v>
      </c>
      <c r="I51" s="91" t="s">
        <v>23</v>
      </c>
      <c r="J51" s="12"/>
      <c r="K51" s="1" t="s">
        <v>455</v>
      </c>
      <c r="L51" s="2"/>
    </row>
    <row r="52" spans="2:12" ht="135" x14ac:dyDescent="0.35">
      <c r="B52" s="11">
        <f t="shared" si="0"/>
        <v>47</v>
      </c>
      <c r="C52" s="46"/>
      <c r="D52" s="46"/>
      <c r="E52" s="46"/>
      <c r="F52" s="12" t="s">
        <v>270</v>
      </c>
      <c r="G52" s="12"/>
      <c r="H52" s="12" t="s">
        <v>454</v>
      </c>
      <c r="I52" s="91" t="s">
        <v>23</v>
      </c>
      <c r="J52" s="12"/>
      <c r="K52" s="1" t="s">
        <v>455</v>
      </c>
      <c r="L52" s="2"/>
    </row>
    <row r="53" spans="2:12" ht="54" x14ac:dyDescent="0.35">
      <c r="B53" s="11">
        <f t="shared" si="0"/>
        <v>48</v>
      </c>
      <c r="C53" s="49" t="s">
        <v>271</v>
      </c>
      <c r="D53" s="49" t="s">
        <v>272</v>
      </c>
      <c r="E53" s="49" t="s">
        <v>271</v>
      </c>
      <c r="F53" s="12" t="s">
        <v>38</v>
      </c>
      <c r="G53" s="12"/>
      <c r="H53" s="12" t="s">
        <v>30</v>
      </c>
      <c r="I53" s="12" t="s">
        <v>23</v>
      </c>
      <c r="J53" s="12"/>
      <c r="K53" s="1" t="s">
        <v>455</v>
      </c>
      <c r="L53" s="2"/>
    </row>
    <row r="54" spans="2:12" ht="27" x14ac:dyDescent="0.35">
      <c r="B54" s="11">
        <f t="shared" si="0"/>
        <v>49</v>
      </c>
      <c r="C54" s="46"/>
      <c r="D54" s="46"/>
      <c r="E54" s="46"/>
      <c r="F54" s="12" t="s">
        <v>34</v>
      </c>
      <c r="G54" s="12"/>
      <c r="H54" s="12" t="s">
        <v>30</v>
      </c>
      <c r="I54" s="12" t="s">
        <v>23</v>
      </c>
      <c r="J54" s="12"/>
      <c r="K54" s="1" t="s">
        <v>460</v>
      </c>
      <c r="L54" s="2"/>
    </row>
    <row r="55" spans="2:12" ht="27" x14ac:dyDescent="0.35">
      <c r="B55" s="11">
        <f t="shared" si="0"/>
        <v>50</v>
      </c>
      <c r="C55" s="46"/>
      <c r="D55" s="46"/>
      <c r="E55" s="46"/>
      <c r="F55" s="12" t="s">
        <v>273</v>
      </c>
      <c r="G55" s="12" t="s">
        <v>341</v>
      </c>
      <c r="H55" s="12" t="s">
        <v>281</v>
      </c>
      <c r="I55" s="12" t="s">
        <v>23</v>
      </c>
      <c r="J55" s="12"/>
      <c r="K55" s="1" t="s">
        <v>460</v>
      </c>
      <c r="L55" s="2"/>
    </row>
    <row r="56" spans="2:12" ht="27" x14ac:dyDescent="0.35">
      <c r="B56" s="11">
        <f t="shared" si="0"/>
        <v>51</v>
      </c>
      <c r="C56" s="46"/>
      <c r="D56" s="46"/>
      <c r="E56" s="50"/>
      <c r="F56" s="12" t="s">
        <v>274</v>
      </c>
      <c r="G56" s="12"/>
      <c r="H56" s="12" t="s">
        <v>24</v>
      </c>
      <c r="I56" s="12" t="s">
        <v>25</v>
      </c>
      <c r="J56" s="12"/>
      <c r="K56" s="1" t="s">
        <v>460</v>
      </c>
      <c r="L56" s="2"/>
    </row>
    <row r="57" spans="2:12" ht="27" x14ac:dyDescent="0.35">
      <c r="B57" s="11">
        <f t="shared" si="0"/>
        <v>52</v>
      </c>
      <c r="C57" s="46"/>
      <c r="D57" s="46"/>
      <c r="E57" s="46" t="s">
        <v>275</v>
      </c>
      <c r="F57" s="12" t="s">
        <v>276</v>
      </c>
      <c r="G57" s="12" t="s">
        <v>341</v>
      </c>
      <c r="H57" s="12" t="s">
        <v>456</v>
      </c>
      <c r="I57" s="12" t="s">
        <v>23</v>
      </c>
      <c r="J57" s="12"/>
      <c r="K57" s="1" t="s">
        <v>461</v>
      </c>
      <c r="L57" s="2"/>
    </row>
    <row r="58" spans="2:12" ht="27" x14ac:dyDescent="0.35">
      <c r="B58" s="11">
        <f t="shared" si="0"/>
        <v>53</v>
      </c>
      <c r="C58" s="46"/>
      <c r="D58" s="46"/>
      <c r="E58" s="46"/>
      <c r="F58" s="12" t="s">
        <v>277</v>
      </c>
      <c r="G58" s="12"/>
      <c r="H58" s="12" t="s">
        <v>349</v>
      </c>
      <c r="I58" s="12" t="s">
        <v>313</v>
      </c>
      <c r="J58" s="12"/>
      <c r="K58" s="1" t="s">
        <v>461</v>
      </c>
      <c r="L58" s="2"/>
    </row>
    <row r="59" spans="2:12" ht="27" x14ac:dyDescent="0.35">
      <c r="B59" s="11">
        <f t="shared" si="0"/>
        <v>54</v>
      </c>
      <c r="C59" s="50"/>
      <c r="D59" s="50"/>
      <c r="E59" s="50"/>
      <c r="F59" s="12" t="s">
        <v>278</v>
      </c>
      <c r="G59" s="12" t="s">
        <v>278</v>
      </c>
      <c r="H59" s="12" t="s">
        <v>349</v>
      </c>
      <c r="I59" s="12" t="s">
        <v>313</v>
      </c>
      <c r="J59" s="12"/>
      <c r="K59" s="1" t="s">
        <v>461</v>
      </c>
      <c r="L59" s="2"/>
    </row>
  </sheetData>
  <phoneticPr fontId="15"/>
  <hyperlinks>
    <hyperlink ref="A4" location="パラメータ設定一覧!A1" display="パラメータ設定一覧へ" xr:uid="{53843285-3058-42B4-8BDC-C1F71189718A}"/>
  </hyperlink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758B-9D2F-4632-91E2-E4C7F0372359}">
  <dimension ref="A1:F16"/>
  <sheetViews>
    <sheetView showGridLines="0" zoomScaleNormal="100" workbookViewId="0">
      <pane ySplit="6" topLeftCell="A7" activePane="bottomLeft" state="frozen"/>
      <selection pane="bottomLeft" activeCell="B4" sqref="B4:B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5" width="20.140625" style="26" customWidth="1"/>
    <col min="6" max="6" width="17.78515625" style="26" customWidth="1"/>
    <col min="7" max="16384" width="8.78515625" style="26"/>
  </cols>
  <sheetData>
    <row r="1" spans="1:6" customFormat="1" ht="19.5" x14ac:dyDescent="0.35">
      <c r="A1" s="23" t="s">
        <v>405</v>
      </c>
    </row>
    <row r="2" spans="1:6" customFormat="1" ht="15" x14ac:dyDescent="0.35"/>
    <row r="3" spans="1:6" customFormat="1" ht="15" x14ac:dyDescent="0.35">
      <c r="A3" s="6" t="s">
        <v>49</v>
      </c>
    </row>
    <row r="4" spans="1:6" x14ac:dyDescent="0.35">
      <c r="B4" s="151" t="s">
        <v>6</v>
      </c>
      <c r="C4" s="156" t="s">
        <v>229</v>
      </c>
      <c r="D4" s="159"/>
      <c r="E4" s="159"/>
      <c r="F4" s="159"/>
    </row>
    <row r="5" spans="1:6" ht="28.75" customHeight="1" x14ac:dyDescent="0.35">
      <c r="B5" s="151"/>
      <c r="C5" s="83" t="s">
        <v>231</v>
      </c>
      <c r="D5" s="83" t="s">
        <v>34</v>
      </c>
      <c r="E5" s="83" t="s">
        <v>232</v>
      </c>
      <c r="F5" s="83" t="s">
        <v>233</v>
      </c>
    </row>
    <row r="6" spans="1:6" x14ac:dyDescent="0.35">
      <c r="B6" s="151"/>
      <c r="C6" s="3" t="s">
        <v>408</v>
      </c>
      <c r="D6" s="3" t="s">
        <v>408</v>
      </c>
      <c r="E6" s="4" t="s">
        <v>23</v>
      </c>
      <c r="F6" s="3" t="s">
        <v>408</v>
      </c>
    </row>
    <row r="7" spans="1:6" x14ac:dyDescent="0.3">
      <c r="B7" s="52">
        <f>ROW()-6</f>
        <v>1</v>
      </c>
      <c r="C7" s="24" t="s">
        <v>486</v>
      </c>
      <c r="D7" s="24" t="s">
        <v>486</v>
      </c>
      <c r="E7" s="53" t="s">
        <v>487</v>
      </c>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90E3B735-B36F-47A8-9B13-2C29DEE37E48}"/>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8567-B4A0-409D-8D2F-A9008A419E55}">
  <dimension ref="A1:D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409</v>
      </c>
    </row>
    <row r="2" spans="1:4" customFormat="1" ht="15" x14ac:dyDescent="0.35"/>
    <row r="3" spans="1:4" customFormat="1" ht="15" x14ac:dyDescent="0.35">
      <c r="A3" s="6" t="s">
        <v>49</v>
      </c>
    </row>
    <row r="4" spans="1:4" x14ac:dyDescent="0.35">
      <c r="B4" s="151" t="s">
        <v>6</v>
      </c>
      <c r="C4" s="156" t="s">
        <v>234</v>
      </c>
      <c r="D4" s="159"/>
    </row>
    <row r="5" spans="1:4" ht="28.75" customHeight="1" x14ac:dyDescent="0.35">
      <c r="B5" s="151"/>
      <c r="C5" s="83" t="s">
        <v>236</v>
      </c>
      <c r="D5" s="83" t="s">
        <v>34</v>
      </c>
    </row>
    <row r="6" spans="1:4" x14ac:dyDescent="0.35">
      <c r="B6" s="151"/>
      <c r="C6" s="3" t="s">
        <v>408</v>
      </c>
      <c r="D6" s="3" t="s">
        <v>408</v>
      </c>
    </row>
    <row r="7" spans="1:4" x14ac:dyDescent="0.3">
      <c r="B7" s="52">
        <f>ROW()-6</f>
        <v>1</v>
      </c>
      <c r="C7" s="24" t="s">
        <v>351</v>
      </c>
      <c r="D7" s="53" t="s">
        <v>488</v>
      </c>
    </row>
    <row r="8" spans="1:4" x14ac:dyDescent="0.3">
      <c r="B8" s="52">
        <f t="shared" ref="B8:B16" si="0">ROW()-6</f>
        <v>2</v>
      </c>
      <c r="C8" s="24" t="s">
        <v>489</v>
      </c>
      <c r="D8" s="53" t="s">
        <v>490</v>
      </c>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35D1B13F-2436-4B8A-BFE5-F450D6B48ABA}"/>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D9A1-0848-4A12-8CAC-8907D2BC5F67}">
  <dimension ref="A1:I12"/>
  <sheetViews>
    <sheetView showGridLines="0" tabSelected="1"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26.2109375" style="26" customWidth="1"/>
    <col min="5" max="5" width="26.2109375" style="103" customWidth="1"/>
    <col min="6" max="9" width="26.2109375" style="26" customWidth="1"/>
    <col min="10" max="16384" width="8.78515625" style="26"/>
  </cols>
  <sheetData>
    <row r="1" spans="1:9" customFormat="1" ht="19.5" x14ac:dyDescent="0.35">
      <c r="A1" s="23" t="s">
        <v>411</v>
      </c>
      <c r="E1" s="100"/>
    </row>
    <row r="2" spans="1:9" customFormat="1" ht="15" x14ac:dyDescent="0.35">
      <c r="E2" s="100"/>
    </row>
    <row r="3" spans="1:9" customFormat="1" ht="15" x14ac:dyDescent="0.35">
      <c r="A3" s="6" t="s">
        <v>49</v>
      </c>
      <c r="E3" s="100"/>
    </row>
    <row r="4" spans="1:9" x14ac:dyDescent="0.35">
      <c r="B4" s="151" t="s">
        <v>6</v>
      </c>
      <c r="C4" s="156" t="s">
        <v>237</v>
      </c>
      <c r="D4" s="159"/>
      <c r="E4" s="159"/>
      <c r="F4" s="159"/>
      <c r="G4" s="159"/>
      <c r="H4" s="159"/>
      <c r="I4" s="159"/>
    </row>
    <row r="5" spans="1:9" ht="28.75" customHeight="1" x14ac:dyDescent="0.35">
      <c r="B5" s="151"/>
      <c r="C5" s="90" t="s">
        <v>239</v>
      </c>
      <c r="D5" s="83" t="s">
        <v>34</v>
      </c>
      <c r="E5" s="101" t="s">
        <v>37</v>
      </c>
      <c r="F5" s="83" t="s">
        <v>240</v>
      </c>
      <c r="G5" s="83" t="s">
        <v>241</v>
      </c>
      <c r="H5" s="83" t="s">
        <v>397</v>
      </c>
      <c r="I5" s="83" t="s">
        <v>243</v>
      </c>
    </row>
    <row r="6" spans="1:9" x14ac:dyDescent="0.35">
      <c r="B6" s="151"/>
      <c r="C6" s="84" t="s">
        <v>30</v>
      </c>
      <c r="D6" s="84" t="s">
        <v>30</v>
      </c>
      <c r="E6" s="102" t="s">
        <v>160</v>
      </c>
      <c r="F6" s="84" t="s">
        <v>24</v>
      </c>
      <c r="G6" s="84" t="s">
        <v>24</v>
      </c>
      <c r="H6" s="84" t="s">
        <v>24</v>
      </c>
      <c r="I6" s="84" t="s">
        <v>283</v>
      </c>
    </row>
    <row r="7" spans="1:9" x14ac:dyDescent="0.3">
      <c r="B7" s="96">
        <f>ROW()-6</f>
        <v>1</v>
      </c>
      <c r="C7" s="97" t="s">
        <v>491</v>
      </c>
      <c r="D7" s="97" t="s">
        <v>491</v>
      </c>
      <c r="E7" s="104" t="s">
        <v>562</v>
      </c>
      <c r="F7" s="97" t="s">
        <v>25</v>
      </c>
      <c r="G7" s="97" t="s">
        <v>25</v>
      </c>
      <c r="H7" s="97" t="s">
        <v>25</v>
      </c>
      <c r="I7" s="24" t="s">
        <v>351</v>
      </c>
    </row>
    <row r="8" spans="1:9" x14ac:dyDescent="0.3">
      <c r="B8" s="99"/>
      <c r="C8" s="63"/>
      <c r="D8" s="63"/>
      <c r="E8" s="105"/>
      <c r="F8" s="63"/>
      <c r="G8" s="63"/>
      <c r="H8" s="63"/>
      <c r="I8" s="24" t="s">
        <v>489</v>
      </c>
    </row>
    <row r="9" spans="1:9" x14ac:dyDescent="0.3">
      <c r="B9" s="96">
        <v>2</v>
      </c>
      <c r="C9" s="97" t="s">
        <v>492</v>
      </c>
      <c r="D9" s="97" t="s">
        <v>491</v>
      </c>
      <c r="E9" s="104" t="s">
        <v>563</v>
      </c>
      <c r="F9" s="97" t="s">
        <v>25</v>
      </c>
      <c r="G9" s="97" t="s">
        <v>25</v>
      </c>
      <c r="H9" s="97" t="s">
        <v>25</v>
      </c>
      <c r="I9" s="24" t="s">
        <v>351</v>
      </c>
    </row>
    <row r="10" spans="1:9" x14ac:dyDescent="0.3">
      <c r="B10" s="99"/>
      <c r="C10" s="63"/>
      <c r="D10" s="63"/>
      <c r="E10" s="105"/>
      <c r="F10" s="63"/>
      <c r="G10" s="63"/>
      <c r="H10" s="63"/>
      <c r="I10" s="24" t="s">
        <v>489</v>
      </c>
    </row>
    <row r="11" spans="1:9" x14ac:dyDescent="0.3">
      <c r="B11" s="96">
        <v>3</v>
      </c>
      <c r="C11" s="97" t="s">
        <v>493</v>
      </c>
      <c r="D11" s="97" t="s">
        <v>491</v>
      </c>
      <c r="E11" s="104" t="s">
        <v>564</v>
      </c>
      <c r="F11" s="97" t="s">
        <v>25</v>
      </c>
      <c r="G11" s="97" t="s">
        <v>25</v>
      </c>
      <c r="H11" s="97" t="s">
        <v>25</v>
      </c>
      <c r="I11" s="24" t="s">
        <v>351</v>
      </c>
    </row>
    <row r="12" spans="1:9" x14ac:dyDescent="0.3">
      <c r="B12" s="99"/>
      <c r="C12" s="63"/>
      <c r="D12" s="63"/>
      <c r="E12" s="105"/>
      <c r="F12" s="63"/>
      <c r="G12" s="63"/>
      <c r="H12" s="63"/>
      <c r="I12" s="24" t="s">
        <v>489</v>
      </c>
    </row>
  </sheetData>
  <sheetProtection insertRows="0" deleteRows="0" sort="0" autoFilter="0"/>
  <mergeCells count="2">
    <mergeCell ref="B4:B6"/>
    <mergeCell ref="C4:I4"/>
  </mergeCells>
  <phoneticPr fontId="15"/>
  <hyperlinks>
    <hyperlink ref="A3" location="パラメータ設定一覧!A1" display="パラメータ設定一覧へ" xr:uid="{605884AE-F67B-4A71-BE16-79D7D7D2E717}"/>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39DB-CC39-4F2A-A7EB-5E2E64520784}">
  <dimension ref="A1:M16"/>
  <sheetViews>
    <sheetView showGridLines="0" zoomScaleNormal="100" workbookViewId="0">
      <pane ySplit="6" topLeftCell="A7" activePane="bottomLeft" state="frozen"/>
      <selection pane="bottomLeft" activeCell="C6" sqref="C6"/>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3" width="26.2109375" style="26" customWidth="1"/>
    <col min="14" max="16384" width="8.78515625" style="26"/>
  </cols>
  <sheetData>
    <row r="1" spans="1:13" customFormat="1" ht="19.5" x14ac:dyDescent="0.35">
      <c r="A1" s="23" t="s">
        <v>427</v>
      </c>
    </row>
    <row r="2" spans="1:13" customFormat="1" ht="15" x14ac:dyDescent="0.35"/>
    <row r="3" spans="1:13" customFormat="1" ht="15" x14ac:dyDescent="0.35">
      <c r="A3" s="6" t="s">
        <v>49</v>
      </c>
    </row>
    <row r="4" spans="1:13" x14ac:dyDescent="0.35">
      <c r="B4" s="151" t="s">
        <v>6</v>
      </c>
      <c r="C4" s="160" t="s">
        <v>428</v>
      </c>
      <c r="D4" s="161"/>
      <c r="E4" s="161"/>
      <c r="F4" s="161"/>
      <c r="G4" s="161"/>
      <c r="H4" s="161"/>
      <c r="I4" s="161"/>
      <c r="J4" s="161"/>
      <c r="K4" s="161"/>
      <c r="L4" s="161"/>
      <c r="M4" s="161"/>
    </row>
    <row r="5" spans="1:13" ht="28.75" customHeight="1" x14ac:dyDescent="0.35">
      <c r="B5" s="151"/>
      <c r="C5" s="83" t="s">
        <v>246</v>
      </c>
      <c r="D5" s="83" t="s">
        <v>248</v>
      </c>
      <c r="E5" s="83" t="s">
        <v>250</v>
      </c>
      <c r="F5" s="83" t="s">
        <v>413</v>
      </c>
      <c r="G5" s="83" t="s">
        <v>417</v>
      </c>
      <c r="H5" s="83" t="s">
        <v>420</v>
      </c>
      <c r="I5" s="83" t="s">
        <v>423</v>
      </c>
      <c r="J5" s="83" t="s">
        <v>252</v>
      </c>
      <c r="K5" s="83" t="s">
        <v>254</v>
      </c>
      <c r="L5" s="83" t="s">
        <v>255</v>
      </c>
      <c r="M5" s="83" t="s">
        <v>256</v>
      </c>
    </row>
    <row r="6" spans="1:13" ht="81" x14ac:dyDescent="0.35">
      <c r="B6" s="151"/>
      <c r="C6" s="84" t="s">
        <v>30</v>
      </c>
      <c r="D6" s="84" t="s">
        <v>284</v>
      </c>
      <c r="E6" s="84" t="s">
        <v>285</v>
      </c>
      <c r="F6" s="84" t="s">
        <v>415</v>
      </c>
      <c r="G6" s="84" t="s">
        <v>419</v>
      </c>
      <c r="H6" s="84" t="s">
        <v>421</v>
      </c>
      <c r="I6" s="84" t="s">
        <v>28</v>
      </c>
      <c r="J6" s="84" t="s">
        <v>286</v>
      </c>
      <c r="K6" s="84" t="s">
        <v>286</v>
      </c>
      <c r="L6" s="84" t="s">
        <v>28</v>
      </c>
      <c r="M6" s="84" t="s">
        <v>24</v>
      </c>
    </row>
    <row r="7" spans="1:13" x14ac:dyDescent="0.3">
      <c r="B7" s="52">
        <f>ROW()-6</f>
        <v>1</v>
      </c>
      <c r="C7" s="24"/>
      <c r="D7" s="24"/>
      <c r="E7" s="24"/>
      <c r="F7" s="24"/>
      <c r="G7" s="24"/>
      <c r="H7" s="24"/>
      <c r="I7" s="24"/>
      <c r="J7" s="24"/>
      <c r="K7" s="24"/>
      <c r="L7" s="24"/>
      <c r="M7" s="24"/>
    </row>
    <row r="8" spans="1:13" x14ac:dyDescent="0.3">
      <c r="B8" s="52">
        <f t="shared" ref="B8:B16" si="0">ROW()-6</f>
        <v>2</v>
      </c>
      <c r="C8" s="24"/>
      <c r="D8" s="24"/>
      <c r="E8" s="24"/>
      <c r="F8" s="24"/>
      <c r="G8" s="24"/>
      <c r="H8" s="24"/>
      <c r="I8" s="24"/>
      <c r="J8" s="24"/>
      <c r="K8" s="24"/>
      <c r="L8" s="24"/>
      <c r="M8" s="24"/>
    </row>
    <row r="9" spans="1:13" x14ac:dyDescent="0.3">
      <c r="B9" s="52">
        <f t="shared" si="0"/>
        <v>3</v>
      </c>
      <c r="C9" s="24"/>
      <c r="D9" s="24"/>
      <c r="E9" s="24"/>
      <c r="F9" s="24"/>
      <c r="G9" s="24"/>
      <c r="H9" s="24"/>
      <c r="I9" s="24"/>
      <c r="J9" s="24"/>
      <c r="K9" s="24"/>
      <c r="L9" s="24"/>
      <c r="M9" s="24"/>
    </row>
    <row r="10" spans="1:13" x14ac:dyDescent="0.3">
      <c r="B10" s="52">
        <f t="shared" si="0"/>
        <v>4</v>
      </c>
      <c r="C10" s="24"/>
      <c r="D10" s="24"/>
      <c r="E10" s="24"/>
      <c r="F10" s="24"/>
      <c r="G10" s="24"/>
      <c r="H10" s="24"/>
      <c r="I10" s="24"/>
      <c r="J10" s="24"/>
      <c r="K10" s="24"/>
      <c r="L10" s="24"/>
      <c r="M10" s="24"/>
    </row>
    <row r="11" spans="1:13" x14ac:dyDescent="0.3">
      <c r="B11" s="52">
        <f t="shared" si="0"/>
        <v>5</v>
      </c>
      <c r="C11" s="24"/>
      <c r="D11" s="24"/>
      <c r="E11" s="24"/>
      <c r="F11" s="24"/>
      <c r="G11" s="24"/>
      <c r="H11" s="24"/>
      <c r="I11" s="24"/>
      <c r="J11" s="24"/>
      <c r="K11" s="24"/>
      <c r="L11" s="24"/>
      <c r="M11" s="24"/>
    </row>
    <row r="12" spans="1:13" x14ac:dyDescent="0.3">
      <c r="B12" s="52">
        <f t="shared" si="0"/>
        <v>6</v>
      </c>
      <c r="C12" s="24"/>
      <c r="D12" s="24"/>
      <c r="E12" s="24"/>
      <c r="F12" s="24"/>
      <c r="G12" s="24"/>
      <c r="H12" s="24"/>
      <c r="I12" s="24"/>
      <c r="J12" s="24"/>
      <c r="K12" s="24"/>
      <c r="L12" s="24"/>
      <c r="M12" s="24"/>
    </row>
    <row r="13" spans="1:13" x14ac:dyDescent="0.3">
      <c r="B13" s="52">
        <f t="shared" si="0"/>
        <v>7</v>
      </c>
      <c r="C13" s="24"/>
      <c r="D13" s="24"/>
      <c r="E13" s="24"/>
      <c r="F13" s="24"/>
      <c r="G13" s="24"/>
      <c r="H13" s="24"/>
      <c r="I13" s="24"/>
      <c r="J13" s="24"/>
      <c r="K13" s="24"/>
      <c r="L13" s="24"/>
      <c r="M13" s="24"/>
    </row>
    <row r="14" spans="1:13" x14ac:dyDescent="0.3">
      <c r="B14" s="52">
        <f t="shared" si="0"/>
        <v>8</v>
      </c>
      <c r="C14" s="24"/>
      <c r="D14" s="24"/>
      <c r="E14" s="24"/>
      <c r="F14" s="24"/>
      <c r="G14" s="24"/>
      <c r="H14" s="24"/>
      <c r="I14" s="24"/>
      <c r="J14" s="24"/>
      <c r="K14" s="24"/>
      <c r="L14" s="24"/>
      <c r="M14" s="24"/>
    </row>
    <row r="15" spans="1:13" x14ac:dyDescent="0.3">
      <c r="B15" s="52">
        <f t="shared" si="0"/>
        <v>9</v>
      </c>
      <c r="C15" s="24"/>
      <c r="D15" s="24"/>
      <c r="E15" s="24"/>
      <c r="F15" s="24"/>
      <c r="G15" s="24"/>
      <c r="H15" s="24"/>
      <c r="I15" s="24"/>
      <c r="J15" s="24"/>
      <c r="K15" s="24"/>
      <c r="L15" s="24"/>
      <c r="M15" s="24"/>
    </row>
    <row r="16" spans="1:13" x14ac:dyDescent="0.3">
      <c r="B16" s="52">
        <f t="shared" si="0"/>
        <v>10</v>
      </c>
      <c r="C16" s="24"/>
      <c r="D16" s="24"/>
      <c r="E16" s="24"/>
      <c r="F16" s="24"/>
      <c r="G16" s="24"/>
      <c r="H16" s="24"/>
      <c r="I16" s="24"/>
      <c r="J16" s="24"/>
      <c r="K16" s="24"/>
      <c r="L16" s="24"/>
      <c r="M16" s="24"/>
    </row>
  </sheetData>
  <sheetProtection insertRows="0" deleteRows="0" sort="0" autoFilter="0"/>
  <mergeCells count="2">
    <mergeCell ref="B4:B6"/>
    <mergeCell ref="C4:M4"/>
  </mergeCells>
  <phoneticPr fontId="15"/>
  <hyperlinks>
    <hyperlink ref="A3" location="パラメータ設定一覧!A1" display="パラメータ設定一覧へ" xr:uid="{418917E2-FCA9-46B3-9AC3-731ED072F7E4}"/>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3836-5BE0-4380-B779-505934C0E2A1}">
  <dimension ref="A1:E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26.2109375" style="26" customWidth="1"/>
    <col min="5" max="5" width="17.78515625" style="26" customWidth="1"/>
    <col min="6" max="16384" width="8.78515625" style="26"/>
  </cols>
  <sheetData>
    <row r="1" spans="1:5" customFormat="1" ht="19.5" x14ac:dyDescent="0.35">
      <c r="A1" s="23" t="s">
        <v>430</v>
      </c>
    </row>
    <row r="2" spans="1:5" customFormat="1" ht="15" x14ac:dyDescent="0.35"/>
    <row r="3" spans="1:5" customFormat="1" ht="15" x14ac:dyDescent="0.35">
      <c r="A3" s="6" t="s">
        <v>49</v>
      </c>
    </row>
    <row r="4" spans="1:5" x14ac:dyDescent="0.35">
      <c r="B4" s="151" t="s">
        <v>6</v>
      </c>
      <c r="C4" s="156" t="s">
        <v>432</v>
      </c>
      <c r="D4" s="159"/>
      <c r="E4" s="159"/>
    </row>
    <row r="5" spans="1:5" ht="28.75" customHeight="1" x14ac:dyDescent="0.35">
      <c r="B5" s="151"/>
      <c r="C5" s="92" t="s">
        <v>259</v>
      </c>
      <c r="D5" s="93"/>
      <c r="E5" s="83" t="s">
        <v>246</v>
      </c>
    </row>
    <row r="6" spans="1:5" ht="27" x14ac:dyDescent="0.35">
      <c r="B6" s="151"/>
      <c r="C6" s="84" t="s">
        <v>433</v>
      </c>
      <c r="D6" s="84" t="s">
        <v>283</v>
      </c>
      <c r="E6" s="84" t="s">
        <v>288</v>
      </c>
    </row>
    <row r="7" spans="1:5" x14ac:dyDescent="0.3">
      <c r="B7" s="52">
        <f>ROW()-6</f>
        <v>1</v>
      </c>
      <c r="C7" s="24"/>
      <c r="D7" s="24"/>
      <c r="E7" s="53"/>
    </row>
    <row r="8" spans="1:5" x14ac:dyDescent="0.3">
      <c r="B8" s="52">
        <f t="shared" ref="B8:B16" si="0">ROW()-6</f>
        <v>2</v>
      </c>
      <c r="C8" s="24"/>
      <c r="D8" s="24"/>
      <c r="E8" s="53"/>
    </row>
    <row r="9" spans="1:5" x14ac:dyDescent="0.3">
      <c r="B9" s="52">
        <f t="shared" si="0"/>
        <v>3</v>
      </c>
      <c r="C9" s="24"/>
      <c r="D9" s="24"/>
      <c r="E9" s="53"/>
    </row>
    <row r="10" spans="1:5" x14ac:dyDescent="0.3">
      <c r="B10" s="52">
        <f t="shared" si="0"/>
        <v>4</v>
      </c>
      <c r="C10" s="24"/>
      <c r="D10" s="24"/>
      <c r="E10" s="53"/>
    </row>
    <row r="11" spans="1:5" x14ac:dyDescent="0.3">
      <c r="B11" s="52">
        <f t="shared" si="0"/>
        <v>5</v>
      </c>
      <c r="C11" s="24"/>
      <c r="D11" s="24"/>
      <c r="E11" s="53"/>
    </row>
    <row r="12" spans="1:5" x14ac:dyDescent="0.3">
      <c r="B12" s="52">
        <f t="shared" si="0"/>
        <v>6</v>
      </c>
      <c r="C12" s="24"/>
      <c r="D12" s="24"/>
      <c r="E12" s="53"/>
    </row>
    <row r="13" spans="1:5" x14ac:dyDescent="0.3">
      <c r="B13" s="52">
        <f t="shared" si="0"/>
        <v>7</v>
      </c>
      <c r="C13" s="24"/>
      <c r="D13" s="24"/>
      <c r="E13" s="53"/>
    </row>
    <row r="14" spans="1:5" x14ac:dyDescent="0.3">
      <c r="B14" s="52">
        <f t="shared" si="0"/>
        <v>8</v>
      </c>
      <c r="C14" s="24"/>
      <c r="D14" s="24"/>
      <c r="E14" s="53"/>
    </row>
    <row r="15" spans="1:5" x14ac:dyDescent="0.3">
      <c r="B15" s="52">
        <f t="shared" si="0"/>
        <v>9</v>
      </c>
      <c r="C15" s="24"/>
      <c r="D15" s="24"/>
      <c r="E15" s="53"/>
    </row>
    <row r="16" spans="1:5" x14ac:dyDescent="0.3">
      <c r="B16" s="52">
        <f t="shared" si="0"/>
        <v>10</v>
      </c>
      <c r="C16" s="24"/>
      <c r="D16" s="24"/>
      <c r="E16" s="53"/>
    </row>
  </sheetData>
  <sheetProtection insertRows="0" deleteRows="0" sort="0" autoFilter="0"/>
  <mergeCells count="2">
    <mergeCell ref="B4:B6"/>
    <mergeCell ref="C4:E4"/>
  </mergeCells>
  <phoneticPr fontId="15"/>
  <hyperlinks>
    <hyperlink ref="A3" location="パラメータ設定一覧!A1" display="パラメータ設定一覧へ" xr:uid="{D52F9258-E566-4EC4-802E-989789FAF67E}"/>
  </hyperlink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1585-33E4-4170-A825-DE9E173C3C11}">
  <dimension ref="A1:D16"/>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434</v>
      </c>
    </row>
    <row r="2" spans="1:4" customFormat="1" ht="15" x14ac:dyDescent="0.35"/>
    <row r="3" spans="1:4" customFormat="1" ht="15" x14ac:dyDescent="0.35">
      <c r="A3" s="6" t="s">
        <v>49</v>
      </c>
    </row>
    <row r="4" spans="1:4" x14ac:dyDescent="0.35">
      <c r="B4" s="151" t="s">
        <v>6</v>
      </c>
      <c r="C4" s="156" t="s">
        <v>435</v>
      </c>
      <c r="D4" s="159"/>
    </row>
    <row r="5" spans="1:4" ht="28.75" customHeight="1" x14ac:dyDescent="0.35">
      <c r="B5" s="151"/>
      <c r="C5" s="83" t="s">
        <v>436</v>
      </c>
      <c r="D5" s="83" t="s">
        <v>34</v>
      </c>
    </row>
    <row r="6" spans="1:4" x14ac:dyDescent="0.35">
      <c r="B6" s="151"/>
      <c r="C6" s="3" t="s">
        <v>408</v>
      </c>
      <c r="D6" s="3" t="s">
        <v>408</v>
      </c>
    </row>
    <row r="7" spans="1:4" x14ac:dyDescent="0.3">
      <c r="B7" s="52">
        <f>ROW()-6</f>
        <v>1</v>
      </c>
      <c r="C7" s="24"/>
      <c r="D7" s="53"/>
    </row>
    <row r="8" spans="1:4" x14ac:dyDescent="0.3">
      <c r="B8" s="52">
        <f t="shared" ref="B8:B16" si="0">ROW()-6</f>
        <v>2</v>
      </c>
      <c r="C8" s="24"/>
      <c r="D8" s="53"/>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C7DA82AC-1072-4B9A-B303-35F703453E06}"/>
  </hyperlink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6855-C6E7-4CD9-B206-B71A8F9D783E}">
  <dimension ref="A1:O18"/>
  <sheetViews>
    <sheetView showGridLines="0" zoomScaleNormal="100" workbookViewId="0">
      <pane ySplit="6" topLeftCell="A7" activePane="bottomLeft" state="frozen"/>
      <selection pane="bottomLeft" activeCell="C7" sqref="C7:C18"/>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15" width="26.2109375" style="26" customWidth="1"/>
    <col min="16" max="16384" width="8.78515625" style="26"/>
  </cols>
  <sheetData>
    <row r="1" spans="1:15" customFormat="1" ht="19.5" x14ac:dyDescent="0.35">
      <c r="A1" s="23" t="s">
        <v>447</v>
      </c>
    </row>
    <row r="2" spans="1:15" customFormat="1" ht="15" x14ac:dyDescent="0.35"/>
    <row r="3" spans="1:15" customFormat="1" ht="15" x14ac:dyDescent="0.35">
      <c r="A3" s="6" t="s">
        <v>49</v>
      </c>
    </row>
    <row r="4" spans="1:15" x14ac:dyDescent="0.35">
      <c r="B4" s="151" t="s">
        <v>6</v>
      </c>
      <c r="C4" s="160" t="s">
        <v>262</v>
      </c>
      <c r="D4" s="161"/>
      <c r="E4" s="161"/>
      <c r="F4" s="161"/>
      <c r="G4" s="161"/>
      <c r="H4" s="161"/>
      <c r="I4" s="161"/>
      <c r="J4" s="161"/>
      <c r="K4" s="161"/>
      <c r="L4" s="161"/>
      <c r="M4" s="161"/>
      <c r="N4" s="161"/>
      <c r="O4" s="161"/>
    </row>
    <row r="5" spans="1:15" ht="28.75" customHeight="1" x14ac:dyDescent="0.35">
      <c r="B5" s="151"/>
      <c r="C5" s="83" t="s">
        <v>38</v>
      </c>
      <c r="D5" s="83" t="s">
        <v>34</v>
      </c>
      <c r="E5" s="83" t="s">
        <v>231</v>
      </c>
      <c r="F5" s="83" t="s">
        <v>265</v>
      </c>
      <c r="G5" s="83" t="s">
        <v>441</v>
      </c>
      <c r="H5" s="83" t="s">
        <v>443</v>
      </c>
      <c r="I5" s="83" t="s">
        <v>439</v>
      </c>
      <c r="J5" s="83" t="s">
        <v>440</v>
      </c>
      <c r="K5" s="83" t="s">
        <v>267</v>
      </c>
      <c r="L5" s="83" t="s">
        <v>268</v>
      </c>
      <c r="M5" s="83" t="s">
        <v>269</v>
      </c>
      <c r="N5" s="83" t="s">
        <v>453</v>
      </c>
      <c r="O5" s="83" t="s">
        <v>270</v>
      </c>
    </row>
    <row r="6" spans="1:15" ht="67.5" x14ac:dyDescent="0.35">
      <c r="B6" s="151"/>
      <c r="C6" s="84" t="s">
        <v>30</v>
      </c>
      <c r="D6" s="84" t="s">
        <v>30</v>
      </c>
      <c r="E6" s="84" t="s">
        <v>286</v>
      </c>
      <c r="F6" s="84" t="s">
        <v>289</v>
      </c>
      <c r="G6" s="84" t="s">
        <v>28</v>
      </c>
      <c r="H6" s="84" t="s">
        <v>28</v>
      </c>
      <c r="I6" s="84" t="s">
        <v>28</v>
      </c>
      <c r="J6" s="84" t="s">
        <v>28</v>
      </c>
      <c r="K6" s="84" t="s">
        <v>23</v>
      </c>
      <c r="L6" s="84" t="s">
        <v>23</v>
      </c>
      <c r="M6" s="84" t="s">
        <v>23</v>
      </c>
      <c r="N6" s="84" t="s">
        <v>23</v>
      </c>
      <c r="O6" s="84" t="s">
        <v>23</v>
      </c>
    </row>
    <row r="7" spans="1:15" x14ac:dyDescent="0.3">
      <c r="B7" s="52">
        <f>ROW()-6</f>
        <v>1</v>
      </c>
      <c r="C7" s="24" t="s">
        <v>494</v>
      </c>
      <c r="D7" s="24" t="s">
        <v>494</v>
      </c>
      <c r="E7" s="24" t="s">
        <v>486</v>
      </c>
      <c r="F7" s="24" t="s">
        <v>495</v>
      </c>
      <c r="G7" s="24"/>
      <c r="H7" s="24">
        <v>1</v>
      </c>
      <c r="I7" s="24"/>
      <c r="J7" s="24">
        <v>0</v>
      </c>
      <c r="K7" s="24"/>
      <c r="L7" s="24"/>
      <c r="M7" s="24"/>
      <c r="N7" s="24"/>
      <c r="O7" s="24"/>
    </row>
    <row r="8" spans="1:15" x14ac:dyDescent="0.3">
      <c r="B8" s="52">
        <f>ROW()-6</f>
        <v>2</v>
      </c>
      <c r="C8" s="24" t="s">
        <v>496</v>
      </c>
      <c r="D8" s="24" t="s">
        <v>496</v>
      </c>
      <c r="E8" s="24" t="s">
        <v>486</v>
      </c>
      <c r="F8" s="24" t="s">
        <v>495</v>
      </c>
      <c r="G8" s="24"/>
      <c r="H8" s="24">
        <v>2</v>
      </c>
      <c r="I8" s="24"/>
      <c r="J8" s="24">
        <v>0</v>
      </c>
      <c r="K8" s="24"/>
      <c r="L8" s="24"/>
      <c r="M8" s="24"/>
      <c r="N8" s="24"/>
      <c r="O8" s="24"/>
    </row>
    <row r="9" spans="1:15" x14ac:dyDescent="0.3">
      <c r="B9" s="52">
        <f>ROW()-6</f>
        <v>3</v>
      </c>
      <c r="C9" s="24" t="s">
        <v>497</v>
      </c>
      <c r="D9" s="24" t="s">
        <v>497</v>
      </c>
      <c r="E9" s="24" t="s">
        <v>486</v>
      </c>
      <c r="F9" s="24" t="s">
        <v>495</v>
      </c>
      <c r="G9" s="24"/>
      <c r="H9" s="24">
        <v>3</v>
      </c>
      <c r="I9" s="24"/>
      <c r="J9" s="24">
        <v>0</v>
      </c>
      <c r="K9" s="24"/>
      <c r="L9" s="24"/>
      <c r="M9" s="24"/>
      <c r="N9" s="24"/>
      <c r="O9" s="24"/>
    </row>
    <row r="10" spans="1:15" x14ac:dyDescent="0.3">
      <c r="B10" s="52">
        <f t="shared" ref="B10:B18" si="0">ROW()-6</f>
        <v>4</v>
      </c>
      <c r="C10" s="24" t="s">
        <v>498</v>
      </c>
      <c r="D10" s="24" t="s">
        <v>498</v>
      </c>
      <c r="E10" s="24" t="s">
        <v>486</v>
      </c>
      <c r="F10" s="24" t="s">
        <v>495</v>
      </c>
      <c r="G10" s="24"/>
      <c r="H10" s="24">
        <v>4</v>
      </c>
      <c r="I10" s="24"/>
      <c r="J10" s="24">
        <v>0</v>
      </c>
      <c r="K10" s="24"/>
      <c r="L10" s="24"/>
      <c r="M10" s="24"/>
      <c r="N10" s="24"/>
      <c r="O10" s="24"/>
    </row>
    <row r="11" spans="1:15" x14ac:dyDescent="0.3">
      <c r="B11" s="52">
        <f t="shared" si="0"/>
        <v>5</v>
      </c>
      <c r="C11" s="24" t="s">
        <v>499</v>
      </c>
      <c r="D11" s="24" t="s">
        <v>499</v>
      </c>
      <c r="E11" s="24" t="s">
        <v>486</v>
      </c>
      <c r="F11" s="24" t="s">
        <v>495</v>
      </c>
      <c r="G11" s="24"/>
      <c r="H11" s="24">
        <v>5</v>
      </c>
      <c r="I11" s="24"/>
      <c r="J11" s="24">
        <v>0</v>
      </c>
      <c r="K11" s="24"/>
      <c r="L11" s="24"/>
      <c r="M11" s="24"/>
      <c r="N11" s="24"/>
      <c r="O11" s="24"/>
    </row>
    <row r="12" spans="1:15" x14ac:dyDescent="0.3">
      <c r="B12" s="52">
        <f t="shared" si="0"/>
        <v>6</v>
      </c>
      <c r="C12" s="24" t="s">
        <v>500</v>
      </c>
      <c r="D12" s="24" t="s">
        <v>500</v>
      </c>
      <c r="E12" s="24" t="s">
        <v>486</v>
      </c>
      <c r="F12" s="24" t="s">
        <v>495</v>
      </c>
      <c r="G12" s="24"/>
      <c r="H12" s="24">
        <v>6</v>
      </c>
      <c r="I12" s="24"/>
      <c r="J12" s="24">
        <v>0</v>
      </c>
      <c r="K12" s="24"/>
      <c r="L12" s="24"/>
      <c r="M12" s="24"/>
      <c r="N12" s="24"/>
      <c r="O12" s="24"/>
    </row>
    <row r="13" spans="1:15" x14ac:dyDescent="0.3">
      <c r="B13" s="52">
        <f t="shared" si="0"/>
        <v>7</v>
      </c>
      <c r="C13" s="24" t="s">
        <v>501</v>
      </c>
      <c r="D13" s="24" t="s">
        <v>501</v>
      </c>
      <c r="E13" s="24" t="s">
        <v>486</v>
      </c>
      <c r="F13" s="24" t="s">
        <v>495</v>
      </c>
      <c r="G13" s="24"/>
      <c r="H13" s="24">
        <v>7</v>
      </c>
      <c r="I13" s="24"/>
      <c r="J13" s="24">
        <v>0</v>
      </c>
      <c r="K13" s="24"/>
      <c r="L13" s="24"/>
      <c r="M13" s="24"/>
      <c r="N13" s="24"/>
      <c r="O13" s="24"/>
    </row>
    <row r="14" spans="1:15" x14ac:dyDescent="0.3">
      <c r="B14" s="52">
        <f t="shared" si="0"/>
        <v>8</v>
      </c>
      <c r="C14" s="24" t="s">
        <v>502</v>
      </c>
      <c r="D14" s="24" t="s">
        <v>502</v>
      </c>
      <c r="E14" s="24" t="s">
        <v>486</v>
      </c>
      <c r="F14" s="24" t="s">
        <v>495</v>
      </c>
      <c r="G14" s="24"/>
      <c r="H14" s="24">
        <v>8</v>
      </c>
      <c r="I14" s="24"/>
      <c r="J14" s="24">
        <v>0</v>
      </c>
      <c r="K14" s="24"/>
      <c r="L14" s="24"/>
      <c r="M14" s="24"/>
      <c r="N14" s="24"/>
      <c r="O14" s="24"/>
    </row>
    <row r="15" spans="1:15" x14ac:dyDescent="0.3">
      <c r="B15" s="52">
        <f t="shared" si="0"/>
        <v>9</v>
      </c>
      <c r="C15" s="24" t="s">
        <v>503</v>
      </c>
      <c r="D15" s="24" t="s">
        <v>503</v>
      </c>
      <c r="E15" s="24" t="s">
        <v>486</v>
      </c>
      <c r="F15" s="24" t="s">
        <v>495</v>
      </c>
      <c r="G15" s="24"/>
      <c r="H15" s="24">
        <v>9</v>
      </c>
      <c r="I15" s="24"/>
      <c r="J15" s="24">
        <v>0</v>
      </c>
      <c r="K15" s="24"/>
      <c r="L15" s="24"/>
      <c r="M15" s="24"/>
      <c r="N15" s="24"/>
      <c r="O15" s="24"/>
    </row>
    <row r="16" spans="1:15" x14ac:dyDescent="0.3">
      <c r="B16" s="52">
        <f t="shared" si="0"/>
        <v>10</v>
      </c>
      <c r="C16" s="24" t="s">
        <v>504</v>
      </c>
      <c r="D16" s="24" t="s">
        <v>504</v>
      </c>
      <c r="E16" s="24" t="s">
        <v>486</v>
      </c>
      <c r="F16" s="24" t="s">
        <v>495</v>
      </c>
      <c r="G16" s="24"/>
      <c r="H16" s="24">
        <v>10</v>
      </c>
      <c r="I16" s="24"/>
      <c r="J16" s="24">
        <v>0</v>
      </c>
      <c r="K16" s="24"/>
      <c r="L16" s="24"/>
      <c r="M16" s="24"/>
      <c r="N16" s="24"/>
      <c r="O16" s="24"/>
    </row>
    <row r="17" spans="2:15" x14ac:dyDescent="0.3">
      <c r="B17" s="52">
        <f t="shared" si="0"/>
        <v>11</v>
      </c>
      <c r="C17" s="24" t="s">
        <v>505</v>
      </c>
      <c r="D17" s="24" t="s">
        <v>505</v>
      </c>
      <c r="E17" s="24" t="s">
        <v>486</v>
      </c>
      <c r="F17" s="24" t="s">
        <v>495</v>
      </c>
      <c r="G17" s="24"/>
      <c r="H17" s="24">
        <v>11</v>
      </c>
      <c r="I17" s="24"/>
      <c r="J17" s="24">
        <v>0</v>
      </c>
      <c r="K17" s="24"/>
      <c r="L17" s="24"/>
      <c r="M17" s="24"/>
      <c r="N17" s="24"/>
      <c r="O17" s="24"/>
    </row>
    <row r="18" spans="2:15" x14ac:dyDescent="0.3">
      <c r="B18" s="52">
        <f t="shared" si="0"/>
        <v>12</v>
      </c>
      <c r="C18" s="24" t="s">
        <v>506</v>
      </c>
      <c r="D18" s="24" t="s">
        <v>506</v>
      </c>
      <c r="E18" s="24" t="s">
        <v>486</v>
      </c>
      <c r="F18" s="24" t="s">
        <v>495</v>
      </c>
      <c r="G18" s="24"/>
      <c r="H18" s="24">
        <v>12</v>
      </c>
      <c r="I18" s="24"/>
      <c r="J18" s="24">
        <v>0</v>
      </c>
      <c r="K18" s="24"/>
      <c r="L18" s="24"/>
      <c r="M18" s="24"/>
      <c r="N18" s="24"/>
      <c r="O18" s="24"/>
    </row>
  </sheetData>
  <sheetProtection insertRows="0" deleteRows="0" sort="0" autoFilter="0"/>
  <mergeCells count="2">
    <mergeCell ref="B4:B6"/>
    <mergeCell ref="C4:O4"/>
  </mergeCells>
  <phoneticPr fontId="15"/>
  <hyperlinks>
    <hyperlink ref="A3" location="パラメータ設定一覧!A1" display="パラメータ設定一覧へ" xr:uid="{87833C44-412B-410D-895B-40D83FDD6953}"/>
  </hyperlink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68B3-9DC1-4171-ACB1-B11BC25F9AA3}">
  <dimension ref="A1:F16"/>
  <sheetViews>
    <sheetView showGridLines="0" zoomScaleNormal="100" workbookViewId="0">
      <pane ySplit="6" topLeftCell="A7" activePane="bottomLeft" state="frozen"/>
      <selection pane="bottomLeft" activeCell="E7" sqref="E7"/>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customFormat="1" ht="19.5" x14ac:dyDescent="0.35">
      <c r="A1" s="23" t="s">
        <v>457</v>
      </c>
    </row>
    <row r="2" spans="1:6" customFormat="1" ht="15" x14ac:dyDescent="0.35"/>
    <row r="3" spans="1:6" customFormat="1" ht="15" x14ac:dyDescent="0.35">
      <c r="A3" s="6" t="s">
        <v>49</v>
      </c>
    </row>
    <row r="4" spans="1:6" x14ac:dyDescent="0.35">
      <c r="B4" s="151" t="s">
        <v>6</v>
      </c>
      <c r="C4" s="160" t="s">
        <v>271</v>
      </c>
      <c r="D4" s="161"/>
      <c r="E4" s="161"/>
      <c r="F4" s="161"/>
    </row>
    <row r="5" spans="1:6" ht="28.75" customHeight="1" x14ac:dyDescent="0.35">
      <c r="B5" s="151"/>
      <c r="C5" s="83" t="s">
        <v>38</v>
      </c>
      <c r="D5" s="83" t="s">
        <v>34</v>
      </c>
      <c r="E5" s="83" t="s">
        <v>273</v>
      </c>
      <c r="F5" s="83" t="s">
        <v>274</v>
      </c>
    </row>
    <row r="6" spans="1:6" ht="27" x14ac:dyDescent="0.35">
      <c r="B6" s="151"/>
      <c r="C6" s="84" t="s">
        <v>30</v>
      </c>
      <c r="D6" s="84" t="s">
        <v>30</v>
      </c>
      <c r="E6" s="84" t="s">
        <v>281</v>
      </c>
      <c r="F6" s="84" t="s">
        <v>24</v>
      </c>
    </row>
    <row r="7" spans="1:6" x14ac:dyDescent="0.3">
      <c r="B7" s="52">
        <f>ROW()-6</f>
        <v>1</v>
      </c>
      <c r="C7" s="24" t="s">
        <v>522</v>
      </c>
      <c r="D7" s="53" t="s">
        <v>522</v>
      </c>
      <c r="E7" s="53" t="s">
        <v>521</v>
      </c>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6390BC01-5F82-41FD-B33F-C1177AD1EEA4}"/>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6956-8868-4FBA-9502-96DABCBF827B}">
  <dimension ref="A1:E18"/>
  <sheetViews>
    <sheetView showGridLines="0" zoomScaleNormal="100" workbookViewId="0">
      <pane ySplit="6" topLeftCell="A7" activePane="bottomLeft" state="frozen"/>
      <selection pane="bottomLeft" activeCell="A4" sqref="A4"/>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5" width="17.78515625" style="26" customWidth="1"/>
    <col min="6" max="16384" width="8.78515625" style="26"/>
  </cols>
  <sheetData>
    <row r="1" spans="1:5" customFormat="1" ht="19.5" x14ac:dyDescent="0.35">
      <c r="A1" s="23" t="s">
        <v>458</v>
      </c>
    </row>
    <row r="2" spans="1:5" customFormat="1" ht="15" x14ac:dyDescent="0.35"/>
    <row r="3" spans="1:5" customFormat="1" ht="15" x14ac:dyDescent="0.35">
      <c r="A3" s="6" t="s">
        <v>49</v>
      </c>
    </row>
    <row r="4" spans="1:5" x14ac:dyDescent="0.35">
      <c r="B4" s="151" t="s">
        <v>6</v>
      </c>
      <c r="C4" s="160" t="s">
        <v>459</v>
      </c>
      <c r="D4" s="161"/>
      <c r="E4" s="161"/>
    </row>
    <row r="5" spans="1:5" ht="28.75" customHeight="1" x14ac:dyDescent="0.35">
      <c r="B5" s="151"/>
      <c r="C5" s="83" t="s">
        <v>276</v>
      </c>
      <c r="D5" s="83" t="s">
        <v>277</v>
      </c>
      <c r="E5" s="83" t="s">
        <v>278</v>
      </c>
    </row>
    <row r="6" spans="1:5" ht="27" x14ac:dyDescent="0.35">
      <c r="B6" s="151"/>
      <c r="C6" s="84" t="s">
        <v>456</v>
      </c>
      <c r="D6" s="84" t="s">
        <v>349</v>
      </c>
      <c r="E6" s="84" t="s">
        <v>349</v>
      </c>
    </row>
    <row r="7" spans="1:5" x14ac:dyDescent="0.3">
      <c r="B7" s="52">
        <f>ROW()-6</f>
        <v>1</v>
      </c>
      <c r="C7" s="24" t="s">
        <v>494</v>
      </c>
      <c r="D7" s="53" t="s">
        <v>471</v>
      </c>
      <c r="E7" s="53" t="s">
        <v>471</v>
      </c>
    </row>
    <row r="8" spans="1:5" x14ac:dyDescent="0.3">
      <c r="B8" s="52">
        <f t="shared" ref="B8:B18" si="0">ROW()-6</f>
        <v>2</v>
      </c>
      <c r="C8" s="24" t="s">
        <v>496</v>
      </c>
      <c r="D8" s="53" t="s">
        <v>471</v>
      </c>
      <c r="E8" s="53" t="s">
        <v>471</v>
      </c>
    </row>
    <row r="9" spans="1:5" x14ac:dyDescent="0.3">
      <c r="B9" s="52">
        <f t="shared" si="0"/>
        <v>3</v>
      </c>
      <c r="C9" s="24" t="s">
        <v>497</v>
      </c>
      <c r="D9" s="53" t="s">
        <v>471</v>
      </c>
      <c r="E9" s="53" t="s">
        <v>471</v>
      </c>
    </row>
    <row r="10" spans="1:5" x14ac:dyDescent="0.3">
      <c r="B10" s="52">
        <f t="shared" si="0"/>
        <v>4</v>
      </c>
      <c r="C10" s="24" t="s">
        <v>498</v>
      </c>
      <c r="D10" s="53" t="s">
        <v>471</v>
      </c>
      <c r="E10" s="53" t="s">
        <v>471</v>
      </c>
    </row>
    <row r="11" spans="1:5" x14ac:dyDescent="0.3">
      <c r="B11" s="52">
        <f t="shared" si="0"/>
        <v>5</v>
      </c>
      <c r="C11" s="24" t="s">
        <v>499</v>
      </c>
      <c r="D11" s="53" t="s">
        <v>471</v>
      </c>
      <c r="E11" s="53" t="s">
        <v>471</v>
      </c>
    </row>
    <row r="12" spans="1:5" x14ac:dyDescent="0.3">
      <c r="B12" s="52">
        <f t="shared" si="0"/>
        <v>6</v>
      </c>
      <c r="C12" s="24" t="s">
        <v>500</v>
      </c>
      <c r="D12" s="53" t="s">
        <v>471</v>
      </c>
      <c r="E12" s="53" t="s">
        <v>471</v>
      </c>
    </row>
    <row r="13" spans="1:5" x14ac:dyDescent="0.3">
      <c r="B13" s="52">
        <f t="shared" si="0"/>
        <v>7</v>
      </c>
      <c r="C13" s="24" t="s">
        <v>501</v>
      </c>
      <c r="D13" s="53" t="s">
        <v>471</v>
      </c>
      <c r="E13" s="53" t="s">
        <v>471</v>
      </c>
    </row>
    <row r="14" spans="1:5" x14ac:dyDescent="0.3">
      <c r="B14" s="52">
        <f t="shared" si="0"/>
        <v>8</v>
      </c>
      <c r="C14" s="24" t="s">
        <v>502</v>
      </c>
      <c r="D14" s="53" t="s">
        <v>471</v>
      </c>
      <c r="E14" s="53" t="s">
        <v>471</v>
      </c>
    </row>
    <row r="15" spans="1:5" x14ac:dyDescent="0.3">
      <c r="B15" s="52">
        <f t="shared" si="0"/>
        <v>9</v>
      </c>
      <c r="C15" s="24" t="s">
        <v>503</v>
      </c>
      <c r="D15" s="53" t="s">
        <v>471</v>
      </c>
      <c r="E15" s="53" t="s">
        <v>471</v>
      </c>
    </row>
    <row r="16" spans="1:5" x14ac:dyDescent="0.3">
      <c r="B16" s="52">
        <f t="shared" si="0"/>
        <v>10</v>
      </c>
      <c r="C16" s="24" t="s">
        <v>504</v>
      </c>
      <c r="D16" s="53" t="s">
        <v>471</v>
      </c>
      <c r="E16" s="53" t="s">
        <v>471</v>
      </c>
    </row>
    <row r="17" spans="2:5" x14ac:dyDescent="0.3">
      <c r="B17" s="52">
        <f t="shared" si="0"/>
        <v>11</v>
      </c>
      <c r="C17" s="24" t="s">
        <v>505</v>
      </c>
      <c r="D17" s="53" t="s">
        <v>471</v>
      </c>
      <c r="E17" s="53" t="s">
        <v>471</v>
      </c>
    </row>
    <row r="18" spans="2:5" x14ac:dyDescent="0.3">
      <c r="B18" s="52">
        <f t="shared" si="0"/>
        <v>12</v>
      </c>
      <c r="C18" s="24" t="s">
        <v>506</v>
      </c>
      <c r="D18" s="53" t="s">
        <v>471</v>
      </c>
      <c r="E18" s="53" t="s">
        <v>471</v>
      </c>
    </row>
  </sheetData>
  <sheetProtection insertRows="0" deleteRows="0" sort="0" autoFilter="0"/>
  <mergeCells count="2">
    <mergeCell ref="B4:B6"/>
    <mergeCell ref="C4:E4"/>
  </mergeCells>
  <phoneticPr fontId="15"/>
  <hyperlinks>
    <hyperlink ref="A3" location="パラメータ設定一覧!A1" display="パラメータ設定一覧へ" xr:uid="{F67CFF83-7906-4899-9BF9-9CAA1C1710B7}"/>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244E-4109-4B87-BAA1-E83F12B62227}">
  <sheetPr>
    <tabColor theme="0" tint="-0.499984740745262"/>
  </sheetPr>
  <dimension ref="A1:L31"/>
  <sheetViews>
    <sheetView showGridLines="0" zoomScale="60" zoomScaleNormal="60" workbookViewId="0">
      <pane xSplit="6" ySplit="5" topLeftCell="G6" activePane="bottomRight" state="frozen"/>
      <selection activeCell="A4" sqref="A4"/>
      <selection pane="topRight" activeCell="A4" sqref="A4"/>
      <selection pane="bottomLeft" activeCell="A4" sqref="A4"/>
      <selection pane="bottomRight" activeCell="A4" sqref="A4"/>
    </sheetView>
  </sheetViews>
  <sheetFormatPr defaultColWidth="8.78515625" defaultRowHeight="13.5" x14ac:dyDescent="0.35"/>
  <cols>
    <col min="1" max="1" width="2.78515625" style="26" customWidth="1"/>
    <col min="2" max="2" width="3.35546875" style="26" bestFit="1" customWidth="1"/>
    <col min="3" max="3" width="17" style="26" customWidth="1"/>
    <col min="4" max="4" width="25.78515625" style="26" customWidth="1"/>
    <col min="5" max="5" width="17.2109375" style="26" customWidth="1"/>
    <col min="6" max="6" width="21.35546875" style="26" customWidth="1"/>
    <col min="7" max="7" width="44.42578125" style="26" customWidth="1"/>
    <col min="8" max="8" width="24.42578125" style="26" customWidth="1"/>
    <col min="9" max="9" width="15.640625" style="26" customWidth="1"/>
    <col min="10" max="10" width="34.78515625" style="26" customWidth="1"/>
    <col min="11" max="11" width="22.35546875" style="26" customWidth="1"/>
    <col min="12" max="12" width="13.2109375" style="26" customWidth="1"/>
    <col min="13" max="16384" width="8.78515625" style="26"/>
  </cols>
  <sheetData>
    <row r="1" spans="1:12" customFormat="1" ht="19.5" x14ac:dyDescent="0.35">
      <c r="A1" s="5" t="s">
        <v>314</v>
      </c>
    </row>
    <row r="2" spans="1:12" customFormat="1" ht="19.5" x14ac:dyDescent="0.35">
      <c r="A2" s="5"/>
      <c r="B2" t="s">
        <v>200</v>
      </c>
    </row>
    <row r="3" spans="1:12" customFormat="1" ht="15" x14ac:dyDescent="0.35">
      <c r="B3" t="s">
        <v>307</v>
      </c>
    </row>
    <row r="4" spans="1:12" customFormat="1" ht="15" x14ac:dyDescent="0.35">
      <c r="A4" s="6" t="s">
        <v>49</v>
      </c>
    </row>
    <row r="5" spans="1:12" x14ac:dyDescent="0.35">
      <c r="B5" s="7" t="s">
        <v>6</v>
      </c>
      <c r="C5" s="8" t="s">
        <v>10</v>
      </c>
      <c r="D5" s="8" t="s">
        <v>11</v>
      </c>
      <c r="E5" s="8" t="s">
        <v>12</v>
      </c>
      <c r="F5" s="9" t="s">
        <v>13</v>
      </c>
      <c r="G5" s="9" t="s">
        <v>14</v>
      </c>
      <c r="H5" s="8" t="s">
        <v>15</v>
      </c>
      <c r="I5" s="8" t="s">
        <v>16</v>
      </c>
      <c r="J5" s="7" t="s">
        <v>17</v>
      </c>
      <c r="K5" s="10" t="s">
        <v>18</v>
      </c>
      <c r="L5" s="10" t="s">
        <v>19</v>
      </c>
    </row>
    <row r="6" spans="1:12" ht="27" x14ac:dyDescent="0.35">
      <c r="B6" s="11">
        <f t="shared" ref="B6:B12" si="0">ROW() - 5</f>
        <v>1</v>
      </c>
      <c r="C6" s="147" t="s">
        <v>145</v>
      </c>
      <c r="D6" s="154"/>
      <c r="E6" s="154"/>
      <c r="F6" s="12" t="s">
        <v>314</v>
      </c>
      <c r="G6" s="12" t="s">
        <v>337</v>
      </c>
      <c r="H6" s="12" t="s">
        <v>30</v>
      </c>
      <c r="I6" s="12" t="s">
        <v>23</v>
      </c>
      <c r="J6" s="13"/>
      <c r="K6" s="1" t="s">
        <v>315</v>
      </c>
      <c r="L6" s="2"/>
    </row>
    <row r="7" spans="1:12" ht="27" x14ac:dyDescent="0.35">
      <c r="B7" s="11">
        <f t="shared" si="0"/>
        <v>2</v>
      </c>
      <c r="C7" s="148"/>
      <c r="D7" s="158"/>
      <c r="E7" s="158"/>
      <c r="F7" s="12" t="s">
        <v>34</v>
      </c>
      <c r="G7" s="12" t="s">
        <v>342</v>
      </c>
      <c r="H7" s="12" t="s">
        <v>30</v>
      </c>
      <c r="I7" s="12" t="s">
        <v>23</v>
      </c>
      <c r="J7" s="13"/>
      <c r="K7" s="1" t="s">
        <v>315</v>
      </c>
      <c r="L7" s="2"/>
    </row>
    <row r="8" spans="1:12" ht="27" x14ac:dyDescent="0.35">
      <c r="B8" s="11">
        <f t="shared" si="0"/>
        <v>3</v>
      </c>
      <c r="C8" s="148"/>
      <c r="D8" s="158"/>
      <c r="E8" s="158"/>
      <c r="F8" s="12" t="s">
        <v>61</v>
      </c>
      <c r="G8" s="12" t="s">
        <v>338</v>
      </c>
      <c r="H8" s="12" t="s">
        <v>345</v>
      </c>
      <c r="I8" s="12" t="s">
        <v>23</v>
      </c>
      <c r="J8" s="13"/>
      <c r="K8" s="1" t="s">
        <v>315</v>
      </c>
      <c r="L8" s="2"/>
    </row>
    <row r="9" spans="1:12" ht="27" x14ac:dyDescent="0.35">
      <c r="B9" s="11">
        <f t="shared" si="0"/>
        <v>4</v>
      </c>
      <c r="C9" s="148"/>
      <c r="D9" s="158"/>
      <c r="E9" s="158"/>
      <c r="F9" s="12" t="s">
        <v>248</v>
      </c>
      <c r="G9" s="12" t="s">
        <v>339</v>
      </c>
      <c r="H9" s="12" t="s">
        <v>346</v>
      </c>
      <c r="I9" s="12" t="s">
        <v>23</v>
      </c>
      <c r="J9" s="13"/>
      <c r="K9" s="1" t="s">
        <v>315</v>
      </c>
      <c r="L9" s="2"/>
    </row>
    <row r="10" spans="1:12" ht="121.5" x14ac:dyDescent="0.35">
      <c r="B10" s="11">
        <f t="shared" si="0"/>
        <v>5</v>
      </c>
      <c r="C10" s="148"/>
      <c r="D10" s="158"/>
      <c r="E10" s="158"/>
      <c r="F10" s="12" t="s">
        <v>320</v>
      </c>
      <c r="G10" s="12" t="s">
        <v>340</v>
      </c>
      <c r="H10" s="12" t="s">
        <v>371</v>
      </c>
      <c r="I10" s="12" t="s">
        <v>351</v>
      </c>
      <c r="J10" s="13"/>
      <c r="K10" s="1" t="s">
        <v>315</v>
      </c>
      <c r="L10" s="2"/>
    </row>
    <row r="11" spans="1:12" ht="27" x14ac:dyDescent="0.35">
      <c r="B11" s="11">
        <f t="shared" si="0"/>
        <v>6</v>
      </c>
      <c r="C11" s="148"/>
      <c r="D11" s="158"/>
      <c r="E11" s="158"/>
      <c r="F11" s="12" t="s">
        <v>321</v>
      </c>
      <c r="G11" s="12" t="s">
        <v>341</v>
      </c>
      <c r="H11" s="12" t="s">
        <v>347</v>
      </c>
      <c r="I11" s="12" t="s">
        <v>23</v>
      </c>
      <c r="J11" s="13"/>
      <c r="K11" s="1" t="s">
        <v>315</v>
      </c>
      <c r="L11" s="2"/>
    </row>
    <row r="12" spans="1:12" ht="27" x14ac:dyDescent="0.35">
      <c r="B12" s="11">
        <f t="shared" si="0"/>
        <v>7</v>
      </c>
      <c r="C12" s="148"/>
      <c r="D12" s="158"/>
      <c r="E12" s="158"/>
      <c r="F12" s="12" t="s">
        <v>322</v>
      </c>
      <c r="G12" s="12"/>
      <c r="H12" s="89" t="s">
        <v>348</v>
      </c>
      <c r="I12" s="12" t="s">
        <v>23</v>
      </c>
      <c r="J12" s="13"/>
      <c r="K12" s="1" t="s">
        <v>315</v>
      </c>
      <c r="L12" s="2"/>
    </row>
    <row r="13" spans="1:12" ht="27" x14ac:dyDescent="0.35">
      <c r="B13" s="11">
        <f t="shared" ref="B13:B18" si="1">ROW() - 5</f>
        <v>8</v>
      </c>
      <c r="C13" s="164" t="s">
        <v>316</v>
      </c>
      <c r="D13" s="154"/>
      <c r="E13" s="49"/>
      <c r="F13" s="82" t="s">
        <v>323</v>
      </c>
      <c r="G13" s="12" t="s">
        <v>343</v>
      </c>
      <c r="H13" s="12" t="s">
        <v>128</v>
      </c>
      <c r="I13" s="12" t="s">
        <v>23</v>
      </c>
      <c r="J13" s="13"/>
      <c r="K13" s="1" t="s">
        <v>391</v>
      </c>
      <c r="L13" s="2"/>
    </row>
    <row r="14" spans="1:12" ht="27" x14ac:dyDescent="0.35">
      <c r="B14" s="11">
        <f t="shared" ref="B14:B17" si="2">ROW() - 5</f>
        <v>9</v>
      </c>
      <c r="C14" s="165"/>
      <c r="D14" s="158"/>
      <c r="E14" s="46"/>
      <c r="F14" s="82" t="s">
        <v>325</v>
      </c>
      <c r="G14" s="12"/>
      <c r="H14" s="12" t="s">
        <v>365</v>
      </c>
      <c r="I14" s="12" t="s">
        <v>23</v>
      </c>
      <c r="J14" s="13" t="s">
        <v>372</v>
      </c>
      <c r="K14" s="1" t="s">
        <v>391</v>
      </c>
      <c r="L14" s="2"/>
    </row>
    <row r="15" spans="1:12" ht="27" x14ac:dyDescent="0.35">
      <c r="B15" s="11">
        <f t="shared" si="2"/>
        <v>10</v>
      </c>
      <c r="C15" s="165"/>
      <c r="D15" s="158"/>
      <c r="E15" s="46"/>
      <c r="F15" s="82" t="s">
        <v>326</v>
      </c>
      <c r="G15" s="12"/>
      <c r="H15" s="12" t="s">
        <v>365</v>
      </c>
      <c r="I15" s="12" t="s">
        <v>23</v>
      </c>
      <c r="J15" s="13" t="s">
        <v>372</v>
      </c>
      <c r="K15" s="1" t="s">
        <v>391</v>
      </c>
      <c r="L15" s="2"/>
    </row>
    <row r="16" spans="1:12" ht="27" x14ac:dyDescent="0.35">
      <c r="B16" s="11">
        <f t="shared" si="2"/>
        <v>11</v>
      </c>
      <c r="C16" s="165"/>
      <c r="D16" s="158"/>
      <c r="E16" s="46"/>
      <c r="F16" s="82" t="s">
        <v>324</v>
      </c>
      <c r="G16" s="12" t="s">
        <v>343</v>
      </c>
      <c r="H16" s="12" t="s">
        <v>385</v>
      </c>
      <c r="I16" s="12" t="s">
        <v>23</v>
      </c>
      <c r="J16" s="13"/>
      <c r="K16" s="1" t="s">
        <v>391</v>
      </c>
      <c r="L16" s="2"/>
    </row>
    <row r="17" spans="2:12" ht="27" x14ac:dyDescent="0.35">
      <c r="B17" s="11">
        <f t="shared" si="2"/>
        <v>12</v>
      </c>
      <c r="C17" s="165"/>
      <c r="D17" s="158"/>
      <c r="E17" s="46"/>
      <c r="F17" s="82" t="s">
        <v>37</v>
      </c>
      <c r="G17" s="12"/>
      <c r="H17" s="12" t="s">
        <v>160</v>
      </c>
      <c r="I17" s="12" t="s">
        <v>23</v>
      </c>
      <c r="J17" s="13"/>
      <c r="K17" s="1" t="s">
        <v>391</v>
      </c>
      <c r="L17" s="2"/>
    </row>
    <row r="18" spans="2:12" ht="40.5" x14ac:dyDescent="0.35">
      <c r="B18" s="11">
        <f t="shared" si="1"/>
        <v>13</v>
      </c>
      <c r="C18" s="147" t="s">
        <v>317</v>
      </c>
      <c r="D18" s="154"/>
      <c r="E18" s="162" t="s">
        <v>344</v>
      </c>
      <c r="F18" s="89" t="s">
        <v>327</v>
      </c>
      <c r="G18" s="12"/>
      <c r="H18" s="12" t="s">
        <v>386</v>
      </c>
      <c r="I18" s="12" t="s">
        <v>23</v>
      </c>
      <c r="J18" s="13" t="s">
        <v>373</v>
      </c>
      <c r="K18" s="1" t="s">
        <v>23</v>
      </c>
      <c r="L18" s="2"/>
    </row>
    <row r="19" spans="2:12" ht="27" x14ac:dyDescent="0.35">
      <c r="B19" s="11">
        <f t="shared" ref="B19:B31" si="3">ROW() - 5</f>
        <v>14</v>
      </c>
      <c r="C19" s="148"/>
      <c r="D19" s="158"/>
      <c r="E19" s="163"/>
      <c r="F19" s="89" t="s">
        <v>328</v>
      </c>
      <c r="G19" s="12"/>
      <c r="H19" s="12" t="s">
        <v>386</v>
      </c>
      <c r="I19" s="12" t="s">
        <v>23</v>
      </c>
      <c r="J19" s="13"/>
      <c r="K19" s="1" t="s">
        <v>392</v>
      </c>
      <c r="L19" s="2"/>
    </row>
    <row r="20" spans="2:12" ht="27" x14ac:dyDescent="0.35">
      <c r="B20" s="11">
        <f t="shared" si="3"/>
        <v>15</v>
      </c>
      <c r="C20" s="148"/>
      <c r="D20" s="158"/>
      <c r="E20" s="46"/>
      <c r="F20" s="12" t="s">
        <v>155</v>
      </c>
      <c r="G20" s="12"/>
      <c r="H20" s="12" t="s">
        <v>385</v>
      </c>
      <c r="I20" s="12" t="s">
        <v>23</v>
      </c>
      <c r="J20" s="13"/>
      <c r="K20" s="1" t="s">
        <v>392</v>
      </c>
      <c r="L20" s="2"/>
    </row>
    <row r="21" spans="2:12" ht="27" x14ac:dyDescent="0.35">
      <c r="B21" s="11">
        <f t="shared" si="3"/>
        <v>16</v>
      </c>
      <c r="C21" s="148"/>
      <c r="D21" s="158"/>
      <c r="E21" s="46"/>
      <c r="F21" s="12" t="s">
        <v>329</v>
      </c>
      <c r="G21" s="12" t="s">
        <v>343</v>
      </c>
      <c r="H21" s="12" t="s">
        <v>387</v>
      </c>
      <c r="I21" s="12" t="s">
        <v>23</v>
      </c>
      <c r="J21" s="13"/>
      <c r="K21" s="1" t="s">
        <v>392</v>
      </c>
      <c r="L21" s="2"/>
    </row>
    <row r="22" spans="2:12" ht="27" x14ac:dyDescent="0.35">
      <c r="B22" s="11">
        <f t="shared" si="3"/>
        <v>17</v>
      </c>
      <c r="C22" s="148"/>
      <c r="D22" s="158"/>
      <c r="E22" s="46"/>
      <c r="F22" s="12" t="s">
        <v>330</v>
      </c>
      <c r="G22" s="12"/>
      <c r="H22" s="12" t="s">
        <v>349</v>
      </c>
      <c r="I22" s="12" t="s">
        <v>313</v>
      </c>
      <c r="J22" s="13"/>
      <c r="K22" s="1" t="s">
        <v>392</v>
      </c>
      <c r="L22" s="2"/>
    </row>
    <row r="23" spans="2:12" ht="27" x14ac:dyDescent="0.35">
      <c r="B23" s="11">
        <f t="shared" si="3"/>
        <v>18</v>
      </c>
      <c r="C23" s="148"/>
      <c r="D23" s="158"/>
      <c r="E23" s="46"/>
      <c r="F23" s="12" t="s">
        <v>331</v>
      </c>
      <c r="G23" s="12"/>
      <c r="H23" s="12" t="s">
        <v>349</v>
      </c>
      <c r="I23" s="12" t="s">
        <v>313</v>
      </c>
      <c r="J23" s="13"/>
      <c r="K23" s="1" t="s">
        <v>392</v>
      </c>
      <c r="L23" s="2"/>
    </row>
    <row r="24" spans="2:12" ht="27" x14ac:dyDescent="0.35">
      <c r="B24" s="11">
        <f t="shared" si="3"/>
        <v>19</v>
      </c>
      <c r="C24" s="148"/>
      <c r="D24" s="158"/>
      <c r="E24" s="46"/>
      <c r="F24" s="12" t="s">
        <v>332</v>
      </c>
      <c r="G24" s="12"/>
      <c r="H24" s="12" t="s">
        <v>349</v>
      </c>
      <c r="I24" s="12" t="s">
        <v>313</v>
      </c>
      <c r="J24" s="13"/>
      <c r="K24" s="1" t="s">
        <v>392</v>
      </c>
      <c r="L24" s="2"/>
    </row>
    <row r="25" spans="2:12" ht="27" x14ac:dyDescent="0.35">
      <c r="B25" s="11">
        <f t="shared" si="3"/>
        <v>20</v>
      </c>
      <c r="C25" s="148"/>
      <c r="D25" s="158"/>
      <c r="E25" s="46"/>
      <c r="F25" s="12" t="s">
        <v>271</v>
      </c>
      <c r="G25" s="12" t="s">
        <v>343</v>
      </c>
      <c r="H25" s="12" t="s">
        <v>386</v>
      </c>
      <c r="I25" s="12" t="s">
        <v>23</v>
      </c>
      <c r="J25" s="13"/>
      <c r="K25" s="1" t="s">
        <v>392</v>
      </c>
      <c r="L25" s="2"/>
    </row>
    <row r="26" spans="2:12" ht="27" x14ac:dyDescent="0.35">
      <c r="B26" s="11">
        <f t="shared" si="3"/>
        <v>21</v>
      </c>
      <c r="C26" s="147" t="s">
        <v>318</v>
      </c>
      <c r="D26" s="154"/>
      <c r="E26" s="154"/>
      <c r="F26" s="89" t="s">
        <v>333</v>
      </c>
      <c r="G26" s="12"/>
      <c r="H26" s="89"/>
      <c r="I26" s="12" t="s">
        <v>23</v>
      </c>
      <c r="J26" s="13"/>
      <c r="K26" s="1" t="s">
        <v>393</v>
      </c>
      <c r="L26" s="2"/>
    </row>
    <row r="27" spans="2:12" ht="27" x14ac:dyDescent="0.35">
      <c r="B27" s="11">
        <f t="shared" si="3"/>
        <v>22</v>
      </c>
      <c r="C27" s="149"/>
      <c r="D27" s="155"/>
      <c r="E27" s="155"/>
      <c r="F27" s="89" t="s">
        <v>334</v>
      </c>
      <c r="G27" s="12"/>
      <c r="H27" s="89"/>
      <c r="I27" s="12" t="s">
        <v>23</v>
      </c>
      <c r="J27" s="13"/>
      <c r="K27" s="1" t="s">
        <v>393</v>
      </c>
      <c r="L27" s="2"/>
    </row>
    <row r="28" spans="2:12" x14ac:dyDescent="0.35">
      <c r="B28" s="11">
        <f t="shared" si="3"/>
        <v>23</v>
      </c>
      <c r="C28" s="147" t="s">
        <v>319</v>
      </c>
      <c r="D28" s="58"/>
      <c r="E28" s="58"/>
      <c r="F28" s="12" t="s">
        <v>319</v>
      </c>
      <c r="G28" s="12"/>
      <c r="H28" s="12" t="s">
        <v>30</v>
      </c>
      <c r="I28" s="12" t="s">
        <v>23</v>
      </c>
      <c r="J28" s="13"/>
      <c r="K28" s="1" t="s">
        <v>394</v>
      </c>
      <c r="L28" s="2"/>
    </row>
    <row r="29" spans="2:12" x14ac:dyDescent="0.35">
      <c r="B29" s="11">
        <f t="shared" si="3"/>
        <v>24</v>
      </c>
      <c r="C29" s="148"/>
      <c r="D29" s="58"/>
      <c r="E29" s="58"/>
      <c r="F29" s="12" t="s">
        <v>34</v>
      </c>
      <c r="G29" s="12"/>
      <c r="H29" s="12" t="s">
        <v>30</v>
      </c>
      <c r="I29" s="12" t="s">
        <v>23</v>
      </c>
      <c r="J29" s="13"/>
      <c r="K29" s="1" t="s">
        <v>394</v>
      </c>
      <c r="L29" s="2"/>
    </row>
    <row r="30" spans="2:12" x14ac:dyDescent="0.35">
      <c r="B30" s="11">
        <f t="shared" si="3"/>
        <v>25</v>
      </c>
      <c r="C30" s="148"/>
      <c r="D30" s="58"/>
      <c r="E30" s="58"/>
      <c r="F30" s="12" t="s">
        <v>335</v>
      </c>
      <c r="G30" s="12"/>
      <c r="H30" s="12" t="s">
        <v>350</v>
      </c>
      <c r="I30" s="12" t="s">
        <v>23</v>
      </c>
      <c r="J30" s="13"/>
      <c r="K30" s="1" t="s">
        <v>394</v>
      </c>
      <c r="L30" s="2"/>
    </row>
    <row r="31" spans="2:12" x14ac:dyDescent="0.35">
      <c r="B31" s="11">
        <f t="shared" si="3"/>
        <v>26</v>
      </c>
      <c r="C31" s="149"/>
      <c r="D31" s="58"/>
      <c r="E31" s="58"/>
      <c r="F31" s="12" t="s">
        <v>336</v>
      </c>
      <c r="G31" s="12"/>
      <c r="H31" s="12" t="s">
        <v>350</v>
      </c>
      <c r="I31" s="12" t="s">
        <v>23</v>
      </c>
      <c r="J31" s="13"/>
      <c r="K31" s="1" t="s">
        <v>394</v>
      </c>
      <c r="L31" s="2"/>
    </row>
  </sheetData>
  <mergeCells count="12">
    <mergeCell ref="C6:C12"/>
    <mergeCell ref="D6:D12"/>
    <mergeCell ref="E6:E12"/>
    <mergeCell ref="C13:C17"/>
    <mergeCell ref="D13:D17"/>
    <mergeCell ref="D26:D27"/>
    <mergeCell ref="E26:E27"/>
    <mergeCell ref="C26:C27"/>
    <mergeCell ref="C28:C31"/>
    <mergeCell ref="C18:C25"/>
    <mergeCell ref="D18:D25"/>
    <mergeCell ref="E18:E19"/>
  </mergeCells>
  <phoneticPr fontId="15"/>
  <hyperlinks>
    <hyperlink ref="A4" location="パラメータ設定一覧!A1" display="パラメータ設定一覧へ" xr:uid="{54E9927C-4001-41CE-B354-CF46AEA1C2DB}"/>
  </hyperlink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0860-6A7A-49FA-B3C0-227AA7AB709C}">
  <sheetPr>
    <tabColor theme="0" tint="-0.499984740745262"/>
  </sheetPr>
  <dimension ref="A1:I16"/>
  <sheetViews>
    <sheetView showGridLines="0" zoomScaleNormal="100" workbookViewId="0">
      <pane ySplit="6" topLeftCell="A7" activePane="bottomLeft" state="frozen"/>
      <selection activeCell="A4" sqref="A4"/>
      <selection pane="bottomLeft" activeCell="F14" sqref="F14"/>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9" width="17.78515625" style="26" customWidth="1"/>
    <col min="10" max="16384" width="8.78515625" style="26"/>
  </cols>
  <sheetData>
    <row r="1" spans="1:9" customFormat="1" ht="19.5" x14ac:dyDescent="0.35">
      <c r="A1" s="23" t="s">
        <v>199</v>
      </c>
    </row>
    <row r="2" spans="1:9" customFormat="1" ht="15" x14ac:dyDescent="0.35"/>
    <row r="3" spans="1:9" customFormat="1" ht="15" x14ac:dyDescent="0.35">
      <c r="A3" s="6" t="s">
        <v>49</v>
      </c>
    </row>
    <row r="4" spans="1:9" ht="14.5" customHeight="1" x14ac:dyDescent="0.35">
      <c r="B4" s="166" t="s">
        <v>6</v>
      </c>
      <c r="C4" s="167" t="s">
        <v>145</v>
      </c>
      <c r="D4" s="167"/>
      <c r="E4" s="167"/>
      <c r="F4" s="167"/>
      <c r="G4" s="167"/>
      <c r="H4" s="167"/>
      <c r="I4" s="167"/>
    </row>
    <row r="5" spans="1:9" ht="28.75" customHeight="1" x14ac:dyDescent="0.35">
      <c r="B5" s="151"/>
      <c r="C5" s="83" t="s">
        <v>314</v>
      </c>
      <c r="D5" s="83" t="s">
        <v>34</v>
      </c>
      <c r="E5" s="83" t="s">
        <v>61</v>
      </c>
      <c r="F5" s="83" t="s">
        <v>248</v>
      </c>
      <c r="G5" s="83" t="s">
        <v>320</v>
      </c>
      <c r="H5" s="83" t="s">
        <v>321</v>
      </c>
      <c r="I5" s="83" t="s">
        <v>322</v>
      </c>
    </row>
    <row r="6" spans="1:9" ht="43.4" customHeight="1" x14ac:dyDescent="0.35">
      <c r="B6" s="151"/>
      <c r="C6" s="84" t="s">
        <v>30</v>
      </c>
      <c r="D6" s="84" t="s">
        <v>30</v>
      </c>
      <c r="E6" s="84" t="s">
        <v>345</v>
      </c>
      <c r="F6" s="84" t="s">
        <v>346</v>
      </c>
      <c r="G6" s="84" t="s">
        <v>371</v>
      </c>
      <c r="H6" s="84" t="s">
        <v>347</v>
      </c>
      <c r="I6" s="84" t="s">
        <v>348</v>
      </c>
    </row>
    <row r="7" spans="1:9" x14ac:dyDescent="0.3">
      <c r="B7" s="52">
        <f t="shared" ref="B7:B16" si="0">ROW()-6</f>
        <v>1</v>
      </c>
      <c r="C7" s="24" t="s">
        <v>526</v>
      </c>
      <c r="D7" s="53" t="s">
        <v>526</v>
      </c>
      <c r="E7" s="53" t="s">
        <v>540</v>
      </c>
      <c r="F7" s="53" t="s">
        <v>527</v>
      </c>
      <c r="G7" s="53" t="s">
        <v>528</v>
      </c>
      <c r="H7" s="53" t="s">
        <v>529</v>
      </c>
      <c r="I7" s="53"/>
    </row>
    <row r="8" spans="1:9" x14ac:dyDescent="0.3">
      <c r="B8" s="52">
        <f t="shared" si="0"/>
        <v>2</v>
      </c>
      <c r="C8" s="24" t="s">
        <v>526</v>
      </c>
      <c r="D8" s="24" t="s">
        <v>526</v>
      </c>
      <c r="E8" s="53" t="s">
        <v>540</v>
      </c>
      <c r="F8" s="53" t="s">
        <v>544</v>
      </c>
      <c r="G8" s="53" t="s">
        <v>528</v>
      </c>
      <c r="H8" s="53" t="s">
        <v>529</v>
      </c>
      <c r="I8" s="53"/>
    </row>
    <row r="9" spans="1:9" x14ac:dyDescent="0.3">
      <c r="B9" s="52">
        <f t="shared" si="0"/>
        <v>3</v>
      </c>
      <c r="C9" s="24" t="s">
        <v>547</v>
      </c>
      <c r="D9" s="24" t="s">
        <v>547</v>
      </c>
      <c r="E9" s="53" t="s">
        <v>540</v>
      </c>
      <c r="F9" s="53" t="s">
        <v>546</v>
      </c>
      <c r="G9" s="53" t="s">
        <v>528</v>
      </c>
      <c r="H9" s="53" t="s">
        <v>529</v>
      </c>
      <c r="I9" s="53"/>
    </row>
    <row r="10" spans="1:9" x14ac:dyDescent="0.3">
      <c r="B10" s="52">
        <f t="shared" si="0"/>
        <v>4</v>
      </c>
      <c r="C10" s="24" t="s">
        <v>539</v>
      </c>
      <c r="D10" s="53" t="s">
        <v>539</v>
      </c>
      <c r="E10" s="53" t="s">
        <v>541</v>
      </c>
      <c r="F10" s="53" t="s">
        <v>527</v>
      </c>
      <c r="G10" s="53" t="s">
        <v>528</v>
      </c>
      <c r="H10" s="53" t="s">
        <v>529</v>
      </c>
      <c r="I10" s="53"/>
    </row>
    <row r="11" spans="1:9" x14ac:dyDescent="0.3">
      <c r="B11" s="52">
        <f t="shared" si="0"/>
        <v>5</v>
      </c>
      <c r="C11" s="24" t="s">
        <v>543</v>
      </c>
      <c r="D11" s="53" t="s">
        <v>543</v>
      </c>
      <c r="E11" s="53" t="s">
        <v>541</v>
      </c>
      <c r="F11" s="53" t="s">
        <v>544</v>
      </c>
      <c r="G11" s="53" t="s">
        <v>528</v>
      </c>
      <c r="H11" s="53" t="s">
        <v>529</v>
      </c>
      <c r="I11" s="53"/>
    </row>
    <row r="12" spans="1:9" x14ac:dyDescent="0.3">
      <c r="B12" s="52">
        <f t="shared" si="0"/>
        <v>6</v>
      </c>
      <c r="C12" s="24" t="s">
        <v>545</v>
      </c>
      <c r="D12" s="53" t="s">
        <v>545</v>
      </c>
      <c r="E12" s="53" t="s">
        <v>541</v>
      </c>
      <c r="F12" s="53" t="s">
        <v>546</v>
      </c>
      <c r="G12" s="53" t="s">
        <v>528</v>
      </c>
      <c r="H12" s="53" t="s">
        <v>529</v>
      </c>
      <c r="I12" s="53"/>
    </row>
    <row r="13" spans="1:9" x14ac:dyDescent="0.3">
      <c r="B13" s="52">
        <f t="shared" si="0"/>
        <v>7</v>
      </c>
      <c r="C13" s="24"/>
      <c r="D13" s="53"/>
      <c r="E13" s="53"/>
      <c r="F13" s="53"/>
      <c r="G13" s="53"/>
      <c r="H13" s="53"/>
      <c r="I13" s="53"/>
    </row>
    <row r="14" spans="1:9" x14ac:dyDescent="0.3">
      <c r="B14" s="52">
        <f t="shared" si="0"/>
        <v>8</v>
      </c>
      <c r="C14" s="24"/>
      <c r="D14" s="53"/>
      <c r="E14" s="53"/>
      <c r="F14" s="53"/>
      <c r="G14" s="53"/>
      <c r="H14" s="53"/>
      <c r="I14" s="53"/>
    </row>
    <row r="15" spans="1:9" x14ac:dyDescent="0.3">
      <c r="B15" s="52">
        <f t="shared" si="0"/>
        <v>9</v>
      </c>
      <c r="C15" s="24"/>
      <c r="D15" s="53"/>
      <c r="E15" s="53"/>
      <c r="F15" s="53"/>
      <c r="G15" s="53"/>
      <c r="H15" s="53"/>
      <c r="I15" s="53"/>
    </row>
    <row r="16" spans="1:9" x14ac:dyDescent="0.3">
      <c r="B16" s="52">
        <f t="shared" si="0"/>
        <v>10</v>
      </c>
      <c r="C16" s="24"/>
      <c r="D16" s="53"/>
      <c r="E16" s="53"/>
      <c r="F16" s="53"/>
      <c r="G16" s="53"/>
      <c r="H16" s="53"/>
      <c r="I16" s="53"/>
    </row>
  </sheetData>
  <sheetProtection insertRows="0" deleteRows="0" sort="0" autoFilter="0"/>
  <mergeCells count="2">
    <mergeCell ref="B4:B6"/>
    <mergeCell ref="C4:I4"/>
  </mergeCells>
  <phoneticPr fontId="15"/>
  <hyperlinks>
    <hyperlink ref="A3" location="パラメータ設定一覧!A1" display="パラメータ設定一覧へ" xr:uid="{C9A64A5C-7C60-4F14-86DD-7618E0AF2E7C}"/>
  </hyperlink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C125-4E63-492F-8E2B-10FFE6155E0E}">
  <sheetPr>
    <tabColor theme="0" tint="-0.499984740745262"/>
  </sheetPr>
  <dimension ref="A1:H16"/>
  <sheetViews>
    <sheetView showGridLines="0" zoomScaleNormal="100" workbookViewId="0">
      <pane ySplit="6" topLeftCell="A7" activePane="bottomLeft" state="frozen"/>
      <selection activeCell="A4" sqref="A4"/>
      <selection pane="bottomLeft" activeCell="G9" sqref="G9"/>
    </sheetView>
  </sheetViews>
  <sheetFormatPr defaultColWidth="8.78515625" defaultRowHeight="13.5" x14ac:dyDescent="0.35"/>
  <cols>
    <col min="1" max="1" width="2.78515625" style="26" customWidth="1"/>
    <col min="2" max="2" width="6.640625" style="26" bestFit="1" customWidth="1"/>
    <col min="3" max="3" width="16.2109375" style="26" bestFit="1" customWidth="1"/>
    <col min="4" max="8" width="17.78515625" style="26" customWidth="1"/>
    <col min="9" max="16384" width="8.78515625" style="26"/>
  </cols>
  <sheetData>
    <row r="1" spans="1:8" customFormat="1" ht="19.5" x14ac:dyDescent="0.35">
      <c r="A1" s="23" t="s">
        <v>205</v>
      </c>
    </row>
    <row r="2" spans="1:8" customFormat="1" ht="15" x14ac:dyDescent="0.35"/>
    <row r="3" spans="1:8" customFormat="1" ht="15" x14ac:dyDescent="0.35">
      <c r="A3" s="6" t="s">
        <v>49</v>
      </c>
    </row>
    <row r="4" spans="1:8" x14ac:dyDescent="0.35">
      <c r="B4" s="151" t="s">
        <v>6</v>
      </c>
      <c r="C4" s="168" t="s">
        <v>538</v>
      </c>
      <c r="D4" s="167" t="s">
        <v>316</v>
      </c>
      <c r="E4" s="167"/>
      <c r="F4" s="167"/>
      <c r="G4" s="167"/>
      <c r="H4" s="167"/>
    </row>
    <row r="5" spans="1:8" ht="28.75" customHeight="1" x14ac:dyDescent="0.35">
      <c r="B5" s="151"/>
      <c r="C5" s="169"/>
      <c r="D5" s="83" t="s">
        <v>323</v>
      </c>
      <c r="E5" s="83" t="s">
        <v>325</v>
      </c>
      <c r="F5" s="83" t="s">
        <v>555</v>
      </c>
      <c r="G5" s="83" t="s">
        <v>324</v>
      </c>
      <c r="H5" s="83" t="s">
        <v>37</v>
      </c>
    </row>
    <row r="6" spans="1:8" ht="43.4" customHeight="1" x14ac:dyDescent="0.35">
      <c r="B6" s="151"/>
      <c r="C6" s="170"/>
      <c r="D6" s="84" t="s">
        <v>128</v>
      </c>
      <c r="E6" s="84" t="s">
        <v>365</v>
      </c>
      <c r="F6" s="84" t="s">
        <v>365</v>
      </c>
      <c r="G6" s="84" t="s">
        <v>385</v>
      </c>
      <c r="H6" s="84" t="s">
        <v>160</v>
      </c>
    </row>
    <row r="7" spans="1:8" x14ac:dyDescent="0.3">
      <c r="B7" s="52">
        <f>ROW()-6</f>
        <v>1</v>
      </c>
      <c r="C7" s="52" t="s">
        <v>526</v>
      </c>
      <c r="D7" s="53" t="s">
        <v>530</v>
      </c>
      <c r="E7" s="53" t="s">
        <v>542</v>
      </c>
      <c r="F7" s="53" t="s">
        <v>556</v>
      </c>
      <c r="G7" s="53" t="s">
        <v>531</v>
      </c>
      <c r="H7" s="108" t="s">
        <v>532</v>
      </c>
    </row>
    <row r="8" spans="1:8" x14ac:dyDescent="0.3">
      <c r="B8" s="52">
        <f t="shared" ref="B8:B16" si="0">ROW()-6</f>
        <v>2</v>
      </c>
      <c r="C8" s="52" t="s">
        <v>547</v>
      </c>
      <c r="D8" s="53" t="s">
        <v>548</v>
      </c>
      <c r="E8" s="53" t="s">
        <v>542</v>
      </c>
      <c r="F8" s="53" t="s">
        <v>556</v>
      </c>
      <c r="G8" s="53" t="s">
        <v>549</v>
      </c>
      <c r="H8" s="108" t="s">
        <v>553</v>
      </c>
    </row>
    <row r="9" spans="1:8" x14ac:dyDescent="0.3">
      <c r="B9" s="52">
        <f t="shared" si="0"/>
        <v>3</v>
      </c>
      <c r="C9" s="52" t="s">
        <v>550</v>
      </c>
      <c r="D9" s="53" t="s">
        <v>551</v>
      </c>
      <c r="E9" s="53" t="s">
        <v>542</v>
      </c>
      <c r="F9" s="53" t="s">
        <v>556</v>
      </c>
      <c r="G9" s="53" t="s">
        <v>552</v>
      </c>
      <c r="H9" s="108" t="s">
        <v>554</v>
      </c>
    </row>
    <row r="10" spans="1:8" x14ac:dyDescent="0.3">
      <c r="B10" s="52">
        <f t="shared" si="0"/>
        <v>4</v>
      </c>
      <c r="C10" s="52" t="s">
        <v>539</v>
      </c>
      <c r="D10" s="53" t="s">
        <v>530</v>
      </c>
      <c r="E10" s="53" t="s">
        <v>542</v>
      </c>
      <c r="F10" s="53" t="s">
        <v>556</v>
      </c>
      <c r="G10" s="53" t="s">
        <v>531</v>
      </c>
      <c r="H10" s="108" t="s">
        <v>532</v>
      </c>
    </row>
    <row r="11" spans="1:8" x14ac:dyDescent="0.3">
      <c r="B11" s="52">
        <f t="shared" si="0"/>
        <v>5</v>
      </c>
      <c r="C11" s="52" t="s">
        <v>543</v>
      </c>
      <c r="D11" s="53" t="s">
        <v>548</v>
      </c>
      <c r="E11" s="53" t="s">
        <v>542</v>
      </c>
      <c r="F11" s="53" t="s">
        <v>556</v>
      </c>
      <c r="G11" s="53" t="s">
        <v>549</v>
      </c>
      <c r="H11" s="108" t="s">
        <v>553</v>
      </c>
    </row>
    <row r="12" spans="1:8" x14ac:dyDescent="0.3">
      <c r="B12" s="52">
        <f t="shared" si="0"/>
        <v>6</v>
      </c>
      <c r="C12" s="52" t="s">
        <v>545</v>
      </c>
      <c r="D12" s="53" t="s">
        <v>551</v>
      </c>
      <c r="E12" s="53" t="s">
        <v>542</v>
      </c>
      <c r="F12" s="53" t="s">
        <v>556</v>
      </c>
      <c r="G12" s="53" t="s">
        <v>552</v>
      </c>
      <c r="H12" s="108" t="s">
        <v>554</v>
      </c>
    </row>
    <row r="13" spans="1:8" x14ac:dyDescent="0.3">
      <c r="B13" s="52">
        <f t="shared" si="0"/>
        <v>7</v>
      </c>
      <c r="C13" s="52"/>
      <c r="D13" s="53"/>
      <c r="E13" s="53"/>
      <c r="F13" s="53"/>
      <c r="G13" s="53"/>
      <c r="H13" s="53"/>
    </row>
    <row r="14" spans="1:8" x14ac:dyDescent="0.3">
      <c r="B14" s="52">
        <f t="shared" si="0"/>
        <v>8</v>
      </c>
      <c r="C14" s="52"/>
      <c r="D14" s="53"/>
      <c r="E14" s="53"/>
      <c r="F14" s="53"/>
      <c r="G14" s="53"/>
      <c r="H14" s="53"/>
    </row>
    <row r="15" spans="1:8" x14ac:dyDescent="0.3">
      <c r="B15" s="52">
        <f t="shared" si="0"/>
        <v>9</v>
      </c>
      <c r="C15" s="52"/>
      <c r="D15" s="53"/>
      <c r="E15" s="53"/>
      <c r="F15" s="53"/>
      <c r="G15" s="53"/>
      <c r="H15" s="53"/>
    </row>
    <row r="16" spans="1:8" x14ac:dyDescent="0.3">
      <c r="B16" s="52">
        <f t="shared" si="0"/>
        <v>10</v>
      </c>
      <c r="C16" s="52"/>
      <c r="D16" s="53"/>
      <c r="E16" s="53"/>
      <c r="F16" s="53"/>
      <c r="G16" s="53"/>
      <c r="H16" s="53"/>
    </row>
  </sheetData>
  <sheetProtection insertRows="0" deleteRows="0" sort="0" autoFilter="0"/>
  <mergeCells count="3">
    <mergeCell ref="B4:B6"/>
    <mergeCell ref="D4:H4"/>
    <mergeCell ref="C4:C6"/>
  </mergeCells>
  <phoneticPr fontId="15"/>
  <hyperlinks>
    <hyperlink ref="A3" location="パラメータ設定一覧!A1" display="パラメータ設定一覧へ" xr:uid="{7D09F43D-F007-465E-B4F7-7A7E96F67132}"/>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C830-7025-4EEB-88A0-C2E5743489B9}">
  <sheetPr>
    <tabColor theme="0" tint="-0.499984740745262"/>
  </sheetPr>
  <dimension ref="A1:J18"/>
  <sheetViews>
    <sheetView showGridLines="0" zoomScaleNormal="100" workbookViewId="0">
      <pane ySplit="6" topLeftCell="A10" activePane="bottomLeft" state="frozen"/>
      <selection activeCell="A4" sqref="A4"/>
      <selection pane="bottomLeft" activeCell="C18" sqref="C18"/>
    </sheetView>
  </sheetViews>
  <sheetFormatPr defaultColWidth="8.78515625" defaultRowHeight="13.5" x14ac:dyDescent="0.35"/>
  <cols>
    <col min="1" max="1" width="2.78515625" style="26" customWidth="1"/>
    <col min="2" max="2" width="6.640625" style="26" bestFit="1" customWidth="1"/>
    <col min="3" max="3" width="16.2109375" style="26" bestFit="1" customWidth="1"/>
    <col min="4" max="10" width="19" style="26" customWidth="1"/>
    <col min="11" max="16384" width="8.78515625" style="26"/>
  </cols>
  <sheetData>
    <row r="1" spans="1:10" customFormat="1" ht="19.5" x14ac:dyDescent="0.35">
      <c r="A1" s="23" t="s">
        <v>204</v>
      </c>
    </row>
    <row r="2" spans="1:10" customFormat="1" ht="15" x14ac:dyDescent="0.35"/>
    <row r="3" spans="1:10" customFormat="1" ht="15" x14ac:dyDescent="0.35">
      <c r="A3" s="6" t="s">
        <v>49</v>
      </c>
    </row>
    <row r="4" spans="1:10" ht="15.75" customHeight="1" x14ac:dyDescent="0.35">
      <c r="B4" s="151" t="s">
        <v>6</v>
      </c>
      <c r="C4" s="168" t="s">
        <v>538</v>
      </c>
      <c r="D4" s="161" t="s">
        <v>388</v>
      </c>
      <c r="E4" s="161"/>
      <c r="F4" s="161"/>
      <c r="G4" s="161"/>
      <c r="H4" s="161"/>
      <c r="I4" s="161"/>
      <c r="J4" s="161"/>
    </row>
    <row r="5" spans="1:10" ht="28.75" customHeight="1" x14ac:dyDescent="0.35">
      <c r="B5" s="151"/>
      <c r="C5" s="169"/>
      <c r="D5" s="93" t="s">
        <v>328</v>
      </c>
      <c r="E5" s="83" t="s">
        <v>155</v>
      </c>
      <c r="F5" s="83" t="s">
        <v>329</v>
      </c>
      <c r="G5" s="83" t="s">
        <v>330</v>
      </c>
      <c r="H5" s="83" t="s">
        <v>331</v>
      </c>
      <c r="I5" s="83" t="s">
        <v>332</v>
      </c>
      <c r="J5" s="83" t="s">
        <v>271</v>
      </c>
    </row>
    <row r="6" spans="1:10" ht="43.4" customHeight="1" x14ac:dyDescent="0.35">
      <c r="B6" s="151"/>
      <c r="C6" s="170"/>
      <c r="D6" s="109" t="s">
        <v>386</v>
      </c>
      <c r="E6" s="84" t="s">
        <v>385</v>
      </c>
      <c r="F6" s="84" t="s">
        <v>387</v>
      </c>
      <c r="G6" s="84" t="s">
        <v>349</v>
      </c>
      <c r="H6" s="84" t="s">
        <v>349</v>
      </c>
      <c r="I6" s="84" t="s">
        <v>349</v>
      </c>
      <c r="J6" s="84" t="s">
        <v>386</v>
      </c>
    </row>
    <row r="7" spans="1:10" x14ac:dyDescent="0.3">
      <c r="B7" s="52">
        <f>ROW()-6</f>
        <v>1</v>
      </c>
      <c r="C7" s="52" t="s">
        <v>526</v>
      </c>
      <c r="D7" s="53" t="s">
        <v>537</v>
      </c>
      <c r="E7" s="53" t="s">
        <v>531</v>
      </c>
      <c r="F7" s="53" t="s">
        <v>533</v>
      </c>
      <c r="G7" s="53" t="s">
        <v>535</v>
      </c>
      <c r="H7" s="53" t="s">
        <v>535</v>
      </c>
      <c r="I7" s="53" t="s">
        <v>535</v>
      </c>
      <c r="J7" s="53" t="s">
        <v>536</v>
      </c>
    </row>
    <row r="8" spans="1:10" x14ac:dyDescent="0.3">
      <c r="B8" s="52">
        <f t="shared" ref="B8:B18" si="0">ROW()-6</f>
        <v>2</v>
      </c>
      <c r="C8" s="52"/>
      <c r="D8" s="53"/>
      <c r="E8" s="53"/>
      <c r="F8" s="53" t="s">
        <v>534</v>
      </c>
      <c r="G8" s="53" t="s">
        <v>535</v>
      </c>
      <c r="H8" s="53" t="s">
        <v>535</v>
      </c>
      <c r="I8" s="53" t="s">
        <v>535</v>
      </c>
      <c r="J8" s="53" t="s">
        <v>536</v>
      </c>
    </row>
    <row r="9" spans="1:10" x14ac:dyDescent="0.3">
      <c r="B9" s="52">
        <f t="shared" si="0"/>
        <v>3</v>
      </c>
      <c r="C9" s="52" t="s">
        <v>547</v>
      </c>
      <c r="D9" s="53" t="s">
        <v>537</v>
      </c>
      <c r="E9" s="53" t="s">
        <v>549</v>
      </c>
      <c r="F9" s="53" t="s">
        <v>533</v>
      </c>
      <c r="G9" s="53" t="s">
        <v>535</v>
      </c>
      <c r="H9" s="53" t="s">
        <v>535</v>
      </c>
      <c r="I9" s="53" t="s">
        <v>535</v>
      </c>
      <c r="J9" s="53" t="s">
        <v>536</v>
      </c>
    </row>
    <row r="10" spans="1:10" x14ac:dyDescent="0.3">
      <c r="B10" s="52">
        <f t="shared" si="0"/>
        <v>4</v>
      </c>
      <c r="C10" s="52"/>
      <c r="D10" s="53"/>
      <c r="E10" s="53"/>
      <c r="F10" s="53" t="s">
        <v>534</v>
      </c>
      <c r="G10" s="53" t="s">
        <v>535</v>
      </c>
      <c r="H10" s="53" t="s">
        <v>535</v>
      </c>
      <c r="I10" s="53" t="s">
        <v>535</v>
      </c>
      <c r="J10" s="53" t="s">
        <v>536</v>
      </c>
    </row>
    <row r="11" spans="1:10" x14ac:dyDescent="0.3">
      <c r="B11" s="52">
        <f t="shared" si="0"/>
        <v>5</v>
      </c>
      <c r="C11" s="52" t="s">
        <v>550</v>
      </c>
      <c r="D11" s="53" t="s">
        <v>537</v>
      </c>
      <c r="E11" s="53" t="s">
        <v>552</v>
      </c>
      <c r="F11" s="53" t="s">
        <v>533</v>
      </c>
      <c r="G11" s="53" t="s">
        <v>535</v>
      </c>
      <c r="H11" s="53" t="s">
        <v>535</v>
      </c>
      <c r="I11" s="53" t="s">
        <v>535</v>
      </c>
      <c r="J11" s="53" t="s">
        <v>536</v>
      </c>
    </row>
    <row r="12" spans="1:10" x14ac:dyDescent="0.3">
      <c r="B12" s="52">
        <f t="shared" si="0"/>
        <v>6</v>
      </c>
      <c r="C12" s="52"/>
      <c r="D12" s="53"/>
      <c r="E12" s="53"/>
      <c r="F12" s="53" t="s">
        <v>534</v>
      </c>
      <c r="G12" s="53" t="s">
        <v>535</v>
      </c>
      <c r="H12" s="53" t="s">
        <v>535</v>
      </c>
      <c r="I12" s="53" t="s">
        <v>535</v>
      </c>
      <c r="J12" s="53" t="s">
        <v>536</v>
      </c>
    </row>
    <row r="13" spans="1:10" x14ac:dyDescent="0.3">
      <c r="B13" s="52">
        <f t="shared" si="0"/>
        <v>7</v>
      </c>
      <c r="C13" s="52" t="s">
        <v>539</v>
      </c>
      <c r="D13" s="53" t="s">
        <v>537</v>
      </c>
      <c r="E13" s="53" t="s">
        <v>531</v>
      </c>
      <c r="F13" s="53" t="s">
        <v>533</v>
      </c>
      <c r="G13" s="53" t="s">
        <v>535</v>
      </c>
      <c r="H13" s="53" t="s">
        <v>535</v>
      </c>
      <c r="I13" s="53" t="s">
        <v>535</v>
      </c>
      <c r="J13" s="53" t="s">
        <v>536</v>
      </c>
    </row>
    <row r="14" spans="1:10" x14ac:dyDescent="0.3">
      <c r="B14" s="52">
        <f t="shared" si="0"/>
        <v>8</v>
      </c>
      <c r="C14" s="52"/>
      <c r="D14" s="53"/>
      <c r="E14" s="53"/>
      <c r="F14" s="53" t="s">
        <v>534</v>
      </c>
      <c r="G14" s="53" t="s">
        <v>535</v>
      </c>
      <c r="H14" s="53" t="s">
        <v>535</v>
      </c>
      <c r="I14" s="53" t="s">
        <v>535</v>
      </c>
      <c r="J14" s="53" t="s">
        <v>536</v>
      </c>
    </row>
    <row r="15" spans="1:10" x14ac:dyDescent="0.3">
      <c r="B15" s="52">
        <f t="shared" si="0"/>
        <v>9</v>
      </c>
      <c r="C15" s="52" t="s">
        <v>557</v>
      </c>
      <c r="D15" s="53" t="s">
        <v>537</v>
      </c>
      <c r="E15" s="53" t="s">
        <v>549</v>
      </c>
      <c r="F15" s="53" t="s">
        <v>533</v>
      </c>
      <c r="G15" s="53" t="s">
        <v>535</v>
      </c>
      <c r="H15" s="53" t="s">
        <v>535</v>
      </c>
      <c r="I15" s="53" t="s">
        <v>535</v>
      </c>
      <c r="J15" s="53" t="s">
        <v>536</v>
      </c>
    </row>
    <row r="16" spans="1:10" x14ac:dyDescent="0.3">
      <c r="B16" s="52">
        <f t="shared" si="0"/>
        <v>10</v>
      </c>
      <c r="C16" s="52"/>
      <c r="D16" s="53"/>
      <c r="E16" s="53"/>
      <c r="F16" s="53" t="s">
        <v>534</v>
      </c>
      <c r="G16" s="53" t="s">
        <v>535</v>
      </c>
      <c r="H16" s="53" t="s">
        <v>535</v>
      </c>
      <c r="I16" s="53" t="s">
        <v>535</v>
      </c>
      <c r="J16" s="53" t="s">
        <v>536</v>
      </c>
    </row>
    <row r="17" spans="2:10" x14ac:dyDescent="0.3">
      <c r="B17" s="52">
        <f t="shared" si="0"/>
        <v>11</v>
      </c>
      <c r="C17" s="52" t="s">
        <v>558</v>
      </c>
      <c r="D17" s="53" t="s">
        <v>537</v>
      </c>
      <c r="E17" s="53" t="s">
        <v>552</v>
      </c>
      <c r="F17" s="53" t="s">
        <v>533</v>
      </c>
      <c r="G17" s="53" t="s">
        <v>535</v>
      </c>
      <c r="H17" s="53" t="s">
        <v>535</v>
      </c>
      <c r="I17" s="53" t="s">
        <v>535</v>
      </c>
      <c r="J17" s="53" t="s">
        <v>536</v>
      </c>
    </row>
    <row r="18" spans="2:10" x14ac:dyDescent="0.3">
      <c r="B18" s="52">
        <f t="shared" si="0"/>
        <v>12</v>
      </c>
      <c r="C18" s="52"/>
      <c r="D18" s="53"/>
      <c r="E18" s="53"/>
      <c r="F18" s="53" t="s">
        <v>534</v>
      </c>
      <c r="G18" s="53" t="s">
        <v>535</v>
      </c>
      <c r="H18" s="53" t="s">
        <v>535</v>
      </c>
      <c r="I18" s="53" t="s">
        <v>535</v>
      </c>
      <c r="J18" s="53" t="s">
        <v>536</v>
      </c>
    </row>
  </sheetData>
  <sheetProtection insertRows="0" deleteRows="0" sort="0" autoFilter="0"/>
  <mergeCells count="3">
    <mergeCell ref="B4:B6"/>
    <mergeCell ref="D4:J4"/>
    <mergeCell ref="C4:C6"/>
  </mergeCells>
  <phoneticPr fontId="15"/>
  <hyperlinks>
    <hyperlink ref="A3" location="パラメータ設定一覧!A1" display="パラメータ設定一覧へ" xr:uid="{00FCAAF8-72AC-4EE0-9032-87611F86378E}"/>
  </hyperlink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3B70-FB16-4A30-BBFC-F0F07479BE7A}">
  <dimension ref="A1:D16"/>
  <sheetViews>
    <sheetView showGridLines="0" zoomScaleNormal="100" workbookViewId="0">
      <pane ySplit="6" topLeftCell="A7" activePane="bottomLeft" state="frozen"/>
      <selection pane="bottomLeft" activeCell="D10" sqref="D10"/>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4" width="17.78515625" style="26" customWidth="1"/>
    <col min="5" max="16384" width="8.78515625" style="26"/>
  </cols>
  <sheetData>
    <row r="1" spans="1:4" customFormat="1" ht="19.5" x14ac:dyDescent="0.35">
      <c r="A1" s="23" t="s">
        <v>206</v>
      </c>
    </row>
    <row r="2" spans="1:4" customFormat="1" ht="15" x14ac:dyDescent="0.35"/>
    <row r="3" spans="1:4" customFormat="1" ht="15" x14ac:dyDescent="0.35">
      <c r="A3" s="6" t="s">
        <v>49</v>
      </c>
    </row>
    <row r="4" spans="1:4" x14ac:dyDescent="0.35">
      <c r="B4" s="151" t="s">
        <v>6</v>
      </c>
      <c r="C4" s="156" t="s">
        <v>389</v>
      </c>
      <c r="D4" s="157"/>
    </row>
    <row r="5" spans="1:4" ht="28.75" customHeight="1" x14ac:dyDescent="0.35">
      <c r="B5" s="151"/>
      <c r="C5" s="83" t="s">
        <v>333</v>
      </c>
      <c r="D5" s="83" t="s">
        <v>334</v>
      </c>
    </row>
    <row r="6" spans="1:4" ht="43.4" customHeight="1" x14ac:dyDescent="0.35">
      <c r="B6" s="151"/>
      <c r="C6" s="3"/>
      <c r="D6" s="4"/>
    </row>
    <row r="7" spans="1:4" x14ac:dyDescent="0.3">
      <c r="B7" s="52">
        <f>ROW()-6</f>
        <v>1</v>
      </c>
      <c r="C7" s="24"/>
      <c r="D7" s="53"/>
    </row>
    <row r="8" spans="1:4" x14ac:dyDescent="0.3">
      <c r="B8" s="52">
        <f t="shared" ref="B8:B16" si="0">ROW()-6</f>
        <v>2</v>
      </c>
      <c r="C8" s="24"/>
      <c r="D8" s="53"/>
    </row>
    <row r="9" spans="1:4" x14ac:dyDescent="0.3">
      <c r="B9" s="52">
        <f t="shared" si="0"/>
        <v>3</v>
      </c>
      <c r="C9" s="24"/>
      <c r="D9" s="53"/>
    </row>
    <row r="10" spans="1:4" x14ac:dyDescent="0.3">
      <c r="B10" s="52">
        <f t="shared" si="0"/>
        <v>4</v>
      </c>
      <c r="C10" s="24"/>
      <c r="D10" s="53"/>
    </row>
    <row r="11" spans="1:4" x14ac:dyDescent="0.3">
      <c r="B11" s="52">
        <f t="shared" si="0"/>
        <v>5</v>
      </c>
      <c r="C11" s="24"/>
      <c r="D11" s="53"/>
    </row>
    <row r="12" spans="1:4" x14ac:dyDescent="0.3">
      <c r="B12" s="52">
        <f t="shared" si="0"/>
        <v>6</v>
      </c>
      <c r="C12" s="24"/>
      <c r="D12" s="53"/>
    </row>
    <row r="13" spans="1:4" x14ac:dyDescent="0.3">
      <c r="B13" s="52">
        <f t="shared" si="0"/>
        <v>7</v>
      </c>
      <c r="C13" s="24"/>
      <c r="D13" s="53"/>
    </row>
    <row r="14" spans="1:4" x14ac:dyDescent="0.3">
      <c r="B14" s="52">
        <f t="shared" si="0"/>
        <v>8</v>
      </c>
      <c r="C14" s="24"/>
      <c r="D14" s="53"/>
    </row>
    <row r="15" spans="1:4" x14ac:dyDescent="0.3">
      <c r="B15" s="52">
        <f t="shared" si="0"/>
        <v>9</v>
      </c>
      <c r="C15" s="24"/>
      <c r="D15" s="53"/>
    </row>
    <row r="16" spans="1:4" x14ac:dyDescent="0.3">
      <c r="B16" s="52">
        <f t="shared" si="0"/>
        <v>10</v>
      </c>
      <c r="C16" s="24"/>
      <c r="D16" s="53"/>
    </row>
  </sheetData>
  <sheetProtection insertRows="0" deleteRows="0" sort="0" autoFilter="0"/>
  <mergeCells count="2">
    <mergeCell ref="B4:B6"/>
    <mergeCell ref="C4:D4"/>
  </mergeCells>
  <phoneticPr fontId="15"/>
  <hyperlinks>
    <hyperlink ref="A3" location="パラメータ設定一覧!A1" display="パラメータ設定一覧へ" xr:uid="{43D0665E-F75A-41EF-90A5-39A649E51A32}"/>
  </hyperlinks>
  <pageMargins left="0.7" right="0.7" top="0.75" bottom="0.75" header="0.3" footer="0.3"/>
  <pageSetup paperSize="9" orientation="portrait" verticalDpi="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A332-5626-41E6-A5E2-79DB2F989748}">
  <dimension ref="A1:F16"/>
  <sheetViews>
    <sheetView showGridLines="0" zoomScaleNormal="100" workbookViewId="0">
      <pane ySplit="6" topLeftCell="A7" activePane="bottomLeft" state="frozen"/>
      <selection pane="bottomLeft" activeCell="D14" sqref="D14"/>
    </sheetView>
  </sheetViews>
  <sheetFormatPr defaultColWidth="8.78515625" defaultRowHeight="13.5" x14ac:dyDescent="0.35"/>
  <cols>
    <col min="1" max="1" width="2.78515625" style="26" customWidth="1"/>
    <col min="2" max="2" width="6.640625" style="26" bestFit="1" customWidth="1"/>
    <col min="3" max="3" width="26.2109375" style="26" bestFit="1" customWidth="1"/>
    <col min="4" max="6" width="17.78515625" style="26" customWidth="1"/>
    <col min="7" max="16384" width="8.78515625" style="26"/>
  </cols>
  <sheetData>
    <row r="1" spans="1:6" customFormat="1" ht="19.5" x14ac:dyDescent="0.35">
      <c r="A1" s="23" t="s">
        <v>390</v>
      </c>
    </row>
    <row r="2" spans="1:6" customFormat="1" ht="15" x14ac:dyDescent="0.35"/>
    <row r="3" spans="1:6" customFormat="1" ht="15" x14ac:dyDescent="0.35">
      <c r="A3" s="6" t="s">
        <v>49</v>
      </c>
    </row>
    <row r="4" spans="1:6" x14ac:dyDescent="0.35">
      <c r="B4" s="151" t="s">
        <v>6</v>
      </c>
      <c r="C4" s="156" t="s">
        <v>319</v>
      </c>
      <c r="D4" s="159"/>
      <c r="E4" s="159"/>
      <c r="F4" s="157"/>
    </row>
    <row r="5" spans="1:6" ht="28.75" customHeight="1" x14ac:dyDescent="0.35">
      <c r="B5" s="151"/>
      <c r="C5" s="83" t="s">
        <v>319</v>
      </c>
      <c r="D5" s="83" t="s">
        <v>34</v>
      </c>
      <c r="E5" s="83" t="s">
        <v>335</v>
      </c>
      <c r="F5" s="83" t="s">
        <v>336</v>
      </c>
    </row>
    <row r="6" spans="1:6" ht="43.4" customHeight="1" x14ac:dyDescent="0.35">
      <c r="B6" s="151"/>
      <c r="C6" s="3" t="s">
        <v>30</v>
      </c>
      <c r="D6" s="4" t="s">
        <v>30</v>
      </c>
      <c r="E6" s="4" t="s">
        <v>350</v>
      </c>
      <c r="F6" s="4" t="s">
        <v>350</v>
      </c>
    </row>
    <row r="7" spans="1:6" x14ac:dyDescent="0.3">
      <c r="B7" s="52">
        <f>ROW()-6</f>
        <v>1</v>
      </c>
      <c r="C7" s="24"/>
      <c r="D7" s="53"/>
      <c r="E7" s="53"/>
      <c r="F7" s="53"/>
    </row>
    <row r="8" spans="1:6" x14ac:dyDescent="0.3">
      <c r="B8" s="52">
        <f t="shared" ref="B8:B16" si="0">ROW()-6</f>
        <v>2</v>
      </c>
      <c r="C8" s="24"/>
      <c r="D8" s="53"/>
      <c r="E8" s="53"/>
      <c r="F8" s="53"/>
    </row>
    <row r="9" spans="1:6" x14ac:dyDescent="0.3">
      <c r="B9" s="52">
        <f t="shared" si="0"/>
        <v>3</v>
      </c>
      <c r="C9" s="24"/>
      <c r="D9" s="53"/>
      <c r="E9" s="53"/>
      <c r="F9" s="53"/>
    </row>
    <row r="10" spans="1:6" x14ac:dyDescent="0.3">
      <c r="B10" s="52">
        <f t="shared" si="0"/>
        <v>4</v>
      </c>
      <c r="C10" s="24"/>
      <c r="D10" s="53"/>
      <c r="E10" s="53"/>
      <c r="F10" s="53"/>
    </row>
    <row r="11" spans="1:6" x14ac:dyDescent="0.3">
      <c r="B11" s="52">
        <f t="shared" si="0"/>
        <v>5</v>
      </c>
      <c r="C11" s="24"/>
      <c r="D11" s="53"/>
      <c r="E11" s="53"/>
      <c r="F11" s="53"/>
    </row>
    <row r="12" spans="1:6" x14ac:dyDescent="0.3">
      <c r="B12" s="52">
        <f t="shared" si="0"/>
        <v>6</v>
      </c>
      <c r="C12" s="24"/>
      <c r="D12" s="53"/>
      <c r="E12" s="53"/>
      <c r="F12" s="53"/>
    </row>
    <row r="13" spans="1:6" x14ac:dyDescent="0.3">
      <c r="B13" s="52">
        <f t="shared" si="0"/>
        <v>7</v>
      </c>
      <c r="C13" s="24"/>
      <c r="D13" s="53"/>
      <c r="E13" s="53"/>
      <c r="F13" s="53"/>
    </row>
    <row r="14" spans="1:6" x14ac:dyDescent="0.3">
      <c r="B14" s="52">
        <f t="shared" si="0"/>
        <v>8</v>
      </c>
      <c r="C14" s="24"/>
      <c r="D14" s="53"/>
      <c r="E14" s="53"/>
      <c r="F14" s="53"/>
    </row>
    <row r="15" spans="1:6" x14ac:dyDescent="0.3">
      <c r="B15" s="52">
        <f t="shared" si="0"/>
        <v>9</v>
      </c>
      <c r="C15" s="24"/>
      <c r="D15" s="53"/>
      <c r="E15" s="53"/>
      <c r="F15" s="53"/>
    </row>
    <row r="16" spans="1:6" x14ac:dyDescent="0.3">
      <c r="B16" s="52">
        <f t="shared" si="0"/>
        <v>10</v>
      </c>
      <c r="C16" s="24"/>
      <c r="D16" s="53"/>
      <c r="E16" s="53"/>
      <c r="F16" s="53"/>
    </row>
  </sheetData>
  <sheetProtection insertRows="0" deleteRows="0" sort="0" autoFilter="0"/>
  <mergeCells count="2">
    <mergeCell ref="B4:B6"/>
    <mergeCell ref="C4:F4"/>
  </mergeCells>
  <phoneticPr fontId="15"/>
  <hyperlinks>
    <hyperlink ref="A3" location="パラメータ設定一覧!A1" display="パラメータ設定一覧へ" xr:uid="{70667B65-60F9-4458-A375-C669F3931288}"/>
  </hyperlink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1f1f8a3f-673e-4aee-b429-7a8185133956"/>
    <ds:schemaRef ds:uri="http://schemas.openxmlformats.org/package/2006/metadata/core-properties"/>
    <ds:schemaRef ds:uri="http://www.w3.org/XML/1998/namespace"/>
    <ds:schemaRef ds:uri="http://schemas.microsoft.com/office/2006/documentManagement/types"/>
    <ds:schemaRef ds:uri="http://purl.org/dc/elements/1.1/"/>
    <ds:schemaRef ds:uri="http://schemas.microsoft.com/office/2006/metadata/properties"/>
    <ds:schemaRef ds:uri="http://schemas.microsoft.com/office/infopath/2007/PartnerControls"/>
    <ds:schemaRef ds:uri="1df7edc7-a6f5-4c90-ac32-5bbbd499fd6a"/>
    <ds:schemaRef ds:uri="http://purl.org/dc/dcmitype/"/>
    <ds:schemaRef ds:uri="http://purl.org/dc/terms/"/>
  </ds:schemaRefs>
</ds:datastoreItem>
</file>

<file path=customXml/itemProps2.xml><?xml version="1.0" encoding="utf-8"?>
<ds:datastoreItem xmlns:ds="http://schemas.openxmlformats.org/officeDocument/2006/customXml" ds:itemID="{E9D429E6-11C5-4DFF-A884-EAD8E002A8D1}"/>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32</vt:i4>
      </vt:variant>
      <vt:variant>
        <vt:lpstr>名前付き一覧</vt:lpstr>
      </vt:variant>
      <vt:variant>
        <vt:i4>1</vt:i4>
      </vt:variant>
    </vt:vector>
  </HeadingPairs>
  <TitlesOfParts>
    <vt:vector size="33" baseType="lpstr">
      <vt:lpstr>表紙</vt:lpstr>
      <vt:lpstr>パラメータ設定一覧</vt:lpstr>
      <vt:lpstr>予算作成パラメーター</vt:lpstr>
      <vt:lpstr>予算作成パラメーター-番号順序</vt:lpstr>
      <vt:lpstr>予算作成ワークフロー</vt:lpstr>
      <vt:lpstr>予算作成ワークフロー-設定値</vt:lpstr>
      <vt:lpstr>予算作成の分析コード</vt:lpstr>
      <vt:lpstr>予算作成の分析コード-設定値</vt:lpstr>
      <vt:lpstr>予算モデル</vt:lpstr>
      <vt:lpstr>予算モデル-設定値</vt:lpstr>
      <vt:lpstr>予算モデル(下位モデル)-設定値</vt:lpstr>
      <vt:lpstr>予算コード</vt:lpstr>
      <vt:lpstr>予算コード-設定値 </vt:lpstr>
      <vt:lpstr>予算サイクル</vt:lpstr>
      <vt:lpstr>予算サイクル(概要)-設定値</vt:lpstr>
      <vt:lpstr>予算サイクル(予算サイクル)-設定値</vt:lpstr>
      <vt:lpstr>予算計画のコンフィギュレーション</vt:lpstr>
      <vt:lpstr>予算計画シナリオ-設定値</vt:lpstr>
      <vt:lpstr>予算計画ステージ-設定値</vt:lpstr>
      <vt:lpstr>予算計画ワークフロー ステージ-設定値</vt:lpstr>
      <vt:lpstr>配賦スケジュール-設定値</vt:lpstr>
      <vt:lpstr>ステージの配賦-設定値</vt:lpstr>
      <vt:lpstr>予算計画の優先順位-設定値</vt:lpstr>
      <vt:lpstr>予算計画列-設定値</vt:lpstr>
      <vt:lpstr>予算計画レイアウト-設定値</vt:lpstr>
      <vt:lpstr>予算計画レイアウト要素-設定値</vt:lpstr>
      <vt:lpstr>予算計画プロセス</vt:lpstr>
      <vt:lpstr>予算計画プロセス-設定値</vt:lpstr>
      <vt:lpstr>予算計画プロセス管理-設定値</vt:lpstr>
      <vt:lpstr>予算計画のステージ ルールとレイアウト-設定値</vt:lpstr>
      <vt:lpstr>予算計画優先順位と制約-設定値</vt:lpstr>
      <vt:lpstr>マイルストーン-設定値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2025-04-23T11:12:26Z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