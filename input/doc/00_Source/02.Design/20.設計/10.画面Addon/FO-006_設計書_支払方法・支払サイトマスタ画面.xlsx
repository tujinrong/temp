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fileSharing readOnlyRecommended="1"/>
  <workbookPr/>
  <mc:AlternateContent xmlns:mc="http://schemas.openxmlformats.org/markup-compatibility/2006">
    <mc:Choice Requires="x15">
      <x15ac:absPath xmlns:x15ac="http://schemas.microsoft.com/office/spreadsheetml/2010/11/ac" url="https://jbsbpos1.sharepoint.com/sites/Guest-FPT_/Shared Documents/General/03.設計 (Design)/02.基本設計書 (Basic Design)/"/>
    </mc:Choice>
  </mc:AlternateContent>
  <xr:revisionPtr revIDLastSave="2971" documentId="8_{0DF7052B-314D-4188-8A63-BFAF62493BC1}" xr6:coauthVersionLast="47" xr6:coauthVersionMax="47" xr10:uidLastSave="{40B12BC7-F72F-416A-8D8E-A13DC8074881}"/>
  <bookViews>
    <workbookView xWindow="-110" yWindow="-110" windowWidth="22780" windowHeight="14540" tabRatio="841" activeTab="7" xr2:uid="{00000000-000D-0000-FFFF-FFFF00000000}"/>
  </bookViews>
  <sheets>
    <sheet name="表紙" sheetId="21" r:id="rId1"/>
    <sheet name="変更履歴" sheetId="30" r:id="rId2"/>
    <sheet name="処理概要" sheetId="5" r:id="rId3"/>
    <sheet name="テーブル一覧" sheetId="23" r:id="rId4"/>
    <sheet name="DFD" sheetId="4" r:id="rId5"/>
    <sheet name="イベント説明" sheetId="8" r:id="rId6"/>
    <sheet name="画面レイアウト" sheetId="9" r:id="rId7"/>
    <sheet name="画面項目説明" sheetId="11" r:id="rId8"/>
    <sheet name="帳票レイアウト" sheetId="32" state="hidden" r:id="rId9"/>
    <sheet name="帳票出力仕様" sheetId="35" state="hidden" r:id="rId10"/>
    <sheet name="ファイルレイアウト" sheetId="34" state="hidden" r:id="rId11"/>
    <sheet name="テーブル出力仕様" sheetId="19" r:id="rId12"/>
    <sheet name="補足説明 " sheetId="36" r:id="rId13"/>
    <sheet name="補足説明  (メッセージ)" sheetId="38" state="hidden" r:id="rId14"/>
    <sheet name="補足説明(機能関連図) " sheetId="37" r:id="rId15"/>
    <sheet name="補足説明（２）" sheetId="17" state="hidden" r:id="rId16"/>
    <sheet name="レビュー指摘事項" sheetId="31" r:id="rId17"/>
    <sheet name="オブジェクト一覧" sheetId="27" r:id="rId18"/>
    <sheet name="プログラムフロー図" sheetId="29" r:id="rId19"/>
    <sheet name="マスタ" sheetId="20" state="hidden" r:id="rId20"/>
  </sheets>
  <definedNames>
    <definedName name="_Fill" localSheetId="16" hidden="1">#REF!</definedName>
    <definedName name="_Fill" localSheetId="9" hidden="1">#REF!</definedName>
    <definedName name="_Fill" localSheetId="1" hidden="1">#REF!</definedName>
    <definedName name="_Fill" localSheetId="14" hidden="1">#REF!</definedName>
    <definedName name="_Fill" hidden="1">#REF!</definedName>
    <definedName name="_xlnm._FilterDatabase" localSheetId="10" hidden="1">ファイルレイアウト!$A$8:$BJ$24</definedName>
    <definedName name="AS2DocOpenMode" hidden="1">"AS2DocumentEdit"</definedName>
    <definedName name="bbb" localSheetId="9" hidden="1">#REF!</definedName>
    <definedName name="bbb" localSheetId="14" hidden="1">#REF!</definedName>
    <definedName name="bbb" hidden="1">#REF!</definedName>
    <definedName name="HTML_CodePage" hidden="1">932</definedName>
    <definedName name="HTML_Control" localSheetId="10" hidden="1">{"'分担ﾙｰﾙ'!$A$1:$M$72","'分担ﾙｰﾙ'!$A$19:$M$71"}</definedName>
    <definedName name="HTML_Control" localSheetId="16" hidden="1">{"'分担ﾙｰﾙ'!$A$1:$M$72","'分担ﾙｰﾙ'!$A$19:$M$71"}</definedName>
    <definedName name="HTML_Control" localSheetId="8" hidden="1">{"'分担ﾙｰﾙ'!$A$1:$M$72","'分担ﾙｰﾙ'!$A$19:$M$71"}</definedName>
    <definedName name="HTML_Control" localSheetId="9" hidden="1">{"'分担ﾙｰﾙ'!$A$1:$M$72","'分担ﾙｰﾙ'!$A$19:$M$71"}</definedName>
    <definedName name="HTML_Control" localSheetId="0" hidden="1">{"'分担ﾙｰﾙ'!$A$1:$M$72","'分担ﾙｰﾙ'!$A$19:$M$71"}</definedName>
    <definedName name="HTML_Control" localSheetId="1" hidden="1">{"'分担ﾙｰﾙ'!$A$1:$M$72","'分担ﾙｰﾙ'!$A$19:$M$71"}</definedName>
    <definedName name="HTML_Control" localSheetId="14" hidden="1">{"'分担ﾙｰﾙ'!$A$1:$M$72","'分担ﾙｰﾙ'!$A$19:$M$71"}</definedName>
    <definedName name="HTML_Control" hidden="1">{"'分担ﾙｰﾙ'!$A$1:$M$72","'分担ﾙｰﾙ'!$A$19:$M$71"}</definedName>
    <definedName name="HTML_Control1" localSheetId="10" hidden="1">{"'分担ﾙｰﾙ'!$A$1:$M$72","'分担ﾙｰﾙ'!$A$19:$M$71"}</definedName>
    <definedName name="HTML_Control1" localSheetId="16" hidden="1">{"'分担ﾙｰﾙ'!$A$1:$M$72","'分担ﾙｰﾙ'!$A$19:$M$71"}</definedName>
    <definedName name="HTML_Control1" localSheetId="8" hidden="1">{"'分担ﾙｰﾙ'!$A$1:$M$72","'分担ﾙｰﾙ'!$A$19:$M$71"}</definedName>
    <definedName name="HTML_Control1" localSheetId="9" hidden="1">{"'分担ﾙｰﾙ'!$A$1:$M$72","'分担ﾙｰﾙ'!$A$19:$M$71"}</definedName>
    <definedName name="HTML_Control1" localSheetId="0" hidden="1">{"'分担ﾙｰﾙ'!$A$1:$M$72","'分担ﾙｰﾙ'!$A$19:$M$71"}</definedName>
    <definedName name="HTML_Control1" localSheetId="1" hidden="1">{"'分担ﾙｰﾙ'!$A$1:$M$72","'分担ﾙｰﾙ'!$A$19:$M$71"}</definedName>
    <definedName name="HTML_Control1" localSheetId="14" hidden="1">{"'分担ﾙｰﾙ'!$A$1:$M$72","'分担ﾙｰﾙ'!$A$19:$M$71"}</definedName>
    <definedName name="HTML_Control1" hidden="1">{"'分担ﾙｰﾙ'!$A$1:$M$72","'分担ﾙｰﾙ'!$A$19:$M$71"}</definedName>
    <definedName name="HTML_Description" hidden="1">""</definedName>
    <definedName name="HTML_Email" hidden="1">""</definedName>
    <definedName name="HTML_Header" hidden="1">"開閉栓作業分担ﾙｰﾙ"</definedName>
    <definedName name="HTML_LastUpdate" hidden="1">"00/01/05"</definedName>
    <definedName name="HTML_LineAfter" hidden="1">TRUE</definedName>
    <definedName name="HTML_LineBefore" hidden="1">TRUE</definedName>
    <definedName name="HTML_Name" hidden="1">"東京ガス株式会社"</definedName>
    <definedName name="HTML_OBDlg2" hidden="1">TRUE</definedName>
    <definedName name="HTML_OBDlg4" hidden="1">TRUE</definedName>
    <definedName name="HTML_OS" hidden="1">0</definedName>
    <definedName name="HTML_PathFile" hidden="1">"H:\F305\ｲﾝﾄﾗ\okyakusa\Content\thanksqanda\manual\khrule.htm"</definedName>
    <definedName name="HTML_Title" hidden="1">"開閉ﾙｰﾙ"</definedName>
    <definedName name="io">マスタ!$A$3:$A$5</definedName>
    <definedName name="_xlnm.Print_Area" localSheetId="4">DFD!$A$1:$BI$26</definedName>
    <definedName name="Visivility">マスタ!$F$3:$F$4</definedName>
    <definedName name="あああ" localSheetId="10" hidden="1">#REF!</definedName>
    <definedName name="あああ" localSheetId="16" hidden="1">#REF!</definedName>
    <definedName name="あああ" localSheetId="8" hidden="1">#REF!</definedName>
    <definedName name="あああ" localSheetId="9" hidden="1">#REF!</definedName>
    <definedName name="あああ" localSheetId="1" hidden="1">#REF!</definedName>
    <definedName name="あああ" localSheetId="14" hidden="1">#REF!</definedName>
    <definedName name="あああ" hidden="1">#REF!</definedName>
    <definedName name="えええ" localSheetId="10" hidden="1">{"'9.項目'!$B$5:$AW$60"}</definedName>
    <definedName name="えええ" localSheetId="16" hidden="1">{"'9.項目'!$B$5:$AW$60"}</definedName>
    <definedName name="えええ" localSheetId="8" hidden="1">{"'9.項目'!$B$5:$AW$60"}</definedName>
    <definedName name="えええ" localSheetId="9" hidden="1">{"'9.項目'!$B$5:$AW$60"}</definedName>
    <definedName name="えええ" localSheetId="0" hidden="1">{"'9.項目'!$B$5:$AW$60"}</definedName>
    <definedName name="えええ" localSheetId="1" hidden="1">{"'9.項目'!$B$5:$AW$60"}</definedName>
    <definedName name="えええ" localSheetId="14" hidden="1">{"'9.項目'!$B$5:$AW$60"}</definedName>
    <definedName name="えええ" hidden="1">{"'9.項目'!$B$5:$AW$60"}</definedName>
    <definedName name="オブジェクト">マスタ!$H$7:$H$20</definedName>
    <definedName name="オブジェクト一覧">マスタ!$H$3:$H$20</definedName>
    <definedName name="テーブル種別">マスタ!$G$3:$G$4</definedName>
    <definedName name="マスタ">マスタ!$H$3:$H$20</definedName>
    <definedName name="横位置">マスタ!$C$3:$C$6</definedName>
    <definedName name="作成日">DATE(2000,3,21)</definedName>
    <definedName name="縦位置">マスタ!$D$3:$D$6</definedName>
    <definedName name="書式">マスタ!$B$3:$B$5</definedName>
    <definedName name="折り返して全体を表示する">マスタ!$E$3:$E$4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" i="8" l="1"/>
  <c r="Q1" i="8"/>
  <c r="W1" i="8"/>
  <c r="AE1" i="8"/>
  <c r="AT1" i="8"/>
  <c r="BB1" i="8"/>
  <c r="F2" i="8"/>
  <c r="Q2" i="8"/>
  <c r="W2" i="8"/>
  <c r="AE2" i="8"/>
  <c r="AT2" i="8"/>
  <c r="AV2" i="8"/>
  <c r="BB2" i="8"/>
  <c r="AT3" i="8"/>
  <c r="AT3" i="38" l="1"/>
  <c r="BB2" i="38"/>
  <c r="AV2" i="38"/>
  <c r="AT2" i="38"/>
  <c r="AE2" i="38"/>
  <c r="W2" i="38"/>
  <c r="Q2" i="38"/>
  <c r="F2" i="38"/>
  <c r="BB1" i="38"/>
  <c r="AT1" i="38"/>
  <c r="AE1" i="38"/>
  <c r="W1" i="38"/>
  <c r="Q1" i="38"/>
  <c r="F1" i="38"/>
  <c r="AT3" i="37" l="1"/>
  <c r="BB2" i="37"/>
  <c r="AV2" i="37"/>
  <c r="AT2" i="37"/>
  <c r="AE2" i="37"/>
  <c r="W2" i="37"/>
  <c r="Q2" i="37"/>
  <c r="F2" i="37"/>
  <c r="BB1" i="37"/>
  <c r="AT1" i="37"/>
  <c r="AE1" i="37"/>
  <c r="W1" i="37"/>
  <c r="Q1" i="37"/>
  <c r="F1" i="37"/>
  <c r="Q2" i="5"/>
  <c r="AT3" i="36"/>
  <c r="BB2" i="36"/>
  <c r="AV2" i="36"/>
  <c r="AT2" i="36"/>
  <c r="AE2" i="36"/>
  <c r="W2" i="36"/>
  <c r="Q2" i="36"/>
  <c r="F2" i="36"/>
  <c r="BB1" i="36"/>
  <c r="AT1" i="36"/>
  <c r="AE1" i="36"/>
  <c r="W1" i="36"/>
  <c r="Q1" i="36"/>
  <c r="F1" i="36"/>
  <c r="AE2" i="5"/>
  <c r="AE2" i="19"/>
  <c r="F31" i="21"/>
  <c r="B14" i="21"/>
  <c r="AT3" i="35"/>
  <c r="AT2" i="35"/>
  <c r="AE2" i="35"/>
  <c r="W2" i="35"/>
  <c r="Q2" i="35"/>
  <c r="F2" i="35"/>
  <c r="BB1" i="35"/>
  <c r="AT1" i="35"/>
  <c r="AE1" i="35"/>
  <c r="W1" i="35"/>
  <c r="Q1" i="35"/>
  <c r="F1" i="35"/>
  <c r="H52" i="35"/>
  <c r="H51" i="35"/>
  <c r="H50" i="35"/>
  <c r="H49" i="35"/>
  <c r="H48" i="35"/>
  <c r="H47" i="35"/>
  <c r="H46" i="35"/>
  <c r="H45" i="35"/>
  <c r="H44" i="35"/>
  <c r="H43" i="35"/>
  <c r="H42" i="35"/>
  <c r="H41" i="35"/>
  <c r="H40" i="35"/>
  <c r="H39" i="35"/>
  <c r="H38" i="35"/>
  <c r="H37" i="35"/>
  <c r="H36" i="35"/>
  <c r="H35" i="35"/>
  <c r="H34" i="35"/>
  <c r="H33" i="35"/>
  <c r="H32" i="35"/>
  <c r="H31" i="35"/>
  <c r="H30" i="35"/>
  <c r="H29" i="35"/>
  <c r="H28" i="35"/>
  <c r="H27" i="35"/>
  <c r="H26" i="35"/>
  <c r="H25" i="35"/>
  <c r="H24" i="35"/>
  <c r="H23" i="35"/>
  <c r="H22" i="35"/>
  <c r="H21" i="35"/>
  <c r="H20" i="35"/>
  <c r="H19" i="35"/>
  <c r="H18" i="35"/>
  <c r="H17" i="35"/>
  <c r="H16" i="35"/>
  <c r="H15" i="35"/>
  <c r="H14" i="35"/>
  <c r="H13" i="35"/>
  <c r="H12" i="35"/>
  <c r="H11" i="35"/>
  <c r="H10" i="35"/>
  <c r="H9" i="35"/>
  <c r="H8" i="35"/>
  <c r="AT3" i="19"/>
  <c r="AT2" i="19"/>
  <c r="W2" i="19"/>
  <c r="Q2" i="19"/>
  <c r="BB1" i="19"/>
  <c r="AT1" i="19"/>
  <c r="AE1" i="19"/>
  <c r="W1" i="19"/>
  <c r="Q1" i="19"/>
  <c r="F1" i="19"/>
  <c r="AT3" i="34"/>
  <c r="AT2" i="34"/>
  <c r="AE2" i="34"/>
  <c r="W2" i="34"/>
  <c r="Q2" i="34"/>
  <c r="BB1" i="34"/>
  <c r="AT1" i="34"/>
  <c r="AE1" i="34"/>
  <c r="W1" i="34"/>
  <c r="Q1" i="34"/>
  <c r="F1" i="34"/>
  <c r="AT3" i="32"/>
  <c r="AT2" i="32"/>
  <c r="AE2" i="32"/>
  <c r="W2" i="32"/>
  <c r="Q2" i="32"/>
  <c r="BB1" i="32"/>
  <c r="AT1" i="32"/>
  <c r="AE1" i="32"/>
  <c r="W1" i="32"/>
  <c r="Q1" i="32"/>
  <c r="F1" i="32"/>
  <c r="A9" i="34"/>
  <c r="A10" i="34"/>
  <c r="A11" i="34"/>
  <c r="A12" i="34"/>
  <c r="A13" i="34"/>
  <c r="A14" i="34"/>
  <c r="A15" i="34"/>
  <c r="A16" i="34"/>
  <c r="A17" i="34"/>
  <c r="A18" i="34"/>
  <c r="A19" i="34"/>
  <c r="A20" i="34"/>
  <c r="A21" i="34"/>
  <c r="A22" i="34"/>
  <c r="A23" i="34"/>
  <c r="A24" i="34"/>
  <c r="A25" i="34"/>
  <c r="A26" i="34"/>
  <c r="A27" i="34"/>
  <c r="A28" i="34"/>
  <c r="A29" i="34"/>
  <c r="A30" i="34"/>
  <c r="A31" i="34"/>
  <c r="A32" i="34"/>
  <c r="A33" i="34"/>
  <c r="A34" i="34"/>
  <c r="A35" i="34"/>
  <c r="A36" i="34"/>
  <c r="A37" i="34"/>
  <c r="A38" i="34"/>
  <c r="F2" i="32"/>
  <c r="F2" i="34"/>
  <c r="F2" i="19"/>
  <c r="A38" i="27"/>
  <c r="A37" i="27"/>
  <c r="A36" i="27"/>
  <c r="A35" i="27"/>
  <c r="A34" i="27"/>
  <c r="A33" i="27"/>
  <c r="A32" i="27"/>
  <c r="A31" i="27"/>
  <c r="A30" i="27"/>
  <c r="A29" i="27"/>
  <c r="A28" i="27"/>
  <c r="A27" i="27"/>
  <c r="A26" i="27"/>
  <c r="A25" i="27"/>
  <c r="A24" i="27"/>
  <c r="A23" i="27"/>
  <c r="A22" i="27"/>
  <c r="A21" i="27"/>
  <c r="A20" i="27"/>
  <c r="A19" i="27"/>
  <c r="A18" i="27"/>
  <c r="A17" i="27"/>
  <c r="A16" i="27"/>
  <c r="A15" i="27"/>
  <c r="A14" i="27"/>
  <c r="A13" i="27"/>
  <c r="A12" i="27"/>
  <c r="A11" i="27"/>
  <c r="A10" i="27"/>
  <c r="A9" i="27"/>
  <c r="A8" i="27"/>
  <c r="A40" i="19"/>
  <c r="A39" i="19"/>
  <c r="A38" i="19"/>
  <c r="A37" i="19"/>
  <c r="A36" i="19"/>
  <c r="A35" i="19"/>
  <c r="A34" i="19"/>
  <c r="A33" i="19"/>
  <c r="A32" i="19"/>
  <c r="A31" i="19"/>
  <c r="A30" i="19"/>
  <c r="A29" i="19"/>
  <c r="A28" i="19"/>
  <c r="A27" i="19"/>
  <c r="A26" i="19"/>
  <c r="A25" i="19"/>
  <c r="A24" i="19"/>
  <c r="A23" i="19"/>
  <c r="A22" i="19"/>
  <c r="A21" i="19"/>
  <c r="A20" i="19"/>
  <c r="A19" i="19"/>
  <c r="A18" i="19"/>
  <c r="A17" i="19"/>
  <c r="A16" i="19"/>
  <c r="A15" i="19"/>
  <c r="A14" i="19"/>
  <c r="A13" i="19"/>
  <c r="A12" i="19"/>
  <c r="A11" i="19"/>
  <c r="A38" i="23"/>
  <c r="A37" i="23"/>
  <c r="A36" i="23"/>
  <c r="A35" i="23"/>
  <c r="A34" i="23"/>
  <c r="A33" i="23"/>
  <c r="A32" i="23"/>
  <c r="A31" i="23"/>
  <c r="A30" i="23"/>
  <c r="A29" i="23"/>
  <c r="A28" i="23"/>
  <c r="A27" i="23"/>
  <c r="A26" i="23"/>
  <c r="A25" i="23"/>
  <c r="A24" i="23"/>
  <c r="A23" i="23"/>
  <c r="A22" i="23"/>
  <c r="A21" i="23"/>
  <c r="A20" i="23"/>
  <c r="A19" i="23"/>
  <c r="A18" i="23"/>
  <c r="A17" i="23"/>
  <c r="A16" i="23"/>
  <c r="A15" i="23"/>
  <c r="A14" i="23"/>
  <c r="A13" i="23"/>
  <c r="A12" i="23"/>
  <c r="A11" i="23"/>
  <c r="A10" i="23"/>
  <c r="A9" i="23"/>
  <c r="A8" i="23"/>
  <c r="A37" i="31"/>
  <c r="A31" i="31"/>
  <c r="A30" i="31"/>
  <c r="A29" i="31"/>
  <c r="A28" i="31"/>
  <c r="A27" i="31"/>
  <c r="A26" i="31"/>
  <c r="A10" i="19"/>
  <c r="A9" i="19"/>
  <c r="A7" i="31"/>
  <c r="A8" i="31"/>
  <c r="A9" i="31"/>
  <c r="A10" i="31"/>
  <c r="A11" i="31"/>
  <c r="A12" i="31"/>
  <c r="A13" i="31"/>
  <c r="A14" i="31"/>
  <c r="A15" i="31"/>
  <c r="A16" i="31"/>
  <c r="A17" i="31"/>
  <c r="A18" i="31"/>
  <c r="A19" i="31"/>
  <c r="A20" i="31"/>
  <c r="A21" i="31"/>
  <c r="A22" i="31"/>
  <c r="A23" i="31"/>
  <c r="A24" i="31"/>
  <c r="A25" i="31"/>
  <c r="A32" i="31"/>
  <c r="A33" i="31"/>
  <c r="A34" i="31"/>
  <c r="A35" i="31"/>
  <c r="A36" i="31"/>
  <c r="A38" i="31"/>
  <c r="A39" i="31"/>
  <c r="A40" i="31"/>
  <c r="A6" i="31"/>
  <c r="AT3" i="31"/>
  <c r="AT2" i="31"/>
  <c r="AE2" i="31"/>
  <c r="W2" i="31"/>
  <c r="Q2" i="31"/>
  <c r="F2" i="31"/>
  <c r="BB1" i="31"/>
  <c r="AT1" i="31"/>
  <c r="AE1" i="31"/>
  <c r="W1" i="31"/>
  <c r="Q1" i="31"/>
  <c r="F1" i="31"/>
  <c r="AT3" i="29"/>
  <c r="AT2" i="29"/>
  <c r="AE2" i="29"/>
  <c r="W2" i="29"/>
  <c r="Q2" i="29"/>
  <c r="F2" i="29"/>
  <c r="BB1" i="29"/>
  <c r="AT1" i="29"/>
  <c r="AE1" i="29"/>
  <c r="W1" i="29"/>
  <c r="Q1" i="29"/>
  <c r="F1" i="29"/>
  <c r="A7" i="27"/>
  <c r="A6" i="27"/>
  <c r="AT3" i="27"/>
  <c r="AT2" i="27"/>
  <c r="AE2" i="27"/>
  <c r="W2" i="27"/>
  <c r="Q2" i="27"/>
  <c r="F2" i="27"/>
  <c r="BB1" i="27"/>
  <c r="AT1" i="27"/>
  <c r="AE1" i="27"/>
  <c r="W1" i="27"/>
  <c r="Q1" i="27"/>
  <c r="F1" i="27"/>
  <c r="AT3" i="17"/>
  <c r="AT2" i="17"/>
  <c r="AE2" i="17"/>
  <c r="W2" i="17"/>
  <c r="Q2" i="17"/>
  <c r="F2" i="17"/>
  <c r="BB1" i="17"/>
  <c r="AT1" i="17"/>
  <c r="AE1" i="17"/>
  <c r="W1" i="17"/>
  <c r="Q1" i="17"/>
  <c r="F1" i="17"/>
  <c r="AT3" i="11"/>
  <c r="AT2" i="11"/>
  <c r="AE2" i="11"/>
  <c r="W2" i="11"/>
  <c r="Q2" i="11"/>
  <c r="F2" i="11"/>
  <c r="BB1" i="11"/>
  <c r="AT1" i="11"/>
  <c r="AE1" i="11"/>
  <c r="W1" i="11"/>
  <c r="Q1" i="11"/>
  <c r="F1" i="11"/>
  <c r="AT3" i="9"/>
  <c r="AT2" i="9"/>
  <c r="AE2" i="9"/>
  <c r="W2" i="9"/>
  <c r="Q2" i="9"/>
  <c r="F2" i="9"/>
  <c r="BB1" i="9"/>
  <c r="AT1" i="9"/>
  <c r="AE1" i="9"/>
  <c r="W1" i="9"/>
  <c r="Q1" i="9"/>
  <c r="F1" i="9"/>
  <c r="AT3" i="4"/>
  <c r="AT2" i="4"/>
  <c r="AE2" i="4"/>
  <c r="W2" i="4"/>
  <c r="Q2" i="4"/>
  <c r="F2" i="4"/>
  <c r="BB1" i="4"/>
  <c r="AT1" i="4"/>
  <c r="AE1" i="4"/>
  <c r="W1" i="4"/>
  <c r="Q1" i="4"/>
  <c r="F1" i="4"/>
  <c r="AT3" i="23"/>
  <c r="AT2" i="23"/>
  <c r="AE2" i="23"/>
  <c r="W2" i="23"/>
  <c r="F2" i="23"/>
  <c r="BB1" i="23"/>
  <c r="AT1" i="23"/>
  <c r="AE1" i="23"/>
  <c r="W1" i="23"/>
  <c r="Q1" i="23"/>
  <c r="F1" i="23"/>
  <c r="AT3" i="5"/>
  <c r="AT2" i="5"/>
  <c r="BB1" i="5"/>
  <c r="AT1" i="5"/>
  <c r="AE1" i="5"/>
  <c r="W1" i="5"/>
  <c r="Q1" i="5"/>
  <c r="F1" i="5"/>
  <c r="A7" i="23"/>
  <c r="A6" i="23"/>
  <c r="W2" i="5"/>
  <c r="F2" i="5"/>
  <c r="BB2" i="30"/>
  <c r="AV2" i="30"/>
  <c r="BB2" i="35"/>
  <c r="BB2" i="34"/>
  <c r="BB2" i="19"/>
  <c r="BB2" i="32"/>
  <c r="AV2" i="35"/>
  <c r="AV2" i="19"/>
  <c r="AV2" i="32"/>
  <c r="AV2" i="34"/>
  <c r="AV2" i="29"/>
  <c r="AV2" i="31"/>
  <c r="BB2" i="4"/>
  <c r="BB2" i="29"/>
  <c r="BB2" i="31"/>
  <c r="BB2" i="23"/>
  <c r="BB2" i="27"/>
  <c r="BB2" i="11"/>
  <c r="AV2" i="9"/>
  <c r="AV2" i="17"/>
  <c r="F30" i="21"/>
  <c r="AV2" i="11"/>
  <c r="AV2" i="5"/>
  <c r="AV2" i="4"/>
  <c r="AV2" i="23"/>
  <c r="AV2" i="27"/>
  <c r="BB2" i="17"/>
  <c r="BB2" i="5"/>
  <c r="BB2" i="9"/>
  <c r="BB3" i="30" a="1"/>
  <c r="AV3" i="30" a="1"/>
  <c r="B24" i="21"/>
  <c r="B22" i="21"/>
  <c r="BB3" i="30" l="1"/>
  <c r="AV3" i="30"/>
  <c r="AV3" i="38" l="1"/>
  <c r="AV3" i="8"/>
  <c r="BB3" i="38"/>
  <c r="BB3" i="8"/>
  <c r="AV3" i="17"/>
  <c r="AV3" i="5"/>
  <c r="AV3" i="9"/>
  <c r="AV3" i="34"/>
  <c r="AV3" i="11"/>
  <c r="AV3" i="31"/>
  <c r="AV3" i="32"/>
  <c r="AV3" i="36"/>
  <c r="AV3" i="4"/>
  <c r="AV3" i="37"/>
  <c r="AV3" i="27"/>
  <c r="AV3" i="29"/>
  <c r="AV3" i="19"/>
  <c r="AV3" i="23"/>
  <c r="AV3" i="35"/>
  <c r="BB3" i="19"/>
  <c r="BB3" i="35"/>
  <c r="BB3" i="17"/>
  <c r="BB3" i="5"/>
  <c r="BB3" i="34"/>
  <c r="BB3" i="9"/>
  <c r="BB3" i="11"/>
  <c r="BB3" i="31"/>
  <c r="BB3" i="32"/>
  <c r="BB3" i="36"/>
  <c r="BB3" i="4"/>
  <c r="BB3" i="37"/>
  <c r="BB3" i="27"/>
  <c r="BB3" i="29"/>
  <c r="BB3" i="23"/>
</calcChain>
</file>

<file path=xl/sharedStrings.xml><?xml version="1.0" encoding="utf-8"?>
<sst xmlns="http://schemas.openxmlformats.org/spreadsheetml/2006/main" count="438" uniqueCount="278">
  <si>
    <t>サンスター株式会社　御中</t>
    <rPh sb="5" eb="9">
      <t>カブシキガイシャ</t>
    </rPh>
    <rPh sb="10" eb="12">
      <t>オンチュウ</t>
    </rPh>
    <phoneticPr fontId="2"/>
  </si>
  <si>
    <t>会計システム刷新プロジェクト（LIBRA）</t>
    <rPh sb="0" eb="2">
      <t>カイケイ</t>
    </rPh>
    <rPh sb="6" eb="8">
      <t>サッシン</t>
    </rPh>
    <phoneticPr fontId="2"/>
  </si>
  <si>
    <t>＜機能ID&gt;_＜画面名＞画面を入力</t>
  </si>
  <si>
    <t>日本ビジネスシステムズ株式会社</t>
    <rPh sb="0" eb="2">
      <t>ニホン</t>
    </rPh>
    <rPh sb="11" eb="15">
      <t>カブシキガイシャ</t>
    </rPh>
    <phoneticPr fontId="2"/>
  </si>
  <si>
    <t>作成者</t>
    <rPh sb="0" eb="3">
      <t>サクセイシャ</t>
    </rPh>
    <phoneticPr fontId="2"/>
  </si>
  <si>
    <t>JBS承認者</t>
    <rPh sb="3" eb="6">
      <t>ショウニンシャ</t>
    </rPh>
    <phoneticPr fontId="2"/>
  </si>
  <si>
    <t>基本設計部確認者</t>
    <rPh sb="0" eb="5">
      <t>キホンセッケイブ</t>
    </rPh>
    <rPh sb="5" eb="7">
      <t>カクニン</t>
    </rPh>
    <rPh sb="7" eb="8">
      <t>シャ</t>
    </rPh>
    <phoneticPr fontId="2"/>
  </si>
  <si>
    <t>JBS加藤</t>
    <rPh sb="3" eb="5">
      <t>カトウ</t>
    </rPh>
    <phoneticPr fontId="2"/>
  </si>
  <si>
    <t>サンスター藤田</t>
  </si>
  <si>
    <t>設計書</t>
    <rPh sb="0" eb="3">
      <t>セッケイショ</t>
    </rPh>
    <phoneticPr fontId="3"/>
  </si>
  <si>
    <t>システム名</t>
    <rPh sb="4" eb="5">
      <t>メイ</t>
    </rPh>
    <phoneticPr fontId="2"/>
  </si>
  <si>
    <t>機能分類</t>
    <rPh sb="0" eb="2">
      <t>キノウ</t>
    </rPh>
    <rPh sb="2" eb="4">
      <t>ブンルイ</t>
    </rPh>
    <phoneticPr fontId="3"/>
  </si>
  <si>
    <t>機能ＩＤ</t>
    <rPh sb="0" eb="2">
      <t>キノウ</t>
    </rPh>
    <phoneticPr fontId="3"/>
  </si>
  <si>
    <t>機能名称</t>
    <rPh sb="0" eb="2">
      <t>キノウ</t>
    </rPh>
    <phoneticPr fontId="3"/>
  </si>
  <si>
    <t>日付</t>
    <rPh sb="0" eb="2">
      <t>ヒヅケ</t>
    </rPh>
    <phoneticPr fontId="17"/>
  </si>
  <si>
    <t>更新者</t>
    <rPh sb="0" eb="2">
      <t>コウシン</t>
    </rPh>
    <rPh sb="2" eb="3">
      <t>シャ</t>
    </rPh>
    <phoneticPr fontId="3"/>
  </si>
  <si>
    <t>Dynamics365 for Finance and Operations</t>
  </si>
  <si>
    <t>債権・債務</t>
    <rPh sb="0" eb="2">
      <t>サイケン</t>
    </rPh>
    <rPh sb="3" eb="5">
      <t>サイム</t>
    </rPh>
    <phoneticPr fontId="2"/>
  </si>
  <si>
    <t>FO-006</t>
    <phoneticPr fontId="2"/>
  </si>
  <si>
    <t>支払方法・支払サイトマスタ画面</t>
    <rPh sb="13" eb="15">
      <t>ガメン</t>
    </rPh>
    <phoneticPr fontId="2"/>
  </si>
  <si>
    <t>作成</t>
    <rPh sb="0" eb="2">
      <t>サクセイ</t>
    </rPh>
    <phoneticPr fontId="3"/>
  </si>
  <si>
    <t>更新</t>
    <rPh sb="0" eb="2">
      <t>コウシン</t>
    </rPh>
    <phoneticPr fontId="3"/>
  </si>
  <si>
    <t>（表紙同様値）</t>
  </si>
  <si>
    <t>変更年月日</t>
    <rPh sb="0" eb="2">
      <t>ヘンコウ</t>
    </rPh>
    <rPh sb="2" eb="5">
      <t>ネンガッピ</t>
    </rPh>
    <phoneticPr fontId="19"/>
  </si>
  <si>
    <t>変更箇所</t>
    <rPh sb="0" eb="2">
      <t>ヘンコウ</t>
    </rPh>
    <rPh sb="2" eb="4">
      <t>カショ</t>
    </rPh>
    <phoneticPr fontId="19"/>
  </si>
  <si>
    <t>変更内容</t>
    <rPh sb="0" eb="2">
      <t>ヘンコウ</t>
    </rPh>
    <rPh sb="2" eb="4">
      <t>ナイヨウ</t>
    </rPh>
    <phoneticPr fontId="19"/>
  </si>
  <si>
    <t>変更者</t>
    <rPh sb="0" eb="2">
      <t>ヘンコウ</t>
    </rPh>
    <rPh sb="2" eb="3">
      <t>シャ</t>
    </rPh>
    <phoneticPr fontId="19"/>
  </si>
  <si>
    <t>版数</t>
    <rPh sb="0" eb="1">
      <t>ハン</t>
    </rPh>
    <rPh sb="1" eb="2">
      <t>スウ</t>
    </rPh>
    <phoneticPr fontId="19"/>
  </si>
  <si>
    <t>新規作成</t>
    <rPh sb="0" eb="2">
      <t>シンキ</t>
    </rPh>
    <rPh sb="2" eb="4">
      <t>サクセイ</t>
    </rPh>
    <phoneticPr fontId="2"/>
  </si>
  <si>
    <t>新規作成</t>
    <rPh sb="0" eb="4">
      <t>シンキサクセイ</t>
    </rPh>
    <phoneticPr fontId="17"/>
  </si>
  <si>
    <t>JBS井田</t>
    <rPh sb="3" eb="5">
      <t>イダ</t>
    </rPh>
    <phoneticPr fontId="2"/>
  </si>
  <si>
    <t>1.0</t>
    <phoneticPr fontId="2"/>
  </si>
  <si>
    <t>基本設計書</t>
    <rPh sb="0" eb="2">
      <t>キホン</t>
    </rPh>
    <phoneticPr fontId="3"/>
  </si>
  <si>
    <t>開発目的</t>
    <rPh sb="0" eb="2">
      <t>カイハツ</t>
    </rPh>
    <rPh sb="2" eb="4">
      <t>モクテキ</t>
    </rPh>
    <phoneticPr fontId="2"/>
  </si>
  <si>
    <t xml:space="preserve">1. </t>
    <phoneticPr fontId="2"/>
  </si>
  <si>
    <t>「FO-008_支払方法・支払サイト更新バッチ」を実行するあたり、必要なマスタを管理するため。</t>
    <rPh sb="8" eb="10">
      <t>シハライ</t>
    </rPh>
    <rPh sb="10" eb="12">
      <t>ホウホウ</t>
    </rPh>
    <rPh sb="13" eb="15">
      <t>シハライ</t>
    </rPh>
    <rPh sb="18" eb="20">
      <t>コウシン</t>
    </rPh>
    <rPh sb="25" eb="27">
      <t>ジッコウ</t>
    </rPh>
    <rPh sb="33" eb="35">
      <t>ヒツヨウ</t>
    </rPh>
    <rPh sb="40" eb="42">
      <t>カンリ</t>
    </rPh>
    <phoneticPr fontId="2"/>
  </si>
  <si>
    <t>前提条件</t>
    <rPh sb="0" eb="2">
      <t>ゼンテイ</t>
    </rPh>
    <rPh sb="2" eb="4">
      <t>ジョウケン</t>
    </rPh>
    <phoneticPr fontId="2"/>
  </si>
  <si>
    <t>1.</t>
    <phoneticPr fontId="2"/>
  </si>
  <si>
    <t>請求金額、支払サイトは正の数字のみ登録可能とする。</t>
    <rPh sb="0" eb="4">
      <t>セイキュウキンガク</t>
    </rPh>
    <rPh sb="5" eb="7">
      <t>シハライ</t>
    </rPh>
    <rPh sb="11" eb="12">
      <t>セイ</t>
    </rPh>
    <rPh sb="13" eb="15">
      <t>スウジ</t>
    </rPh>
    <rPh sb="17" eb="19">
      <t>トウロク</t>
    </rPh>
    <rPh sb="19" eb="21">
      <t>カノウ</t>
    </rPh>
    <phoneticPr fontId="2"/>
  </si>
  <si>
    <t>2.</t>
    <phoneticPr fontId="2"/>
  </si>
  <si>
    <t>同一の支払方法で登録する請求金額が重複しないこと。　※補足説明参照</t>
    <rPh sb="0" eb="2">
      <t>ドウイツ</t>
    </rPh>
    <rPh sb="3" eb="5">
      <t>シハライ</t>
    </rPh>
    <rPh sb="5" eb="7">
      <t>ホウホウ</t>
    </rPh>
    <rPh sb="8" eb="10">
      <t>トウロク</t>
    </rPh>
    <rPh sb="12" eb="14">
      <t>セイキュウ</t>
    </rPh>
    <rPh sb="14" eb="16">
      <t>キンガク</t>
    </rPh>
    <rPh sb="17" eb="19">
      <t>ジュウフク</t>
    </rPh>
    <rPh sb="27" eb="29">
      <t>ホソク</t>
    </rPh>
    <rPh sb="29" eb="31">
      <t>セツメイ</t>
    </rPh>
    <rPh sb="31" eb="33">
      <t>サンショウ</t>
    </rPh>
    <phoneticPr fontId="2"/>
  </si>
  <si>
    <t>使用タイミング</t>
    <rPh sb="0" eb="2">
      <t>シヨウ</t>
    </rPh>
    <phoneticPr fontId="2"/>
  </si>
  <si>
    <t>随時</t>
    <rPh sb="0" eb="2">
      <t>ズイジ</t>
    </rPh>
    <phoneticPr fontId="2"/>
  </si>
  <si>
    <t>開発内容</t>
    <rPh sb="0" eb="2">
      <t>カイハツ</t>
    </rPh>
    <rPh sb="2" eb="4">
      <t>ナイヨウ</t>
    </rPh>
    <phoneticPr fontId="2"/>
  </si>
  <si>
    <t>支払方法・支払サイトのマスタ管理する画面の新規作成する。</t>
    <rPh sb="0" eb="2">
      <t>シハライ</t>
    </rPh>
    <rPh sb="2" eb="4">
      <t>ホウホウ</t>
    </rPh>
    <rPh sb="5" eb="7">
      <t>シハライ</t>
    </rPh>
    <rPh sb="14" eb="16">
      <t>カンリ</t>
    </rPh>
    <rPh sb="18" eb="20">
      <t>ガメン</t>
    </rPh>
    <rPh sb="21" eb="23">
      <t>シンキ</t>
    </rPh>
    <rPh sb="23" eb="25">
      <t>サクセイ</t>
    </rPh>
    <phoneticPr fontId="2"/>
  </si>
  <si>
    <t>・支払方法</t>
    <rPh sb="1" eb="3">
      <t>シハライ</t>
    </rPh>
    <rPh sb="3" eb="5">
      <t>ホウホウ</t>
    </rPh>
    <phoneticPr fontId="2"/>
  </si>
  <si>
    <t>・請求金額</t>
    <rPh sb="1" eb="3">
      <t>セイキュウ</t>
    </rPh>
    <rPh sb="3" eb="5">
      <t>キンガク</t>
    </rPh>
    <phoneticPr fontId="2"/>
  </si>
  <si>
    <t>・支払方法(更新後)</t>
    <rPh sb="1" eb="3">
      <t>シハライ</t>
    </rPh>
    <rPh sb="3" eb="5">
      <t>ホウホウ</t>
    </rPh>
    <rPh sb="6" eb="8">
      <t>コウシン</t>
    </rPh>
    <rPh sb="8" eb="9">
      <t>ゴ</t>
    </rPh>
    <phoneticPr fontId="2"/>
  </si>
  <si>
    <t>・支払サイト</t>
    <rPh sb="1" eb="3">
      <t>シハライ</t>
    </rPh>
    <phoneticPr fontId="2"/>
  </si>
  <si>
    <t>・支払条件</t>
    <rPh sb="1" eb="3">
      <t>シハライ</t>
    </rPh>
    <rPh sb="3" eb="5">
      <t>ジョウケン</t>
    </rPh>
    <phoneticPr fontId="2"/>
  </si>
  <si>
    <t>制限事項</t>
    <rPh sb="0" eb="2">
      <t>セイゲン</t>
    </rPh>
    <rPh sb="2" eb="4">
      <t>ジコウ</t>
    </rPh>
    <phoneticPr fontId="2"/>
  </si>
  <si>
    <t>なし</t>
    <phoneticPr fontId="2"/>
  </si>
  <si>
    <t>No.</t>
    <phoneticPr fontId="2"/>
  </si>
  <si>
    <t>種別</t>
    <rPh sb="0" eb="2">
      <t>シュベツ</t>
    </rPh>
    <phoneticPr fontId="2"/>
  </si>
  <si>
    <t>論理名</t>
    <rPh sb="0" eb="2">
      <t>ロンリ</t>
    </rPh>
    <rPh sb="2" eb="3">
      <t>メイ</t>
    </rPh>
    <phoneticPr fontId="2"/>
  </si>
  <si>
    <t>物理名</t>
    <rPh sb="0" eb="2">
      <t>ブツリ</t>
    </rPh>
    <rPh sb="2" eb="3">
      <t>メイ</t>
    </rPh>
    <phoneticPr fontId="2"/>
  </si>
  <si>
    <t>I/O</t>
  </si>
  <si>
    <t>備考</t>
    <rPh sb="0" eb="2">
      <t>ビコウ</t>
    </rPh>
    <phoneticPr fontId="2"/>
  </si>
  <si>
    <t>テーブル</t>
  </si>
  <si>
    <t>支払方法・支払サイト</t>
    <phoneticPr fontId="2"/>
  </si>
  <si>
    <t>SJ_PaymModePaymSiteTable</t>
    <phoneticPr fontId="2"/>
  </si>
  <si>
    <t>支払方法 - 仕入先</t>
    <phoneticPr fontId="2"/>
  </si>
  <si>
    <t>VendPaymModeTable</t>
    <phoneticPr fontId="2"/>
  </si>
  <si>
    <t>I</t>
  </si>
  <si>
    <t>イベント</t>
    <phoneticPr fontId="2"/>
  </si>
  <si>
    <t>機能</t>
    <rPh sb="0" eb="2">
      <t>キノウ</t>
    </rPh>
    <phoneticPr fontId="2"/>
  </si>
  <si>
    <t>DB</t>
    <phoneticPr fontId="2"/>
  </si>
  <si>
    <t>凡例</t>
    <rPh sb="0" eb="2">
      <t>ハンレイ</t>
    </rPh>
    <phoneticPr fontId="2"/>
  </si>
  <si>
    <t>記号</t>
    <rPh sb="0" eb="2">
      <t>キゴウ</t>
    </rPh>
    <phoneticPr fontId="2"/>
  </si>
  <si>
    <t>※DBが複数ある場合は複数DBをまとめるために使用</t>
    <phoneticPr fontId="2"/>
  </si>
  <si>
    <t>イベント名</t>
    <rPh sb="4" eb="5">
      <t>メイ</t>
    </rPh>
    <phoneticPr fontId="2"/>
  </si>
  <si>
    <t>処理内容</t>
    <rPh sb="0" eb="2">
      <t>ショリ</t>
    </rPh>
    <rPh sb="2" eb="4">
      <t>ナイヨウ</t>
    </rPh>
    <phoneticPr fontId="2"/>
  </si>
  <si>
    <t>メッセージ</t>
    <phoneticPr fontId="2"/>
  </si>
  <si>
    <t>ID</t>
    <phoneticPr fontId="2"/>
  </si>
  <si>
    <t>画面初期表示</t>
    <rPh sb="0" eb="2">
      <t>ガメン</t>
    </rPh>
    <rPh sb="2" eb="6">
      <t>ショキヒョウジ</t>
    </rPh>
    <phoneticPr fontId="2"/>
  </si>
  <si>
    <t>1-1.</t>
    <phoneticPr fontId="2"/>
  </si>
  <si>
    <t>画面初期処理</t>
    <rPh sb="0" eb="2">
      <t>ガメン</t>
    </rPh>
    <rPh sb="2" eb="4">
      <t>ショキ</t>
    </rPh>
    <rPh sb="4" eb="6">
      <t>ショリ</t>
    </rPh>
    <phoneticPr fontId="2"/>
  </si>
  <si>
    <t>「画面レイアウト」シート通りに表示する。</t>
    <rPh sb="1" eb="3">
      <t>ガメン</t>
    </rPh>
    <rPh sb="12" eb="13">
      <t>ドオ</t>
    </rPh>
    <rPh sb="15" eb="17">
      <t>ヒョウジ</t>
    </rPh>
    <phoneticPr fontId="2"/>
  </si>
  <si>
    <t>値入力時</t>
    <rPh sb="0" eb="1">
      <t>アタイ</t>
    </rPh>
    <rPh sb="1" eb="4">
      <t>ニュウリョクジ</t>
    </rPh>
    <phoneticPr fontId="2"/>
  </si>
  <si>
    <t>2-1.</t>
    <phoneticPr fontId="2"/>
  </si>
  <si>
    <t>登録処理</t>
    <rPh sb="0" eb="4">
      <t>トウロクショリ</t>
    </rPh>
    <phoneticPr fontId="2"/>
  </si>
  <si>
    <t>入力された値を[支払方法・支払サイト]に登録する。</t>
    <rPh sb="0" eb="2">
      <t>ニュウリョク</t>
    </rPh>
    <rPh sb="5" eb="6">
      <t>アタイ</t>
    </rPh>
    <rPh sb="8" eb="12">
      <t>シハライホウホウ</t>
    </rPh>
    <rPh sb="13" eb="15">
      <t>シハライ</t>
    </rPh>
    <rPh sb="20" eb="22">
      <t>トウロク</t>
    </rPh>
    <phoneticPr fontId="2"/>
  </si>
  <si>
    <t>※詳細は、「テーブル出力仕様」シートを参照</t>
    <rPh sb="1" eb="3">
      <t>ショウサイ</t>
    </rPh>
    <phoneticPr fontId="2"/>
  </si>
  <si>
    <t>パス</t>
    <phoneticPr fontId="2"/>
  </si>
  <si>
    <t xml:space="preserve">[買掛金管理] &gt; [支払の設定] </t>
    <rPh sb="1" eb="3">
      <t>カイカケ</t>
    </rPh>
    <rPh sb="3" eb="4">
      <t>キン</t>
    </rPh>
    <rPh sb="11" eb="13">
      <t>シハライ</t>
    </rPh>
    <rPh sb="14" eb="16">
      <t>セッテイ</t>
    </rPh>
    <phoneticPr fontId="2"/>
  </si>
  <si>
    <t>フォーム名</t>
    <rPh sb="4" eb="5">
      <t>メイ</t>
    </rPh>
    <phoneticPr fontId="2"/>
  </si>
  <si>
    <t>SJ_PaymModePaymSiteForm</t>
    <phoneticPr fontId="2"/>
  </si>
  <si>
    <t>タブ名</t>
    <rPh sb="2" eb="3">
      <t>メイ</t>
    </rPh>
    <phoneticPr fontId="2"/>
  </si>
  <si>
    <t>コントロール</t>
    <phoneticPr fontId="2"/>
  </si>
  <si>
    <t>項目名</t>
    <rPh sb="0" eb="2">
      <t>コウモク</t>
    </rPh>
    <rPh sb="2" eb="3">
      <t>メイ</t>
    </rPh>
    <phoneticPr fontId="2"/>
  </si>
  <si>
    <t>種類</t>
    <rPh sb="0" eb="2">
      <t>シュルイ</t>
    </rPh>
    <phoneticPr fontId="2"/>
  </si>
  <si>
    <t>入力</t>
    <rPh sb="0" eb="2">
      <t>ニュウリョク</t>
    </rPh>
    <phoneticPr fontId="2"/>
  </si>
  <si>
    <t>必須</t>
    <rPh sb="0" eb="2">
      <t>ヒッス</t>
    </rPh>
    <phoneticPr fontId="2"/>
  </si>
  <si>
    <t>項目説明（概要）</t>
    <rPh sb="0" eb="2">
      <t>コウモク</t>
    </rPh>
    <rPh sb="2" eb="4">
      <t>セツメイ</t>
    </rPh>
    <rPh sb="5" eb="7">
      <t>ガイヨウ</t>
    </rPh>
    <phoneticPr fontId="2"/>
  </si>
  <si>
    <t>タイトル</t>
    <phoneticPr fontId="2"/>
  </si>
  <si>
    <t>×</t>
    <phoneticPr fontId="2"/>
  </si>
  <si>
    <t>＜タイトル＞</t>
    <phoneticPr fontId="2"/>
  </si>
  <si>
    <t>・Caption：支払方法・支払サイト</t>
    <rPh sb="9" eb="11">
      <t>シハライ</t>
    </rPh>
    <rPh sb="11" eb="13">
      <t>ホウホウ</t>
    </rPh>
    <rPh sb="14" eb="16">
      <t>シハライ</t>
    </rPh>
    <phoneticPr fontId="2"/>
  </si>
  <si>
    <t>アクションペイン</t>
    <phoneticPr fontId="2"/>
  </si>
  <si>
    <t>保存</t>
    <rPh sb="0" eb="2">
      <t>ホゾン</t>
    </rPh>
    <phoneticPr fontId="2"/>
  </si>
  <si>
    <t>ボタン</t>
    <phoneticPr fontId="2"/>
  </si>
  <si>
    <t>コマンドボタン：保存</t>
    <phoneticPr fontId="2"/>
  </si>
  <si>
    <t>新規</t>
    <rPh sb="0" eb="2">
      <t>シンキ</t>
    </rPh>
    <phoneticPr fontId="2"/>
  </si>
  <si>
    <t>コマンドボタン：レコードの新規追加</t>
    <rPh sb="13" eb="15">
      <t>シンキ</t>
    </rPh>
    <rPh sb="15" eb="17">
      <t>ツイカ</t>
    </rPh>
    <phoneticPr fontId="2"/>
  </si>
  <si>
    <t>削除</t>
    <rPh sb="0" eb="2">
      <t>サクジョ</t>
    </rPh>
    <phoneticPr fontId="2"/>
  </si>
  <si>
    <t>コマンドボタン：レコードの削除</t>
    <rPh sb="13" eb="15">
      <t>サクジョ</t>
    </rPh>
    <phoneticPr fontId="2"/>
  </si>
  <si>
    <t>カスタムフィルターグループ</t>
    <phoneticPr fontId="2"/>
  </si>
  <si>
    <t>クィックフィルター</t>
    <phoneticPr fontId="2"/>
  </si>
  <si>
    <t>フィルター</t>
    <phoneticPr fontId="2"/>
  </si>
  <si>
    <t>○</t>
    <phoneticPr fontId="2"/>
  </si>
  <si>
    <t>ボディ</t>
    <phoneticPr fontId="2"/>
  </si>
  <si>
    <t>支払方法</t>
    <rPh sb="0" eb="2">
      <t>シハライ</t>
    </rPh>
    <rPh sb="2" eb="4">
      <t>ホウホウ</t>
    </rPh>
    <phoneticPr fontId="2"/>
  </si>
  <si>
    <t>ListBox</t>
    <phoneticPr fontId="2"/>
  </si>
  <si>
    <t>〇</t>
    <phoneticPr fontId="2"/>
  </si>
  <si>
    <t>&lt;表示内容/入力内容＞</t>
    <rPh sb="1" eb="3">
      <t>ヒョウジ</t>
    </rPh>
    <rPh sb="3" eb="5">
      <t>ナイヨウ</t>
    </rPh>
    <rPh sb="6" eb="8">
      <t>ニュウリョク</t>
    </rPh>
    <rPh sb="8" eb="10">
      <t>ナイヨウ</t>
    </rPh>
    <phoneticPr fontId="2"/>
  </si>
  <si>
    <t>[支払方法・支払サイト.支払方法]</t>
    <rPh sb="1" eb="3">
      <t>シハライ</t>
    </rPh>
    <rPh sb="3" eb="5">
      <t>ホウホウ</t>
    </rPh>
    <rPh sb="6" eb="8">
      <t>シハライ</t>
    </rPh>
    <rPh sb="12" eb="14">
      <t>シハライ</t>
    </rPh>
    <rPh sb="14" eb="16">
      <t>ホウホウ</t>
    </rPh>
    <phoneticPr fontId="2"/>
  </si>
  <si>
    <t>＜ルックアップ＞</t>
    <phoneticPr fontId="2"/>
  </si>
  <si>
    <t>テーブル:</t>
    <phoneticPr fontId="2"/>
  </si>
  <si>
    <t>[支払方法 - 仕入先]</t>
  </si>
  <si>
    <t>表示項目:</t>
    <rPh sb="0" eb="2">
      <t>ヒョウジ</t>
    </rPh>
    <rPh sb="2" eb="4">
      <t>コウモク</t>
    </rPh>
    <phoneticPr fontId="2"/>
  </si>
  <si>
    <t>[支払方法 - 仕入先.支払方法]</t>
  </si>
  <si>
    <t>[支払方法 - 仕入先.説明(Name)]</t>
    <rPh sb="12" eb="14">
      <t>セツメイ</t>
    </rPh>
    <phoneticPr fontId="2"/>
  </si>
  <si>
    <t>請求金額</t>
    <rPh sb="0" eb="4">
      <t>セイキュウキンガク</t>
    </rPh>
    <phoneticPr fontId="2"/>
  </si>
  <si>
    <t>数値</t>
    <rPh sb="0" eb="2">
      <t>スウチ</t>
    </rPh>
    <phoneticPr fontId="2"/>
  </si>
  <si>
    <t>[支払方法・支払サイト.請求金額]</t>
    <rPh sb="1" eb="3">
      <t>シハライ</t>
    </rPh>
    <rPh sb="3" eb="5">
      <t>ホウホウ</t>
    </rPh>
    <rPh sb="6" eb="8">
      <t>シハライ</t>
    </rPh>
    <rPh sb="12" eb="14">
      <t>セイキュウ</t>
    </rPh>
    <rPh sb="14" eb="16">
      <t>キンガク</t>
    </rPh>
    <phoneticPr fontId="2"/>
  </si>
  <si>
    <t>※マイナス入力不可(テーブルのプロパティ設定で対応)</t>
    <rPh sb="5" eb="7">
      <t>ニュウリョク</t>
    </rPh>
    <rPh sb="7" eb="9">
      <t>フカ</t>
    </rPh>
    <rPh sb="20" eb="22">
      <t>セッテイ</t>
    </rPh>
    <rPh sb="23" eb="25">
      <t>タイオウ</t>
    </rPh>
    <phoneticPr fontId="2"/>
  </si>
  <si>
    <t>※支払方法に登録される請求金額は重複不可(テーブルのプロパティ設定で対応)</t>
    <rPh sb="1" eb="3">
      <t>シハライ</t>
    </rPh>
    <rPh sb="3" eb="5">
      <t>ホウホウ</t>
    </rPh>
    <rPh sb="6" eb="8">
      <t>トウロク</t>
    </rPh>
    <rPh sb="11" eb="13">
      <t>セイキュウ</t>
    </rPh>
    <rPh sb="13" eb="15">
      <t>キンガク</t>
    </rPh>
    <rPh sb="16" eb="18">
      <t>ジュウフク</t>
    </rPh>
    <rPh sb="18" eb="20">
      <t>フカ</t>
    </rPh>
    <phoneticPr fontId="2"/>
  </si>
  <si>
    <t>支払方法(更新後)</t>
    <rPh sb="0" eb="2">
      <t>シハライ</t>
    </rPh>
    <rPh sb="2" eb="4">
      <t>ホウホウ</t>
    </rPh>
    <rPh sb="5" eb="7">
      <t>コウシン</t>
    </rPh>
    <phoneticPr fontId="2"/>
  </si>
  <si>
    <t>[支払方法・支払サイト.支払方法(更新後)]</t>
    <rPh sb="1" eb="3">
      <t>シハライ</t>
    </rPh>
    <rPh sb="3" eb="5">
      <t>ホウホウ</t>
    </rPh>
    <rPh sb="6" eb="8">
      <t>シハライ</t>
    </rPh>
    <rPh sb="12" eb="14">
      <t>シハライ</t>
    </rPh>
    <rPh sb="14" eb="16">
      <t>ホウホウ</t>
    </rPh>
    <rPh sb="17" eb="19">
      <t>コウシン</t>
    </rPh>
    <rPh sb="19" eb="20">
      <t>ゴ</t>
    </rPh>
    <phoneticPr fontId="2"/>
  </si>
  <si>
    <t>支払サイト</t>
    <rPh sb="0" eb="2">
      <t>シハライ</t>
    </rPh>
    <phoneticPr fontId="2"/>
  </si>
  <si>
    <t>[支払方法・支払サイト.支払サイト]</t>
    <rPh sb="12" eb="14">
      <t>シハライ</t>
    </rPh>
    <phoneticPr fontId="2"/>
  </si>
  <si>
    <t>※マイナス入力不可(テーブルのプロパティ設定で対応)</t>
    <rPh sb="5" eb="7">
      <t>ニュウリョク</t>
    </rPh>
    <rPh sb="7" eb="9">
      <t>フカ</t>
    </rPh>
    <phoneticPr fontId="2"/>
  </si>
  <si>
    <t>支払条件</t>
    <rPh sb="0" eb="2">
      <t>シハライ</t>
    </rPh>
    <rPh sb="2" eb="4">
      <t>ジョウケン</t>
    </rPh>
    <phoneticPr fontId="2"/>
  </si>
  <si>
    <t>[支払方法・支払サイト.支払条件]</t>
    <rPh sb="1" eb="3">
      <t>シハライ</t>
    </rPh>
    <rPh sb="3" eb="5">
      <t>ホウホウ</t>
    </rPh>
    <rPh sb="6" eb="8">
      <t>シハライ</t>
    </rPh>
    <rPh sb="12" eb="14">
      <t>シハライ</t>
    </rPh>
    <rPh sb="14" eb="16">
      <t>ジョウケン</t>
    </rPh>
    <phoneticPr fontId="2"/>
  </si>
  <si>
    <t>[支払条件 - 支払条件]</t>
    <rPh sb="1" eb="3">
      <t>シハライ</t>
    </rPh>
    <rPh sb="3" eb="5">
      <t>ジョウケン</t>
    </rPh>
    <rPh sb="8" eb="10">
      <t>シハライ</t>
    </rPh>
    <rPh sb="10" eb="12">
      <t>ジョウケン</t>
    </rPh>
    <phoneticPr fontId="2"/>
  </si>
  <si>
    <t>[支払条件.支払条件]</t>
    <rPh sb="1" eb="3">
      <t>シハライ</t>
    </rPh>
    <rPh sb="3" eb="5">
      <t>ジョウケン</t>
    </rPh>
    <phoneticPr fontId="2"/>
  </si>
  <si>
    <t>[支払条件.説明]</t>
    <rPh sb="6" eb="8">
      <t>セツメイ</t>
    </rPh>
    <phoneticPr fontId="2"/>
  </si>
  <si>
    <t>レイアウト</t>
    <phoneticPr fontId="2"/>
  </si>
  <si>
    <t>帳票タイトル：</t>
    <rPh sb="0" eb="2">
      <t>チョウヒョウ</t>
    </rPh>
    <phoneticPr fontId="2"/>
  </si>
  <si>
    <t>帳票タイプ：</t>
    <rPh sb="0" eb="2">
      <t>チョウヒョウ</t>
    </rPh>
    <phoneticPr fontId="2"/>
  </si>
  <si>
    <t>用紙サイズ：</t>
    <rPh sb="0" eb="2">
      <t>ヨウシ</t>
    </rPh>
    <phoneticPr fontId="2"/>
  </si>
  <si>
    <t>用紙の向き：</t>
    <phoneticPr fontId="2"/>
  </si>
  <si>
    <t>自動サイズ調整：</t>
    <rPh sb="0" eb="2">
      <t>ジドウ</t>
    </rPh>
    <rPh sb="5" eb="7">
      <t>チョウセイ</t>
    </rPh>
    <phoneticPr fontId="2"/>
  </si>
  <si>
    <t>フォント：</t>
    <phoneticPr fontId="2"/>
  </si>
  <si>
    <t>余白(cm)</t>
    <rPh sb="0" eb="2">
      <t>ヨハク</t>
    </rPh>
    <phoneticPr fontId="2"/>
  </si>
  <si>
    <t>左：</t>
    <rPh sb="0" eb="1">
      <t>ヒダリ</t>
    </rPh>
    <phoneticPr fontId="2"/>
  </si>
  <si>
    <t>右：</t>
    <rPh sb="0" eb="1">
      <t>ミギ</t>
    </rPh>
    <phoneticPr fontId="2"/>
  </si>
  <si>
    <t>上：</t>
    <rPh sb="0" eb="1">
      <t>ウエ</t>
    </rPh>
    <phoneticPr fontId="2"/>
  </si>
  <si>
    <t>下：</t>
    <rPh sb="0" eb="1">
      <t>シタ</t>
    </rPh>
    <phoneticPr fontId="2"/>
  </si>
  <si>
    <t>テーブルソート設定：</t>
    <rPh sb="7" eb="9">
      <t>セッテイ</t>
    </rPh>
    <phoneticPr fontId="2"/>
  </si>
  <si>
    <t>表示形式</t>
    <rPh sb="0" eb="2">
      <t>ヒョウジ</t>
    </rPh>
    <rPh sb="2" eb="4">
      <t>ケイシキ</t>
    </rPh>
    <phoneticPr fontId="2"/>
  </si>
  <si>
    <t>配置</t>
    <rPh sb="0" eb="2">
      <t>ハイチ</t>
    </rPh>
    <phoneticPr fontId="2"/>
  </si>
  <si>
    <t>ヘッダー/フッター/明細</t>
    <phoneticPr fontId="2"/>
  </si>
  <si>
    <t>書式</t>
    <rPh sb="0" eb="2">
      <t>ショシキ</t>
    </rPh>
    <phoneticPr fontId="2"/>
  </si>
  <si>
    <t>フォーマット</t>
    <phoneticPr fontId="2"/>
  </si>
  <si>
    <t>横位置</t>
    <rPh sb="0" eb="1">
      <t>ヨコ</t>
    </rPh>
    <rPh sb="1" eb="3">
      <t>イチ</t>
    </rPh>
    <phoneticPr fontId="2"/>
  </si>
  <si>
    <t>縦位置</t>
    <rPh sb="0" eb="1">
      <t>タテ</t>
    </rPh>
    <rPh sb="1" eb="3">
      <t>イチ</t>
    </rPh>
    <phoneticPr fontId="2"/>
  </si>
  <si>
    <t>サイズ</t>
    <phoneticPr fontId="2"/>
  </si>
  <si>
    <t>最大項目長
（項目幅）</t>
    <rPh sb="0" eb="2">
      <t>サイダイ</t>
    </rPh>
    <rPh sb="2" eb="4">
      <t>コウモク</t>
    </rPh>
    <rPh sb="4" eb="5">
      <t>チョウ</t>
    </rPh>
    <rPh sb="7" eb="9">
      <t>コウモク</t>
    </rPh>
    <rPh sb="9" eb="10">
      <t>ハバ</t>
    </rPh>
    <phoneticPr fontId="2"/>
  </si>
  <si>
    <t>出力値</t>
    <rPh sb="0" eb="2">
      <t>シュツリョク</t>
    </rPh>
    <rPh sb="2" eb="3">
      <t>チ</t>
    </rPh>
    <phoneticPr fontId="2"/>
  </si>
  <si>
    <t>取得元テーブル</t>
    <rPh sb="0" eb="2">
      <t>シュトク</t>
    </rPh>
    <rPh sb="2" eb="3">
      <t>モト</t>
    </rPh>
    <phoneticPr fontId="2"/>
  </si>
  <si>
    <t>取得元フィールド</t>
    <rPh sb="0" eb="2">
      <t>シュトク</t>
    </rPh>
    <rPh sb="2" eb="3">
      <t>モト</t>
    </rPh>
    <phoneticPr fontId="2"/>
  </si>
  <si>
    <t>折り返して全体を
表示する</t>
    <rPh sb="0" eb="1">
      <t>オ</t>
    </rPh>
    <rPh sb="2" eb="3">
      <t>カエ</t>
    </rPh>
    <rPh sb="5" eb="7">
      <t>ゼンタイ</t>
    </rPh>
    <rPh sb="9" eb="11">
      <t>ヒョウジ</t>
    </rPh>
    <phoneticPr fontId="2"/>
  </si>
  <si>
    <t>TmpTable</t>
    <phoneticPr fontId="2"/>
  </si>
  <si>
    <t>TmpTableフィールド</t>
    <phoneticPr fontId="2"/>
  </si>
  <si>
    <t>① ヘッダー</t>
    <phoneticPr fontId="2"/>
  </si>
  <si>
    <t>ー</t>
    <phoneticPr fontId="2"/>
  </si>
  <si>
    <t>② 明細</t>
    <rPh sb="2" eb="4">
      <t>メイサイ</t>
    </rPh>
    <phoneticPr fontId="2"/>
  </si>
  <si>
    <t>（項目名）</t>
    <rPh sb="1" eb="3">
      <t>コウモク</t>
    </rPh>
    <rPh sb="3" eb="4">
      <t>メイ</t>
    </rPh>
    <phoneticPr fontId="2"/>
  </si>
  <si>
    <t>②明細</t>
    <rPh sb="1" eb="3">
      <t>メイサイ</t>
    </rPh>
    <phoneticPr fontId="2"/>
  </si>
  <si>
    <t>ー</t>
  </si>
  <si>
    <t>（データ）</t>
  </si>
  <si>
    <t xml:space="preserve">③フッター
</t>
    <phoneticPr fontId="2"/>
  </si>
  <si>
    <t>文字コード：</t>
    <rPh sb="0" eb="2">
      <t>モジ</t>
    </rPh>
    <phoneticPr fontId="2"/>
  </si>
  <si>
    <t>ファイル名称：</t>
    <rPh sb="4" eb="6">
      <t>メイショウ</t>
    </rPh>
    <phoneticPr fontId="2"/>
  </si>
  <si>
    <t>区切り文字：</t>
    <rPh sb="0" eb="2">
      <t>クギ</t>
    </rPh>
    <rPh sb="3" eb="5">
      <t>モジ</t>
    </rPh>
    <phoneticPr fontId="2"/>
  </si>
  <si>
    <t>文字列：</t>
    <rPh sb="0" eb="3">
      <t>モジレツ</t>
    </rPh>
    <phoneticPr fontId="2"/>
  </si>
  <si>
    <t>改行コード：</t>
    <rPh sb="0" eb="2">
      <t>カイギョウ</t>
    </rPh>
    <phoneticPr fontId="2"/>
  </si>
  <si>
    <t>ソート：</t>
    <phoneticPr fontId="2"/>
  </si>
  <si>
    <t>タイトル行：</t>
    <rPh sb="4" eb="5">
      <t>ギョウ</t>
    </rPh>
    <phoneticPr fontId="2"/>
  </si>
  <si>
    <t>フィールド名</t>
    <rPh sb="5" eb="6">
      <t>メイ</t>
    </rPh>
    <phoneticPr fontId="2"/>
  </si>
  <si>
    <t>説明</t>
    <rPh sb="0" eb="2">
      <t>セツメイ</t>
    </rPh>
    <phoneticPr fontId="2"/>
  </si>
  <si>
    <t>属性</t>
    <rPh sb="0" eb="2">
      <t>ゾクセイ</t>
    </rPh>
    <phoneticPr fontId="2"/>
  </si>
  <si>
    <t>桁数</t>
    <rPh sb="0" eb="2">
      <t>ケタスウ</t>
    </rPh>
    <phoneticPr fontId="2"/>
  </si>
  <si>
    <t>テーブル名</t>
    <rPh sb="4" eb="5">
      <t>メイ</t>
    </rPh>
    <phoneticPr fontId="2"/>
  </si>
  <si>
    <t>ラベル</t>
    <phoneticPr fontId="2"/>
  </si>
  <si>
    <t>拡張名</t>
    <rPh sb="0" eb="2">
      <t>カクチョウ</t>
    </rPh>
    <rPh sb="2" eb="3">
      <t>メイ</t>
    </rPh>
    <phoneticPr fontId="2"/>
  </si>
  <si>
    <t>PayｍMode</t>
    <phoneticPr fontId="2"/>
  </si>
  <si>
    <t>入力された[支払方法・支払サイト更新.支払方法]を設定</t>
    <rPh sb="0" eb="2">
      <t>ニュウリョク</t>
    </rPh>
    <rPh sb="6" eb="7">
      <t>フツ</t>
    </rPh>
    <rPh sb="7" eb="9">
      <t>ホウホウ</t>
    </rPh>
    <rPh sb="11" eb="13">
      <t>シハライ</t>
    </rPh>
    <rPh sb="16" eb="18">
      <t>コウシン</t>
    </rPh>
    <rPh sb="18" eb="20">
      <t>シハライ</t>
    </rPh>
    <rPh sb="20" eb="22">
      <t>ホウホウ</t>
    </rPh>
    <rPh sb="25" eb="27">
      <t>セッテイ</t>
    </rPh>
    <phoneticPr fontId="2"/>
  </si>
  <si>
    <t>請求金額</t>
    <rPh sb="0" eb="2">
      <t>セイキュウ</t>
    </rPh>
    <rPh sb="2" eb="4">
      <t>キンガク</t>
    </rPh>
    <phoneticPr fontId="2"/>
  </si>
  <si>
    <t>BillingAmount</t>
    <phoneticPr fontId="2"/>
  </si>
  <si>
    <t>入力された[支払方法・支払サイト更新.請求金額]を設定</t>
    <phoneticPr fontId="2"/>
  </si>
  <si>
    <t>支払方法(更新後)</t>
    <rPh sb="0" eb="2">
      <t>シハライ</t>
    </rPh>
    <rPh sb="2" eb="4">
      <t>ホウホウ</t>
    </rPh>
    <rPh sb="5" eb="7">
      <t>コウシン</t>
    </rPh>
    <rPh sb="7" eb="8">
      <t>ゴ</t>
    </rPh>
    <phoneticPr fontId="2"/>
  </si>
  <si>
    <t>UpdatedPaymMode</t>
    <phoneticPr fontId="2"/>
  </si>
  <si>
    <t>入力された[支払方法・支払サイト更新.支払方法(更新後)]を設定</t>
    <rPh sb="0" eb="2">
      <t>ニュウリョク</t>
    </rPh>
    <rPh sb="6" eb="7">
      <t>フツ</t>
    </rPh>
    <rPh sb="7" eb="9">
      <t>ホウホウ</t>
    </rPh>
    <rPh sb="11" eb="13">
      <t>シハライ</t>
    </rPh>
    <rPh sb="16" eb="18">
      <t>コウシン</t>
    </rPh>
    <rPh sb="18" eb="20">
      <t>シハライ</t>
    </rPh>
    <rPh sb="20" eb="22">
      <t>ホウホウ</t>
    </rPh>
    <rPh sb="24" eb="26">
      <t>コウシン</t>
    </rPh>
    <rPh sb="26" eb="27">
      <t>ゴ</t>
    </rPh>
    <rPh sb="30" eb="32">
      <t>セッテイ</t>
    </rPh>
    <phoneticPr fontId="2"/>
  </si>
  <si>
    <t>PaymSite</t>
    <phoneticPr fontId="2"/>
  </si>
  <si>
    <t>入力された[支払方法・支払サイト更新.支払サイト]を設定</t>
    <rPh sb="0" eb="2">
      <t>ニュウリョク</t>
    </rPh>
    <rPh sb="6" eb="8">
      <t>シハライ</t>
    </rPh>
    <rPh sb="8" eb="10">
      <t>ホウホウ</t>
    </rPh>
    <rPh sb="11" eb="13">
      <t>シハライ</t>
    </rPh>
    <rPh sb="16" eb="18">
      <t>コウシン</t>
    </rPh>
    <rPh sb="19" eb="21">
      <t>シハライ</t>
    </rPh>
    <rPh sb="26" eb="28">
      <t>セッテイ</t>
    </rPh>
    <phoneticPr fontId="2"/>
  </si>
  <si>
    <t>PaymTermId</t>
    <phoneticPr fontId="2"/>
  </si>
  <si>
    <t>入力された[支払方法・支払サイト更新.支払条件]を設定</t>
    <rPh sb="0" eb="2">
      <t>ニュウリョク</t>
    </rPh>
    <rPh sb="6" eb="8">
      <t>シハライ</t>
    </rPh>
    <rPh sb="8" eb="10">
      <t>ホウホウ</t>
    </rPh>
    <rPh sb="11" eb="13">
      <t>シハライ</t>
    </rPh>
    <rPh sb="16" eb="18">
      <t>コウシン</t>
    </rPh>
    <rPh sb="19" eb="21">
      <t>シハライ</t>
    </rPh>
    <rPh sb="21" eb="23">
      <t>ジョウケン</t>
    </rPh>
    <rPh sb="25" eb="27">
      <t>セッテイ</t>
    </rPh>
    <phoneticPr fontId="2"/>
  </si>
  <si>
    <t>補足</t>
    <rPh sb="0" eb="2">
      <t>ホソク</t>
    </rPh>
    <phoneticPr fontId="2"/>
  </si>
  <si>
    <t>●同一支払方法と請求金額のチェック処理について</t>
    <rPh sb="1" eb="3">
      <t>ドウイツ</t>
    </rPh>
    <rPh sb="3" eb="5">
      <t>シハライ</t>
    </rPh>
    <rPh sb="5" eb="7">
      <t>ホウホウ</t>
    </rPh>
    <rPh sb="8" eb="10">
      <t>セイキュウ</t>
    </rPh>
    <rPh sb="10" eb="12">
      <t>キンガク</t>
    </rPh>
    <rPh sb="17" eb="19">
      <t>ショリ</t>
    </rPh>
    <phoneticPr fontId="2"/>
  </si>
  <si>
    <t>支払方法</t>
    <rPh sb="0" eb="4">
      <t>シハライホウホウ</t>
    </rPh>
    <phoneticPr fontId="2"/>
  </si>
  <si>
    <t>支払方法(変更後)</t>
    <rPh sb="0" eb="4">
      <t>シハライホウホウ</t>
    </rPh>
    <rPh sb="5" eb="8">
      <t>ヘンコウゴ</t>
    </rPh>
    <phoneticPr fontId="2"/>
  </si>
  <si>
    <t>支払条件</t>
    <rPh sb="0" eb="4">
      <t>シハライジョウケン</t>
    </rPh>
    <phoneticPr fontId="2"/>
  </si>
  <si>
    <t>TU</t>
    <phoneticPr fontId="2"/>
  </si>
  <si>
    <t>T</t>
    <phoneticPr fontId="2"/>
  </si>
  <si>
    <t>PTXX</t>
    <phoneticPr fontId="2"/>
  </si>
  <si>
    <t>W</t>
    <phoneticPr fontId="2"/>
  </si>
  <si>
    <t>TQ</t>
    <phoneticPr fontId="2"/>
  </si>
  <si>
    <t>2-1</t>
    <phoneticPr fontId="2"/>
  </si>
  <si>
    <t>●【テーブル定義書】SJ_PaymModePaymSiteTable.xlsx</t>
    <phoneticPr fontId="2"/>
  </si>
  <si>
    <t>●イベント説明2‐１,3-1のwarningのイメージ</t>
    <rPh sb="5" eb="7">
      <t>セツメイ</t>
    </rPh>
    <phoneticPr fontId="2"/>
  </si>
  <si>
    <t>＜機能関連図＞</t>
    <rPh sb="1" eb="3">
      <t>キノウ</t>
    </rPh>
    <rPh sb="3" eb="5">
      <t>カンレン</t>
    </rPh>
    <rPh sb="5" eb="6">
      <t>ズ</t>
    </rPh>
    <phoneticPr fontId="2"/>
  </si>
  <si>
    <t>レビュー事項</t>
    <rPh sb="4" eb="6">
      <t>ジコウ</t>
    </rPh>
    <phoneticPr fontId="2"/>
  </si>
  <si>
    <t>対応内容</t>
    <rPh sb="0" eb="2">
      <t>タイオウ</t>
    </rPh>
    <rPh sb="2" eb="4">
      <t>ナイヨウ</t>
    </rPh>
    <phoneticPr fontId="2"/>
  </si>
  <si>
    <t>指摘日</t>
    <rPh sb="0" eb="2">
      <t>シテキ</t>
    </rPh>
    <rPh sb="2" eb="3">
      <t>ヒ</t>
    </rPh>
    <phoneticPr fontId="2"/>
  </si>
  <si>
    <t>指摘者</t>
    <rPh sb="0" eb="3">
      <t>シテキシャ</t>
    </rPh>
    <phoneticPr fontId="2"/>
  </si>
  <si>
    <t>対応日</t>
    <rPh sb="0" eb="2">
      <t>タイオウ</t>
    </rPh>
    <rPh sb="2" eb="3">
      <t>ヒ</t>
    </rPh>
    <phoneticPr fontId="2"/>
  </si>
  <si>
    <t>対応者</t>
    <rPh sb="0" eb="2">
      <t>タイオウ</t>
    </rPh>
    <rPh sb="2" eb="3">
      <t>シャ</t>
    </rPh>
    <phoneticPr fontId="2"/>
  </si>
  <si>
    <t>確認日</t>
    <rPh sb="0" eb="2">
      <t>カクニン</t>
    </rPh>
    <rPh sb="2" eb="3">
      <t>ビ</t>
    </rPh>
    <phoneticPr fontId="2"/>
  </si>
  <si>
    <t>確認者</t>
    <rPh sb="0" eb="2">
      <t>カクニン</t>
    </rPh>
    <rPh sb="2" eb="3">
      <t>シャ</t>
    </rPh>
    <phoneticPr fontId="2"/>
  </si>
  <si>
    <t>支払方法と支払方法(更新後)が同じ値が入らないよう、チェック処理を追加。</t>
    <rPh sb="0" eb="2">
      <t>シハライ</t>
    </rPh>
    <rPh sb="2" eb="4">
      <t>ホウホウ</t>
    </rPh>
    <rPh sb="5" eb="9">
      <t>シハライホウホウ</t>
    </rPh>
    <rPh sb="10" eb="13">
      <t>コウシンゴ</t>
    </rPh>
    <rPh sb="15" eb="16">
      <t>オナ</t>
    </rPh>
    <rPh sb="17" eb="18">
      <t>アタイ</t>
    </rPh>
    <rPh sb="19" eb="20">
      <t>ハイ</t>
    </rPh>
    <rPh sb="30" eb="32">
      <t>ショリ</t>
    </rPh>
    <rPh sb="33" eb="35">
      <t>ツイカ</t>
    </rPh>
    <phoneticPr fontId="2"/>
  </si>
  <si>
    <t>処理概要：前提条件の4追加
画面項目説明：概要を追記。</t>
    <rPh sb="0" eb="4">
      <t>ショリガイヨウ</t>
    </rPh>
    <rPh sb="5" eb="9">
      <t>ゼンテイジョウケン</t>
    </rPh>
    <rPh sb="11" eb="13">
      <t>ツイカ</t>
    </rPh>
    <rPh sb="14" eb="16">
      <t>ガメン</t>
    </rPh>
    <rPh sb="16" eb="20">
      <t>コウモクセツメイ</t>
    </rPh>
    <rPh sb="21" eb="23">
      <t>ガイヨウ</t>
    </rPh>
    <rPh sb="24" eb="26">
      <t>ツイキ</t>
    </rPh>
    <phoneticPr fontId="2"/>
  </si>
  <si>
    <t>JBS</t>
    <phoneticPr fontId="2"/>
  </si>
  <si>
    <t>支払基準日を「20日」で連携される方針で、本機能に支払条件を追加し、以下の場合で使用する。
・FO-008（支払方法・支払サイト更新バッチ）で期日振込の期日更新
・FO-010（支払手形仕訳帳の振出）で電子記録債務の期日更新</t>
    <rPh sb="0" eb="2">
      <t>シハライ</t>
    </rPh>
    <rPh sb="2" eb="5">
      <t>キジュンビ</t>
    </rPh>
    <rPh sb="9" eb="10">
      <t>ニチ</t>
    </rPh>
    <rPh sb="12" eb="14">
      <t>レンケイ</t>
    </rPh>
    <rPh sb="17" eb="19">
      <t>ホウシン</t>
    </rPh>
    <rPh sb="34" eb="36">
      <t>イカ</t>
    </rPh>
    <rPh sb="37" eb="39">
      <t>バアイ</t>
    </rPh>
    <rPh sb="54" eb="58">
      <t>シハライホウホウ</t>
    </rPh>
    <rPh sb="59" eb="61">
      <t>シハライ</t>
    </rPh>
    <rPh sb="64" eb="66">
      <t>コウシン</t>
    </rPh>
    <rPh sb="71" eb="75">
      <t>キジツフリコミ</t>
    </rPh>
    <rPh sb="76" eb="78">
      <t>キジツ</t>
    </rPh>
    <rPh sb="78" eb="80">
      <t>コウシン</t>
    </rPh>
    <rPh sb="89" eb="93">
      <t>シハライテガタ</t>
    </rPh>
    <rPh sb="93" eb="96">
      <t>シワケチョウ</t>
    </rPh>
    <rPh sb="97" eb="99">
      <t>フリダシ</t>
    </rPh>
    <rPh sb="101" eb="107">
      <t>デンシキロクサイム</t>
    </rPh>
    <rPh sb="108" eb="110">
      <t>キジツ</t>
    </rPh>
    <rPh sb="110" eb="112">
      <t>コウシン</t>
    </rPh>
    <phoneticPr fontId="2"/>
  </si>
  <si>
    <t>以下シートに支払条件を追加しました。
・画面レイアウト
・画面項目説明
・テーブル出力仕様</t>
    <rPh sb="0" eb="2">
      <t>イカ</t>
    </rPh>
    <rPh sb="6" eb="8">
      <t>シハライ</t>
    </rPh>
    <rPh sb="8" eb="10">
      <t>ジョウケン</t>
    </rPh>
    <rPh sb="11" eb="13">
      <t>ツイカ</t>
    </rPh>
    <rPh sb="20" eb="22">
      <t>ガメン</t>
    </rPh>
    <rPh sb="29" eb="35">
      <t>ガメンコウモクセツメイ</t>
    </rPh>
    <rPh sb="41" eb="43">
      <t>シュツリョク</t>
    </rPh>
    <rPh sb="43" eb="45">
      <t>シヨウ</t>
    </rPh>
    <phoneticPr fontId="2"/>
  </si>
  <si>
    <t>JBS 秋信</t>
    <rPh sb="4" eb="6">
      <t>アキノブ</t>
    </rPh>
    <phoneticPr fontId="2"/>
  </si>
  <si>
    <t>①支払基準日を規定払いについては、末締翌20日を固定で設定する方針で決定した。それに伴い、支払基準日を使用する機能の修正を行う。
②支払方法マスタのコード値を文字列から英数字にする方針に決定した。それに伴い、支払方法を使用する機能の修正を行う。
※2024/09/17の債務チームの定例会で説明済</t>
    <rPh sb="1" eb="3">
      <t>シハラ</t>
    </rPh>
    <rPh sb="3" eb="6">
      <t>キジュンビ</t>
    </rPh>
    <rPh sb="7" eb="9">
      <t>キテイ</t>
    </rPh>
    <rPh sb="9" eb="10">
      <t>バラ</t>
    </rPh>
    <rPh sb="17" eb="19">
      <t>マツジ</t>
    </rPh>
    <rPh sb="19" eb="20">
      <t>ヨク</t>
    </rPh>
    <rPh sb="22" eb="23">
      <t>ニチ</t>
    </rPh>
    <rPh sb="24" eb="26">
      <t>コテイ</t>
    </rPh>
    <rPh sb="27" eb="29">
      <t>セッテイ</t>
    </rPh>
    <rPh sb="31" eb="33">
      <t>ホウシン</t>
    </rPh>
    <rPh sb="34" eb="36">
      <t>ケッテイ</t>
    </rPh>
    <rPh sb="42" eb="43">
      <t>トモナ</t>
    </rPh>
    <rPh sb="45" eb="50">
      <t>シハライキジュンビ</t>
    </rPh>
    <rPh sb="51" eb="53">
      <t>シヨウ</t>
    </rPh>
    <rPh sb="55" eb="57">
      <t>キノウ</t>
    </rPh>
    <rPh sb="58" eb="60">
      <t>シュウセイ</t>
    </rPh>
    <rPh sb="61" eb="62">
      <t>オコナ</t>
    </rPh>
    <rPh sb="66" eb="70">
      <t>シハライホウホウ</t>
    </rPh>
    <rPh sb="77" eb="78">
      <t>チ</t>
    </rPh>
    <rPh sb="79" eb="82">
      <t>モジレツ</t>
    </rPh>
    <rPh sb="84" eb="87">
      <t>エイスウジ</t>
    </rPh>
    <rPh sb="90" eb="92">
      <t>ホウシン</t>
    </rPh>
    <rPh sb="93" eb="95">
      <t>ケッテイ</t>
    </rPh>
    <rPh sb="101" eb="102">
      <t>トモナ</t>
    </rPh>
    <rPh sb="104" eb="108">
      <t>シハライホウホウ</t>
    </rPh>
    <rPh sb="109" eb="111">
      <t>シヨウ</t>
    </rPh>
    <rPh sb="113" eb="115">
      <t>キノウ</t>
    </rPh>
    <rPh sb="116" eb="118">
      <t>シュウセイ</t>
    </rPh>
    <rPh sb="119" eb="120">
      <t>オコナ</t>
    </rPh>
    <rPh sb="135" eb="137">
      <t>サイム</t>
    </rPh>
    <rPh sb="141" eb="144">
      <t>テイレイカイ</t>
    </rPh>
    <rPh sb="145" eb="148">
      <t>セツメイズ</t>
    </rPh>
    <phoneticPr fontId="2"/>
  </si>
  <si>
    <t>①
シート：処理概要
・開発内容
項目：支払条件の追加
・前提条件
「JPYのみ登録する」⇒削除
（海外送金に該当する支払方法も管理対象になるため、文言の削除を行う）
「支払方法と支払方法(更新後)が重複しないこと。」⇒削除
シート：DFD、イベント説明
・「2.「支払方法」入力時」,「3.「支払方法(更新後)」入力時」の処理⇒削除
（支払方法の重複チェック処理が不要になったため処）
シート：画面項目説明
「※支払方法(更新後)と重複しないこと」⇒削除
シート：画面レイアウト・画面項目説明
項目：支払条件の追加
②
シート：画面レイアウト
支払方法の最新化
シート：補足説明
支払方法の最新化</t>
    <rPh sb="29" eb="33">
      <t>ゼンテイジョウケン</t>
    </rPh>
    <rPh sb="50" eb="54">
      <t>カイガイソウキン</t>
    </rPh>
    <rPh sb="55" eb="57">
      <t>ガイトウ</t>
    </rPh>
    <rPh sb="59" eb="63">
      <t>シハライホウホウ</t>
    </rPh>
    <rPh sb="64" eb="68">
      <t>カンリタイショウ</t>
    </rPh>
    <rPh sb="74" eb="76">
      <t>モンゴン</t>
    </rPh>
    <rPh sb="77" eb="79">
      <t>サクジョ</t>
    </rPh>
    <rPh sb="80" eb="81">
      <t>オコナ</t>
    </rPh>
    <rPh sb="265" eb="267">
      <t>ガメン</t>
    </rPh>
    <rPh sb="273" eb="277">
      <t>シハライホウホウ</t>
    </rPh>
    <rPh sb="278" eb="281">
      <t>サイシンカ</t>
    </rPh>
    <rPh sb="286" eb="290">
      <t>ホソクセツメイ</t>
    </rPh>
    <phoneticPr fontId="2"/>
  </si>
  <si>
    <t>詳細設計書</t>
    <rPh sb="0" eb="5">
      <t>ショウサイセッケイショ</t>
    </rPh>
    <phoneticPr fontId="3"/>
  </si>
  <si>
    <t>オブジェクト名</t>
    <rPh sb="6" eb="7">
      <t>メイ</t>
    </rPh>
    <phoneticPr fontId="2"/>
  </si>
  <si>
    <t>概要</t>
    <rPh sb="0" eb="2">
      <t>ガイヨウ</t>
    </rPh>
    <phoneticPr fontId="2"/>
  </si>
  <si>
    <t>詳細設計書</t>
    <rPh sb="0" eb="2">
      <t>ショウサイ</t>
    </rPh>
    <rPh sb="2" eb="5">
      <t>セッケイショ</t>
    </rPh>
    <phoneticPr fontId="3"/>
  </si>
  <si>
    <t>プログラムフロー図</t>
    <rPh sb="8" eb="9">
      <t>ズ</t>
    </rPh>
    <phoneticPr fontId="2"/>
  </si>
  <si>
    <t>IO</t>
    <phoneticPr fontId="2"/>
  </si>
  <si>
    <t>折り返して全体を表示する</t>
    <rPh sb="0" eb="1">
      <t>オ</t>
    </rPh>
    <rPh sb="2" eb="3">
      <t>カエ</t>
    </rPh>
    <rPh sb="5" eb="7">
      <t>ゼンタイ</t>
    </rPh>
    <rPh sb="8" eb="10">
      <t>ヒョウジ</t>
    </rPh>
    <phoneticPr fontId="2"/>
  </si>
  <si>
    <t>表示/非表示
Visivility</t>
    <phoneticPr fontId="2"/>
  </si>
  <si>
    <t>テーブル種別</t>
    <rPh sb="4" eb="6">
      <t>シュベツ</t>
    </rPh>
    <phoneticPr fontId="2"/>
  </si>
  <si>
    <t>オブジェクト</t>
    <phoneticPr fontId="2"/>
  </si>
  <si>
    <t>I/O</t>
    <phoneticPr fontId="2"/>
  </si>
  <si>
    <t>テキスト</t>
    <phoneticPr fontId="2"/>
  </si>
  <si>
    <t>標準</t>
    <rPh sb="0" eb="2">
      <t>ヒョウジュン</t>
    </rPh>
    <phoneticPr fontId="2"/>
  </si>
  <si>
    <t>表示</t>
    <rPh sb="0" eb="2">
      <t>ヒョウジ</t>
    </rPh>
    <phoneticPr fontId="2"/>
  </si>
  <si>
    <t>テーブル</t>
    <phoneticPr fontId="2"/>
  </si>
  <si>
    <t>Class</t>
    <phoneticPr fontId="2"/>
  </si>
  <si>
    <t>I</t>
    <phoneticPr fontId="2"/>
  </si>
  <si>
    <t>日付</t>
    <rPh sb="0" eb="2">
      <t>ヒヅケ</t>
    </rPh>
    <phoneticPr fontId="2"/>
  </si>
  <si>
    <t>中央詰</t>
    <rPh sb="0" eb="2">
      <t>チュウオウ</t>
    </rPh>
    <rPh sb="2" eb="3">
      <t>ヅ</t>
    </rPh>
    <phoneticPr fontId="2"/>
  </si>
  <si>
    <t>非表示</t>
    <rPh sb="0" eb="3">
      <t>ヒヒョウジ</t>
    </rPh>
    <phoneticPr fontId="2"/>
  </si>
  <si>
    <t>ビュー</t>
    <phoneticPr fontId="2"/>
  </si>
  <si>
    <t>Form Class</t>
    <phoneticPr fontId="2"/>
  </si>
  <si>
    <t>O</t>
    <phoneticPr fontId="2"/>
  </si>
  <si>
    <t>左詰</t>
    <rPh sb="0" eb="1">
      <t>ヒダリ</t>
    </rPh>
    <rPh sb="1" eb="2">
      <t>ヅ</t>
    </rPh>
    <phoneticPr fontId="2"/>
  </si>
  <si>
    <t>上詰</t>
    <rPh sb="0" eb="1">
      <t>ウエ</t>
    </rPh>
    <rPh sb="1" eb="2">
      <t>ヅ</t>
    </rPh>
    <phoneticPr fontId="2"/>
  </si>
  <si>
    <t>Table Class</t>
  </si>
  <si>
    <t>右詰</t>
    <rPh sb="0" eb="1">
      <t>ミギ</t>
    </rPh>
    <rPh sb="1" eb="2">
      <t>ツ</t>
    </rPh>
    <phoneticPr fontId="2"/>
  </si>
  <si>
    <t>下詰</t>
    <rPh sb="0" eb="1">
      <t>シタ</t>
    </rPh>
    <rPh sb="1" eb="2">
      <t>ツ</t>
    </rPh>
    <phoneticPr fontId="2"/>
  </si>
  <si>
    <t>Macro</t>
    <phoneticPr fontId="2"/>
  </si>
  <si>
    <t>Enum</t>
    <phoneticPr fontId="2"/>
  </si>
  <si>
    <t>EDT</t>
    <phoneticPr fontId="2"/>
  </si>
  <si>
    <t>Queries</t>
    <phoneticPr fontId="2"/>
  </si>
  <si>
    <t>Data Entities</t>
    <phoneticPr fontId="2"/>
  </si>
  <si>
    <t>Maps</t>
    <phoneticPr fontId="2"/>
  </si>
  <si>
    <t>Forms</t>
    <phoneticPr fontId="2"/>
  </si>
  <si>
    <t>Menus</t>
    <phoneticPr fontId="2"/>
  </si>
  <si>
    <t>Menu Items(Display)</t>
    <phoneticPr fontId="2"/>
  </si>
  <si>
    <t>Menu Items(Output)</t>
    <phoneticPr fontId="2"/>
  </si>
  <si>
    <t>Menu Items(Action)</t>
    <phoneticPr fontId="2"/>
  </si>
  <si>
    <t>Repoters</t>
    <phoneticPr fontId="2"/>
  </si>
  <si>
    <t>Security Roles</t>
    <phoneticPr fontId="2"/>
  </si>
  <si>
    <t>Security Duties</t>
    <phoneticPr fontId="2"/>
  </si>
  <si>
    <t>Security Policies</t>
    <phoneticPr fontId="2"/>
  </si>
  <si>
    <t>シート：「処理概要」</t>
    <rPh sb="5" eb="9">
      <t>ショリガイヨウ</t>
    </rPh>
    <phoneticPr fontId="2"/>
  </si>
  <si>
    <t>「処理概要」シート　　開発内容
以下のように修正。
■変更前：必須項目
■変更後：画面上に追加する項目</t>
    <rPh sb="1" eb="5">
      <t>ショリガイヨウ</t>
    </rPh>
    <rPh sb="11" eb="13">
      <t>カイハツ</t>
    </rPh>
    <rPh sb="13" eb="15">
      <t>ナイヨウ</t>
    </rPh>
    <rPh sb="31" eb="33">
      <t>ヒッス</t>
    </rPh>
    <rPh sb="33" eb="35">
      <t>コウモク</t>
    </rPh>
    <rPh sb="41" eb="44">
      <t>ガメンジョウ</t>
    </rPh>
    <rPh sb="45" eb="47">
      <t>ツイカ</t>
    </rPh>
    <rPh sb="49" eb="51">
      <t>コウモク</t>
    </rPh>
    <phoneticPr fontId="29"/>
  </si>
  <si>
    <t>1.1</t>
    <phoneticPr fontId="2"/>
  </si>
  <si>
    <t>シート：「画面項目説明」</t>
    <rPh sb="5" eb="7">
      <t>ガメン</t>
    </rPh>
    <rPh sb="7" eb="9">
      <t>コウモク</t>
    </rPh>
    <rPh sb="9" eb="11">
      <t>セツメイ</t>
    </rPh>
    <phoneticPr fontId="2"/>
  </si>
  <si>
    <t>「画面項目説明」シート　　　支払条件
必須入力項目の追加。
以下のように修正。
■変更前：必須：×
■変更後：必須：〇</t>
    <rPh sb="1" eb="3">
      <t>ガメン</t>
    </rPh>
    <rPh sb="3" eb="5">
      <t>コウモク</t>
    </rPh>
    <rPh sb="5" eb="7">
      <t>セツメイ</t>
    </rPh>
    <rPh sb="14" eb="16">
      <t>シハライ</t>
    </rPh>
    <rPh sb="16" eb="18">
      <t>ジョウケン</t>
    </rPh>
    <rPh sb="19" eb="21">
      <t>ヒッス</t>
    </rPh>
    <rPh sb="21" eb="23">
      <t>ニュウリョク</t>
    </rPh>
    <rPh sb="23" eb="25">
      <t>コウモク</t>
    </rPh>
    <rPh sb="26" eb="28">
      <t>ツイカ</t>
    </rPh>
    <rPh sb="45" eb="47">
      <t>ヒッス</t>
    </rPh>
    <rPh sb="55" eb="57">
      <t>ヒッス</t>
    </rPh>
    <phoneticPr fontId="29"/>
  </si>
  <si>
    <t>画面上に追加する項目</t>
    <rPh sb="0" eb="2">
      <t>ガメン</t>
    </rPh>
    <rPh sb="2" eb="3">
      <t>ジョウ</t>
    </rPh>
    <rPh sb="4" eb="6">
      <t>ツイカ</t>
    </rPh>
    <rPh sb="8" eb="10">
      <t>コウモク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</si>
</sst>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/d;@"/>
  </numFmts>
  <fonts count="30">
    <font>
      <sz val="11"/>
      <color theme="1"/>
      <name val="Yu Gothic"/>
      <family val="2"/>
      <scheme val="minor"/>
    </font>
    <font>
      <sz val="11"/>
      <color theme="1"/>
      <name val="Yu Gothic"/>
      <family val="2"/>
      <charset val="128"/>
      <scheme val="minor"/>
    </font>
    <font>
      <sz val="6"/>
      <name val="Yu Gothic"/>
      <family val="3"/>
      <charset val="128"/>
      <scheme val="minor"/>
    </font>
    <font>
      <sz val="6"/>
      <name val="ＭＳ Ｐゴシック"/>
      <family val="3"/>
      <charset val="128"/>
    </font>
    <font>
      <sz val="10"/>
      <name val="Meiryo UI"/>
      <family val="3"/>
      <charset val="128"/>
    </font>
    <font>
      <sz val="10"/>
      <color theme="1"/>
      <name val="Meiryo UI"/>
      <family val="3"/>
      <charset val="128"/>
    </font>
    <font>
      <u/>
      <sz val="10"/>
      <color theme="1"/>
      <name val="Meiryo UI"/>
      <family val="3"/>
      <charset val="128"/>
    </font>
    <font>
      <sz val="11"/>
      <color theme="1"/>
      <name val="Meiryo UI"/>
      <family val="3"/>
      <charset val="128"/>
    </font>
    <font>
      <b/>
      <sz val="10"/>
      <color theme="0"/>
      <name val="Meiryo UI"/>
      <family val="3"/>
      <charset val="128"/>
    </font>
    <font>
      <sz val="18"/>
      <color theme="1"/>
      <name val="Meiryo UI"/>
      <family val="3"/>
      <charset val="128"/>
    </font>
    <font>
      <sz val="16"/>
      <color theme="1"/>
      <name val="Meiryo UI"/>
      <family val="3"/>
      <charset val="128"/>
    </font>
    <font>
      <sz val="20"/>
      <color theme="1"/>
      <name val="Meiryo UI"/>
      <family val="3"/>
      <charset val="128"/>
    </font>
    <font>
      <sz val="12"/>
      <color theme="1"/>
      <name val="Meiryo UI"/>
      <family val="3"/>
      <charset val="128"/>
    </font>
    <font>
      <sz val="10"/>
      <color theme="0"/>
      <name val="Meiryo UI"/>
      <family val="3"/>
      <charset val="128"/>
    </font>
    <font>
      <u/>
      <sz val="11"/>
      <color theme="1"/>
      <name val="Meiryo UI"/>
      <family val="3"/>
      <charset val="128"/>
    </font>
    <font>
      <sz val="9"/>
      <color rgb="FFFFFFFF"/>
      <name val="Meiryo UI"/>
      <family val="3"/>
      <charset val="128"/>
    </font>
    <font>
      <sz val="9"/>
      <color theme="1"/>
      <name val="メイリオ"/>
      <family val="2"/>
      <charset val="128"/>
    </font>
    <font>
      <sz val="6"/>
      <name val="メイリオ"/>
      <family val="2"/>
      <charset val="128"/>
    </font>
    <font>
      <sz val="10"/>
      <color indexed="8"/>
      <name val="Meiryo UI"/>
      <family val="3"/>
      <charset val="128"/>
    </font>
    <font>
      <sz val="6"/>
      <name val="ＭＳ ゴシック"/>
      <family val="3"/>
      <charset val="128"/>
    </font>
    <font>
      <sz val="9"/>
      <color indexed="8"/>
      <name val="Meiryo UI"/>
      <family val="3"/>
      <charset val="128"/>
    </font>
    <font>
      <sz val="10"/>
      <color rgb="FF0000FF"/>
      <name val="Meiryo UI"/>
      <family val="3"/>
      <charset val="128"/>
    </font>
    <font>
      <b/>
      <sz val="10"/>
      <color theme="1"/>
      <name val="Meiryo UI"/>
      <family val="3"/>
      <charset val="128"/>
    </font>
    <font>
      <sz val="11"/>
      <color theme="1"/>
      <name val="Yu Gothic"/>
      <family val="2"/>
      <scheme val="minor"/>
    </font>
    <font>
      <sz val="10"/>
      <color theme="1"/>
      <name val="Meiryo UI"/>
      <family val="3"/>
    </font>
    <font>
      <sz val="11"/>
      <color rgb="FFFF0000"/>
      <name val="Meiryo UI"/>
      <family val="3"/>
      <charset val="128"/>
    </font>
    <font>
      <sz val="14"/>
      <color theme="1"/>
      <name val="Meiryo UI"/>
      <family val="3"/>
      <charset val="128"/>
    </font>
    <font>
      <sz val="10"/>
      <color rgb="FFFF0000"/>
      <name val="Meiryo UI"/>
      <family val="3"/>
      <charset val="128"/>
    </font>
    <font>
      <sz val="11"/>
      <name val="Meiryo UI"/>
      <family val="3"/>
      <charset val="128"/>
    </font>
    <font>
      <sz val="6"/>
      <name val="Meiryo UI"/>
      <family val="2"/>
      <charset val="128"/>
    </font>
  </fonts>
  <fills count="8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2F75B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1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n">
        <color theme="0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theme="0" tint="-0.499984740745262"/>
      </right>
      <top style="medium">
        <color indexed="64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medium">
        <color indexed="64"/>
      </top>
      <bottom/>
      <diagonal/>
    </border>
    <border>
      <left style="thin">
        <color theme="0" tint="-0.499984740745262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theme="0" tint="-0.499984740745262"/>
      </right>
      <top style="medium">
        <color indexed="64"/>
      </top>
      <bottom style="medium">
        <color indexed="64"/>
      </bottom>
      <diagonal/>
    </border>
    <border>
      <left style="thin">
        <color theme="0" tint="-0.499984740745262"/>
      </left>
      <right style="thin">
        <color theme="0" tint="-0.499984740745262"/>
      </right>
      <top style="medium">
        <color indexed="64"/>
      </top>
      <bottom style="medium">
        <color indexed="64"/>
      </bottom>
      <diagonal/>
    </border>
    <border>
      <left style="thin">
        <color theme="0" tint="-0.499984740745262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theme="0" tint="-0.499984740745262"/>
      </right>
      <top style="medium">
        <color indexed="64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medium">
        <color indexed="64"/>
      </top>
      <bottom style="thin">
        <color theme="0" tint="-0.499984740745262"/>
      </bottom>
      <diagonal/>
    </border>
    <border>
      <left style="thin">
        <color theme="0" tint="-0.499984740745262"/>
      </left>
      <right style="medium">
        <color indexed="64"/>
      </right>
      <top style="medium">
        <color indexed="64"/>
      </top>
      <bottom style="thin">
        <color theme="0" tint="-0.499984740745262"/>
      </bottom>
      <diagonal/>
    </border>
    <border>
      <left style="medium">
        <color indexed="64"/>
      </left>
      <right style="thin">
        <color theme="0" tint="-0.499984740745262"/>
      </right>
      <top style="medium">
        <color indexed="64"/>
      </top>
      <bottom style="thin">
        <color indexed="64"/>
      </bottom>
      <diagonal/>
    </border>
    <border>
      <left style="thin">
        <color theme="0" tint="-0.499984740745262"/>
      </left>
      <right style="thin">
        <color theme="0" tint="-0.499984740745262"/>
      </right>
      <top style="medium">
        <color indexed="64"/>
      </top>
      <bottom style="thin">
        <color indexed="64"/>
      </bottom>
      <diagonal/>
    </border>
    <border>
      <left style="thin">
        <color theme="0" tint="-0.499984740745262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theme="0" tint="-0.499984740745262"/>
      </right>
      <top style="thin">
        <color theme="0" tint="-0.499984740745262"/>
      </top>
      <bottom style="medium">
        <color indexed="64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medium">
        <color indexed="64"/>
      </bottom>
      <diagonal/>
    </border>
    <border>
      <left style="thin">
        <color theme="0" tint="-0.499984740745262"/>
      </left>
      <right style="medium">
        <color indexed="64"/>
      </right>
      <top style="thin">
        <color theme="0" tint="-0.499984740745262"/>
      </top>
      <bottom style="medium">
        <color indexed="64"/>
      </bottom>
      <diagonal/>
    </border>
    <border>
      <left style="medium">
        <color indexed="64"/>
      </left>
      <right style="thin">
        <color theme="0" tint="-0.499984740745262"/>
      </right>
      <top/>
      <bottom style="thin">
        <color indexed="64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indexed="64"/>
      </bottom>
      <diagonal/>
    </border>
    <border>
      <left style="thin">
        <color theme="0" tint="-0.499984740745262"/>
      </left>
      <right style="medium">
        <color indexed="64"/>
      </right>
      <top/>
      <bottom style="thin">
        <color indexed="64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medium">
        <color auto="1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medium">
        <color indexed="64"/>
      </bottom>
      <diagonal/>
    </border>
    <border>
      <left/>
      <right/>
      <top style="thin">
        <color theme="0" tint="-0.499984740745262"/>
      </top>
      <bottom style="medium">
        <color indexed="64"/>
      </bottom>
      <diagonal/>
    </border>
    <border>
      <left/>
      <right style="medium">
        <color indexed="64"/>
      </right>
      <top style="thin">
        <color theme="0" tint="-0.499984740745262"/>
      </top>
      <bottom style="medium">
        <color indexed="64"/>
      </bottom>
      <diagonal/>
    </border>
    <border>
      <left style="medium">
        <color indexed="64"/>
      </left>
      <right style="thin">
        <color theme="0" tint="-0.499984740745262"/>
      </right>
      <top style="thin">
        <color indexed="64"/>
      </top>
      <bottom style="medium">
        <color indexed="64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indexed="64"/>
      </top>
      <bottom style="medium">
        <color indexed="64"/>
      </bottom>
      <diagonal/>
    </border>
    <border>
      <left style="thin">
        <color theme="0" tint="-0.499984740745262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theme="0" tint="-0.499984740745262"/>
      </left>
      <right style="medium">
        <color indexed="64"/>
      </right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medium">
        <color indexed="64"/>
      </bottom>
      <diagonal/>
    </border>
    <border>
      <left style="medium">
        <color auto="1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/>
      <top/>
      <bottom style="thin">
        <color theme="0" tint="-0.499984740745262"/>
      </bottom>
      <diagonal/>
    </border>
    <border>
      <left/>
      <right style="medium">
        <color indexed="64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medium">
        <color indexed="64"/>
      </right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theme="0" tint="-0.499984740745262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theme="0" tint="-0.499984740745262"/>
      </right>
      <top style="medium">
        <color indexed="64"/>
      </top>
      <bottom style="thin">
        <color indexed="64"/>
      </bottom>
      <diagonal/>
    </border>
    <border>
      <left/>
      <right style="thin">
        <color theme="0" tint="-0.499984740745262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theme="6"/>
      </top>
      <bottom style="medium">
        <color indexed="64"/>
      </bottom>
      <diagonal/>
    </border>
    <border>
      <left/>
      <right/>
      <top style="thin">
        <color theme="6"/>
      </top>
      <bottom style="medium">
        <color indexed="64"/>
      </bottom>
      <diagonal/>
    </border>
    <border>
      <left style="medium">
        <color indexed="64"/>
      </left>
      <right/>
      <top style="thin">
        <color theme="6"/>
      </top>
      <bottom style="medium">
        <color indexed="64"/>
      </bottom>
      <diagonal/>
    </border>
    <border>
      <left/>
      <right style="medium">
        <color indexed="64"/>
      </right>
      <top style="thin">
        <color theme="6"/>
      </top>
      <bottom style="thin">
        <color theme="6"/>
      </bottom>
      <diagonal/>
    </border>
    <border>
      <left/>
      <right/>
      <top style="thin">
        <color theme="6"/>
      </top>
      <bottom style="thin">
        <color theme="6"/>
      </bottom>
      <diagonal/>
    </border>
    <border>
      <left style="medium">
        <color indexed="64"/>
      </left>
      <right/>
      <top style="thin">
        <color theme="6"/>
      </top>
      <bottom style="thin">
        <color theme="6"/>
      </bottom>
      <diagonal/>
    </border>
    <border>
      <left/>
      <right style="medium">
        <color indexed="64"/>
      </right>
      <top/>
      <bottom style="thin">
        <color theme="6"/>
      </bottom>
      <diagonal/>
    </border>
    <border>
      <left style="medium">
        <color indexed="64"/>
      </left>
      <right/>
      <top/>
      <bottom style="thin">
        <color theme="6"/>
      </bottom>
      <diagonal/>
    </border>
    <border>
      <left/>
      <right style="medium">
        <color indexed="64"/>
      </right>
      <top style="medium">
        <color indexed="64"/>
      </top>
      <bottom style="thin">
        <color theme="6"/>
      </bottom>
      <diagonal/>
    </border>
    <border>
      <left/>
      <right/>
      <top style="medium">
        <color indexed="64"/>
      </top>
      <bottom style="thin">
        <color theme="6"/>
      </bottom>
      <diagonal/>
    </border>
    <border>
      <left style="medium">
        <color indexed="64"/>
      </left>
      <right/>
      <top style="medium">
        <color indexed="64"/>
      </top>
      <bottom style="thin">
        <color theme="6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thin">
        <color theme="0" tint="-0.499984740745262"/>
      </top>
      <bottom style="medium">
        <color indexed="64"/>
      </bottom>
      <diagonal/>
    </border>
    <border>
      <left style="thin">
        <color theme="0" tint="-0.499984740745262"/>
      </left>
      <right/>
      <top style="medium">
        <color indexed="64"/>
      </top>
      <bottom style="thin">
        <color theme="0" tint="-0.499984740745262"/>
      </bottom>
      <diagonal/>
    </border>
    <border>
      <left/>
      <right/>
      <top style="medium">
        <color indexed="64"/>
      </top>
      <bottom style="thin">
        <color theme="0" tint="-0.499984740745262"/>
      </bottom>
      <diagonal/>
    </border>
    <border>
      <left/>
      <right style="medium">
        <color indexed="64"/>
      </right>
      <top style="medium">
        <color indexed="64"/>
      </top>
      <bottom style="thin">
        <color theme="0" tint="-0.499984740745262"/>
      </bottom>
      <diagonal/>
    </border>
    <border>
      <left style="medium">
        <color indexed="64"/>
      </left>
      <right/>
      <top style="medium">
        <color indexed="64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medium">
        <color indexed="64"/>
      </top>
      <bottom style="thin">
        <color theme="0" tint="-0.499984740745262"/>
      </bottom>
      <diagonal/>
    </border>
    <border>
      <left style="medium">
        <color auto="1"/>
      </left>
      <right style="medium">
        <color auto="1"/>
      </right>
      <top style="thin">
        <color theme="0" tint="-0.499984740745262"/>
      </top>
      <bottom style="thin">
        <color theme="0" tint="-0.499984740745262"/>
      </bottom>
      <diagonal/>
    </border>
  </borders>
  <cellStyleXfs count="5">
    <xf numFmtId="0" fontId="0" fillId="0" borderId="0"/>
    <xf numFmtId="0" fontId="16" fillId="0" borderId="0">
      <alignment vertical="center"/>
    </xf>
    <xf numFmtId="0" fontId="1" fillId="0" borderId="0">
      <alignment vertical="center"/>
    </xf>
    <xf numFmtId="0" fontId="23" fillId="0" borderId="0"/>
    <xf numFmtId="38" fontId="23" fillId="0" borderId="0" applyFont="0" applyFill="0" applyBorder="0" applyAlignment="0" applyProtection="0">
      <alignment vertical="center"/>
    </xf>
  </cellStyleXfs>
  <cellXfs count="576">
    <xf numFmtId="0" fontId="0" fillId="0" borderId="0" xfId="0"/>
    <xf numFmtId="0" fontId="5" fillId="0" borderId="0" xfId="0" applyFont="1" applyAlignment="1">
      <alignment vertical="center"/>
    </xf>
    <xf numFmtId="0" fontId="6" fillId="0" borderId="21" xfId="0" applyFont="1" applyBorder="1" applyAlignment="1">
      <alignment vertical="center"/>
    </xf>
    <xf numFmtId="0" fontId="5" fillId="0" borderId="12" xfId="0" applyFont="1" applyBorder="1" applyAlignment="1">
      <alignment vertical="center"/>
    </xf>
    <xf numFmtId="0" fontId="5" fillId="0" borderId="22" xfId="0" applyFont="1" applyBorder="1" applyAlignment="1">
      <alignment vertical="center"/>
    </xf>
    <xf numFmtId="49" fontId="5" fillId="0" borderId="0" xfId="0" applyNumberFormat="1" applyFont="1" applyAlignment="1">
      <alignment vertical="center"/>
    </xf>
    <xf numFmtId="0" fontId="5" fillId="0" borderId="13" xfId="0" applyFont="1" applyBorder="1" applyAlignment="1">
      <alignment vertical="center"/>
    </xf>
    <xf numFmtId="0" fontId="7" fillId="0" borderId="24" xfId="0" applyFont="1" applyBorder="1"/>
    <xf numFmtId="0" fontId="7" fillId="0" borderId="11" xfId="0" applyFont="1" applyBorder="1"/>
    <xf numFmtId="0" fontId="7" fillId="0" borderId="26" xfId="0" applyFont="1" applyBorder="1"/>
    <xf numFmtId="0" fontId="7" fillId="0" borderId="23" xfId="0" applyFont="1" applyBorder="1"/>
    <xf numFmtId="0" fontId="7" fillId="0" borderId="25" xfId="0" applyFont="1" applyBorder="1"/>
    <xf numFmtId="0" fontId="7" fillId="0" borderId="46" xfId="0" applyFont="1" applyBorder="1"/>
    <xf numFmtId="0" fontId="7" fillId="0" borderId="47" xfId="0" applyFont="1" applyBorder="1"/>
    <xf numFmtId="0" fontId="7" fillId="0" borderId="43" xfId="0" applyFont="1" applyBorder="1"/>
    <xf numFmtId="0" fontId="5" fillId="0" borderId="23" xfId="0" applyFont="1" applyBorder="1" applyAlignment="1">
      <alignment vertical="center"/>
    </xf>
    <xf numFmtId="0" fontId="6" fillId="0" borderId="23" xfId="0" applyFont="1" applyBorder="1" applyAlignment="1">
      <alignment vertical="center"/>
    </xf>
    <xf numFmtId="0" fontId="5" fillId="0" borderId="25" xfId="0" applyFont="1" applyBorder="1" applyAlignment="1">
      <alignment vertical="center"/>
    </xf>
    <xf numFmtId="0" fontId="7" fillId="0" borderId="0" xfId="0" applyFont="1"/>
    <xf numFmtId="0" fontId="7" fillId="0" borderId="29" xfId="0" applyFont="1" applyBorder="1" applyAlignment="1">
      <alignment vertical="center"/>
    </xf>
    <xf numFmtId="0" fontId="5" fillId="0" borderId="0" xfId="0" applyFont="1" applyAlignment="1">
      <alignment horizontal="left" vertical="center"/>
    </xf>
    <xf numFmtId="0" fontId="5" fillId="0" borderId="28" xfId="0" applyFont="1" applyBorder="1" applyAlignment="1">
      <alignment vertical="center"/>
    </xf>
    <xf numFmtId="0" fontId="5" fillId="0" borderId="44" xfId="0" applyFont="1" applyBorder="1" applyAlignment="1">
      <alignment vertical="center"/>
    </xf>
    <xf numFmtId="0" fontId="5" fillId="0" borderId="29" xfId="0" applyFont="1" applyBorder="1" applyAlignment="1">
      <alignment vertical="center"/>
    </xf>
    <xf numFmtId="0" fontId="5" fillId="0" borderId="24" xfId="0" applyFont="1" applyBorder="1" applyAlignment="1">
      <alignment vertical="center"/>
    </xf>
    <xf numFmtId="0" fontId="5" fillId="0" borderId="11" xfId="0" applyFont="1" applyBorder="1" applyAlignment="1">
      <alignment vertical="center"/>
    </xf>
    <xf numFmtId="0" fontId="5" fillId="0" borderId="26" xfId="0" applyFont="1" applyBorder="1" applyAlignment="1">
      <alignment vertical="center"/>
    </xf>
    <xf numFmtId="0" fontId="15" fillId="0" borderId="0" xfId="0" applyFont="1" applyAlignment="1">
      <alignment horizontal="center" vertical="center"/>
    </xf>
    <xf numFmtId="0" fontId="7" fillId="0" borderId="0" xfId="0" applyFont="1" applyAlignment="1">
      <alignment wrapText="1"/>
    </xf>
    <xf numFmtId="0" fontId="7" fillId="0" borderId="21" xfId="0" applyFont="1" applyBorder="1"/>
    <xf numFmtId="0" fontId="7" fillId="0" borderId="22" xfId="0" applyFont="1" applyBorder="1"/>
    <xf numFmtId="0" fontId="7" fillId="0" borderId="12" xfId="0" applyFont="1" applyBorder="1"/>
    <xf numFmtId="0" fontId="7" fillId="0" borderId="22" xfId="0" applyFont="1" applyBorder="1" applyAlignment="1">
      <alignment vertical="center"/>
    </xf>
    <xf numFmtId="0" fontId="7" fillId="0" borderId="24" xfId="0" applyFont="1" applyBorder="1" applyAlignment="1">
      <alignment vertical="center"/>
    </xf>
    <xf numFmtId="0" fontId="7" fillId="0" borderId="21" xfId="0" applyFont="1" applyBorder="1" applyAlignment="1">
      <alignment vertical="center"/>
    </xf>
    <xf numFmtId="0" fontId="7" fillId="0" borderId="23" xfId="0" applyFont="1" applyBorder="1" applyAlignment="1">
      <alignment vertical="center"/>
    </xf>
    <xf numFmtId="0" fontId="7" fillId="0" borderId="0" xfId="0" applyFont="1" applyAlignment="1">
      <alignment horizontal="center" vertical="center"/>
    </xf>
    <xf numFmtId="0" fontId="5" fillId="0" borderId="27" xfId="0" applyFont="1" applyBorder="1" applyAlignment="1">
      <alignment vertical="center"/>
    </xf>
    <xf numFmtId="0" fontId="5" fillId="0" borderId="36" xfId="0" applyFont="1" applyBorder="1" applyAlignment="1">
      <alignment vertical="center"/>
    </xf>
    <xf numFmtId="0" fontId="5" fillId="0" borderId="41" xfId="0" applyFont="1" applyBorder="1" applyAlignment="1">
      <alignment vertical="center"/>
    </xf>
    <xf numFmtId="0" fontId="5" fillId="0" borderId="42" xfId="0" applyFont="1" applyBorder="1" applyAlignment="1">
      <alignment vertical="center"/>
    </xf>
    <xf numFmtId="0" fontId="4" fillId="0" borderId="0" xfId="0" applyFont="1" applyAlignment="1">
      <alignment vertical="center"/>
    </xf>
    <xf numFmtId="0" fontId="15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14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9" fillId="0" borderId="50" xfId="0" applyFont="1" applyBorder="1" applyAlignment="1">
      <alignment vertical="center"/>
    </xf>
    <xf numFmtId="0" fontId="5" fillId="0" borderId="0" xfId="0" applyFont="1" applyAlignment="1">
      <alignment horizontal="center" vertical="center"/>
    </xf>
    <xf numFmtId="0" fontId="7" fillId="0" borderId="25" xfId="0" applyFont="1" applyBorder="1" applyAlignment="1">
      <alignment vertical="center"/>
    </xf>
    <xf numFmtId="0" fontId="7" fillId="0" borderId="11" xfId="0" applyFont="1" applyBorder="1" applyAlignment="1">
      <alignment vertical="center"/>
    </xf>
    <xf numFmtId="0" fontId="7" fillId="0" borderId="26" xfId="0" applyFont="1" applyBorder="1" applyAlignment="1">
      <alignment vertical="center"/>
    </xf>
    <xf numFmtId="0" fontId="5" fillId="0" borderId="5" xfId="0" applyFont="1" applyBorder="1" applyAlignment="1">
      <alignment vertical="center"/>
    </xf>
    <xf numFmtId="0" fontId="5" fillId="0" borderId="15" xfId="0" applyFont="1" applyBorder="1" applyAlignment="1">
      <alignment vertical="center"/>
    </xf>
    <xf numFmtId="0" fontId="5" fillId="0" borderId="23" xfId="0" quotePrefix="1" applyFont="1" applyBorder="1" applyAlignment="1">
      <alignment vertical="center"/>
    </xf>
    <xf numFmtId="49" fontId="5" fillId="0" borderId="29" xfId="0" applyNumberFormat="1" applyFont="1" applyBorder="1" applyAlignment="1">
      <alignment vertical="center"/>
    </xf>
    <xf numFmtId="49" fontId="5" fillId="0" borderId="24" xfId="0" applyNumberFormat="1" applyFont="1" applyBorder="1" applyAlignment="1">
      <alignment vertical="center"/>
    </xf>
    <xf numFmtId="0" fontId="5" fillId="0" borderId="0" xfId="0" applyFont="1" applyAlignment="1">
      <alignment horizontal="left" vertical="center" wrapText="1"/>
    </xf>
    <xf numFmtId="0" fontId="5" fillId="0" borderId="30" xfId="0" applyFont="1" applyBorder="1" applyAlignment="1">
      <alignment vertical="center"/>
    </xf>
    <xf numFmtId="49" fontId="5" fillId="0" borderId="30" xfId="0" applyNumberFormat="1" applyFont="1" applyBorder="1" applyAlignment="1">
      <alignment vertical="center"/>
    </xf>
    <xf numFmtId="49" fontId="5" fillId="0" borderId="11" xfId="0" applyNumberFormat="1" applyFont="1" applyBorder="1" applyAlignment="1">
      <alignment vertical="center"/>
    </xf>
    <xf numFmtId="49" fontId="5" fillId="0" borderId="26" xfId="0" applyNumberFormat="1" applyFont="1" applyBorder="1" applyAlignment="1">
      <alignment vertical="center"/>
    </xf>
    <xf numFmtId="0" fontId="5" fillId="0" borderId="16" xfId="0" applyFont="1" applyBorder="1" applyAlignment="1">
      <alignment vertical="center"/>
    </xf>
    <xf numFmtId="0" fontId="5" fillId="0" borderId="20" xfId="0" applyFont="1" applyBorder="1" applyAlignment="1">
      <alignment vertical="center"/>
    </xf>
    <xf numFmtId="0" fontId="5" fillId="0" borderId="19" xfId="0" applyFont="1" applyBorder="1" applyAlignment="1">
      <alignment vertical="center"/>
    </xf>
    <xf numFmtId="0" fontId="5" fillId="0" borderId="21" xfId="0" applyFont="1" applyBorder="1" applyAlignment="1">
      <alignment vertical="center"/>
    </xf>
    <xf numFmtId="0" fontId="7" fillId="0" borderId="12" xfId="0" applyFont="1" applyBorder="1" applyAlignment="1">
      <alignment vertical="center"/>
    </xf>
    <xf numFmtId="0" fontId="7" fillId="2" borderId="23" xfId="0" applyFont="1" applyFill="1" applyBorder="1" applyAlignment="1">
      <alignment vertical="center"/>
    </xf>
    <xf numFmtId="0" fontId="7" fillId="2" borderId="0" xfId="0" applyFont="1" applyFill="1" applyAlignment="1">
      <alignment vertical="center"/>
    </xf>
    <xf numFmtId="0" fontId="7" fillId="2" borderId="24" xfId="0" applyFont="1" applyFill="1" applyBorder="1" applyAlignment="1">
      <alignment vertical="center"/>
    </xf>
    <xf numFmtId="0" fontId="7" fillId="0" borderId="23" xfId="0" applyFont="1" applyBorder="1" applyAlignment="1">
      <alignment horizontal="center" vertical="center"/>
    </xf>
    <xf numFmtId="0" fontId="7" fillId="0" borderId="24" xfId="0" applyFont="1" applyBorder="1" applyAlignment="1">
      <alignment horizontal="center" vertical="center"/>
    </xf>
    <xf numFmtId="0" fontId="7" fillId="2" borderId="25" xfId="0" applyFont="1" applyFill="1" applyBorder="1" applyAlignment="1">
      <alignment vertical="center"/>
    </xf>
    <xf numFmtId="0" fontId="7" fillId="2" borderId="11" xfId="0" applyFont="1" applyFill="1" applyBorder="1" applyAlignment="1">
      <alignment vertical="center"/>
    </xf>
    <xf numFmtId="0" fontId="5" fillId="0" borderId="0" xfId="0" quotePrefix="1" applyFont="1" applyAlignment="1">
      <alignment horizontal="right" vertical="center"/>
    </xf>
    <xf numFmtId="0" fontId="8" fillId="3" borderId="40" xfId="0" applyFont="1" applyFill="1" applyBorder="1" applyAlignment="1">
      <alignment vertical="center"/>
    </xf>
    <xf numFmtId="0" fontId="8" fillId="3" borderId="41" xfId="0" applyFont="1" applyFill="1" applyBorder="1" applyAlignment="1">
      <alignment vertical="center"/>
    </xf>
    <xf numFmtId="0" fontId="8" fillId="3" borderId="42" xfId="0" applyFont="1" applyFill="1" applyBorder="1" applyAlignment="1">
      <alignment vertical="center"/>
    </xf>
    <xf numFmtId="0" fontId="8" fillId="3" borderId="38" xfId="0" applyFont="1" applyFill="1" applyBorder="1" applyAlignment="1">
      <alignment vertical="center"/>
    </xf>
    <xf numFmtId="0" fontId="8" fillId="3" borderId="27" xfId="0" applyFont="1" applyFill="1" applyBorder="1" applyAlignment="1">
      <alignment vertical="center"/>
    </xf>
    <xf numFmtId="0" fontId="8" fillId="3" borderId="36" xfId="0" applyFont="1" applyFill="1" applyBorder="1" applyAlignment="1">
      <alignment vertical="center"/>
    </xf>
    <xf numFmtId="0" fontId="8" fillId="3" borderId="39" xfId="0" applyFont="1" applyFill="1" applyBorder="1" applyAlignment="1">
      <alignment vertical="center"/>
    </xf>
    <xf numFmtId="0" fontId="8" fillId="3" borderId="35" xfId="0" applyFont="1" applyFill="1" applyBorder="1" applyAlignment="1">
      <alignment vertical="center"/>
    </xf>
    <xf numFmtId="0" fontId="8" fillId="3" borderId="45" xfId="0" applyFont="1" applyFill="1" applyBorder="1" applyAlignment="1">
      <alignment vertical="center"/>
    </xf>
    <xf numFmtId="49" fontId="22" fillId="0" borderId="0" xfId="0" applyNumberFormat="1" applyFont="1" applyAlignment="1">
      <alignment horizontal="left" vertical="center"/>
    </xf>
    <xf numFmtId="0" fontId="22" fillId="0" borderId="23" xfId="0" applyFont="1" applyBorder="1" applyAlignment="1">
      <alignment vertical="center"/>
    </xf>
    <xf numFmtId="0" fontId="22" fillId="0" borderId="0" xfId="0" applyFont="1" applyAlignment="1">
      <alignment vertical="center"/>
    </xf>
    <xf numFmtId="0" fontId="5" fillId="0" borderId="12" xfId="0" applyFont="1" applyBorder="1" applyAlignment="1">
      <alignment horizontal="left" vertical="center"/>
    </xf>
    <xf numFmtId="0" fontId="5" fillId="0" borderId="16" xfId="0" applyFont="1" applyBorder="1" applyAlignment="1">
      <alignment horizontal="left" vertical="center"/>
    </xf>
    <xf numFmtId="0" fontId="5" fillId="0" borderId="22" xfId="0" applyFont="1" applyBorder="1" applyAlignment="1">
      <alignment horizontal="left" vertical="center"/>
    </xf>
    <xf numFmtId="0" fontId="5" fillId="0" borderId="21" xfId="0" applyFont="1" applyBorder="1" applyAlignment="1">
      <alignment horizontal="left" vertical="center"/>
    </xf>
    <xf numFmtId="0" fontId="5" fillId="0" borderId="19" xfId="0" applyFont="1" applyBorder="1" applyAlignment="1">
      <alignment horizontal="left" vertical="center"/>
    </xf>
    <xf numFmtId="0" fontId="8" fillId="0" borderId="0" xfId="0" applyFont="1" applyAlignment="1">
      <alignment horizontal="center" vertical="center"/>
    </xf>
    <xf numFmtId="0" fontId="7" fillId="0" borderId="0" xfId="3" applyFont="1" applyAlignment="1">
      <alignment vertical="center"/>
    </xf>
    <xf numFmtId="0" fontId="7" fillId="0" borderId="0" xfId="3" applyFont="1" applyAlignment="1">
      <alignment horizontal="right" vertical="center"/>
    </xf>
    <xf numFmtId="0" fontId="5" fillId="0" borderId="0" xfId="3" applyFont="1"/>
    <xf numFmtId="0" fontId="5" fillId="0" borderId="0" xfId="3" quotePrefix="1" applyFont="1"/>
    <xf numFmtId="0" fontId="5" fillId="0" borderId="107" xfId="3" applyFont="1" applyBorder="1" applyAlignment="1">
      <alignment horizontal="left" vertical="top"/>
    </xf>
    <xf numFmtId="0" fontId="24" fillId="0" borderId="107" xfId="3" applyFont="1" applyBorder="1" applyAlignment="1">
      <alignment horizontal="left" vertical="top"/>
    </xf>
    <xf numFmtId="0" fontId="5" fillId="0" borderId="108" xfId="3" quotePrefix="1" applyFont="1" applyBorder="1" applyAlignment="1">
      <alignment horizontal="left" vertical="top"/>
    </xf>
    <xf numFmtId="0" fontId="24" fillId="0" borderId="106" xfId="3" applyFont="1" applyBorder="1" applyAlignment="1">
      <alignment vertical="top"/>
    </xf>
    <xf numFmtId="0" fontId="24" fillId="0" borderId="107" xfId="3" applyFont="1" applyBorder="1" applyAlignment="1">
      <alignment vertical="top"/>
    </xf>
    <xf numFmtId="0" fontId="24" fillId="0" borderId="108" xfId="3" applyFont="1" applyBorder="1" applyAlignment="1">
      <alignment vertical="top"/>
    </xf>
    <xf numFmtId="0" fontId="5" fillId="0" borderId="110" xfId="3" applyFont="1" applyBorder="1" applyAlignment="1">
      <alignment horizontal="left" vertical="top"/>
    </xf>
    <xf numFmtId="0" fontId="24" fillId="0" borderId="110" xfId="3" applyFont="1" applyBorder="1" applyAlignment="1">
      <alignment horizontal="left" vertical="top"/>
    </xf>
    <xf numFmtId="0" fontId="5" fillId="0" borderId="111" xfId="3" quotePrefix="1" applyFont="1" applyBorder="1" applyAlignment="1">
      <alignment horizontal="left" vertical="top"/>
    </xf>
    <xf numFmtId="0" fontId="24" fillId="0" borderId="109" xfId="3" applyFont="1" applyBorder="1" applyAlignment="1">
      <alignment vertical="top"/>
    </xf>
    <xf numFmtId="0" fontId="24" fillId="0" borderId="110" xfId="3" applyFont="1" applyBorder="1" applyAlignment="1">
      <alignment vertical="top"/>
    </xf>
    <xf numFmtId="0" fontId="24" fillId="0" borderId="111" xfId="3" applyFont="1" applyBorder="1" applyAlignment="1">
      <alignment vertical="top"/>
    </xf>
    <xf numFmtId="0" fontId="5" fillId="0" borderId="0" xfId="3" applyFont="1" applyAlignment="1">
      <alignment vertical="top"/>
    </xf>
    <xf numFmtId="0" fontId="5" fillId="0" borderId="23" xfId="3" applyFont="1" applyBorder="1" applyAlignment="1">
      <alignment vertical="top"/>
    </xf>
    <xf numFmtId="0" fontId="24" fillId="0" borderId="114" xfId="3" applyFont="1" applyBorder="1" applyAlignment="1">
      <alignment vertical="top"/>
    </xf>
    <xf numFmtId="0" fontId="24" fillId="0" borderId="115" xfId="3" applyFont="1" applyBorder="1" applyAlignment="1">
      <alignment vertical="top"/>
    </xf>
    <xf numFmtId="0" fontId="24" fillId="0" borderId="116" xfId="3" applyFont="1" applyBorder="1" applyAlignment="1">
      <alignment vertical="top"/>
    </xf>
    <xf numFmtId="0" fontId="5" fillId="0" borderId="0" xfId="3" applyFont="1" applyAlignment="1">
      <alignment vertical="center"/>
    </xf>
    <xf numFmtId="0" fontId="5" fillId="0" borderId="45" xfId="3" applyFont="1" applyBorder="1" applyAlignment="1">
      <alignment horizontal="left" vertical="center"/>
    </xf>
    <xf numFmtId="0" fontId="5" fillId="0" borderId="35" xfId="3" applyFont="1" applyBorder="1" applyAlignment="1">
      <alignment horizontal="left" vertical="center"/>
    </xf>
    <xf numFmtId="0" fontId="5" fillId="0" borderId="39" xfId="3" applyFont="1" applyBorder="1" applyAlignment="1">
      <alignment horizontal="left" vertical="center"/>
    </xf>
    <xf numFmtId="0" fontId="4" fillId="4" borderId="35" xfId="3" applyFont="1" applyFill="1" applyBorder="1" applyAlignment="1">
      <alignment vertical="center"/>
    </xf>
    <xf numFmtId="0" fontId="4" fillId="4" borderId="39" xfId="3" applyFont="1" applyFill="1" applyBorder="1" applyAlignment="1">
      <alignment vertical="center"/>
    </xf>
    <xf numFmtId="0" fontId="5" fillId="0" borderId="0" xfId="3" applyFont="1" applyAlignment="1">
      <alignment horizontal="right" vertical="center"/>
    </xf>
    <xf numFmtId="0" fontId="5" fillId="0" borderId="11" xfId="3" applyFont="1" applyBorder="1" applyAlignment="1">
      <alignment vertical="center"/>
    </xf>
    <xf numFmtId="0" fontId="5" fillId="0" borderId="25" xfId="3" applyFont="1" applyBorder="1" applyAlignment="1">
      <alignment vertical="center"/>
    </xf>
    <xf numFmtId="0" fontId="5" fillId="0" borderId="36" xfId="3" applyFont="1" applyBorder="1" applyAlignment="1">
      <alignment horizontal="left" vertical="center"/>
    </xf>
    <xf numFmtId="0" fontId="5" fillId="0" borderId="27" xfId="3" applyFont="1" applyBorder="1" applyAlignment="1">
      <alignment horizontal="left" vertical="center"/>
    </xf>
    <xf numFmtId="0" fontId="5" fillId="0" borderId="38" xfId="3" applyFont="1" applyBorder="1" applyAlignment="1">
      <alignment horizontal="left" vertical="center"/>
    </xf>
    <xf numFmtId="0" fontId="4" fillId="4" borderId="27" xfId="3" applyFont="1" applyFill="1" applyBorder="1" applyAlignment="1">
      <alignment vertical="center"/>
    </xf>
    <xf numFmtId="0" fontId="4" fillId="4" borderId="38" xfId="3" applyFont="1" applyFill="1" applyBorder="1" applyAlignment="1">
      <alignment vertical="center"/>
    </xf>
    <xf numFmtId="0" fontId="5" fillId="0" borderId="42" xfId="3" applyFont="1" applyBorder="1" applyAlignment="1">
      <alignment horizontal="left" vertical="center"/>
    </xf>
    <xf numFmtId="0" fontId="5" fillId="0" borderId="41" xfId="3" applyFont="1" applyBorder="1" applyAlignment="1">
      <alignment horizontal="left" vertical="center"/>
    </xf>
    <xf numFmtId="0" fontId="5" fillId="0" borderId="40" xfId="3" applyFont="1" applyBorder="1" applyAlignment="1">
      <alignment horizontal="left" vertical="center"/>
    </xf>
    <xf numFmtId="0" fontId="4" fillId="4" borderId="41" xfId="3" applyFont="1" applyFill="1" applyBorder="1" applyAlignment="1">
      <alignment vertical="center"/>
    </xf>
    <xf numFmtId="0" fontId="4" fillId="4" borderId="40" xfId="3" applyFont="1" applyFill="1" applyBorder="1" applyAlignment="1">
      <alignment vertical="center"/>
    </xf>
    <xf numFmtId="0" fontId="7" fillId="2" borderId="0" xfId="0" applyFont="1" applyFill="1" applyAlignment="1">
      <alignment horizontal="center" vertical="center"/>
    </xf>
    <xf numFmtId="0" fontId="5" fillId="0" borderId="0" xfId="0" applyFont="1" applyAlignment="1">
      <alignment vertical="top"/>
    </xf>
    <xf numFmtId="0" fontId="7" fillId="0" borderId="0" xfId="0" applyFont="1" applyAlignment="1">
      <alignment vertical="top"/>
    </xf>
    <xf numFmtId="0" fontId="7" fillId="2" borderId="21" xfId="0" applyFont="1" applyFill="1" applyBorder="1" applyAlignment="1">
      <alignment vertical="center"/>
    </xf>
    <xf numFmtId="0" fontId="7" fillId="2" borderId="12" xfId="0" applyFont="1" applyFill="1" applyBorder="1" applyAlignment="1">
      <alignment vertical="center"/>
    </xf>
    <xf numFmtId="0" fontId="7" fillId="2" borderId="22" xfId="0" applyFont="1" applyFill="1" applyBorder="1" applyAlignment="1">
      <alignment vertical="center"/>
    </xf>
    <xf numFmtId="0" fontId="5" fillId="0" borderId="23" xfId="0" applyFont="1" applyBorder="1" applyAlignment="1">
      <alignment horizontal="center" vertical="top"/>
    </xf>
    <xf numFmtId="0" fontId="5" fillId="0" borderId="24" xfId="0" applyFont="1" applyBorder="1" applyAlignment="1">
      <alignment horizontal="center" vertical="top"/>
    </xf>
    <xf numFmtId="0" fontId="7" fillId="2" borderId="26" xfId="0" applyFont="1" applyFill="1" applyBorder="1" applyAlignment="1">
      <alignment vertical="center"/>
    </xf>
    <xf numFmtId="0" fontId="25" fillId="0" borderId="0" xfId="0" applyFont="1" applyAlignment="1">
      <alignment vertical="top"/>
    </xf>
    <xf numFmtId="0" fontId="25" fillId="0" borderId="0" xfId="0" applyFont="1" applyAlignment="1">
      <alignment vertical="center"/>
    </xf>
    <xf numFmtId="0" fontId="7" fillId="0" borderId="25" xfId="0" applyFont="1" applyBorder="1" applyAlignment="1">
      <alignment vertical="top"/>
    </xf>
    <xf numFmtId="0" fontId="26" fillId="0" borderId="0" xfId="0" applyFont="1" applyAlignment="1">
      <alignment vertical="center"/>
    </xf>
    <xf numFmtId="0" fontId="5" fillId="0" borderId="25" xfId="0" quotePrefix="1" applyFont="1" applyBorder="1" applyAlignment="1">
      <alignment vertical="center"/>
    </xf>
    <xf numFmtId="0" fontId="5" fillId="0" borderId="11" xfId="0" applyFont="1" applyBorder="1" applyAlignment="1">
      <alignment horizontal="left" vertical="center" wrapText="1"/>
    </xf>
    <xf numFmtId="0" fontId="28" fillId="0" borderId="0" xfId="0" applyFont="1" applyAlignment="1">
      <alignment vertical="top"/>
    </xf>
    <xf numFmtId="0" fontId="28" fillId="0" borderId="0" xfId="0" applyFont="1" applyAlignment="1">
      <alignment vertical="center"/>
    </xf>
    <xf numFmtId="0" fontId="28" fillId="0" borderId="11" xfId="0" applyFont="1" applyBorder="1" applyAlignment="1">
      <alignment vertical="center"/>
    </xf>
    <xf numFmtId="0" fontId="28" fillId="4" borderId="0" xfId="0" applyFont="1" applyFill="1" applyAlignment="1">
      <alignment vertical="top"/>
    </xf>
    <xf numFmtId="0" fontId="27" fillId="0" borderId="0" xfId="0" applyFont="1" applyAlignment="1">
      <alignment vertical="center"/>
    </xf>
    <xf numFmtId="0" fontId="5" fillId="0" borderId="8" xfId="0" applyFont="1" applyBorder="1" applyAlignment="1">
      <alignment vertical="center"/>
    </xf>
    <xf numFmtId="0" fontId="5" fillId="0" borderId="14" xfId="0" applyFont="1" applyBorder="1" applyAlignment="1">
      <alignment vertical="center"/>
    </xf>
    <xf numFmtId="0" fontId="5" fillId="0" borderId="7" xfId="0" applyFont="1" applyBorder="1" applyAlignment="1">
      <alignment vertical="center"/>
    </xf>
    <xf numFmtId="0" fontId="5" fillId="0" borderId="8" xfId="0" quotePrefix="1" applyFont="1" applyBorder="1" applyAlignment="1">
      <alignment vertical="center"/>
    </xf>
    <xf numFmtId="0" fontId="5" fillId="6" borderId="3" xfId="0" applyFont="1" applyFill="1" applyBorder="1" applyAlignment="1">
      <alignment vertical="center"/>
    </xf>
    <xf numFmtId="0" fontId="5" fillId="6" borderId="27" xfId="0" applyFont="1" applyFill="1" applyBorder="1" applyAlignment="1">
      <alignment vertical="center"/>
    </xf>
    <xf numFmtId="0" fontId="5" fillId="6" borderId="4" xfId="0" applyFont="1" applyFill="1" applyBorder="1" applyAlignment="1">
      <alignment vertical="center"/>
    </xf>
    <xf numFmtId="0" fontId="5" fillId="7" borderId="29" xfId="0" applyFont="1" applyFill="1" applyBorder="1" applyAlignment="1">
      <alignment vertical="center"/>
    </xf>
    <xf numFmtId="0" fontId="5" fillId="7" borderId="0" xfId="0" applyFont="1" applyFill="1" applyAlignment="1">
      <alignment vertical="center"/>
    </xf>
    <xf numFmtId="0" fontId="5" fillId="7" borderId="13" xfId="0" applyFont="1" applyFill="1" applyBorder="1" applyAlignment="1">
      <alignment vertical="center"/>
    </xf>
    <xf numFmtId="0" fontId="7" fillId="0" borderId="6" xfId="0" applyFont="1" applyBorder="1" applyAlignment="1">
      <alignment horizontal="center" vertical="center" wrapText="1"/>
    </xf>
    <xf numFmtId="0" fontId="7" fillId="0" borderId="28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7" fillId="0" borderId="29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13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7" fillId="0" borderId="14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7" fillId="4" borderId="14" xfId="0" applyFont="1" applyFill="1" applyBorder="1" applyAlignment="1">
      <alignment horizontal="center" vertical="center"/>
    </xf>
    <xf numFmtId="14" fontId="7" fillId="0" borderId="3" xfId="0" applyNumberFormat="1" applyFont="1" applyBorder="1" applyAlignment="1">
      <alignment horizontal="center" vertical="center"/>
    </xf>
    <xf numFmtId="14" fontId="7" fillId="0" borderId="27" xfId="0" applyNumberFormat="1" applyFont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7" fillId="0" borderId="14" xfId="0" applyFont="1" applyBorder="1" applyAlignment="1">
      <alignment horizontal="center" vertical="center" wrapText="1"/>
    </xf>
    <xf numFmtId="14" fontId="7" fillId="0" borderId="4" xfId="0" applyNumberFormat="1" applyFont="1" applyBorder="1" applyAlignment="1">
      <alignment horizontal="center" vertical="center"/>
    </xf>
    <xf numFmtId="14" fontId="12" fillId="0" borderId="0" xfId="0" applyNumberFormat="1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0" fillId="0" borderId="50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 wrapText="1"/>
    </xf>
    <xf numFmtId="0" fontId="11" fillId="0" borderId="28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29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0" fillId="0" borderId="29" xfId="0" applyFont="1" applyBorder="1" applyAlignment="1">
      <alignment horizontal="center" vertical="center"/>
    </xf>
    <xf numFmtId="0" fontId="10" fillId="0" borderId="13" xfId="0" applyFont="1" applyBorder="1" applyAlignment="1">
      <alignment horizontal="center" vertical="center"/>
    </xf>
    <xf numFmtId="0" fontId="10" fillId="0" borderId="8" xfId="0" applyFont="1" applyBorder="1" applyAlignment="1">
      <alignment horizontal="center" vertical="center"/>
    </xf>
    <xf numFmtId="0" fontId="10" fillId="0" borderId="14" xfId="0" applyFont="1" applyBorder="1" applyAlignment="1">
      <alignment horizontal="center" vertical="center"/>
    </xf>
    <xf numFmtId="0" fontId="10" fillId="0" borderId="7" xfId="0" applyFont="1" applyBorder="1" applyAlignment="1">
      <alignment horizontal="center" vertical="center"/>
    </xf>
    <xf numFmtId="14" fontId="20" fillId="4" borderId="75" xfId="1" applyNumberFormat="1" applyFont="1" applyFill="1" applyBorder="1" applyAlignment="1">
      <alignment horizontal="left" vertical="center"/>
    </xf>
    <xf numFmtId="14" fontId="20" fillId="4" borderId="71" xfId="1" applyNumberFormat="1" applyFont="1" applyFill="1" applyBorder="1" applyAlignment="1">
      <alignment horizontal="left" vertical="center"/>
    </xf>
    <xf numFmtId="14" fontId="20" fillId="4" borderId="72" xfId="1" applyNumberFormat="1" applyFont="1" applyFill="1" applyBorder="1" applyAlignment="1">
      <alignment horizontal="left" vertical="center"/>
    </xf>
    <xf numFmtId="0" fontId="20" fillId="4" borderId="75" xfId="1" applyFont="1" applyFill="1" applyBorder="1" applyAlignment="1">
      <alignment horizontal="left" vertical="center"/>
    </xf>
    <xf numFmtId="0" fontId="20" fillId="4" borderId="71" xfId="1" applyFont="1" applyFill="1" applyBorder="1" applyAlignment="1">
      <alignment horizontal="left" vertical="center"/>
    </xf>
    <xf numFmtId="0" fontId="20" fillId="4" borderId="82" xfId="1" applyFont="1" applyFill="1" applyBorder="1" applyAlignment="1">
      <alignment horizontal="left" vertical="center"/>
    </xf>
    <xf numFmtId="0" fontId="20" fillId="4" borderId="73" xfId="1" applyFont="1" applyFill="1" applyBorder="1" applyAlignment="1">
      <alignment vertical="center" wrapText="1"/>
    </xf>
    <xf numFmtId="0" fontId="20" fillId="4" borderId="73" xfId="1" applyFont="1" applyFill="1" applyBorder="1">
      <alignment vertical="center"/>
    </xf>
    <xf numFmtId="0" fontId="20" fillId="4" borderId="75" xfId="1" applyFont="1" applyFill="1" applyBorder="1" applyAlignment="1">
      <alignment horizontal="center" vertical="center" wrapText="1"/>
    </xf>
    <xf numFmtId="0" fontId="20" fillId="4" borderId="71" xfId="1" applyFont="1" applyFill="1" applyBorder="1" applyAlignment="1">
      <alignment horizontal="center" vertical="center" wrapText="1"/>
    </xf>
    <xf numFmtId="0" fontId="20" fillId="4" borderId="82" xfId="1" applyFont="1" applyFill="1" applyBorder="1" applyAlignment="1">
      <alignment horizontal="center" vertical="center" wrapText="1"/>
    </xf>
    <xf numFmtId="49" fontId="20" fillId="4" borderId="74" xfId="1" applyNumberFormat="1" applyFont="1" applyFill="1" applyBorder="1" applyAlignment="1">
      <alignment horizontal="center" vertical="center"/>
    </xf>
    <xf numFmtId="49" fontId="20" fillId="4" borderId="71" xfId="1" applyNumberFormat="1" applyFont="1" applyFill="1" applyBorder="1" applyAlignment="1">
      <alignment horizontal="center" vertical="center"/>
    </xf>
    <xf numFmtId="49" fontId="20" fillId="4" borderId="82" xfId="1" applyNumberFormat="1" applyFont="1" applyFill="1" applyBorder="1" applyAlignment="1">
      <alignment horizontal="center" vertical="center"/>
    </xf>
    <xf numFmtId="0" fontId="4" fillId="4" borderId="68" xfId="1" applyFont="1" applyFill="1" applyBorder="1" applyAlignment="1">
      <alignment horizontal="center" vertical="center"/>
    </xf>
    <xf numFmtId="0" fontId="4" fillId="4" borderId="95" xfId="1" applyFont="1" applyFill="1" applyBorder="1" applyAlignment="1">
      <alignment horizontal="center" vertical="center"/>
    </xf>
    <xf numFmtId="0" fontId="4" fillId="4" borderId="69" xfId="1" applyFont="1" applyFill="1" applyBorder="1" applyAlignment="1">
      <alignment horizontal="center" vertical="center"/>
    </xf>
    <xf numFmtId="0" fontId="4" fillId="4" borderId="70" xfId="1" applyFont="1" applyFill="1" applyBorder="1" applyAlignment="1">
      <alignment horizontal="center" vertical="center"/>
    </xf>
    <xf numFmtId="0" fontId="8" fillId="3" borderId="56" xfId="1" applyFont="1" applyFill="1" applyBorder="1" applyAlignment="1">
      <alignment horizontal="center" vertical="center"/>
    </xf>
    <xf numFmtId="0" fontId="8" fillId="3" borderId="57" xfId="1" applyFont="1" applyFill="1" applyBorder="1" applyAlignment="1">
      <alignment horizontal="center" vertical="center"/>
    </xf>
    <xf numFmtId="0" fontId="8" fillId="3" borderId="91" xfId="1" applyFont="1" applyFill="1" applyBorder="1" applyAlignment="1">
      <alignment horizontal="center" vertical="center"/>
    </xf>
    <xf numFmtId="0" fontId="8" fillId="3" borderId="19" xfId="1" applyFont="1" applyFill="1" applyBorder="1" applyAlignment="1">
      <alignment horizontal="center" vertical="center"/>
    </xf>
    <xf numFmtId="0" fontId="8" fillId="3" borderId="16" xfId="1" applyFont="1" applyFill="1" applyBorder="1" applyAlignment="1">
      <alignment horizontal="center" vertical="center"/>
    </xf>
    <xf numFmtId="0" fontId="8" fillId="3" borderId="20" xfId="1" applyFont="1" applyFill="1" applyBorder="1" applyAlignment="1">
      <alignment horizontal="center" vertical="center"/>
    </xf>
    <xf numFmtId="0" fontId="8" fillId="3" borderId="58" xfId="1" applyFont="1" applyFill="1" applyBorder="1" applyAlignment="1">
      <alignment horizontal="center" vertical="center"/>
    </xf>
    <xf numFmtId="0" fontId="8" fillId="3" borderId="92" xfId="1" applyFont="1" applyFill="1" applyBorder="1" applyAlignment="1">
      <alignment horizontal="center" vertical="center"/>
    </xf>
    <xf numFmtId="0" fontId="13" fillId="3" borderId="56" xfId="1" applyFont="1" applyFill="1" applyBorder="1" applyAlignment="1">
      <alignment horizontal="center" vertical="center"/>
    </xf>
    <xf numFmtId="0" fontId="13" fillId="3" borderId="92" xfId="1" applyFont="1" applyFill="1" applyBorder="1" applyAlignment="1">
      <alignment horizontal="center" vertical="center"/>
    </xf>
    <xf numFmtId="0" fontId="13" fillId="3" borderId="57" xfId="1" applyFont="1" applyFill="1" applyBorder="1" applyAlignment="1">
      <alignment horizontal="center" vertical="center"/>
    </xf>
    <xf numFmtId="0" fontId="13" fillId="3" borderId="58" xfId="1" applyFont="1" applyFill="1" applyBorder="1" applyAlignment="1">
      <alignment horizontal="center" vertical="center"/>
    </xf>
    <xf numFmtId="0" fontId="4" fillId="0" borderId="21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 wrapText="1"/>
    </xf>
    <xf numFmtId="0" fontId="4" fillId="0" borderId="22" xfId="0" applyFont="1" applyBorder="1" applyAlignment="1">
      <alignment horizontal="center" vertical="center" wrapText="1"/>
    </xf>
    <xf numFmtId="0" fontId="4" fillId="0" borderId="25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4" fillId="0" borderId="26" xfId="0" applyFont="1" applyBorder="1" applyAlignment="1">
      <alignment horizontal="center" vertical="center" wrapText="1"/>
    </xf>
    <xf numFmtId="0" fontId="4" fillId="0" borderId="21" xfId="0" quotePrefix="1" applyFont="1" applyBorder="1" applyAlignment="1">
      <alignment horizontal="center" vertical="center" wrapText="1"/>
    </xf>
    <xf numFmtId="0" fontId="4" fillId="0" borderId="12" xfId="0" quotePrefix="1" applyFont="1" applyBorder="1" applyAlignment="1">
      <alignment horizontal="center" vertical="center" wrapText="1"/>
    </xf>
    <xf numFmtId="0" fontId="4" fillId="0" borderId="22" xfId="0" quotePrefix="1" applyFont="1" applyBorder="1" applyAlignment="1">
      <alignment horizontal="center" vertical="center" wrapText="1"/>
    </xf>
    <xf numFmtId="0" fontId="4" fillId="0" borderId="25" xfId="0" quotePrefix="1" applyFont="1" applyBorder="1" applyAlignment="1">
      <alignment horizontal="center" vertical="center" wrapText="1"/>
    </xf>
    <xf numFmtId="0" fontId="4" fillId="0" borderId="11" xfId="0" quotePrefix="1" applyFont="1" applyBorder="1" applyAlignment="1">
      <alignment horizontal="center" vertical="center" wrapText="1"/>
    </xf>
    <xf numFmtId="0" fontId="4" fillId="0" borderId="26" xfId="0" quotePrefix="1" applyFont="1" applyBorder="1" applyAlignment="1">
      <alignment horizontal="center" vertical="center" wrapText="1"/>
    </xf>
    <xf numFmtId="0" fontId="18" fillId="4" borderId="59" xfId="1" applyFont="1" applyFill="1" applyBorder="1" applyAlignment="1">
      <alignment horizontal="center" vertical="center"/>
    </xf>
    <xf numFmtId="0" fontId="18" fillId="4" borderId="60" xfId="1" applyFont="1" applyFill="1" applyBorder="1" applyAlignment="1">
      <alignment horizontal="center" vertical="center"/>
    </xf>
    <xf numFmtId="176" fontId="4" fillId="4" borderId="60" xfId="1" applyNumberFormat="1" applyFont="1" applyFill="1" applyBorder="1" applyAlignment="1">
      <alignment horizontal="center" vertical="center"/>
    </xf>
    <xf numFmtId="176" fontId="4" fillId="4" borderId="61" xfId="1" applyNumberFormat="1" applyFont="1" applyFill="1" applyBorder="1" applyAlignment="1">
      <alignment horizontal="center" vertical="center"/>
    </xf>
    <xf numFmtId="0" fontId="4" fillId="4" borderId="62" xfId="1" applyFont="1" applyFill="1" applyBorder="1" applyAlignment="1">
      <alignment horizontal="center" vertical="center"/>
    </xf>
    <xf numFmtId="0" fontId="4" fillId="4" borderId="94" xfId="1" applyFont="1" applyFill="1" applyBorder="1" applyAlignment="1">
      <alignment horizontal="center" vertical="center"/>
    </xf>
    <xf numFmtId="0" fontId="4" fillId="4" borderId="63" xfId="1" applyFont="1" applyFill="1" applyBorder="1" applyAlignment="1">
      <alignment horizontal="center" vertical="center"/>
    </xf>
    <xf numFmtId="0" fontId="4" fillId="4" borderId="64" xfId="1" applyFont="1" applyFill="1" applyBorder="1" applyAlignment="1">
      <alignment horizontal="center" vertical="center"/>
    </xf>
    <xf numFmtId="0" fontId="18" fillId="4" borderId="65" xfId="1" applyFont="1" applyFill="1" applyBorder="1" applyAlignment="1">
      <alignment horizontal="center" vertical="center"/>
    </xf>
    <xf numFmtId="0" fontId="18" fillId="4" borderId="66" xfId="1" applyFont="1" applyFill="1" applyBorder="1" applyAlignment="1">
      <alignment horizontal="center" vertical="center"/>
    </xf>
    <xf numFmtId="176" fontId="4" fillId="4" borderId="66" xfId="1" applyNumberFormat="1" applyFont="1" applyFill="1" applyBorder="1" applyAlignment="1">
      <alignment horizontal="center" vertical="center"/>
    </xf>
    <xf numFmtId="176" fontId="4" fillId="4" borderId="67" xfId="1" applyNumberFormat="1" applyFont="1" applyFill="1" applyBorder="1" applyAlignment="1">
      <alignment horizontal="center" vertical="center"/>
    </xf>
    <xf numFmtId="0" fontId="13" fillId="3" borderId="21" xfId="0" applyFont="1" applyFill="1" applyBorder="1" applyAlignment="1">
      <alignment horizontal="center" vertical="center" wrapText="1"/>
    </xf>
    <xf numFmtId="0" fontId="13" fillId="3" borderId="12" xfId="0" applyFont="1" applyFill="1" applyBorder="1" applyAlignment="1">
      <alignment horizontal="center" vertical="center" wrapText="1"/>
    </xf>
    <xf numFmtId="0" fontId="13" fillId="3" borderId="22" xfId="0" applyFont="1" applyFill="1" applyBorder="1" applyAlignment="1">
      <alignment horizontal="center" vertical="center" wrapText="1"/>
    </xf>
    <xf numFmtId="0" fontId="13" fillId="3" borderId="23" xfId="0" applyFont="1" applyFill="1" applyBorder="1" applyAlignment="1">
      <alignment horizontal="center" vertical="center" wrapText="1"/>
    </xf>
    <xf numFmtId="0" fontId="13" fillId="3" borderId="0" xfId="0" applyFont="1" applyFill="1" applyAlignment="1">
      <alignment horizontal="center" vertical="center" wrapText="1"/>
    </xf>
    <xf numFmtId="0" fontId="13" fillId="3" borderId="24" xfId="0" applyFont="1" applyFill="1" applyBorder="1" applyAlignment="1">
      <alignment horizontal="center" vertical="center" wrapText="1"/>
    </xf>
    <xf numFmtId="0" fontId="13" fillId="3" borderId="25" xfId="0" applyFont="1" applyFill="1" applyBorder="1" applyAlignment="1">
      <alignment horizontal="center" vertical="center" wrapText="1"/>
    </xf>
    <xf numFmtId="0" fontId="13" fillId="3" borderId="11" xfId="0" applyFont="1" applyFill="1" applyBorder="1" applyAlignment="1">
      <alignment horizontal="center" vertical="center" wrapText="1"/>
    </xf>
    <xf numFmtId="0" fontId="13" fillId="3" borderId="26" xfId="0" applyFont="1" applyFill="1" applyBorder="1" applyAlignment="1">
      <alignment horizontal="center" vertical="center" wrapText="1"/>
    </xf>
    <xf numFmtId="0" fontId="13" fillId="3" borderId="19" xfId="0" applyFont="1" applyFill="1" applyBorder="1" applyAlignment="1">
      <alignment horizontal="center" vertical="center"/>
    </xf>
    <xf numFmtId="0" fontId="13" fillId="3" borderId="16" xfId="0" applyFont="1" applyFill="1" applyBorder="1" applyAlignment="1">
      <alignment horizontal="center" vertical="center"/>
    </xf>
    <xf numFmtId="0" fontId="13" fillId="3" borderId="20" xfId="0" applyFont="1" applyFill="1" applyBorder="1" applyAlignment="1">
      <alignment horizontal="center" vertical="center"/>
    </xf>
    <xf numFmtId="0" fontId="13" fillId="3" borderId="21" xfId="0" applyFont="1" applyFill="1" applyBorder="1" applyAlignment="1">
      <alignment horizontal="center" vertical="center"/>
    </xf>
    <xf numFmtId="0" fontId="13" fillId="3" borderId="12" xfId="0" applyFont="1" applyFill="1" applyBorder="1" applyAlignment="1">
      <alignment horizontal="center" vertical="center"/>
    </xf>
    <xf numFmtId="0" fontId="13" fillId="3" borderId="22" xfId="0" applyFont="1" applyFill="1" applyBorder="1" applyAlignment="1">
      <alignment horizontal="center" vertical="center"/>
    </xf>
    <xf numFmtId="0" fontId="13" fillId="3" borderId="53" xfId="1" applyFont="1" applyFill="1" applyBorder="1" applyAlignment="1">
      <alignment horizontal="center" vertical="center"/>
    </xf>
    <xf numFmtId="0" fontId="13" fillId="3" borderId="54" xfId="1" applyFont="1" applyFill="1" applyBorder="1" applyAlignment="1">
      <alignment horizontal="center" vertical="center"/>
    </xf>
    <xf numFmtId="0" fontId="13" fillId="3" borderId="55" xfId="1" applyFont="1" applyFill="1" applyBorder="1" applyAlignment="1">
      <alignment horizontal="center" vertical="center"/>
    </xf>
    <xf numFmtId="14" fontId="20" fillId="4" borderId="84" xfId="1" applyNumberFormat="1" applyFont="1" applyFill="1" applyBorder="1" applyAlignment="1">
      <alignment horizontal="left" vertical="center"/>
    </xf>
    <xf numFmtId="14" fontId="20" fillId="4" borderId="85" xfId="1" applyNumberFormat="1" applyFont="1" applyFill="1" applyBorder="1" applyAlignment="1">
      <alignment horizontal="left" vertical="center"/>
    </xf>
    <xf numFmtId="14" fontId="20" fillId="4" borderId="86" xfId="1" applyNumberFormat="1" applyFont="1" applyFill="1" applyBorder="1" applyAlignment="1">
      <alignment horizontal="left" vertical="center"/>
    </xf>
    <xf numFmtId="0" fontId="20" fillId="4" borderId="84" xfId="1" applyFont="1" applyFill="1" applyBorder="1" applyAlignment="1">
      <alignment horizontal="left" vertical="center"/>
    </xf>
    <xf numFmtId="0" fontId="20" fillId="4" borderId="87" xfId="1" applyFont="1" applyFill="1" applyBorder="1" applyAlignment="1">
      <alignment horizontal="left" vertical="center"/>
    </xf>
    <xf numFmtId="0" fontId="20" fillId="4" borderId="88" xfId="1" applyFont="1" applyFill="1" applyBorder="1" applyAlignment="1">
      <alignment horizontal="left" vertical="center"/>
    </xf>
    <xf numFmtId="0" fontId="20" fillId="4" borderId="87" xfId="1" applyFont="1" applyFill="1" applyBorder="1">
      <alignment vertical="center"/>
    </xf>
    <xf numFmtId="0" fontId="20" fillId="4" borderId="84" xfId="1" applyFont="1" applyFill="1" applyBorder="1" applyAlignment="1">
      <alignment horizontal="center" vertical="center" wrapText="1"/>
    </xf>
    <xf numFmtId="0" fontId="20" fillId="4" borderId="85" xfId="1" applyFont="1" applyFill="1" applyBorder="1" applyAlignment="1">
      <alignment horizontal="center" vertical="center" wrapText="1"/>
    </xf>
    <xf numFmtId="0" fontId="20" fillId="4" borderId="89" xfId="1" applyFont="1" applyFill="1" applyBorder="1" applyAlignment="1">
      <alignment horizontal="center" vertical="center" wrapText="1"/>
    </xf>
    <xf numFmtId="49" fontId="20" fillId="4" borderId="90" xfId="1" applyNumberFormat="1" applyFont="1" applyFill="1" applyBorder="1" applyAlignment="1">
      <alignment horizontal="center" vertical="center"/>
    </xf>
    <xf numFmtId="49" fontId="20" fillId="4" borderId="85" xfId="1" applyNumberFormat="1" applyFont="1" applyFill="1" applyBorder="1" applyAlignment="1">
      <alignment horizontal="center" vertical="center"/>
    </xf>
    <xf numFmtId="49" fontId="20" fillId="4" borderId="89" xfId="1" applyNumberFormat="1" applyFont="1" applyFill="1" applyBorder="1" applyAlignment="1">
      <alignment horizontal="center" vertical="center"/>
    </xf>
    <xf numFmtId="0" fontId="20" fillId="4" borderId="75" xfId="1" applyFont="1" applyFill="1" applyBorder="1" applyAlignment="1">
      <alignment horizontal="left" vertical="center" wrapText="1"/>
    </xf>
    <xf numFmtId="14" fontId="20" fillId="4" borderId="65" xfId="1" applyNumberFormat="1" applyFont="1" applyFill="1" applyBorder="1" applyAlignment="1">
      <alignment horizontal="left" vertical="center"/>
    </xf>
    <xf numFmtId="14" fontId="20" fillId="4" borderId="66" xfId="1" applyNumberFormat="1" applyFont="1" applyFill="1" applyBorder="1" applyAlignment="1">
      <alignment horizontal="left" vertical="center"/>
    </xf>
    <xf numFmtId="14" fontId="20" fillId="4" borderId="76" xfId="1" applyNumberFormat="1" applyFont="1" applyFill="1" applyBorder="1" applyAlignment="1">
      <alignment horizontal="left" vertical="center"/>
    </xf>
    <xf numFmtId="0" fontId="20" fillId="4" borderId="65" xfId="1" applyFont="1" applyFill="1" applyBorder="1" applyAlignment="1">
      <alignment horizontal="left" vertical="center"/>
    </xf>
    <xf numFmtId="0" fontId="20" fillId="4" borderId="66" xfId="1" applyFont="1" applyFill="1" applyBorder="1" applyAlignment="1">
      <alignment horizontal="left" vertical="center"/>
    </xf>
    <xf numFmtId="0" fontId="20" fillId="4" borderId="67" xfId="1" applyFont="1" applyFill="1" applyBorder="1" applyAlignment="1">
      <alignment horizontal="left" vertical="center"/>
    </xf>
    <xf numFmtId="0" fontId="20" fillId="4" borderId="77" xfId="1" applyFont="1" applyFill="1" applyBorder="1">
      <alignment vertical="center"/>
    </xf>
    <xf numFmtId="0" fontId="20" fillId="4" borderId="65" xfId="1" applyFont="1" applyFill="1" applyBorder="1" applyAlignment="1">
      <alignment horizontal="center" vertical="center" wrapText="1"/>
    </xf>
    <xf numFmtId="0" fontId="20" fillId="4" borderId="66" xfId="1" applyFont="1" applyFill="1" applyBorder="1" applyAlignment="1">
      <alignment horizontal="center" vertical="center" wrapText="1"/>
    </xf>
    <xf numFmtId="0" fontId="20" fillId="4" borderId="67" xfId="1" applyFont="1" applyFill="1" applyBorder="1" applyAlignment="1">
      <alignment horizontal="center" vertical="center" wrapText="1"/>
    </xf>
    <xf numFmtId="49" fontId="20" fillId="4" borderId="83" xfId="1" applyNumberFormat="1" applyFont="1" applyFill="1" applyBorder="1" applyAlignment="1">
      <alignment horizontal="center" vertical="center"/>
    </xf>
    <xf numFmtId="49" fontId="20" fillId="4" borderId="66" xfId="1" applyNumberFormat="1" applyFont="1" applyFill="1" applyBorder="1" applyAlignment="1">
      <alignment horizontal="center" vertical="center"/>
    </xf>
    <xf numFmtId="49" fontId="20" fillId="4" borderId="67" xfId="1" applyNumberFormat="1" applyFont="1" applyFill="1" applyBorder="1" applyAlignment="1">
      <alignment horizontal="center" vertical="center"/>
    </xf>
    <xf numFmtId="176" fontId="4" fillId="4" borderId="76" xfId="1" applyNumberFormat="1" applyFont="1" applyFill="1" applyBorder="1" applyAlignment="1">
      <alignment horizontal="center" vertical="center"/>
    </xf>
    <xf numFmtId="176" fontId="4" fillId="4" borderId="77" xfId="1" applyNumberFormat="1" applyFont="1" applyFill="1" applyBorder="1" applyAlignment="1">
      <alignment horizontal="center" vertical="center"/>
    </xf>
    <xf numFmtId="176" fontId="4" fillId="4" borderId="78" xfId="1" applyNumberFormat="1" applyFont="1" applyFill="1" applyBorder="1" applyAlignment="1">
      <alignment horizontal="center" vertical="center"/>
    </xf>
    <xf numFmtId="0" fontId="5" fillId="0" borderId="12" xfId="0" applyFont="1" applyBorder="1" applyAlignment="1">
      <alignment horizontal="left" vertical="center"/>
    </xf>
    <xf numFmtId="0" fontId="4" fillId="4" borderId="79" xfId="1" applyFont="1" applyFill="1" applyBorder="1" applyAlignment="1">
      <alignment horizontal="center" vertical="center"/>
    </xf>
    <xf numFmtId="0" fontId="4" fillId="4" borderId="80" xfId="1" applyFont="1" applyFill="1" applyBorder="1" applyAlignment="1">
      <alignment horizontal="center" vertical="center"/>
    </xf>
    <xf numFmtId="0" fontId="4" fillId="4" borderId="81" xfId="1" applyFont="1" applyFill="1" applyBorder="1" applyAlignment="1">
      <alignment horizontal="center" vertical="center"/>
    </xf>
    <xf numFmtId="0" fontId="5" fillId="0" borderId="38" xfId="0" applyFont="1" applyBorder="1" applyAlignment="1">
      <alignment horizontal="left" vertical="center"/>
    </xf>
    <xf numFmtId="0" fontId="5" fillId="0" borderId="27" xfId="0" applyFont="1" applyBorder="1" applyAlignment="1">
      <alignment horizontal="left" vertical="center"/>
    </xf>
    <xf numFmtId="0" fontId="5" fillId="0" borderId="36" xfId="0" applyFont="1" applyBorder="1" applyAlignment="1">
      <alignment horizontal="left" vertical="center"/>
    </xf>
    <xf numFmtId="0" fontId="5" fillId="0" borderId="39" xfId="0" applyFont="1" applyBorder="1" applyAlignment="1">
      <alignment horizontal="left" vertical="center"/>
    </xf>
    <xf numFmtId="0" fontId="5" fillId="0" borderId="35" xfId="0" applyFont="1" applyBorder="1" applyAlignment="1">
      <alignment horizontal="left" vertical="center"/>
    </xf>
    <xf numFmtId="0" fontId="5" fillId="0" borderId="45" xfId="0" applyFont="1" applyBorder="1" applyAlignment="1">
      <alignment horizontal="left" vertical="center"/>
    </xf>
    <xf numFmtId="0" fontId="5" fillId="0" borderId="39" xfId="0" applyFont="1" applyBorder="1" applyAlignment="1">
      <alignment horizontal="center" vertical="center"/>
    </xf>
    <xf numFmtId="0" fontId="5" fillId="0" borderId="45" xfId="0" applyFont="1" applyBorder="1" applyAlignment="1">
      <alignment horizontal="center" vertical="center"/>
    </xf>
    <xf numFmtId="0" fontId="5" fillId="0" borderId="38" xfId="0" applyFont="1" applyBorder="1" applyAlignment="1">
      <alignment horizontal="center" vertical="center"/>
    </xf>
    <xf numFmtId="0" fontId="5" fillId="0" borderId="36" xfId="0" applyFont="1" applyBorder="1" applyAlignment="1">
      <alignment horizontal="center" vertical="center"/>
    </xf>
    <xf numFmtId="0" fontId="5" fillId="0" borderId="38" xfId="0" applyFont="1" applyBorder="1" applyAlignment="1">
      <alignment vertical="center"/>
    </xf>
    <xf numFmtId="0" fontId="5" fillId="0" borderId="27" xfId="0" applyFont="1" applyBorder="1" applyAlignment="1">
      <alignment vertical="center"/>
    </xf>
    <xf numFmtId="0" fontId="5" fillId="0" borderId="36" xfId="0" applyFont="1" applyBorder="1" applyAlignment="1">
      <alignment vertical="center"/>
    </xf>
    <xf numFmtId="0" fontId="5" fillId="0" borderId="40" xfId="0" applyFont="1" applyBorder="1" applyAlignment="1">
      <alignment horizontal="left" vertical="center"/>
    </xf>
    <xf numFmtId="0" fontId="5" fillId="0" borderId="41" xfId="0" applyFont="1" applyBorder="1" applyAlignment="1">
      <alignment horizontal="left" vertical="center"/>
    </xf>
    <xf numFmtId="0" fontId="5" fillId="0" borderId="42" xfId="0" applyFont="1" applyBorder="1" applyAlignment="1">
      <alignment horizontal="left" vertical="center"/>
    </xf>
    <xf numFmtId="0" fontId="5" fillId="0" borderId="37" xfId="0" applyFont="1" applyBorder="1" applyAlignment="1">
      <alignment horizontal="right" vertical="center"/>
    </xf>
    <xf numFmtId="0" fontId="5" fillId="0" borderId="33" xfId="0" applyFont="1" applyBorder="1" applyAlignment="1">
      <alignment horizontal="right" vertical="center"/>
    </xf>
    <xf numFmtId="0" fontId="5" fillId="0" borderId="39" xfId="0" applyFont="1" applyBorder="1" applyAlignment="1">
      <alignment horizontal="right" vertical="center"/>
    </xf>
    <xf numFmtId="0" fontId="5" fillId="0" borderId="45" xfId="0" applyFont="1" applyBorder="1" applyAlignment="1">
      <alignment horizontal="right" vertical="center"/>
    </xf>
    <xf numFmtId="0" fontId="8" fillId="3" borderId="19" xfId="0" applyFont="1" applyFill="1" applyBorder="1" applyAlignment="1">
      <alignment horizontal="center" vertical="center"/>
    </xf>
    <xf numFmtId="0" fontId="8" fillId="3" borderId="20" xfId="0" applyFont="1" applyFill="1" applyBorder="1" applyAlignment="1">
      <alignment horizontal="center" vertical="center"/>
    </xf>
    <xf numFmtId="0" fontId="5" fillId="0" borderId="40" xfId="0" applyFont="1" applyBorder="1" applyAlignment="1">
      <alignment horizontal="center" vertical="center"/>
    </xf>
    <xf numFmtId="0" fontId="5" fillId="0" borderId="42" xfId="0" applyFont="1" applyBorder="1" applyAlignment="1">
      <alignment horizontal="center" vertical="center"/>
    </xf>
    <xf numFmtId="0" fontId="5" fillId="0" borderId="39" xfId="0" applyFont="1" applyBorder="1" applyAlignment="1">
      <alignment vertical="center"/>
    </xf>
    <xf numFmtId="0" fontId="5" fillId="0" borderId="35" xfId="0" applyFont="1" applyBorder="1" applyAlignment="1">
      <alignment vertical="center"/>
    </xf>
    <xf numFmtId="0" fontId="5" fillId="0" borderId="45" xfId="0" applyFont="1" applyBorder="1" applyAlignment="1">
      <alignment vertical="center"/>
    </xf>
    <xf numFmtId="0" fontId="5" fillId="0" borderId="38" xfId="0" applyFont="1" applyBorder="1" applyAlignment="1">
      <alignment horizontal="right" vertical="center"/>
    </xf>
    <xf numFmtId="0" fontId="5" fillId="0" borderId="36" xfId="0" applyFont="1" applyBorder="1" applyAlignment="1">
      <alignment horizontal="right" vertical="center"/>
    </xf>
    <xf numFmtId="0" fontId="8" fillId="3" borderId="16" xfId="0" applyFont="1" applyFill="1" applyBorder="1" applyAlignment="1">
      <alignment horizontal="center" vertical="center"/>
    </xf>
    <xf numFmtId="0" fontId="8" fillId="3" borderId="21" xfId="0" applyFont="1" applyFill="1" applyBorder="1" applyAlignment="1">
      <alignment horizontal="center" vertical="center"/>
    </xf>
    <xf numFmtId="0" fontId="8" fillId="3" borderId="12" xfId="0" applyFont="1" applyFill="1" applyBorder="1" applyAlignment="1">
      <alignment horizontal="center" vertical="center"/>
    </xf>
    <xf numFmtId="0" fontId="8" fillId="3" borderId="22" xfId="0" applyFont="1" applyFill="1" applyBorder="1" applyAlignment="1">
      <alignment horizontal="center" vertical="center"/>
    </xf>
    <xf numFmtId="0" fontId="8" fillId="3" borderId="17" xfId="0" applyFont="1" applyFill="1" applyBorder="1" applyAlignment="1">
      <alignment horizontal="center" vertical="center"/>
    </xf>
    <xf numFmtId="0" fontId="8" fillId="3" borderId="10" xfId="0" applyFont="1" applyFill="1" applyBorder="1" applyAlignment="1">
      <alignment horizontal="center" vertical="center"/>
    </xf>
    <xf numFmtId="0" fontId="8" fillId="3" borderId="18" xfId="0" applyFont="1" applyFill="1" applyBorder="1" applyAlignment="1">
      <alignment horizontal="center" vertical="center"/>
    </xf>
    <xf numFmtId="0" fontId="5" fillId="0" borderId="21" xfId="0" applyFont="1" applyBorder="1" applyAlignment="1">
      <alignment vertical="center"/>
    </xf>
    <xf numFmtId="0" fontId="5" fillId="0" borderId="12" xfId="0" applyFont="1" applyBorder="1" applyAlignment="1">
      <alignment vertical="center"/>
    </xf>
    <xf numFmtId="0" fontId="5" fillId="0" borderId="22" xfId="0" applyFont="1" applyBorder="1" applyAlignment="1">
      <alignment vertical="center"/>
    </xf>
    <xf numFmtId="0" fontId="5" fillId="0" borderId="41" xfId="0" applyFont="1" applyBorder="1" applyAlignment="1">
      <alignment horizontal="center" vertical="center"/>
    </xf>
    <xf numFmtId="49" fontId="8" fillId="3" borderId="19" xfId="0" applyNumberFormat="1" applyFont="1" applyFill="1" applyBorder="1" applyAlignment="1">
      <alignment horizontal="center" vertical="center"/>
    </xf>
    <xf numFmtId="49" fontId="8" fillId="3" borderId="17" xfId="0" applyNumberFormat="1" applyFont="1" applyFill="1" applyBorder="1" applyAlignment="1">
      <alignment horizontal="center" vertical="center"/>
    </xf>
    <xf numFmtId="0" fontId="5" fillId="0" borderId="16" xfId="0" applyFont="1" applyBorder="1" applyAlignment="1">
      <alignment horizontal="left" vertical="center"/>
    </xf>
    <xf numFmtId="49" fontId="8" fillId="3" borderId="18" xfId="0" applyNumberFormat="1" applyFont="1" applyFill="1" applyBorder="1" applyAlignment="1">
      <alignment horizontal="center" vertical="center"/>
    </xf>
    <xf numFmtId="49" fontId="8" fillId="3" borderId="16" xfId="0" applyNumberFormat="1" applyFont="1" applyFill="1" applyBorder="1" applyAlignment="1">
      <alignment horizontal="center" vertical="center"/>
    </xf>
    <xf numFmtId="49" fontId="8" fillId="3" borderId="20" xfId="0" applyNumberFormat="1" applyFont="1" applyFill="1" applyBorder="1" applyAlignment="1">
      <alignment horizontal="center" vertical="center"/>
    </xf>
    <xf numFmtId="49" fontId="8" fillId="3" borderId="117" xfId="0" applyNumberFormat="1" applyFont="1" applyFill="1" applyBorder="1" applyAlignment="1">
      <alignment horizontal="center" vertical="center"/>
    </xf>
    <xf numFmtId="49" fontId="8" fillId="3" borderId="12" xfId="0" applyNumberFormat="1" applyFont="1" applyFill="1" applyBorder="1" applyAlignment="1">
      <alignment horizontal="center" vertical="center"/>
    </xf>
    <xf numFmtId="49" fontId="8" fillId="3" borderId="32" xfId="0" applyNumberFormat="1" applyFont="1" applyFill="1" applyBorder="1" applyAlignment="1">
      <alignment horizontal="center" vertical="center"/>
    </xf>
    <xf numFmtId="0" fontId="13" fillId="3" borderId="19" xfId="1" applyFont="1" applyFill="1" applyBorder="1" applyAlignment="1">
      <alignment horizontal="center" vertical="center"/>
    </xf>
    <xf numFmtId="0" fontId="13" fillId="3" borderId="16" xfId="1" applyFont="1" applyFill="1" applyBorder="1" applyAlignment="1">
      <alignment horizontal="center" vertical="center"/>
    </xf>
    <xf numFmtId="0" fontId="13" fillId="3" borderId="20" xfId="1" applyFont="1" applyFill="1" applyBorder="1" applyAlignment="1">
      <alignment horizontal="center" vertical="center"/>
    </xf>
    <xf numFmtId="0" fontId="18" fillId="4" borderId="122" xfId="1" applyFont="1" applyFill="1" applyBorder="1" applyAlignment="1">
      <alignment horizontal="center" vertical="center"/>
    </xf>
    <xf numFmtId="0" fontId="18" fillId="4" borderId="123" xfId="1" applyFont="1" applyFill="1" applyBorder="1" applyAlignment="1">
      <alignment horizontal="center" vertical="center"/>
    </xf>
    <xf numFmtId="176" fontId="4" fillId="4" borderId="119" xfId="1" applyNumberFormat="1" applyFont="1" applyFill="1" applyBorder="1" applyAlignment="1">
      <alignment horizontal="center" vertical="center"/>
    </xf>
    <xf numFmtId="176" fontId="4" fillId="4" borderId="120" xfId="1" applyNumberFormat="1" applyFont="1" applyFill="1" applyBorder="1" applyAlignment="1">
      <alignment horizontal="center" vertical="center"/>
    </xf>
    <xf numFmtId="176" fontId="4" fillId="4" borderId="121" xfId="1" applyNumberFormat="1" applyFont="1" applyFill="1" applyBorder="1" applyAlignment="1">
      <alignment horizontal="center" vertical="center"/>
    </xf>
    <xf numFmtId="0" fontId="4" fillId="4" borderId="40" xfId="1" applyFont="1" applyFill="1" applyBorder="1" applyAlignment="1">
      <alignment horizontal="center" vertical="center"/>
    </xf>
    <xf numFmtId="0" fontId="4" fillId="4" borderId="41" xfId="1" applyFont="1" applyFill="1" applyBorder="1" applyAlignment="1">
      <alignment horizontal="center" vertical="center"/>
    </xf>
    <xf numFmtId="0" fontId="4" fillId="4" borderId="42" xfId="1" applyFont="1" applyFill="1" applyBorder="1" applyAlignment="1">
      <alignment horizontal="center" vertical="center"/>
    </xf>
    <xf numFmtId="0" fontId="18" fillId="4" borderId="118" xfId="1" applyFont="1" applyFill="1" applyBorder="1" applyAlignment="1">
      <alignment horizontal="center" vertical="center"/>
    </xf>
    <xf numFmtId="0" fontId="18" fillId="4" borderId="83" xfId="1" applyFont="1" applyFill="1" applyBorder="1" applyAlignment="1">
      <alignment horizontal="center" vertical="center"/>
    </xf>
    <xf numFmtId="0" fontId="4" fillId="4" borderId="39" xfId="1" applyFont="1" applyFill="1" applyBorder="1" applyAlignment="1">
      <alignment horizontal="center" vertical="center"/>
    </xf>
    <xf numFmtId="0" fontId="4" fillId="4" borderId="35" xfId="1" applyFont="1" applyFill="1" applyBorder="1" applyAlignment="1">
      <alignment horizontal="center" vertical="center"/>
    </xf>
    <xf numFmtId="0" fontId="4" fillId="4" borderId="45" xfId="1" applyFont="1" applyFill="1" applyBorder="1" applyAlignment="1">
      <alignment horizontal="center" vertical="center"/>
    </xf>
    <xf numFmtId="0" fontId="8" fillId="3" borderId="19" xfId="0" applyFont="1" applyFill="1" applyBorder="1" applyAlignment="1">
      <alignment horizontal="left" vertical="center"/>
    </xf>
    <xf numFmtId="0" fontId="8" fillId="3" borderId="16" xfId="0" applyFont="1" applyFill="1" applyBorder="1" applyAlignment="1">
      <alignment horizontal="left" vertical="center"/>
    </xf>
    <xf numFmtId="0" fontId="8" fillId="3" borderId="20" xfId="0" applyFont="1" applyFill="1" applyBorder="1" applyAlignment="1">
      <alignment horizontal="left" vertical="center"/>
    </xf>
    <xf numFmtId="0" fontId="8" fillId="3" borderId="25" xfId="0" applyFont="1" applyFill="1" applyBorder="1" applyAlignment="1">
      <alignment horizontal="left" vertical="center"/>
    </xf>
    <xf numFmtId="0" fontId="8" fillId="3" borderId="11" xfId="0" applyFont="1" applyFill="1" applyBorder="1" applyAlignment="1">
      <alignment horizontal="left" vertical="center"/>
    </xf>
    <xf numFmtId="0" fontId="8" fillId="3" borderId="26" xfId="0" applyFont="1" applyFill="1" applyBorder="1" applyAlignment="1">
      <alignment horizontal="left" vertical="center"/>
    </xf>
    <xf numFmtId="0" fontId="7" fillId="0" borderId="23" xfId="0" applyFont="1" applyBorder="1" applyAlignment="1">
      <alignment horizontal="center" vertical="center"/>
    </xf>
    <xf numFmtId="0" fontId="7" fillId="0" borderId="24" xfId="0" applyFont="1" applyBorder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0" borderId="25" xfId="0" applyFont="1" applyBorder="1" applyAlignment="1">
      <alignment horizontal="center" vertical="center"/>
    </xf>
    <xf numFmtId="0" fontId="7" fillId="0" borderId="26" xfId="0" applyFont="1" applyBorder="1" applyAlignment="1">
      <alignment horizontal="center" vertical="center"/>
    </xf>
    <xf numFmtId="0" fontId="5" fillId="0" borderId="21" xfId="0" applyFont="1" applyBorder="1" applyAlignment="1">
      <alignment horizontal="center" vertical="top"/>
    </xf>
    <xf numFmtId="0" fontId="5" fillId="0" borderId="22" xfId="0" applyFont="1" applyBorder="1" applyAlignment="1">
      <alignment horizontal="center" vertical="top"/>
    </xf>
    <xf numFmtId="0" fontId="5" fillId="0" borderId="23" xfId="0" applyFont="1" applyBorder="1" applyAlignment="1">
      <alignment horizontal="center" vertical="top"/>
    </xf>
    <xf numFmtId="0" fontId="5" fillId="0" borderId="24" xfId="0" applyFont="1" applyBorder="1" applyAlignment="1">
      <alignment horizontal="center" vertical="top"/>
    </xf>
    <xf numFmtId="0" fontId="7" fillId="2" borderId="12" xfId="0" applyFont="1" applyFill="1" applyBorder="1" applyAlignment="1">
      <alignment horizontal="center" vertical="center"/>
    </xf>
    <xf numFmtId="0" fontId="7" fillId="0" borderId="21" xfId="0" applyFont="1" applyBorder="1" applyAlignment="1">
      <alignment horizontal="center" vertical="center"/>
    </xf>
    <xf numFmtId="0" fontId="7" fillId="0" borderId="22" xfId="0" applyFont="1" applyBorder="1" applyAlignment="1">
      <alignment horizontal="center" vertical="center"/>
    </xf>
    <xf numFmtId="0" fontId="5" fillId="0" borderId="23" xfId="0" applyFont="1" applyBorder="1" applyAlignment="1">
      <alignment horizontal="center" vertical="center"/>
    </xf>
    <xf numFmtId="0" fontId="5" fillId="0" borderId="24" xfId="0" applyFont="1" applyBorder="1" applyAlignment="1">
      <alignment horizontal="center" vertical="center"/>
    </xf>
    <xf numFmtId="0" fontId="5" fillId="0" borderId="25" xfId="0" applyFont="1" applyBorder="1" applyAlignment="1">
      <alignment horizontal="center" vertical="center"/>
    </xf>
    <xf numFmtId="0" fontId="5" fillId="0" borderId="26" xfId="0" applyFont="1" applyBorder="1" applyAlignment="1">
      <alignment horizontal="center" vertical="center"/>
    </xf>
    <xf numFmtId="0" fontId="5" fillId="0" borderId="21" xfId="0" applyFont="1" applyBorder="1" applyAlignment="1">
      <alignment horizontal="center" vertical="center"/>
    </xf>
    <xf numFmtId="0" fontId="5" fillId="0" borderId="22" xfId="0" applyFont="1" applyBorder="1" applyAlignment="1">
      <alignment horizontal="center" vertical="center"/>
    </xf>
    <xf numFmtId="0" fontId="8" fillId="3" borderId="23" xfId="0" applyFont="1" applyFill="1" applyBorder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0" fontId="8" fillId="3" borderId="24" xfId="0" applyFont="1" applyFill="1" applyBorder="1" applyAlignment="1">
      <alignment horizontal="center" vertical="center"/>
    </xf>
    <xf numFmtId="0" fontId="8" fillId="3" borderId="25" xfId="0" applyFont="1" applyFill="1" applyBorder="1" applyAlignment="1">
      <alignment horizontal="center" vertical="center"/>
    </xf>
    <xf numFmtId="0" fontId="8" fillId="3" borderId="11" xfId="0" applyFont="1" applyFill="1" applyBorder="1" applyAlignment="1">
      <alignment horizontal="center" vertical="center"/>
    </xf>
    <xf numFmtId="0" fontId="8" fillId="3" borderId="26" xfId="0" applyFont="1" applyFill="1" applyBorder="1" applyAlignment="1">
      <alignment horizontal="center" vertical="center"/>
    </xf>
    <xf numFmtId="0" fontId="5" fillId="0" borderId="19" xfId="0" applyFont="1" applyBorder="1" applyAlignment="1">
      <alignment vertical="center"/>
    </xf>
    <xf numFmtId="0" fontId="5" fillId="0" borderId="16" xfId="0" applyFont="1" applyBorder="1" applyAlignment="1">
      <alignment vertical="center"/>
    </xf>
    <xf numFmtId="0" fontId="5" fillId="0" borderId="20" xfId="0" applyFont="1" applyBorder="1" applyAlignment="1">
      <alignment vertical="center"/>
    </xf>
    <xf numFmtId="0" fontId="5" fillId="0" borderId="21" xfId="0" applyFont="1" applyBorder="1" applyAlignment="1">
      <alignment horizontal="left" vertical="center"/>
    </xf>
    <xf numFmtId="0" fontId="5" fillId="0" borderId="34" xfId="0" applyFont="1" applyBorder="1" applyAlignment="1">
      <alignment vertical="center"/>
    </xf>
    <xf numFmtId="0" fontId="5" fillId="0" borderId="31" xfId="0" applyFont="1" applyBorder="1" applyAlignment="1">
      <alignment vertical="center"/>
    </xf>
    <xf numFmtId="49" fontId="5" fillId="0" borderId="34" xfId="0" applyNumberFormat="1" applyFont="1" applyBorder="1" applyAlignment="1">
      <alignment vertical="center"/>
    </xf>
    <xf numFmtId="49" fontId="5" fillId="0" borderId="35" xfId="0" applyNumberFormat="1" applyFont="1" applyBorder="1" applyAlignment="1">
      <alignment vertical="center"/>
    </xf>
    <xf numFmtId="49" fontId="5" fillId="0" borderId="31" xfId="0" applyNumberFormat="1" applyFont="1" applyBorder="1" applyAlignment="1">
      <alignment vertical="center"/>
    </xf>
    <xf numFmtId="0" fontId="5" fillId="0" borderId="34" xfId="0" applyFont="1" applyBorder="1" applyAlignment="1">
      <alignment horizontal="center" vertical="center"/>
    </xf>
    <xf numFmtId="0" fontId="5" fillId="0" borderId="35" xfId="0" applyFont="1" applyBorder="1" applyAlignment="1">
      <alignment horizontal="center" vertical="center"/>
    </xf>
    <xf numFmtId="0" fontId="5" fillId="0" borderId="31" xfId="0" applyFont="1" applyBorder="1" applyAlignment="1">
      <alignment horizontal="center" vertical="center"/>
    </xf>
    <xf numFmtId="49" fontId="5" fillId="0" borderId="3" xfId="0" applyNumberFormat="1" applyFont="1" applyBorder="1" applyAlignment="1">
      <alignment vertical="center"/>
    </xf>
    <xf numFmtId="49" fontId="5" fillId="0" borderId="27" xfId="0" applyNumberFormat="1" applyFont="1" applyBorder="1" applyAlignment="1">
      <alignment vertical="center"/>
    </xf>
    <xf numFmtId="49" fontId="5" fillId="0" borderId="4" xfId="0" applyNumberFormat="1" applyFont="1" applyBorder="1" applyAlignment="1">
      <alignment vertical="center"/>
    </xf>
    <xf numFmtId="49" fontId="5" fillId="0" borderId="36" xfId="0" applyNumberFormat="1" applyFont="1" applyBorder="1" applyAlignment="1">
      <alignment vertical="center"/>
    </xf>
    <xf numFmtId="0" fontId="5" fillId="0" borderId="3" xfId="0" applyFont="1" applyBorder="1" applyAlignment="1">
      <alignment vertical="center"/>
    </xf>
    <xf numFmtId="0" fontId="5" fillId="0" borderId="4" xfId="0" applyFont="1" applyBorder="1" applyAlignment="1">
      <alignment vertical="center"/>
    </xf>
    <xf numFmtId="0" fontId="5" fillId="0" borderId="3" xfId="0" applyFont="1" applyBorder="1" applyAlignment="1">
      <alignment horizontal="center" vertical="center"/>
    </xf>
    <xf numFmtId="0" fontId="5" fillId="0" borderId="27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8" xfId="0" applyFont="1" applyBorder="1" applyAlignment="1">
      <alignment horizontal="right" vertical="center"/>
    </xf>
    <xf numFmtId="0" fontId="5" fillId="0" borderId="7" xfId="0" applyFont="1" applyBorder="1" applyAlignment="1">
      <alignment horizontal="right" vertical="center"/>
    </xf>
    <xf numFmtId="0" fontId="5" fillId="0" borderId="3" xfId="0" applyFont="1" applyBorder="1" applyAlignment="1">
      <alignment horizontal="left" vertical="center"/>
    </xf>
    <xf numFmtId="0" fontId="5" fillId="0" borderId="4" xfId="0" applyFont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0" fontId="5" fillId="0" borderId="34" xfId="0" applyFont="1" applyBorder="1" applyAlignment="1">
      <alignment horizontal="right" vertical="center"/>
    </xf>
    <xf numFmtId="0" fontId="5" fillId="0" borderId="31" xfId="0" applyFont="1" applyBorder="1" applyAlignment="1">
      <alignment horizontal="right" vertical="center"/>
    </xf>
    <xf numFmtId="0" fontId="5" fillId="0" borderId="34" xfId="0" applyFont="1" applyBorder="1" applyAlignment="1">
      <alignment horizontal="left" vertical="center"/>
    </xf>
    <xf numFmtId="0" fontId="5" fillId="0" borderId="31" xfId="0" applyFont="1" applyBorder="1" applyAlignment="1">
      <alignment horizontal="left" vertical="center"/>
    </xf>
    <xf numFmtId="0" fontId="5" fillId="0" borderId="2" xfId="0" applyFont="1" applyBorder="1" applyAlignment="1">
      <alignment horizontal="left" vertical="center"/>
    </xf>
    <xf numFmtId="0" fontId="5" fillId="0" borderId="35" xfId="0" applyFont="1" applyBorder="1" applyAlignment="1">
      <alignment horizontal="right" vertical="center"/>
    </xf>
    <xf numFmtId="0" fontId="5" fillId="0" borderId="3" xfId="0" applyFont="1" applyBorder="1" applyAlignment="1">
      <alignment horizontal="right" vertical="center"/>
    </xf>
    <xf numFmtId="0" fontId="5" fillId="0" borderId="27" xfId="0" applyFont="1" applyBorder="1" applyAlignment="1">
      <alignment horizontal="right" vertical="center"/>
    </xf>
    <xf numFmtId="0" fontId="5" fillId="0" borderId="4" xfId="0" applyFont="1" applyBorder="1" applyAlignment="1">
      <alignment horizontal="right" vertical="center"/>
    </xf>
    <xf numFmtId="3" fontId="5" fillId="0" borderId="3" xfId="0" applyNumberFormat="1" applyFont="1" applyBorder="1" applyAlignment="1">
      <alignment vertical="center"/>
    </xf>
    <xf numFmtId="3" fontId="5" fillId="0" borderId="27" xfId="0" applyNumberFormat="1" applyFont="1" applyBorder="1" applyAlignment="1">
      <alignment vertical="center"/>
    </xf>
    <xf numFmtId="3" fontId="5" fillId="0" borderId="4" xfId="0" applyNumberFormat="1" applyFont="1" applyBorder="1" applyAlignment="1">
      <alignment vertical="center"/>
    </xf>
    <xf numFmtId="0" fontId="5" fillId="0" borderId="96" xfId="0" applyFont="1" applyBorder="1" applyAlignment="1">
      <alignment horizontal="left" vertical="top" wrapText="1"/>
    </xf>
    <xf numFmtId="0" fontId="5" fillId="0" borderId="28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23" xfId="0" applyFont="1" applyBorder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5" fillId="0" borderId="13" xfId="0" applyFont="1" applyBorder="1" applyAlignment="1">
      <alignment horizontal="left" vertical="top" wrapText="1"/>
    </xf>
    <xf numFmtId="0" fontId="5" fillId="0" borderId="25" xfId="0" applyFont="1" applyBorder="1" applyAlignment="1">
      <alignment horizontal="left" vertical="top" wrapText="1"/>
    </xf>
    <xf numFmtId="0" fontId="5" fillId="0" borderId="11" xfId="0" applyFont="1" applyBorder="1" applyAlignment="1">
      <alignment horizontal="left" vertical="top" wrapText="1"/>
    </xf>
    <xf numFmtId="0" fontId="5" fillId="0" borderId="15" xfId="0" applyFont="1" applyBorder="1" applyAlignment="1">
      <alignment horizontal="left" vertical="top" wrapText="1"/>
    </xf>
    <xf numFmtId="0" fontId="5" fillId="0" borderId="23" xfId="0" applyFont="1" applyBorder="1" applyAlignment="1">
      <alignment horizontal="left" vertical="top"/>
    </xf>
    <xf numFmtId="0" fontId="5" fillId="0" borderId="0" xfId="0" applyFont="1" applyAlignment="1">
      <alignment horizontal="left" vertical="top"/>
    </xf>
    <xf numFmtId="0" fontId="5" fillId="0" borderId="13" xfId="0" applyFont="1" applyBorder="1" applyAlignment="1">
      <alignment horizontal="left" vertical="top"/>
    </xf>
    <xf numFmtId="0" fontId="5" fillId="0" borderId="37" xfId="0" applyFont="1" applyBorder="1" applyAlignment="1">
      <alignment horizontal="left" vertical="top"/>
    </xf>
    <xf numFmtId="0" fontId="5" fillId="0" borderId="14" xfId="0" applyFont="1" applyBorder="1" applyAlignment="1">
      <alignment horizontal="left" vertical="top"/>
    </xf>
    <xf numFmtId="0" fontId="5" fillId="0" borderId="7" xfId="0" applyFont="1" applyBorder="1" applyAlignment="1">
      <alignment horizontal="left" vertical="top"/>
    </xf>
    <xf numFmtId="0" fontId="5" fillId="0" borderId="96" xfId="0" applyFont="1" applyBorder="1" applyAlignment="1">
      <alignment horizontal="left" vertical="center"/>
    </xf>
    <xf numFmtId="0" fontId="5" fillId="0" borderId="28" xfId="0" applyFont="1" applyBorder="1" applyAlignment="1">
      <alignment horizontal="left" vertical="center"/>
    </xf>
    <xf numFmtId="0" fontId="5" fillId="0" borderId="5" xfId="0" applyFont="1" applyBorder="1" applyAlignment="1">
      <alignment horizontal="left" vertical="center"/>
    </xf>
    <xf numFmtId="0" fontId="5" fillId="0" borderId="1" xfId="0" applyFont="1" applyBorder="1" applyAlignment="1">
      <alignment vertical="center"/>
    </xf>
    <xf numFmtId="0" fontId="5" fillId="0" borderId="14" xfId="0" applyFont="1" applyBorder="1" applyAlignment="1">
      <alignment horizontal="right" vertical="center"/>
    </xf>
    <xf numFmtId="0" fontId="5" fillId="0" borderId="8" xfId="0" applyFont="1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97" xfId="0" applyFont="1" applyBorder="1" applyAlignment="1">
      <alignment vertical="center"/>
    </xf>
    <xf numFmtId="0" fontId="5" fillId="0" borderId="8" xfId="0" applyFont="1" applyBorder="1" applyAlignment="1">
      <alignment vertical="center"/>
    </xf>
    <xf numFmtId="0" fontId="5" fillId="0" borderId="14" xfId="0" applyFont="1" applyBorder="1" applyAlignment="1">
      <alignment vertical="center"/>
    </xf>
    <xf numFmtId="0" fontId="5" fillId="0" borderId="7" xfId="0" applyFont="1" applyBorder="1" applyAlignment="1">
      <alignment vertical="center"/>
    </xf>
    <xf numFmtId="0" fontId="8" fillId="3" borderId="101" xfId="0" applyFont="1" applyFill="1" applyBorder="1" applyAlignment="1">
      <alignment horizontal="center" vertical="center"/>
    </xf>
    <xf numFmtId="0" fontId="8" fillId="3" borderId="97" xfId="0" applyFont="1" applyFill="1" applyBorder="1" applyAlignment="1">
      <alignment horizontal="center" vertical="center"/>
    </xf>
    <xf numFmtId="0" fontId="8" fillId="3" borderId="101" xfId="0" applyFont="1" applyFill="1" applyBorder="1" applyAlignment="1">
      <alignment horizontal="center" vertical="center" wrapText="1"/>
    </xf>
    <xf numFmtId="0" fontId="8" fillId="3" borderId="97" xfId="0" applyFont="1" applyFill="1" applyBorder="1" applyAlignment="1">
      <alignment horizontal="center" vertical="center" wrapText="1"/>
    </xf>
    <xf numFmtId="0" fontId="8" fillId="3" borderId="100" xfId="0" applyFont="1" applyFill="1" applyBorder="1" applyAlignment="1">
      <alignment horizontal="center" vertical="center"/>
    </xf>
    <xf numFmtId="0" fontId="8" fillId="3" borderId="98" xfId="0" applyFont="1" applyFill="1" applyBorder="1" applyAlignment="1">
      <alignment horizontal="center" vertical="center"/>
    </xf>
    <xf numFmtId="0" fontId="5" fillId="0" borderId="8" xfId="0" applyFont="1" applyBorder="1" applyAlignment="1">
      <alignment horizontal="left" vertical="center"/>
    </xf>
    <xf numFmtId="0" fontId="5" fillId="0" borderId="14" xfId="0" applyFont="1" applyBorder="1" applyAlignment="1">
      <alignment horizontal="left" vertical="center"/>
    </xf>
    <xf numFmtId="0" fontId="5" fillId="0" borderId="7" xfId="0" applyFont="1" applyBorder="1" applyAlignment="1">
      <alignment horizontal="left" vertical="center"/>
    </xf>
    <xf numFmtId="0" fontId="8" fillId="3" borderId="102" xfId="0" applyFont="1" applyFill="1" applyBorder="1" applyAlignment="1">
      <alignment horizontal="center" vertical="center"/>
    </xf>
    <xf numFmtId="0" fontId="5" fillId="0" borderId="33" xfId="0" applyFont="1" applyBorder="1" applyAlignment="1">
      <alignment vertical="center"/>
    </xf>
    <xf numFmtId="0" fontId="8" fillId="3" borderId="105" xfId="0" applyFont="1" applyFill="1" applyBorder="1" applyAlignment="1">
      <alignment horizontal="center" vertical="center"/>
    </xf>
    <xf numFmtId="0" fontId="8" fillId="3" borderId="93" xfId="0" applyFont="1" applyFill="1" applyBorder="1" applyAlignment="1">
      <alignment horizontal="center" vertical="center"/>
    </xf>
    <xf numFmtId="0" fontId="8" fillId="3" borderId="104" xfId="0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3" borderId="103" xfId="0" applyFont="1" applyFill="1" applyBorder="1" applyAlignment="1">
      <alignment horizontal="center" vertical="center"/>
    </xf>
    <xf numFmtId="0" fontId="8" fillId="3" borderId="99" xfId="0" applyFont="1" applyFill="1" applyBorder="1" applyAlignment="1">
      <alignment horizontal="center" vertical="center"/>
    </xf>
    <xf numFmtId="0" fontId="8" fillId="3" borderId="102" xfId="0" applyFont="1" applyFill="1" applyBorder="1" applyAlignment="1">
      <alignment horizontal="center" vertical="center" wrapText="1"/>
    </xf>
    <xf numFmtId="0" fontId="5" fillId="0" borderId="113" xfId="3" applyFont="1" applyBorder="1" applyAlignment="1">
      <alignment horizontal="right" vertical="center"/>
    </xf>
    <xf numFmtId="0" fontId="5" fillId="0" borderId="112" xfId="3" applyFont="1" applyBorder="1" applyAlignment="1">
      <alignment horizontal="right" vertical="center"/>
    </xf>
    <xf numFmtId="0" fontId="24" fillId="0" borderId="111" xfId="3" applyFont="1" applyBorder="1" applyAlignment="1">
      <alignment horizontal="right" vertical="top"/>
    </xf>
    <xf numFmtId="0" fontId="24" fillId="0" borderId="109" xfId="3" applyFont="1" applyBorder="1" applyAlignment="1">
      <alignment horizontal="right" vertical="top"/>
    </xf>
    <xf numFmtId="4" fontId="5" fillId="0" borderId="111" xfId="3" applyNumberFormat="1" applyFont="1" applyBorder="1" applyAlignment="1">
      <alignment horizontal="left" vertical="top"/>
    </xf>
    <xf numFmtId="0" fontId="5" fillId="0" borderId="110" xfId="3" applyFont="1" applyBorder="1" applyAlignment="1">
      <alignment horizontal="left" vertical="top"/>
    </xf>
    <xf numFmtId="0" fontId="5" fillId="0" borderId="109" xfId="3" applyFont="1" applyBorder="1" applyAlignment="1">
      <alignment horizontal="left" vertical="top"/>
    </xf>
    <xf numFmtId="0" fontId="5" fillId="0" borderId="111" xfId="3" applyFont="1" applyBorder="1" applyAlignment="1">
      <alignment horizontal="center" vertical="top"/>
    </xf>
    <xf numFmtId="0" fontId="5" fillId="0" borderId="110" xfId="3" applyFont="1" applyBorder="1" applyAlignment="1">
      <alignment horizontal="center" vertical="top"/>
    </xf>
    <xf numFmtId="0" fontId="5" fillId="0" borderId="109" xfId="3" applyFont="1" applyBorder="1" applyAlignment="1">
      <alignment horizontal="center" vertical="top"/>
    </xf>
    <xf numFmtId="0" fontId="8" fillId="3" borderId="19" xfId="3" applyFont="1" applyFill="1" applyBorder="1" applyAlignment="1">
      <alignment horizontal="center" vertical="top"/>
    </xf>
    <xf numFmtId="0" fontId="8" fillId="3" borderId="16" xfId="3" applyFont="1" applyFill="1" applyBorder="1" applyAlignment="1">
      <alignment horizontal="center" vertical="top"/>
    </xf>
    <xf numFmtId="0" fontId="8" fillId="3" borderId="20" xfId="3" applyFont="1" applyFill="1" applyBorder="1" applyAlignment="1">
      <alignment horizontal="center" vertical="top"/>
    </xf>
    <xf numFmtId="0" fontId="24" fillId="0" borderId="116" xfId="3" applyFont="1" applyBorder="1" applyAlignment="1">
      <alignment horizontal="left" vertical="top"/>
    </xf>
    <xf numFmtId="0" fontId="24" fillId="0" borderId="115" xfId="3" applyFont="1" applyBorder="1" applyAlignment="1">
      <alignment horizontal="left" vertical="top"/>
    </xf>
    <xf numFmtId="0" fontId="24" fillId="0" borderId="114" xfId="3" applyFont="1" applyBorder="1" applyAlignment="1">
      <alignment horizontal="left" vertical="top"/>
    </xf>
    <xf numFmtId="0" fontId="5" fillId="0" borderId="16" xfId="3" applyFont="1" applyBorder="1" applyAlignment="1">
      <alignment horizontal="left" vertical="center"/>
    </xf>
    <xf numFmtId="0" fontId="5" fillId="0" borderId="20" xfId="3" applyFont="1" applyBorder="1" applyAlignment="1">
      <alignment horizontal="left" vertical="center"/>
    </xf>
    <xf numFmtId="0" fontId="8" fillId="3" borderId="19" xfId="3" applyFont="1" applyFill="1" applyBorder="1" applyAlignment="1">
      <alignment horizontal="center" vertical="center"/>
    </xf>
    <xf numFmtId="0" fontId="8" fillId="3" borderId="20" xfId="3" applyFont="1" applyFill="1" applyBorder="1" applyAlignment="1">
      <alignment horizontal="center" vertical="center"/>
    </xf>
    <xf numFmtId="0" fontId="24" fillId="0" borderId="116" xfId="3" applyFont="1" applyBorder="1" applyAlignment="1">
      <alignment horizontal="center" vertical="top"/>
    </xf>
    <xf numFmtId="0" fontId="24" fillId="0" borderId="115" xfId="3" applyFont="1" applyBorder="1" applyAlignment="1">
      <alignment horizontal="center" vertical="top"/>
    </xf>
    <xf numFmtId="0" fontId="24" fillId="0" borderId="114" xfId="3" applyFont="1" applyBorder="1" applyAlignment="1">
      <alignment horizontal="center" vertical="top"/>
    </xf>
    <xf numFmtId="0" fontId="24" fillId="0" borderId="116" xfId="3" applyFont="1" applyBorder="1" applyAlignment="1">
      <alignment horizontal="right" vertical="top"/>
    </xf>
    <xf numFmtId="0" fontId="24" fillId="0" borderId="114" xfId="3" applyFont="1" applyBorder="1" applyAlignment="1">
      <alignment horizontal="right" vertical="top"/>
    </xf>
    <xf numFmtId="0" fontId="5" fillId="0" borderId="25" xfId="3" applyFont="1" applyBorder="1" applyAlignment="1">
      <alignment horizontal="right" vertical="center"/>
    </xf>
    <xf numFmtId="0" fontId="5" fillId="0" borderId="26" xfId="3" applyFont="1" applyBorder="1" applyAlignment="1">
      <alignment horizontal="right" vertical="center"/>
    </xf>
    <xf numFmtId="0" fontId="5" fillId="0" borderId="108" xfId="3" applyFont="1" applyBorder="1" applyAlignment="1">
      <alignment horizontal="center" vertical="top"/>
    </xf>
    <xf numFmtId="0" fontId="5" fillId="0" borderId="107" xfId="3" applyFont="1" applyBorder="1" applyAlignment="1">
      <alignment horizontal="center" vertical="top"/>
    </xf>
    <xf numFmtId="0" fontId="5" fillId="0" borderId="106" xfId="3" applyFont="1" applyBorder="1" applyAlignment="1">
      <alignment horizontal="center" vertical="top"/>
    </xf>
    <xf numFmtId="0" fontId="24" fillId="0" borderId="108" xfId="3" applyFont="1" applyBorder="1" applyAlignment="1">
      <alignment horizontal="right" vertical="top"/>
    </xf>
    <xf numFmtId="0" fontId="24" fillId="0" borderId="106" xfId="3" applyFont="1" applyBorder="1" applyAlignment="1">
      <alignment horizontal="right" vertical="top"/>
    </xf>
    <xf numFmtId="4" fontId="5" fillId="0" borderId="108" xfId="3" applyNumberFormat="1" applyFont="1" applyBorder="1" applyAlignment="1">
      <alignment horizontal="left" vertical="top"/>
    </xf>
    <xf numFmtId="0" fontId="5" fillId="0" borderId="107" xfId="3" applyFont="1" applyBorder="1" applyAlignment="1">
      <alignment horizontal="left" vertical="top"/>
    </xf>
    <xf numFmtId="0" fontId="5" fillId="0" borderId="106" xfId="3" applyFont="1" applyBorder="1" applyAlignment="1">
      <alignment horizontal="left" vertical="top"/>
    </xf>
    <xf numFmtId="0" fontId="4" fillId="0" borderId="38" xfId="0" applyFont="1" applyBorder="1" applyAlignment="1">
      <alignment horizontal="left" vertical="center"/>
    </xf>
    <xf numFmtId="0" fontId="4" fillId="0" borderId="27" xfId="0" applyFont="1" applyBorder="1" applyAlignment="1">
      <alignment horizontal="left" vertical="center"/>
    </xf>
    <xf numFmtId="0" fontId="4" fillId="0" borderId="36" xfId="0" applyFont="1" applyBorder="1" applyAlignment="1">
      <alignment horizontal="left" vertical="center"/>
    </xf>
    <xf numFmtId="0" fontId="5" fillId="0" borderId="37" xfId="0" applyFont="1" applyBorder="1" applyAlignment="1">
      <alignment horizontal="left" vertical="center"/>
    </xf>
    <xf numFmtId="0" fontId="5" fillId="0" borderId="33" xfId="0" applyFont="1" applyBorder="1" applyAlignment="1">
      <alignment horizontal="left" vertical="center"/>
    </xf>
    <xf numFmtId="0" fontId="5" fillId="0" borderId="25" xfId="0" applyFont="1" applyBorder="1" applyAlignment="1">
      <alignment horizontal="right" vertical="center"/>
    </xf>
    <xf numFmtId="0" fontId="5" fillId="0" borderId="26" xfId="0" applyFont="1" applyBorder="1" applyAlignment="1">
      <alignment horizontal="right" vertical="center"/>
    </xf>
    <xf numFmtId="0" fontId="5" fillId="0" borderId="22" xfId="0" applyFont="1" applyBorder="1" applyAlignment="1">
      <alignment horizontal="left" vertical="center"/>
    </xf>
    <xf numFmtId="0" fontId="5" fillId="0" borderId="40" xfId="0" applyFont="1" applyBorder="1" applyAlignment="1">
      <alignment horizontal="right" vertical="center"/>
    </xf>
    <xf numFmtId="0" fontId="5" fillId="0" borderId="42" xfId="0" applyFont="1" applyBorder="1" applyAlignment="1">
      <alignment horizontal="right" vertical="center"/>
    </xf>
    <xf numFmtId="2" fontId="5" fillId="0" borderId="8" xfId="0" applyNumberFormat="1" applyFont="1" applyBorder="1" applyAlignment="1">
      <alignment vertical="center"/>
    </xf>
    <xf numFmtId="2" fontId="5" fillId="0" borderId="14" xfId="0" applyNumberFormat="1" applyFont="1" applyBorder="1" applyAlignment="1">
      <alignment vertical="center"/>
    </xf>
    <xf numFmtId="0" fontId="5" fillId="0" borderId="29" xfId="0" applyFont="1" applyBorder="1" applyAlignment="1">
      <alignment vertical="center"/>
    </xf>
    <xf numFmtId="0" fontId="5" fillId="0" borderId="0" xfId="0" applyFont="1" applyAlignment="1">
      <alignment vertical="center"/>
    </xf>
    <xf numFmtId="2" fontId="5" fillId="0" borderId="29" xfId="0" applyNumberFormat="1" applyFont="1" applyBorder="1" applyAlignment="1">
      <alignment vertical="center"/>
    </xf>
    <xf numFmtId="2" fontId="5" fillId="0" borderId="0" xfId="0" applyNumberFormat="1" applyFont="1" applyAlignment="1">
      <alignment vertical="center"/>
    </xf>
    <xf numFmtId="40" fontId="5" fillId="0" borderId="29" xfId="4" applyNumberFormat="1" applyFont="1" applyBorder="1" applyAlignment="1">
      <alignment vertical="center"/>
    </xf>
    <xf numFmtId="40" fontId="5" fillId="0" borderId="0" xfId="4" applyNumberFormat="1" applyFont="1" applyBorder="1" applyAlignment="1">
      <alignment vertical="center"/>
    </xf>
    <xf numFmtId="40" fontId="5" fillId="7" borderId="29" xfId="4" applyNumberFormat="1" applyFont="1" applyFill="1" applyBorder="1" applyAlignment="1">
      <alignment vertical="center"/>
    </xf>
    <xf numFmtId="40" fontId="5" fillId="7" borderId="0" xfId="4" applyNumberFormat="1" applyFont="1" applyFill="1" applyBorder="1" applyAlignment="1">
      <alignment vertical="center"/>
    </xf>
    <xf numFmtId="14" fontId="5" fillId="0" borderId="1" xfId="0" applyNumberFormat="1" applyFont="1" applyBorder="1" applyAlignment="1">
      <alignment horizontal="left" vertical="center"/>
    </xf>
    <xf numFmtId="0" fontId="21" fillId="0" borderId="3" xfId="0" applyFont="1" applyBorder="1" applyAlignment="1">
      <alignment horizontal="left" vertical="center"/>
    </xf>
    <xf numFmtId="0" fontId="21" fillId="0" borderId="27" xfId="0" applyFont="1" applyBorder="1" applyAlignment="1">
      <alignment horizontal="left" vertical="center"/>
    </xf>
    <xf numFmtId="0" fontId="21" fillId="0" borderId="36" xfId="0" applyFont="1" applyBorder="1" applyAlignment="1">
      <alignment horizontal="left" vertical="center"/>
    </xf>
    <xf numFmtId="0" fontId="5" fillId="0" borderId="3" xfId="0" applyFont="1" applyBorder="1" applyAlignment="1">
      <alignment horizontal="left" vertical="center" wrapText="1"/>
    </xf>
    <xf numFmtId="0" fontId="5" fillId="0" borderId="27" xfId="0" applyFont="1" applyBorder="1" applyAlignment="1">
      <alignment horizontal="left" vertical="center" wrapText="1"/>
    </xf>
    <xf numFmtId="0" fontId="5" fillId="0" borderId="4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 wrapText="1"/>
    </xf>
    <xf numFmtId="0" fontId="4" fillId="0" borderId="27" xfId="0" applyFont="1" applyBorder="1" applyAlignment="1">
      <alignment horizontal="left" vertical="center" wrapText="1"/>
    </xf>
    <xf numFmtId="0" fontId="4" fillId="0" borderId="4" xfId="0" applyFont="1" applyBorder="1" applyAlignment="1">
      <alignment horizontal="left" vertical="center" wrapText="1"/>
    </xf>
    <xf numFmtId="0" fontId="21" fillId="0" borderId="34" xfId="0" applyFont="1" applyBorder="1" applyAlignment="1">
      <alignment horizontal="left" vertical="center"/>
    </xf>
    <xf numFmtId="0" fontId="21" fillId="0" borderId="35" xfId="0" applyFont="1" applyBorder="1" applyAlignment="1">
      <alignment horizontal="left" vertical="center"/>
    </xf>
    <xf numFmtId="0" fontId="21" fillId="0" borderId="45" xfId="0" applyFont="1" applyBorder="1" applyAlignment="1">
      <alignment horizontal="left" vertical="center"/>
    </xf>
    <xf numFmtId="0" fontId="8" fillId="5" borderId="48" xfId="0" applyFont="1" applyFill="1" applyBorder="1" applyAlignment="1">
      <alignment horizontal="center" vertical="center"/>
    </xf>
    <xf numFmtId="0" fontId="8" fillId="5" borderId="41" xfId="0" applyFont="1" applyFill="1" applyBorder="1" applyAlignment="1">
      <alignment horizontal="center" vertical="center"/>
    </xf>
    <xf numFmtId="0" fontId="8" fillId="5" borderId="49" xfId="0" applyFont="1" applyFill="1" applyBorder="1" applyAlignment="1">
      <alignment horizontal="center" vertical="center"/>
    </xf>
    <xf numFmtId="0" fontId="8" fillId="5" borderId="42" xfId="0" applyFont="1" applyFill="1" applyBorder="1" applyAlignment="1">
      <alignment horizontal="center" vertical="center"/>
    </xf>
    <xf numFmtId="14" fontId="21" fillId="0" borderId="1" xfId="0" applyNumberFormat="1" applyFont="1" applyBorder="1" applyAlignment="1">
      <alignment horizontal="left" vertical="center"/>
    </xf>
    <xf numFmtId="0" fontId="21" fillId="0" borderId="1" xfId="0" applyFont="1" applyBorder="1" applyAlignment="1">
      <alignment horizontal="left" vertical="center"/>
    </xf>
    <xf numFmtId="0" fontId="8" fillId="5" borderId="40" xfId="0" applyFont="1" applyFill="1" applyBorder="1" applyAlignment="1">
      <alignment horizontal="right" vertical="center"/>
    </xf>
    <xf numFmtId="0" fontId="8" fillId="5" borderId="49" xfId="0" applyFont="1" applyFill="1" applyBorder="1" applyAlignment="1">
      <alignment horizontal="right" vertical="center"/>
    </xf>
    <xf numFmtId="0" fontId="8" fillId="5" borderId="93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14" fontId="5" fillId="0" borderId="2" xfId="0" applyNumberFormat="1" applyFont="1" applyBorder="1" applyAlignment="1">
      <alignment horizontal="left" vertical="center"/>
    </xf>
    <xf numFmtId="0" fontId="5" fillId="0" borderId="34" xfId="0" applyFont="1" applyBorder="1" applyAlignment="1">
      <alignment horizontal="left" vertical="center" wrapText="1"/>
    </xf>
    <xf numFmtId="0" fontId="5" fillId="0" borderId="35" xfId="0" applyFont="1" applyBorder="1" applyAlignment="1">
      <alignment horizontal="left" vertical="center" wrapText="1"/>
    </xf>
    <xf numFmtId="0" fontId="5" fillId="0" borderId="31" xfId="0" applyFont="1" applyBorder="1" applyAlignment="1">
      <alignment horizontal="left" vertical="center" wrapText="1"/>
    </xf>
    <xf numFmtId="0" fontId="5" fillId="0" borderId="38" xfId="0" quotePrefix="1" applyFont="1" applyBorder="1" applyAlignment="1">
      <alignment horizontal="right" vertical="center"/>
    </xf>
    <xf numFmtId="0" fontId="5" fillId="0" borderId="4" xfId="0" quotePrefix="1" applyFont="1" applyBorder="1" applyAlignment="1">
      <alignment horizontal="right" vertical="center"/>
    </xf>
    <xf numFmtId="0" fontId="27" fillId="0" borderId="3" xfId="0" applyFont="1" applyBorder="1" applyAlignment="1">
      <alignment horizontal="left" vertical="center"/>
    </xf>
    <xf numFmtId="0" fontId="27" fillId="0" borderId="27" xfId="0" applyFont="1" applyBorder="1" applyAlignment="1">
      <alignment horizontal="left" vertical="center"/>
    </xf>
    <xf numFmtId="0" fontId="27" fillId="0" borderId="4" xfId="0" applyFont="1" applyBorder="1" applyAlignment="1">
      <alignment horizontal="left" vertical="center"/>
    </xf>
    <xf numFmtId="0" fontId="5" fillId="0" borderId="39" xfId="0" quotePrefix="1" applyFont="1" applyBorder="1" applyAlignment="1">
      <alignment horizontal="right" vertical="center"/>
    </xf>
    <xf numFmtId="0" fontId="5" fillId="0" borderId="31" xfId="0" quotePrefix="1" applyFont="1" applyBorder="1" applyAlignment="1">
      <alignment horizontal="right" vertical="center"/>
    </xf>
    <xf numFmtId="49" fontId="8" fillId="3" borderId="21" xfId="0" applyNumberFormat="1" applyFont="1" applyFill="1" applyBorder="1" applyAlignment="1">
      <alignment horizontal="center" vertical="center"/>
    </xf>
    <xf numFmtId="49" fontId="8" fillId="3" borderId="48" xfId="0" applyNumberFormat="1" applyFont="1" applyFill="1" applyBorder="1" applyAlignment="1">
      <alignment horizontal="center" vertical="center"/>
    </xf>
    <xf numFmtId="49" fontId="8" fillId="3" borderId="41" xfId="0" applyNumberFormat="1" applyFont="1" applyFill="1" applyBorder="1" applyAlignment="1">
      <alignment horizontal="center" vertical="center"/>
    </xf>
    <xf numFmtId="49" fontId="8" fillId="3" borderId="49" xfId="0" applyNumberFormat="1" applyFont="1" applyFill="1" applyBorder="1" applyAlignment="1">
      <alignment horizontal="center" vertical="center"/>
    </xf>
    <xf numFmtId="49" fontId="8" fillId="3" borderId="42" xfId="0" applyNumberFormat="1" applyFont="1" applyFill="1" applyBorder="1" applyAlignment="1">
      <alignment horizontal="center" vertical="center"/>
    </xf>
    <xf numFmtId="0" fontId="5" fillId="0" borderId="51" xfId="0" applyFont="1" applyBorder="1" applyAlignment="1">
      <alignment vertical="center"/>
    </xf>
    <xf numFmtId="0" fontId="5" fillId="0" borderId="9" xfId="0" applyFont="1" applyBorder="1" applyAlignment="1">
      <alignment vertical="center"/>
    </xf>
    <xf numFmtId="0" fontId="5" fillId="0" borderId="2" xfId="0" applyFont="1" applyBorder="1" applyAlignment="1">
      <alignment vertical="center"/>
    </xf>
    <xf numFmtId="0" fontId="5" fillId="0" borderId="52" xfId="0" applyFont="1" applyBorder="1" applyAlignment="1">
      <alignment vertical="center"/>
    </xf>
    <xf numFmtId="0" fontId="20" fillId="4" borderId="124" xfId="3" applyFont="1" applyFill="1" applyBorder="1" applyAlignment="1">
      <alignment vertical="center" wrapText="1"/>
    </xf>
    <xf numFmtId="0" fontId="20" fillId="4" borderId="124" xfId="3" applyFont="1" applyFill="1" applyBorder="1" applyAlignment="1">
      <alignment vertical="center"/>
    </xf>
  </cellXfs>
  <cellStyles count="5">
    <cellStyle name="桁区切り" xfId="4" builtinId="6"/>
    <cellStyle name="標準" xfId="0" builtinId="0"/>
    <cellStyle name="標準 2" xfId="1" xr:uid="{ADD629DB-9BAF-4E7B-A4F3-D474DD1A057C}"/>
    <cellStyle name="標準 2 2" xfId="2" xr:uid="{CFF8D597-AD42-4216-9BC2-56164E145A4E}"/>
    <cellStyle name="標準 2 2 2" xfId="3" xr:uid="{90FF6260-A35C-46CF-96ED-37D64A25A59D}"/>
  </cellStyles>
  <dxfs count="0"/>
  <tableStyles count="0" defaultTableStyle="TableStyleMedium2" defaultPivotStyle="PivotStyleLight16"/>
  <colors>
    <mruColors>
      <color rgb="FFFFFF66"/>
      <color rgb="FF2F75B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Relationship Id="rId27" Type="http://schemas.openxmlformats.org/officeDocument/2006/relationships/customXml" Target="../customXml/item3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23</xdr:row>
      <xdr:rowOff>0</xdr:rowOff>
    </xdr:from>
    <xdr:to>
      <xdr:col>12</xdr:col>
      <xdr:colOff>176892</xdr:colOff>
      <xdr:row>24</xdr:row>
      <xdr:rowOff>106135</xdr:rowOff>
    </xdr:to>
    <xdr:sp macro="" textlink="">
      <xdr:nvSpPr>
        <xdr:cNvPr id="9" name="正方形/長方形 8">
          <a:extLst>
            <a:ext uri="{FF2B5EF4-FFF2-40B4-BE49-F238E27FC236}">
              <a16:creationId xmlns:a16="http://schemas.microsoft.com/office/drawing/2014/main" id="{4C08893D-DDA4-4E31-A416-DF4C36DB0464}"/>
            </a:ext>
          </a:extLst>
        </xdr:cNvPr>
        <xdr:cNvSpPr/>
      </xdr:nvSpPr>
      <xdr:spPr>
        <a:xfrm>
          <a:off x="190500" y="12573000"/>
          <a:ext cx="2272392" cy="296635"/>
        </a:xfrm>
        <a:prstGeom prst="rect">
          <a:avLst/>
        </a:prstGeom>
        <a:solidFill>
          <a:sysClr val="window" lastClr="FFFFFF"/>
        </a:solidFill>
        <a:ln w="12700" cap="flat" cmpd="sng" algn="ctr">
          <a:solidFill>
            <a:sysClr val="windowText" lastClr="000000"/>
          </a:solidFill>
          <a:prstDash val="solid"/>
          <a:miter lim="800000"/>
        </a:ln>
        <a:effectLst/>
      </xdr:spPr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9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[</a:t>
          </a:r>
          <a:r>
            <a:rPr kumimoji="1" lang="ja-JP" altLang="en-US" sz="9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番号</a:t>
          </a:r>
          <a:r>
            <a:rPr kumimoji="1" lang="en-US" altLang="ja-JP" sz="9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.</a:t>
          </a:r>
          <a:r>
            <a:rPr kumimoji="1" lang="ja-JP" altLang="en-US" sz="9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処理</a:t>
          </a:r>
          <a:r>
            <a:rPr kumimoji="1" lang="en-US" altLang="ja-JP" sz="9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]</a:t>
          </a:r>
        </a:p>
      </xdr:txBody>
    </xdr:sp>
    <xdr:clientData/>
  </xdr:twoCellAnchor>
  <xdr:twoCellAnchor>
    <xdr:from>
      <xdr:col>54</xdr:col>
      <xdr:colOff>28575</xdr:colOff>
      <xdr:row>24</xdr:row>
      <xdr:rowOff>8664</xdr:rowOff>
    </xdr:from>
    <xdr:to>
      <xdr:col>58</xdr:col>
      <xdr:colOff>180975</xdr:colOff>
      <xdr:row>24</xdr:row>
      <xdr:rowOff>9525</xdr:rowOff>
    </xdr:to>
    <xdr:cxnSp macro="">
      <xdr:nvCxnSpPr>
        <xdr:cNvPr id="10" name="直線矢印コネクタ 9">
          <a:extLst>
            <a:ext uri="{FF2B5EF4-FFF2-40B4-BE49-F238E27FC236}">
              <a16:creationId xmlns:a16="http://schemas.microsoft.com/office/drawing/2014/main" id="{509D08FA-45C6-4FDD-BFB9-B83A6FE78F94}"/>
            </a:ext>
          </a:extLst>
        </xdr:cNvPr>
        <xdr:cNvCxnSpPr>
          <a:cxnSpLocks/>
        </xdr:cNvCxnSpPr>
      </xdr:nvCxnSpPr>
      <xdr:spPr>
        <a:xfrm>
          <a:off x="10315575" y="12772164"/>
          <a:ext cx="723900" cy="861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114300</xdr:colOff>
      <xdr:row>22</xdr:row>
      <xdr:rowOff>95250</xdr:rowOff>
    </xdr:from>
    <xdr:to>
      <xdr:col>49</xdr:col>
      <xdr:colOff>38099</xdr:colOff>
      <xdr:row>24</xdr:row>
      <xdr:rowOff>123825</xdr:rowOff>
    </xdr:to>
    <xdr:sp macro="" textlink="">
      <xdr:nvSpPr>
        <xdr:cNvPr id="11" name="正方形/長方形 10">
          <a:extLst>
            <a:ext uri="{FF2B5EF4-FFF2-40B4-BE49-F238E27FC236}">
              <a16:creationId xmlns:a16="http://schemas.microsoft.com/office/drawing/2014/main" id="{31B2B09E-5110-4025-A739-8C782B7677D9}"/>
            </a:ext>
          </a:extLst>
        </xdr:cNvPr>
        <xdr:cNvSpPr/>
      </xdr:nvSpPr>
      <xdr:spPr>
        <a:xfrm>
          <a:off x="7353300" y="12477750"/>
          <a:ext cx="2019299" cy="409575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29</xdr:col>
      <xdr:colOff>76200</xdr:colOff>
      <xdr:row>22</xdr:row>
      <xdr:rowOff>76200</xdr:rowOff>
    </xdr:from>
    <xdr:to>
      <xdr:col>35</xdr:col>
      <xdr:colOff>332</xdr:colOff>
      <xdr:row>25</xdr:row>
      <xdr:rowOff>94250</xdr:rowOff>
    </xdr:to>
    <xdr:grpSp>
      <xdr:nvGrpSpPr>
        <xdr:cNvPr id="12" name="グループ化 11">
          <a:extLst>
            <a:ext uri="{FF2B5EF4-FFF2-40B4-BE49-F238E27FC236}">
              <a16:creationId xmlns:a16="http://schemas.microsoft.com/office/drawing/2014/main" id="{A5238906-7878-47F5-8AB3-A715F2F1BCDC}"/>
            </a:ext>
          </a:extLst>
        </xdr:cNvPr>
        <xdr:cNvGrpSpPr/>
      </xdr:nvGrpSpPr>
      <xdr:grpSpPr>
        <a:xfrm>
          <a:off x="5232400" y="4267200"/>
          <a:ext cx="990932" cy="589550"/>
          <a:chOff x="5600700" y="13982700"/>
          <a:chExt cx="1067132" cy="589550"/>
        </a:xfrm>
      </xdr:grpSpPr>
      <xdr:sp macro="" textlink="">
        <xdr:nvSpPr>
          <xdr:cNvPr id="13" name="円柱 12">
            <a:extLst>
              <a:ext uri="{FF2B5EF4-FFF2-40B4-BE49-F238E27FC236}">
                <a16:creationId xmlns:a16="http://schemas.microsoft.com/office/drawing/2014/main" id="{175C4FD3-BE4C-4050-A2B9-825A3B3065FB}"/>
              </a:ext>
            </a:extLst>
          </xdr:cNvPr>
          <xdr:cNvSpPr/>
        </xdr:nvSpPr>
        <xdr:spPr>
          <a:xfrm>
            <a:off x="5600700" y="13982700"/>
            <a:ext cx="1067132" cy="589550"/>
          </a:xfrm>
          <a:prstGeom prst="can">
            <a:avLst>
              <a:gd name="adj" fmla="val 26958"/>
            </a:avLst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ctr"/>
            <a:endPara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  <xdr:sp macro="" textlink="">
        <xdr:nvSpPr>
          <xdr:cNvPr id="14" name="テキスト ボックス 13">
            <a:extLst>
              <a:ext uri="{FF2B5EF4-FFF2-40B4-BE49-F238E27FC236}">
                <a16:creationId xmlns:a16="http://schemas.microsoft.com/office/drawing/2014/main" id="{B5CFD373-AFBB-4F4B-8567-5631CD9401DE}"/>
              </a:ext>
            </a:extLst>
          </xdr:cNvPr>
          <xdr:cNvSpPr txBox="1"/>
        </xdr:nvSpPr>
        <xdr:spPr>
          <a:xfrm>
            <a:off x="5705475" y="14116050"/>
            <a:ext cx="857250" cy="40957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1" lang="en-US" altLang="ja-JP" sz="900">
                <a:solidFill>
                  <a:schemeClr val="dk1"/>
                </a:solidFill>
                <a:effectLst/>
                <a:latin typeface="Meiryo UI" panose="020B0604030504040204" pitchFamily="50" charset="-128"/>
                <a:ea typeface="Meiryo UI" panose="020B0604030504040204" pitchFamily="50" charset="-128"/>
                <a:cs typeface="+mn-cs"/>
              </a:rPr>
              <a:t>[DB</a:t>
            </a:r>
            <a:r>
              <a:rPr kumimoji="1" lang="ja-JP" altLang="ja-JP" sz="900">
                <a:solidFill>
                  <a:schemeClr val="dk1"/>
                </a:solidFill>
                <a:effectLst/>
                <a:latin typeface="Meiryo UI" panose="020B0604030504040204" pitchFamily="50" charset="-128"/>
                <a:ea typeface="Meiryo UI" panose="020B0604030504040204" pitchFamily="50" charset="-128"/>
                <a:cs typeface="+mn-cs"/>
              </a:rPr>
              <a:t>論理名</a:t>
            </a:r>
            <a:r>
              <a:rPr kumimoji="1" lang="en-US" altLang="ja-JP" sz="900">
                <a:solidFill>
                  <a:schemeClr val="dk1"/>
                </a:solidFill>
                <a:effectLst/>
                <a:latin typeface="Meiryo UI" panose="020B0604030504040204" pitchFamily="50" charset="-128"/>
                <a:ea typeface="Meiryo UI" panose="020B0604030504040204" pitchFamily="50" charset="-128"/>
                <a:cs typeface="+mn-cs"/>
              </a:rPr>
              <a:t>]</a:t>
            </a:r>
            <a:endParaRPr lang="ja-JP" altLang="ja-JP" sz="900">
              <a:effectLst/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</xdr:grpSp>
    <xdr:clientData/>
  </xdr:twoCellAnchor>
  <xdr:twoCellAnchor>
    <xdr:from>
      <xdr:col>17</xdr:col>
      <xdr:colOff>190499</xdr:colOff>
      <xdr:row>22</xdr:row>
      <xdr:rowOff>66675</xdr:rowOff>
    </xdr:from>
    <xdr:to>
      <xdr:col>23</xdr:col>
      <xdr:colOff>152401</xdr:colOff>
      <xdr:row>25</xdr:row>
      <xdr:rowOff>133350</xdr:rowOff>
    </xdr:to>
    <xdr:grpSp>
      <xdr:nvGrpSpPr>
        <xdr:cNvPr id="15" name="グループ化 14">
          <a:extLst>
            <a:ext uri="{FF2B5EF4-FFF2-40B4-BE49-F238E27FC236}">
              <a16:creationId xmlns:a16="http://schemas.microsoft.com/office/drawing/2014/main" id="{1E7053BC-1EEA-4562-BD9A-2F31A9975422}"/>
            </a:ext>
          </a:extLst>
        </xdr:cNvPr>
        <xdr:cNvGrpSpPr/>
      </xdr:nvGrpSpPr>
      <xdr:grpSpPr>
        <a:xfrm>
          <a:off x="3200399" y="4257675"/>
          <a:ext cx="1041402" cy="638175"/>
          <a:chOff x="3428999" y="12449175"/>
          <a:chExt cx="1104902" cy="638175"/>
        </a:xfrm>
      </xdr:grpSpPr>
      <xdr:sp macro="" textlink="">
        <xdr:nvSpPr>
          <xdr:cNvPr id="16" name="フローチャート: 書類 15">
            <a:extLst>
              <a:ext uri="{FF2B5EF4-FFF2-40B4-BE49-F238E27FC236}">
                <a16:creationId xmlns:a16="http://schemas.microsoft.com/office/drawing/2014/main" id="{EA4DD5CE-EE6D-41AB-B650-5818F0F01422}"/>
              </a:ext>
            </a:extLst>
          </xdr:cNvPr>
          <xdr:cNvSpPr/>
        </xdr:nvSpPr>
        <xdr:spPr>
          <a:xfrm>
            <a:off x="3429000" y="12449175"/>
            <a:ext cx="1104901" cy="638175"/>
          </a:xfrm>
          <a:prstGeom prst="flowChartDocument">
            <a:avLst/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l"/>
            <a:endPara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  <xdr:sp macro="" textlink="">
        <xdr:nvSpPr>
          <xdr:cNvPr id="17" name="テキスト ボックス 16">
            <a:extLst>
              <a:ext uri="{FF2B5EF4-FFF2-40B4-BE49-F238E27FC236}">
                <a16:creationId xmlns:a16="http://schemas.microsoft.com/office/drawing/2014/main" id="{D746A278-7878-4EC4-B35D-12EE1F0F5779}"/>
              </a:ext>
            </a:extLst>
          </xdr:cNvPr>
          <xdr:cNvSpPr txBox="1"/>
        </xdr:nvSpPr>
        <xdr:spPr>
          <a:xfrm>
            <a:off x="3428999" y="12449176"/>
            <a:ext cx="1104901" cy="60007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1" lang="en-US" altLang="ja-JP" sz="900">
                <a:solidFill>
                  <a:schemeClr val="dk1"/>
                </a:solidFill>
                <a:effectLst/>
                <a:latin typeface="Meiryo UI" panose="020B0604030504040204" pitchFamily="50" charset="-128"/>
                <a:ea typeface="Meiryo UI" panose="020B0604030504040204" pitchFamily="50" charset="-128"/>
                <a:cs typeface="+mn-cs"/>
              </a:rPr>
              <a:t>[</a:t>
            </a:r>
            <a:r>
              <a:rPr kumimoji="1" lang="ja-JP" altLang="en-US" sz="900">
                <a:solidFill>
                  <a:schemeClr val="dk1"/>
                </a:solidFill>
                <a:effectLst/>
                <a:latin typeface="Meiryo UI" panose="020B0604030504040204" pitchFamily="50" charset="-128"/>
                <a:ea typeface="Meiryo UI" panose="020B0604030504040204" pitchFamily="50" charset="-128"/>
                <a:cs typeface="+mn-cs"/>
              </a:rPr>
              <a:t>データファイル名</a:t>
            </a:r>
            <a:r>
              <a:rPr kumimoji="1" lang="en-US" altLang="ja-JP" sz="900">
                <a:solidFill>
                  <a:schemeClr val="dk1"/>
                </a:solidFill>
                <a:effectLst/>
                <a:latin typeface="Meiryo UI" panose="020B0604030504040204" pitchFamily="50" charset="-128"/>
                <a:ea typeface="Meiryo UI" panose="020B0604030504040204" pitchFamily="50" charset="-128"/>
                <a:cs typeface="+mn-cs"/>
              </a:rPr>
              <a:t>(</a:t>
            </a:r>
            <a:r>
              <a:rPr kumimoji="1" lang="ja-JP" altLang="en-US" sz="900">
                <a:solidFill>
                  <a:schemeClr val="dk1"/>
                </a:solidFill>
                <a:effectLst/>
                <a:latin typeface="Meiryo UI" panose="020B0604030504040204" pitchFamily="50" charset="-128"/>
                <a:ea typeface="Meiryo UI" panose="020B0604030504040204" pitchFamily="50" charset="-128"/>
                <a:cs typeface="+mn-cs"/>
              </a:rPr>
              <a:t>形式</a:t>
            </a:r>
            <a:r>
              <a:rPr kumimoji="1" lang="en-US" altLang="ja-JP" sz="900">
                <a:solidFill>
                  <a:schemeClr val="dk1"/>
                </a:solidFill>
                <a:effectLst/>
                <a:latin typeface="Meiryo UI" panose="020B0604030504040204" pitchFamily="50" charset="-128"/>
                <a:ea typeface="Meiryo UI" panose="020B0604030504040204" pitchFamily="50" charset="-128"/>
                <a:cs typeface="+mn-cs"/>
              </a:rPr>
              <a:t>)]</a:t>
            </a:r>
          </a:p>
        </xdr:txBody>
      </xdr:sp>
    </xdr:grpSp>
    <xdr:clientData/>
  </xdr:twoCellAnchor>
  <xdr:twoCellAnchor>
    <xdr:from>
      <xdr:col>0</xdr:col>
      <xdr:colOff>99060</xdr:colOff>
      <xdr:row>6</xdr:row>
      <xdr:rowOff>45719</xdr:rowOff>
    </xdr:from>
    <xdr:to>
      <xdr:col>12</xdr:col>
      <xdr:colOff>64500</xdr:colOff>
      <xdr:row>7</xdr:row>
      <xdr:rowOff>143219</xdr:rowOff>
    </xdr:to>
    <xdr:sp macro="" textlink="">
      <xdr:nvSpPr>
        <xdr:cNvPr id="50" name="正方形/長方形 49">
          <a:extLst>
            <a:ext uri="{FF2B5EF4-FFF2-40B4-BE49-F238E27FC236}">
              <a16:creationId xmlns:a16="http://schemas.microsoft.com/office/drawing/2014/main" id="{D5F785AE-E656-444D-88A8-B6BC13ADF1CD}"/>
            </a:ext>
          </a:extLst>
        </xdr:cNvPr>
        <xdr:cNvSpPr/>
      </xdr:nvSpPr>
      <xdr:spPr>
        <a:xfrm>
          <a:off x="99060" y="1221376"/>
          <a:ext cx="2186126" cy="293443"/>
        </a:xfrm>
        <a:prstGeom prst="rect">
          <a:avLst/>
        </a:prstGeom>
        <a:solidFill>
          <a:sysClr val="window" lastClr="FFFFFF"/>
        </a:solidFill>
        <a:ln w="12700" cap="flat" cmpd="sng" algn="ctr">
          <a:solidFill>
            <a:sysClr val="windowText" lastClr="000000"/>
          </a:solidFill>
          <a:prstDash val="solid"/>
          <a:miter lim="800000"/>
        </a:ln>
        <a:effectLst/>
      </xdr:spPr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9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1. </a:t>
          </a:r>
          <a:r>
            <a:rPr kumimoji="1" lang="ja-JP" altLang="en-US" sz="9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画面初期表示</a:t>
          </a:r>
          <a:endParaRPr kumimoji="1" lang="en-US" altLang="ja-JP" sz="9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17</xdr:col>
      <xdr:colOff>64770</xdr:colOff>
      <xdr:row>6</xdr:row>
      <xdr:rowOff>53340</xdr:rowOff>
    </xdr:from>
    <xdr:to>
      <xdr:col>29</xdr:col>
      <xdr:colOff>30210</xdr:colOff>
      <xdr:row>7</xdr:row>
      <xdr:rowOff>150840</xdr:rowOff>
    </xdr:to>
    <xdr:sp macro="" textlink="">
      <xdr:nvSpPr>
        <xdr:cNvPr id="51" name="正方形/長方形 50">
          <a:extLst>
            <a:ext uri="{FF2B5EF4-FFF2-40B4-BE49-F238E27FC236}">
              <a16:creationId xmlns:a16="http://schemas.microsoft.com/office/drawing/2014/main" id="{5BBD284A-84D1-412F-93B8-0E0CA4A4F98E}"/>
            </a:ext>
          </a:extLst>
        </xdr:cNvPr>
        <xdr:cNvSpPr/>
      </xdr:nvSpPr>
      <xdr:spPr>
        <a:xfrm>
          <a:off x="3173730" y="1196340"/>
          <a:ext cx="2160000" cy="288000"/>
        </a:xfrm>
        <a:prstGeom prst="rect">
          <a:avLst/>
        </a:prstGeom>
        <a:solidFill>
          <a:sysClr val="window" lastClr="FFFFFF"/>
        </a:solidFill>
        <a:ln w="12700" cap="flat" cmpd="sng" algn="ctr">
          <a:solidFill>
            <a:sysClr val="windowText" lastClr="000000"/>
          </a:solidFill>
          <a:prstDash val="solid"/>
          <a:miter lim="800000"/>
        </a:ln>
        <a:effectLst/>
      </xdr:spPr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9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1-1. </a:t>
          </a:r>
          <a:r>
            <a:rPr kumimoji="1" lang="ja-JP" altLang="en-US" sz="9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画面初期表示処理</a:t>
          </a:r>
          <a:endParaRPr kumimoji="1" lang="en-US" altLang="ja-JP" sz="9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12</xdr:col>
      <xdr:colOff>64500</xdr:colOff>
      <xdr:row>6</xdr:row>
      <xdr:rowOff>192441</xdr:rowOff>
    </xdr:from>
    <xdr:to>
      <xdr:col>17</xdr:col>
      <xdr:colOff>64770</xdr:colOff>
      <xdr:row>7</xdr:row>
      <xdr:rowOff>4119</xdr:rowOff>
    </xdr:to>
    <xdr:cxnSp macro="">
      <xdr:nvCxnSpPr>
        <xdr:cNvPr id="52" name="直線矢印コネクタ 51">
          <a:extLst>
            <a:ext uri="{FF2B5EF4-FFF2-40B4-BE49-F238E27FC236}">
              <a16:creationId xmlns:a16="http://schemas.microsoft.com/office/drawing/2014/main" id="{6FD511B7-1CB4-45DA-88E5-9C8CD7681643}"/>
            </a:ext>
          </a:extLst>
        </xdr:cNvPr>
        <xdr:cNvCxnSpPr>
          <a:cxnSpLocks/>
          <a:stCxn id="50" idx="3"/>
          <a:endCxn id="51" idx="1"/>
        </xdr:cNvCxnSpPr>
      </xdr:nvCxnSpPr>
      <xdr:spPr>
        <a:xfrm>
          <a:off x="2285186" y="1368098"/>
          <a:ext cx="925555" cy="7621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170121</xdr:colOff>
      <xdr:row>5</xdr:row>
      <xdr:rowOff>106692</xdr:rowOff>
    </xdr:from>
    <xdr:to>
      <xdr:col>56</xdr:col>
      <xdr:colOff>18142</xdr:colOff>
      <xdr:row>8</xdr:row>
      <xdr:rowOff>153134</xdr:rowOff>
    </xdr:to>
    <xdr:grpSp>
      <xdr:nvGrpSpPr>
        <xdr:cNvPr id="29" name="グループ化 28">
          <a:extLst>
            <a:ext uri="{FF2B5EF4-FFF2-40B4-BE49-F238E27FC236}">
              <a16:creationId xmlns:a16="http://schemas.microsoft.com/office/drawing/2014/main" id="{5F99C63A-AF17-4A93-8F7E-13A557071919}"/>
            </a:ext>
          </a:extLst>
        </xdr:cNvPr>
        <xdr:cNvGrpSpPr/>
      </xdr:nvGrpSpPr>
      <xdr:grpSpPr>
        <a:xfrm>
          <a:off x="7282121" y="1059192"/>
          <a:ext cx="2692821" cy="617942"/>
          <a:chOff x="5477825" y="13982700"/>
          <a:chExt cx="2423417" cy="608947"/>
        </a:xfrm>
      </xdr:grpSpPr>
      <xdr:sp macro="" textlink="">
        <xdr:nvSpPr>
          <xdr:cNvPr id="30" name="円柱 29">
            <a:extLst>
              <a:ext uri="{FF2B5EF4-FFF2-40B4-BE49-F238E27FC236}">
                <a16:creationId xmlns:a16="http://schemas.microsoft.com/office/drawing/2014/main" id="{B710A28E-1B58-6AD8-E533-5EB698F9ADE6}"/>
              </a:ext>
            </a:extLst>
          </xdr:cNvPr>
          <xdr:cNvSpPr/>
        </xdr:nvSpPr>
        <xdr:spPr>
          <a:xfrm>
            <a:off x="5600700" y="13982700"/>
            <a:ext cx="1067132" cy="589550"/>
          </a:xfrm>
          <a:prstGeom prst="can">
            <a:avLst>
              <a:gd name="adj" fmla="val 26958"/>
            </a:avLst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ctr"/>
            <a:endPara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  <xdr:sp macro="" textlink="">
        <xdr:nvSpPr>
          <xdr:cNvPr id="31" name="テキスト ボックス 30">
            <a:extLst>
              <a:ext uri="{FF2B5EF4-FFF2-40B4-BE49-F238E27FC236}">
                <a16:creationId xmlns:a16="http://schemas.microsoft.com/office/drawing/2014/main" id="{0A55B44F-DDF9-1C18-E3F4-57CEB2E9533F}"/>
              </a:ext>
            </a:extLst>
          </xdr:cNvPr>
          <xdr:cNvSpPr txBox="1"/>
        </xdr:nvSpPr>
        <xdr:spPr>
          <a:xfrm>
            <a:off x="5477825" y="14077700"/>
            <a:ext cx="1345027" cy="498929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ja-JP" altLang="en-US" sz="900">
                <a:effectLst/>
                <a:latin typeface="Meiryo UI" panose="020B0604030504040204" pitchFamily="50" charset="-128"/>
                <a:ea typeface="Meiryo UI" panose="020B0604030504040204" pitchFamily="50" charset="-128"/>
              </a:rPr>
              <a:t>支払方法・支払サイト</a:t>
            </a:r>
            <a:endParaRPr lang="ja-JP" altLang="ja-JP" sz="900">
              <a:effectLst/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  <xdr:sp macro="" textlink="">
        <xdr:nvSpPr>
          <xdr:cNvPr id="7" name="円柱 6">
            <a:extLst>
              <a:ext uri="{FF2B5EF4-FFF2-40B4-BE49-F238E27FC236}">
                <a16:creationId xmlns:a16="http://schemas.microsoft.com/office/drawing/2014/main" id="{04F4258A-AF5F-7DBB-2A9E-CCA2012EB2E6}"/>
              </a:ext>
            </a:extLst>
          </xdr:cNvPr>
          <xdr:cNvSpPr/>
        </xdr:nvSpPr>
        <xdr:spPr>
          <a:xfrm>
            <a:off x="6679090" y="13997718"/>
            <a:ext cx="1067132" cy="589550"/>
          </a:xfrm>
          <a:prstGeom prst="can">
            <a:avLst>
              <a:gd name="adj" fmla="val 26958"/>
            </a:avLst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ctr"/>
            <a:endPara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  <xdr:sp macro="" textlink="">
        <xdr:nvSpPr>
          <xdr:cNvPr id="8" name="テキスト ボックス 7">
            <a:extLst>
              <a:ext uri="{FF2B5EF4-FFF2-40B4-BE49-F238E27FC236}">
                <a16:creationId xmlns:a16="http://schemas.microsoft.com/office/drawing/2014/main" id="{6E2020AA-7931-0FF1-959B-2A0AECCA4DF6}"/>
              </a:ext>
            </a:extLst>
          </xdr:cNvPr>
          <xdr:cNvSpPr txBox="1"/>
        </xdr:nvSpPr>
        <xdr:spPr>
          <a:xfrm>
            <a:off x="6556215" y="14092718"/>
            <a:ext cx="1345027" cy="498929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ja-JP" altLang="en-US" sz="900">
                <a:effectLst/>
                <a:latin typeface="Meiryo UI" panose="020B0604030504040204" pitchFamily="50" charset="-128"/>
                <a:ea typeface="Meiryo UI" panose="020B0604030504040204" pitchFamily="50" charset="-128"/>
              </a:rPr>
              <a:t>支払方法</a:t>
            </a:r>
            <a:r>
              <a:rPr lang="en-US" altLang="ja-JP" sz="900">
                <a:effectLst/>
                <a:latin typeface="Meiryo UI" panose="020B0604030504040204" pitchFamily="50" charset="-128"/>
                <a:ea typeface="Meiryo UI" panose="020B0604030504040204" pitchFamily="50" charset="-128"/>
              </a:rPr>
              <a:t>-</a:t>
            </a:r>
            <a:r>
              <a:rPr lang="ja-JP" altLang="en-US" sz="900">
                <a:effectLst/>
                <a:latin typeface="Meiryo UI" panose="020B0604030504040204" pitchFamily="50" charset="-128"/>
                <a:ea typeface="Meiryo UI" panose="020B0604030504040204" pitchFamily="50" charset="-128"/>
              </a:rPr>
              <a:t>仕入先</a:t>
            </a:r>
            <a:endParaRPr lang="ja-JP" altLang="ja-JP" sz="900">
              <a:effectLst/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</xdr:grpSp>
    <xdr:clientData/>
  </xdr:twoCellAnchor>
  <xdr:twoCellAnchor>
    <xdr:from>
      <xdr:col>29</xdr:col>
      <xdr:colOff>30210</xdr:colOff>
      <xdr:row>7</xdr:row>
      <xdr:rowOff>6840</xdr:rowOff>
    </xdr:from>
    <xdr:to>
      <xdr:col>40</xdr:col>
      <xdr:colOff>146512</xdr:colOff>
      <xdr:row>7</xdr:row>
      <xdr:rowOff>28576</xdr:rowOff>
    </xdr:to>
    <xdr:cxnSp macro="">
      <xdr:nvCxnSpPr>
        <xdr:cNvPr id="32" name="直線矢印コネクタ 31">
          <a:extLst>
            <a:ext uri="{FF2B5EF4-FFF2-40B4-BE49-F238E27FC236}">
              <a16:creationId xmlns:a16="http://schemas.microsoft.com/office/drawing/2014/main" id="{26260DCF-FD41-4E82-9FA8-51A23BE40BD8}"/>
            </a:ext>
          </a:extLst>
        </xdr:cNvPr>
        <xdr:cNvCxnSpPr>
          <a:cxnSpLocks/>
          <a:stCxn id="23" idx="1"/>
          <a:endCxn id="51" idx="3"/>
        </xdr:cNvCxnSpPr>
      </xdr:nvCxnSpPr>
      <xdr:spPr>
        <a:xfrm flipH="1" flipV="1">
          <a:off x="5333730" y="1340340"/>
          <a:ext cx="2127982" cy="21736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99060</xdr:colOff>
      <xdr:row>12</xdr:row>
      <xdr:rowOff>101030</xdr:rowOff>
    </xdr:from>
    <xdr:to>
      <xdr:col>12</xdr:col>
      <xdr:colOff>62323</xdr:colOff>
      <xdr:row>14</xdr:row>
      <xdr:rowOff>8030</xdr:rowOff>
    </xdr:to>
    <xdr:sp macro="" textlink="">
      <xdr:nvSpPr>
        <xdr:cNvPr id="24" name="正方形/長方形 23">
          <a:extLst>
            <a:ext uri="{FF2B5EF4-FFF2-40B4-BE49-F238E27FC236}">
              <a16:creationId xmlns:a16="http://schemas.microsoft.com/office/drawing/2014/main" id="{BDBD8FCE-E6AB-4E63-9523-C99C2D3DE399}"/>
            </a:ext>
          </a:extLst>
        </xdr:cNvPr>
        <xdr:cNvSpPr/>
      </xdr:nvSpPr>
      <xdr:spPr>
        <a:xfrm>
          <a:off x="99060" y="6959030"/>
          <a:ext cx="2183949" cy="298886"/>
        </a:xfrm>
        <a:prstGeom prst="rect">
          <a:avLst/>
        </a:prstGeom>
        <a:solidFill>
          <a:sysClr val="window" lastClr="FFFFFF"/>
        </a:solidFill>
        <a:ln w="12700" cap="flat" cmpd="sng" algn="ctr">
          <a:solidFill>
            <a:sysClr val="windowText" lastClr="000000"/>
          </a:solidFill>
          <a:prstDash val="solid"/>
          <a:miter lim="800000"/>
        </a:ln>
        <a:effectLst/>
      </xdr:spPr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9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2.</a:t>
          </a:r>
          <a:r>
            <a:rPr kumimoji="1" lang="ja-JP" altLang="en-US" sz="9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値入力時</a:t>
          </a:r>
          <a:endParaRPr kumimoji="1" lang="en-US" altLang="ja-JP" sz="9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18</xdr:col>
      <xdr:colOff>1270</xdr:colOff>
      <xdr:row>12</xdr:row>
      <xdr:rowOff>101030</xdr:rowOff>
    </xdr:from>
    <xdr:to>
      <xdr:col>29</xdr:col>
      <xdr:colOff>144510</xdr:colOff>
      <xdr:row>14</xdr:row>
      <xdr:rowOff>8030</xdr:rowOff>
    </xdr:to>
    <xdr:sp macro="" textlink="">
      <xdr:nvSpPr>
        <xdr:cNvPr id="49" name="正方形/長方形 48">
          <a:extLst>
            <a:ext uri="{FF2B5EF4-FFF2-40B4-BE49-F238E27FC236}">
              <a16:creationId xmlns:a16="http://schemas.microsoft.com/office/drawing/2014/main" id="{EB7E5565-B060-4AC3-BE75-D387D24BB021}"/>
            </a:ext>
          </a:extLst>
        </xdr:cNvPr>
        <xdr:cNvSpPr/>
      </xdr:nvSpPr>
      <xdr:spPr>
        <a:xfrm>
          <a:off x="3332299" y="6959030"/>
          <a:ext cx="2178868" cy="298886"/>
        </a:xfrm>
        <a:prstGeom prst="rect">
          <a:avLst/>
        </a:prstGeom>
        <a:solidFill>
          <a:sysClr val="window" lastClr="FFFFFF"/>
        </a:solidFill>
        <a:ln w="12700" cap="flat" cmpd="sng" algn="ctr">
          <a:solidFill>
            <a:sysClr val="windowText" lastClr="000000"/>
          </a:solidFill>
          <a:prstDash val="solid"/>
          <a:miter lim="800000"/>
        </a:ln>
        <a:effectLst/>
      </xdr:spPr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9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2-1.</a:t>
          </a:r>
          <a:r>
            <a:rPr kumimoji="1" lang="ja-JP" altLang="en-US" sz="9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登録処理</a:t>
          </a:r>
          <a:endParaRPr kumimoji="1" lang="en-US" altLang="ja-JP" sz="9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12</xdr:col>
      <xdr:colOff>62323</xdr:colOff>
      <xdr:row>13</xdr:row>
      <xdr:rowOff>54530</xdr:rowOff>
    </xdr:from>
    <xdr:to>
      <xdr:col>18</xdr:col>
      <xdr:colOff>1270</xdr:colOff>
      <xdr:row>13</xdr:row>
      <xdr:rowOff>54530</xdr:rowOff>
    </xdr:to>
    <xdr:cxnSp macro="">
      <xdr:nvCxnSpPr>
        <xdr:cNvPr id="124" name="直線矢印コネクタ 123">
          <a:extLst>
            <a:ext uri="{FF2B5EF4-FFF2-40B4-BE49-F238E27FC236}">
              <a16:creationId xmlns:a16="http://schemas.microsoft.com/office/drawing/2014/main" id="{0C260CC8-F1A7-31D8-B9FF-E881C2625F15}"/>
            </a:ext>
          </a:extLst>
        </xdr:cNvPr>
        <xdr:cNvCxnSpPr>
          <a:cxnSpLocks/>
          <a:stCxn id="24" idx="3"/>
          <a:endCxn id="49" idx="1"/>
        </xdr:cNvCxnSpPr>
      </xdr:nvCxnSpPr>
      <xdr:spPr>
        <a:xfrm>
          <a:off x="2283009" y="7108473"/>
          <a:ext cx="1049290" cy="0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144510</xdr:colOff>
      <xdr:row>13</xdr:row>
      <xdr:rowOff>54530</xdr:rowOff>
    </xdr:from>
    <xdr:to>
      <xdr:col>41</xdr:col>
      <xdr:colOff>125167</xdr:colOff>
      <xdr:row>13</xdr:row>
      <xdr:rowOff>60036</xdr:rowOff>
    </xdr:to>
    <xdr:cxnSp macro="">
      <xdr:nvCxnSpPr>
        <xdr:cNvPr id="59" name="直線矢印コネクタ 58">
          <a:extLst>
            <a:ext uri="{FF2B5EF4-FFF2-40B4-BE49-F238E27FC236}">
              <a16:creationId xmlns:a16="http://schemas.microsoft.com/office/drawing/2014/main" id="{AEB24D1A-B26B-5E85-2133-5BB0AA9AB10A}"/>
            </a:ext>
          </a:extLst>
        </xdr:cNvPr>
        <xdr:cNvCxnSpPr>
          <a:cxnSpLocks/>
          <a:stCxn id="49" idx="3"/>
          <a:endCxn id="61" idx="2"/>
        </xdr:cNvCxnSpPr>
      </xdr:nvCxnSpPr>
      <xdr:spPr>
        <a:xfrm>
          <a:off x="5511167" y="7108473"/>
          <a:ext cx="2201343" cy="5506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167579</xdr:colOff>
      <xdr:row>11</xdr:row>
      <xdr:rowOff>144789</xdr:rowOff>
    </xdr:from>
    <xdr:to>
      <xdr:col>49</xdr:col>
      <xdr:colOff>63497</xdr:colOff>
      <xdr:row>14</xdr:row>
      <xdr:rowOff>183611</xdr:rowOff>
    </xdr:to>
    <xdr:grpSp>
      <xdr:nvGrpSpPr>
        <xdr:cNvPr id="60" name="グループ化 59">
          <a:extLst>
            <a:ext uri="{FF2B5EF4-FFF2-40B4-BE49-F238E27FC236}">
              <a16:creationId xmlns:a16="http://schemas.microsoft.com/office/drawing/2014/main" id="{34F785A3-BB3C-A78C-05C9-9CC3417CA599}"/>
            </a:ext>
          </a:extLst>
        </xdr:cNvPr>
        <xdr:cNvGrpSpPr/>
      </xdr:nvGrpSpPr>
      <xdr:grpSpPr>
        <a:xfrm>
          <a:off x="7279579" y="2240289"/>
          <a:ext cx="1496118" cy="610322"/>
          <a:chOff x="5477825" y="13982700"/>
          <a:chExt cx="1345027" cy="601438"/>
        </a:xfrm>
      </xdr:grpSpPr>
      <xdr:sp macro="" textlink="">
        <xdr:nvSpPr>
          <xdr:cNvPr id="61" name="円柱 60">
            <a:extLst>
              <a:ext uri="{FF2B5EF4-FFF2-40B4-BE49-F238E27FC236}">
                <a16:creationId xmlns:a16="http://schemas.microsoft.com/office/drawing/2014/main" id="{C7AF48B8-15D6-D36C-E0DE-3A25D352D458}"/>
              </a:ext>
            </a:extLst>
          </xdr:cNvPr>
          <xdr:cNvSpPr/>
        </xdr:nvSpPr>
        <xdr:spPr>
          <a:xfrm>
            <a:off x="5600700" y="13982700"/>
            <a:ext cx="1067132" cy="589550"/>
          </a:xfrm>
          <a:prstGeom prst="can">
            <a:avLst>
              <a:gd name="adj" fmla="val 26958"/>
            </a:avLst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ctr"/>
            <a:endPara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  <xdr:sp macro="" textlink="">
        <xdr:nvSpPr>
          <xdr:cNvPr id="62" name="テキスト ボックス 61">
            <a:extLst>
              <a:ext uri="{FF2B5EF4-FFF2-40B4-BE49-F238E27FC236}">
                <a16:creationId xmlns:a16="http://schemas.microsoft.com/office/drawing/2014/main" id="{1F3CE912-B875-6A1C-F340-DB94D8812D43}"/>
              </a:ext>
            </a:extLst>
          </xdr:cNvPr>
          <xdr:cNvSpPr txBox="1"/>
        </xdr:nvSpPr>
        <xdr:spPr>
          <a:xfrm>
            <a:off x="5477825" y="14085209"/>
            <a:ext cx="1345027" cy="498929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ja-JP" altLang="en-US" sz="900">
                <a:effectLst/>
                <a:latin typeface="Meiryo UI" panose="020B0604030504040204" pitchFamily="50" charset="-128"/>
                <a:ea typeface="Meiryo UI" panose="020B0604030504040204" pitchFamily="50" charset="-128"/>
              </a:rPr>
              <a:t>支払方法・支払サイト</a:t>
            </a:r>
            <a:endParaRPr lang="ja-JP" altLang="ja-JP" sz="900">
              <a:effectLst/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</xdr:grpSp>
    <xdr:clientData/>
  </xdr:twoCellAnchor>
  <xdr:twoCellAnchor>
    <xdr:from>
      <xdr:col>40</xdr:col>
      <xdr:colOff>146512</xdr:colOff>
      <xdr:row>5</xdr:row>
      <xdr:rowOff>54553</xdr:rowOff>
    </xdr:from>
    <xdr:to>
      <xdr:col>55</xdr:col>
      <xdr:colOff>181148</xdr:colOff>
      <xdr:row>9</xdr:row>
      <xdr:rowOff>2598</xdr:rowOff>
    </xdr:to>
    <xdr:sp macro="" textlink="">
      <xdr:nvSpPr>
        <xdr:cNvPr id="23" name="正方形/長方形 22">
          <a:extLst>
            <a:ext uri="{FF2B5EF4-FFF2-40B4-BE49-F238E27FC236}">
              <a16:creationId xmlns:a16="http://schemas.microsoft.com/office/drawing/2014/main" id="{FE7FF304-3397-38E3-35A1-A90EDF37CECF}"/>
            </a:ext>
          </a:extLst>
        </xdr:cNvPr>
        <xdr:cNvSpPr/>
      </xdr:nvSpPr>
      <xdr:spPr>
        <a:xfrm>
          <a:off x="7461712" y="1007053"/>
          <a:ext cx="2777836" cy="710045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151282</xdr:colOff>
      <xdr:row>16</xdr:row>
      <xdr:rowOff>137159</xdr:rowOff>
    </xdr:from>
    <xdr:to>
      <xdr:col>19</xdr:col>
      <xdr:colOff>68580</xdr:colOff>
      <xdr:row>18</xdr:row>
      <xdr:rowOff>7620</xdr:rowOff>
    </xdr:to>
    <xdr:sp macro="" textlink="">
      <xdr:nvSpPr>
        <xdr:cNvPr id="6" name="テキスト ボックス 5">
          <a:extLst>
            <a:ext uri="{FF2B5EF4-FFF2-40B4-BE49-F238E27FC236}">
              <a16:creationId xmlns:a16="http://schemas.microsoft.com/office/drawing/2014/main" id="{2F5A0F9E-B0A2-48BA-A23B-5E4D4126854D}"/>
            </a:ext>
          </a:extLst>
        </xdr:cNvPr>
        <xdr:cNvSpPr txBox="1"/>
      </xdr:nvSpPr>
      <xdr:spPr>
        <a:xfrm>
          <a:off x="2818282" y="3185159"/>
          <a:ext cx="869798" cy="251461"/>
        </a:xfrm>
        <a:prstGeom prst="rect">
          <a:avLst/>
        </a:prstGeom>
        <a:solidFill>
          <a:schemeClr val="bg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 b="1"/>
            <a:t>支払方法</a:t>
          </a:r>
        </a:p>
      </xdr:txBody>
    </xdr:sp>
    <xdr:clientData/>
  </xdr:twoCellAnchor>
  <xdr:twoCellAnchor>
    <xdr:from>
      <xdr:col>19</xdr:col>
      <xdr:colOff>67462</xdr:colOff>
      <xdr:row>16</xdr:row>
      <xdr:rowOff>144779</xdr:rowOff>
    </xdr:from>
    <xdr:to>
      <xdr:col>26</xdr:col>
      <xdr:colOff>7620</xdr:colOff>
      <xdr:row>18</xdr:row>
      <xdr:rowOff>15240</xdr:rowOff>
    </xdr:to>
    <xdr:sp macro="" textlink="">
      <xdr:nvSpPr>
        <xdr:cNvPr id="7" name="テキスト ボックス 6">
          <a:extLst>
            <a:ext uri="{FF2B5EF4-FFF2-40B4-BE49-F238E27FC236}">
              <a16:creationId xmlns:a16="http://schemas.microsoft.com/office/drawing/2014/main" id="{0E1DC668-1ADE-4947-A40F-014E9B89A564}"/>
            </a:ext>
          </a:extLst>
        </xdr:cNvPr>
        <xdr:cNvSpPr txBox="1"/>
      </xdr:nvSpPr>
      <xdr:spPr>
        <a:xfrm>
          <a:off x="3686962" y="3192779"/>
          <a:ext cx="1273658" cy="251461"/>
        </a:xfrm>
        <a:prstGeom prst="rect">
          <a:avLst/>
        </a:prstGeom>
        <a:solidFill>
          <a:schemeClr val="bg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 b="1"/>
            <a:t>支払サイト</a:t>
          </a:r>
        </a:p>
      </xdr:txBody>
    </xdr:sp>
    <xdr:clientData/>
  </xdr:twoCellAnchor>
  <xdr:twoCellAnchor>
    <xdr:from>
      <xdr:col>13</xdr:col>
      <xdr:colOff>160020</xdr:colOff>
      <xdr:row>11</xdr:row>
      <xdr:rowOff>34136</xdr:rowOff>
    </xdr:from>
    <xdr:to>
      <xdr:col>20</xdr:col>
      <xdr:colOff>114300</xdr:colOff>
      <xdr:row>12</xdr:row>
      <xdr:rowOff>99060</xdr:rowOff>
    </xdr:to>
    <xdr:sp macro="" textlink="">
      <xdr:nvSpPr>
        <xdr:cNvPr id="9" name="テキスト ボックス 8">
          <a:extLst>
            <a:ext uri="{FF2B5EF4-FFF2-40B4-BE49-F238E27FC236}">
              <a16:creationId xmlns:a16="http://schemas.microsoft.com/office/drawing/2014/main" id="{F0D2E656-DC23-4AF0-9DF9-ED90C4D163FF}"/>
            </a:ext>
          </a:extLst>
        </xdr:cNvPr>
        <xdr:cNvSpPr txBox="1"/>
      </xdr:nvSpPr>
      <xdr:spPr>
        <a:xfrm>
          <a:off x="2636520" y="2129636"/>
          <a:ext cx="1287780" cy="255424"/>
        </a:xfrm>
        <a:prstGeom prst="rect">
          <a:avLst/>
        </a:prstGeom>
        <a:solidFill>
          <a:schemeClr val="bg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kumimoji="1" lang="ja-JP" altLang="en-US" sz="1100" b="1"/>
        </a:p>
      </xdr:txBody>
    </xdr:sp>
    <xdr:clientData/>
  </xdr:twoCellAnchor>
  <xdr:twoCellAnchor>
    <xdr:from>
      <xdr:col>2</xdr:col>
      <xdr:colOff>182880</xdr:colOff>
      <xdr:row>13</xdr:row>
      <xdr:rowOff>3656</xdr:rowOff>
    </xdr:from>
    <xdr:to>
      <xdr:col>13</xdr:col>
      <xdr:colOff>182880</xdr:colOff>
      <xdr:row>14</xdr:row>
      <xdr:rowOff>38100</xdr:rowOff>
    </xdr:to>
    <xdr:sp macro="" textlink="">
      <xdr:nvSpPr>
        <xdr:cNvPr id="10" name="テキスト ボックス 9">
          <a:extLst>
            <a:ext uri="{FF2B5EF4-FFF2-40B4-BE49-F238E27FC236}">
              <a16:creationId xmlns:a16="http://schemas.microsoft.com/office/drawing/2014/main" id="{408B0037-C04F-409C-9316-D59D70417BB4}"/>
            </a:ext>
          </a:extLst>
        </xdr:cNvPr>
        <xdr:cNvSpPr txBox="1"/>
      </xdr:nvSpPr>
      <xdr:spPr>
        <a:xfrm>
          <a:off x="563880" y="2480156"/>
          <a:ext cx="2095500" cy="224944"/>
        </a:xfrm>
        <a:prstGeom prst="rect">
          <a:avLst/>
        </a:prstGeom>
        <a:solidFill>
          <a:schemeClr val="bg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 b="1">
              <a:latin typeface="+mn-ea"/>
              <a:ea typeface="+mn-ea"/>
            </a:rPr>
            <a:t>支払方法・支払サイトマスタ</a:t>
          </a:r>
        </a:p>
      </xdr:txBody>
    </xdr:sp>
    <xdr:clientData/>
  </xdr:twoCellAnchor>
  <xdr:twoCellAnchor>
    <xdr:from>
      <xdr:col>0</xdr:col>
      <xdr:colOff>68507</xdr:colOff>
      <xdr:row>8</xdr:row>
      <xdr:rowOff>94634</xdr:rowOff>
    </xdr:from>
    <xdr:to>
      <xdr:col>59</xdr:col>
      <xdr:colOff>338</xdr:colOff>
      <xdr:row>39</xdr:row>
      <xdr:rowOff>63941</xdr:rowOff>
    </xdr:to>
    <xdr:grpSp>
      <xdr:nvGrpSpPr>
        <xdr:cNvPr id="195" name="グループ化 194">
          <a:extLst>
            <a:ext uri="{FF2B5EF4-FFF2-40B4-BE49-F238E27FC236}">
              <a16:creationId xmlns:a16="http://schemas.microsoft.com/office/drawing/2014/main" id="{BCD28D9B-AAC5-24B1-6238-077C168B277D}"/>
            </a:ext>
            <a:ext uri="{147F2762-F138-4A5C-976F-8EAC2B608ADB}">
              <a16:predDERef xmlns:a16="http://schemas.microsoft.com/office/drawing/2014/main" pred="{408B0037-C04F-409C-9316-D59D70417BB4}"/>
            </a:ext>
          </a:extLst>
        </xdr:cNvPr>
        <xdr:cNvGrpSpPr/>
      </xdr:nvGrpSpPr>
      <xdr:grpSpPr>
        <a:xfrm>
          <a:off x="68507" y="1618634"/>
          <a:ext cx="10234706" cy="5874807"/>
          <a:chOff x="45721" y="1661030"/>
          <a:chExt cx="11033312" cy="5824178"/>
        </a:xfrm>
      </xdr:grpSpPr>
      <xdr:grpSp>
        <xdr:nvGrpSpPr>
          <xdr:cNvPr id="32" name="グループ化 31">
            <a:extLst>
              <a:ext uri="{FF2B5EF4-FFF2-40B4-BE49-F238E27FC236}">
                <a16:creationId xmlns:a16="http://schemas.microsoft.com/office/drawing/2014/main" id="{D48457F4-834C-1295-8A54-0C9972BE7162}"/>
              </a:ext>
            </a:extLst>
          </xdr:cNvPr>
          <xdr:cNvGrpSpPr/>
        </xdr:nvGrpSpPr>
        <xdr:grpSpPr>
          <a:xfrm>
            <a:off x="45721" y="1661030"/>
            <a:ext cx="11033312" cy="5812541"/>
            <a:chOff x="45721" y="1678959"/>
            <a:chExt cx="11163300" cy="5883830"/>
          </a:xfrm>
        </xdr:grpSpPr>
        <xdr:grpSp>
          <xdr:nvGrpSpPr>
            <xdr:cNvPr id="18" name="グループ化 17">
              <a:extLst>
                <a:ext uri="{FF2B5EF4-FFF2-40B4-BE49-F238E27FC236}">
                  <a16:creationId xmlns:a16="http://schemas.microsoft.com/office/drawing/2014/main" id="{BC105816-24F1-9878-C24C-2D46983145BF}"/>
                </a:ext>
              </a:extLst>
            </xdr:cNvPr>
            <xdr:cNvGrpSpPr/>
          </xdr:nvGrpSpPr>
          <xdr:grpSpPr>
            <a:xfrm>
              <a:off x="45721" y="1678959"/>
              <a:ext cx="11163300" cy="4994344"/>
              <a:chOff x="129541" y="1678959"/>
              <a:chExt cx="11163300" cy="4994344"/>
            </a:xfrm>
          </xdr:grpSpPr>
          <xdr:pic>
            <xdr:nvPicPr>
              <xdr:cNvPr id="8" name="図 7">
                <a:extLst>
                  <a:ext uri="{FF2B5EF4-FFF2-40B4-BE49-F238E27FC236}">
                    <a16:creationId xmlns:a16="http://schemas.microsoft.com/office/drawing/2014/main" id="{24B614F3-756E-7114-90F2-C42FCC444D3C}"/>
                  </a:ext>
                </a:extLst>
              </xdr:cNvPr>
              <xdr:cNvPicPr>
                <a:picLocks noChangeAspect="1"/>
              </xdr:cNvPicPr>
            </xdr:nvPicPr>
            <xdr:blipFill>
              <a:blip xmlns:r="http://schemas.openxmlformats.org/officeDocument/2006/relationships" r:embed="rId1"/>
              <a:stretch>
                <a:fillRect/>
              </a:stretch>
            </xdr:blipFill>
            <xdr:spPr>
              <a:xfrm>
                <a:off x="129541" y="1678959"/>
                <a:ext cx="11163300" cy="4994344"/>
              </a:xfrm>
              <a:prstGeom prst="rect">
                <a:avLst/>
              </a:prstGeom>
              <a:ln>
                <a:solidFill>
                  <a:schemeClr val="tx1"/>
                </a:solidFill>
              </a:ln>
            </xdr:spPr>
          </xdr:pic>
          <xdr:pic>
            <xdr:nvPicPr>
              <xdr:cNvPr id="17" name="図 16">
                <a:extLst>
                  <a:ext uri="{FF2B5EF4-FFF2-40B4-BE49-F238E27FC236}">
                    <a16:creationId xmlns:a16="http://schemas.microsoft.com/office/drawing/2014/main" id="{6CB864CA-3103-E22F-DBAD-F34799606645}"/>
                  </a:ext>
                </a:extLst>
              </xdr:cNvPr>
              <xdr:cNvPicPr>
                <a:picLocks noChangeAspect="1"/>
              </xdr:cNvPicPr>
            </xdr:nvPicPr>
            <xdr:blipFill>
              <a:blip xmlns:r="http://schemas.openxmlformats.org/officeDocument/2006/relationships" r:embed="rId2"/>
              <a:stretch>
                <a:fillRect/>
              </a:stretch>
            </xdr:blipFill>
            <xdr:spPr>
              <a:xfrm>
                <a:off x="677062" y="4008119"/>
                <a:ext cx="10417658" cy="1028701"/>
              </a:xfrm>
              <a:prstGeom prst="rect">
                <a:avLst/>
              </a:prstGeom>
            </xdr:spPr>
          </xdr:pic>
        </xdr:grpSp>
        <xdr:sp macro="" textlink="">
          <xdr:nvSpPr>
            <xdr:cNvPr id="5" name="テキスト ボックス 4">
              <a:extLst>
                <a:ext uri="{FF2B5EF4-FFF2-40B4-BE49-F238E27FC236}">
                  <a16:creationId xmlns:a16="http://schemas.microsoft.com/office/drawing/2014/main" id="{C9535D23-131D-461A-AD6F-C09E0DCE0A6C}"/>
                </a:ext>
              </a:extLst>
            </xdr:cNvPr>
            <xdr:cNvSpPr txBox="1"/>
          </xdr:nvSpPr>
          <xdr:spPr>
            <a:xfrm>
              <a:off x="817491" y="3741419"/>
              <a:ext cx="1692758" cy="251461"/>
            </a:xfrm>
            <a:prstGeom prst="rect">
              <a:avLst/>
            </a:prstGeom>
            <a:solidFill>
              <a:schemeClr val="bg1"/>
            </a:solidFill>
            <a:ln w="9525" cmpd="sng">
              <a:solidFill>
                <a:schemeClr val="accent3">
                  <a:lumMod val="20000"/>
                  <a:lumOff val="80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r>
                <a:rPr kumimoji="1" lang="en-US" altLang="ja-JP" sz="1050" b="0">
                  <a:latin typeface="Meiryo UI" panose="020B0604030504040204" pitchFamily="50" charset="-128"/>
                  <a:ea typeface="Meiryo UI" panose="020B0604030504040204" pitchFamily="50" charset="-128"/>
                </a:rPr>
                <a:t>TU</a:t>
              </a:r>
              <a:endParaRPr kumimoji="1" lang="ja-JP" altLang="en-US" sz="1050" b="0">
                <a:latin typeface="Meiryo UI" panose="020B0604030504040204" pitchFamily="50" charset="-128"/>
                <a:ea typeface="Meiryo UI" panose="020B0604030504040204" pitchFamily="50" charset="-128"/>
              </a:endParaRPr>
            </a:p>
          </xdr:txBody>
        </xdr:sp>
        <xdr:sp macro="" textlink="">
          <xdr:nvSpPr>
            <xdr:cNvPr id="19" name="テキスト ボックス 18">
              <a:extLst>
                <a:ext uri="{FF2B5EF4-FFF2-40B4-BE49-F238E27FC236}">
                  <a16:creationId xmlns:a16="http://schemas.microsoft.com/office/drawing/2014/main" id="{A0CFF493-52EC-2BE5-4D7D-965799FCF0A6}"/>
                </a:ext>
              </a:extLst>
            </xdr:cNvPr>
            <xdr:cNvSpPr txBox="1"/>
          </xdr:nvSpPr>
          <xdr:spPr>
            <a:xfrm>
              <a:off x="817491" y="4000499"/>
              <a:ext cx="1692758" cy="251461"/>
            </a:xfrm>
            <a:prstGeom prst="rect">
              <a:avLst/>
            </a:prstGeom>
            <a:solidFill>
              <a:schemeClr val="bg1"/>
            </a:solidFill>
            <a:ln w="9525" cmpd="sng">
              <a:solidFill>
                <a:schemeClr val="accent3">
                  <a:lumMod val="20000"/>
                  <a:lumOff val="80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r>
                <a:rPr kumimoji="1" lang="en-US" altLang="ja-JP" sz="1050" b="0">
                  <a:latin typeface="Meiryo UI" panose="020B0604030504040204" pitchFamily="50" charset="-128"/>
                  <a:ea typeface="Meiryo UI" panose="020B0604030504040204" pitchFamily="50" charset="-128"/>
                </a:rPr>
                <a:t>TU</a:t>
              </a:r>
              <a:endParaRPr kumimoji="1" lang="ja-JP" altLang="en-US" sz="1050" b="0">
                <a:latin typeface="Meiryo UI" panose="020B0604030504040204" pitchFamily="50" charset="-128"/>
                <a:ea typeface="Meiryo UI" panose="020B0604030504040204" pitchFamily="50" charset="-128"/>
              </a:endParaRPr>
            </a:p>
          </xdr:txBody>
        </xdr:sp>
        <xdr:sp macro="" textlink="">
          <xdr:nvSpPr>
            <xdr:cNvPr id="20" name="テキスト ボックス 19">
              <a:extLst>
                <a:ext uri="{FF2B5EF4-FFF2-40B4-BE49-F238E27FC236}">
                  <a16:creationId xmlns:a16="http://schemas.microsoft.com/office/drawing/2014/main" id="{6873ED81-9664-9514-2213-7DF0A0861FBE}"/>
                </a:ext>
              </a:extLst>
            </xdr:cNvPr>
            <xdr:cNvSpPr txBox="1"/>
          </xdr:nvSpPr>
          <xdr:spPr>
            <a:xfrm>
              <a:off x="817491" y="4244339"/>
              <a:ext cx="1692758" cy="251461"/>
            </a:xfrm>
            <a:prstGeom prst="rect">
              <a:avLst/>
            </a:prstGeom>
            <a:solidFill>
              <a:schemeClr val="bg1"/>
            </a:solidFill>
            <a:ln w="9525" cmpd="sng">
              <a:solidFill>
                <a:schemeClr val="accent3">
                  <a:lumMod val="20000"/>
                  <a:lumOff val="80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r>
                <a:rPr kumimoji="1" lang="en-US" altLang="ja-JP" sz="1050" b="0">
                  <a:latin typeface="Meiryo UI" panose="020B0604030504040204" pitchFamily="50" charset="-128"/>
                  <a:ea typeface="Meiryo UI" panose="020B0604030504040204" pitchFamily="50" charset="-128"/>
                </a:rPr>
                <a:t>TQ	</a:t>
              </a:r>
              <a:endParaRPr kumimoji="1" lang="ja-JP" altLang="en-US" sz="1050" b="0">
                <a:latin typeface="Meiryo UI" panose="020B0604030504040204" pitchFamily="50" charset="-128"/>
                <a:ea typeface="Meiryo UI" panose="020B0604030504040204" pitchFamily="50" charset="-128"/>
              </a:endParaRPr>
            </a:p>
          </xdr:txBody>
        </xdr:sp>
        <xdr:sp macro="" textlink="">
          <xdr:nvSpPr>
            <xdr:cNvPr id="21" name="テキスト ボックス 20">
              <a:extLst>
                <a:ext uri="{FF2B5EF4-FFF2-40B4-BE49-F238E27FC236}">
                  <a16:creationId xmlns:a16="http://schemas.microsoft.com/office/drawing/2014/main" id="{77A0C6AE-6E67-CC85-7DA6-19474FEB62B3}"/>
                </a:ext>
              </a:extLst>
            </xdr:cNvPr>
            <xdr:cNvSpPr txBox="1"/>
          </xdr:nvSpPr>
          <xdr:spPr>
            <a:xfrm>
              <a:off x="817491" y="4511039"/>
              <a:ext cx="1692758" cy="251461"/>
            </a:xfrm>
            <a:prstGeom prst="rect">
              <a:avLst/>
            </a:prstGeom>
            <a:solidFill>
              <a:schemeClr val="bg1"/>
            </a:solidFill>
            <a:ln w="9525" cmpd="sng">
              <a:solidFill>
                <a:schemeClr val="accent3">
                  <a:lumMod val="20000"/>
                  <a:lumOff val="80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r>
                <a:rPr kumimoji="1" lang="en-US" altLang="ja-JP" sz="1050" b="0">
                  <a:latin typeface="Meiryo UI" panose="020B0604030504040204" pitchFamily="50" charset="-128"/>
                  <a:ea typeface="Meiryo UI" panose="020B0604030504040204" pitchFamily="50" charset="-128"/>
                </a:rPr>
                <a:t>TQ</a:t>
              </a:r>
              <a:endParaRPr kumimoji="1" lang="ja-JP" altLang="en-US" sz="1050" b="0">
                <a:latin typeface="Meiryo UI" panose="020B0604030504040204" pitchFamily="50" charset="-128"/>
                <a:ea typeface="Meiryo UI" panose="020B0604030504040204" pitchFamily="50" charset="-128"/>
              </a:endParaRPr>
            </a:p>
          </xdr:txBody>
        </xdr:sp>
        <xdr:sp macro="" textlink="">
          <xdr:nvSpPr>
            <xdr:cNvPr id="22" name="テキスト ボックス 21">
              <a:extLst>
                <a:ext uri="{FF2B5EF4-FFF2-40B4-BE49-F238E27FC236}">
                  <a16:creationId xmlns:a16="http://schemas.microsoft.com/office/drawing/2014/main" id="{3EE08F36-22E6-3650-FDDB-D55F9412BB02}"/>
                </a:ext>
              </a:extLst>
            </xdr:cNvPr>
            <xdr:cNvSpPr txBox="1"/>
          </xdr:nvSpPr>
          <xdr:spPr>
            <a:xfrm>
              <a:off x="817491" y="4770119"/>
              <a:ext cx="1692758" cy="251461"/>
            </a:xfrm>
            <a:prstGeom prst="rect">
              <a:avLst/>
            </a:prstGeom>
            <a:solidFill>
              <a:schemeClr val="bg1"/>
            </a:solidFill>
            <a:ln w="9525" cmpd="sng">
              <a:solidFill>
                <a:schemeClr val="accent3">
                  <a:lumMod val="20000"/>
                  <a:lumOff val="80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r>
                <a:rPr kumimoji="1" lang="en-US" altLang="ja-JP" sz="1050" b="0">
                  <a:latin typeface="Meiryo UI" panose="020B0604030504040204" pitchFamily="50" charset="-128"/>
                  <a:ea typeface="Meiryo UI" panose="020B0604030504040204" pitchFamily="50" charset="-128"/>
                </a:rPr>
                <a:t>TP</a:t>
              </a:r>
              <a:endParaRPr kumimoji="1" lang="ja-JP" altLang="en-US" sz="1050" b="0">
                <a:latin typeface="Meiryo UI" panose="020B0604030504040204" pitchFamily="50" charset="-128"/>
                <a:ea typeface="Meiryo UI" panose="020B0604030504040204" pitchFamily="50" charset="-128"/>
              </a:endParaRPr>
            </a:p>
          </xdr:txBody>
        </xdr:sp>
        <xdr:sp macro="" textlink="">
          <xdr:nvSpPr>
            <xdr:cNvPr id="23" name="テキスト ボックス 22">
              <a:extLst>
                <a:ext uri="{FF2B5EF4-FFF2-40B4-BE49-F238E27FC236}">
                  <a16:creationId xmlns:a16="http://schemas.microsoft.com/office/drawing/2014/main" id="{05B15512-3801-4870-70A0-FC375010F8CC}"/>
                </a:ext>
              </a:extLst>
            </xdr:cNvPr>
            <xdr:cNvSpPr txBox="1"/>
          </xdr:nvSpPr>
          <xdr:spPr>
            <a:xfrm>
              <a:off x="817491" y="5013959"/>
              <a:ext cx="1692758" cy="251461"/>
            </a:xfrm>
            <a:prstGeom prst="rect">
              <a:avLst/>
            </a:prstGeom>
            <a:solidFill>
              <a:schemeClr val="bg1"/>
            </a:solidFill>
            <a:ln w="9525" cmpd="sng">
              <a:solidFill>
                <a:schemeClr val="accent3">
                  <a:lumMod val="20000"/>
                  <a:lumOff val="80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r>
                <a:rPr kumimoji="1" lang="en-US" altLang="ja-JP" sz="1050" b="0">
                  <a:latin typeface="Meiryo UI" panose="020B0604030504040204" pitchFamily="50" charset="-128"/>
                  <a:ea typeface="Meiryo UI" panose="020B0604030504040204" pitchFamily="50" charset="-128"/>
                </a:rPr>
                <a:t>TP</a:t>
              </a:r>
              <a:endParaRPr kumimoji="1" lang="ja-JP" altLang="en-US" sz="1050" b="0">
                <a:latin typeface="Meiryo UI" panose="020B0604030504040204" pitchFamily="50" charset="-128"/>
                <a:ea typeface="Meiryo UI" panose="020B0604030504040204" pitchFamily="50" charset="-128"/>
              </a:endParaRPr>
            </a:p>
          </xdr:txBody>
        </xdr:sp>
        <xdr:sp macro="" textlink="">
          <xdr:nvSpPr>
            <xdr:cNvPr id="26" name="テキスト ボックス 25">
              <a:extLst>
                <a:ext uri="{FF2B5EF4-FFF2-40B4-BE49-F238E27FC236}">
                  <a16:creationId xmlns:a16="http://schemas.microsoft.com/office/drawing/2014/main" id="{3C2DA150-716E-9F2D-187E-7C9F2AF0A37E}"/>
                </a:ext>
              </a:extLst>
            </xdr:cNvPr>
            <xdr:cNvSpPr txBox="1"/>
          </xdr:nvSpPr>
          <xdr:spPr>
            <a:xfrm>
              <a:off x="817491" y="5273039"/>
              <a:ext cx="1692758" cy="251461"/>
            </a:xfrm>
            <a:prstGeom prst="rect">
              <a:avLst/>
            </a:prstGeom>
            <a:solidFill>
              <a:schemeClr val="bg1"/>
            </a:solidFill>
            <a:ln w="9525" cmpd="sng">
              <a:solidFill>
                <a:schemeClr val="accent3">
                  <a:lumMod val="20000"/>
                  <a:lumOff val="80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r>
                <a:rPr kumimoji="1" lang="en-US" altLang="ja-JP" sz="1050" b="0">
                  <a:latin typeface="Meiryo UI" panose="020B0604030504040204" pitchFamily="50" charset="-128"/>
                  <a:ea typeface="Meiryo UI" panose="020B0604030504040204" pitchFamily="50" charset="-128"/>
                </a:rPr>
                <a:t>9T</a:t>
              </a:r>
              <a:endParaRPr kumimoji="1" lang="ja-JP" altLang="en-US" sz="1050" b="0">
                <a:latin typeface="Meiryo UI" panose="020B0604030504040204" pitchFamily="50" charset="-128"/>
                <a:ea typeface="Meiryo UI" panose="020B0604030504040204" pitchFamily="50" charset="-128"/>
              </a:endParaRPr>
            </a:p>
          </xdr:txBody>
        </xdr:sp>
        <xdr:sp macro="" textlink="">
          <xdr:nvSpPr>
            <xdr:cNvPr id="29" name="テキスト ボックス 28">
              <a:extLst>
                <a:ext uri="{FF2B5EF4-FFF2-40B4-BE49-F238E27FC236}">
                  <a16:creationId xmlns:a16="http://schemas.microsoft.com/office/drawing/2014/main" id="{F34CF191-F301-F0D1-8625-890EE7C0F528}"/>
                </a:ext>
              </a:extLst>
            </xdr:cNvPr>
            <xdr:cNvSpPr txBox="1"/>
          </xdr:nvSpPr>
          <xdr:spPr>
            <a:xfrm>
              <a:off x="817491" y="5554979"/>
              <a:ext cx="1692758" cy="251461"/>
            </a:xfrm>
            <a:prstGeom prst="rect">
              <a:avLst/>
            </a:prstGeom>
            <a:solidFill>
              <a:schemeClr val="bg1"/>
            </a:solidFill>
            <a:ln w="9525" cmpd="sng">
              <a:solidFill>
                <a:schemeClr val="accent3">
                  <a:lumMod val="20000"/>
                  <a:lumOff val="80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r>
                <a:rPr kumimoji="1" lang="en-US" altLang="ja-JP" sz="1050" b="0">
                  <a:latin typeface="Meiryo UI" panose="020B0604030504040204" pitchFamily="50" charset="-128"/>
                  <a:ea typeface="Meiryo UI" panose="020B0604030504040204" pitchFamily="50" charset="-128"/>
                </a:rPr>
                <a:t>9T</a:t>
              </a:r>
              <a:endParaRPr kumimoji="1" lang="ja-JP" altLang="en-US" sz="1050" b="0">
                <a:latin typeface="Meiryo UI" panose="020B0604030504040204" pitchFamily="50" charset="-128"/>
                <a:ea typeface="Meiryo UI" panose="020B0604030504040204" pitchFamily="50" charset="-128"/>
              </a:endParaRPr>
            </a:p>
          </xdr:txBody>
        </xdr:sp>
        <xdr:sp macro="" textlink="">
          <xdr:nvSpPr>
            <xdr:cNvPr id="30" name="テキスト ボックス 29">
              <a:extLst>
                <a:ext uri="{FF2B5EF4-FFF2-40B4-BE49-F238E27FC236}">
                  <a16:creationId xmlns:a16="http://schemas.microsoft.com/office/drawing/2014/main" id="{9EBB5CFF-08C5-90FF-B9D0-5AD0704BF95F}"/>
                </a:ext>
              </a:extLst>
            </xdr:cNvPr>
            <xdr:cNvSpPr txBox="1"/>
          </xdr:nvSpPr>
          <xdr:spPr>
            <a:xfrm>
              <a:off x="817491" y="5806439"/>
              <a:ext cx="1692758" cy="251461"/>
            </a:xfrm>
            <a:prstGeom prst="rect">
              <a:avLst/>
            </a:prstGeom>
            <a:solidFill>
              <a:schemeClr val="bg1"/>
            </a:solidFill>
            <a:ln w="9525" cmpd="sng">
              <a:solidFill>
                <a:schemeClr val="accent3">
                  <a:lumMod val="20000"/>
                  <a:lumOff val="80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r>
                <a:rPr kumimoji="1" lang="en-US" altLang="ja-JP" sz="1050" b="0">
                  <a:latin typeface="Meiryo UI" panose="020B0604030504040204" pitchFamily="50" charset="-128"/>
                  <a:ea typeface="Meiryo UI" panose="020B0604030504040204" pitchFamily="50" charset="-128"/>
                </a:rPr>
                <a:t>8T</a:t>
              </a:r>
              <a:endParaRPr kumimoji="1" lang="ja-JP" altLang="en-US" sz="1050" b="0">
                <a:latin typeface="Meiryo UI" panose="020B0604030504040204" pitchFamily="50" charset="-128"/>
                <a:ea typeface="Meiryo UI" panose="020B0604030504040204" pitchFamily="50" charset="-128"/>
              </a:endParaRPr>
            </a:p>
          </xdr:txBody>
        </xdr:sp>
        <xdr:sp macro="" textlink="">
          <xdr:nvSpPr>
            <xdr:cNvPr id="31" name="テキスト ボックス 30">
              <a:extLst>
                <a:ext uri="{FF2B5EF4-FFF2-40B4-BE49-F238E27FC236}">
                  <a16:creationId xmlns:a16="http://schemas.microsoft.com/office/drawing/2014/main" id="{C0113034-5E22-D58D-E501-51A0995F29BB}"/>
                </a:ext>
              </a:extLst>
            </xdr:cNvPr>
            <xdr:cNvSpPr txBox="1"/>
          </xdr:nvSpPr>
          <xdr:spPr>
            <a:xfrm>
              <a:off x="817491" y="6050279"/>
              <a:ext cx="1692758" cy="251461"/>
            </a:xfrm>
            <a:prstGeom prst="rect">
              <a:avLst/>
            </a:prstGeom>
            <a:solidFill>
              <a:schemeClr val="bg1"/>
            </a:solidFill>
            <a:ln w="9525" cmpd="sng">
              <a:solidFill>
                <a:schemeClr val="accent3">
                  <a:lumMod val="20000"/>
                  <a:lumOff val="80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r>
                <a:rPr kumimoji="1" lang="en-US" altLang="ja-JP" sz="1050" b="0">
                  <a:latin typeface="Meiryo UI" panose="020B0604030504040204" pitchFamily="50" charset="-128"/>
                  <a:ea typeface="Meiryo UI" panose="020B0604030504040204" pitchFamily="50" charset="-128"/>
                </a:rPr>
                <a:t>8T</a:t>
              </a:r>
              <a:endParaRPr kumimoji="1" lang="ja-JP" altLang="en-US" sz="1050" b="0">
                <a:latin typeface="Meiryo UI" panose="020B0604030504040204" pitchFamily="50" charset="-128"/>
                <a:ea typeface="Meiryo UI" panose="020B0604030504040204" pitchFamily="50" charset="-128"/>
              </a:endParaRPr>
            </a:p>
          </xdr:txBody>
        </xdr:sp>
        <xdr:sp macro="" textlink="">
          <xdr:nvSpPr>
            <xdr:cNvPr id="14" name="テキスト ボックス 13">
              <a:extLst>
                <a:ext uri="{FF2B5EF4-FFF2-40B4-BE49-F238E27FC236}">
                  <a16:creationId xmlns:a16="http://schemas.microsoft.com/office/drawing/2014/main" id="{83E37C3F-B867-AE11-ED6C-7EACE5796D7A}"/>
                </a:ext>
              </a:extLst>
            </xdr:cNvPr>
            <xdr:cNvSpPr txBox="1"/>
          </xdr:nvSpPr>
          <xdr:spPr>
            <a:xfrm>
              <a:off x="817491" y="6308226"/>
              <a:ext cx="1692758" cy="251461"/>
            </a:xfrm>
            <a:prstGeom prst="rect">
              <a:avLst/>
            </a:prstGeom>
            <a:solidFill>
              <a:schemeClr val="bg1"/>
            </a:solidFill>
            <a:ln w="9525" cmpd="sng">
              <a:solidFill>
                <a:schemeClr val="accent3">
                  <a:lumMod val="20000"/>
                  <a:lumOff val="80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r>
                <a:rPr kumimoji="1" lang="en-US" altLang="ja-JP" sz="1050" b="0">
                  <a:latin typeface="Meiryo UI" panose="020B0604030504040204" pitchFamily="50" charset="-128"/>
                  <a:ea typeface="Meiryo UI" panose="020B0604030504040204" pitchFamily="50" charset="-128"/>
                </a:rPr>
                <a:t>2-1</a:t>
              </a:r>
              <a:endParaRPr kumimoji="1" lang="ja-JP" altLang="en-US" sz="1050" b="0">
                <a:latin typeface="Meiryo UI" panose="020B0604030504040204" pitchFamily="50" charset="-128"/>
                <a:ea typeface="Meiryo UI" panose="020B0604030504040204" pitchFamily="50" charset="-128"/>
              </a:endParaRPr>
            </a:p>
          </xdr:txBody>
        </xdr:sp>
        <xdr:sp macro="" textlink="">
          <xdr:nvSpPr>
            <xdr:cNvPr id="37" name="テキスト ボックス 36">
              <a:extLst>
                <a:ext uri="{FF2B5EF4-FFF2-40B4-BE49-F238E27FC236}">
                  <a16:creationId xmlns:a16="http://schemas.microsoft.com/office/drawing/2014/main" id="{266E4351-BD6C-80BD-A491-B337F61181D3}"/>
                </a:ext>
              </a:extLst>
            </xdr:cNvPr>
            <xdr:cNvSpPr txBox="1"/>
          </xdr:nvSpPr>
          <xdr:spPr>
            <a:xfrm>
              <a:off x="817491" y="6566013"/>
              <a:ext cx="1692758" cy="251461"/>
            </a:xfrm>
            <a:prstGeom prst="rect">
              <a:avLst/>
            </a:prstGeom>
            <a:solidFill>
              <a:schemeClr val="bg1"/>
            </a:solidFill>
            <a:ln w="9525" cmpd="sng">
              <a:solidFill>
                <a:schemeClr val="accent3">
                  <a:lumMod val="20000"/>
                  <a:lumOff val="80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r>
                <a:rPr kumimoji="1" lang="en-US" altLang="ja-JP" sz="1050" b="0">
                  <a:latin typeface="Meiryo UI" panose="020B0604030504040204" pitchFamily="50" charset="-128"/>
                  <a:ea typeface="Meiryo UI" panose="020B0604030504040204" pitchFamily="50" charset="-128"/>
                </a:rPr>
                <a:t>3-1</a:t>
              </a:r>
              <a:endParaRPr kumimoji="1" lang="ja-JP" altLang="en-US" sz="1050" b="0">
                <a:latin typeface="Meiryo UI" panose="020B0604030504040204" pitchFamily="50" charset="-128"/>
                <a:ea typeface="Meiryo UI" panose="020B0604030504040204" pitchFamily="50" charset="-128"/>
              </a:endParaRPr>
            </a:p>
          </xdr:txBody>
        </xdr:sp>
        <xdr:sp macro="" textlink="">
          <xdr:nvSpPr>
            <xdr:cNvPr id="61" name="テキスト ボックス 60">
              <a:extLst>
                <a:ext uri="{FF2B5EF4-FFF2-40B4-BE49-F238E27FC236}">
                  <a16:creationId xmlns:a16="http://schemas.microsoft.com/office/drawing/2014/main" id="{0BF08F3C-2CA0-DD28-64BE-034026447FF9}"/>
                </a:ext>
              </a:extLst>
            </xdr:cNvPr>
            <xdr:cNvSpPr txBox="1"/>
          </xdr:nvSpPr>
          <xdr:spPr>
            <a:xfrm>
              <a:off x="817491" y="6823958"/>
              <a:ext cx="1692758" cy="251461"/>
            </a:xfrm>
            <a:prstGeom prst="rect">
              <a:avLst/>
            </a:prstGeom>
            <a:solidFill>
              <a:schemeClr val="bg1"/>
            </a:solidFill>
            <a:ln w="9525" cmpd="sng">
              <a:solidFill>
                <a:schemeClr val="accent3">
                  <a:lumMod val="20000"/>
                  <a:lumOff val="80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r>
                <a:rPr kumimoji="1" lang="en-US" altLang="ja-JP" sz="1050" b="0">
                  <a:latin typeface="Meiryo UI" panose="020B0604030504040204" pitchFamily="50" charset="-128"/>
                  <a:ea typeface="Meiryo UI" panose="020B0604030504040204" pitchFamily="50" charset="-128"/>
                </a:rPr>
                <a:t>3-2</a:t>
              </a:r>
              <a:endParaRPr kumimoji="1" lang="ja-JP" altLang="en-US" sz="1050" b="0">
                <a:latin typeface="Meiryo UI" panose="020B0604030504040204" pitchFamily="50" charset="-128"/>
                <a:ea typeface="Meiryo UI" panose="020B0604030504040204" pitchFamily="50" charset="-128"/>
              </a:endParaRPr>
            </a:p>
          </xdr:txBody>
        </xdr:sp>
        <xdr:sp macro="" textlink="">
          <xdr:nvSpPr>
            <xdr:cNvPr id="67" name="テキスト ボックス 66">
              <a:extLst>
                <a:ext uri="{FF2B5EF4-FFF2-40B4-BE49-F238E27FC236}">
                  <a16:creationId xmlns:a16="http://schemas.microsoft.com/office/drawing/2014/main" id="{9C7254C8-D2C9-AE88-0FFB-3C1C4121A0CE}"/>
                </a:ext>
              </a:extLst>
            </xdr:cNvPr>
            <xdr:cNvSpPr txBox="1"/>
          </xdr:nvSpPr>
          <xdr:spPr>
            <a:xfrm>
              <a:off x="817484" y="7053243"/>
              <a:ext cx="1692758" cy="251461"/>
            </a:xfrm>
            <a:prstGeom prst="rect">
              <a:avLst/>
            </a:prstGeom>
            <a:solidFill>
              <a:schemeClr val="bg1"/>
            </a:solidFill>
            <a:ln w="9525" cmpd="sng">
              <a:solidFill>
                <a:schemeClr val="accent3">
                  <a:lumMod val="20000"/>
                  <a:lumOff val="80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r>
                <a:rPr kumimoji="1" lang="en-US" altLang="ja-JP" sz="1050" b="0">
                  <a:latin typeface="Meiryo UI" panose="020B0604030504040204" pitchFamily="50" charset="-128"/>
                  <a:ea typeface="Meiryo UI" panose="020B0604030504040204" pitchFamily="50" charset="-128"/>
                </a:rPr>
                <a:t>3-3</a:t>
              </a:r>
              <a:endParaRPr kumimoji="1" lang="ja-JP" altLang="en-US" sz="1050" b="0">
                <a:latin typeface="Meiryo UI" panose="020B0604030504040204" pitchFamily="50" charset="-128"/>
                <a:ea typeface="Meiryo UI" panose="020B0604030504040204" pitchFamily="50" charset="-128"/>
              </a:endParaRPr>
            </a:p>
          </xdr:txBody>
        </xdr:sp>
        <xdr:sp macro="" textlink="">
          <xdr:nvSpPr>
            <xdr:cNvPr id="78" name="テキスト ボックス 77">
              <a:extLst>
                <a:ext uri="{FF2B5EF4-FFF2-40B4-BE49-F238E27FC236}">
                  <a16:creationId xmlns:a16="http://schemas.microsoft.com/office/drawing/2014/main" id="{F2BA60AB-31FD-FF04-DC7B-7B6BBE22BEA8}"/>
                </a:ext>
              </a:extLst>
            </xdr:cNvPr>
            <xdr:cNvSpPr txBox="1"/>
          </xdr:nvSpPr>
          <xdr:spPr>
            <a:xfrm>
              <a:off x="817484" y="7311328"/>
              <a:ext cx="1692758" cy="251461"/>
            </a:xfrm>
            <a:prstGeom prst="rect">
              <a:avLst/>
            </a:prstGeom>
            <a:solidFill>
              <a:schemeClr val="bg1"/>
            </a:solidFill>
            <a:ln w="9525" cmpd="sng">
              <a:solidFill>
                <a:schemeClr val="accent3">
                  <a:lumMod val="20000"/>
                  <a:lumOff val="80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r>
                <a:rPr kumimoji="1" lang="en-US" altLang="ja-JP" sz="1050" b="0">
                  <a:latin typeface="Meiryo UI" panose="020B0604030504040204" pitchFamily="50" charset="-128"/>
                  <a:ea typeface="Meiryo UI" panose="020B0604030504040204" pitchFamily="50" charset="-128"/>
                </a:rPr>
                <a:t>3-4</a:t>
              </a:r>
              <a:endParaRPr kumimoji="1" lang="ja-JP" altLang="en-US" sz="1050" b="0">
                <a:latin typeface="Meiryo UI" panose="020B0604030504040204" pitchFamily="50" charset="-128"/>
                <a:ea typeface="Meiryo UI" panose="020B0604030504040204" pitchFamily="50" charset="-128"/>
              </a:endParaRPr>
            </a:p>
          </xdr:txBody>
        </xdr:sp>
      </xdr:grpSp>
      <xdr:sp macro="" textlink="">
        <xdr:nvSpPr>
          <xdr:cNvPr id="40" name="テキスト ボックス 39">
            <a:extLst>
              <a:ext uri="{FF2B5EF4-FFF2-40B4-BE49-F238E27FC236}">
                <a16:creationId xmlns:a16="http://schemas.microsoft.com/office/drawing/2014/main" id="{00EE6D66-890B-4CC4-BA46-B05AD298BAF0}"/>
              </a:ext>
            </a:extLst>
          </xdr:cNvPr>
          <xdr:cNvSpPr txBox="1"/>
        </xdr:nvSpPr>
        <xdr:spPr>
          <a:xfrm>
            <a:off x="2510118" y="3702423"/>
            <a:ext cx="1673047" cy="248414"/>
          </a:xfrm>
          <a:prstGeom prst="rect">
            <a:avLst/>
          </a:prstGeom>
          <a:solidFill>
            <a:schemeClr val="bg1"/>
          </a:solidFill>
          <a:ln w="9525" cmpd="sng">
            <a:solidFill>
              <a:schemeClr val="accent3">
                <a:lumMod val="20000"/>
                <a:lumOff val="8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r"/>
            <a:r>
              <a:rPr kumimoji="1" lang="en-US" altLang="ja-JP" sz="1050" b="0">
                <a:latin typeface="Meiryo UI" panose="020B0604030504040204" pitchFamily="50" charset="-128"/>
                <a:ea typeface="Meiryo UI" panose="020B0604030504040204" pitchFamily="50" charset="-128"/>
              </a:rPr>
              <a:t>0.00</a:t>
            </a:r>
            <a:endParaRPr kumimoji="1" lang="ja-JP" altLang="en-US" sz="1050" b="0"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  <xdr:sp macro="" textlink="">
        <xdr:nvSpPr>
          <xdr:cNvPr id="41" name="テキスト ボックス 40">
            <a:extLst>
              <a:ext uri="{FF2B5EF4-FFF2-40B4-BE49-F238E27FC236}">
                <a16:creationId xmlns:a16="http://schemas.microsoft.com/office/drawing/2014/main" id="{49A4C137-DBE6-4DFE-BF2E-82203BF429A1}"/>
              </a:ext>
            </a:extLst>
          </xdr:cNvPr>
          <xdr:cNvSpPr txBox="1"/>
        </xdr:nvSpPr>
        <xdr:spPr>
          <a:xfrm>
            <a:off x="2510118" y="3958364"/>
            <a:ext cx="1673047" cy="248414"/>
          </a:xfrm>
          <a:prstGeom prst="rect">
            <a:avLst/>
          </a:prstGeom>
          <a:solidFill>
            <a:schemeClr val="bg1"/>
          </a:solidFill>
          <a:ln w="9525" cmpd="sng">
            <a:solidFill>
              <a:schemeClr val="accent3">
                <a:lumMod val="20000"/>
                <a:lumOff val="8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r"/>
            <a:r>
              <a:rPr kumimoji="1" lang="en-US" altLang="ja-JP" sz="1050" b="0">
                <a:latin typeface="Meiryo UI" panose="020B0604030504040204" pitchFamily="50" charset="-128"/>
                <a:ea typeface="Meiryo UI" panose="020B0604030504040204" pitchFamily="50" charset="-128"/>
              </a:rPr>
              <a:t>500,000.00</a:t>
            </a:r>
            <a:endParaRPr kumimoji="1" lang="ja-JP" altLang="en-US" sz="1050" b="0"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  <xdr:sp macro="" textlink="">
        <xdr:nvSpPr>
          <xdr:cNvPr id="42" name="テキスト ボックス 41">
            <a:extLst>
              <a:ext uri="{FF2B5EF4-FFF2-40B4-BE49-F238E27FC236}">
                <a16:creationId xmlns:a16="http://schemas.microsoft.com/office/drawing/2014/main" id="{031DE3F7-5268-400A-9DF8-D16A79CB5835}"/>
              </a:ext>
            </a:extLst>
          </xdr:cNvPr>
          <xdr:cNvSpPr txBox="1"/>
        </xdr:nvSpPr>
        <xdr:spPr>
          <a:xfrm>
            <a:off x="2510118" y="4199250"/>
            <a:ext cx="1673047" cy="248414"/>
          </a:xfrm>
          <a:prstGeom prst="rect">
            <a:avLst/>
          </a:prstGeom>
          <a:solidFill>
            <a:schemeClr val="bg1"/>
          </a:solidFill>
          <a:ln w="9525" cmpd="sng">
            <a:solidFill>
              <a:schemeClr val="accent3">
                <a:lumMod val="20000"/>
                <a:lumOff val="8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r"/>
            <a:r>
              <a:rPr kumimoji="1" lang="en-US" altLang="ja-JP" sz="1050" b="0">
                <a:latin typeface="Meiryo UI" panose="020B0604030504040204" pitchFamily="50" charset="-128"/>
                <a:ea typeface="Meiryo UI" panose="020B0604030504040204" pitchFamily="50" charset="-128"/>
              </a:rPr>
              <a:t>0.00</a:t>
            </a:r>
            <a:endParaRPr kumimoji="1" lang="ja-JP" altLang="en-US" sz="1050" b="0"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  <xdr:sp macro="" textlink="">
        <xdr:nvSpPr>
          <xdr:cNvPr id="43" name="テキスト ボックス 42">
            <a:extLst>
              <a:ext uri="{FF2B5EF4-FFF2-40B4-BE49-F238E27FC236}">
                <a16:creationId xmlns:a16="http://schemas.microsoft.com/office/drawing/2014/main" id="{963DC716-3810-462B-9D3B-4426C6B67702}"/>
              </a:ext>
            </a:extLst>
          </xdr:cNvPr>
          <xdr:cNvSpPr txBox="1"/>
        </xdr:nvSpPr>
        <xdr:spPr>
          <a:xfrm>
            <a:off x="2510118" y="4462718"/>
            <a:ext cx="1673047" cy="248414"/>
          </a:xfrm>
          <a:prstGeom prst="rect">
            <a:avLst/>
          </a:prstGeom>
          <a:solidFill>
            <a:schemeClr val="bg1"/>
          </a:solidFill>
          <a:ln w="9525" cmpd="sng">
            <a:solidFill>
              <a:schemeClr val="accent3">
                <a:lumMod val="20000"/>
                <a:lumOff val="8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r"/>
            <a:r>
              <a:rPr kumimoji="1" lang="en-US" altLang="ja-JP" sz="1050" b="0">
                <a:latin typeface="Meiryo UI" panose="020B0604030504040204" pitchFamily="50" charset="-128"/>
                <a:ea typeface="Meiryo UI" panose="020B0604030504040204" pitchFamily="50" charset="-128"/>
              </a:rPr>
              <a:t>500,000.00</a:t>
            </a:r>
            <a:endParaRPr kumimoji="1" lang="ja-JP" altLang="en-US" sz="1050" b="0"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  <xdr:sp macro="" textlink="">
        <xdr:nvSpPr>
          <xdr:cNvPr id="44" name="テキスト ボックス 43">
            <a:extLst>
              <a:ext uri="{FF2B5EF4-FFF2-40B4-BE49-F238E27FC236}">
                <a16:creationId xmlns:a16="http://schemas.microsoft.com/office/drawing/2014/main" id="{8C8C21BD-2CB9-46F5-AF0B-3B6CD220BD0E}"/>
              </a:ext>
            </a:extLst>
          </xdr:cNvPr>
          <xdr:cNvSpPr txBox="1"/>
        </xdr:nvSpPr>
        <xdr:spPr>
          <a:xfrm>
            <a:off x="2510118" y="4718659"/>
            <a:ext cx="1673047" cy="248414"/>
          </a:xfrm>
          <a:prstGeom prst="rect">
            <a:avLst/>
          </a:prstGeom>
          <a:solidFill>
            <a:schemeClr val="bg1"/>
          </a:solidFill>
          <a:ln w="9525" cmpd="sng">
            <a:solidFill>
              <a:schemeClr val="accent3">
                <a:lumMod val="20000"/>
                <a:lumOff val="8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r"/>
            <a:r>
              <a:rPr kumimoji="1" lang="en-US" altLang="ja-JP" sz="1050" b="0">
                <a:latin typeface="Meiryo UI" panose="020B0604030504040204" pitchFamily="50" charset="-128"/>
                <a:ea typeface="Meiryo UI" panose="020B0604030504040204" pitchFamily="50" charset="-128"/>
              </a:rPr>
              <a:t>0.00</a:t>
            </a:r>
            <a:endParaRPr kumimoji="1" lang="ja-JP" altLang="en-US" sz="1050" b="0"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  <xdr:sp macro="" textlink="">
        <xdr:nvSpPr>
          <xdr:cNvPr id="45" name="テキスト ボックス 44">
            <a:extLst>
              <a:ext uri="{FF2B5EF4-FFF2-40B4-BE49-F238E27FC236}">
                <a16:creationId xmlns:a16="http://schemas.microsoft.com/office/drawing/2014/main" id="{DD5F391A-C70B-4985-8D90-704F588A906B}"/>
              </a:ext>
            </a:extLst>
          </xdr:cNvPr>
          <xdr:cNvSpPr txBox="1"/>
        </xdr:nvSpPr>
        <xdr:spPr>
          <a:xfrm>
            <a:off x="2510118" y="4959545"/>
            <a:ext cx="1673047" cy="248414"/>
          </a:xfrm>
          <a:prstGeom prst="rect">
            <a:avLst/>
          </a:prstGeom>
          <a:solidFill>
            <a:schemeClr val="bg1"/>
          </a:solidFill>
          <a:ln w="9525" cmpd="sng">
            <a:solidFill>
              <a:schemeClr val="accent3">
                <a:lumMod val="20000"/>
                <a:lumOff val="8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r"/>
            <a:r>
              <a:rPr kumimoji="1" lang="en-US" altLang="ja-JP" sz="1050" b="0">
                <a:latin typeface="Meiryo UI" panose="020B0604030504040204" pitchFamily="50" charset="-128"/>
                <a:ea typeface="Meiryo UI" panose="020B0604030504040204" pitchFamily="50" charset="-128"/>
              </a:rPr>
              <a:t>500,000.00</a:t>
            </a:r>
            <a:endParaRPr kumimoji="1" lang="ja-JP" altLang="en-US" sz="1050" b="0"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  <xdr:sp macro="" textlink="">
        <xdr:nvSpPr>
          <xdr:cNvPr id="46" name="テキスト ボックス 45">
            <a:extLst>
              <a:ext uri="{FF2B5EF4-FFF2-40B4-BE49-F238E27FC236}">
                <a16:creationId xmlns:a16="http://schemas.microsoft.com/office/drawing/2014/main" id="{D0355E1A-25A8-45AC-AB4B-0B9477A3FEDC}"/>
              </a:ext>
            </a:extLst>
          </xdr:cNvPr>
          <xdr:cNvSpPr txBox="1"/>
        </xdr:nvSpPr>
        <xdr:spPr>
          <a:xfrm>
            <a:off x="2510118" y="5215486"/>
            <a:ext cx="1673047" cy="248414"/>
          </a:xfrm>
          <a:prstGeom prst="rect">
            <a:avLst/>
          </a:prstGeom>
          <a:solidFill>
            <a:schemeClr val="bg1"/>
          </a:solidFill>
          <a:ln w="9525" cmpd="sng">
            <a:solidFill>
              <a:schemeClr val="accent3">
                <a:lumMod val="20000"/>
                <a:lumOff val="8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r"/>
            <a:r>
              <a:rPr kumimoji="1" lang="en-US" altLang="ja-JP" sz="1050" b="0">
                <a:latin typeface="Meiryo UI" panose="020B0604030504040204" pitchFamily="50" charset="-128"/>
                <a:ea typeface="Meiryo UI" panose="020B0604030504040204" pitchFamily="50" charset="-128"/>
              </a:rPr>
              <a:t>0.00</a:t>
            </a:r>
            <a:endParaRPr kumimoji="1" lang="ja-JP" altLang="en-US" sz="1050" b="0"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  <xdr:sp macro="" textlink="">
        <xdr:nvSpPr>
          <xdr:cNvPr id="47" name="テキスト ボックス 46">
            <a:extLst>
              <a:ext uri="{FF2B5EF4-FFF2-40B4-BE49-F238E27FC236}">
                <a16:creationId xmlns:a16="http://schemas.microsoft.com/office/drawing/2014/main" id="{B2B8DEC7-B528-4ED8-B055-41A551ACC0EB}"/>
              </a:ext>
            </a:extLst>
          </xdr:cNvPr>
          <xdr:cNvSpPr txBox="1"/>
        </xdr:nvSpPr>
        <xdr:spPr>
          <a:xfrm>
            <a:off x="2510118" y="5494010"/>
            <a:ext cx="1673047" cy="248414"/>
          </a:xfrm>
          <a:prstGeom prst="rect">
            <a:avLst/>
          </a:prstGeom>
          <a:solidFill>
            <a:schemeClr val="bg1"/>
          </a:solidFill>
          <a:ln w="9525" cmpd="sng">
            <a:solidFill>
              <a:schemeClr val="accent3">
                <a:lumMod val="20000"/>
                <a:lumOff val="8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r"/>
            <a:r>
              <a:rPr kumimoji="1" lang="en-US" altLang="ja-JP" sz="1050" b="0">
                <a:latin typeface="Meiryo UI" panose="020B0604030504040204" pitchFamily="50" charset="-128"/>
                <a:ea typeface="Meiryo UI" panose="020B0604030504040204" pitchFamily="50" charset="-128"/>
              </a:rPr>
              <a:t>500,000.00</a:t>
            </a:r>
            <a:endParaRPr kumimoji="1" lang="ja-JP" altLang="en-US" sz="1050" b="0"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  <xdr:sp macro="" textlink="">
        <xdr:nvSpPr>
          <xdr:cNvPr id="48" name="テキスト ボックス 47">
            <a:extLst>
              <a:ext uri="{FF2B5EF4-FFF2-40B4-BE49-F238E27FC236}">
                <a16:creationId xmlns:a16="http://schemas.microsoft.com/office/drawing/2014/main" id="{D5E8BFA0-F299-4555-92E4-F2F63377CB6D}"/>
              </a:ext>
            </a:extLst>
          </xdr:cNvPr>
          <xdr:cNvSpPr txBox="1"/>
        </xdr:nvSpPr>
        <xdr:spPr>
          <a:xfrm>
            <a:off x="2510118" y="5742423"/>
            <a:ext cx="1673047" cy="248414"/>
          </a:xfrm>
          <a:prstGeom prst="rect">
            <a:avLst/>
          </a:prstGeom>
          <a:solidFill>
            <a:schemeClr val="bg1"/>
          </a:solidFill>
          <a:ln w="9525" cmpd="sng">
            <a:solidFill>
              <a:schemeClr val="accent3">
                <a:lumMod val="20000"/>
                <a:lumOff val="8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r"/>
            <a:r>
              <a:rPr kumimoji="1" lang="en-US" altLang="ja-JP" sz="1050" b="0">
                <a:latin typeface="Meiryo UI" panose="020B0604030504040204" pitchFamily="50" charset="-128"/>
                <a:ea typeface="Meiryo UI" panose="020B0604030504040204" pitchFamily="50" charset="-128"/>
              </a:rPr>
              <a:t>0.00</a:t>
            </a:r>
            <a:endParaRPr kumimoji="1" lang="ja-JP" altLang="en-US" sz="1050" b="0"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  <xdr:sp macro="" textlink="">
        <xdr:nvSpPr>
          <xdr:cNvPr id="49" name="テキスト ボックス 48">
            <a:extLst>
              <a:ext uri="{FF2B5EF4-FFF2-40B4-BE49-F238E27FC236}">
                <a16:creationId xmlns:a16="http://schemas.microsoft.com/office/drawing/2014/main" id="{5F55B500-8DB2-4B08-8850-6443A522DE4E}"/>
              </a:ext>
            </a:extLst>
          </xdr:cNvPr>
          <xdr:cNvSpPr txBox="1"/>
        </xdr:nvSpPr>
        <xdr:spPr>
          <a:xfrm>
            <a:off x="2510118" y="5983309"/>
            <a:ext cx="1673047" cy="248414"/>
          </a:xfrm>
          <a:prstGeom prst="rect">
            <a:avLst/>
          </a:prstGeom>
          <a:solidFill>
            <a:schemeClr val="bg1"/>
          </a:solidFill>
          <a:ln w="9525" cmpd="sng">
            <a:solidFill>
              <a:schemeClr val="accent3">
                <a:lumMod val="20000"/>
                <a:lumOff val="8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r"/>
            <a:r>
              <a:rPr kumimoji="1" lang="en-US" altLang="ja-JP" sz="1050" b="0">
                <a:latin typeface="Meiryo UI" panose="020B0604030504040204" pitchFamily="50" charset="-128"/>
                <a:ea typeface="Meiryo UI" panose="020B0604030504040204" pitchFamily="50" charset="-128"/>
              </a:rPr>
              <a:t>500,000.00</a:t>
            </a:r>
            <a:endParaRPr kumimoji="1" lang="ja-JP" altLang="en-US" sz="1050" b="0"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  <xdr:sp macro="" textlink="">
        <xdr:nvSpPr>
          <xdr:cNvPr id="62" name="テキスト ボックス 61">
            <a:extLst>
              <a:ext uri="{FF2B5EF4-FFF2-40B4-BE49-F238E27FC236}">
                <a16:creationId xmlns:a16="http://schemas.microsoft.com/office/drawing/2014/main" id="{87E12159-A75B-0D97-74C0-984C3B34872B}"/>
              </a:ext>
            </a:extLst>
          </xdr:cNvPr>
          <xdr:cNvSpPr txBox="1"/>
        </xdr:nvSpPr>
        <xdr:spPr>
          <a:xfrm>
            <a:off x="4187416" y="3696019"/>
            <a:ext cx="2392680" cy="266381"/>
          </a:xfrm>
          <a:prstGeom prst="rect">
            <a:avLst/>
          </a:prstGeom>
          <a:solidFill>
            <a:schemeClr val="bg1"/>
          </a:solidFill>
          <a:ln w="9525" cmpd="sng">
            <a:solidFill>
              <a:schemeClr val="accent3">
                <a:lumMod val="20000"/>
                <a:lumOff val="8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r>
              <a:rPr kumimoji="1" lang="en-US" altLang="ja-JP" sz="1050" b="0">
                <a:latin typeface="Meiryo UI" panose="020B0604030504040204" pitchFamily="50" charset="-128"/>
                <a:ea typeface="Meiryo UI" panose="020B0604030504040204" pitchFamily="50" charset="-128"/>
              </a:rPr>
              <a:t>T</a:t>
            </a:r>
            <a:endParaRPr kumimoji="1" lang="ja-JP" altLang="en-US" sz="1050" b="0"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  <xdr:sp macro="" textlink="">
        <xdr:nvSpPr>
          <xdr:cNvPr id="69" name="テキスト ボックス 68">
            <a:extLst>
              <a:ext uri="{FF2B5EF4-FFF2-40B4-BE49-F238E27FC236}">
                <a16:creationId xmlns:a16="http://schemas.microsoft.com/office/drawing/2014/main" id="{AA077400-5D0B-ABCE-10AA-BDAFCAED95B4}"/>
              </a:ext>
            </a:extLst>
          </xdr:cNvPr>
          <xdr:cNvSpPr txBox="1"/>
        </xdr:nvSpPr>
        <xdr:spPr>
          <a:xfrm>
            <a:off x="4187416" y="3947030"/>
            <a:ext cx="2392680" cy="266381"/>
          </a:xfrm>
          <a:prstGeom prst="rect">
            <a:avLst/>
          </a:prstGeom>
          <a:solidFill>
            <a:schemeClr val="bg1"/>
          </a:solidFill>
          <a:ln w="9525" cmpd="sng">
            <a:solidFill>
              <a:schemeClr val="accent3">
                <a:lumMod val="20000"/>
                <a:lumOff val="8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r>
              <a:rPr kumimoji="1" lang="en-US" altLang="ja-JP" sz="1050" b="0">
                <a:latin typeface="Meiryo UI" panose="020B0604030504040204" pitchFamily="50" charset="-128"/>
                <a:ea typeface="Meiryo UI" panose="020B0604030504040204" pitchFamily="50" charset="-128"/>
              </a:rPr>
              <a:t>W</a:t>
            </a:r>
          </a:p>
          <a:p>
            <a:endParaRPr kumimoji="1" lang="ja-JP" altLang="en-US" sz="1050" b="0"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  <xdr:sp macro="" textlink="">
        <xdr:nvSpPr>
          <xdr:cNvPr id="100" name="テキスト ボックス 99">
            <a:extLst>
              <a:ext uri="{FF2B5EF4-FFF2-40B4-BE49-F238E27FC236}">
                <a16:creationId xmlns:a16="http://schemas.microsoft.com/office/drawing/2014/main" id="{B58BA5B3-269C-C8DD-DED6-6435C2F401D3}"/>
              </a:ext>
            </a:extLst>
          </xdr:cNvPr>
          <xdr:cNvSpPr txBox="1"/>
        </xdr:nvSpPr>
        <xdr:spPr>
          <a:xfrm>
            <a:off x="4187416" y="4207007"/>
            <a:ext cx="2392680" cy="266381"/>
          </a:xfrm>
          <a:prstGeom prst="rect">
            <a:avLst/>
          </a:prstGeom>
          <a:solidFill>
            <a:schemeClr val="bg1"/>
          </a:solidFill>
          <a:ln w="9525" cmpd="sng">
            <a:solidFill>
              <a:schemeClr val="accent3">
                <a:lumMod val="20000"/>
                <a:lumOff val="8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r>
              <a:rPr kumimoji="1" lang="en-US" altLang="ja-JP" sz="1050" b="0">
                <a:latin typeface="Meiryo UI" panose="020B0604030504040204" pitchFamily="50" charset="-128"/>
                <a:ea typeface="Meiryo UI" panose="020B0604030504040204" pitchFamily="50" charset="-128"/>
              </a:rPr>
              <a:t>T</a:t>
            </a:r>
            <a:endParaRPr kumimoji="1" lang="ja-JP" altLang="en-US" sz="1050" b="0"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  <xdr:sp macro="" textlink="">
        <xdr:nvSpPr>
          <xdr:cNvPr id="101" name="テキスト ボックス 100">
            <a:extLst>
              <a:ext uri="{FF2B5EF4-FFF2-40B4-BE49-F238E27FC236}">
                <a16:creationId xmlns:a16="http://schemas.microsoft.com/office/drawing/2014/main" id="{A1FA7B1B-B0B8-3006-D8FD-8957D1EFCED2}"/>
              </a:ext>
            </a:extLst>
          </xdr:cNvPr>
          <xdr:cNvSpPr txBox="1"/>
        </xdr:nvSpPr>
        <xdr:spPr>
          <a:xfrm>
            <a:off x="4187416" y="4709029"/>
            <a:ext cx="2392680" cy="266381"/>
          </a:xfrm>
          <a:prstGeom prst="rect">
            <a:avLst/>
          </a:prstGeom>
          <a:solidFill>
            <a:schemeClr val="bg1"/>
          </a:solidFill>
          <a:ln w="9525" cmpd="sng">
            <a:solidFill>
              <a:schemeClr val="accent3">
                <a:lumMod val="20000"/>
                <a:lumOff val="8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r>
              <a:rPr kumimoji="1" lang="en-US" altLang="ja-JP" sz="1050" b="0">
                <a:latin typeface="Meiryo UI" panose="020B0604030504040204" pitchFamily="50" charset="-128"/>
                <a:ea typeface="Meiryo UI" panose="020B0604030504040204" pitchFamily="50" charset="-128"/>
              </a:rPr>
              <a:t>T</a:t>
            </a:r>
            <a:endParaRPr kumimoji="1" lang="ja-JP" altLang="en-US" sz="1050" b="0"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  <xdr:sp macro="" textlink="">
        <xdr:nvSpPr>
          <xdr:cNvPr id="103" name="テキスト ボックス 102">
            <a:extLst>
              <a:ext uri="{FF2B5EF4-FFF2-40B4-BE49-F238E27FC236}">
                <a16:creationId xmlns:a16="http://schemas.microsoft.com/office/drawing/2014/main" id="{91A84F41-C574-4B98-7048-09E5C41445DD}"/>
              </a:ext>
            </a:extLst>
          </xdr:cNvPr>
          <xdr:cNvSpPr txBox="1"/>
        </xdr:nvSpPr>
        <xdr:spPr>
          <a:xfrm>
            <a:off x="4187416" y="4475951"/>
            <a:ext cx="2392680" cy="266381"/>
          </a:xfrm>
          <a:prstGeom prst="rect">
            <a:avLst/>
          </a:prstGeom>
          <a:solidFill>
            <a:schemeClr val="bg1"/>
          </a:solidFill>
          <a:ln w="9525" cmpd="sng">
            <a:solidFill>
              <a:schemeClr val="accent3">
                <a:lumMod val="20000"/>
                <a:lumOff val="8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r>
              <a:rPr kumimoji="1" lang="en-US" altLang="ja-JP" sz="1050" b="0">
                <a:latin typeface="Meiryo UI" panose="020B0604030504040204" pitchFamily="50" charset="-128"/>
                <a:ea typeface="Meiryo UI" panose="020B0604030504040204" pitchFamily="50" charset="-128"/>
              </a:rPr>
              <a:t>W</a:t>
            </a:r>
          </a:p>
          <a:p>
            <a:endParaRPr kumimoji="1" lang="ja-JP" altLang="en-US" sz="1050" b="0"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  <xdr:sp macro="" textlink="">
        <xdr:nvSpPr>
          <xdr:cNvPr id="135" name="テキスト ボックス 134">
            <a:extLst>
              <a:ext uri="{FF2B5EF4-FFF2-40B4-BE49-F238E27FC236}">
                <a16:creationId xmlns:a16="http://schemas.microsoft.com/office/drawing/2014/main" id="{9E602FBF-6569-899F-3910-760403C255FB}"/>
              </a:ext>
            </a:extLst>
          </xdr:cNvPr>
          <xdr:cNvSpPr txBox="1"/>
        </xdr:nvSpPr>
        <xdr:spPr>
          <a:xfrm>
            <a:off x="4187416" y="4969010"/>
            <a:ext cx="2392680" cy="266381"/>
          </a:xfrm>
          <a:prstGeom prst="rect">
            <a:avLst/>
          </a:prstGeom>
          <a:solidFill>
            <a:schemeClr val="bg1"/>
          </a:solidFill>
          <a:ln w="9525" cmpd="sng">
            <a:solidFill>
              <a:schemeClr val="accent3">
                <a:lumMod val="20000"/>
                <a:lumOff val="8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r>
              <a:rPr kumimoji="1" lang="en-US" altLang="ja-JP" sz="1050" b="0">
                <a:latin typeface="Meiryo UI" panose="020B0604030504040204" pitchFamily="50" charset="-128"/>
                <a:ea typeface="Meiryo UI" panose="020B0604030504040204" pitchFamily="50" charset="-128"/>
              </a:rPr>
              <a:t>W</a:t>
            </a:r>
          </a:p>
          <a:p>
            <a:endParaRPr kumimoji="1" lang="ja-JP" altLang="en-US" sz="1050" b="0"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  <xdr:sp macro="" textlink="">
        <xdr:nvSpPr>
          <xdr:cNvPr id="181" name="テキスト ボックス 180">
            <a:extLst>
              <a:ext uri="{FF2B5EF4-FFF2-40B4-BE49-F238E27FC236}">
                <a16:creationId xmlns:a16="http://schemas.microsoft.com/office/drawing/2014/main" id="{AA53AD28-B9D1-2D70-96C1-FB90890FF0BA}"/>
              </a:ext>
            </a:extLst>
          </xdr:cNvPr>
          <xdr:cNvSpPr txBox="1"/>
        </xdr:nvSpPr>
        <xdr:spPr>
          <a:xfrm>
            <a:off x="4187416" y="5488962"/>
            <a:ext cx="2392680" cy="266381"/>
          </a:xfrm>
          <a:prstGeom prst="rect">
            <a:avLst/>
          </a:prstGeom>
          <a:solidFill>
            <a:schemeClr val="bg1"/>
          </a:solidFill>
          <a:ln w="9525" cmpd="sng">
            <a:solidFill>
              <a:schemeClr val="accent3">
                <a:lumMod val="20000"/>
                <a:lumOff val="8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r>
              <a:rPr kumimoji="1" lang="en-US" altLang="ja-JP" sz="1050" b="0">
                <a:latin typeface="Meiryo UI" panose="020B0604030504040204" pitchFamily="50" charset="-128"/>
                <a:ea typeface="Meiryo UI" panose="020B0604030504040204" pitchFamily="50" charset="-128"/>
              </a:rPr>
              <a:t>9-1</a:t>
            </a:r>
            <a:endParaRPr kumimoji="1" lang="ja-JP" altLang="en-US" sz="1050" b="0"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  <xdr:sp macro="" textlink="">
        <xdr:nvSpPr>
          <xdr:cNvPr id="182" name="テキスト ボックス 181">
            <a:extLst>
              <a:ext uri="{FF2B5EF4-FFF2-40B4-BE49-F238E27FC236}">
                <a16:creationId xmlns:a16="http://schemas.microsoft.com/office/drawing/2014/main" id="{B120C2B7-D9EC-EED2-7B10-A995DCFB2CEA}"/>
              </a:ext>
            </a:extLst>
          </xdr:cNvPr>
          <xdr:cNvSpPr txBox="1"/>
        </xdr:nvSpPr>
        <xdr:spPr>
          <a:xfrm>
            <a:off x="4187416" y="5211052"/>
            <a:ext cx="2392680" cy="266381"/>
          </a:xfrm>
          <a:prstGeom prst="rect">
            <a:avLst/>
          </a:prstGeom>
          <a:solidFill>
            <a:schemeClr val="bg1"/>
          </a:solidFill>
          <a:ln w="9525" cmpd="sng">
            <a:solidFill>
              <a:schemeClr val="accent3">
                <a:lumMod val="20000"/>
                <a:lumOff val="8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r>
              <a:rPr kumimoji="1" lang="en-US" altLang="ja-JP" sz="1050" b="0">
                <a:latin typeface="Meiryo UI" panose="020B0604030504040204" pitchFamily="50" charset="-128"/>
                <a:ea typeface="Meiryo UI" panose="020B0604030504040204" pitchFamily="50" charset="-128"/>
              </a:rPr>
              <a:t>T</a:t>
            </a:r>
            <a:endParaRPr kumimoji="1" lang="ja-JP" altLang="en-US" sz="1050" b="0"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  <xdr:sp macro="" textlink="">
        <xdr:nvSpPr>
          <xdr:cNvPr id="183" name="テキスト ボックス 182">
            <a:extLst>
              <a:ext uri="{FF2B5EF4-FFF2-40B4-BE49-F238E27FC236}">
                <a16:creationId xmlns:a16="http://schemas.microsoft.com/office/drawing/2014/main" id="{7AE53A5D-3F45-94CA-37E6-D04A955A29FE}"/>
              </a:ext>
            </a:extLst>
          </xdr:cNvPr>
          <xdr:cNvSpPr txBox="1"/>
        </xdr:nvSpPr>
        <xdr:spPr>
          <a:xfrm>
            <a:off x="4187416" y="5731005"/>
            <a:ext cx="2392680" cy="266381"/>
          </a:xfrm>
          <a:prstGeom prst="rect">
            <a:avLst/>
          </a:prstGeom>
          <a:solidFill>
            <a:schemeClr val="bg1"/>
          </a:solidFill>
          <a:ln w="9525" cmpd="sng">
            <a:solidFill>
              <a:schemeClr val="accent3">
                <a:lumMod val="20000"/>
                <a:lumOff val="8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r>
              <a:rPr kumimoji="1" lang="en-US" altLang="ja-JP" sz="1050" b="0">
                <a:latin typeface="Meiryo UI" panose="020B0604030504040204" pitchFamily="50" charset="-128"/>
                <a:ea typeface="Meiryo UI" panose="020B0604030504040204" pitchFamily="50" charset="-128"/>
              </a:rPr>
              <a:t>T</a:t>
            </a:r>
            <a:endParaRPr kumimoji="1" lang="ja-JP" altLang="en-US" sz="1050" b="0"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  <xdr:sp macro="" textlink="">
        <xdr:nvSpPr>
          <xdr:cNvPr id="184" name="テキスト ボックス 183">
            <a:extLst>
              <a:ext uri="{FF2B5EF4-FFF2-40B4-BE49-F238E27FC236}">
                <a16:creationId xmlns:a16="http://schemas.microsoft.com/office/drawing/2014/main" id="{2751294C-7E63-631D-076E-48EEF03F90D6}"/>
              </a:ext>
            </a:extLst>
          </xdr:cNvPr>
          <xdr:cNvSpPr txBox="1"/>
        </xdr:nvSpPr>
        <xdr:spPr>
          <a:xfrm>
            <a:off x="4187416" y="5973056"/>
            <a:ext cx="2392680" cy="266381"/>
          </a:xfrm>
          <a:prstGeom prst="rect">
            <a:avLst/>
          </a:prstGeom>
          <a:solidFill>
            <a:schemeClr val="bg1"/>
          </a:solidFill>
          <a:ln w="9525" cmpd="sng">
            <a:solidFill>
              <a:schemeClr val="accent3">
                <a:lumMod val="20000"/>
                <a:lumOff val="8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r>
              <a:rPr kumimoji="1" lang="en-US" altLang="ja-JP" sz="1050" b="0">
                <a:latin typeface="Meiryo UI" panose="020B0604030504040204" pitchFamily="50" charset="-128"/>
                <a:ea typeface="Meiryo UI" panose="020B0604030504040204" pitchFamily="50" charset="-128"/>
              </a:rPr>
              <a:t>8-1</a:t>
            </a:r>
            <a:endParaRPr kumimoji="1" lang="ja-JP" altLang="en-US" sz="1050" b="0"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  <xdr:sp macro="" textlink="">
        <xdr:nvSpPr>
          <xdr:cNvPr id="185" name="テキスト ボックス 184">
            <a:extLst>
              <a:ext uri="{FF2B5EF4-FFF2-40B4-BE49-F238E27FC236}">
                <a16:creationId xmlns:a16="http://schemas.microsoft.com/office/drawing/2014/main" id="{BABF66D3-29FA-B714-7F83-BD52FDFB750A}"/>
              </a:ext>
            </a:extLst>
          </xdr:cNvPr>
          <xdr:cNvSpPr txBox="1"/>
        </xdr:nvSpPr>
        <xdr:spPr>
          <a:xfrm>
            <a:off x="6595377" y="3713949"/>
            <a:ext cx="1797656" cy="266381"/>
          </a:xfrm>
          <a:prstGeom prst="rect">
            <a:avLst/>
          </a:prstGeom>
          <a:solidFill>
            <a:schemeClr val="bg1"/>
          </a:solidFill>
          <a:ln w="9525" cmpd="sng">
            <a:solidFill>
              <a:schemeClr val="accent3">
                <a:lumMod val="20000"/>
                <a:lumOff val="8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r"/>
            <a:r>
              <a:rPr kumimoji="1" lang="en-US" altLang="ja-JP" sz="1050" b="0">
                <a:latin typeface="Meiryo UI" panose="020B0604030504040204" pitchFamily="50" charset="-128"/>
                <a:ea typeface="Meiryo UI" panose="020B0604030504040204" pitchFamily="50" charset="-128"/>
              </a:rPr>
              <a:t>0</a:t>
            </a:r>
            <a:endParaRPr kumimoji="1" lang="ja-JP" altLang="en-US" sz="1050" b="0"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  <xdr:sp macro="" textlink="">
        <xdr:nvSpPr>
          <xdr:cNvPr id="186" name="テキスト ボックス 185">
            <a:extLst>
              <a:ext uri="{FF2B5EF4-FFF2-40B4-BE49-F238E27FC236}">
                <a16:creationId xmlns:a16="http://schemas.microsoft.com/office/drawing/2014/main" id="{49EDA1FC-B6CD-F259-C7ED-A16FA14CEBA9}"/>
              </a:ext>
            </a:extLst>
          </xdr:cNvPr>
          <xdr:cNvSpPr txBox="1"/>
        </xdr:nvSpPr>
        <xdr:spPr>
          <a:xfrm>
            <a:off x="6595377" y="3955995"/>
            <a:ext cx="1797656" cy="266381"/>
          </a:xfrm>
          <a:prstGeom prst="rect">
            <a:avLst/>
          </a:prstGeom>
          <a:solidFill>
            <a:schemeClr val="bg1"/>
          </a:solidFill>
          <a:ln w="9525" cmpd="sng">
            <a:solidFill>
              <a:schemeClr val="accent3">
                <a:lumMod val="20000"/>
                <a:lumOff val="8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r"/>
            <a:r>
              <a:rPr kumimoji="1" lang="en-US" altLang="ja-JP" sz="1050" b="0">
                <a:latin typeface="Meiryo UI" panose="020B0604030504040204" pitchFamily="50" charset="-128"/>
                <a:ea typeface="Meiryo UI" panose="020B0604030504040204" pitchFamily="50" charset="-128"/>
              </a:rPr>
              <a:t>95</a:t>
            </a:r>
            <a:endParaRPr kumimoji="1" lang="ja-JP" altLang="en-US" sz="1050" b="0"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  <xdr:sp macro="" textlink="">
        <xdr:nvSpPr>
          <xdr:cNvPr id="187" name="テキスト ボックス 186">
            <a:extLst>
              <a:ext uri="{FF2B5EF4-FFF2-40B4-BE49-F238E27FC236}">
                <a16:creationId xmlns:a16="http://schemas.microsoft.com/office/drawing/2014/main" id="{6C4063A8-5B35-D33E-336D-F0854A062BDA}"/>
              </a:ext>
            </a:extLst>
          </xdr:cNvPr>
          <xdr:cNvSpPr txBox="1"/>
        </xdr:nvSpPr>
        <xdr:spPr>
          <a:xfrm>
            <a:off x="6595377" y="4229546"/>
            <a:ext cx="1797656" cy="293019"/>
          </a:xfrm>
          <a:prstGeom prst="rect">
            <a:avLst/>
          </a:prstGeom>
          <a:solidFill>
            <a:schemeClr val="bg1"/>
          </a:solidFill>
          <a:ln w="9525" cmpd="sng">
            <a:solidFill>
              <a:schemeClr val="accent3">
                <a:lumMod val="20000"/>
                <a:lumOff val="8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r"/>
            <a:r>
              <a:rPr kumimoji="1" lang="en-US" altLang="ja-JP" sz="1050" b="0">
                <a:latin typeface="Meiryo UI" panose="020B0604030504040204" pitchFamily="50" charset="-128"/>
                <a:ea typeface="Meiryo UI" panose="020B0604030504040204" pitchFamily="50" charset="-128"/>
              </a:rPr>
              <a:t>0</a:t>
            </a:r>
            <a:endParaRPr kumimoji="1" lang="ja-JP" altLang="en-US" sz="1050" b="0"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  <xdr:sp macro="" textlink="">
        <xdr:nvSpPr>
          <xdr:cNvPr id="188" name="テキスト ボックス 187">
            <a:extLst>
              <a:ext uri="{FF2B5EF4-FFF2-40B4-BE49-F238E27FC236}">
                <a16:creationId xmlns:a16="http://schemas.microsoft.com/office/drawing/2014/main" id="{FC3325D3-8FAB-0E39-AF0F-958B4E9954FB}"/>
              </a:ext>
            </a:extLst>
          </xdr:cNvPr>
          <xdr:cNvSpPr txBox="1"/>
        </xdr:nvSpPr>
        <xdr:spPr>
          <a:xfrm>
            <a:off x="6595377" y="4502842"/>
            <a:ext cx="1797656" cy="266381"/>
          </a:xfrm>
          <a:prstGeom prst="rect">
            <a:avLst/>
          </a:prstGeom>
          <a:solidFill>
            <a:schemeClr val="bg1"/>
          </a:solidFill>
          <a:ln w="9525" cmpd="sng">
            <a:solidFill>
              <a:schemeClr val="accent3">
                <a:lumMod val="20000"/>
                <a:lumOff val="8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r"/>
            <a:r>
              <a:rPr kumimoji="1" lang="en-US" altLang="ja-JP" sz="1050" b="0">
                <a:latin typeface="Meiryo UI" panose="020B0604030504040204" pitchFamily="50" charset="-128"/>
                <a:ea typeface="Meiryo UI" panose="020B0604030504040204" pitchFamily="50" charset="-128"/>
              </a:rPr>
              <a:t>60</a:t>
            </a:r>
            <a:endParaRPr kumimoji="1" lang="ja-JP" altLang="en-US" sz="1050" b="0"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  <xdr:sp macro="" textlink="">
        <xdr:nvSpPr>
          <xdr:cNvPr id="189" name="テキスト ボックス 188">
            <a:extLst>
              <a:ext uri="{FF2B5EF4-FFF2-40B4-BE49-F238E27FC236}">
                <a16:creationId xmlns:a16="http://schemas.microsoft.com/office/drawing/2014/main" id="{F9A1DA08-3FAF-22E2-A4DB-469D7ED18D6F}"/>
              </a:ext>
            </a:extLst>
          </xdr:cNvPr>
          <xdr:cNvSpPr txBox="1"/>
        </xdr:nvSpPr>
        <xdr:spPr>
          <a:xfrm>
            <a:off x="6595377" y="4726959"/>
            <a:ext cx="1797656" cy="266381"/>
          </a:xfrm>
          <a:prstGeom prst="rect">
            <a:avLst/>
          </a:prstGeom>
          <a:solidFill>
            <a:schemeClr val="bg1"/>
          </a:solidFill>
          <a:ln w="9525" cmpd="sng">
            <a:solidFill>
              <a:schemeClr val="accent3">
                <a:lumMod val="20000"/>
                <a:lumOff val="8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r"/>
            <a:r>
              <a:rPr kumimoji="1" lang="en-US" altLang="ja-JP" sz="1050" b="0">
                <a:latin typeface="Meiryo UI" panose="020B0604030504040204" pitchFamily="50" charset="-128"/>
                <a:ea typeface="Meiryo UI" panose="020B0604030504040204" pitchFamily="50" charset="-128"/>
              </a:rPr>
              <a:t>0</a:t>
            </a:r>
            <a:endParaRPr kumimoji="1" lang="ja-JP" altLang="en-US" sz="1050" b="0"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  <xdr:sp macro="" textlink="">
        <xdr:nvSpPr>
          <xdr:cNvPr id="190" name="テキスト ボックス 189">
            <a:extLst>
              <a:ext uri="{FF2B5EF4-FFF2-40B4-BE49-F238E27FC236}">
                <a16:creationId xmlns:a16="http://schemas.microsoft.com/office/drawing/2014/main" id="{8CAD990D-ED3A-0391-0252-B2CDBA069284}"/>
              </a:ext>
            </a:extLst>
          </xdr:cNvPr>
          <xdr:cNvSpPr txBox="1"/>
        </xdr:nvSpPr>
        <xdr:spPr>
          <a:xfrm>
            <a:off x="6595377" y="4986936"/>
            <a:ext cx="1797656" cy="266381"/>
          </a:xfrm>
          <a:prstGeom prst="rect">
            <a:avLst/>
          </a:prstGeom>
          <a:solidFill>
            <a:schemeClr val="bg1"/>
          </a:solidFill>
          <a:ln w="9525" cmpd="sng">
            <a:solidFill>
              <a:schemeClr val="accent3">
                <a:lumMod val="20000"/>
                <a:lumOff val="8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r"/>
            <a:r>
              <a:rPr kumimoji="1" lang="en-US" altLang="ja-JP" sz="1050" b="0">
                <a:latin typeface="Meiryo UI" panose="020B0604030504040204" pitchFamily="50" charset="-128"/>
                <a:ea typeface="Meiryo UI" panose="020B0604030504040204" pitchFamily="50" charset="-128"/>
              </a:rPr>
              <a:t>40</a:t>
            </a:r>
            <a:endParaRPr kumimoji="1" lang="ja-JP" altLang="en-US" sz="1050" b="0"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  <xdr:sp macro="" textlink="">
        <xdr:nvSpPr>
          <xdr:cNvPr id="191" name="テキスト ボックス 190">
            <a:extLst>
              <a:ext uri="{FF2B5EF4-FFF2-40B4-BE49-F238E27FC236}">
                <a16:creationId xmlns:a16="http://schemas.microsoft.com/office/drawing/2014/main" id="{B4D59636-A648-2F22-0336-E30099BCAEA9}"/>
              </a:ext>
            </a:extLst>
          </xdr:cNvPr>
          <xdr:cNvSpPr txBox="1"/>
        </xdr:nvSpPr>
        <xdr:spPr>
          <a:xfrm>
            <a:off x="6595377" y="5228983"/>
            <a:ext cx="1797656" cy="266381"/>
          </a:xfrm>
          <a:prstGeom prst="rect">
            <a:avLst/>
          </a:prstGeom>
          <a:solidFill>
            <a:schemeClr val="bg1"/>
          </a:solidFill>
          <a:ln w="9525" cmpd="sng">
            <a:solidFill>
              <a:schemeClr val="accent3">
                <a:lumMod val="20000"/>
                <a:lumOff val="8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r"/>
            <a:r>
              <a:rPr kumimoji="1" lang="en-US" altLang="ja-JP" sz="1050" b="0">
                <a:latin typeface="Meiryo UI" panose="020B0604030504040204" pitchFamily="50" charset="-128"/>
                <a:ea typeface="Meiryo UI" panose="020B0604030504040204" pitchFamily="50" charset="-128"/>
              </a:rPr>
              <a:t>0</a:t>
            </a:r>
            <a:endParaRPr kumimoji="1" lang="ja-JP" altLang="en-US" sz="1050" b="0"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  <xdr:sp macro="" textlink="">
        <xdr:nvSpPr>
          <xdr:cNvPr id="192" name="テキスト ボックス 191">
            <a:extLst>
              <a:ext uri="{FF2B5EF4-FFF2-40B4-BE49-F238E27FC236}">
                <a16:creationId xmlns:a16="http://schemas.microsoft.com/office/drawing/2014/main" id="{5ECB083E-F66E-2701-EAE3-6DA25BF0A8AF}"/>
              </a:ext>
            </a:extLst>
          </xdr:cNvPr>
          <xdr:cNvSpPr txBox="1"/>
        </xdr:nvSpPr>
        <xdr:spPr>
          <a:xfrm>
            <a:off x="6595377" y="5739971"/>
            <a:ext cx="1797656" cy="266381"/>
          </a:xfrm>
          <a:prstGeom prst="rect">
            <a:avLst/>
          </a:prstGeom>
          <a:solidFill>
            <a:schemeClr val="bg1"/>
          </a:solidFill>
          <a:ln w="9525" cmpd="sng">
            <a:solidFill>
              <a:schemeClr val="accent3">
                <a:lumMod val="20000"/>
                <a:lumOff val="8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r"/>
            <a:r>
              <a:rPr kumimoji="1" lang="en-US" altLang="ja-JP" sz="1050" b="0">
                <a:latin typeface="Meiryo UI" panose="020B0604030504040204" pitchFamily="50" charset="-128"/>
                <a:ea typeface="Meiryo UI" panose="020B0604030504040204" pitchFamily="50" charset="-128"/>
              </a:rPr>
              <a:t>0</a:t>
            </a:r>
            <a:endParaRPr kumimoji="1" lang="ja-JP" altLang="en-US" sz="1050" b="0"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  <xdr:sp macro="" textlink="">
        <xdr:nvSpPr>
          <xdr:cNvPr id="193" name="テキスト ボックス 192">
            <a:extLst>
              <a:ext uri="{FF2B5EF4-FFF2-40B4-BE49-F238E27FC236}">
                <a16:creationId xmlns:a16="http://schemas.microsoft.com/office/drawing/2014/main" id="{EC2FDD6C-9F9E-1301-445F-930DF055DD1B}"/>
              </a:ext>
            </a:extLst>
          </xdr:cNvPr>
          <xdr:cNvSpPr txBox="1"/>
        </xdr:nvSpPr>
        <xdr:spPr>
          <a:xfrm>
            <a:off x="6595377" y="5994126"/>
            <a:ext cx="1797656" cy="242165"/>
          </a:xfrm>
          <a:prstGeom prst="rect">
            <a:avLst/>
          </a:prstGeom>
          <a:solidFill>
            <a:schemeClr val="bg1"/>
          </a:solidFill>
          <a:ln w="9525" cmpd="sng">
            <a:solidFill>
              <a:schemeClr val="accent3">
                <a:lumMod val="20000"/>
                <a:lumOff val="8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r"/>
            <a:r>
              <a:rPr kumimoji="1" lang="en-US" altLang="ja-JP" sz="1050" b="0">
                <a:latin typeface="Meiryo UI" panose="020B0604030504040204" pitchFamily="50" charset="-128"/>
                <a:ea typeface="Meiryo UI" panose="020B0604030504040204" pitchFamily="50" charset="-128"/>
              </a:rPr>
              <a:t>60</a:t>
            </a:r>
            <a:endParaRPr kumimoji="1" lang="ja-JP" altLang="en-US" sz="1050" b="0"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  <xdr:sp macro="" textlink="">
        <xdr:nvSpPr>
          <xdr:cNvPr id="194" name="テキスト ボックス 193">
            <a:extLst>
              <a:ext uri="{FF2B5EF4-FFF2-40B4-BE49-F238E27FC236}">
                <a16:creationId xmlns:a16="http://schemas.microsoft.com/office/drawing/2014/main" id="{EED2AF58-591A-936D-E2E4-4E16E3A78EE6}"/>
              </a:ext>
            </a:extLst>
          </xdr:cNvPr>
          <xdr:cNvSpPr txBox="1"/>
        </xdr:nvSpPr>
        <xdr:spPr>
          <a:xfrm>
            <a:off x="6595377" y="5497924"/>
            <a:ext cx="1797656" cy="266381"/>
          </a:xfrm>
          <a:prstGeom prst="rect">
            <a:avLst/>
          </a:prstGeom>
          <a:solidFill>
            <a:schemeClr val="bg1"/>
          </a:solidFill>
          <a:ln w="9525" cmpd="sng">
            <a:solidFill>
              <a:schemeClr val="accent3">
                <a:lumMod val="20000"/>
                <a:lumOff val="8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r"/>
            <a:r>
              <a:rPr kumimoji="1" lang="en-US" altLang="ja-JP" sz="1050" b="0">
                <a:latin typeface="Meiryo UI" panose="020B0604030504040204" pitchFamily="50" charset="-128"/>
                <a:ea typeface="Meiryo UI" panose="020B0604030504040204" pitchFamily="50" charset="-128"/>
              </a:rPr>
              <a:t>95</a:t>
            </a:r>
            <a:endParaRPr kumimoji="1" lang="ja-JP" altLang="en-US" sz="1050" b="0"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  <xdr:sp macro="" textlink="">
        <xdr:nvSpPr>
          <xdr:cNvPr id="11" name="テキスト ボックス 10">
            <a:extLst>
              <a:ext uri="{FF2B5EF4-FFF2-40B4-BE49-F238E27FC236}">
                <a16:creationId xmlns:a16="http://schemas.microsoft.com/office/drawing/2014/main" id="{5567928A-EB12-04D0-1E64-E410CB13D97E}"/>
              </a:ext>
            </a:extLst>
          </xdr:cNvPr>
          <xdr:cNvSpPr txBox="1"/>
        </xdr:nvSpPr>
        <xdr:spPr>
          <a:xfrm>
            <a:off x="8411135" y="3468121"/>
            <a:ext cx="1797656" cy="220150"/>
          </a:xfrm>
          <a:prstGeom prst="rect">
            <a:avLst/>
          </a:prstGeom>
          <a:solidFill>
            <a:schemeClr val="bg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kumimoji="1" lang="ja-JP" altLang="en-US" sz="1100" b="0">
                <a:latin typeface="Meiryo UI" panose="020B0604030504040204" pitchFamily="50" charset="-128"/>
                <a:ea typeface="Meiryo UI" panose="020B0604030504040204" pitchFamily="50" charset="-128"/>
              </a:rPr>
              <a:t>支払条件</a:t>
            </a:r>
          </a:p>
        </xdr:txBody>
      </xdr:sp>
      <xdr:sp macro="" textlink="">
        <xdr:nvSpPr>
          <xdr:cNvPr id="28" name="テキスト ボックス 27">
            <a:extLst>
              <a:ext uri="{FF2B5EF4-FFF2-40B4-BE49-F238E27FC236}">
                <a16:creationId xmlns:a16="http://schemas.microsoft.com/office/drawing/2014/main" id="{1ACCC2BB-5ADD-B340-326C-6EDB2A0F97A5}"/>
              </a:ext>
            </a:extLst>
          </xdr:cNvPr>
          <xdr:cNvSpPr txBox="1"/>
        </xdr:nvSpPr>
        <xdr:spPr>
          <a:xfrm>
            <a:off x="8367645" y="3704983"/>
            <a:ext cx="2392680" cy="266381"/>
          </a:xfrm>
          <a:prstGeom prst="rect">
            <a:avLst/>
          </a:prstGeom>
          <a:solidFill>
            <a:schemeClr val="bg1"/>
          </a:solidFill>
          <a:ln w="9525" cmpd="sng">
            <a:solidFill>
              <a:schemeClr val="accent3">
                <a:lumMod val="20000"/>
                <a:lumOff val="8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kumimoji="1" lang="en-US" altLang="ja-JP" sz="1050" b="0">
                <a:latin typeface="Meiryo UI" panose="020B0604030504040204" pitchFamily="50" charset="-128"/>
                <a:ea typeface="Meiryo UI" panose="020B0604030504040204" pitchFamily="50" charset="-128"/>
              </a:rPr>
              <a:t>PTxxx</a:t>
            </a:r>
            <a:endParaRPr kumimoji="1" lang="ja-JP" altLang="en-US" sz="1050" b="0"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  <xdr:sp macro="" textlink="">
        <xdr:nvSpPr>
          <xdr:cNvPr id="52" name="テキスト ボックス 51">
            <a:extLst>
              <a:ext uri="{FF2B5EF4-FFF2-40B4-BE49-F238E27FC236}">
                <a16:creationId xmlns:a16="http://schemas.microsoft.com/office/drawing/2014/main" id="{49E725D7-35F3-7D7A-9A4B-E7D5D7FCB103}"/>
              </a:ext>
            </a:extLst>
          </xdr:cNvPr>
          <xdr:cNvSpPr txBox="1"/>
        </xdr:nvSpPr>
        <xdr:spPr>
          <a:xfrm>
            <a:off x="8367645" y="3956991"/>
            <a:ext cx="2392680" cy="266381"/>
          </a:xfrm>
          <a:prstGeom prst="rect">
            <a:avLst/>
          </a:prstGeom>
          <a:solidFill>
            <a:schemeClr val="bg1"/>
          </a:solidFill>
          <a:ln w="9525" cmpd="sng">
            <a:solidFill>
              <a:schemeClr val="accent3">
                <a:lumMod val="20000"/>
                <a:lumOff val="8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kumimoji="1" lang="en-US" altLang="ja-JP" sz="1050" b="0">
                <a:latin typeface="Meiryo UI" panose="020B0604030504040204" pitchFamily="50" charset="-128"/>
                <a:ea typeface="Meiryo UI" panose="020B0604030504040204" pitchFamily="50" charset="-128"/>
              </a:rPr>
              <a:t>PTxxx</a:t>
            </a:r>
            <a:endParaRPr kumimoji="1" lang="ja-JP" altLang="en-US" sz="1050" b="0"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  <xdr:sp macro="" textlink="">
        <xdr:nvSpPr>
          <xdr:cNvPr id="53" name="テキスト ボックス 52">
            <a:extLst>
              <a:ext uri="{FF2B5EF4-FFF2-40B4-BE49-F238E27FC236}">
                <a16:creationId xmlns:a16="http://schemas.microsoft.com/office/drawing/2014/main" id="{E2857A30-BB48-57A7-B31C-D75F62A6C10F}"/>
              </a:ext>
            </a:extLst>
          </xdr:cNvPr>
          <xdr:cNvSpPr txBox="1"/>
        </xdr:nvSpPr>
        <xdr:spPr>
          <a:xfrm>
            <a:off x="8367645" y="4208999"/>
            <a:ext cx="2392680" cy="266381"/>
          </a:xfrm>
          <a:prstGeom prst="rect">
            <a:avLst/>
          </a:prstGeom>
          <a:solidFill>
            <a:schemeClr val="bg1"/>
          </a:solidFill>
          <a:ln w="9525" cmpd="sng">
            <a:solidFill>
              <a:schemeClr val="accent3">
                <a:lumMod val="20000"/>
                <a:lumOff val="8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kumimoji="1" lang="en-US" altLang="ja-JP" sz="1050" b="0">
                <a:latin typeface="Meiryo UI" panose="020B0604030504040204" pitchFamily="50" charset="-128"/>
                <a:ea typeface="Meiryo UI" panose="020B0604030504040204" pitchFamily="50" charset="-128"/>
              </a:rPr>
              <a:t>PTxxx</a:t>
            </a:r>
            <a:endParaRPr kumimoji="1" lang="ja-JP" altLang="en-US" sz="1050" b="0"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  <xdr:sp macro="" textlink="">
        <xdr:nvSpPr>
          <xdr:cNvPr id="54" name="テキスト ボックス 53">
            <a:extLst>
              <a:ext uri="{FF2B5EF4-FFF2-40B4-BE49-F238E27FC236}">
                <a16:creationId xmlns:a16="http://schemas.microsoft.com/office/drawing/2014/main" id="{B7F6524D-B5B4-317D-1B24-0E4E8C9C4399}"/>
              </a:ext>
            </a:extLst>
          </xdr:cNvPr>
          <xdr:cNvSpPr txBox="1"/>
        </xdr:nvSpPr>
        <xdr:spPr>
          <a:xfrm>
            <a:off x="8367645" y="4461007"/>
            <a:ext cx="2392680" cy="266381"/>
          </a:xfrm>
          <a:prstGeom prst="rect">
            <a:avLst/>
          </a:prstGeom>
          <a:solidFill>
            <a:schemeClr val="bg1"/>
          </a:solidFill>
          <a:ln w="9525" cmpd="sng">
            <a:solidFill>
              <a:schemeClr val="accent3">
                <a:lumMod val="20000"/>
                <a:lumOff val="8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kumimoji="1" lang="en-US" altLang="ja-JP" sz="1050" b="0">
                <a:latin typeface="Meiryo UI" panose="020B0604030504040204" pitchFamily="50" charset="-128"/>
                <a:ea typeface="Meiryo UI" panose="020B0604030504040204" pitchFamily="50" charset="-128"/>
              </a:rPr>
              <a:t>PTxxx</a:t>
            </a:r>
            <a:endParaRPr kumimoji="1" lang="ja-JP" altLang="en-US" sz="1050" b="0"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  <xdr:sp macro="" textlink="">
        <xdr:nvSpPr>
          <xdr:cNvPr id="55" name="テキスト ボックス 54">
            <a:extLst>
              <a:ext uri="{FF2B5EF4-FFF2-40B4-BE49-F238E27FC236}">
                <a16:creationId xmlns:a16="http://schemas.microsoft.com/office/drawing/2014/main" id="{1A694A72-4C24-6F95-DE54-B34393DAB879}"/>
              </a:ext>
            </a:extLst>
          </xdr:cNvPr>
          <xdr:cNvSpPr txBox="1"/>
        </xdr:nvSpPr>
        <xdr:spPr>
          <a:xfrm>
            <a:off x="8367645" y="4713015"/>
            <a:ext cx="2392680" cy="266381"/>
          </a:xfrm>
          <a:prstGeom prst="rect">
            <a:avLst/>
          </a:prstGeom>
          <a:solidFill>
            <a:schemeClr val="bg1"/>
          </a:solidFill>
          <a:ln w="9525" cmpd="sng">
            <a:solidFill>
              <a:schemeClr val="accent3">
                <a:lumMod val="20000"/>
                <a:lumOff val="8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kumimoji="1" lang="en-US" altLang="ja-JP" sz="1050" b="0">
                <a:latin typeface="Meiryo UI" panose="020B0604030504040204" pitchFamily="50" charset="-128"/>
                <a:ea typeface="Meiryo UI" panose="020B0604030504040204" pitchFamily="50" charset="-128"/>
              </a:rPr>
              <a:t>PTxxx</a:t>
            </a:r>
            <a:endParaRPr kumimoji="1" lang="ja-JP" altLang="en-US" sz="1050" b="0"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  <xdr:sp macro="" textlink="">
        <xdr:nvSpPr>
          <xdr:cNvPr id="56" name="テキスト ボックス 55">
            <a:extLst>
              <a:ext uri="{FF2B5EF4-FFF2-40B4-BE49-F238E27FC236}">
                <a16:creationId xmlns:a16="http://schemas.microsoft.com/office/drawing/2014/main" id="{06CE81FD-3893-B00B-8875-24ADB37EBE6C}"/>
              </a:ext>
            </a:extLst>
          </xdr:cNvPr>
          <xdr:cNvSpPr txBox="1"/>
        </xdr:nvSpPr>
        <xdr:spPr>
          <a:xfrm>
            <a:off x="8367645" y="4965023"/>
            <a:ext cx="2392680" cy="266381"/>
          </a:xfrm>
          <a:prstGeom prst="rect">
            <a:avLst/>
          </a:prstGeom>
          <a:solidFill>
            <a:schemeClr val="bg1"/>
          </a:solidFill>
          <a:ln w="9525" cmpd="sng">
            <a:solidFill>
              <a:schemeClr val="accent3">
                <a:lumMod val="20000"/>
                <a:lumOff val="8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kumimoji="1" lang="en-US" altLang="ja-JP" sz="1050" b="0">
                <a:latin typeface="Meiryo UI" panose="020B0604030504040204" pitchFamily="50" charset="-128"/>
                <a:ea typeface="Meiryo UI" panose="020B0604030504040204" pitchFamily="50" charset="-128"/>
              </a:rPr>
              <a:t>PTxxx</a:t>
            </a:r>
            <a:endParaRPr kumimoji="1" lang="ja-JP" altLang="en-US" sz="1050" b="0"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  <xdr:sp macro="" textlink="">
        <xdr:nvSpPr>
          <xdr:cNvPr id="57" name="テキスト ボックス 56">
            <a:extLst>
              <a:ext uri="{FF2B5EF4-FFF2-40B4-BE49-F238E27FC236}">
                <a16:creationId xmlns:a16="http://schemas.microsoft.com/office/drawing/2014/main" id="{D052A242-D279-F902-4A4C-EC49CACA4D3E}"/>
              </a:ext>
            </a:extLst>
          </xdr:cNvPr>
          <xdr:cNvSpPr txBox="1"/>
        </xdr:nvSpPr>
        <xdr:spPr>
          <a:xfrm>
            <a:off x="8367645" y="5217031"/>
            <a:ext cx="2392680" cy="266381"/>
          </a:xfrm>
          <a:prstGeom prst="rect">
            <a:avLst/>
          </a:prstGeom>
          <a:solidFill>
            <a:schemeClr val="bg1"/>
          </a:solidFill>
          <a:ln w="9525" cmpd="sng">
            <a:solidFill>
              <a:schemeClr val="accent3">
                <a:lumMod val="20000"/>
                <a:lumOff val="8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kumimoji="1" lang="en-US" altLang="ja-JP" sz="1050" b="0">
                <a:latin typeface="Meiryo UI" panose="020B0604030504040204" pitchFamily="50" charset="-128"/>
                <a:ea typeface="Meiryo UI" panose="020B0604030504040204" pitchFamily="50" charset="-128"/>
              </a:rPr>
              <a:t>PTxxx</a:t>
            </a:r>
            <a:endParaRPr kumimoji="1" lang="ja-JP" altLang="en-US" sz="1050" b="0"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  <xdr:sp macro="" textlink="">
        <xdr:nvSpPr>
          <xdr:cNvPr id="58" name="テキスト ボックス 57">
            <a:extLst>
              <a:ext uri="{FF2B5EF4-FFF2-40B4-BE49-F238E27FC236}">
                <a16:creationId xmlns:a16="http://schemas.microsoft.com/office/drawing/2014/main" id="{0FCFD167-6C48-4490-C68B-B1176F74C74A}"/>
              </a:ext>
            </a:extLst>
          </xdr:cNvPr>
          <xdr:cNvSpPr txBox="1"/>
        </xdr:nvSpPr>
        <xdr:spPr>
          <a:xfrm>
            <a:off x="8367645" y="5469039"/>
            <a:ext cx="2392680" cy="266381"/>
          </a:xfrm>
          <a:prstGeom prst="rect">
            <a:avLst/>
          </a:prstGeom>
          <a:solidFill>
            <a:schemeClr val="bg1"/>
          </a:solidFill>
          <a:ln w="9525" cmpd="sng">
            <a:solidFill>
              <a:schemeClr val="accent3">
                <a:lumMod val="20000"/>
                <a:lumOff val="8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kumimoji="1" lang="en-US" altLang="ja-JP" sz="1050" b="0">
                <a:latin typeface="Meiryo UI" panose="020B0604030504040204" pitchFamily="50" charset="-128"/>
                <a:ea typeface="Meiryo UI" panose="020B0604030504040204" pitchFamily="50" charset="-128"/>
              </a:rPr>
              <a:t>PTxxx</a:t>
            </a:r>
            <a:endParaRPr kumimoji="1" lang="ja-JP" altLang="en-US" sz="1050" b="0"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  <xdr:sp macro="" textlink="">
        <xdr:nvSpPr>
          <xdr:cNvPr id="59" name="テキスト ボックス 58">
            <a:extLst>
              <a:ext uri="{FF2B5EF4-FFF2-40B4-BE49-F238E27FC236}">
                <a16:creationId xmlns:a16="http://schemas.microsoft.com/office/drawing/2014/main" id="{02A8E2FA-BDF6-5362-2F03-D67E5960E10E}"/>
              </a:ext>
            </a:extLst>
          </xdr:cNvPr>
          <xdr:cNvSpPr txBox="1"/>
        </xdr:nvSpPr>
        <xdr:spPr>
          <a:xfrm>
            <a:off x="8367645" y="5721047"/>
            <a:ext cx="2392680" cy="266381"/>
          </a:xfrm>
          <a:prstGeom prst="rect">
            <a:avLst/>
          </a:prstGeom>
          <a:solidFill>
            <a:schemeClr val="bg1"/>
          </a:solidFill>
          <a:ln w="9525" cmpd="sng">
            <a:solidFill>
              <a:schemeClr val="accent3">
                <a:lumMod val="20000"/>
                <a:lumOff val="8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kumimoji="1" lang="en-US" altLang="ja-JP" sz="1050" b="0">
                <a:latin typeface="Meiryo UI" panose="020B0604030504040204" pitchFamily="50" charset="-128"/>
                <a:ea typeface="Meiryo UI" panose="020B0604030504040204" pitchFamily="50" charset="-128"/>
              </a:rPr>
              <a:t>PTxxx</a:t>
            </a:r>
            <a:endParaRPr kumimoji="1" lang="ja-JP" altLang="en-US" sz="1050" b="0"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  <xdr:sp macro="" textlink="">
        <xdr:nvSpPr>
          <xdr:cNvPr id="60" name="テキスト ボックス 59">
            <a:extLst>
              <a:ext uri="{FF2B5EF4-FFF2-40B4-BE49-F238E27FC236}">
                <a16:creationId xmlns:a16="http://schemas.microsoft.com/office/drawing/2014/main" id="{CB426E68-B1C6-1C82-D702-169D2C7FFFE6}"/>
              </a:ext>
            </a:extLst>
          </xdr:cNvPr>
          <xdr:cNvSpPr txBox="1"/>
        </xdr:nvSpPr>
        <xdr:spPr>
          <a:xfrm>
            <a:off x="8367645" y="5973053"/>
            <a:ext cx="2392680" cy="266381"/>
          </a:xfrm>
          <a:prstGeom prst="rect">
            <a:avLst/>
          </a:prstGeom>
          <a:solidFill>
            <a:schemeClr val="bg1"/>
          </a:solidFill>
          <a:ln w="9525" cmpd="sng">
            <a:solidFill>
              <a:schemeClr val="accent3">
                <a:lumMod val="20000"/>
                <a:lumOff val="8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kumimoji="1" lang="en-US" altLang="ja-JP" sz="1050" b="0">
                <a:latin typeface="Meiryo UI" panose="020B0604030504040204" pitchFamily="50" charset="-128"/>
                <a:ea typeface="Meiryo UI" panose="020B0604030504040204" pitchFamily="50" charset="-128"/>
              </a:rPr>
              <a:t>PTxxx</a:t>
            </a:r>
            <a:endParaRPr kumimoji="1" lang="ja-JP" altLang="en-US" sz="1050" b="0"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  <xdr:sp macro="" textlink="">
        <xdr:nvSpPr>
          <xdr:cNvPr id="15" name="テキスト ボックス 14">
            <a:extLst>
              <a:ext uri="{FF2B5EF4-FFF2-40B4-BE49-F238E27FC236}">
                <a16:creationId xmlns:a16="http://schemas.microsoft.com/office/drawing/2014/main" id="{05F4504B-DEBD-0BEA-98B8-B4BF3D6A23BD}"/>
              </a:ext>
            </a:extLst>
          </xdr:cNvPr>
          <xdr:cNvSpPr txBox="1"/>
        </xdr:nvSpPr>
        <xdr:spPr>
          <a:xfrm>
            <a:off x="2510117" y="6238130"/>
            <a:ext cx="1673047" cy="248414"/>
          </a:xfrm>
          <a:prstGeom prst="rect">
            <a:avLst/>
          </a:prstGeom>
          <a:solidFill>
            <a:schemeClr val="bg1"/>
          </a:solidFill>
          <a:ln w="9525" cmpd="sng">
            <a:solidFill>
              <a:schemeClr val="accent3">
                <a:lumMod val="20000"/>
                <a:lumOff val="8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r"/>
            <a:r>
              <a:rPr kumimoji="1" lang="en-US" altLang="ja-JP" sz="1050" b="0">
                <a:latin typeface="Meiryo UI" panose="020B0604030504040204" pitchFamily="50" charset="-128"/>
                <a:ea typeface="Meiryo UI" panose="020B0604030504040204" pitchFamily="50" charset="-128"/>
              </a:rPr>
              <a:t>0.00</a:t>
            </a:r>
            <a:endParaRPr kumimoji="1" lang="ja-JP" altLang="en-US" sz="1050" b="0"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  <xdr:sp macro="" textlink="">
        <xdr:nvSpPr>
          <xdr:cNvPr id="16" name="テキスト ボックス 15">
            <a:extLst>
              <a:ext uri="{FF2B5EF4-FFF2-40B4-BE49-F238E27FC236}">
                <a16:creationId xmlns:a16="http://schemas.microsoft.com/office/drawing/2014/main" id="{98D44486-CBB1-6337-6CA4-F76EF7371F2F}"/>
              </a:ext>
            </a:extLst>
          </xdr:cNvPr>
          <xdr:cNvSpPr txBox="1"/>
        </xdr:nvSpPr>
        <xdr:spPr>
          <a:xfrm>
            <a:off x="4187416" y="6227878"/>
            <a:ext cx="2392680" cy="266381"/>
          </a:xfrm>
          <a:prstGeom prst="rect">
            <a:avLst/>
          </a:prstGeom>
          <a:solidFill>
            <a:schemeClr val="bg1"/>
          </a:solidFill>
          <a:ln w="9525" cmpd="sng">
            <a:solidFill>
              <a:schemeClr val="accent3">
                <a:lumMod val="20000"/>
                <a:lumOff val="8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r>
              <a:rPr kumimoji="1" lang="en-US" altLang="ja-JP" sz="1050" b="0">
                <a:latin typeface="Meiryo UI" panose="020B0604030504040204" pitchFamily="50" charset="-128"/>
                <a:ea typeface="Meiryo UI" panose="020B0604030504040204" pitchFamily="50" charset="-128"/>
              </a:rPr>
              <a:t>2-1</a:t>
            </a:r>
            <a:endParaRPr kumimoji="1" lang="ja-JP" altLang="en-US" sz="1050" b="0"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  <xdr:sp macro="" textlink="">
        <xdr:nvSpPr>
          <xdr:cNvPr id="24" name="テキスト ボックス 23">
            <a:extLst>
              <a:ext uri="{FF2B5EF4-FFF2-40B4-BE49-F238E27FC236}">
                <a16:creationId xmlns:a16="http://schemas.microsoft.com/office/drawing/2014/main" id="{E7CCEB17-766C-EF01-3237-2F2CEA5CE25A}"/>
              </a:ext>
            </a:extLst>
          </xdr:cNvPr>
          <xdr:cNvSpPr txBox="1"/>
        </xdr:nvSpPr>
        <xdr:spPr>
          <a:xfrm>
            <a:off x="6595377" y="6248947"/>
            <a:ext cx="1797656" cy="242165"/>
          </a:xfrm>
          <a:prstGeom prst="rect">
            <a:avLst/>
          </a:prstGeom>
          <a:solidFill>
            <a:schemeClr val="bg1"/>
          </a:solidFill>
          <a:ln w="9525" cmpd="sng">
            <a:solidFill>
              <a:schemeClr val="accent3">
                <a:lumMod val="20000"/>
                <a:lumOff val="8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r"/>
            <a:r>
              <a:rPr kumimoji="1" lang="en-US" altLang="ja-JP" sz="1050" b="0">
                <a:latin typeface="Meiryo UI" panose="020B0604030504040204" pitchFamily="50" charset="-128"/>
                <a:ea typeface="Meiryo UI" panose="020B0604030504040204" pitchFamily="50" charset="-128"/>
              </a:rPr>
              <a:t>0</a:t>
            </a:r>
            <a:endParaRPr kumimoji="1" lang="ja-JP" altLang="en-US" sz="1050" b="0"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  <xdr:sp macro="" textlink="">
        <xdr:nvSpPr>
          <xdr:cNvPr id="25" name="テキスト ボックス 24">
            <a:extLst>
              <a:ext uri="{FF2B5EF4-FFF2-40B4-BE49-F238E27FC236}">
                <a16:creationId xmlns:a16="http://schemas.microsoft.com/office/drawing/2014/main" id="{F1C16E09-737D-D15F-D8FA-E059C6ACE3F7}"/>
              </a:ext>
            </a:extLst>
          </xdr:cNvPr>
          <xdr:cNvSpPr txBox="1"/>
        </xdr:nvSpPr>
        <xdr:spPr>
          <a:xfrm>
            <a:off x="8367645" y="6227875"/>
            <a:ext cx="2392680" cy="266381"/>
          </a:xfrm>
          <a:prstGeom prst="rect">
            <a:avLst/>
          </a:prstGeom>
          <a:solidFill>
            <a:schemeClr val="bg1"/>
          </a:solidFill>
          <a:ln w="9525" cmpd="sng">
            <a:solidFill>
              <a:schemeClr val="accent3">
                <a:lumMod val="20000"/>
                <a:lumOff val="8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kumimoji="1" lang="en-US" altLang="ja-JP" sz="1050" b="0">
                <a:latin typeface="Meiryo UI" panose="020B0604030504040204" pitchFamily="50" charset="-128"/>
                <a:ea typeface="Meiryo UI" panose="020B0604030504040204" pitchFamily="50" charset="-128"/>
              </a:rPr>
              <a:t>PTxxx</a:t>
            </a:r>
            <a:endParaRPr kumimoji="1" lang="ja-JP" altLang="en-US" sz="1050" b="0"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  <xdr:sp macro="" textlink="">
        <xdr:nvSpPr>
          <xdr:cNvPr id="38" name="テキスト ボックス 37">
            <a:extLst>
              <a:ext uri="{FF2B5EF4-FFF2-40B4-BE49-F238E27FC236}">
                <a16:creationId xmlns:a16="http://schemas.microsoft.com/office/drawing/2014/main" id="{E1042197-2816-C21B-1FF5-BAE0D4E18D41}"/>
              </a:ext>
            </a:extLst>
          </xdr:cNvPr>
          <xdr:cNvSpPr txBox="1"/>
        </xdr:nvSpPr>
        <xdr:spPr>
          <a:xfrm>
            <a:off x="2510117" y="6492793"/>
            <a:ext cx="1673047" cy="248414"/>
          </a:xfrm>
          <a:prstGeom prst="rect">
            <a:avLst/>
          </a:prstGeom>
          <a:solidFill>
            <a:schemeClr val="bg1"/>
          </a:solidFill>
          <a:ln w="9525" cmpd="sng">
            <a:solidFill>
              <a:schemeClr val="accent3">
                <a:lumMod val="20000"/>
                <a:lumOff val="8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r"/>
            <a:r>
              <a:rPr kumimoji="1" lang="en-US" altLang="ja-JP" sz="1050" b="0">
                <a:latin typeface="Meiryo UI" panose="020B0604030504040204" pitchFamily="50" charset="-128"/>
                <a:ea typeface="Meiryo UI" panose="020B0604030504040204" pitchFamily="50" charset="-128"/>
              </a:rPr>
              <a:t>0.00</a:t>
            </a:r>
            <a:endParaRPr kumimoji="1" lang="ja-JP" altLang="en-US" sz="1050" b="0"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  <xdr:sp macro="" textlink="">
        <xdr:nvSpPr>
          <xdr:cNvPr id="39" name="テキスト ボックス 38">
            <a:extLst>
              <a:ext uri="{FF2B5EF4-FFF2-40B4-BE49-F238E27FC236}">
                <a16:creationId xmlns:a16="http://schemas.microsoft.com/office/drawing/2014/main" id="{4299C84E-670D-1233-6C98-E5E238910FB9}"/>
              </a:ext>
            </a:extLst>
          </xdr:cNvPr>
          <xdr:cNvSpPr txBox="1"/>
        </xdr:nvSpPr>
        <xdr:spPr>
          <a:xfrm>
            <a:off x="4187416" y="6482541"/>
            <a:ext cx="2392680" cy="266381"/>
          </a:xfrm>
          <a:prstGeom prst="rect">
            <a:avLst/>
          </a:prstGeom>
          <a:solidFill>
            <a:schemeClr val="bg1"/>
          </a:solidFill>
          <a:ln w="9525" cmpd="sng">
            <a:solidFill>
              <a:schemeClr val="accent3">
                <a:lumMod val="20000"/>
                <a:lumOff val="8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r>
              <a:rPr kumimoji="1" lang="en-US" altLang="ja-JP" sz="1050" b="0">
                <a:latin typeface="Meiryo UI" panose="020B0604030504040204" pitchFamily="50" charset="-128"/>
                <a:ea typeface="Meiryo UI" panose="020B0604030504040204" pitchFamily="50" charset="-128"/>
              </a:rPr>
              <a:t>3-1</a:t>
            </a:r>
            <a:endParaRPr kumimoji="1" lang="ja-JP" altLang="en-US" sz="1050" b="0"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  <xdr:sp macro="" textlink="">
        <xdr:nvSpPr>
          <xdr:cNvPr id="50" name="テキスト ボックス 49">
            <a:extLst>
              <a:ext uri="{FF2B5EF4-FFF2-40B4-BE49-F238E27FC236}">
                <a16:creationId xmlns:a16="http://schemas.microsoft.com/office/drawing/2014/main" id="{01A0AC01-040B-4392-B042-BD50BEC0AB70}"/>
              </a:ext>
            </a:extLst>
          </xdr:cNvPr>
          <xdr:cNvSpPr txBox="1"/>
        </xdr:nvSpPr>
        <xdr:spPr>
          <a:xfrm>
            <a:off x="6595377" y="6503610"/>
            <a:ext cx="1797656" cy="242165"/>
          </a:xfrm>
          <a:prstGeom prst="rect">
            <a:avLst/>
          </a:prstGeom>
          <a:solidFill>
            <a:schemeClr val="bg1"/>
          </a:solidFill>
          <a:ln w="9525" cmpd="sng">
            <a:solidFill>
              <a:schemeClr val="accent3">
                <a:lumMod val="20000"/>
                <a:lumOff val="8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r"/>
            <a:r>
              <a:rPr kumimoji="1" lang="en-US" altLang="ja-JP" sz="1050" b="0">
                <a:latin typeface="Meiryo UI" panose="020B0604030504040204" pitchFamily="50" charset="-128"/>
                <a:ea typeface="Meiryo UI" panose="020B0604030504040204" pitchFamily="50" charset="-128"/>
              </a:rPr>
              <a:t>0</a:t>
            </a:r>
            <a:endParaRPr kumimoji="1" lang="ja-JP" altLang="en-US" sz="1050" b="0"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  <xdr:sp macro="" textlink="">
        <xdr:nvSpPr>
          <xdr:cNvPr id="51" name="テキスト ボックス 50">
            <a:extLst>
              <a:ext uri="{FF2B5EF4-FFF2-40B4-BE49-F238E27FC236}">
                <a16:creationId xmlns:a16="http://schemas.microsoft.com/office/drawing/2014/main" id="{9C5E9DB0-69FC-59A2-1B4B-F430FE9299EE}"/>
              </a:ext>
            </a:extLst>
          </xdr:cNvPr>
          <xdr:cNvSpPr txBox="1"/>
        </xdr:nvSpPr>
        <xdr:spPr>
          <a:xfrm>
            <a:off x="8367645" y="6482538"/>
            <a:ext cx="2392680" cy="266381"/>
          </a:xfrm>
          <a:prstGeom prst="rect">
            <a:avLst/>
          </a:prstGeom>
          <a:solidFill>
            <a:schemeClr val="bg1"/>
          </a:solidFill>
          <a:ln w="9525" cmpd="sng">
            <a:solidFill>
              <a:schemeClr val="accent3">
                <a:lumMod val="20000"/>
                <a:lumOff val="8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kumimoji="1" lang="en-US" altLang="ja-JP" sz="1050" b="0">
                <a:latin typeface="Meiryo UI" panose="020B0604030504040204" pitchFamily="50" charset="-128"/>
                <a:ea typeface="Meiryo UI" panose="020B0604030504040204" pitchFamily="50" charset="-128"/>
              </a:rPr>
              <a:t>PTxxx</a:t>
            </a:r>
            <a:endParaRPr kumimoji="1" lang="ja-JP" altLang="en-US" sz="1050" b="0"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  <xdr:sp macro="" textlink="">
        <xdr:nvSpPr>
          <xdr:cNvPr id="63" name="テキスト ボックス 62">
            <a:extLst>
              <a:ext uri="{FF2B5EF4-FFF2-40B4-BE49-F238E27FC236}">
                <a16:creationId xmlns:a16="http://schemas.microsoft.com/office/drawing/2014/main" id="{AC4F54FF-D005-B627-DBBC-31832C98EB55}"/>
              </a:ext>
            </a:extLst>
          </xdr:cNvPr>
          <xdr:cNvSpPr txBox="1"/>
        </xdr:nvSpPr>
        <xdr:spPr>
          <a:xfrm>
            <a:off x="2510117" y="6747613"/>
            <a:ext cx="1673047" cy="248414"/>
          </a:xfrm>
          <a:prstGeom prst="rect">
            <a:avLst/>
          </a:prstGeom>
          <a:solidFill>
            <a:schemeClr val="bg1"/>
          </a:solidFill>
          <a:ln w="9525" cmpd="sng">
            <a:solidFill>
              <a:schemeClr val="accent3">
                <a:lumMod val="20000"/>
                <a:lumOff val="8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r"/>
            <a:r>
              <a:rPr kumimoji="1" lang="en-US" altLang="ja-JP" sz="1050" b="0">
                <a:latin typeface="Meiryo UI" panose="020B0604030504040204" pitchFamily="50" charset="-128"/>
                <a:ea typeface="Meiryo UI" panose="020B0604030504040204" pitchFamily="50" charset="-128"/>
              </a:rPr>
              <a:t>0.00</a:t>
            </a:r>
            <a:endParaRPr kumimoji="1" lang="ja-JP" altLang="en-US" sz="1050" b="0"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  <xdr:sp macro="" textlink="">
        <xdr:nvSpPr>
          <xdr:cNvPr id="64" name="テキスト ボックス 63">
            <a:extLst>
              <a:ext uri="{FF2B5EF4-FFF2-40B4-BE49-F238E27FC236}">
                <a16:creationId xmlns:a16="http://schemas.microsoft.com/office/drawing/2014/main" id="{C0BFD6F0-441C-C673-795E-D3C7FBE96840}"/>
              </a:ext>
            </a:extLst>
          </xdr:cNvPr>
          <xdr:cNvSpPr txBox="1"/>
        </xdr:nvSpPr>
        <xdr:spPr>
          <a:xfrm>
            <a:off x="4187416" y="6737361"/>
            <a:ext cx="2392680" cy="266381"/>
          </a:xfrm>
          <a:prstGeom prst="rect">
            <a:avLst/>
          </a:prstGeom>
          <a:solidFill>
            <a:schemeClr val="bg1"/>
          </a:solidFill>
          <a:ln w="9525" cmpd="sng">
            <a:solidFill>
              <a:schemeClr val="accent3">
                <a:lumMod val="20000"/>
                <a:lumOff val="8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r>
              <a:rPr kumimoji="1" lang="en-US" altLang="ja-JP" sz="1050" b="0">
                <a:latin typeface="Meiryo UI" panose="020B0604030504040204" pitchFamily="50" charset="-128"/>
                <a:ea typeface="Meiryo UI" panose="020B0604030504040204" pitchFamily="50" charset="-128"/>
              </a:rPr>
              <a:t>3-2</a:t>
            </a:r>
            <a:endParaRPr kumimoji="1" lang="ja-JP" altLang="en-US" sz="1050" b="0"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  <xdr:sp macro="" textlink="">
        <xdr:nvSpPr>
          <xdr:cNvPr id="65" name="テキスト ボックス 64">
            <a:extLst>
              <a:ext uri="{FF2B5EF4-FFF2-40B4-BE49-F238E27FC236}">
                <a16:creationId xmlns:a16="http://schemas.microsoft.com/office/drawing/2014/main" id="{7B2249D2-53A4-865B-FC98-613F2E8B9E0B}"/>
              </a:ext>
            </a:extLst>
          </xdr:cNvPr>
          <xdr:cNvSpPr txBox="1"/>
        </xdr:nvSpPr>
        <xdr:spPr>
          <a:xfrm>
            <a:off x="6595377" y="6758431"/>
            <a:ext cx="1797656" cy="242165"/>
          </a:xfrm>
          <a:prstGeom prst="rect">
            <a:avLst/>
          </a:prstGeom>
          <a:solidFill>
            <a:schemeClr val="bg1"/>
          </a:solidFill>
          <a:ln w="9525" cmpd="sng">
            <a:solidFill>
              <a:schemeClr val="accent3">
                <a:lumMod val="20000"/>
                <a:lumOff val="8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r"/>
            <a:r>
              <a:rPr kumimoji="1" lang="en-US" altLang="ja-JP" sz="1050" b="0">
                <a:latin typeface="Meiryo UI" panose="020B0604030504040204" pitchFamily="50" charset="-128"/>
                <a:ea typeface="Meiryo UI" panose="020B0604030504040204" pitchFamily="50" charset="-128"/>
              </a:rPr>
              <a:t>0</a:t>
            </a:r>
            <a:endParaRPr kumimoji="1" lang="ja-JP" altLang="en-US" sz="1050" b="0"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  <xdr:sp macro="" textlink="">
        <xdr:nvSpPr>
          <xdr:cNvPr id="66" name="テキスト ボックス 65">
            <a:extLst>
              <a:ext uri="{FF2B5EF4-FFF2-40B4-BE49-F238E27FC236}">
                <a16:creationId xmlns:a16="http://schemas.microsoft.com/office/drawing/2014/main" id="{4ED0AD6E-6CB0-BE1A-3103-70935ACA3EF3}"/>
              </a:ext>
            </a:extLst>
          </xdr:cNvPr>
          <xdr:cNvSpPr txBox="1"/>
        </xdr:nvSpPr>
        <xdr:spPr>
          <a:xfrm>
            <a:off x="8367645" y="6737358"/>
            <a:ext cx="2392680" cy="266381"/>
          </a:xfrm>
          <a:prstGeom prst="rect">
            <a:avLst/>
          </a:prstGeom>
          <a:solidFill>
            <a:schemeClr val="bg1"/>
          </a:solidFill>
          <a:ln w="9525" cmpd="sng">
            <a:solidFill>
              <a:schemeClr val="accent3">
                <a:lumMod val="20000"/>
                <a:lumOff val="8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kumimoji="1" lang="en-US" altLang="ja-JP" sz="1050" b="0">
                <a:latin typeface="Meiryo UI" panose="020B0604030504040204" pitchFamily="50" charset="-128"/>
                <a:ea typeface="Meiryo UI" panose="020B0604030504040204" pitchFamily="50" charset="-128"/>
              </a:rPr>
              <a:t>PTxxx</a:t>
            </a:r>
            <a:endParaRPr kumimoji="1" lang="ja-JP" altLang="en-US" sz="1050" b="0"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  <xdr:sp macro="" textlink="">
        <xdr:nvSpPr>
          <xdr:cNvPr id="68" name="テキスト ボックス 67">
            <a:extLst>
              <a:ext uri="{FF2B5EF4-FFF2-40B4-BE49-F238E27FC236}">
                <a16:creationId xmlns:a16="http://schemas.microsoft.com/office/drawing/2014/main" id="{751F7D0C-72BD-267F-6C18-7BD4DDCAF007}"/>
              </a:ext>
            </a:extLst>
          </xdr:cNvPr>
          <xdr:cNvSpPr txBox="1"/>
        </xdr:nvSpPr>
        <xdr:spPr>
          <a:xfrm>
            <a:off x="2510111" y="6974120"/>
            <a:ext cx="1673047" cy="248414"/>
          </a:xfrm>
          <a:prstGeom prst="rect">
            <a:avLst/>
          </a:prstGeom>
          <a:solidFill>
            <a:schemeClr val="bg1"/>
          </a:solidFill>
          <a:ln w="9525" cmpd="sng">
            <a:solidFill>
              <a:schemeClr val="accent3">
                <a:lumMod val="20000"/>
                <a:lumOff val="8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r"/>
            <a:r>
              <a:rPr kumimoji="1" lang="en-US" altLang="ja-JP" sz="1050" b="0">
                <a:latin typeface="Meiryo UI" panose="020B0604030504040204" pitchFamily="50" charset="-128"/>
                <a:ea typeface="Meiryo UI" panose="020B0604030504040204" pitchFamily="50" charset="-128"/>
              </a:rPr>
              <a:t>0.00</a:t>
            </a:r>
            <a:endParaRPr kumimoji="1" lang="ja-JP" altLang="en-US" sz="1050" b="0"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  <xdr:sp macro="" textlink="">
        <xdr:nvSpPr>
          <xdr:cNvPr id="70" name="テキスト ボックス 69">
            <a:extLst>
              <a:ext uri="{FF2B5EF4-FFF2-40B4-BE49-F238E27FC236}">
                <a16:creationId xmlns:a16="http://schemas.microsoft.com/office/drawing/2014/main" id="{CDC799A3-BD24-ED05-FD17-C115F7571129}"/>
              </a:ext>
            </a:extLst>
          </xdr:cNvPr>
          <xdr:cNvSpPr txBox="1"/>
        </xdr:nvSpPr>
        <xdr:spPr>
          <a:xfrm>
            <a:off x="4187411" y="6963868"/>
            <a:ext cx="2392680" cy="266381"/>
          </a:xfrm>
          <a:prstGeom prst="rect">
            <a:avLst/>
          </a:prstGeom>
          <a:solidFill>
            <a:schemeClr val="bg1"/>
          </a:solidFill>
          <a:ln w="9525" cmpd="sng">
            <a:solidFill>
              <a:schemeClr val="accent3">
                <a:lumMod val="20000"/>
                <a:lumOff val="8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r>
              <a:rPr kumimoji="1" lang="en-US" altLang="ja-JP" sz="1050" b="0">
                <a:latin typeface="Meiryo UI" panose="020B0604030504040204" pitchFamily="50" charset="-128"/>
                <a:ea typeface="Meiryo UI" panose="020B0604030504040204" pitchFamily="50" charset="-128"/>
              </a:rPr>
              <a:t>3-3</a:t>
            </a:r>
            <a:endParaRPr kumimoji="1" lang="ja-JP" altLang="en-US" sz="1050" b="0"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  <xdr:sp macro="" textlink="">
        <xdr:nvSpPr>
          <xdr:cNvPr id="71" name="テキスト ボックス 70">
            <a:extLst>
              <a:ext uri="{FF2B5EF4-FFF2-40B4-BE49-F238E27FC236}">
                <a16:creationId xmlns:a16="http://schemas.microsoft.com/office/drawing/2014/main" id="{8452E41A-C2BC-EB76-AC5B-27A1DD5E8FC2}"/>
              </a:ext>
            </a:extLst>
          </xdr:cNvPr>
          <xdr:cNvSpPr txBox="1"/>
        </xdr:nvSpPr>
        <xdr:spPr>
          <a:xfrm>
            <a:off x="6595371" y="6984938"/>
            <a:ext cx="1797656" cy="242165"/>
          </a:xfrm>
          <a:prstGeom prst="rect">
            <a:avLst/>
          </a:prstGeom>
          <a:solidFill>
            <a:schemeClr val="bg1"/>
          </a:solidFill>
          <a:ln w="9525" cmpd="sng">
            <a:solidFill>
              <a:schemeClr val="accent3">
                <a:lumMod val="20000"/>
                <a:lumOff val="8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r"/>
            <a:r>
              <a:rPr kumimoji="1" lang="en-US" altLang="ja-JP" sz="1050" b="0">
                <a:latin typeface="Meiryo UI" panose="020B0604030504040204" pitchFamily="50" charset="-128"/>
                <a:ea typeface="Meiryo UI" panose="020B0604030504040204" pitchFamily="50" charset="-128"/>
              </a:rPr>
              <a:t>0</a:t>
            </a:r>
            <a:endParaRPr kumimoji="1" lang="ja-JP" altLang="en-US" sz="1050" b="0"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  <xdr:sp macro="" textlink="">
        <xdr:nvSpPr>
          <xdr:cNvPr id="72" name="テキスト ボックス 71">
            <a:extLst>
              <a:ext uri="{FF2B5EF4-FFF2-40B4-BE49-F238E27FC236}">
                <a16:creationId xmlns:a16="http://schemas.microsoft.com/office/drawing/2014/main" id="{F7626D62-1D13-012F-EF0C-9B04068BDC8C}"/>
              </a:ext>
            </a:extLst>
          </xdr:cNvPr>
          <xdr:cNvSpPr txBox="1"/>
        </xdr:nvSpPr>
        <xdr:spPr>
          <a:xfrm>
            <a:off x="8367641" y="6963866"/>
            <a:ext cx="2392680" cy="266381"/>
          </a:xfrm>
          <a:prstGeom prst="rect">
            <a:avLst/>
          </a:prstGeom>
          <a:solidFill>
            <a:schemeClr val="bg1"/>
          </a:solidFill>
          <a:ln w="9525" cmpd="sng">
            <a:solidFill>
              <a:schemeClr val="accent3">
                <a:lumMod val="20000"/>
                <a:lumOff val="8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kumimoji="1" lang="en-US" altLang="ja-JP" sz="1050" b="0">
                <a:latin typeface="Meiryo UI" panose="020B0604030504040204" pitchFamily="50" charset="-128"/>
                <a:ea typeface="Meiryo UI" panose="020B0604030504040204" pitchFamily="50" charset="-128"/>
              </a:rPr>
              <a:t>PTxxx</a:t>
            </a:r>
            <a:endParaRPr kumimoji="1" lang="ja-JP" altLang="en-US" sz="1050" b="0"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  <xdr:sp macro="" textlink="">
        <xdr:nvSpPr>
          <xdr:cNvPr id="79" name="テキスト ボックス 78">
            <a:extLst>
              <a:ext uri="{FF2B5EF4-FFF2-40B4-BE49-F238E27FC236}">
                <a16:creationId xmlns:a16="http://schemas.microsoft.com/office/drawing/2014/main" id="{B6C1D2ED-B740-6D6B-5061-5D5548C7F93C}"/>
              </a:ext>
            </a:extLst>
          </xdr:cNvPr>
          <xdr:cNvSpPr txBox="1"/>
        </xdr:nvSpPr>
        <xdr:spPr>
          <a:xfrm>
            <a:off x="2510111" y="7229078"/>
            <a:ext cx="1673047" cy="248414"/>
          </a:xfrm>
          <a:prstGeom prst="rect">
            <a:avLst/>
          </a:prstGeom>
          <a:solidFill>
            <a:schemeClr val="bg1"/>
          </a:solidFill>
          <a:ln w="9525" cmpd="sng">
            <a:solidFill>
              <a:schemeClr val="accent3">
                <a:lumMod val="20000"/>
                <a:lumOff val="8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r"/>
            <a:r>
              <a:rPr kumimoji="1" lang="en-US" altLang="ja-JP" sz="1050" b="0">
                <a:latin typeface="Meiryo UI" panose="020B0604030504040204" pitchFamily="50" charset="-128"/>
                <a:ea typeface="Meiryo UI" panose="020B0604030504040204" pitchFamily="50" charset="-128"/>
              </a:rPr>
              <a:t>0.00</a:t>
            </a:r>
            <a:endParaRPr kumimoji="1" lang="ja-JP" altLang="en-US" sz="1050" b="0"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  <xdr:sp macro="" textlink="">
        <xdr:nvSpPr>
          <xdr:cNvPr id="80" name="テキスト ボックス 79">
            <a:extLst>
              <a:ext uri="{FF2B5EF4-FFF2-40B4-BE49-F238E27FC236}">
                <a16:creationId xmlns:a16="http://schemas.microsoft.com/office/drawing/2014/main" id="{A70636A2-9F29-D35D-6C26-A6C8A2A4D275}"/>
              </a:ext>
            </a:extLst>
          </xdr:cNvPr>
          <xdr:cNvSpPr txBox="1"/>
        </xdr:nvSpPr>
        <xdr:spPr>
          <a:xfrm>
            <a:off x="4187411" y="7218827"/>
            <a:ext cx="2392680" cy="266381"/>
          </a:xfrm>
          <a:prstGeom prst="rect">
            <a:avLst/>
          </a:prstGeom>
          <a:solidFill>
            <a:schemeClr val="bg1"/>
          </a:solidFill>
          <a:ln w="9525" cmpd="sng">
            <a:solidFill>
              <a:schemeClr val="accent3">
                <a:lumMod val="20000"/>
                <a:lumOff val="8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r>
              <a:rPr kumimoji="1" lang="en-US" altLang="ja-JP" sz="1050" b="0">
                <a:latin typeface="Meiryo UI" panose="020B0604030504040204" pitchFamily="50" charset="-128"/>
                <a:ea typeface="Meiryo UI" panose="020B0604030504040204" pitchFamily="50" charset="-128"/>
              </a:rPr>
              <a:t>3-4</a:t>
            </a:r>
            <a:endParaRPr kumimoji="1" lang="ja-JP" altLang="en-US" sz="1050" b="0"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  <xdr:sp macro="" textlink="">
        <xdr:nvSpPr>
          <xdr:cNvPr id="81" name="テキスト ボックス 80">
            <a:extLst>
              <a:ext uri="{FF2B5EF4-FFF2-40B4-BE49-F238E27FC236}">
                <a16:creationId xmlns:a16="http://schemas.microsoft.com/office/drawing/2014/main" id="{679B067E-6F3F-1ABC-2F28-2408437E22F1}"/>
              </a:ext>
            </a:extLst>
          </xdr:cNvPr>
          <xdr:cNvSpPr txBox="1"/>
        </xdr:nvSpPr>
        <xdr:spPr>
          <a:xfrm>
            <a:off x="6595371" y="7239896"/>
            <a:ext cx="1797656" cy="242165"/>
          </a:xfrm>
          <a:prstGeom prst="rect">
            <a:avLst/>
          </a:prstGeom>
          <a:solidFill>
            <a:schemeClr val="bg1"/>
          </a:solidFill>
          <a:ln w="9525" cmpd="sng">
            <a:solidFill>
              <a:schemeClr val="accent3">
                <a:lumMod val="20000"/>
                <a:lumOff val="8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r"/>
            <a:r>
              <a:rPr kumimoji="1" lang="en-US" altLang="ja-JP" sz="1050" b="0">
                <a:latin typeface="Meiryo UI" panose="020B0604030504040204" pitchFamily="50" charset="-128"/>
                <a:ea typeface="Meiryo UI" panose="020B0604030504040204" pitchFamily="50" charset="-128"/>
              </a:rPr>
              <a:t>0</a:t>
            </a:r>
            <a:endParaRPr kumimoji="1" lang="ja-JP" altLang="en-US" sz="1050" b="0"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  <xdr:sp macro="" textlink="">
        <xdr:nvSpPr>
          <xdr:cNvPr id="82" name="テキスト ボックス 81">
            <a:extLst>
              <a:ext uri="{FF2B5EF4-FFF2-40B4-BE49-F238E27FC236}">
                <a16:creationId xmlns:a16="http://schemas.microsoft.com/office/drawing/2014/main" id="{5F74FD76-C026-8F15-B0AD-B4156E8CB394}"/>
              </a:ext>
            </a:extLst>
          </xdr:cNvPr>
          <xdr:cNvSpPr txBox="1"/>
        </xdr:nvSpPr>
        <xdr:spPr>
          <a:xfrm>
            <a:off x="8367641" y="7218825"/>
            <a:ext cx="2392680" cy="266381"/>
          </a:xfrm>
          <a:prstGeom prst="rect">
            <a:avLst/>
          </a:prstGeom>
          <a:solidFill>
            <a:schemeClr val="bg1"/>
          </a:solidFill>
          <a:ln w="9525" cmpd="sng">
            <a:solidFill>
              <a:schemeClr val="accent3">
                <a:lumMod val="20000"/>
                <a:lumOff val="8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kumimoji="1" lang="en-US" altLang="ja-JP" sz="1050" b="0">
                <a:latin typeface="Meiryo UI" panose="020B0604030504040204" pitchFamily="50" charset="-128"/>
                <a:ea typeface="Meiryo UI" panose="020B0604030504040204" pitchFamily="50" charset="-128"/>
              </a:rPr>
              <a:t>PTxxx</a:t>
            </a:r>
            <a:endParaRPr kumimoji="1" lang="ja-JP" altLang="en-US" sz="1050" b="0"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</xdr:grpSp>
    <xdr:clientData/>
  </xdr:twoCellAnchor>
  <xdr:twoCellAnchor>
    <xdr:from>
      <xdr:col>2</xdr:col>
      <xdr:colOff>153297</xdr:colOff>
      <xdr:row>12</xdr:row>
      <xdr:rowOff>163924</xdr:rowOff>
    </xdr:from>
    <xdr:to>
      <xdr:col>15</xdr:col>
      <xdr:colOff>98613</xdr:colOff>
      <xdr:row>14</xdr:row>
      <xdr:rowOff>53787</xdr:rowOff>
    </xdr:to>
    <xdr:sp macro="" textlink="">
      <xdr:nvSpPr>
        <xdr:cNvPr id="196" name="テキスト ボックス 195">
          <a:extLst>
            <a:ext uri="{FF2B5EF4-FFF2-40B4-BE49-F238E27FC236}">
              <a16:creationId xmlns:a16="http://schemas.microsoft.com/office/drawing/2014/main" id="{EF736711-4473-4F1D-801C-EC796FB427FF}"/>
            </a:ext>
          </a:extLst>
        </xdr:cNvPr>
        <xdr:cNvSpPr txBox="1"/>
      </xdr:nvSpPr>
      <xdr:spPr>
        <a:xfrm>
          <a:off x="529815" y="2423030"/>
          <a:ext cx="2392680" cy="266381"/>
        </a:xfrm>
        <a:prstGeom prst="rect">
          <a:avLst/>
        </a:prstGeom>
        <a:solidFill>
          <a:schemeClr val="bg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 b="0">
              <a:latin typeface="Meiryo UI" panose="020B0604030504040204" pitchFamily="50" charset="-128"/>
              <a:ea typeface="Meiryo UI" panose="020B0604030504040204" pitchFamily="50" charset="-128"/>
            </a:rPr>
            <a:t>支払方法・支払サイト</a:t>
          </a:r>
        </a:p>
      </xdr:txBody>
    </xdr:sp>
    <xdr:clientData/>
  </xdr:twoCellAnchor>
  <xdr:twoCellAnchor>
    <xdr:from>
      <xdr:col>13</xdr:col>
      <xdr:colOff>63650</xdr:colOff>
      <xdr:row>11</xdr:row>
      <xdr:rowOff>38418</xdr:rowOff>
    </xdr:from>
    <xdr:to>
      <xdr:col>19</xdr:col>
      <xdr:colOff>89647</xdr:colOff>
      <xdr:row>12</xdr:row>
      <xdr:rowOff>53788</xdr:rowOff>
    </xdr:to>
    <xdr:sp macro="" textlink="">
      <xdr:nvSpPr>
        <xdr:cNvPr id="197" name="テキスト ボックス 196">
          <a:extLst>
            <a:ext uri="{FF2B5EF4-FFF2-40B4-BE49-F238E27FC236}">
              <a16:creationId xmlns:a16="http://schemas.microsoft.com/office/drawing/2014/main" id="{8383A9A4-E8D5-67C5-1319-FF5BE897A82E}"/>
            </a:ext>
          </a:extLst>
        </xdr:cNvPr>
        <xdr:cNvSpPr txBox="1"/>
      </xdr:nvSpPr>
      <xdr:spPr>
        <a:xfrm>
          <a:off x="2511015" y="2109265"/>
          <a:ext cx="1155550" cy="203629"/>
        </a:xfrm>
        <a:prstGeom prst="rect">
          <a:avLst/>
        </a:prstGeom>
        <a:solidFill>
          <a:schemeClr val="bg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kumimoji="1" lang="ja-JP" altLang="en-US" sz="1100" b="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7</xdr:col>
      <xdr:colOff>78888</xdr:colOff>
      <xdr:row>18</xdr:row>
      <xdr:rowOff>3367</xdr:rowOff>
    </xdr:from>
    <xdr:to>
      <xdr:col>13</xdr:col>
      <xdr:colOff>60960</xdr:colOff>
      <xdr:row>18</xdr:row>
      <xdr:rowOff>175260</xdr:rowOff>
    </xdr:to>
    <xdr:sp macro="" textlink="">
      <xdr:nvSpPr>
        <xdr:cNvPr id="2" name="テキスト ボックス 1">
          <a:extLst>
            <a:ext uri="{FF2B5EF4-FFF2-40B4-BE49-F238E27FC236}">
              <a16:creationId xmlns:a16="http://schemas.microsoft.com/office/drawing/2014/main" id="{09636734-DDA9-4CC0-B967-4DB5F21B8C78}"/>
            </a:ext>
          </a:extLst>
        </xdr:cNvPr>
        <xdr:cNvSpPr txBox="1"/>
      </xdr:nvSpPr>
      <xdr:spPr>
        <a:xfrm>
          <a:off x="1359048" y="3432367"/>
          <a:ext cx="1079352" cy="171893"/>
        </a:xfrm>
        <a:prstGeom prst="rect">
          <a:avLst/>
        </a:prstGeom>
        <a:solidFill>
          <a:schemeClr val="bg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kumimoji="1" lang="ja-JP" altLang="en-US" sz="1100" b="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22</xdr:col>
      <xdr:colOff>72615</xdr:colOff>
      <xdr:row>8</xdr:row>
      <xdr:rowOff>154960</xdr:rowOff>
    </xdr:from>
    <xdr:to>
      <xdr:col>27</xdr:col>
      <xdr:colOff>8965</xdr:colOff>
      <xdr:row>10</xdr:row>
      <xdr:rowOff>26894</xdr:rowOff>
    </xdr:to>
    <xdr:sp macro="" textlink="">
      <xdr:nvSpPr>
        <xdr:cNvPr id="3" name="テキスト ボックス 2">
          <a:extLst>
            <a:ext uri="{FF2B5EF4-FFF2-40B4-BE49-F238E27FC236}">
              <a16:creationId xmlns:a16="http://schemas.microsoft.com/office/drawing/2014/main" id="{7E2774A9-BAC5-44BA-B21D-BCDB799893ED}"/>
            </a:ext>
          </a:extLst>
        </xdr:cNvPr>
        <xdr:cNvSpPr txBox="1"/>
      </xdr:nvSpPr>
      <xdr:spPr>
        <a:xfrm>
          <a:off x="4214309" y="1661031"/>
          <a:ext cx="877644" cy="248451"/>
        </a:xfrm>
        <a:prstGeom prst="rect">
          <a:avLst/>
        </a:prstGeom>
        <a:solidFill>
          <a:schemeClr val="tx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kumimoji="1" lang="ja-JP" altLang="en-US" sz="1100" b="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36</xdr:col>
      <xdr:colOff>18818</xdr:colOff>
      <xdr:row>14</xdr:row>
      <xdr:rowOff>56864</xdr:rowOff>
    </xdr:from>
    <xdr:to>
      <xdr:col>53</xdr:col>
      <xdr:colOff>2514</xdr:colOff>
      <xdr:row>16</xdr:row>
      <xdr:rowOff>152235</xdr:rowOff>
    </xdr:to>
    <xdr:sp macro="" textlink="">
      <xdr:nvSpPr>
        <xdr:cNvPr id="12" name="吹き出し: 四角形 11">
          <a:extLst>
            <a:ext uri="{FF2B5EF4-FFF2-40B4-BE49-F238E27FC236}">
              <a16:creationId xmlns:a16="http://schemas.microsoft.com/office/drawing/2014/main" id="{777FADE2-6A32-9AD2-4D9E-88B28B58F061}"/>
            </a:ext>
          </a:extLst>
        </xdr:cNvPr>
        <xdr:cNvSpPr/>
      </xdr:nvSpPr>
      <xdr:spPr>
        <a:xfrm>
          <a:off x="6533918" y="2723864"/>
          <a:ext cx="3060271" cy="476371"/>
        </a:xfrm>
        <a:prstGeom prst="wedgeRectCallout">
          <a:avLst>
            <a:gd name="adj1" fmla="val -31115"/>
            <a:gd name="adj2" fmla="val 74528"/>
          </a:avLst>
        </a:prstGeom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>
              <a:latin typeface="Meiryo UI" panose="020B0604030504040204" pitchFamily="50" charset="-128"/>
              <a:ea typeface="Meiryo UI" panose="020B0604030504040204" pitchFamily="50" charset="-128"/>
            </a:rPr>
            <a:t>SSJ</a:t>
          </a:r>
          <a:r>
            <a: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</a:rPr>
            <a:t>の登録イメージ</a:t>
          </a:r>
        </a:p>
      </xdr:txBody>
    </xdr:sp>
    <xdr:clientData/>
  </xdr:twoCellAnchor>
  <xdr:twoCellAnchor>
    <xdr:from>
      <xdr:col>4</xdr:col>
      <xdr:colOff>73025</xdr:colOff>
      <xdr:row>32</xdr:row>
      <xdr:rowOff>111125</xdr:rowOff>
    </xdr:from>
    <xdr:to>
      <xdr:col>57</xdr:col>
      <xdr:colOff>34925</xdr:colOff>
      <xdr:row>39</xdr:row>
      <xdr:rowOff>104775</xdr:rowOff>
    </xdr:to>
    <xdr:sp macro="" textlink="">
      <xdr:nvSpPr>
        <xdr:cNvPr id="83" name="正方形/長方形 82">
          <a:extLst>
            <a:ext uri="{FF2B5EF4-FFF2-40B4-BE49-F238E27FC236}">
              <a16:creationId xmlns:a16="http://schemas.microsoft.com/office/drawing/2014/main" id="{BD2174EF-3FDA-2394-9313-4D42CAFA12A9}"/>
            </a:ext>
          </a:extLst>
        </xdr:cNvPr>
        <xdr:cNvSpPr/>
      </xdr:nvSpPr>
      <xdr:spPr>
        <a:xfrm>
          <a:off x="796925" y="6207125"/>
          <a:ext cx="9553575" cy="1327150"/>
        </a:xfrm>
        <a:prstGeom prst="rect">
          <a:avLst/>
        </a:prstGeom>
        <a:noFill/>
        <a:ln w="28575">
          <a:solidFill>
            <a:srgbClr val="FF0000"/>
          </a:solidFill>
          <a:prstDash val="sysDot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54</xdr:col>
      <xdr:colOff>123593</xdr:colOff>
      <xdr:row>35</xdr:row>
      <xdr:rowOff>28289</xdr:rowOff>
    </xdr:from>
    <xdr:to>
      <xdr:col>71</xdr:col>
      <xdr:colOff>107289</xdr:colOff>
      <xdr:row>38</xdr:row>
      <xdr:rowOff>123825</xdr:rowOff>
    </xdr:to>
    <xdr:sp macro="" textlink="">
      <xdr:nvSpPr>
        <xdr:cNvPr id="84" name="吹き出し: 四角形 83">
          <a:extLst>
            <a:ext uri="{FF2B5EF4-FFF2-40B4-BE49-F238E27FC236}">
              <a16:creationId xmlns:a16="http://schemas.microsoft.com/office/drawing/2014/main" id="{75478779-A97A-828D-D34A-DE36395D3CB4}"/>
            </a:ext>
          </a:extLst>
        </xdr:cNvPr>
        <xdr:cNvSpPr/>
      </xdr:nvSpPr>
      <xdr:spPr>
        <a:xfrm>
          <a:off x="9896243" y="6695789"/>
          <a:ext cx="3060271" cy="667036"/>
        </a:xfrm>
        <a:prstGeom prst="wedgeRectCallout">
          <a:avLst>
            <a:gd name="adj1" fmla="val -53883"/>
            <a:gd name="adj2" fmla="val -21448"/>
          </a:avLst>
        </a:prstGeom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</a:rPr>
            <a:t>支払日の非営業日の考慮を</a:t>
          </a:r>
          <a:endParaRPr kumimoji="1" lang="en-US" altLang="ja-JP" sz="11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en-US" altLang="ja-JP" sz="1100">
              <a:latin typeface="Meiryo UI" panose="020B0604030504040204" pitchFamily="50" charset="-128"/>
              <a:ea typeface="Meiryo UI" panose="020B0604030504040204" pitchFamily="50" charset="-128"/>
            </a:rPr>
            <a:t>FO-008</a:t>
          </a:r>
          <a:r>
            <a: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</a:rPr>
            <a:t>で行うため、登録対象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0</xdr:colOff>
      <xdr:row>15</xdr:row>
      <xdr:rowOff>0</xdr:rowOff>
    </xdr:from>
    <xdr:to>
      <xdr:col>35</xdr:col>
      <xdr:colOff>177710</xdr:colOff>
      <xdr:row>22</xdr:row>
      <xdr:rowOff>187779</xdr:rowOff>
    </xdr:to>
    <xdr:sp macro="" textlink="">
      <xdr:nvSpPr>
        <xdr:cNvPr id="2" name="正方形/長方形 1">
          <a:extLst>
            <a:ext uri="{FF2B5EF4-FFF2-40B4-BE49-F238E27FC236}">
              <a16:creationId xmlns:a16="http://schemas.microsoft.com/office/drawing/2014/main" id="{666927FB-00DD-406C-9495-BBB87831C9BF}"/>
            </a:ext>
          </a:extLst>
        </xdr:cNvPr>
        <xdr:cNvSpPr/>
      </xdr:nvSpPr>
      <xdr:spPr>
        <a:xfrm>
          <a:off x="3048000" y="2857500"/>
          <a:ext cx="3797210" cy="1521279"/>
        </a:xfrm>
        <a:prstGeom prst="rect">
          <a:avLst/>
        </a:prstGeom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4000" b="1">
              <a:solidFill>
                <a:schemeClr val="bg1"/>
              </a:solidFill>
            </a:rPr>
            <a:t>未使用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53340</xdr:colOff>
      <xdr:row>11</xdr:row>
      <xdr:rowOff>30480</xdr:rowOff>
    </xdr:from>
    <xdr:to>
      <xdr:col>43</xdr:col>
      <xdr:colOff>40550</xdr:colOff>
      <xdr:row>19</xdr:row>
      <xdr:rowOff>27759</xdr:rowOff>
    </xdr:to>
    <xdr:sp macro="" textlink="">
      <xdr:nvSpPr>
        <xdr:cNvPr id="2" name="正方形/長方形 1">
          <a:extLst>
            <a:ext uri="{FF2B5EF4-FFF2-40B4-BE49-F238E27FC236}">
              <a16:creationId xmlns:a16="http://schemas.microsoft.com/office/drawing/2014/main" id="{DC97538F-9D71-460E-88F4-0BAE1499A13F}"/>
            </a:ext>
          </a:extLst>
        </xdr:cNvPr>
        <xdr:cNvSpPr/>
      </xdr:nvSpPr>
      <xdr:spPr>
        <a:xfrm>
          <a:off x="4434840" y="2125980"/>
          <a:ext cx="3797210" cy="1521279"/>
        </a:xfrm>
        <a:prstGeom prst="rect">
          <a:avLst/>
        </a:prstGeom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4000" b="1">
              <a:solidFill>
                <a:schemeClr val="bg1"/>
              </a:solidFill>
            </a:rPr>
            <a:t>未使用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22</xdr:col>
      <xdr:colOff>99060</xdr:colOff>
      <xdr:row>13</xdr:row>
      <xdr:rowOff>22860</xdr:rowOff>
    </xdr:from>
    <xdr:to>
      <xdr:col>42</xdr:col>
      <xdr:colOff>86270</xdr:colOff>
      <xdr:row>21</xdr:row>
      <xdr:rowOff>20139</xdr:rowOff>
    </xdr:to>
    <xdr:sp macro="" textlink="">
      <xdr:nvSpPr>
        <xdr:cNvPr id="2" name="正方形/長方形 1">
          <a:extLst>
            <a:ext uri="{FF2B5EF4-FFF2-40B4-BE49-F238E27FC236}">
              <a16:creationId xmlns:a16="http://schemas.microsoft.com/office/drawing/2014/main" id="{1862F9BF-181E-4A21-93E1-ECD05F5D57A4}"/>
            </a:ext>
          </a:extLst>
        </xdr:cNvPr>
        <xdr:cNvSpPr/>
      </xdr:nvSpPr>
      <xdr:spPr>
        <a:xfrm>
          <a:off x="4290060" y="2499360"/>
          <a:ext cx="3797210" cy="1521279"/>
        </a:xfrm>
        <a:prstGeom prst="rect">
          <a:avLst/>
        </a:prstGeom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4000" b="1">
              <a:solidFill>
                <a:schemeClr val="bg1"/>
              </a:solidFill>
            </a:rPr>
            <a:t>未使用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92924</xdr:colOff>
      <xdr:row>17</xdr:row>
      <xdr:rowOff>11644</xdr:rowOff>
    </xdr:from>
    <xdr:to>
      <xdr:col>24</xdr:col>
      <xdr:colOff>25402</xdr:colOff>
      <xdr:row>21</xdr:row>
      <xdr:rowOff>95250</xdr:rowOff>
    </xdr:to>
    <xdr:sp macro="" textlink="">
      <xdr:nvSpPr>
        <xdr:cNvPr id="6" name="吹き出し: 四角形 5">
          <a:extLst>
            <a:ext uri="{FF2B5EF4-FFF2-40B4-BE49-F238E27FC236}">
              <a16:creationId xmlns:a16="http://schemas.microsoft.com/office/drawing/2014/main" id="{BAFFD662-C3F6-82FD-E062-3349F38D971E}"/>
            </a:ext>
          </a:extLst>
        </xdr:cNvPr>
        <xdr:cNvSpPr/>
      </xdr:nvSpPr>
      <xdr:spPr>
        <a:xfrm>
          <a:off x="635849" y="3250144"/>
          <a:ext cx="3732953" cy="845606"/>
        </a:xfrm>
        <a:prstGeom prst="wedgeRectCallout">
          <a:avLst>
            <a:gd name="adj1" fmla="val -39703"/>
            <a:gd name="adj2" fmla="val -156076"/>
          </a:avLst>
        </a:prstGeom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</a:rPr>
            <a:t>同一の支払方法に</a:t>
          </a:r>
          <a:endParaRPr kumimoji="1" lang="en-US" altLang="ja-JP" sz="11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</a:rPr>
            <a:t>請求金額を重複して登録できません。</a:t>
          </a:r>
          <a:br>
            <a:rPr kumimoji="1" lang="en-US" altLang="ja-JP" sz="1100">
              <a:latin typeface="Meiryo UI" panose="020B0604030504040204" pitchFamily="50" charset="-128"/>
              <a:ea typeface="Meiryo UI" panose="020B0604030504040204" pitchFamily="50" charset="-128"/>
            </a:rPr>
          </a:br>
          <a:r>
            <a:rPr kumimoji="1" lang="en-US" altLang="ja-JP" sz="1100">
              <a:latin typeface="Meiryo UI" panose="020B0604030504040204" pitchFamily="50" charset="-128"/>
              <a:ea typeface="Meiryo UI" panose="020B0604030504040204" pitchFamily="50" charset="-128"/>
            </a:rPr>
            <a:t>※</a:t>
          </a:r>
          <a:r>
            <a: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</a:rPr>
            <a:t>詳細はテーブル定義書に記載</a:t>
          </a:r>
          <a:endParaRPr kumimoji="1" lang="en-US" altLang="ja-JP" sz="11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0</xdr:col>
      <xdr:colOff>135466</xdr:colOff>
      <xdr:row>27</xdr:row>
      <xdr:rowOff>96061</xdr:rowOff>
    </xdr:from>
    <xdr:to>
      <xdr:col>60</xdr:col>
      <xdr:colOff>124882</xdr:colOff>
      <xdr:row>32</xdr:row>
      <xdr:rowOff>48859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600E93E6-0799-7019-8426-B3F323E67D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5466" y="5353861"/>
          <a:ext cx="11159066" cy="926465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84667</xdr:colOff>
      <xdr:row>8</xdr:row>
      <xdr:rowOff>85200</xdr:rowOff>
    </xdr:from>
    <xdr:to>
      <xdr:col>60</xdr:col>
      <xdr:colOff>143934</xdr:colOff>
      <xdr:row>15</xdr:row>
      <xdr:rowOff>178572</xdr:rowOff>
    </xdr:to>
    <xdr:pic>
      <xdr:nvPicPr>
        <xdr:cNvPr id="6" name="図 5">
          <a:extLst>
            <a:ext uri="{FF2B5EF4-FFF2-40B4-BE49-F238E27FC236}">
              <a16:creationId xmlns:a16="http://schemas.microsoft.com/office/drawing/2014/main" id="{9B4B46C6-90C0-F94C-396C-9F5A21A040A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1557"/>
        <a:stretch/>
      </xdr:blipFill>
      <xdr:spPr>
        <a:xfrm>
          <a:off x="84667" y="1643067"/>
          <a:ext cx="11235267" cy="1456505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 editAs="oneCell">
    <xdr:from>
      <xdr:col>2</xdr:col>
      <xdr:colOff>61369</xdr:colOff>
      <xdr:row>11</xdr:row>
      <xdr:rowOff>31632</xdr:rowOff>
    </xdr:from>
    <xdr:to>
      <xdr:col>39</xdr:col>
      <xdr:colOff>166607</xdr:colOff>
      <xdr:row>12</xdr:row>
      <xdr:rowOff>130348</xdr:rowOff>
    </xdr:to>
    <xdr:pic>
      <xdr:nvPicPr>
        <xdr:cNvPr id="7" name="図 6">
          <a:extLst>
            <a:ext uri="{FF2B5EF4-FFF2-40B4-BE49-F238E27FC236}">
              <a16:creationId xmlns:a16="http://schemas.microsoft.com/office/drawing/2014/main" id="{BB8DD95B-808A-74A6-8BC3-70E38A0F6C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33902" y="2173699"/>
          <a:ext cx="6997105" cy="293449"/>
        </a:xfrm>
        <a:prstGeom prst="rect">
          <a:avLst/>
        </a:prstGeom>
      </xdr:spPr>
    </xdr:pic>
    <xdr:clientData/>
  </xdr:twoCellAnchor>
  <xdr:twoCellAnchor editAs="oneCell">
    <xdr:from>
      <xdr:col>39</xdr:col>
      <xdr:colOff>169334</xdr:colOff>
      <xdr:row>11</xdr:row>
      <xdr:rowOff>102133</xdr:rowOff>
    </xdr:from>
    <xdr:to>
      <xdr:col>45</xdr:col>
      <xdr:colOff>156496</xdr:colOff>
      <xdr:row>12</xdr:row>
      <xdr:rowOff>116924</xdr:rowOff>
    </xdr:to>
    <xdr:pic>
      <xdr:nvPicPr>
        <xdr:cNvPr id="8" name="図 7">
          <a:extLst>
            <a:ext uri="{FF2B5EF4-FFF2-40B4-BE49-F238E27FC236}">
              <a16:creationId xmlns:a16="http://schemas.microsoft.com/office/drawing/2014/main" id="{C44095EC-B990-15FB-3B45-7E449019E1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433734" y="2244200"/>
          <a:ext cx="1104762" cy="209524"/>
        </a:xfrm>
        <a:prstGeom prst="rect">
          <a:avLst/>
        </a:prstGeom>
      </xdr:spPr>
    </xdr:pic>
    <xdr:clientData/>
  </xdr:twoCellAnchor>
  <xdr:twoCellAnchor>
    <xdr:from>
      <xdr:col>3</xdr:col>
      <xdr:colOff>70147</xdr:colOff>
      <xdr:row>10</xdr:row>
      <xdr:rowOff>3764</xdr:rowOff>
    </xdr:from>
    <xdr:to>
      <xdr:col>21</xdr:col>
      <xdr:colOff>6052</xdr:colOff>
      <xdr:row>10</xdr:row>
      <xdr:rowOff>182506</xdr:rowOff>
    </xdr:to>
    <xdr:sp macro="" textlink="">
      <xdr:nvSpPr>
        <xdr:cNvPr id="10" name="テキスト ボックス 9">
          <a:extLst>
            <a:ext uri="{FF2B5EF4-FFF2-40B4-BE49-F238E27FC236}">
              <a16:creationId xmlns:a16="http://schemas.microsoft.com/office/drawing/2014/main" id="{0CAA4DB6-62A5-806C-9A37-89A8F4A342C1}"/>
            </a:ext>
          </a:extLst>
        </xdr:cNvPr>
        <xdr:cNvSpPr txBox="1"/>
      </xdr:nvSpPr>
      <xdr:spPr>
        <a:xfrm>
          <a:off x="628947" y="1951097"/>
          <a:ext cx="3288705" cy="178742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支払方法と支払方法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(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更新後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)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を同じにすることはできません</a:t>
          </a: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129540</xdr:colOff>
      <xdr:row>11</xdr:row>
      <xdr:rowOff>38100</xdr:rowOff>
    </xdr:from>
    <xdr:to>
      <xdr:col>35</xdr:col>
      <xdr:colOff>106680</xdr:colOff>
      <xdr:row>14</xdr:row>
      <xdr:rowOff>135255</xdr:rowOff>
    </xdr:to>
    <xdr:sp macro="" textlink="">
      <xdr:nvSpPr>
        <xdr:cNvPr id="2" name="テキスト ボックス 1">
          <a:extLst>
            <a:ext uri="{FF2B5EF4-FFF2-40B4-BE49-F238E27FC236}">
              <a16:creationId xmlns:a16="http://schemas.microsoft.com/office/drawing/2014/main" id="{38C862BA-33BD-4482-A680-2C80120BE4FA}"/>
            </a:ext>
          </a:extLst>
        </xdr:cNvPr>
        <xdr:cNvSpPr txBox="1"/>
      </xdr:nvSpPr>
      <xdr:spPr>
        <a:xfrm>
          <a:off x="4701540" y="2133600"/>
          <a:ext cx="2072640" cy="668655"/>
        </a:xfrm>
        <a:prstGeom prst="rect">
          <a:avLst/>
        </a:prstGeom>
        <a:ln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kumimoji="1" lang="en-US" altLang="ja-JP" sz="1100"/>
            <a:t>FO-010</a:t>
          </a:r>
          <a:r>
            <a:rPr kumimoji="1" lang="en-US" altLang="ja-JP" sz="1100" baseline="0"/>
            <a:t> </a:t>
          </a:r>
        </a:p>
        <a:p>
          <a:pPr algn="ctr"/>
          <a:r>
            <a:rPr kumimoji="1" lang="ja-JP" altLang="en-US" sz="1100" baseline="0"/>
            <a:t>支払手形仕訳帳の振出画面</a:t>
          </a:r>
          <a:endParaRPr kumimoji="1" lang="en-US" altLang="ja-JP" sz="1100"/>
        </a:p>
        <a:p>
          <a:pPr algn="ctr"/>
          <a:endParaRPr kumimoji="1" lang="ja-JP" altLang="en-US" sz="1100"/>
        </a:p>
      </xdr:txBody>
    </xdr:sp>
    <xdr:clientData/>
  </xdr:twoCellAnchor>
  <xdr:twoCellAnchor>
    <xdr:from>
      <xdr:col>44</xdr:col>
      <xdr:colOff>60960</xdr:colOff>
      <xdr:row>20</xdr:row>
      <xdr:rowOff>68580</xdr:rowOff>
    </xdr:from>
    <xdr:to>
      <xdr:col>54</xdr:col>
      <xdr:colOff>182880</xdr:colOff>
      <xdr:row>24</xdr:row>
      <xdr:rowOff>53340</xdr:rowOff>
    </xdr:to>
    <xdr:sp macro="" textlink="">
      <xdr:nvSpPr>
        <xdr:cNvPr id="3" name="テキスト ボックス 2">
          <a:extLst>
            <a:ext uri="{FF2B5EF4-FFF2-40B4-BE49-F238E27FC236}">
              <a16:creationId xmlns:a16="http://schemas.microsoft.com/office/drawing/2014/main" id="{C7E08FA4-81C1-4740-9C89-DEF770811CB3}"/>
            </a:ext>
          </a:extLst>
        </xdr:cNvPr>
        <xdr:cNvSpPr txBox="1"/>
      </xdr:nvSpPr>
      <xdr:spPr>
        <a:xfrm>
          <a:off x="8442960" y="3878580"/>
          <a:ext cx="2026920" cy="746760"/>
        </a:xfrm>
        <a:prstGeom prst="rect">
          <a:avLst/>
        </a:prstGeom>
        <a:ln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kumimoji="1" lang="en-US" altLang="ja-JP" sz="1100"/>
            <a:t>FO-012</a:t>
          </a:r>
          <a:endParaRPr kumimoji="1" lang="en-US" altLang="ja-JP" sz="1100" baseline="0"/>
        </a:p>
        <a:p>
          <a:pPr algn="ctr"/>
          <a:r>
            <a:rPr kumimoji="1" lang="ja-JP" altLang="en-US" sz="1100" baseline="0"/>
            <a:t>電子記録債務（でんさい）</a:t>
          </a:r>
          <a:endParaRPr kumimoji="1" lang="en-US" altLang="ja-JP" sz="1100" baseline="0"/>
        </a:p>
        <a:p>
          <a:pPr algn="ctr"/>
          <a:r>
            <a:rPr kumimoji="1" lang="ja-JP" altLang="en-US" sz="1100" baseline="0"/>
            <a:t>送金ファイル作成</a:t>
          </a:r>
          <a:endParaRPr kumimoji="1" lang="ja-JP" altLang="en-US" sz="1100"/>
        </a:p>
      </xdr:txBody>
    </xdr:sp>
    <xdr:clientData/>
  </xdr:twoCellAnchor>
  <xdr:twoCellAnchor>
    <xdr:from>
      <xdr:col>44</xdr:col>
      <xdr:colOff>0</xdr:colOff>
      <xdr:row>10</xdr:row>
      <xdr:rowOff>175260</xdr:rowOff>
    </xdr:from>
    <xdr:to>
      <xdr:col>54</xdr:col>
      <xdr:colOff>167640</xdr:colOff>
      <xdr:row>15</xdr:row>
      <xdr:rowOff>7620</xdr:rowOff>
    </xdr:to>
    <xdr:sp macro="" textlink="">
      <xdr:nvSpPr>
        <xdr:cNvPr id="4" name="テキスト ボックス 3">
          <a:extLst>
            <a:ext uri="{FF2B5EF4-FFF2-40B4-BE49-F238E27FC236}">
              <a16:creationId xmlns:a16="http://schemas.microsoft.com/office/drawing/2014/main" id="{223B59B5-631A-4579-AB9E-8BFBDA67ED54}"/>
            </a:ext>
          </a:extLst>
        </xdr:cNvPr>
        <xdr:cNvSpPr txBox="1"/>
      </xdr:nvSpPr>
      <xdr:spPr>
        <a:xfrm>
          <a:off x="8382000" y="2080260"/>
          <a:ext cx="2072640" cy="784860"/>
        </a:xfrm>
        <a:prstGeom prst="rect">
          <a:avLst/>
        </a:prstGeom>
        <a:ln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kumimoji="1" lang="en-US" altLang="ja-JP" sz="1100"/>
            <a:t>FO-011</a:t>
          </a:r>
          <a:endParaRPr kumimoji="1" lang="en-US" altLang="ja-JP" sz="1100" baseline="0"/>
        </a:p>
        <a:p>
          <a:pPr algn="ctr"/>
          <a:r>
            <a:rPr kumimoji="1" lang="ja-JP" altLang="ja-JP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電子記録債務（</a:t>
          </a:r>
          <a:r>
            <a:rPr kumimoji="1" lang="ja-JP" alt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電債</a:t>
          </a:r>
          <a:r>
            <a:rPr kumimoji="1" lang="ja-JP" altLang="ja-JP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）</a:t>
          </a:r>
          <a:endParaRPr lang="ja-JP" altLang="ja-JP">
            <a:effectLst/>
          </a:endParaRPr>
        </a:p>
        <a:p>
          <a:pPr algn="ctr"/>
          <a:r>
            <a:rPr kumimoji="1" lang="ja-JP" altLang="ja-JP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送金ファイル作成</a:t>
          </a:r>
          <a:endParaRPr lang="ja-JP" altLang="ja-JP">
            <a:effectLst/>
          </a:endParaRPr>
        </a:p>
        <a:p>
          <a:pPr algn="ctr"/>
          <a:endParaRPr kumimoji="1" lang="ja-JP" altLang="en-US" sz="1100"/>
        </a:p>
      </xdr:txBody>
    </xdr:sp>
    <xdr:clientData/>
  </xdr:twoCellAnchor>
  <xdr:twoCellAnchor>
    <xdr:from>
      <xdr:col>35</xdr:col>
      <xdr:colOff>106680</xdr:colOff>
      <xdr:row>12</xdr:row>
      <xdr:rowOff>159068</xdr:rowOff>
    </xdr:from>
    <xdr:to>
      <xdr:col>44</xdr:col>
      <xdr:colOff>0</xdr:colOff>
      <xdr:row>12</xdr:row>
      <xdr:rowOff>163830</xdr:rowOff>
    </xdr:to>
    <xdr:cxnSp macro="">
      <xdr:nvCxnSpPr>
        <xdr:cNvPr id="5" name="直線矢印コネクタ 4">
          <a:extLst>
            <a:ext uri="{FF2B5EF4-FFF2-40B4-BE49-F238E27FC236}">
              <a16:creationId xmlns:a16="http://schemas.microsoft.com/office/drawing/2014/main" id="{7B508C20-FF56-499D-A46F-F4DCCA123BEE}"/>
            </a:ext>
          </a:extLst>
        </xdr:cNvPr>
        <xdr:cNvCxnSpPr/>
      </xdr:nvCxnSpPr>
      <xdr:spPr>
        <a:xfrm>
          <a:off x="6774180" y="2445068"/>
          <a:ext cx="1607820" cy="4762"/>
        </a:xfrm>
        <a:prstGeom prst="straightConnector1">
          <a:avLst/>
        </a:prstGeom>
        <a:ln w="12700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38100</xdr:colOff>
      <xdr:row>12</xdr:row>
      <xdr:rowOff>167640</xdr:rowOff>
    </xdr:from>
    <xdr:to>
      <xdr:col>44</xdr:col>
      <xdr:colOff>60960</xdr:colOff>
      <xdr:row>22</xdr:row>
      <xdr:rowOff>60960</xdr:rowOff>
    </xdr:to>
    <xdr:cxnSp macro="">
      <xdr:nvCxnSpPr>
        <xdr:cNvPr id="6" name="直線矢印コネクタ 18">
          <a:extLst>
            <a:ext uri="{FF2B5EF4-FFF2-40B4-BE49-F238E27FC236}">
              <a16:creationId xmlns:a16="http://schemas.microsoft.com/office/drawing/2014/main" id="{31DAFBF7-FC92-4211-8CAA-66C0BE49A7D1}"/>
            </a:ext>
          </a:extLst>
        </xdr:cNvPr>
        <xdr:cNvCxnSpPr>
          <a:endCxn id="3" idx="1"/>
        </xdr:cNvCxnSpPr>
      </xdr:nvCxnSpPr>
      <xdr:spPr>
        <a:xfrm rot="16200000" flipH="1">
          <a:off x="6960870" y="2769870"/>
          <a:ext cx="1798320" cy="1165860"/>
        </a:xfrm>
        <a:prstGeom prst="bentConnector2">
          <a:avLst/>
        </a:prstGeom>
        <a:ln w="1270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52</xdr:col>
      <xdr:colOff>121920</xdr:colOff>
      <xdr:row>13</xdr:row>
      <xdr:rowOff>165735</xdr:rowOff>
    </xdr:from>
    <xdr:to>
      <xdr:col>58</xdr:col>
      <xdr:colOff>83822</xdr:colOff>
      <xdr:row>17</xdr:row>
      <xdr:rowOff>40005</xdr:rowOff>
    </xdr:to>
    <xdr:grpSp>
      <xdr:nvGrpSpPr>
        <xdr:cNvPr id="7" name="グループ化 6">
          <a:extLst>
            <a:ext uri="{FF2B5EF4-FFF2-40B4-BE49-F238E27FC236}">
              <a16:creationId xmlns:a16="http://schemas.microsoft.com/office/drawing/2014/main" id="{A25BD8B2-F6E1-4A24-B80A-16C058E2DFEF}"/>
            </a:ext>
          </a:extLst>
        </xdr:cNvPr>
        <xdr:cNvGrpSpPr/>
      </xdr:nvGrpSpPr>
      <xdr:grpSpPr>
        <a:xfrm>
          <a:off x="9367520" y="2642235"/>
          <a:ext cx="1028702" cy="636270"/>
          <a:chOff x="3428999" y="12449175"/>
          <a:chExt cx="1104902" cy="638175"/>
        </a:xfrm>
      </xdr:grpSpPr>
      <xdr:sp macro="" textlink="">
        <xdr:nvSpPr>
          <xdr:cNvPr id="8" name="フローチャート: 書類 7">
            <a:extLst>
              <a:ext uri="{FF2B5EF4-FFF2-40B4-BE49-F238E27FC236}">
                <a16:creationId xmlns:a16="http://schemas.microsoft.com/office/drawing/2014/main" id="{91568C1B-437C-6F24-4CC2-5E4D67F30726}"/>
              </a:ext>
            </a:extLst>
          </xdr:cNvPr>
          <xdr:cNvSpPr/>
        </xdr:nvSpPr>
        <xdr:spPr>
          <a:xfrm>
            <a:off x="3429000" y="12449175"/>
            <a:ext cx="1104901" cy="638175"/>
          </a:xfrm>
          <a:prstGeom prst="flowChartDocument">
            <a:avLst/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l"/>
            <a:endPara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  <xdr:sp macro="" textlink="">
        <xdr:nvSpPr>
          <xdr:cNvPr id="9" name="テキスト ボックス 8">
            <a:extLst>
              <a:ext uri="{FF2B5EF4-FFF2-40B4-BE49-F238E27FC236}">
                <a16:creationId xmlns:a16="http://schemas.microsoft.com/office/drawing/2014/main" id="{73520F43-D399-B962-089F-E81E9FA33D88}"/>
              </a:ext>
            </a:extLst>
          </xdr:cNvPr>
          <xdr:cNvSpPr txBox="1"/>
        </xdr:nvSpPr>
        <xdr:spPr>
          <a:xfrm>
            <a:off x="3428999" y="12449176"/>
            <a:ext cx="1104901" cy="60007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1" lang="en-US" altLang="ja-JP" sz="900">
                <a:solidFill>
                  <a:schemeClr val="dk1"/>
                </a:solidFill>
                <a:effectLst/>
                <a:latin typeface="Meiryo UI" panose="020B0604030504040204" pitchFamily="50" charset="-128"/>
                <a:ea typeface="Meiryo UI" panose="020B0604030504040204" pitchFamily="50" charset="-128"/>
                <a:cs typeface="+mn-cs"/>
              </a:rPr>
              <a:t>[</a:t>
            </a:r>
            <a:r>
              <a:rPr kumimoji="1" lang="ja-JP" altLang="en-US" sz="900">
                <a:solidFill>
                  <a:schemeClr val="dk1"/>
                </a:solidFill>
                <a:effectLst/>
                <a:latin typeface="Meiryo UI" panose="020B0604030504040204" pitchFamily="50" charset="-128"/>
                <a:ea typeface="Meiryo UI" panose="020B0604030504040204" pitchFamily="50" charset="-128"/>
                <a:cs typeface="+mn-cs"/>
              </a:rPr>
              <a:t>電債データ</a:t>
            </a:r>
            <a:r>
              <a:rPr kumimoji="1" lang="en-US" altLang="ja-JP" sz="900">
                <a:solidFill>
                  <a:schemeClr val="dk1"/>
                </a:solidFill>
                <a:effectLst/>
                <a:latin typeface="Meiryo UI" panose="020B0604030504040204" pitchFamily="50" charset="-128"/>
                <a:ea typeface="Meiryo UI" panose="020B0604030504040204" pitchFamily="50" charset="-128"/>
                <a:cs typeface="+mn-cs"/>
              </a:rPr>
              <a:t>.txt]</a:t>
            </a:r>
          </a:p>
        </xdr:txBody>
      </xdr:sp>
    </xdr:grpSp>
    <xdr:clientData/>
  </xdr:twoCellAnchor>
  <xdr:twoCellAnchor>
    <xdr:from>
      <xdr:col>52</xdr:col>
      <xdr:colOff>140970</xdr:colOff>
      <xdr:row>24</xdr:row>
      <xdr:rowOff>3810</xdr:rowOff>
    </xdr:from>
    <xdr:to>
      <xdr:col>58</xdr:col>
      <xdr:colOff>188595</xdr:colOff>
      <xdr:row>27</xdr:row>
      <xdr:rowOff>68580</xdr:rowOff>
    </xdr:to>
    <xdr:grpSp>
      <xdr:nvGrpSpPr>
        <xdr:cNvPr id="10" name="グループ化 9">
          <a:extLst>
            <a:ext uri="{FF2B5EF4-FFF2-40B4-BE49-F238E27FC236}">
              <a16:creationId xmlns:a16="http://schemas.microsoft.com/office/drawing/2014/main" id="{801DA159-929C-4B55-BB9D-F5B58432EB96}"/>
            </a:ext>
          </a:extLst>
        </xdr:cNvPr>
        <xdr:cNvGrpSpPr/>
      </xdr:nvGrpSpPr>
      <xdr:grpSpPr>
        <a:xfrm>
          <a:off x="9386570" y="4575810"/>
          <a:ext cx="1101725" cy="636270"/>
          <a:chOff x="3428999" y="12449175"/>
          <a:chExt cx="1104902" cy="638175"/>
        </a:xfrm>
      </xdr:grpSpPr>
      <xdr:sp macro="" textlink="">
        <xdr:nvSpPr>
          <xdr:cNvPr id="11" name="フローチャート: 書類 10">
            <a:extLst>
              <a:ext uri="{FF2B5EF4-FFF2-40B4-BE49-F238E27FC236}">
                <a16:creationId xmlns:a16="http://schemas.microsoft.com/office/drawing/2014/main" id="{FE1368AE-015C-294C-348B-C68BD473E0A1}"/>
              </a:ext>
            </a:extLst>
          </xdr:cNvPr>
          <xdr:cNvSpPr/>
        </xdr:nvSpPr>
        <xdr:spPr>
          <a:xfrm>
            <a:off x="3429000" y="12449175"/>
            <a:ext cx="1104901" cy="638175"/>
          </a:xfrm>
          <a:prstGeom prst="flowChartDocument">
            <a:avLst/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l"/>
            <a:endPara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  <xdr:sp macro="" textlink="">
        <xdr:nvSpPr>
          <xdr:cNvPr id="12" name="テキスト ボックス 11">
            <a:extLst>
              <a:ext uri="{FF2B5EF4-FFF2-40B4-BE49-F238E27FC236}">
                <a16:creationId xmlns:a16="http://schemas.microsoft.com/office/drawing/2014/main" id="{7AFBB968-FD2B-94FB-E9CA-A5F3F448010F}"/>
              </a:ext>
            </a:extLst>
          </xdr:cNvPr>
          <xdr:cNvSpPr txBox="1"/>
        </xdr:nvSpPr>
        <xdr:spPr>
          <a:xfrm>
            <a:off x="3428999" y="12449176"/>
            <a:ext cx="1104901" cy="60007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1" lang="en-US" altLang="ja-JP" sz="900">
                <a:solidFill>
                  <a:schemeClr val="dk1"/>
                </a:solidFill>
                <a:effectLst/>
                <a:latin typeface="Meiryo UI" panose="020B0604030504040204" pitchFamily="50" charset="-128"/>
                <a:ea typeface="Meiryo UI" panose="020B0604030504040204" pitchFamily="50" charset="-128"/>
                <a:cs typeface="+mn-cs"/>
              </a:rPr>
              <a:t>[</a:t>
            </a:r>
            <a:r>
              <a:rPr kumimoji="1" lang="ja-JP" altLang="en-US" sz="900">
                <a:solidFill>
                  <a:schemeClr val="dk1"/>
                </a:solidFill>
                <a:effectLst/>
                <a:latin typeface="Meiryo UI" panose="020B0604030504040204" pitchFamily="50" charset="-128"/>
                <a:ea typeface="Meiryo UI" panose="020B0604030504040204" pitchFamily="50" charset="-128"/>
                <a:cs typeface="+mn-cs"/>
              </a:rPr>
              <a:t>でんさいデータ</a:t>
            </a:r>
            <a:r>
              <a:rPr kumimoji="1" lang="en-US" altLang="ja-JP" sz="900">
                <a:solidFill>
                  <a:schemeClr val="dk1"/>
                </a:solidFill>
                <a:effectLst/>
                <a:latin typeface="Meiryo UI" panose="020B0604030504040204" pitchFamily="50" charset="-128"/>
                <a:ea typeface="Meiryo UI" panose="020B0604030504040204" pitchFamily="50" charset="-128"/>
                <a:cs typeface="+mn-cs"/>
              </a:rPr>
              <a:t>.txt]</a:t>
            </a:r>
          </a:p>
        </xdr:txBody>
      </xdr:sp>
    </xdr:grpSp>
    <xdr:clientData/>
  </xdr:twoCellAnchor>
  <xdr:twoCellAnchor>
    <xdr:from>
      <xdr:col>0</xdr:col>
      <xdr:colOff>173355</xdr:colOff>
      <xdr:row>17</xdr:row>
      <xdr:rowOff>95251</xdr:rowOff>
    </xdr:from>
    <xdr:to>
      <xdr:col>9</xdr:col>
      <xdr:colOff>104775</xdr:colOff>
      <xdr:row>21</xdr:row>
      <xdr:rowOff>123825</xdr:rowOff>
    </xdr:to>
    <xdr:sp macro="" textlink="">
      <xdr:nvSpPr>
        <xdr:cNvPr id="13" name="テキスト ボックス 12">
          <a:extLst>
            <a:ext uri="{FF2B5EF4-FFF2-40B4-BE49-F238E27FC236}">
              <a16:creationId xmlns:a16="http://schemas.microsoft.com/office/drawing/2014/main" id="{30087DF8-D803-4C3E-A2C6-52F775EBB72B}"/>
            </a:ext>
          </a:extLst>
        </xdr:cNvPr>
        <xdr:cNvSpPr txBox="1"/>
      </xdr:nvSpPr>
      <xdr:spPr>
        <a:xfrm>
          <a:off x="173355" y="3333751"/>
          <a:ext cx="1645920" cy="790574"/>
        </a:xfrm>
        <a:prstGeom prst="rect">
          <a:avLst/>
        </a:prstGeom>
        <a:solidFill>
          <a:schemeClr val="bg1"/>
        </a:solidFill>
        <a:ln w="9525" cmpd="sng">
          <a:solidFill>
            <a:schemeClr val="accent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kumimoji="1" lang="en-US" altLang="ja-JP" sz="1100"/>
            <a:t>FO-008</a:t>
          </a:r>
          <a:r>
            <a:rPr kumimoji="1" lang="en-US" altLang="ja-JP" sz="1100" baseline="0"/>
            <a:t> </a:t>
          </a:r>
        </a:p>
        <a:p>
          <a:pPr algn="ctr"/>
          <a:r>
            <a:rPr kumimoji="1" lang="ja-JP" altLang="en-US" sz="1100"/>
            <a:t>支払方法・支払サイト更新バッチ</a:t>
          </a:r>
          <a:endParaRPr kumimoji="1" lang="en-US" altLang="ja-JP" sz="1100"/>
        </a:p>
        <a:p>
          <a:pPr algn="ctr"/>
          <a:endParaRPr kumimoji="1" lang="ja-JP" altLang="en-US" sz="1100"/>
        </a:p>
      </xdr:txBody>
    </xdr:sp>
    <xdr:clientData/>
  </xdr:twoCellAnchor>
  <xdr:twoCellAnchor>
    <xdr:from>
      <xdr:col>9</xdr:col>
      <xdr:colOff>104775</xdr:colOff>
      <xdr:row>19</xdr:row>
      <xdr:rowOff>104275</xdr:rowOff>
    </xdr:from>
    <xdr:to>
      <xdr:col>14</xdr:col>
      <xdr:colOff>9525</xdr:colOff>
      <xdr:row>19</xdr:row>
      <xdr:rowOff>109538</xdr:rowOff>
    </xdr:to>
    <xdr:cxnSp macro="">
      <xdr:nvCxnSpPr>
        <xdr:cNvPr id="14" name="直線矢印コネクタ 31">
          <a:extLst>
            <a:ext uri="{FF2B5EF4-FFF2-40B4-BE49-F238E27FC236}">
              <a16:creationId xmlns:a16="http://schemas.microsoft.com/office/drawing/2014/main" id="{123A82FA-1734-4A0C-8A93-55044629E965}"/>
            </a:ext>
          </a:extLst>
        </xdr:cNvPr>
        <xdr:cNvCxnSpPr>
          <a:stCxn id="13" idx="3"/>
          <a:endCxn id="17" idx="2"/>
        </xdr:cNvCxnSpPr>
      </xdr:nvCxnSpPr>
      <xdr:spPr>
        <a:xfrm flipV="1">
          <a:off x="1819275" y="3723775"/>
          <a:ext cx="857250" cy="5263"/>
        </a:xfrm>
        <a:prstGeom prst="straightConnector1">
          <a:avLst/>
        </a:prstGeom>
        <a:ln w="12700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64769</xdr:colOff>
      <xdr:row>12</xdr:row>
      <xdr:rowOff>181928</xdr:rowOff>
    </xdr:from>
    <xdr:to>
      <xdr:col>24</xdr:col>
      <xdr:colOff>129540</xdr:colOff>
      <xdr:row>19</xdr:row>
      <xdr:rowOff>157163</xdr:rowOff>
    </xdr:to>
    <xdr:cxnSp macro="">
      <xdr:nvCxnSpPr>
        <xdr:cNvPr id="15" name="直線矢印コネクタ 34">
          <a:extLst>
            <a:ext uri="{FF2B5EF4-FFF2-40B4-BE49-F238E27FC236}">
              <a16:creationId xmlns:a16="http://schemas.microsoft.com/office/drawing/2014/main" id="{9F7A541D-7E7F-40D1-9252-371F2D114537}"/>
            </a:ext>
          </a:extLst>
        </xdr:cNvPr>
        <xdr:cNvCxnSpPr>
          <a:stCxn id="18" idx="3"/>
          <a:endCxn id="2" idx="1"/>
        </xdr:cNvCxnSpPr>
      </xdr:nvCxnSpPr>
      <xdr:spPr>
        <a:xfrm flipV="1">
          <a:off x="3684269" y="2467928"/>
          <a:ext cx="1017271" cy="1308735"/>
        </a:xfrm>
        <a:prstGeom prst="bentConnector3">
          <a:avLst>
            <a:gd name="adj1" fmla="val 50000"/>
          </a:avLst>
        </a:prstGeom>
        <a:ln w="12700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9525</xdr:colOff>
      <xdr:row>18</xdr:row>
      <xdr:rowOff>0</xdr:rowOff>
    </xdr:from>
    <xdr:to>
      <xdr:col>19</xdr:col>
      <xdr:colOff>124157</xdr:colOff>
      <xdr:row>21</xdr:row>
      <xdr:rowOff>19050</xdr:rowOff>
    </xdr:to>
    <xdr:grpSp>
      <xdr:nvGrpSpPr>
        <xdr:cNvPr id="16" name="グループ化 15">
          <a:extLst>
            <a:ext uri="{FF2B5EF4-FFF2-40B4-BE49-F238E27FC236}">
              <a16:creationId xmlns:a16="http://schemas.microsoft.com/office/drawing/2014/main" id="{A286F7DB-75FD-4480-B558-A5F931756CA6}"/>
            </a:ext>
          </a:extLst>
        </xdr:cNvPr>
        <xdr:cNvGrpSpPr/>
      </xdr:nvGrpSpPr>
      <xdr:grpSpPr>
        <a:xfrm>
          <a:off x="2498725" y="3429000"/>
          <a:ext cx="1003632" cy="590550"/>
          <a:chOff x="5591175" y="14011275"/>
          <a:chExt cx="1067132" cy="590550"/>
        </a:xfrm>
      </xdr:grpSpPr>
      <xdr:sp macro="" textlink="">
        <xdr:nvSpPr>
          <xdr:cNvPr id="17" name="円柱 16">
            <a:extLst>
              <a:ext uri="{FF2B5EF4-FFF2-40B4-BE49-F238E27FC236}">
                <a16:creationId xmlns:a16="http://schemas.microsoft.com/office/drawing/2014/main" id="{EED3D087-F1FE-1A79-D19E-9C07177E9AC3}"/>
              </a:ext>
            </a:extLst>
          </xdr:cNvPr>
          <xdr:cNvSpPr/>
        </xdr:nvSpPr>
        <xdr:spPr>
          <a:xfrm>
            <a:off x="5591175" y="14011275"/>
            <a:ext cx="1067132" cy="589550"/>
          </a:xfrm>
          <a:prstGeom prst="can">
            <a:avLst>
              <a:gd name="adj" fmla="val 26958"/>
            </a:avLst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ctr"/>
            <a:endPara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  <xdr:sp macro="" textlink="">
        <xdr:nvSpPr>
          <xdr:cNvPr id="18" name="テキスト ボックス 17">
            <a:extLst>
              <a:ext uri="{FF2B5EF4-FFF2-40B4-BE49-F238E27FC236}">
                <a16:creationId xmlns:a16="http://schemas.microsoft.com/office/drawing/2014/main" id="{8651DC5C-6BC6-91D2-9C80-FA06C02D980C}"/>
              </a:ext>
            </a:extLst>
          </xdr:cNvPr>
          <xdr:cNvSpPr txBox="1"/>
        </xdr:nvSpPr>
        <xdr:spPr>
          <a:xfrm>
            <a:off x="5705474" y="14116050"/>
            <a:ext cx="893445" cy="48577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1" lang="ja-JP" altLang="en-US" sz="900">
                <a:solidFill>
                  <a:schemeClr val="dk1"/>
                </a:solidFill>
                <a:effectLst/>
                <a:latin typeface="Meiryo UI" panose="020B0604030504040204" pitchFamily="50" charset="-128"/>
                <a:ea typeface="Meiryo UI" panose="020B0604030504040204" pitchFamily="50" charset="-128"/>
                <a:cs typeface="+mn-cs"/>
              </a:rPr>
              <a:t>仕入先</a:t>
            </a:r>
            <a:br>
              <a:rPr kumimoji="1" lang="en-US" altLang="ja-JP" sz="900">
                <a:solidFill>
                  <a:schemeClr val="dk1"/>
                </a:solidFill>
                <a:effectLst/>
                <a:latin typeface="Meiryo UI" panose="020B0604030504040204" pitchFamily="50" charset="-128"/>
                <a:ea typeface="Meiryo UI" panose="020B0604030504040204" pitchFamily="50" charset="-128"/>
                <a:cs typeface="+mn-cs"/>
              </a:rPr>
            </a:br>
            <a:r>
              <a:rPr kumimoji="1" lang="ja-JP" altLang="en-US" sz="900">
                <a:solidFill>
                  <a:schemeClr val="dk1"/>
                </a:solidFill>
                <a:effectLst/>
                <a:latin typeface="Meiryo UI" panose="020B0604030504040204" pitchFamily="50" charset="-128"/>
                <a:ea typeface="Meiryo UI" panose="020B0604030504040204" pitchFamily="50" charset="-128"/>
                <a:cs typeface="+mn-cs"/>
              </a:rPr>
              <a:t>トランザクション</a:t>
            </a:r>
            <a:endParaRPr kumimoji="1" lang="en-US" altLang="ja-JP" sz="900">
              <a:solidFill>
                <a:schemeClr val="dk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endParaRPr>
          </a:p>
        </xdr:txBody>
      </xdr:sp>
    </xdr:grpSp>
    <xdr:clientData/>
  </xdr:twoCellAnchor>
  <xdr:twoCellAnchor>
    <xdr:from>
      <xdr:col>3</xdr:col>
      <xdr:colOff>142875</xdr:colOff>
      <xdr:row>22</xdr:row>
      <xdr:rowOff>171449</xdr:rowOff>
    </xdr:from>
    <xdr:to>
      <xdr:col>12</xdr:col>
      <xdr:colOff>66675</xdr:colOff>
      <xdr:row>25</xdr:row>
      <xdr:rowOff>152400</xdr:rowOff>
    </xdr:to>
    <xdr:sp macro="" textlink="">
      <xdr:nvSpPr>
        <xdr:cNvPr id="19" name="テキスト ボックス 18">
          <a:extLst>
            <a:ext uri="{FF2B5EF4-FFF2-40B4-BE49-F238E27FC236}">
              <a16:creationId xmlns:a16="http://schemas.microsoft.com/office/drawing/2014/main" id="{3FF29C6A-2F97-4605-8D78-381B3DB4490B}"/>
            </a:ext>
          </a:extLst>
        </xdr:cNvPr>
        <xdr:cNvSpPr txBox="1"/>
      </xdr:nvSpPr>
      <xdr:spPr>
        <a:xfrm>
          <a:off x="714375" y="4362449"/>
          <a:ext cx="1638300" cy="552451"/>
        </a:xfrm>
        <a:prstGeom prst="rect">
          <a:avLst/>
        </a:prstGeom>
        <a:solidFill>
          <a:schemeClr val="accen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kumimoji="1" lang="ja-JP" altLang="en-US" sz="1000">
              <a:solidFill>
                <a:schemeClr val="bg1"/>
              </a:solidFill>
            </a:rPr>
            <a:t>支払方法、</a:t>
          </a:r>
          <a:endParaRPr kumimoji="1" lang="en-US" altLang="ja-JP" sz="1000">
            <a:solidFill>
              <a:schemeClr val="bg1"/>
            </a:solidFill>
          </a:endParaRPr>
        </a:p>
        <a:p>
          <a:pPr algn="l"/>
          <a:r>
            <a:rPr kumimoji="1" lang="ja-JP" altLang="en-US" sz="1000">
              <a:solidFill>
                <a:schemeClr val="bg1"/>
              </a:solidFill>
            </a:rPr>
            <a:t>期日サイトを更新する。</a:t>
          </a:r>
          <a:endParaRPr kumimoji="1" lang="en-US" altLang="ja-JP" sz="1000">
            <a:solidFill>
              <a:schemeClr val="bg1"/>
            </a:solidFill>
          </a:endParaRPr>
        </a:p>
      </xdr:txBody>
    </xdr:sp>
    <xdr:clientData/>
  </xdr:twoCellAnchor>
  <xdr:twoCellAnchor>
    <xdr:from>
      <xdr:col>5</xdr:col>
      <xdr:colOff>43815</xdr:colOff>
      <xdr:row>21</xdr:row>
      <xdr:rowOff>123825</xdr:rowOff>
    </xdr:from>
    <xdr:to>
      <xdr:col>6</xdr:col>
      <xdr:colOff>93345</xdr:colOff>
      <xdr:row>25</xdr:row>
      <xdr:rowOff>5715</xdr:rowOff>
    </xdr:to>
    <xdr:cxnSp macro="">
      <xdr:nvCxnSpPr>
        <xdr:cNvPr id="20" name="直線コネクタ 19">
          <a:extLst>
            <a:ext uri="{FF2B5EF4-FFF2-40B4-BE49-F238E27FC236}">
              <a16:creationId xmlns:a16="http://schemas.microsoft.com/office/drawing/2014/main" id="{2B635618-6CA9-47FF-9BAD-71CBF6900DE1}"/>
            </a:ext>
          </a:extLst>
        </xdr:cNvPr>
        <xdr:cNvCxnSpPr>
          <a:endCxn id="13" idx="2"/>
        </xdr:cNvCxnSpPr>
      </xdr:nvCxnSpPr>
      <xdr:spPr>
        <a:xfrm flipH="1" flipV="1">
          <a:off x="996315" y="4124325"/>
          <a:ext cx="240030" cy="64389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28575</xdr:colOff>
      <xdr:row>16</xdr:row>
      <xdr:rowOff>142875</xdr:rowOff>
    </xdr:from>
    <xdr:to>
      <xdr:col>37</xdr:col>
      <xdr:colOff>47625</xdr:colOff>
      <xdr:row>19</xdr:row>
      <xdr:rowOff>95250</xdr:rowOff>
    </xdr:to>
    <xdr:sp macro="" textlink="">
      <xdr:nvSpPr>
        <xdr:cNvPr id="21" name="テキスト ボックス 20">
          <a:extLst>
            <a:ext uri="{FF2B5EF4-FFF2-40B4-BE49-F238E27FC236}">
              <a16:creationId xmlns:a16="http://schemas.microsoft.com/office/drawing/2014/main" id="{9AFAAEF3-249F-41E1-8FA9-03774BC3110C}"/>
            </a:ext>
          </a:extLst>
        </xdr:cNvPr>
        <xdr:cNvSpPr txBox="1"/>
      </xdr:nvSpPr>
      <xdr:spPr>
        <a:xfrm>
          <a:off x="4791075" y="3190875"/>
          <a:ext cx="2305050" cy="523875"/>
        </a:xfrm>
        <a:prstGeom prst="rect">
          <a:avLst/>
        </a:prstGeom>
        <a:solidFill>
          <a:schemeClr val="accen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kumimoji="1" lang="ja-JP" altLang="en-US" sz="1000">
              <a:solidFill>
                <a:schemeClr val="bg1"/>
              </a:solidFill>
            </a:rPr>
            <a:t>支払方法が更新されたものを</a:t>
          </a:r>
          <a:endParaRPr kumimoji="1" lang="en-US" altLang="ja-JP" sz="1000">
            <a:solidFill>
              <a:schemeClr val="bg1"/>
            </a:solidFill>
          </a:endParaRPr>
        </a:p>
        <a:p>
          <a:pPr algn="l"/>
          <a:r>
            <a:rPr kumimoji="1" lang="ja-JP" altLang="en-US" sz="1000">
              <a:solidFill>
                <a:schemeClr val="bg1"/>
              </a:solidFill>
            </a:rPr>
            <a:t>対象に支払提案を行う。</a:t>
          </a:r>
          <a:endParaRPr kumimoji="1" lang="en-US" altLang="ja-JP" sz="1000">
            <a:solidFill>
              <a:schemeClr val="bg1"/>
            </a:solidFill>
          </a:endParaRPr>
        </a:p>
      </xdr:txBody>
    </xdr:sp>
    <xdr:clientData/>
  </xdr:twoCellAnchor>
  <xdr:twoCellAnchor>
    <xdr:from>
      <xdr:col>32</xdr:col>
      <xdr:colOff>9525</xdr:colOff>
      <xdr:row>14</xdr:row>
      <xdr:rowOff>110491</xdr:rowOff>
    </xdr:from>
    <xdr:to>
      <xdr:col>33</xdr:col>
      <xdr:colOff>83820</xdr:colOff>
      <xdr:row>16</xdr:row>
      <xdr:rowOff>114300</xdr:rowOff>
    </xdr:to>
    <xdr:cxnSp macro="">
      <xdr:nvCxnSpPr>
        <xdr:cNvPr id="22" name="直線コネクタ 21">
          <a:extLst>
            <a:ext uri="{FF2B5EF4-FFF2-40B4-BE49-F238E27FC236}">
              <a16:creationId xmlns:a16="http://schemas.microsoft.com/office/drawing/2014/main" id="{A50D6019-FC62-4AF7-91D0-E42FC704F58B}"/>
            </a:ext>
          </a:extLst>
        </xdr:cNvPr>
        <xdr:cNvCxnSpPr/>
      </xdr:nvCxnSpPr>
      <xdr:spPr>
        <a:xfrm flipH="1">
          <a:off x="6105525" y="2777491"/>
          <a:ext cx="264795" cy="384809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48</xdr:col>
      <xdr:colOff>85725</xdr:colOff>
      <xdr:row>5</xdr:row>
      <xdr:rowOff>57150</xdr:rowOff>
    </xdr:from>
    <xdr:to>
      <xdr:col>60</xdr:col>
      <xdr:colOff>104775</xdr:colOff>
      <xdr:row>8</xdr:row>
      <xdr:rowOff>9525</xdr:rowOff>
    </xdr:to>
    <xdr:sp macro="" textlink="">
      <xdr:nvSpPr>
        <xdr:cNvPr id="23" name="テキスト ボックス 22">
          <a:extLst>
            <a:ext uri="{FF2B5EF4-FFF2-40B4-BE49-F238E27FC236}">
              <a16:creationId xmlns:a16="http://schemas.microsoft.com/office/drawing/2014/main" id="{4187B2ED-75A6-42C9-8EC7-5251806ED400}"/>
            </a:ext>
          </a:extLst>
        </xdr:cNvPr>
        <xdr:cNvSpPr txBox="1"/>
      </xdr:nvSpPr>
      <xdr:spPr>
        <a:xfrm>
          <a:off x="9229725" y="1009650"/>
          <a:ext cx="2305050" cy="523875"/>
        </a:xfrm>
        <a:prstGeom prst="rect">
          <a:avLst/>
        </a:prstGeom>
        <a:solidFill>
          <a:schemeClr val="accen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kumimoji="1" lang="ja-JP" altLang="en-US" sz="1000">
              <a:solidFill>
                <a:schemeClr val="bg1"/>
              </a:solidFill>
            </a:rPr>
            <a:t>支払方法が「電債」のデータを</a:t>
          </a:r>
          <a:endParaRPr kumimoji="1" lang="en-US" altLang="ja-JP" sz="1000">
            <a:solidFill>
              <a:schemeClr val="bg1"/>
            </a:solidFill>
          </a:endParaRPr>
        </a:p>
        <a:p>
          <a:pPr algn="l"/>
          <a:r>
            <a:rPr kumimoji="1" lang="ja-JP" altLang="en-US" sz="1000">
              <a:solidFill>
                <a:schemeClr val="bg1"/>
              </a:solidFill>
            </a:rPr>
            <a:t>対象にファイルを作成。</a:t>
          </a:r>
          <a:endParaRPr kumimoji="1" lang="en-US" altLang="ja-JP" sz="1000">
            <a:solidFill>
              <a:schemeClr val="bg1"/>
            </a:solidFill>
          </a:endParaRPr>
        </a:p>
      </xdr:txBody>
    </xdr:sp>
    <xdr:clientData/>
  </xdr:twoCellAnchor>
  <xdr:twoCellAnchor>
    <xdr:from>
      <xdr:col>52</xdr:col>
      <xdr:colOff>161925</xdr:colOff>
      <xdr:row>7</xdr:row>
      <xdr:rowOff>180975</xdr:rowOff>
    </xdr:from>
    <xdr:to>
      <xdr:col>56</xdr:col>
      <xdr:colOff>9525</xdr:colOff>
      <xdr:row>11</xdr:row>
      <xdr:rowOff>121920</xdr:rowOff>
    </xdr:to>
    <xdr:cxnSp macro="">
      <xdr:nvCxnSpPr>
        <xdr:cNvPr id="24" name="直線コネクタ 23">
          <a:extLst>
            <a:ext uri="{FF2B5EF4-FFF2-40B4-BE49-F238E27FC236}">
              <a16:creationId xmlns:a16="http://schemas.microsoft.com/office/drawing/2014/main" id="{D87DF8AD-BA4E-4C1B-8CBB-22E4CCE128AF}"/>
            </a:ext>
          </a:extLst>
        </xdr:cNvPr>
        <xdr:cNvCxnSpPr/>
      </xdr:nvCxnSpPr>
      <xdr:spPr>
        <a:xfrm flipH="1">
          <a:off x="10067925" y="1514475"/>
          <a:ext cx="609600" cy="70294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114300</xdr:colOff>
      <xdr:row>26</xdr:row>
      <xdr:rowOff>100965</xdr:rowOff>
    </xdr:from>
    <xdr:to>
      <xdr:col>47</xdr:col>
      <xdr:colOff>133350</xdr:colOff>
      <xdr:row>29</xdr:row>
      <xdr:rowOff>53340</xdr:rowOff>
    </xdr:to>
    <xdr:sp macro="" textlink="">
      <xdr:nvSpPr>
        <xdr:cNvPr id="25" name="テキスト ボックス 24">
          <a:extLst>
            <a:ext uri="{FF2B5EF4-FFF2-40B4-BE49-F238E27FC236}">
              <a16:creationId xmlns:a16="http://schemas.microsoft.com/office/drawing/2014/main" id="{701857A4-FF18-49DF-AAE7-86ED028EF533}"/>
            </a:ext>
          </a:extLst>
        </xdr:cNvPr>
        <xdr:cNvSpPr txBox="1"/>
      </xdr:nvSpPr>
      <xdr:spPr>
        <a:xfrm>
          <a:off x="6781800" y="5053965"/>
          <a:ext cx="2305050" cy="523875"/>
        </a:xfrm>
        <a:prstGeom prst="rect">
          <a:avLst/>
        </a:prstGeom>
        <a:solidFill>
          <a:schemeClr val="accen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kumimoji="1" lang="ja-JP" altLang="en-US" sz="1000">
              <a:solidFill>
                <a:schemeClr val="bg1"/>
              </a:solidFill>
            </a:rPr>
            <a:t>支払方法が「でんさい」のデータを</a:t>
          </a:r>
          <a:endParaRPr kumimoji="1" lang="en-US" altLang="ja-JP" sz="1000">
            <a:solidFill>
              <a:schemeClr val="bg1"/>
            </a:solidFill>
          </a:endParaRPr>
        </a:p>
        <a:p>
          <a:pPr algn="l"/>
          <a:r>
            <a:rPr kumimoji="1" lang="ja-JP" altLang="en-US" sz="1000">
              <a:solidFill>
                <a:schemeClr val="bg1"/>
              </a:solidFill>
            </a:rPr>
            <a:t>対象にファイルを作成。</a:t>
          </a:r>
          <a:endParaRPr kumimoji="1" lang="en-US" altLang="ja-JP" sz="1000">
            <a:solidFill>
              <a:schemeClr val="bg1"/>
            </a:solidFill>
          </a:endParaRPr>
        </a:p>
      </xdr:txBody>
    </xdr:sp>
    <xdr:clientData/>
  </xdr:twoCellAnchor>
  <xdr:twoCellAnchor>
    <xdr:from>
      <xdr:col>44</xdr:col>
      <xdr:colOff>57150</xdr:colOff>
      <xdr:row>24</xdr:row>
      <xdr:rowOff>3810</xdr:rowOff>
    </xdr:from>
    <xdr:to>
      <xdr:col>45</xdr:col>
      <xdr:colOff>150495</xdr:colOff>
      <xdr:row>28</xdr:row>
      <xdr:rowOff>47625</xdr:rowOff>
    </xdr:to>
    <xdr:cxnSp macro="">
      <xdr:nvCxnSpPr>
        <xdr:cNvPr id="26" name="直線コネクタ 25">
          <a:extLst>
            <a:ext uri="{FF2B5EF4-FFF2-40B4-BE49-F238E27FC236}">
              <a16:creationId xmlns:a16="http://schemas.microsoft.com/office/drawing/2014/main" id="{62E48023-D26E-421F-970C-ACD3D979B6FC}"/>
            </a:ext>
          </a:extLst>
        </xdr:cNvPr>
        <xdr:cNvCxnSpPr/>
      </xdr:nvCxnSpPr>
      <xdr:spPr>
        <a:xfrm flipH="1">
          <a:off x="8439150" y="4575810"/>
          <a:ext cx="283845" cy="80581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66675</xdr:colOff>
      <xdr:row>7</xdr:row>
      <xdr:rowOff>19050</xdr:rowOff>
    </xdr:from>
    <xdr:to>
      <xdr:col>17</xdr:col>
      <xdr:colOff>95249</xdr:colOff>
      <xdr:row>15</xdr:row>
      <xdr:rowOff>133350</xdr:rowOff>
    </xdr:to>
    <xdr:grpSp>
      <xdr:nvGrpSpPr>
        <xdr:cNvPr id="27" name="グループ化 26">
          <a:extLst>
            <a:ext uri="{FF2B5EF4-FFF2-40B4-BE49-F238E27FC236}">
              <a16:creationId xmlns:a16="http://schemas.microsoft.com/office/drawing/2014/main" id="{18BDA18C-EFC2-4C7E-8C4C-0B544E003243}"/>
            </a:ext>
          </a:extLst>
        </xdr:cNvPr>
        <xdr:cNvGrpSpPr/>
      </xdr:nvGrpSpPr>
      <xdr:grpSpPr>
        <a:xfrm>
          <a:off x="66675" y="1352550"/>
          <a:ext cx="3051174" cy="1638300"/>
          <a:chOff x="8075295" y="1613535"/>
          <a:chExt cx="3171825" cy="1838325"/>
        </a:xfrm>
      </xdr:grpSpPr>
      <xdr:sp macro="" textlink="">
        <xdr:nvSpPr>
          <xdr:cNvPr id="28" name="正方形/長方形 27">
            <a:extLst>
              <a:ext uri="{FF2B5EF4-FFF2-40B4-BE49-F238E27FC236}">
                <a16:creationId xmlns:a16="http://schemas.microsoft.com/office/drawing/2014/main" id="{B0AABD74-D016-1632-66F1-06BB573AB806}"/>
              </a:ext>
            </a:extLst>
          </xdr:cNvPr>
          <xdr:cNvSpPr/>
        </xdr:nvSpPr>
        <xdr:spPr>
          <a:xfrm>
            <a:off x="8075295" y="1794510"/>
            <a:ext cx="3171825" cy="1657350"/>
          </a:xfrm>
          <a:prstGeom prst="rect">
            <a:avLst/>
          </a:prstGeom>
          <a:noFill/>
          <a:ln w="28575"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29" name="フローチャート: 端子 28">
            <a:extLst>
              <a:ext uri="{FF2B5EF4-FFF2-40B4-BE49-F238E27FC236}">
                <a16:creationId xmlns:a16="http://schemas.microsoft.com/office/drawing/2014/main" id="{B38D7A13-CE7C-C5A5-62C9-F8A563BCAFA8}"/>
              </a:ext>
            </a:extLst>
          </xdr:cNvPr>
          <xdr:cNvSpPr/>
        </xdr:nvSpPr>
        <xdr:spPr>
          <a:xfrm>
            <a:off x="8846820" y="1613535"/>
            <a:ext cx="1409700" cy="314325"/>
          </a:xfrm>
          <a:prstGeom prst="flowChartTerminator">
            <a:avLst/>
          </a:prstGeom>
          <a:solidFill>
            <a:schemeClr val="bg1"/>
          </a:solidFill>
          <a:ln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1100" b="1">
                <a:solidFill>
                  <a:srgbClr val="FF0000"/>
                </a:solidFill>
              </a:rPr>
              <a:t>本機能</a:t>
            </a:r>
          </a:p>
        </xdr:txBody>
      </xdr:sp>
    </xdr:grpSp>
    <xdr:clientData/>
  </xdr:twoCellAnchor>
  <xdr:twoCellAnchor>
    <xdr:from>
      <xdr:col>0</xdr:col>
      <xdr:colOff>125730</xdr:colOff>
      <xdr:row>8</xdr:row>
      <xdr:rowOff>142876</xdr:rowOff>
    </xdr:from>
    <xdr:to>
      <xdr:col>9</xdr:col>
      <xdr:colOff>161925</xdr:colOff>
      <xdr:row>12</xdr:row>
      <xdr:rowOff>152400</xdr:rowOff>
    </xdr:to>
    <xdr:sp macro="" textlink="">
      <xdr:nvSpPr>
        <xdr:cNvPr id="35" name="テキスト ボックス 34">
          <a:extLst>
            <a:ext uri="{FF2B5EF4-FFF2-40B4-BE49-F238E27FC236}">
              <a16:creationId xmlns:a16="http://schemas.microsoft.com/office/drawing/2014/main" id="{3AEAFD45-1FBB-1DE5-7676-15F9077199DE}"/>
            </a:ext>
          </a:extLst>
        </xdr:cNvPr>
        <xdr:cNvSpPr txBox="1"/>
      </xdr:nvSpPr>
      <xdr:spPr>
        <a:xfrm>
          <a:off x="125730" y="1666876"/>
          <a:ext cx="1664970" cy="771524"/>
        </a:xfrm>
        <a:prstGeom prst="rect">
          <a:avLst/>
        </a:prstGeom>
        <a:solidFill>
          <a:schemeClr val="bg1"/>
        </a:solidFill>
        <a:ln w="9525" cmpd="sng">
          <a:solidFill>
            <a:schemeClr val="accent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kumimoji="1" lang="en-US" altLang="ja-JP" sz="1100"/>
            <a:t>FO-006</a:t>
          </a:r>
          <a:r>
            <a:rPr kumimoji="1" lang="en-US" altLang="ja-JP" sz="1100" baseline="0"/>
            <a:t> </a:t>
          </a:r>
        </a:p>
        <a:p>
          <a:pPr algn="ctr"/>
          <a:r>
            <a:rPr kumimoji="1" lang="ja-JP" altLang="en-US" sz="1100"/>
            <a:t>支払方法・支払サイトマスタ画面</a:t>
          </a:r>
        </a:p>
      </xdr:txBody>
    </xdr:sp>
    <xdr:clientData/>
  </xdr:twoCellAnchor>
  <xdr:twoCellAnchor>
    <xdr:from>
      <xdr:col>5</xdr:col>
      <xdr:colOff>48578</xdr:colOff>
      <xdr:row>12</xdr:row>
      <xdr:rowOff>152400</xdr:rowOff>
    </xdr:from>
    <xdr:to>
      <xdr:col>5</xdr:col>
      <xdr:colOff>53340</xdr:colOff>
      <xdr:row>17</xdr:row>
      <xdr:rowOff>95251</xdr:rowOff>
    </xdr:to>
    <xdr:cxnSp macro="">
      <xdr:nvCxnSpPr>
        <xdr:cNvPr id="40" name="直線矢印コネクタ 31">
          <a:extLst>
            <a:ext uri="{FF2B5EF4-FFF2-40B4-BE49-F238E27FC236}">
              <a16:creationId xmlns:a16="http://schemas.microsoft.com/office/drawing/2014/main" id="{380EA880-7F5D-5491-2247-E301F163060A}"/>
            </a:ext>
          </a:extLst>
        </xdr:cNvPr>
        <xdr:cNvCxnSpPr>
          <a:stCxn id="35" idx="2"/>
          <a:endCxn id="13" idx="0"/>
        </xdr:cNvCxnSpPr>
      </xdr:nvCxnSpPr>
      <xdr:spPr>
        <a:xfrm flipH="1">
          <a:off x="953453" y="2438400"/>
          <a:ext cx="4762" cy="895351"/>
        </a:xfrm>
        <a:prstGeom prst="straightConnector1">
          <a:avLst/>
        </a:prstGeom>
        <a:ln w="12700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47625</xdr:colOff>
      <xdr:row>11</xdr:row>
      <xdr:rowOff>123826</xdr:rowOff>
    </xdr:from>
    <xdr:to>
      <xdr:col>13</xdr:col>
      <xdr:colOff>19050</xdr:colOff>
      <xdr:row>15</xdr:row>
      <xdr:rowOff>173390</xdr:rowOff>
    </xdr:to>
    <xdr:grpSp>
      <xdr:nvGrpSpPr>
        <xdr:cNvPr id="44" name="グループ化 43">
          <a:extLst>
            <a:ext uri="{FF2B5EF4-FFF2-40B4-BE49-F238E27FC236}">
              <a16:creationId xmlns:a16="http://schemas.microsoft.com/office/drawing/2014/main" id="{947EB24C-FF78-4730-A9B0-37C9D4EE863F}"/>
            </a:ext>
          </a:extLst>
        </xdr:cNvPr>
        <xdr:cNvGrpSpPr/>
      </xdr:nvGrpSpPr>
      <xdr:grpSpPr>
        <a:xfrm>
          <a:off x="1292225" y="2219326"/>
          <a:ext cx="1038225" cy="811564"/>
          <a:chOff x="5600700" y="13952528"/>
          <a:chExt cx="1067132" cy="762000"/>
        </a:xfrm>
      </xdr:grpSpPr>
      <xdr:sp macro="" textlink="">
        <xdr:nvSpPr>
          <xdr:cNvPr id="45" name="円柱 44">
            <a:extLst>
              <a:ext uri="{FF2B5EF4-FFF2-40B4-BE49-F238E27FC236}">
                <a16:creationId xmlns:a16="http://schemas.microsoft.com/office/drawing/2014/main" id="{F6604FE9-D10A-3E48-B1E0-5225E0C23CAF}"/>
              </a:ext>
            </a:extLst>
          </xdr:cNvPr>
          <xdr:cNvSpPr/>
        </xdr:nvSpPr>
        <xdr:spPr>
          <a:xfrm>
            <a:off x="5600700" y="13982700"/>
            <a:ext cx="1067132" cy="589550"/>
          </a:xfrm>
          <a:prstGeom prst="can">
            <a:avLst>
              <a:gd name="adj" fmla="val 26958"/>
            </a:avLst>
          </a:prstGeom>
          <a:solidFill>
            <a:schemeClr val="bg1"/>
          </a:solidFill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ctr"/>
            <a:endPara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  <xdr:sp macro="" textlink="">
        <xdr:nvSpPr>
          <xdr:cNvPr id="46" name="テキスト ボックス 45">
            <a:extLst>
              <a:ext uri="{FF2B5EF4-FFF2-40B4-BE49-F238E27FC236}">
                <a16:creationId xmlns:a16="http://schemas.microsoft.com/office/drawing/2014/main" id="{2F577793-64D8-DC1A-A6EC-7D07B822081F}"/>
              </a:ext>
            </a:extLst>
          </xdr:cNvPr>
          <xdr:cNvSpPr txBox="1"/>
        </xdr:nvSpPr>
        <xdr:spPr>
          <a:xfrm>
            <a:off x="5734050" y="13952528"/>
            <a:ext cx="857250" cy="7620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1" lang="ja-JP" altLang="en-US" sz="800">
                <a:solidFill>
                  <a:schemeClr val="dk1"/>
                </a:solidFill>
                <a:effectLst/>
                <a:latin typeface="Meiryo UI" panose="020B0604030504040204" pitchFamily="50" charset="-128"/>
                <a:ea typeface="Meiryo UI" panose="020B0604030504040204" pitchFamily="50" charset="-128"/>
                <a:cs typeface="+mn-cs"/>
              </a:rPr>
              <a:t>支払方法・支払サイト</a:t>
            </a:r>
            <a:endParaRPr lang="ja-JP" altLang="ja-JP" sz="800">
              <a:effectLst/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</xdr:grp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66675</xdr:colOff>
      <xdr:row>6</xdr:row>
      <xdr:rowOff>38100</xdr:rowOff>
    </xdr:from>
    <xdr:to>
      <xdr:col>48</xdr:col>
      <xdr:colOff>115294</xdr:colOff>
      <xdr:row>11</xdr:row>
      <xdr:rowOff>125600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68477317-EC4F-18D6-C26B-656B1EEFD4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14475" y="1181100"/>
          <a:ext cx="7287619" cy="104000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19050</xdr:colOff>
      <xdr:row>29</xdr:row>
      <xdr:rowOff>9525</xdr:rowOff>
    </xdr:from>
    <xdr:to>
      <xdr:col>8</xdr:col>
      <xdr:colOff>1007</xdr:colOff>
      <xdr:row>31</xdr:row>
      <xdr:rowOff>0</xdr:rowOff>
    </xdr:to>
    <xdr:grpSp>
      <xdr:nvGrpSpPr>
        <xdr:cNvPr id="65" name="グループ化 64">
          <a:extLst>
            <a:ext uri="{FF2B5EF4-FFF2-40B4-BE49-F238E27FC236}">
              <a16:creationId xmlns:a16="http://schemas.microsoft.com/office/drawing/2014/main" id="{69097F7D-ABEA-4AAA-AA1A-36932E089374}"/>
            </a:ext>
          </a:extLst>
        </xdr:cNvPr>
        <xdr:cNvGrpSpPr/>
      </xdr:nvGrpSpPr>
      <xdr:grpSpPr>
        <a:xfrm>
          <a:off x="374650" y="5534025"/>
          <a:ext cx="1048757" cy="371475"/>
          <a:chOff x="381000" y="6477000"/>
          <a:chExt cx="1123950" cy="371475"/>
        </a:xfrm>
      </xdr:grpSpPr>
      <xdr:sp macro="" textlink="">
        <xdr:nvSpPr>
          <xdr:cNvPr id="66" name="四角形: 角を丸くする 65">
            <a:extLst>
              <a:ext uri="{FF2B5EF4-FFF2-40B4-BE49-F238E27FC236}">
                <a16:creationId xmlns:a16="http://schemas.microsoft.com/office/drawing/2014/main" id="{B3097AC4-DFB5-4BE0-9F60-7EA7F9868FA8}"/>
              </a:ext>
            </a:extLst>
          </xdr:cNvPr>
          <xdr:cNvSpPr/>
        </xdr:nvSpPr>
        <xdr:spPr>
          <a:xfrm>
            <a:off x="381000" y="6477000"/>
            <a:ext cx="1123950" cy="371475"/>
          </a:xfrm>
          <a:prstGeom prst="roundRect">
            <a:avLst>
              <a:gd name="adj" fmla="val 50000"/>
            </a:avLst>
          </a:prstGeom>
          <a:solidFill>
            <a:schemeClr val="bg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endParaRPr kumimoji="1" lang="en-US" altLang="ja-JP" sz="1000">
              <a:solidFill>
                <a:schemeClr val="tx1"/>
              </a:solidFill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  <xdr:sp macro="" textlink="">
        <xdr:nvSpPr>
          <xdr:cNvPr id="67" name="テキスト ボックス 66">
            <a:extLst>
              <a:ext uri="{FF2B5EF4-FFF2-40B4-BE49-F238E27FC236}">
                <a16:creationId xmlns:a16="http://schemas.microsoft.com/office/drawing/2014/main" id="{84887489-462A-4FC7-9268-B0A952C33EC7}"/>
              </a:ext>
            </a:extLst>
          </xdr:cNvPr>
          <xdr:cNvSpPr txBox="1"/>
        </xdr:nvSpPr>
        <xdr:spPr>
          <a:xfrm>
            <a:off x="533400" y="6486525"/>
            <a:ext cx="828675" cy="35242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kumimoji="1" lang="ja-JP" altLang="en-US" sz="1000">
                <a:latin typeface="Meiryo UI" panose="020B0604030504040204" pitchFamily="50" charset="-128"/>
                <a:ea typeface="Meiryo UI" panose="020B0604030504040204" pitchFamily="50" charset="-128"/>
              </a:rPr>
              <a:t>開始</a:t>
            </a:r>
          </a:p>
        </xdr:txBody>
      </xdr:sp>
    </xdr:grpSp>
    <xdr:clientData/>
  </xdr:twoCellAnchor>
  <xdr:twoCellAnchor>
    <xdr:from>
      <xdr:col>11</xdr:col>
      <xdr:colOff>161925</xdr:colOff>
      <xdr:row>29</xdr:row>
      <xdr:rowOff>19050</xdr:rowOff>
    </xdr:from>
    <xdr:to>
      <xdr:col>17</xdr:col>
      <xdr:colOff>142875</xdr:colOff>
      <xdr:row>31</xdr:row>
      <xdr:rowOff>9525</xdr:rowOff>
    </xdr:to>
    <xdr:grpSp>
      <xdr:nvGrpSpPr>
        <xdr:cNvPr id="68" name="グループ化 67">
          <a:extLst>
            <a:ext uri="{FF2B5EF4-FFF2-40B4-BE49-F238E27FC236}">
              <a16:creationId xmlns:a16="http://schemas.microsoft.com/office/drawing/2014/main" id="{DD8A9F87-C7C8-48FA-8721-30013F3C2DF3}"/>
            </a:ext>
          </a:extLst>
        </xdr:cNvPr>
        <xdr:cNvGrpSpPr/>
      </xdr:nvGrpSpPr>
      <xdr:grpSpPr>
        <a:xfrm>
          <a:off x="2117725" y="5543550"/>
          <a:ext cx="1047750" cy="371475"/>
          <a:chOff x="381000" y="6477000"/>
          <a:chExt cx="1123950" cy="371475"/>
        </a:xfrm>
      </xdr:grpSpPr>
      <xdr:sp macro="" textlink="">
        <xdr:nvSpPr>
          <xdr:cNvPr id="69" name="四角形: 角を丸くする 68">
            <a:extLst>
              <a:ext uri="{FF2B5EF4-FFF2-40B4-BE49-F238E27FC236}">
                <a16:creationId xmlns:a16="http://schemas.microsoft.com/office/drawing/2014/main" id="{2CD358FD-591E-4950-BA48-F37DE0453B32}"/>
              </a:ext>
            </a:extLst>
          </xdr:cNvPr>
          <xdr:cNvSpPr/>
        </xdr:nvSpPr>
        <xdr:spPr>
          <a:xfrm>
            <a:off x="381000" y="6477000"/>
            <a:ext cx="1123950" cy="371475"/>
          </a:xfrm>
          <a:prstGeom prst="roundRect">
            <a:avLst>
              <a:gd name="adj" fmla="val 50000"/>
            </a:avLst>
          </a:prstGeom>
          <a:solidFill>
            <a:schemeClr val="bg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endParaRPr kumimoji="1" lang="en-US" altLang="ja-JP" sz="1000">
              <a:solidFill>
                <a:schemeClr val="tx1"/>
              </a:solidFill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  <xdr:sp macro="" textlink="">
        <xdr:nvSpPr>
          <xdr:cNvPr id="70" name="テキスト ボックス 69">
            <a:extLst>
              <a:ext uri="{FF2B5EF4-FFF2-40B4-BE49-F238E27FC236}">
                <a16:creationId xmlns:a16="http://schemas.microsoft.com/office/drawing/2014/main" id="{65D6141A-6EB3-4E5F-9272-7375427D60FF}"/>
              </a:ext>
            </a:extLst>
          </xdr:cNvPr>
          <xdr:cNvSpPr txBox="1"/>
        </xdr:nvSpPr>
        <xdr:spPr>
          <a:xfrm>
            <a:off x="533400" y="6486525"/>
            <a:ext cx="828675" cy="35242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kumimoji="1" lang="ja-JP" altLang="en-US" sz="1000">
                <a:latin typeface="Meiryo UI" panose="020B0604030504040204" pitchFamily="50" charset="-128"/>
                <a:ea typeface="Meiryo UI" panose="020B0604030504040204" pitchFamily="50" charset="-128"/>
              </a:rPr>
              <a:t>終了</a:t>
            </a:r>
          </a:p>
        </xdr:txBody>
      </xdr:sp>
    </xdr:grpSp>
    <xdr:clientData/>
  </xdr:twoCellAnchor>
  <xdr:twoCellAnchor>
    <xdr:from>
      <xdr:col>21</xdr:col>
      <xdr:colOff>132504</xdr:colOff>
      <xdr:row>28</xdr:row>
      <xdr:rowOff>171448</xdr:rowOff>
    </xdr:from>
    <xdr:to>
      <xdr:col>28</xdr:col>
      <xdr:colOff>37704</xdr:colOff>
      <xdr:row>31</xdr:row>
      <xdr:rowOff>5471</xdr:rowOff>
    </xdr:to>
    <xdr:grpSp>
      <xdr:nvGrpSpPr>
        <xdr:cNvPr id="71" name="グループ化 70">
          <a:extLst>
            <a:ext uri="{FF2B5EF4-FFF2-40B4-BE49-F238E27FC236}">
              <a16:creationId xmlns:a16="http://schemas.microsoft.com/office/drawing/2014/main" id="{CB4D0A76-0595-4A3B-8FF6-39621B8E9C57}"/>
            </a:ext>
          </a:extLst>
        </xdr:cNvPr>
        <xdr:cNvGrpSpPr/>
      </xdr:nvGrpSpPr>
      <xdr:grpSpPr>
        <a:xfrm>
          <a:off x="3866304" y="5505448"/>
          <a:ext cx="1149800" cy="405523"/>
          <a:chOff x="4133004" y="6457948"/>
          <a:chExt cx="1238700" cy="405523"/>
        </a:xfrm>
      </xdr:grpSpPr>
      <xdr:sp macro="" textlink="">
        <xdr:nvSpPr>
          <xdr:cNvPr id="72" name="正方形/長方形 71">
            <a:extLst>
              <a:ext uri="{FF2B5EF4-FFF2-40B4-BE49-F238E27FC236}">
                <a16:creationId xmlns:a16="http://schemas.microsoft.com/office/drawing/2014/main" id="{9C9EC2E7-130B-459B-B169-C954CFCEADFD}"/>
              </a:ext>
            </a:extLst>
          </xdr:cNvPr>
          <xdr:cNvSpPr/>
        </xdr:nvSpPr>
        <xdr:spPr>
          <a:xfrm>
            <a:off x="4133004" y="6457948"/>
            <a:ext cx="1238700" cy="405523"/>
          </a:xfrm>
          <a:prstGeom prst="rect">
            <a:avLst/>
          </a:prstGeom>
          <a:solidFill>
            <a:schemeClr val="bg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endParaRPr kumimoji="1" lang="ja-JP" altLang="en-US" sz="1000">
              <a:solidFill>
                <a:schemeClr val="tx1"/>
              </a:solidFill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  <xdr:sp macro="" textlink="">
        <xdr:nvSpPr>
          <xdr:cNvPr id="73" name="テキスト ボックス 72">
            <a:extLst>
              <a:ext uri="{FF2B5EF4-FFF2-40B4-BE49-F238E27FC236}">
                <a16:creationId xmlns:a16="http://schemas.microsoft.com/office/drawing/2014/main" id="{CAB7EEF0-B2AB-42D9-BB41-FC9B98B7A2E6}"/>
              </a:ext>
            </a:extLst>
          </xdr:cNvPr>
          <xdr:cNvSpPr txBox="1"/>
        </xdr:nvSpPr>
        <xdr:spPr>
          <a:xfrm>
            <a:off x="4145757" y="6465095"/>
            <a:ext cx="1216818" cy="38576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kumimoji="1" lang="en-US" altLang="ja-JP" sz="1000">
                <a:latin typeface="Meiryo UI" panose="020B0604030504040204" pitchFamily="50" charset="-128"/>
                <a:ea typeface="Meiryo UI" panose="020B0604030504040204" pitchFamily="50" charset="-128"/>
              </a:rPr>
              <a:t>[</a:t>
            </a:r>
            <a:r>
              <a:rPr kumimoji="1" lang="ja-JP" altLang="en-US" sz="1000">
                <a:latin typeface="Meiryo UI" panose="020B0604030504040204" pitchFamily="50" charset="-128"/>
                <a:ea typeface="Meiryo UI" panose="020B0604030504040204" pitchFamily="50" charset="-128"/>
              </a:rPr>
              <a:t>処理</a:t>
            </a:r>
            <a:r>
              <a:rPr kumimoji="1" lang="en-US" altLang="ja-JP" sz="1000">
                <a:latin typeface="Meiryo UI" panose="020B0604030504040204" pitchFamily="50" charset="-128"/>
                <a:ea typeface="Meiryo UI" panose="020B0604030504040204" pitchFamily="50" charset="-128"/>
              </a:rPr>
              <a:t>]</a:t>
            </a:r>
            <a:endParaRPr kumimoji="1" lang="ja-JP" altLang="en-US" sz="1000"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</xdr:grpSp>
    <xdr:clientData/>
  </xdr:twoCellAnchor>
  <xdr:twoCellAnchor>
    <xdr:from>
      <xdr:col>31</xdr:col>
      <xdr:colOff>80635</xdr:colOff>
      <xdr:row>28</xdr:row>
      <xdr:rowOff>85675</xdr:rowOff>
    </xdr:from>
    <xdr:to>
      <xdr:col>38</xdr:col>
      <xdr:colOff>95754</xdr:colOff>
      <xdr:row>31</xdr:row>
      <xdr:rowOff>95754</xdr:rowOff>
    </xdr:to>
    <xdr:grpSp>
      <xdr:nvGrpSpPr>
        <xdr:cNvPr id="74" name="グループ化 73">
          <a:extLst>
            <a:ext uri="{FF2B5EF4-FFF2-40B4-BE49-F238E27FC236}">
              <a16:creationId xmlns:a16="http://schemas.microsoft.com/office/drawing/2014/main" id="{FF0D0B22-6536-4027-B86A-174FC6CCB3DC}"/>
            </a:ext>
          </a:extLst>
        </xdr:cNvPr>
        <xdr:cNvGrpSpPr/>
      </xdr:nvGrpSpPr>
      <xdr:grpSpPr>
        <a:xfrm>
          <a:off x="5592435" y="5419675"/>
          <a:ext cx="1259719" cy="581579"/>
          <a:chOff x="6017381" y="6405437"/>
          <a:chExt cx="1355675" cy="584603"/>
        </a:xfrm>
      </xdr:grpSpPr>
      <xdr:sp macro="" textlink="">
        <xdr:nvSpPr>
          <xdr:cNvPr id="75" name="ひし形 74">
            <a:extLst>
              <a:ext uri="{FF2B5EF4-FFF2-40B4-BE49-F238E27FC236}">
                <a16:creationId xmlns:a16="http://schemas.microsoft.com/office/drawing/2014/main" id="{E18A5881-AD07-4725-A486-3699BC026356}"/>
              </a:ext>
            </a:extLst>
          </xdr:cNvPr>
          <xdr:cNvSpPr/>
        </xdr:nvSpPr>
        <xdr:spPr>
          <a:xfrm>
            <a:off x="6028662" y="6407868"/>
            <a:ext cx="1337699" cy="579287"/>
          </a:xfrm>
          <a:prstGeom prst="diamond">
            <a:avLst/>
          </a:prstGeom>
          <a:solidFill>
            <a:schemeClr val="bg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endParaRPr kumimoji="1" lang="en-US" altLang="ja-JP" sz="1000">
              <a:solidFill>
                <a:schemeClr val="tx1"/>
              </a:solidFill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  <xdr:sp macro="" textlink="">
        <xdr:nvSpPr>
          <xdr:cNvPr id="76" name="テキスト ボックス 75">
            <a:extLst>
              <a:ext uri="{FF2B5EF4-FFF2-40B4-BE49-F238E27FC236}">
                <a16:creationId xmlns:a16="http://schemas.microsoft.com/office/drawing/2014/main" id="{88F0D330-3FC2-44F7-901F-FB10BFFF772C}"/>
              </a:ext>
            </a:extLst>
          </xdr:cNvPr>
          <xdr:cNvSpPr txBox="1"/>
        </xdr:nvSpPr>
        <xdr:spPr>
          <a:xfrm>
            <a:off x="6017381" y="6405437"/>
            <a:ext cx="1355675" cy="58460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kumimoji="1" lang="en-US" altLang="ja-JP" sz="1000">
                <a:latin typeface="Meiryo UI" panose="020B0604030504040204" pitchFamily="50" charset="-128"/>
                <a:ea typeface="Meiryo UI" panose="020B0604030504040204" pitchFamily="50" charset="-128"/>
              </a:rPr>
              <a:t>[</a:t>
            </a:r>
            <a:r>
              <a:rPr kumimoji="1" lang="ja-JP" altLang="en-US" sz="1000">
                <a:latin typeface="Meiryo UI" panose="020B0604030504040204" pitchFamily="50" charset="-128"/>
                <a:ea typeface="Meiryo UI" panose="020B0604030504040204" pitchFamily="50" charset="-128"/>
              </a:rPr>
              <a:t>条件</a:t>
            </a:r>
            <a:r>
              <a:rPr kumimoji="1" lang="en-US" altLang="ja-JP" sz="1000">
                <a:latin typeface="Meiryo UI" panose="020B0604030504040204" pitchFamily="50" charset="-128"/>
                <a:ea typeface="Meiryo UI" panose="020B0604030504040204" pitchFamily="50" charset="-128"/>
              </a:rPr>
              <a:t>]</a:t>
            </a:r>
            <a:endParaRPr kumimoji="1" lang="ja-JP" altLang="en-US" sz="1000"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</xdr:grpSp>
    <xdr:clientData/>
  </xdr:twoCellAnchor>
  <xdr:twoCellAnchor>
    <xdr:from>
      <xdr:col>41</xdr:col>
      <xdr:colOff>176389</xdr:colOff>
      <xdr:row>28</xdr:row>
      <xdr:rowOff>155789</xdr:rowOff>
    </xdr:from>
    <xdr:to>
      <xdr:col>47</xdr:col>
      <xdr:colOff>176389</xdr:colOff>
      <xdr:row>31</xdr:row>
      <xdr:rowOff>25115</xdr:rowOff>
    </xdr:to>
    <xdr:grpSp>
      <xdr:nvGrpSpPr>
        <xdr:cNvPr id="77" name="グループ化 76">
          <a:extLst>
            <a:ext uri="{FF2B5EF4-FFF2-40B4-BE49-F238E27FC236}">
              <a16:creationId xmlns:a16="http://schemas.microsoft.com/office/drawing/2014/main" id="{6B0A9875-3176-4593-A59D-BAB5BA7D8786}"/>
            </a:ext>
          </a:extLst>
        </xdr:cNvPr>
        <xdr:cNvGrpSpPr/>
      </xdr:nvGrpSpPr>
      <xdr:grpSpPr>
        <a:xfrm>
          <a:off x="7466189" y="5489789"/>
          <a:ext cx="1066800" cy="440826"/>
          <a:chOff x="8028214" y="6489874"/>
          <a:chExt cx="1149048" cy="443850"/>
        </a:xfrm>
      </xdr:grpSpPr>
      <xdr:sp macro="" textlink="">
        <xdr:nvSpPr>
          <xdr:cNvPr id="78" name="四角形: 上の 2 つの角を切り取る 77">
            <a:extLst>
              <a:ext uri="{FF2B5EF4-FFF2-40B4-BE49-F238E27FC236}">
                <a16:creationId xmlns:a16="http://schemas.microsoft.com/office/drawing/2014/main" id="{9D644EB0-5787-498F-BD60-4A379AC39818}"/>
              </a:ext>
            </a:extLst>
          </xdr:cNvPr>
          <xdr:cNvSpPr/>
        </xdr:nvSpPr>
        <xdr:spPr>
          <a:xfrm>
            <a:off x="8036794" y="6489874"/>
            <a:ext cx="1131534" cy="443850"/>
          </a:xfrm>
          <a:prstGeom prst="snip2SameRect">
            <a:avLst>
              <a:gd name="adj1" fmla="val 38096"/>
              <a:gd name="adj2" fmla="val 0"/>
            </a:avLst>
          </a:prstGeom>
          <a:solidFill>
            <a:schemeClr val="bg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endParaRPr kumimoji="1" lang="ja-JP" altLang="en-US" sz="1000">
              <a:solidFill>
                <a:schemeClr val="tx1"/>
              </a:solidFill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  <xdr:sp macro="" textlink="">
        <xdr:nvSpPr>
          <xdr:cNvPr id="79" name="テキスト ボックス 78">
            <a:extLst>
              <a:ext uri="{FF2B5EF4-FFF2-40B4-BE49-F238E27FC236}">
                <a16:creationId xmlns:a16="http://schemas.microsoft.com/office/drawing/2014/main" id="{DE7B027C-905D-4E00-8DA2-58A98252C25F}"/>
              </a:ext>
            </a:extLst>
          </xdr:cNvPr>
          <xdr:cNvSpPr txBox="1"/>
        </xdr:nvSpPr>
        <xdr:spPr>
          <a:xfrm>
            <a:off x="8028214" y="6546548"/>
            <a:ext cx="1149048" cy="38539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kumimoji="1" lang="en-US" altLang="ja-JP" sz="1000">
                <a:latin typeface="Meiryo UI" panose="020B0604030504040204" pitchFamily="50" charset="-128"/>
                <a:ea typeface="Meiryo UI" panose="020B0604030504040204" pitchFamily="50" charset="-128"/>
              </a:rPr>
              <a:t>[</a:t>
            </a:r>
            <a:r>
              <a:rPr kumimoji="1" lang="ja-JP" altLang="en-US" sz="1000">
                <a:latin typeface="Meiryo UI" panose="020B0604030504040204" pitchFamily="50" charset="-128"/>
                <a:ea typeface="Meiryo UI" panose="020B0604030504040204" pitchFamily="50" charset="-128"/>
              </a:rPr>
              <a:t>ループ名</a:t>
            </a:r>
            <a:r>
              <a:rPr kumimoji="1" lang="en-US" altLang="ja-JP" sz="1000">
                <a:latin typeface="Meiryo UI" panose="020B0604030504040204" pitchFamily="50" charset="-128"/>
                <a:ea typeface="Meiryo UI" panose="020B0604030504040204" pitchFamily="50" charset="-128"/>
              </a:rPr>
              <a:t>]</a:t>
            </a:r>
            <a:endParaRPr kumimoji="1" lang="ja-JP" altLang="en-US" sz="1000"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</xdr:grpSp>
    <xdr:clientData/>
  </xdr:twoCellAnchor>
  <xdr:twoCellAnchor>
    <xdr:from>
      <xdr:col>52</xdr:col>
      <xdr:colOff>16710</xdr:colOff>
      <xdr:row>28</xdr:row>
      <xdr:rowOff>162950</xdr:rowOff>
    </xdr:from>
    <xdr:to>
      <xdr:col>58</xdr:col>
      <xdr:colOff>18510</xdr:colOff>
      <xdr:row>31</xdr:row>
      <xdr:rowOff>32276</xdr:rowOff>
    </xdr:to>
    <xdr:grpSp>
      <xdr:nvGrpSpPr>
        <xdr:cNvPr id="80" name="グループ化 79">
          <a:extLst>
            <a:ext uri="{FF2B5EF4-FFF2-40B4-BE49-F238E27FC236}">
              <a16:creationId xmlns:a16="http://schemas.microsoft.com/office/drawing/2014/main" id="{2922C360-5833-485E-917F-717FA438C598}"/>
            </a:ext>
          </a:extLst>
        </xdr:cNvPr>
        <xdr:cNvGrpSpPr/>
      </xdr:nvGrpSpPr>
      <xdr:grpSpPr>
        <a:xfrm>
          <a:off x="9262310" y="5496950"/>
          <a:ext cx="1068600" cy="440826"/>
          <a:chOff x="9948334" y="6489874"/>
          <a:chExt cx="1149048" cy="443850"/>
        </a:xfrm>
      </xdr:grpSpPr>
      <xdr:sp macro="" textlink="">
        <xdr:nvSpPr>
          <xdr:cNvPr id="81" name="四角形: 上の 2 つの角を切り取る 80">
            <a:extLst>
              <a:ext uri="{FF2B5EF4-FFF2-40B4-BE49-F238E27FC236}">
                <a16:creationId xmlns:a16="http://schemas.microsoft.com/office/drawing/2014/main" id="{A2EF9082-CC53-4BD4-AABE-1C051C7FB242}"/>
              </a:ext>
            </a:extLst>
          </xdr:cNvPr>
          <xdr:cNvSpPr/>
        </xdr:nvSpPr>
        <xdr:spPr>
          <a:xfrm>
            <a:off x="9951874" y="6489874"/>
            <a:ext cx="1131533" cy="443850"/>
          </a:xfrm>
          <a:prstGeom prst="snip2SameRect">
            <a:avLst>
              <a:gd name="adj1" fmla="val 0"/>
              <a:gd name="adj2" fmla="val 37500"/>
            </a:avLst>
          </a:prstGeom>
          <a:solidFill>
            <a:schemeClr val="bg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endParaRPr kumimoji="1" lang="ja-JP" altLang="en-US" sz="1000">
              <a:solidFill>
                <a:schemeClr val="tx1"/>
              </a:solidFill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  <xdr:sp macro="" textlink="">
        <xdr:nvSpPr>
          <xdr:cNvPr id="82" name="テキスト ボックス 81">
            <a:extLst>
              <a:ext uri="{FF2B5EF4-FFF2-40B4-BE49-F238E27FC236}">
                <a16:creationId xmlns:a16="http://schemas.microsoft.com/office/drawing/2014/main" id="{329B5029-1526-46E5-A57A-981F1B8F1306}"/>
              </a:ext>
            </a:extLst>
          </xdr:cNvPr>
          <xdr:cNvSpPr txBox="1"/>
        </xdr:nvSpPr>
        <xdr:spPr>
          <a:xfrm>
            <a:off x="9948334" y="6496151"/>
            <a:ext cx="1149048" cy="38539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kumimoji="1" lang="en-US" altLang="ja-JP" sz="1000">
                <a:latin typeface="Meiryo UI" panose="020B0604030504040204" pitchFamily="50" charset="-128"/>
                <a:ea typeface="Meiryo UI" panose="020B0604030504040204" pitchFamily="50" charset="-128"/>
              </a:rPr>
              <a:t>[</a:t>
            </a:r>
            <a:r>
              <a:rPr kumimoji="1" lang="ja-JP" altLang="en-US" sz="1000">
                <a:latin typeface="Meiryo UI" panose="020B0604030504040204" pitchFamily="50" charset="-128"/>
                <a:ea typeface="Meiryo UI" panose="020B0604030504040204" pitchFamily="50" charset="-128"/>
              </a:rPr>
              <a:t>ループ名</a:t>
            </a:r>
            <a:r>
              <a:rPr kumimoji="1" lang="en-US" altLang="ja-JP" sz="1000">
                <a:latin typeface="Meiryo UI" panose="020B0604030504040204" pitchFamily="50" charset="-128"/>
                <a:ea typeface="Meiryo UI" panose="020B0604030504040204" pitchFamily="50" charset="-128"/>
              </a:rPr>
              <a:t>]</a:t>
            </a:r>
            <a:endParaRPr kumimoji="1" lang="ja-JP" altLang="en-US" sz="1000"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</xdr:grpSp>
    <xdr:clientData/>
  </xdr:twoCellAnchor>
  <xdr:twoCellAnchor>
    <xdr:from>
      <xdr:col>22</xdr:col>
      <xdr:colOff>57559</xdr:colOff>
      <xdr:row>32</xdr:row>
      <xdr:rowOff>136261</xdr:rowOff>
    </xdr:from>
    <xdr:to>
      <xdr:col>27</xdr:col>
      <xdr:colOff>127525</xdr:colOff>
      <xdr:row>35</xdr:row>
      <xdr:rowOff>68563</xdr:rowOff>
    </xdr:to>
    <xdr:grpSp>
      <xdr:nvGrpSpPr>
        <xdr:cNvPr id="83" name="グループ化 82">
          <a:extLst>
            <a:ext uri="{FF2B5EF4-FFF2-40B4-BE49-F238E27FC236}">
              <a16:creationId xmlns:a16="http://schemas.microsoft.com/office/drawing/2014/main" id="{1EC54B6E-5700-4FF1-B143-3813EB67E72E}"/>
            </a:ext>
          </a:extLst>
        </xdr:cNvPr>
        <xdr:cNvGrpSpPr/>
      </xdr:nvGrpSpPr>
      <xdr:grpSpPr>
        <a:xfrm>
          <a:off x="3969159" y="6232261"/>
          <a:ext cx="958966" cy="503802"/>
          <a:chOff x="4263571" y="7214893"/>
          <a:chExt cx="1027505" cy="506825"/>
        </a:xfrm>
      </xdr:grpSpPr>
      <xdr:sp macro="" textlink="">
        <xdr:nvSpPr>
          <xdr:cNvPr id="84" name="フローチャート: 他ページ結合子 83">
            <a:extLst>
              <a:ext uri="{FF2B5EF4-FFF2-40B4-BE49-F238E27FC236}">
                <a16:creationId xmlns:a16="http://schemas.microsoft.com/office/drawing/2014/main" id="{B131A4CB-D6C3-46D6-AFC0-A57FDC8C86D0}"/>
              </a:ext>
            </a:extLst>
          </xdr:cNvPr>
          <xdr:cNvSpPr/>
        </xdr:nvSpPr>
        <xdr:spPr>
          <a:xfrm>
            <a:off x="4264264" y="7214893"/>
            <a:ext cx="1026812" cy="506825"/>
          </a:xfrm>
          <a:prstGeom prst="flowChartOffpageConnector">
            <a:avLst/>
          </a:prstGeom>
          <a:solidFill>
            <a:schemeClr val="bg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lang="ja-JP" altLang="ja-JP" sz="900">
              <a:solidFill>
                <a:schemeClr val="tx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  <xdr:sp macro="" textlink="">
        <xdr:nvSpPr>
          <xdr:cNvPr id="85" name="テキスト ボックス 84">
            <a:extLst>
              <a:ext uri="{FF2B5EF4-FFF2-40B4-BE49-F238E27FC236}">
                <a16:creationId xmlns:a16="http://schemas.microsoft.com/office/drawing/2014/main" id="{30975A29-82CF-4FF4-8204-D9B8A13104CF}"/>
              </a:ext>
            </a:extLst>
          </xdr:cNvPr>
          <xdr:cNvSpPr txBox="1"/>
        </xdr:nvSpPr>
        <xdr:spPr>
          <a:xfrm>
            <a:off x="4263571" y="7231944"/>
            <a:ext cx="1023056" cy="3602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kumimoji="1" lang="en-US" altLang="ja-JP" sz="1000">
                <a:latin typeface="Meiryo UI" panose="020B0604030504040204" pitchFamily="50" charset="-128"/>
                <a:ea typeface="Meiryo UI" panose="020B0604030504040204" pitchFamily="50" charset="-128"/>
              </a:rPr>
              <a:t>[</a:t>
            </a:r>
            <a:r>
              <a:rPr kumimoji="1" lang="ja-JP" altLang="en-US" sz="1000">
                <a:latin typeface="Meiryo UI" panose="020B0604030504040204" pitchFamily="50" charset="-128"/>
                <a:ea typeface="Meiryo UI" panose="020B0604030504040204" pitchFamily="50" charset="-128"/>
              </a:rPr>
              <a:t>参照</a:t>
            </a:r>
            <a:r>
              <a:rPr kumimoji="1" lang="en-US" altLang="ja-JP" sz="1000">
                <a:latin typeface="Meiryo UI" panose="020B0604030504040204" pitchFamily="50" charset="-128"/>
                <a:ea typeface="Meiryo UI" panose="020B0604030504040204" pitchFamily="50" charset="-128"/>
              </a:rPr>
              <a:t>]</a:t>
            </a:r>
            <a:endParaRPr kumimoji="1" lang="ja-JP" altLang="en-US" sz="1000"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</xdr:grpSp>
    <xdr:clientData/>
  </xdr:twoCellAnchor>
  <xdr:twoCellAnchor>
    <xdr:from>
      <xdr:col>13</xdr:col>
      <xdr:colOff>5772</xdr:colOff>
      <xdr:row>32</xdr:row>
      <xdr:rowOff>40318</xdr:rowOff>
    </xdr:from>
    <xdr:to>
      <xdr:col>16</xdr:col>
      <xdr:colOff>104507</xdr:colOff>
      <xdr:row>35</xdr:row>
      <xdr:rowOff>151192</xdr:rowOff>
    </xdr:to>
    <xdr:grpSp>
      <xdr:nvGrpSpPr>
        <xdr:cNvPr id="86" name="グループ化 85">
          <a:extLst>
            <a:ext uri="{FF2B5EF4-FFF2-40B4-BE49-F238E27FC236}">
              <a16:creationId xmlns:a16="http://schemas.microsoft.com/office/drawing/2014/main" id="{A69027DD-1DA3-443E-97EB-F9E32EA312B5}"/>
            </a:ext>
          </a:extLst>
        </xdr:cNvPr>
        <xdr:cNvGrpSpPr/>
      </xdr:nvGrpSpPr>
      <xdr:grpSpPr>
        <a:xfrm>
          <a:off x="2317172" y="6136318"/>
          <a:ext cx="632135" cy="682374"/>
          <a:chOff x="2516860" y="7126111"/>
          <a:chExt cx="673259" cy="685397"/>
        </a:xfrm>
      </xdr:grpSpPr>
      <xdr:sp macro="" textlink="">
        <xdr:nvSpPr>
          <xdr:cNvPr id="87" name="フローチャート: 結合子 86">
            <a:extLst>
              <a:ext uri="{FF2B5EF4-FFF2-40B4-BE49-F238E27FC236}">
                <a16:creationId xmlns:a16="http://schemas.microsoft.com/office/drawing/2014/main" id="{9FC354E9-F774-428F-AC64-A8D889E6B898}"/>
              </a:ext>
            </a:extLst>
          </xdr:cNvPr>
          <xdr:cNvSpPr>
            <a:spLocks noChangeAspect="1"/>
          </xdr:cNvSpPr>
        </xdr:nvSpPr>
        <xdr:spPr>
          <a:xfrm>
            <a:off x="2516860" y="7132101"/>
            <a:ext cx="672410" cy="672409"/>
          </a:xfrm>
          <a:prstGeom prst="flowChartConnector">
            <a:avLst/>
          </a:prstGeom>
          <a:solidFill>
            <a:schemeClr val="bg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lIns="36000" rIns="36000" rtlCol="0" anchor="ctr" anchorCtr="1"/>
          <a:lstStyle/>
          <a:p>
            <a:pPr algn="ctr"/>
            <a:endParaRPr kumimoji="1" lang="en-US" altLang="ja-JP" sz="1000">
              <a:solidFill>
                <a:schemeClr val="tx1"/>
              </a:solidFill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  <xdr:sp macro="" textlink="">
        <xdr:nvSpPr>
          <xdr:cNvPr id="88" name="テキスト ボックス 87">
            <a:extLst>
              <a:ext uri="{FF2B5EF4-FFF2-40B4-BE49-F238E27FC236}">
                <a16:creationId xmlns:a16="http://schemas.microsoft.com/office/drawing/2014/main" id="{34363D54-9E45-4731-B8A0-D3DD01765B53}"/>
              </a:ext>
            </a:extLst>
          </xdr:cNvPr>
          <xdr:cNvSpPr txBox="1"/>
        </xdr:nvSpPr>
        <xdr:spPr>
          <a:xfrm>
            <a:off x="2524881" y="7126111"/>
            <a:ext cx="665238" cy="68539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kumimoji="1" lang="en-US" altLang="ja-JP" sz="1000">
                <a:latin typeface="Meiryo UI" panose="020B0604030504040204" pitchFamily="50" charset="-128"/>
                <a:ea typeface="Meiryo UI" panose="020B0604030504040204" pitchFamily="50" charset="-128"/>
              </a:rPr>
              <a:t>[</a:t>
            </a:r>
            <a:r>
              <a:rPr kumimoji="1" lang="ja-JP" altLang="en-US" sz="1000">
                <a:latin typeface="Meiryo UI" panose="020B0604030504040204" pitchFamily="50" charset="-128"/>
                <a:ea typeface="Meiryo UI" panose="020B0604030504040204" pitchFamily="50" charset="-128"/>
              </a:rPr>
              <a:t>参照</a:t>
            </a:r>
            <a:r>
              <a:rPr kumimoji="1" lang="en-US" altLang="ja-JP" sz="1000">
                <a:latin typeface="Meiryo UI" panose="020B0604030504040204" pitchFamily="50" charset="-128"/>
                <a:ea typeface="Meiryo UI" panose="020B0604030504040204" pitchFamily="50" charset="-128"/>
              </a:rPr>
              <a:t>]</a:t>
            </a:r>
            <a:endParaRPr kumimoji="1" lang="ja-JP" altLang="en-US" sz="1000"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</xdr:grpSp>
    <xdr:clientData/>
  </xdr:twoCellAnchor>
  <xdr:twoCellAnchor>
    <xdr:from>
      <xdr:col>0</xdr:col>
      <xdr:colOff>159561</xdr:colOff>
      <xdr:row>32</xdr:row>
      <xdr:rowOff>154798</xdr:rowOff>
    </xdr:from>
    <xdr:to>
      <xdr:col>9</xdr:col>
      <xdr:colOff>45261</xdr:colOff>
      <xdr:row>35</xdr:row>
      <xdr:rowOff>59548</xdr:rowOff>
    </xdr:to>
    <xdr:grpSp>
      <xdr:nvGrpSpPr>
        <xdr:cNvPr id="89" name="グループ化 88">
          <a:extLst>
            <a:ext uri="{FF2B5EF4-FFF2-40B4-BE49-F238E27FC236}">
              <a16:creationId xmlns:a16="http://schemas.microsoft.com/office/drawing/2014/main" id="{DD05DF0A-EE77-4B78-B557-132D1B746BC8}"/>
            </a:ext>
          </a:extLst>
        </xdr:cNvPr>
        <xdr:cNvGrpSpPr/>
      </xdr:nvGrpSpPr>
      <xdr:grpSpPr>
        <a:xfrm>
          <a:off x="159561" y="6250798"/>
          <a:ext cx="1485900" cy="476250"/>
          <a:chOff x="152400" y="7233431"/>
          <a:chExt cx="1609271" cy="479273"/>
        </a:xfrm>
      </xdr:grpSpPr>
      <xdr:sp macro="" textlink="">
        <xdr:nvSpPr>
          <xdr:cNvPr id="90" name="フローチャート: データ 89">
            <a:extLst>
              <a:ext uri="{FF2B5EF4-FFF2-40B4-BE49-F238E27FC236}">
                <a16:creationId xmlns:a16="http://schemas.microsoft.com/office/drawing/2014/main" id="{59AD1333-4847-42DE-8D55-C12EA1A3763B}"/>
              </a:ext>
            </a:extLst>
          </xdr:cNvPr>
          <xdr:cNvSpPr/>
        </xdr:nvSpPr>
        <xdr:spPr>
          <a:xfrm>
            <a:off x="152400" y="7233431"/>
            <a:ext cx="1609271" cy="479273"/>
          </a:xfrm>
          <a:prstGeom prst="flowChartInputOutput">
            <a:avLst/>
          </a:prstGeom>
          <a:solidFill>
            <a:schemeClr val="bg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endParaRPr kumimoji="1" lang="ja-JP" altLang="en-US" sz="1000">
              <a:solidFill>
                <a:schemeClr val="tx1"/>
              </a:solidFill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  <xdr:sp macro="" textlink="">
        <xdr:nvSpPr>
          <xdr:cNvPr id="91" name="テキスト ボックス 90">
            <a:extLst>
              <a:ext uri="{FF2B5EF4-FFF2-40B4-BE49-F238E27FC236}">
                <a16:creationId xmlns:a16="http://schemas.microsoft.com/office/drawing/2014/main" id="{6A9BB429-110B-4699-B15A-04AA40615226}"/>
              </a:ext>
            </a:extLst>
          </xdr:cNvPr>
          <xdr:cNvSpPr txBox="1"/>
        </xdr:nvSpPr>
        <xdr:spPr>
          <a:xfrm>
            <a:off x="468689" y="7236985"/>
            <a:ext cx="972660" cy="46365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kumimoji="1" lang="en-US" altLang="ja-JP" sz="1000">
                <a:latin typeface="Meiryo UI" panose="020B0604030504040204" pitchFamily="50" charset="-128"/>
                <a:ea typeface="Meiryo UI" panose="020B0604030504040204" pitchFamily="50" charset="-128"/>
              </a:rPr>
              <a:t>[</a:t>
            </a:r>
            <a:r>
              <a:rPr kumimoji="1" lang="ja-JP" altLang="en-US" sz="1000">
                <a:latin typeface="Meiryo UI" panose="020B0604030504040204" pitchFamily="50" charset="-128"/>
                <a:ea typeface="Meiryo UI" panose="020B0604030504040204" pitchFamily="50" charset="-128"/>
              </a:rPr>
              <a:t>入出力内容</a:t>
            </a:r>
            <a:r>
              <a:rPr kumimoji="1" lang="en-US" altLang="ja-JP" sz="1000">
                <a:latin typeface="Meiryo UI" panose="020B0604030504040204" pitchFamily="50" charset="-128"/>
                <a:ea typeface="Meiryo UI" panose="020B0604030504040204" pitchFamily="50" charset="-128"/>
              </a:rPr>
              <a:t>]</a:t>
            </a:r>
            <a:endParaRPr kumimoji="1" lang="ja-JP" altLang="en-US" sz="1000"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</xdr:grpSp>
    <xdr:clientData/>
  </xdr:twoCellAnchor>
  <xdr:twoCellAnchor>
    <xdr:from>
      <xdr:col>32</xdr:col>
      <xdr:colOff>123825</xdr:colOff>
      <xdr:row>34</xdr:row>
      <xdr:rowOff>9525</xdr:rowOff>
    </xdr:from>
    <xdr:to>
      <xdr:col>36</xdr:col>
      <xdr:colOff>85725</xdr:colOff>
      <xdr:row>34</xdr:row>
      <xdr:rowOff>10386</xdr:rowOff>
    </xdr:to>
    <xdr:cxnSp macro="">
      <xdr:nvCxnSpPr>
        <xdr:cNvPr id="92" name="直線矢印コネクタ 91">
          <a:extLst>
            <a:ext uri="{FF2B5EF4-FFF2-40B4-BE49-F238E27FC236}">
              <a16:creationId xmlns:a16="http://schemas.microsoft.com/office/drawing/2014/main" id="{099A5149-1AC9-4457-A1F7-E82056D94192}"/>
            </a:ext>
          </a:extLst>
        </xdr:cNvPr>
        <xdr:cNvCxnSpPr>
          <a:cxnSpLocks/>
        </xdr:cNvCxnSpPr>
      </xdr:nvCxnSpPr>
      <xdr:spPr>
        <a:xfrm>
          <a:off x="6219825" y="6867525"/>
          <a:ext cx="723900" cy="861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8</xdr:col>
      <xdr:colOff>131445</xdr:colOff>
      <xdr:row>6</xdr:row>
      <xdr:rowOff>17145</xdr:rowOff>
    </xdr:from>
    <xdr:to>
      <xdr:col>49</xdr:col>
      <xdr:colOff>2899</xdr:colOff>
      <xdr:row>11</xdr:row>
      <xdr:rowOff>116075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6A688E89-270F-E6A1-6AFF-8E5ADD388B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79245" y="1160145"/>
          <a:ext cx="7291429" cy="105143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EEACDD-94CD-4589-A523-91D283294AB3}">
  <dimension ref="A2:AE35"/>
  <sheetViews>
    <sheetView showGridLines="0" zoomScaleNormal="100" workbookViewId="0"/>
  </sheetViews>
  <sheetFormatPr defaultColWidth="2.5" defaultRowHeight="15"/>
  <cols>
    <col min="1" max="16384" width="2.5" style="43"/>
  </cols>
  <sheetData>
    <row r="2" spans="1:31">
      <c r="C2" s="44"/>
      <c r="D2" s="44"/>
      <c r="E2" s="44"/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</row>
    <row r="3" spans="1:31">
      <c r="B3" s="44" t="s">
        <v>0</v>
      </c>
    </row>
    <row r="4" spans="1:31" ht="15.75" customHeight="1">
      <c r="A4" s="45"/>
      <c r="B4" s="45"/>
      <c r="C4" s="45"/>
      <c r="D4" s="45"/>
      <c r="E4" s="45"/>
      <c r="F4" s="45"/>
      <c r="G4" s="45"/>
      <c r="H4" s="45"/>
      <c r="I4" s="45"/>
      <c r="J4" s="178"/>
      <c r="K4" s="178"/>
      <c r="L4" s="178"/>
    </row>
    <row r="5" spans="1:31" ht="15.75" customHeight="1">
      <c r="A5" s="46"/>
      <c r="B5" s="46"/>
      <c r="C5" s="46"/>
      <c r="D5" s="46"/>
      <c r="E5" s="46"/>
      <c r="F5" s="46"/>
      <c r="G5" s="46"/>
      <c r="H5" s="46"/>
      <c r="I5" s="46"/>
      <c r="J5" s="179"/>
      <c r="K5" s="179"/>
      <c r="L5" s="179"/>
    </row>
    <row r="10" spans="1:31" ht="15" customHeight="1">
      <c r="B10" s="180" t="s">
        <v>1</v>
      </c>
      <c r="C10" s="181"/>
      <c r="D10" s="181"/>
      <c r="E10" s="181"/>
      <c r="F10" s="181"/>
      <c r="G10" s="181"/>
      <c r="H10" s="181"/>
      <c r="I10" s="181"/>
      <c r="J10" s="181"/>
      <c r="K10" s="181"/>
      <c r="L10" s="181"/>
      <c r="M10" s="181"/>
      <c r="N10" s="181"/>
      <c r="O10" s="181"/>
      <c r="P10" s="181"/>
      <c r="Q10" s="181"/>
      <c r="R10" s="181"/>
      <c r="S10" s="181"/>
      <c r="T10" s="181"/>
      <c r="U10" s="181"/>
      <c r="V10" s="181"/>
      <c r="W10" s="181"/>
      <c r="X10" s="181"/>
      <c r="Y10" s="181"/>
      <c r="Z10" s="181"/>
      <c r="AA10" s="181"/>
      <c r="AB10" s="181"/>
      <c r="AC10" s="181"/>
      <c r="AD10" s="181"/>
      <c r="AE10" s="182"/>
    </row>
    <row r="11" spans="1:31" ht="15" customHeight="1">
      <c r="B11" s="183"/>
      <c r="C11" s="184"/>
      <c r="D11" s="184"/>
      <c r="E11" s="184"/>
      <c r="F11" s="184"/>
      <c r="G11" s="184"/>
      <c r="H11" s="184"/>
      <c r="I11" s="184"/>
      <c r="J11" s="184"/>
      <c r="K11" s="184"/>
      <c r="L11" s="184"/>
      <c r="M11" s="184"/>
      <c r="N11" s="184"/>
      <c r="O11" s="184"/>
      <c r="P11" s="184"/>
      <c r="Q11" s="184"/>
      <c r="R11" s="184"/>
      <c r="S11" s="184"/>
      <c r="T11" s="184"/>
      <c r="U11" s="184"/>
      <c r="V11" s="184"/>
      <c r="W11" s="184"/>
      <c r="X11" s="184"/>
      <c r="Y11" s="184"/>
      <c r="Z11" s="184"/>
      <c r="AA11" s="184"/>
      <c r="AB11" s="184"/>
      <c r="AC11" s="184"/>
      <c r="AD11" s="184"/>
      <c r="AE11" s="185"/>
    </row>
    <row r="12" spans="1:31" ht="15" customHeight="1">
      <c r="B12" s="183"/>
      <c r="C12" s="184"/>
      <c r="D12" s="184"/>
      <c r="E12" s="184"/>
      <c r="F12" s="184"/>
      <c r="G12" s="184"/>
      <c r="H12" s="184"/>
      <c r="I12" s="184"/>
      <c r="J12" s="184"/>
      <c r="K12" s="184"/>
      <c r="L12" s="184"/>
      <c r="M12" s="184"/>
      <c r="N12" s="184"/>
      <c r="O12" s="184"/>
      <c r="P12" s="184"/>
      <c r="Q12" s="184"/>
      <c r="R12" s="184"/>
      <c r="S12" s="184"/>
      <c r="T12" s="184"/>
      <c r="U12" s="184"/>
      <c r="V12" s="184"/>
      <c r="W12" s="184"/>
      <c r="X12" s="184"/>
      <c r="Y12" s="184"/>
      <c r="Z12" s="184"/>
      <c r="AA12" s="184"/>
      <c r="AB12" s="184"/>
      <c r="AC12" s="184"/>
      <c r="AD12" s="184"/>
      <c r="AE12" s="185"/>
    </row>
    <row r="13" spans="1:31" ht="15" customHeight="1">
      <c r="B13" s="183"/>
      <c r="C13" s="184"/>
      <c r="D13" s="184"/>
      <c r="E13" s="184"/>
      <c r="F13" s="184"/>
      <c r="G13" s="184"/>
      <c r="H13" s="184"/>
      <c r="I13" s="184"/>
      <c r="J13" s="184"/>
      <c r="K13" s="184"/>
      <c r="L13" s="184"/>
      <c r="M13" s="184"/>
      <c r="N13" s="184"/>
      <c r="O13" s="184"/>
      <c r="P13" s="184"/>
      <c r="Q13" s="184"/>
      <c r="R13" s="184"/>
      <c r="S13" s="184"/>
      <c r="T13" s="184"/>
      <c r="U13" s="184"/>
      <c r="V13" s="184"/>
      <c r="W13" s="184"/>
      <c r="X13" s="184"/>
      <c r="Y13" s="184"/>
      <c r="Z13" s="184"/>
      <c r="AA13" s="184"/>
      <c r="AB13" s="184"/>
      <c r="AC13" s="184"/>
      <c r="AD13" s="184"/>
      <c r="AE13" s="185"/>
    </row>
    <row r="14" spans="1:31">
      <c r="B14" s="186" t="str">
        <f>変更履歴!W2&amp;"_設計書_"&amp;変更履歴!AE2</f>
        <v>FO-006_設計書_支払方法・支払サイトマスタ画面</v>
      </c>
      <c r="C14" s="178"/>
      <c r="D14" s="178"/>
      <c r="E14" s="178"/>
      <c r="F14" s="178"/>
      <c r="G14" s="178"/>
      <c r="H14" s="178"/>
      <c r="I14" s="178"/>
      <c r="J14" s="178"/>
      <c r="K14" s="178"/>
      <c r="L14" s="178"/>
      <c r="M14" s="178"/>
      <c r="N14" s="178"/>
      <c r="O14" s="178"/>
      <c r="P14" s="178"/>
      <c r="Q14" s="178"/>
      <c r="R14" s="178"/>
      <c r="S14" s="178"/>
      <c r="T14" s="178"/>
      <c r="U14" s="178"/>
      <c r="V14" s="178"/>
      <c r="W14" s="178"/>
      <c r="X14" s="178"/>
      <c r="Y14" s="178"/>
      <c r="Z14" s="178"/>
      <c r="AA14" s="178"/>
      <c r="AB14" s="178"/>
      <c r="AC14" s="178"/>
      <c r="AD14" s="178"/>
      <c r="AE14" s="187"/>
    </row>
    <row r="15" spans="1:31">
      <c r="B15" s="186"/>
      <c r="C15" s="178"/>
      <c r="D15" s="178"/>
      <c r="E15" s="178"/>
      <c r="F15" s="178"/>
      <c r="G15" s="178"/>
      <c r="H15" s="178"/>
      <c r="I15" s="178"/>
      <c r="J15" s="178"/>
      <c r="K15" s="178"/>
      <c r="L15" s="178"/>
      <c r="M15" s="178"/>
      <c r="N15" s="178"/>
      <c r="O15" s="178"/>
      <c r="P15" s="178"/>
      <c r="Q15" s="178"/>
      <c r="R15" s="178"/>
      <c r="S15" s="178"/>
      <c r="T15" s="178"/>
      <c r="U15" s="178"/>
      <c r="V15" s="178"/>
      <c r="W15" s="178"/>
      <c r="X15" s="178"/>
      <c r="Y15" s="178"/>
      <c r="Z15" s="178"/>
      <c r="AA15" s="178"/>
      <c r="AB15" s="178"/>
      <c r="AC15" s="178"/>
      <c r="AD15" s="178"/>
      <c r="AE15" s="187"/>
    </row>
    <row r="16" spans="1:31">
      <c r="B16" s="188"/>
      <c r="C16" s="189"/>
      <c r="D16" s="189"/>
      <c r="E16" s="189"/>
      <c r="F16" s="189"/>
      <c r="G16" s="189"/>
      <c r="H16" s="189"/>
      <c r="I16" s="189"/>
      <c r="J16" s="189"/>
      <c r="K16" s="189"/>
      <c r="L16" s="189"/>
      <c r="M16" s="189"/>
      <c r="N16" s="189"/>
      <c r="O16" s="189"/>
      <c r="P16" s="189"/>
      <c r="Q16" s="189"/>
      <c r="R16" s="189"/>
      <c r="S16" s="189"/>
      <c r="T16" s="189"/>
      <c r="U16" s="189"/>
      <c r="V16" s="189"/>
      <c r="W16" s="189"/>
      <c r="X16" s="189"/>
      <c r="Y16" s="189"/>
      <c r="Z16" s="189"/>
      <c r="AA16" s="189"/>
      <c r="AB16" s="189"/>
      <c r="AC16" s="189"/>
      <c r="AD16" s="189"/>
      <c r="AE16" s="190"/>
    </row>
    <row r="21" spans="2:31">
      <c r="AA21" s="27" t="s">
        <v>2</v>
      </c>
    </row>
    <row r="22" spans="2:31">
      <c r="B22" s="174" t="str">
        <f ca="1">"第"&amp;IF(COUNTA(変更履歴!BF5:BH10000)=1,"",INDIRECT("変更履歴!BE"&amp;COUNTA(変更履歴!BF5:BH10000)+4))&amp;"版"</f>
        <v>第版</v>
      </c>
      <c r="C22" s="174"/>
      <c r="D22" s="174"/>
      <c r="E22" s="174"/>
      <c r="F22" s="174"/>
      <c r="G22" s="174"/>
      <c r="H22" s="174"/>
      <c r="I22" s="174"/>
      <c r="J22" s="174"/>
      <c r="K22" s="174"/>
      <c r="L22" s="174"/>
      <c r="M22" s="174"/>
      <c r="N22" s="174"/>
      <c r="O22" s="174"/>
      <c r="P22" s="174"/>
      <c r="Q22" s="174"/>
      <c r="R22" s="174"/>
      <c r="S22" s="174"/>
      <c r="T22" s="174"/>
      <c r="U22" s="174"/>
      <c r="V22" s="174"/>
      <c r="W22" s="174"/>
      <c r="X22" s="174"/>
      <c r="Y22" s="174"/>
      <c r="Z22" s="174"/>
      <c r="AA22" s="174"/>
      <c r="AB22" s="174"/>
      <c r="AC22" s="174"/>
      <c r="AD22" s="174"/>
      <c r="AE22" s="174"/>
    </row>
    <row r="23" spans="2:31">
      <c r="B23" s="174"/>
      <c r="C23" s="174"/>
      <c r="D23" s="174"/>
      <c r="E23" s="174"/>
      <c r="F23" s="174"/>
      <c r="G23" s="174"/>
      <c r="H23" s="174"/>
      <c r="I23" s="174"/>
      <c r="J23" s="174"/>
      <c r="K23" s="174"/>
      <c r="L23" s="174"/>
      <c r="M23" s="174"/>
      <c r="N23" s="174"/>
      <c r="O23" s="174"/>
      <c r="P23" s="174"/>
      <c r="Q23" s="174"/>
      <c r="R23" s="174"/>
      <c r="S23" s="174"/>
      <c r="T23" s="174"/>
      <c r="U23" s="174"/>
      <c r="V23" s="174"/>
      <c r="W23" s="174"/>
      <c r="X23" s="174"/>
      <c r="Y23" s="174"/>
      <c r="Z23" s="174"/>
      <c r="AA23" s="174"/>
      <c r="AB23" s="174"/>
      <c r="AC23" s="174"/>
      <c r="AD23" s="174"/>
      <c r="AE23" s="174"/>
    </row>
    <row r="24" spans="2:31">
      <c r="B24" s="177">
        <f ca="1">IF(OR(COUNTA(変更履歴!A:E)=2),"",INDIRECT("変更履歴!A"&amp;COUNTA(変更履歴!A:E)+3))</f>
        <v>45589</v>
      </c>
      <c r="C24" s="177"/>
      <c r="D24" s="177"/>
      <c r="E24" s="177"/>
      <c r="F24" s="177"/>
      <c r="G24" s="177"/>
      <c r="H24" s="177"/>
      <c r="I24" s="177"/>
      <c r="J24" s="177"/>
      <c r="K24" s="177"/>
      <c r="L24" s="177"/>
      <c r="M24" s="177"/>
      <c r="N24" s="177"/>
      <c r="O24" s="177"/>
      <c r="P24" s="177"/>
      <c r="Q24" s="177"/>
      <c r="R24" s="177"/>
      <c r="S24" s="177"/>
      <c r="T24" s="177"/>
      <c r="U24" s="177"/>
      <c r="V24" s="177"/>
      <c r="W24" s="177"/>
      <c r="X24" s="177"/>
      <c r="Y24" s="177"/>
      <c r="Z24" s="177"/>
      <c r="AA24" s="177"/>
      <c r="AB24" s="177"/>
      <c r="AC24" s="177"/>
      <c r="AD24" s="177"/>
      <c r="AE24" s="177"/>
    </row>
    <row r="25" spans="2:31">
      <c r="B25" s="177"/>
      <c r="C25" s="177"/>
      <c r="D25" s="177"/>
      <c r="E25" s="177"/>
      <c r="F25" s="177"/>
      <c r="G25" s="177"/>
      <c r="H25" s="177"/>
      <c r="I25" s="177"/>
      <c r="J25" s="177"/>
      <c r="K25" s="177"/>
      <c r="L25" s="177"/>
      <c r="M25" s="177"/>
      <c r="N25" s="177"/>
      <c r="O25" s="177"/>
      <c r="P25" s="177"/>
      <c r="Q25" s="177"/>
      <c r="R25" s="177"/>
      <c r="S25" s="177"/>
      <c r="T25" s="177"/>
      <c r="U25" s="177"/>
      <c r="V25" s="177"/>
      <c r="W25" s="177"/>
      <c r="X25" s="177"/>
      <c r="Y25" s="177"/>
      <c r="Z25" s="177"/>
      <c r="AA25" s="177"/>
      <c r="AB25" s="177"/>
      <c r="AC25" s="177"/>
      <c r="AD25" s="177"/>
      <c r="AE25" s="177"/>
    </row>
    <row r="26" spans="2:31">
      <c r="B26" s="174" t="s">
        <v>3</v>
      </c>
      <c r="C26" s="174"/>
      <c r="D26" s="174"/>
      <c r="E26" s="174"/>
      <c r="F26" s="174"/>
      <c r="G26" s="174"/>
      <c r="H26" s="174"/>
      <c r="I26" s="174"/>
      <c r="J26" s="174"/>
      <c r="K26" s="174"/>
      <c r="L26" s="174"/>
      <c r="M26" s="174"/>
      <c r="N26" s="174"/>
      <c r="O26" s="174"/>
      <c r="P26" s="174"/>
      <c r="Q26" s="174"/>
      <c r="R26" s="174"/>
      <c r="S26" s="174"/>
      <c r="T26" s="174"/>
      <c r="U26" s="174"/>
      <c r="V26" s="174"/>
      <c r="W26" s="174"/>
      <c r="X26" s="174"/>
      <c r="Y26" s="174"/>
      <c r="Z26" s="174"/>
      <c r="AA26" s="174"/>
      <c r="AB26" s="174"/>
      <c r="AC26" s="174"/>
      <c r="AD26" s="174"/>
      <c r="AE26" s="174"/>
    </row>
    <row r="27" spans="2:31">
      <c r="B27" s="174"/>
      <c r="C27" s="174"/>
      <c r="D27" s="174"/>
      <c r="E27" s="174"/>
      <c r="F27" s="174"/>
      <c r="G27" s="174"/>
      <c r="H27" s="174"/>
      <c r="I27" s="174"/>
      <c r="J27" s="174"/>
      <c r="K27" s="174"/>
      <c r="L27" s="174"/>
      <c r="M27" s="174"/>
      <c r="N27" s="174"/>
      <c r="O27" s="174"/>
      <c r="P27" s="174"/>
      <c r="Q27" s="174"/>
      <c r="R27" s="174"/>
      <c r="S27" s="174"/>
      <c r="T27" s="174"/>
      <c r="U27" s="174"/>
      <c r="V27" s="174"/>
      <c r="W27" s="174"/>
      <c r="X27" s="174"/>
      <c r="Y27" s="174"/>
      <c r="Z27" s="174"/>
      <c r="AA27" s="174"/>
      <c r="AB27" s="174"/>
      <c r="AC27" s="174"/>
      <c r="AD27" s="174"/>
      <c r="AE27" s="174"/>
    </row>
    <row r="29" spans="2:31">
      <c r="F29" s="169" t="s">
        <v>4</v>
      </c>
      <c r="G29" s="169"/>
      <c r="H29" s="169"/>
      <c r="I29" s="169"/>
      <c r="J29" s="169"/>
      <c r="K29" s="169"/>
      <c r="O29" s="175" t="s">
        <v>5</v>
      </c>
      <c r="P29" s="169"/>
      <c r="Q29" s="169"/>
      <c r="R29" s="169"/>
      <c r="V29" s="171" t="s">
        <v>6</v>
      </c>
      <c r="W29" s="171"/>
      <c r="X29" s="171"/>
      <c r="Y29" s="171"/>
      <c r="Z29" s="171"/>
      <c r="AA29" s="171"/>
    </row>
    <row r="30" spans="2:31">
      <c r="F30" s="172">
        <f>変更履歴!AV2</f>
        <v>45448</v>
      </c>
      <c r="G30" s="173"/>
      <c r="H30" s="173"/>
      <c r="I30" s="173"/>
      <c r="J30" s="173"/>
      <c r="K30" s="173"/>
      <c r="L30" s="19"/>
      <c r="N30" s="172">
        <v>45485</v>
      </c>
      <c r="O30" s="173"/>
      <c r="P30" s="173"/>
      <c r="Q30" s="173"/>
      <c r="R30" s="173"/>
      <c r="S30" s="176"/>
      <c r="V30" s="172">
        <v>45523</v>
      </c>
      <c r="W30" s="173"/>
      <c r="X30" s="173"/>
      <c r="Y30" s="173"/>
      <c r="Z30" s="173"/>
      <c r="AA30" s="173"/>
      <c r="AB30" s="19"/>
    </row>
    <row r="31" spans="2:31">
      <c r="F31" s="162" t="str">
        <f>変更履歴!BB2</f>
        <v>JBS井田</v>
      </c>
      <c r="G31" s="163"/>
      <c r="H31" s="163"/>
      <c r="I31" s="163"/>
      <c r="J31" s="163"/>
      <c r="K31" s="163"/>
      <c r="L31" s="19"/>
      <c r="N31" s="162" t="s">
        <v>7</v>
      </c>
      <c r="O31" s="163"/>
      <c r="P31" s="163"/>
      <c r="Q31" s="163"/>
      <c r="R31" s="163"/>
      <c r="S31" s="164"/>
      <c r="V31" s="162" t="s">
        <v>8</v>
      </c>
      <c r="W31" s="163"/>
      <c r="X31" s="163"/>
      <c r="Y31" s="163"/>
      <c r="Z31" s="163"/>
      <c r="AA31" s="163"/>
      <c r="AB31" s="19"/>
    </row>
    <row r="32" spans="2:31">
      <c r="F32" s="165"/>
      <c r="G32" s="166"/>
      <c r="H32" s="166"/>
      <c r="I32" s="166"/>
      <c r="J32" s="166"/>
      <c r="K32" s="166"/>
      <c r="L32" s="19"/>
      <c r="N32" s="165"/>
      <c r="O32" s="166"/>
      <c r="P32" s="166"/>
      <c r="Q32" s="166"/>
      <c r="R32" s="166"/>
      <c r="S32" s="167"/>
      <c r="V32" s="165"/>
      <c r="W32" s="166"/>
      <c r="X32" s="166"/>
      <c r="Y32" s="166"/>
      <c r="Z32" s="166"/>
      <c r="AA32" s="166"/>
      <c r="AB32" s="19"/>
    </row>
    <row r="33" spans="6:28">
      <c r="F33" s="165"/>
      <c r="G33" s="166"/>
      <c r="H33" s="166"/>
      <c r="I33" s="166"/>
      <c r="J33" s="166"/>
      <c r="K33" s="166"/>
      <c r="L33" s="19"/>
      <c r="N33" s="165"/>
      <c r="O33" s="166"/>
      <c r="P33" s="166"/>
      <c r="Q33" s="166"/>
      <c r="R33" s="166"/>
      <c r="S33" s="167"/>
      <c r="V33" s="165"/>
      <c r="W33" s="166"/>
      <c r="X33" s="166"/>
      <c r="Y33" s="166"/>
      <c r="Z33" s="166"/>
      <c r="AA33" s="166"/>
      <c r="AB33" s="19"/>
    </row>
    <row r="34" spans="6:28">
      <c r="F34" s="165"/>
      <c r="G34" s="166"/>
      <c r="H34" s="166"/>
      <c r="I34" s="166"/>
      <c r="J34" s="166"/>
      <c r="K34" s="166"/>
      <c r="L34" s="19"/>
      <c r="N34" s="165"/>
      <c r="O34" s="166"/>
      <c r="P34" s="166"/>
      <c r="Q34" s="166"/>
      <c r="R34" s="166"/>
      <c r="S34" s="167"/>
      <c r="V34" s="165"/>
      <c r="W34" s="166"/>
      <c r="X34" s="166"/>
      <c r="Y34" s="166"/>
      <c r="Z34" s="166"/>
      <c r="AA34" s="166"/>
      <c r="AB34" s="19"/>
    </row>
    <row r="35" spans="6:28">
      <c r="F35" s="168"/>
      <c r="G35" s="169"/>
      <c r="H35" s="169"/>
      <c r="I35" s="169"/>
      <c r="J35" s="169"/>
      <c r="K35" s="169"/>
      <c r="L35" s="19"/>
      <c r="N35" s="168"/>
      <c r="O35" s="169"/>
      <c r="P35" s="169"/>
      <c r="Q35" s="169"/>
      <c r="R35" s="169"/>
      <c r="S35" s="170"/>
      <c r="V35" s="168"/>
      <c r="W35" s="169"/>
      <c r="X35" s="169"/>
      <c r="Y35" s="169"/>
      <c r="Z35" s="169"/>
      <c r="AA35" s="169"/>
      <c r="AB35" s="19"/>
    </row>
  </sheetData>
  <mergeCells count="15">
    <mergeCell ref="B24:AE25"/>
    <mergeCell ref="J4:L5"/>
    <mergeCell ref="B10:AE13"/>
    <mergeCell ref="B14:AE16"/>
    <mergeCell ref="B22:AE23"/>
    <mergeCell ref="N31:S35"/>
    <mergeCell ref="V31:AA35"/>
    <mergeCell ref="V29:AA29"/>
    <mergeCell ref="V30:AA30"/>
    <mergeCell ref="B26:AE27"/>
    <mergeCell ref="F29:K29"/>
    <mergeCell ref="O29:R29"/>
    <mergeCell ref="F30:K30"/>
    <mergeCell ref="N30:S30"/>
    <mergeCell ref="F31:K35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scale="85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E21000-8ED4-49DE-896E-CA6035270F90}">
  <dimension ref="A1:BP40"/>
  <sheetViews>
    <sheetView showGridLines="0" zoomScaleNormal="100" workbookViewId="0">
      <pane ySplit="5" topLeftCell="A6" activePane="bottomLeft" state="frozen"/>
      <selection pane="bottomLeft" activeCell="A7" sqref="A7:XFD8"/>
    </sheetView>
  </sheetViews>
  <sheetFormatPr defaultColWidth="2.33203125" defaultRowHeight="15" customHeight="1"/>
  <cols>
    <col min="1" max="47" width="2.33203125" style="1"/>
    <col min="48" max="48" width="2.33203125" style="1" customWidth="1"/>
    <col min="49" max="16384" width="2.33203125" style="1"/>
  </cols>
  <sheetData>
    <row r="1" spans="1:68" s="41" customFormat="1" ht="15" customHeight="1" thickBot="1">
      <c r="A1" s="245" t="s">
        <v>9</v>
      </c>
      <c r="B1" s="246"/>
      <c r="C1" s="246"/>
      <c r="D1" s="246"/>
      <c r="E1" s="247"/>
      <c r="F1" s="254" t="s">
        <v>10</v>
      </c>
      <c r="G1" s="255"/>
      <c r="H1" s="255"/>
      <c r="I1" s="255"/>
      <c r="J1" s="255"/>
      <c r="K1" s="255"/>
      <c r="L1" s="255"/>
      <c r="M1" s="255"/>
      <c r="N1" s="255"/>
      <c r="O1" s="255"/>
      <c r="P1" s="256"/>
      <c r="Q1" s="257" t="s">
        <v>11</v>
      </c>
      <c r="R1" s="258"/>
      <c r="S1" s="258"/>
      <c r="T1" s="258"/>
      <c r="U1" s="258"/>
      <c r="V1" s="259"/>
      <c r="W1" s="254" t="s">
        <v>12</v>
      </c>
      <c r="X1" s="255"/>
      <c r="Y1" s="255"/>
      <c r="Z1" s="255"/>
      <c r="AA1" s="255"/>
      <c r="AB1" s="255"/>
      <c r="AC1" s="255"/>
      <c r="AD1" s="256"/>
      <c r="AE1" s="254" t="s">
        <v>13</v>
      </c>
      <c r="AF1" s="255"/>
      <c r="AG1" s="255"/>
      <c r="AH1" s="255"/>
      <c r="AI1" s="255"/>
      <c r="AJ1" s="255"/>
      <c r="AK1" s="255"/>
      <c r="AL1" s="255"/>
      <c r="AM1" s="255"/>
      <c r="AN1" s="255"/>
      <c r="AO1" s="255"/>
      <c r="AP1" s="255"/>
      <c r="AQ1" s="255"/>
      <c r="AR1" s="255"/>
      <c r="AS1" s="256"/>
      <c r="AT1" s="260" t="s">
        <v>14</v>
      </c>
      <c r="AU1" s="261"/>
      <c r="AV1" s="261"/>
      <c r="AW1" s="261"/>
      <c r="AX1" s="261"/>
      <c r="AY1" s="261"/>
      <c r="AZ1" s="261"/>
      <c r="BA1" s="262"/>
      <c r="BB1" s="217" t="s">
        <v>15</v>
      </c>
      <c r="BC1" s="218"/>
      <c r="BD1" s="219"/>
      <c r="BE1" s="219"/>
      <c r="BF1" s="219"/>
      <c r="BG1" s="219"/>
      <c r="BH1" s="219"/>
      <c r="BI1" s="220"/>
      <c r="BJ1" s="43"/>
      <c r="BK1" s="43"/>
      <c r="BL1" s="43"/>
      <c r="BM1" s="43"/>
      <c r="BN1" s="43"/>
      <c r="BO1" s="43"/>
      <c r="BP1" s="43"/>
    </row>
    <row r="2" spans="1:68" s="41" customFormat="1" ht="15" customHeight="1">
      <c r="A2" s="248"/>
      <c r="B2" s="249"/>
      <c r="C2" s="249"/>
      <c r="D2" s="249"/>
      <c r="E2" s="250"/>
      <c r="F2" s="221" t="s">
        <v>16</v>
      </c>
      <c r="G2" s="222"/>
      <c r="H2" s="222"/>
      <c r="I2" s="222"/>
      <c r="J2" s="222"/>
      <c r="K2" s="222"/>
      <c r="L2" s="222"/>
      <c r="M2" s="222"/>
      <c r="N2" s="222"/>
      <c r="O2" s="222"/>
      <c r="P2" s="223"/>
      <c r="Q2" s="221" t="s">
        <v>17</v>
      </c>
      <c r="R2" s="222"/>
      <c r="S2" s="222"/>
      <c r="T2" s="222"/>
      <c r="U2" s="222"/>
      <c r="V2" s="223"/>
      <c r="W2" s="227" t="s">
        <v>18</v>
      </c>
      <c r="X2" s="228"/>
      <c r="Y2" s="228"/>
      <c r="Z2" s="228"/>
      <c r="AA2" s="228"/>
      <c r="AB2" s="228"/>
      <c r="AC2" s="228"/>
      <c r="AD2" s="229"/>
      <c r="AE2" s="221" t="s">
        <v>19</v>
      </c>
      <c r="AF2" s="222"/>
      <c r="AG2" s="222"/>
      <c r="AH2" s="222"/>
      <c r="AI2" s="222"/>
      <c r="AJ2" s="222"/>
      <c r="AK2" s="222"/>
      <c r="AL2" s="222"/>
      <c r="AM2" s="222"/>
      <c r="AN2" s="222"/>
      <c r="AO2" s="222"/>
      <c r="AP2" s="222"/>
      <c r="AQ2" s="222"/>
      <c r="AR2" s="222"/>
      <c r="AS2" s="223"/>
      <c r="AT2" s="233" t="s">
        <v>20</v>
      </c>
      <c r="AU2" s="234"/>
      <c r="AV2" s="235">
        <f>A6</f>
        <v>45448</v>
      </c>
      <c r="AW2" s="235"/>
      <c r="AX2" s="235"/>
      <c r="AY2" s="235"/>
      <c r="AZ2" s="235"/>
      <c r="BA2" s="236"/>
      <c r="BB2" s="237" t="str">
        <f>AZ6</f>
        <v>JBS井田</v>
      </c>
      <c r="BC2" s="238"/>
      <c r="BD2" s="239"/>
      <c r="BE2" s="239"/>
      <c r="BF2" s="239"/>
      <c r="BG2" s="239"/>
      <c r="BH2" s="239"/>
      <c r="BI2" s="240"/>
      <c r="BJ2" s="43"/>
      <c r="BK2" s="43"/>
      <c r="BL2" s="43"/>
      <c r="BM2" s="43"/>
      <c r="BN2" s="43"/>
      <c r="BO2" s="43"/>
      <c r="BP2" s="43"/>
    </row>
    <row r="3" spans="1:68" s="41" customFormat="1" ht="15" customHeight="1" thickBot="1">
      <c r="A3" s="251"/>
      <c r="B3" s="252"/>
      <c r="C3" s="252"/>
      <c r="D3" s="252"/>
      <c r="E3" s="253"/>
      <c r="F3" s="224"/>
      <c r="G3" s="225"/>
      <c r="H3" s="225"/>
      <c r="I3" s="225"/>
      <c r="J3" s="225"/>
      <c r="K3" s="225"/>
      <c r="L3" s="225"/>
      <c r="M3" s="225"/>
      <c r="N3" s="225"/>
      <c r="O3" s="225"/>
      <c r="P3" s="226"/>
      <c r="Q3" s="224"/>
      <c r="R3" s="225"/>
      <c r="S3" s="225"/>
      <c r="T3" s="225"/>
      <c r="U3" s="225"/>
      <c r="V3" s="226"/>
      <c r="W3" s="230"/>
      <c r="X3" s="231"/>
      <c r="Y3" s="231"/>
      <c r="Z3" s="231"/>
      <c r="AA3" s="231"/>
      <c r="AB3" s="231"/>
      <c r="AC3" s="231"/>
      <c r="AD3" s="232"/>
      <c r="AE3" s="224"/>
      <c r="AF3" s="225"/>
      <c r="AG3" s="225"/>
      <c r="AH3" s="225"/>
      <c r="AI3" s="225"/>
      <c r="AJ3" s="225"/>
      <c r="AK3" s="225"/>
      <c r="AL3" s="225"/>
      <c r="AM3" s="225"/>
      <c r="AN3" s="225"/>
      <c r="AO3" s="225"/>
      <c r="AP3" s="225"/>
      <c r="AQ3" s="225"/>
      <c r="AR3" s="225"/>
      <c r="AS3" s="226"/>
      <c r="AT3" s="241" t="s">
        <v>21</v>
      </c>
      <c r="AU3" s="242"/>
      <c r="AV3" s="243">
        <f t="array" aca="1" ref="AV3" ca="1">IF(OR(COUNTA(A:E)=2),"",INDIRECT("A"&amp;COUNTA(A:E)+3))</f>
        <v>45589</v>
      </c>
      <c r="AW3" s="243"/>
      <c r="AX3" s="243"/>
      <c r="AY3" s="243"/>
      <c r="AZ3" s="243"/>
      <c r="BA3" s="244"/>
      <c r="BB3" s="205" t="str">
        <f t="array" aca="1" ref="BB3" ca="1">IF(COUNTA(AZ5:BE100018)=1,"",INDIRECT("AZ"&amp;COUNTA(AZ5:BE100018)+4))</f>
        <v>JBS井田</v>
      </c>
      <c r="BC3" s="206"/>
      <c r="BD3" s="207"/>
      <c r="BE3" s="207"/>
      <c r="BF3" s="207"/>
      <c r="BG3" s="207"/>
      <c r="BH3" s="207"/>
      <c r="BI3" s="208"/>
      <c r="BJ3" s="43"/>
      <c r="BK3" s="43"/>
      <c r="BL3" s="43"/>
      <c r="BM3" s="43"/>
      <c r="BN3" s="43"/>
      <c r="BO3" s="43"/>
      <c r="BP3" s="43"/>
    </row>
    <row r="4" spans="1:68" ht="15" customHeight="1" thickBot="1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42" t="s">
        <v>22</v>
      </c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</row>
    <row r="5" spans="1:68" s="85" customFormat="1" ht="15" customHeight="1" thickBot="1">
      <c r="A5" s="209" t="s">
        <v>23</v>
      </c>
      <c r="B5" s="210"/>
      <c r="C5" s="210"/>
      <c r="D5" s="210"/>
      <c r="E5" s="211"/>
      <c r="F5" s="212" t="s">
        <v>24</v>
      </c>
      <c r="G5" s="213"/>
      <c r="H5" s="213"/>
      <c r="I5" s="213"/>
      <c r="J5" s="213"/>
      <c r="K5" s="213"/>
      <c r="L5" s="213"/>
      <c r="M5" s="213"/>
      <c r="N5" s="213"/>
      <c r="O5" s="213"/>
      <c r="P5" s="213"/>
      <c r="Q5" s="213"/>
      <c r="R5" s="213"/>
      <c r="S5" s="214"/>
      <c r="T5" s="213" t="s">
        <v>25</v>
      </c>
      <c r="U5" s="213"/>
      <c r="V5" s="213"/>
      <c r="W5" s="213"/>
      <c r="X5" s="213"/>
      <c r="Y5" s="213"/>
      <c r="Z5" s="213"/>
      <c r="AA5" s="213"/>
      <c r="AB5" s="213"/>
      <c r="AC5" s="213"/>
      <c r="AD5" s="213"/>
      <c r="AE5" s="213"/>
      <c r="AF5" s="213"/>
      <c r="AG5" s="213"/>
      <c r="AH5" s="213"/>
      <c r="AI5" s="213"/>
      <c r="AJ5" s="213"/>
      <c r="AK5" s="213"/>
      <c r="AL5" s="213"/>
      <c r="AM5" s="213"/>
      <c r="AN5" s="213"/>
      <c r="AO5" s="213"/>
      <c r="AP5" s="213"/>
      <c r="AQ5" s="213"/>
      <c r="AR5" s="213"/>
      <c r="AS5" s="213"/>
      <c r="AT5" s="213"/>
      <c r="AU5" s="213"/>
      <c r="AV5" s="213"/>
      <c r="AW5" s="213"/>
      <c r="AX5" s="213"/>
      <c r="AY5" s="213"/>
      <c r="AZ5" s="209" t="s">
        <v>26</v>
      </c>
      <c r="BA5" s="210"/>
      <c r="BB5" s="210"/>
      <c r="BC5" s="210"/>
      <c r="BD5" s="210"/>
      <c r="BE5" s="215"/>
      <c r="BF5" s="216" t="s">
        <v>27</v>
      </c>
      <c r="BG5" s="216"/>
      <c r="BH5" s="210"/>
      <c r="BI5" s="215"/>
    </row>
    <row r="6" spans="1:68" ht="15" customHeight="1">
      <c r="A6" s="263">
        <v>45448</v>
      </c>
      <c r="B6" s="264"/>
      <c r="C6" s="264"/>
      <c r="D6" s="264"/>
      <c r="E6" s="265"/>
      <c r="F6" s="266" t="s">
        <v>28</v>
      </c>
      <c r="G6" s="267"/>
      <c r="H6" s="267"/>
      <c r="I6" s="267"/>
      <c r="J6" s="267"/>
      <c r="K6" s="267"/>
      <c r="L6" s="267"/>
      <c r="M6" s="267"/>
      <c r="N6" s="267"/>
      <c r="O6" s="267"/>
      <c r="P6" s="267"/>
      <c r="Q6" s="267"/>
      <c r="R6" s="267"/>
      <c r="S6" s="268"/>
      <c r="T6" s="269" t="s">
        <v>29</v>
      </c>
      <c r="U6" s="269"/>
      <c r="V6" s="269"/>
      <c r="W6" s="269"/>
      <c r="X6" s="269"/>
      <c r="Y6" s="269"/>
      <c r="Z6" s="269"/>
      <c r="AA6" s="269"/>
      <c r="AB6" s="269"/>
      <c r="AC6" s="269"/>
      <c r="AD6" s="269"/>
      <c r="AE6" s="269"/>
      <c r="AF6" s="269"/>
      <c r="AG6" s="269"/>
      <c r="AH6" s="269"/>
      <c r="AI6" s="269"/>
      <c r="AJ6" s="269"/>
      <c r="AK6" s="269"/>
      <c r="AL6" s="269"/>
      <c r="AM6" s="269"/>
      <c r="AN6" s="269"/>
      <c r="AO6" s="269"/>
      <c r="AP6" s="269"/>
      <c r="AQ6" s="269"/>
      <c r="AR6" s="269"/>
      <c r="AS6" s="269"/>
      <c r="AT6" s="269"/>
      <c r="AU6" s="269"/>
      <c r="AV6" s="269"/>
      <c r="AW6" s="269"/>
      <c r="AX6" s="269"/>
      <c r="AY6" s="269"/>
      <c r="AZ6" s="270" t="s">
        <v>30</v>
      </c>
      <c r="BA6" s="271"/>
      <c r="BB6" s="271"/>
      <c r="BC6" s="271"/>
      <c r="BD6" s="271"/>
      <c r="BE6" s="272"/>
      <c r="BF6" s="273" t="s">
        <v>31</v>
      </c>
      <c r="BG6" s="273"/>
      <c r="BH6" s="274"/>
      <c r="BI6" s="275"/>
    </row>
    <row r="7" spans="1:68" ht="60" customHeight="1">
      <c r="A7" s="191">
        <v>45589</v>
      </c>
      <c r="B7" s="192"/>
      <c r="C7" s="192"/>
      <c r="D7" s="192"/>
      <c r="E7" s="193"/>
      <c r="F7" s="276" t="s">
        <v>272</v>
      </c>
      <c r="G7" s="195"/>
      <c r="H7" s="195"/>
      <c r="I7" s="195"/>
      <c r="J7" s="195"/>
      <c r="K7" s="195"/>
      <c r="L7" s="195"/>
      <c r="M7" s="195"/>
      <c r="N7" s="195"/>
      <c r="O7" s="195"/>
      <c r="P7" s="195"/>
      <c r="Q7" s="195"/>
      <c r="R7" s="195"/>
      <c r="S7" s="196"/>
      <c r="T7" s="574" t="s">
        <v>273</v>
      </c>
      <c r="U7" s="575"/>
      <c r="V7" s="575"/>
      <c r="W7" s="575"/>
      <c r="X7" s="575"/>
      <c r="Y7" s="575"/>
      <c r="Z7" s="575"/>
      <c r="AA7" s="575"/>
      <c r="AB7" s="575"/>
      <c r="AC7" s="575"/>
      <c r="AD7" s="575"/>
      <c r="AE7" s="575"/>
      <c r="AF7" s="575"/>
      <c r="AG7" s="575"/>
      <c r="AH7" s="575"/>
      <c r="AI7" s="575"/>
      <c r="AJ7" s="575"/>
      <c r="AK7" s="575"/>
      <c r="AL7" s="575"/>
      <c r="AM7" s="575"/>
      <c r="AN7" s="575"/>
      <c r="AO7" s="575"/>
      <c r="AP7" s="575"/>
      <c r="AQ7" s="575"/>
      <c r="AR7" s="575"/>
      <c r="AS7" s="575"/>
      <c r="AT7" s="575"/>
      <c r="AU7" s="575"/>
      <c r="AV7" s="575"/>
      <c r="AW7" s="575"/>
      <c r="AX7" s="575"/>
      <c r="AY7" s="575"/>
      <c r="AZ7" s="270" t="s">
        <v>30</v>
      </c>
      <c r="BA7" s="271"/>
      <c r="BB7" s="271"/>
      <c r="BC7" s="271"/>
      <c r="BD7" s="271"/>
      <c r="BE7" s="272"/>
      <c r="BF7" s="202" t="s">
        <v>274</v>
      </c>
      <c r="BG7" s="202"/>
      <c r="BH7" s="203"/>
      <c r="BI7" s="204"/>
    </row>
    <row r="8" spans="1:68" ht="96.65" customHeight="1">
      <c r="A8" s="191">
        <v>45589</v>
      </c>
      <c r="B8" s="192"/>
      <c r="C8" s="192"/>
      <c r="D8" s="192"/>
      <c r="E8" s="193"/>
      <c r="F8" s="194" t="s">
        <v>275</v>
      </c>
      <c r="G8" s="195"/>
      <c r="H8" s="195"/>
      <c r="I8" s="195"/>
      <c r="J8" s="195"/>
      <c r="K8" s="195"/>
      <c r="L8" s="195"/>
      <c r="M8" s="195"/>
      <c r="N8" s="195"/>
      <c r="O8" s="195"/>
      <c r="P8" s="195"/>
      <c r="Q8" s="195"/>
      <c r="R8" s="195"/>
      <c r="S8" s="196"/>
      <c r="T8" s="574" t="s">
        <v>276</v>
      </c>
      <c r="U8" s="575"/>
      <c r="V8" s="575"/>
      <c r="W8" s="575"/>
      <c r="X8" s="575"/>
      <c r="Y8" s="575"/>
      <c r="Z8" s="575"/>
      <c r="AA8" s="575"/>
      <c r="AB8" s="575"/>
      <c r="AC8" s="575"/>
      <c r="AD8" s="575"/>
      <c r="AE8" s="575"/>
      <c r="AF8" s="575"/>
      <c r="AG8" s="575"/>
      <c r="AH8" s="575"/>
      <c r="AI8" s="575"/>
      <c r="AJ8" s="575"/>
      <c r="AK8" s="575"/>
      <c r="AL8" s="575"/>
      <c r="AM8" s="575"/>
      <c r="AN8" s="575"/>
      <c r="AO8" s="575"/>
      <c r="AP8" s="575"/>
      <c r="AQ8" s="575"/>
      <c r="AR8" s="575"/>
      <c r="AS8" s="575"/>
      <c r="AT8" s="575"/>
      <c r="AU8" s="575"/>
      <c r="AV8" s="575"/>
      <c r="AW8" s="575"/>
      <c r="AX8" s="575"/>
      <c r="AY8" s="575"/>
      <c r="AZ8" s="270" t="s">
        <v>30</v>
      </c>
      <c r="BA8" s="271"/>
      <c r="BB8" s="271"/>
      <c r="BC8" s="271"/>
      <c r="BD8" s="271"/>
      <c r="BE8" s="272"/>
      <c r="BF8" s="202" t="s">
        <v>274</v>
      </c>
      <c r="BG8" s="202"/>
      <c r="BH8" s="203"/>
      <c r="BI8" s="204"/>
    </row>
    <row r="9" spans="1:68" ht="13.5">
      <c r="A9" s="191"/>
      <c r="B9" s="192"/>
      <c r="C9" s="192"/>
      <c r="D9" s="192"/>
      <c r="E9" s="193"/>
      <c r="F9" s="194"/>
      <c r="G9" s="195"/>
      <c r="H9" s="195"/>
      <c r="I9" s="195"/>
      <c r="J9" s="195"/>
      <c r="K9" s="195"/>
      <c r="L9" s="195"/>
      <c r="M9" s="195"/>
      <c r="N9" s="195"/>
      <c r="O9" s="195"/>
      <c r="P9" s="195"/>
      <c r="Q9" s="195"/>
      <c r="R9" s="195"/>
      <c r="S9" s="196"/>
      <c r="T9" s="197"/>
      <c r="U9" s="198"/>
      <c r="V9" s="198"/>
      <c r="W9" s="198"/>
      <c r="X9" s="198"/>
      <c r="Y9" s="198"/>
      <c r="Z9" s="198"/>
      <c r="AA9" s="198"/>
      <c r="AB9" s="198"/>
      <c r="AC9" s="198"/>
      <c r="AD9" s="198"/>
      <c r="AE9" s="198"/>
      <c r="AF9" s="198"/>
      <c r="AG9" s="198"/>
      <c r="AH9" s="198"/>
      <c r="AI9" s="198"/>
      <c r="AJ9" s="198"/>
      <c r="AK9" s="198"/>
      <c r="AL9" s="198"/>
      <c r="AM9" s="198"/>
      <c r="AN9" s="198"/>
      <c r="AO9" s="198"/>
      <c r="AP9" s="198"/>
      <c r="AQ9" s="198"/>
      <c r="AR9" s="198"/>
      <c r="AS9" s="198"/>
      <c r="AT9" s="198"/>
      <c r="AU9" s="198"/>
      <c r="AV9" s="198"/>
      <c r="AW9" s="198"/>
      <c r="AX9" s="198"/>
      <c r="AY9" s="198"/>
      <c r="AZ9" s="199"/>
      <c r="BA9" s="200"/>
      <c r="BB9" s="200"/>
      <c r="BC9" s="200"/>
      <c r="BD9" s="200"/>
      <c r="BE9" s="201"/>
      <c r="BF9" s="202"/>
      <c r="BG9" s="202"/>
      <c r="BH9" s="203"/>
      <c r="BI9" s="204"/>
    </row>
    <row r="10" spans="1:68" ht="13.5">
      <c r="A10" s="191"/>
      <c r="B10" s="192"/>
      <c r="C10" s="192"/>
      <c r="D10" s="192"/>
      <c r="E10" s="193"/>
      <c r="F10" s="194"/>
      <c r="G10" s="195"/>
      <c r="H10" s="195"/>
      <c r="I10" s="195"/>
      <c r="J10" s="195"/>
      <c r="K10" s="195"/>
      <c r="L10" s="195"/>
      <c r="M10" s="195"/>
      <c r="N10" s="195"/>
      <c r="O10" s="195"/>
      <c r="P10" s="195"/>
      <c r="Q10" s="195"/>
      <c r="R10" s="195"/>
      <c r="S10" s="196"/>
      <c r="T10" s="197"/>
      <c r="U10" s="198"/>
      <c r="V10" s="198"/>
      <c r="W10" s="198"/>
      <c r="X10" s="198"/>
      <c r="Y10" s="198"/>
      <c r="Z10" s="198"/>
      <c r="AA10" s="198"/>
      <c r="AB10" s="198"/>
      <c r="AC10" s="198"/>
      <c r="AD10" s="198"/>
      <c r="AE10" s="198"/>
      <c r="AF10" s="198"/>
      <c r="AG10" s="198"/>
      <c r="AH10" s="198"/>
      <c r="AI10" s="198"/>
      <c r="AJ10" s="198"/>
      <c r="AK10" s="198"/>
      <c r="AL10" s="198"/>
      <c r="AM10" s="198"/>
      <c r="AN10" s="198"/>
      <c r="AO10" s="198"/>
      <c r="AP10" s="198"/>
      <c r="AQ10" s="198"/>
      <c r="AR10" s="198"/>
      <c r="AS10" s="198"/>
      <c r="AT10" s="198"/>
      <c r="AU10" s="198"/>
      <c r="AV10" s="198"/>
      <c r="AW10" s="198"/>
      <c r="AX10" s="198"/>
      <c r="AY10" s="198"/>
      <c r="AZ10" s="199"/>
      <c r="BA10" s="200"/>
      <c r="BB10" s="200"/>
      <c r="BC10" s="200"/>
      <c r="BD10" s="200"/>
      <c r="BE10" s="201"/>
      <c r="BF10" s="202"/>
      <c r="BG10" s="202"/>
      <c r="BH10" s="203"/>
      <c r="BI10" s="204"/>
    </row>
    <row r="11" spans="1:68" ht="13.5">
      <c r="A11" s="191"/>
      <c r="B11" s="192"/>
      <c r="C11" s="192"/>
      <c r="D11" s="192"/>
      <c r="E11" s="193"/>
      <c r="F11" s="194"/>
      <c r="G11" s="195"/>
      <c r="H11" s="195"/>
      <c r="I11" s="195"/>
      <c r="J11" s="195"/>
      <c r="K11" s="195"/>
      <c r="L11" s="195"/>
      <c r="M11" s="195"/>
      <c r="N11" s="195"/>
      <c r="O11" s="195"/>
      <c r="P11" s="195"/>
      <c r="Q11" s="195"/>
      <c r="R11" s="195"/>
      <c r="S11" s="196"/>
      <c r="T11" s="197"/>
      <c r="U11" s="198"/>
      <c r="V11" s="198"/>
      <c r="W11" s="198"/>
      <c r="X11" s="198"/>
      <c r="Y11" s="198"/>
      <c r="Z11" s="198"/>
      <c r="AA11" s="198"/>
      <c r="AB11" s="198"/>
      <c r="AC11" s="198"/>
      <c r="AD11" s="198"/>
      <c r="AE11" s="198"/>
      <c r="AF11" s="198"/>
      <c r="AG11" s="198"/>
      <c r="AH11" s="198"/>
      <c r="AI11" s="198"/>
      <c r="AJ11" s="198"/>
      <c r="AK11" s="198"/>
      <c r="AL11" s="198"/>
      <c r="AM11" s="198"/>
      <c r="AN11" s="198"/>
      <c r="AO11" s="198"/>
      <c r="AP11" s="198"/>
      <c r="AQ11" s="198"/>
      <c r="AR11" s="198"/>
      <c r="AS11" s="198"/>
      <c r="AT11" s="198"/>
      <c r="AU11" s="198"/>
      <c r="AV11" s="198"/>
      <c r="AW11" s="198"/>
      <c r="AX11" s="198"/>
      <c r="AY11" s="198"/>
      <c r="AZ11" s="199"/>
      <c r="BA11" s="200"/>
      <c r="BB11" s="200"/>
      <c r="BC11" s="200"/>
      <c r="BD11" s="200"/>
      <c r="BE11" s="201"/>
      <c r="BF11" s="202"/>
      <c r="BG11" s="202"/>
      <c r="BH11" s="203"/>
      <c r="BI11" s="204"/>
    </row>
    <row r="12" spans="1:68" ht="15" customHeight="1">
      <c r="A12" s="191"/>
      <c r="B12" s="192"/>
      <c r="C12" s="192"/>
      <c r="D12" s="192"/>
      <c r="E12" s="193"/>
      <c r="F12" s="194"/>
      <c r="G12" s="195"/>
      <c r="H12" s="195"/>
      <c r="I12" s="195"/>
      <c r="J12" s="195"/>
      <c r="K12" s="195"/>
      <c r="L12" s="195"/>
      <c r="M12" s="195"/>
      <c r="N12" s="195"/>
      <c r="O12" s="195"/>
      <c r="P12" s="195"/>
      <c r="Q12" s="195"/>
      <c r="R12" s="195"/>
      <c r="S12" s="196"/>
      <c r="T12" s="198"/>
      <c r="U12" s="198"/>
      <c r="V12" s="198"/>
      <c r="W12" s="198"/>
      <c r="X12" s="198"/>
      <c r="Y12" s="198"/>
      <c r="Z12" s="198"/>
      <c r="AA12" s="198"/>
      <c r="AB12" s="198"/>
      <c r="AC12" s="198"/>
      <c r="AD12" s="198"/>
      <c r="AE12" s="198"/>
      <c r="AF12" s="198"/>
      <c r="AG12" s="198"/>
      <c r="AH12" s="198"/>
      <c r="AI12" s="198"/>
      <c r="AJ12" s="198"/>
      <c r="AK12" s="198"/>
      <c r="AL12" s="198"/>
      <c r="AM12" s="198"/>
      <c r="AN12" s="198"/>
      <c r="AO12" s="198"/>
      <c r="AP12" s="198"/>
      <c r="AQ12" s="198"/>
      <c r="AR12" s="198"/>
      <c r="AS12" s="198"/>
      <c r="AT12" s="198"/>
      <c r="AU12" s="198"/>
      <c r="AV12" s="198"/>
      <c r="AW12" s="198"/>
      <c r="AX12" s="198"/>
      <c r="AY12" s="198"/>
      <c r="AZ12" s="199"/>
      <c r="BA12" s="200"/>
      <c r="BB12" s="200"/>
      <c r="BC12" s="200"/>
      <c r="BD12" s="200"/>
      <c r="BE12" s="201"/>
      <c r="BF12" s="202"/>
      <c r="BG12" s="202"/>
      <c r="BH12" s="203"/>
      <c r="BI12" s="204"/>
    </row>
    <row r="13" spans="1:68" ht="13.5">
      <c r="A13" s="191"/>
      <c r="B13" s="192"/>
      <c r="C13" s="192"/>
      <c r="D13" s="192"/>
      <c r="E13" s="193"/>
      <c r="F13" s="194"/>
      <c r="G13" s="195"/>
      <c r="H13" s="195"/>
      <c r="I13" s="195"/>
      <c r="J13" s="195"/>
      <c r="K13" s="195"/>
      <c r="L13" s="195"/>
      <c r="M13" s="195"/>
      <c r="N13" s="195"/>
      <c r="O13" s="195"/>
      <c r="P13" s="195"/>
      <c r="Q13" s="195"/>
      <c r="R13" s="195"/>
      <c r="S13" s="196"/>
      <c r="T13" s="197"/>
      <c r="U13" s="198"/>
      <c r="V13" s="198"/>
      <c r="W13" s="198"/>
      <c r="X13" s="198"/>
      <c r="Y13" s="198"/>
      <c r="Z13" s="198"/>
      <c r="AA13" s="198"/>
      <c r="AB13" s="198"/>
      <c r="AC13" s="198"/>
      <c r="AD13" s="198"/>
      <c r="AE13" s="198"/>
      <c r="AF13" s="198"/>
      <c r="AG13" s="198"/>
      <c r="AH13" s="198"/>
      <c r="AI13" s="198"/>
      <c r="AJ13" s="198"/>
      <c r="AK13" s="198"/>
      <c r="AL13" s="198"/>
      <c r="AM13" s="198"/>
      <c r="AN13" s="198"/>
      <c r="AO13" s="198"/>
      <c r="AP13" s="198"/>
      <c r="AQ13" s="198"/>
      <c r="AR13" s="198"/>
      <c r="AS13" s="198"/>
      <c r="AT13" s="198"/>
      <c r="AU13" s="198"/>
      <c r="AV13" s="198"/>
      <c r="AW13" s="198"/>
      <c r="AX13" s="198"/>
      <c r="AY13" s="198"/>
      <c r="AZ13" s="199"/>
      <c r="BA13" s="200"/>
      <c r="BB13" s="200"/>
      <c r="BC13" s="200"/>
      <c r="BD13" s="200"/>
      <c r="BE13" s="201"/>
      <c r="BF13" s="202"/>
      <c r="BG13" s="202"/>
      <c r="BH13" s="203"/>
      <c r="BI13" s="204"/>
    </row>
    <row r="14" spans="1:68" ht="13.5">
      <c r="A14" s="191"/>
      <c r="B14" s="192"/>
      <c r="C14" s="192"/>
      <c r="D14" s="192"/>
      <c r="E14" s="193"/>
      <c r="F14" s="194"/>
      <c r="G14" s="195"/>
      <c r="H14" s="195"/>
      <c r="I14" s="195"/>
      <c r="J14" s="195"/>
      <c r="K14" s="195"/>
      <c r="L14" s="195"/>
      <c r="M14" s="195"/>
      <c r="N14" s="195"/>
      <c r="O14" s="195"/>
      <c r="P14" s="195"/>
      <c r="Q14" s="195"/>
      <c r="R14" s="195"/>
      <c r="S14" s="196"/>
      <c r="T14" s="197"/>
      <c r="U14" s="198"/>
      <c r="V14" s="198"/>
      <c r="W14" s="198"/>
      <c r="X14" s="198"/>
      <c r="Y14" s="198"/>
      <c r="Z14" s="198"/>
      <c r="AA14" s="198"/>
      <c r="AB14" s="198"/>
      <c r="AC14" s="198"/>
      <c r="AD14" s="198"/>
      <c r="AE14" s="198"/>
      <c r="AF14" s="198"/>
      <c r="AG14" s="198"/>
      <c r="AH14" s="198"/>
      <c r="AI14" s="198"/>
      <c r="AJ14" s="198"/>
      <c r="AK14" s="198"/>
      <c r="AL14" s="198"/>
      <c r="AM14" s="198"/>
      <c r="AN14" s="198"/>
      <c r="AO14" s="198"/>
      <c r="AP14" s="198"/>
      <c r="AQ14" s="198"/>
      <c r="AR14" s="198"/>
      <c r="AS14" s="198"/>
      <c r="AT14" s="198"/>
      <c r="AU14" s="198"/>
      <c r="AV14" s="198"/>
      <c r="AW14" s="198"/>
      <c r="AX14" s="198"/>
      <c r="AY14" s="198"/>
      <c r="AZ14" s="199"/>
      <c r="BA14" s="200"/>
      <c r="BB14" s="200"/>
      <c r="BC14" s="200"/>
      <c r="BD14" s="200"/>
      <c r="BE14" s="201"/>
      <c r="BF14" s="202"/>
      <c r="BG14" s="202"/>
      <c r="BH14" s="203"/>
      <c r="BI14" s="204"/>
    </row>
    <row r="15" spans="1:68" ht="13.5">
      <c r="A15" s="191"/>
      <c r="B15" s="192"/>
      <c r="C15" s="192"/>
      <c r="D15" s="192"/>
      <c r="E15" s="193"/>
      <c r="F15" s="194"/>
      <c r="G15" s="195"/>
      <c r="H15" s="195"/>
      <c r="I15" s="195"/>
      <c r="J15" s="195"/>
      <c r="K15" s="195"/>
      <c r="L15" s="195"/>
      <c r="M15" s="195"/>
      <c r="N15" s="195"/>
      <c r="O15" s="195"/>
      <c r="P15" s="195"/>
      <c r="Q15" s="195"/>
      <c r="R15" s="195"/>
      <c r="S15" s="196"/>
      <c r="T15" s="197"/>
      <c r="U15" s="198"/>
      <c r="V15" s="198"/>
      <c r="W15" s="198"/>
      <c r="X15" s="198"/>
      <c r="Y15" s="198"/>
      <c r="Z15" s="198"/>
      <c r="AA15" s="198"/>
      <c r="AB15" s="198"/>
      <c r="AC15" s="198"/>
      <c r="AD15" s="198"/>
      <c r="AE15" s="198"/>
      <c r="AF15" s="198"/>
      <c r="AG15" s="198"/>
      <c r="AH15" s="198"/>
      <c r="AI15" s="198"/>
      <c r="AJ15" s="198"/>
      <c r="AK15" s="198"/>
      <c r="AL15" s="198"/>
      <c r="AM15" s="198"/>
      <c r="AN15" s="198"/>
      <c r="AO15" s="198"/>
      <c r="AP15" s="198"/>
      <c r="AQ15" s="198"/>
      <c r="AR15" s="198"/>
      <c r="AS15" s="198"/>
      <c r="AT15" s="198"/>
      <c r="AU15" s="198"/>
      <c r="AV15" s="198"/>
      <c r="AW15" s="198"/>
      <c r="AX15" s="198"/>
      <c r="AY15" s="198"/>
      <c r="AZ15" s="199"/>
      <c r="BA15" s="200"/>
      <c r="BB15" s="200"/>
      <c r="BC15" s="200"/>
      <c r="BD15" s="200"/>
      <c r="BE15" s="201"/>
      <c r="BF15" s="202"/>
      <c r="BG15" s="202"/>
      <c r="BH15" s="203"/>
      <c r="BI15" s="204"/>
    </row>
    <row r="16" spans="1:68" ht="13.5">
      <c r="A16" s="191"/>
      <c r="B16" s="192"/>
      <c r="C16" s="192"/>
      <c r="D16" s="192"/>
      <c r="E16" s="193"/>
      <c r="F16" s="194"/>
      <c r="G16" s="195"/>
      <c r="H16" s="195"/>
      <c r="I16" s="195"/>
      <c r="J16" s="195"/>
      <c r="K16" s="195"/>
      <c r="L16" s="195"/>
      <c r="M16" s="195"/>
      <c r="N16" s="195"/>
      <c r="O16" s="195"/>
      <c r="P16" s="195"/>
      <c r="Q16" s="195"/>
      <c r="R16" s="195"/>
      <c r="S16" s="196"/>
      <c r="T16" s="197"/>
      <c r="U16" s="198"/>
      <c r="V16" s="198"/>
      <c r="W16" s="198"/>
      <c r="X16" s="198"/>
      <c r="Y16" s="198"/>
      <c r="Z16" s="198"/>
      <c r="AA16" s="198"/>
      <c r="AB16" s="198"/>
      <c r="AC16" s="198"/>
      <c r="AD16" s="198"/>
      <c r="AE16" s="198"/>
      <c r="AF16" s="198"/>
      <c r="AG16" s="198"/>
      <c r="AH16" s="198"/>
      <c r="AI16" s="198"/>
      <c r="AJ16" s="198"/>
      <c r="AK16" s="198"/>
      <c r="AL16" s="198"/>
      <c r="AM16" s="198"/>
      <c r="AN16" s="198"/>
      <c r="AO16" s="198"/>
      <c r="AP16" s="198"/>
      <c r="AQ16" s="198"/>
      <c r="AR16" s="198"/>
      <c r="AS16" s="198"/>
      <c r="AT16" s="198"/>
      <c r="AU16" s="198"/>
      <c r="AV16" s="198"/>
      <c r="AW16" s="198"/>
      <c r="AX16" s="198"/>
      <c r="AY16" s="198"/>
      <c r="AZ16" s="199"/>
      <c r="BA16" s="200"/>
      <c r="BB16" s="200"/>
      <c r="BC16" s="200"/>
      <c r="BD16" s="200"/>
      <c r="BE16" s="201"/>
      <c r="BF16" s="202"/>
      <c r="BG16" s="202"/>
      <c r="BH16" s="203"/>
      <c r="BI16" s="204"/>
    </row>
    <row r="17" spans="1:61" ht="13.5">
      <c r="A17" s="191"/>
      <c r="B17" s="192"/>
      <c r="C17" s="192"/>
      <c r="D17" s="192"/>
      <c r="E17" s="193"/>
      <c r="F17" s="194"/>
      <c r="G17" s="195"/>
      <c r="H17" s="195"/>
      <c r="I17" s="195"/>
      <c r="J17" s="195"/>
      <c r="K17" s="195"/>
      <c r="L17" s="195"/>
      <c r="M17" s="195"/>
      <c r="N17" s="195"/>
      <c r="O17" s="195"/>
      <c r="P17" s="195"/>
      <c r="Q17" s="195"/>
      <c r="R17" s="195"/>
      <c r="S17" s="196"/>
      <c r="T17" s="197"/>
      <c r="U17" s="198"/>
      <c r="V17" s="198"/>
      <c r="W17" s="198"/>
      <c r="X17" s="198"/>
      <c r="Y17" s="198"/>
      <c r="Z17" s="198"/>
      <c r="AA17" s="198"/>
      <c r="AB17" s="198"/>
      <c r="AC17" s="198"/>
      <c r="AD17" s="198"/>
      <c r="AE17" s="198"/>
      <c r="AF17" s="198"/>
      <c r="AG17" s="198"/>
      <c r="AH17" s="198"/>
      <c r="AI17" s="198"/>
      <c r="AJ17" s="198"/>
      <c r="AK17" s="198"/>
      <c r="AL17" s="198"/>
      <c r="AM17" s="198"/>
      <c r="AN17" s="198"/>
      <c r="AO17" s="198"/>
      <c r="AP17" s="198"/>
      <c r="AQ17" s="198"/>
      <c r="AR17" s="198"/>
      <c r="AS17" s="198"/>
      <c r="AT17" s="198"/>
      <c r="AU17" s="198"/>
      <c r="AV17" s="198"/>
      <c r="AW17" s="198"/>
      <c r="AX17" s="198"/>
      <c r="AY17" s="198"/>
      <c r="AZ17" s="199"/>
      <c r="BA17" s="200"/>
      <c r="BB17" s="200"/>
      <c r="BC17" s="200"/>
      <c r="BD17" s="200"/>
      <c r="BE17" s="201"/>
      <c r="BF17" s="202"/>
      <c r="BG17" s="202"/>
      <c r="BH17" s="203"/>
      <c r="BI17" s="204"/>
    </row>
    <row r="18" spans="1:61" ht="13.5">
      <c r="A18" s="191"/>
      <c r="B18" s="192"/>
      <c r="C18" s="192"/>
      <c r="D18" s="192"/>
      <c r="E18" s="193"/>
      <c r="F18" s="194"/>
      <c r="G18" s="195"/>
      <c r="H18" s="195"/>
      <c r="I18" s="195"/>
      <c r="J18" s="195"/>
      <c r="K18" s="195"/>
      <c r="L18" s="195"/>
      <c r="M18" s="195"/>
      <c r="N18" s="195"/>
      <c r="O18" s="195"/>
      <c r="P18" s="195"/>
      <c r="Q18" s="195"/>
      <c r="R18" s="195"/>
      <c r="S18" s="196"/>
      <c r="T18" s="197"/>
      <c r="U18" s="198"/>
      <c r="V18" s="198"/>
      <c r="W18" s="198"/>
      <c r="X18" s="198"/>
      <c r="Y18" s="198"/>
      <c r="Z18" s="198"/>
      <c r="AA18" s="198"/>
      <c r="AB18" s="198"/>
      <c r="AC18" s="198"/>
      <c r="AD18" s="198"/>
      <c r="AE18" s="198"/>
      <c r="AF18" s="198"/>
      <c r="AG18" s="198"/>
      <c r="AH18" s="198"/>
      <c r="AI18" s="198"/>
      <c r="AJ18" s="198"/>
      <c r="AK18" s="198"/>
      <c r="AL18" s="198"/>
      <c r="AM18" s="198"/>
      <c r="AN18" s="198"/>
      <c r="AO18" s="198"/>
      <c r="AP18" s="198"/>
      <c r="AQ18" s="198"/>
      <c r="AR18" s="198"/>
      <c r="AS18" s="198"/>
      <c r="AT18" s="198"/>
      <c r="AU18" s="198"/>
      <c r="AV18" s="198"/>
      <c r="AW18" s="198"/>
      <c r="AX18" s="198"/>
      <c r="AY18" s="198"/>
      <c r="AZ18" s="199"/>
      <c r="BA18" s="200"/>
      <c r="BB18" s="200"/>
      <c r="BC18" s="200"/>
      <c r="BD18" s="200"/>
      <c r="BE18" s="201"/>
      <c r="BF18" s="202"/>
      <c r="BG18" s="202"/>
      <c r="BH18" s="203"/>
      <c r="BI18" s="204"/>
    </row>
    <row r="19" spans="1:61" ht="13.5">
      <c r="A19" s="191"/>
      <c r="B19" s="192"/>
      <c r="C19" s="192"/>
      <c r="D19" s="192"/>
      <c r="E19" s="193"/>
      <c r="F19" s="194"/>
      <c r="G19" s="195"/>
      <c r="H19" s="195"/>
      <c r="I19" s="195"/>
      <c r="J19" s="195"/>
      <c r="K19" s="195"/>
      <c r="L19" s="195"/>
      <c r="M19" s="195"/>
      <c r="N19" s="195"/>
      <c r="O19" s="195"/>
      <c r="P19" s="195"/>
      <c r="Q19" s="195"/>
      <c r="R19" s="195"/>
      <c r="S19" s="196"/>
      <c r="T19" s="197"/>
      <c r="U19" s="198"/>
      <c r="V19" s="198"/>
      <c r="W19" s="198"/>
      <c r="X19" s="198"/>
      <c r="Y19" s="198"/>
      <c r="Z19" s="198"/>
      <c r="AA19" s="198"/>
      <c r="AB19" s="198"/>
      <c r="AC19" s="198"/>
      <c r="AD19" s="198"/>
      <c r="AE19" s="198"/>
      <c r="AF19" s="198"/>
      <c r="AG19" s="198"/>
      <c r="AH19" s="198"/>
      <c r="AI19" s="198"/>
      <c r="AJ19" s="198"/>
      <c r="AK19" s="198"/>
      <c r="AL19" s="198"/>
      <c r="AM19" s="198"/>
      <c r="AN19" s="198"/>
      <c r="AO19" s="198"/>
      <c r="AP19" s="198"/>
      <c r="AQ19" s="198"/>
      <c r="AR19" s="198"/>
      <c r="AS19" s="198"/>
      <c r="AT19" s="198"/>
      <c r="AU19" s="198"/>
      <c r="AV19" s="198"/>
      <c r="AW19" s="198"/>
      <c r="AX19" s="198"/>
      <c r="AY19" s="198"/>
      <c r="AZ19" s="199"/>
      <c r="BA19" s="200"/>
      <c r="BB19" s="200"/>
      <c r="BC19" s="200"/>
      <c r="BD19" s="200"/>
      <c r="BE19" s="201"/>
      <c r="BF19" s="202"/>
      <c r="BG19" s="202"/>
      <c r="BH19" s="203"/>
      <c r="BI19" s="204"/>
    </row>
    <row r="20" spans="1:61" ht="13.5">
      <c r="A20" s="191"/>
      <c r="B20" s="192"/>
      <c r="C20" s="192"/>
      <c r="D20" s="192"/>
      <c r="E20" s="193"/>
      <c r="F20" s="194"/>
      <c r="G20" s="195"/>
      <c r="H20" s="195"/>
      <c r="I20" s="195"/>
      <c r="J20" s="195"/>
      <c r="K20" s="195"/>
      <c r="L20" s="195"/>
      <c r="M20" s="195"/>
      <c r="N20" s="195"/>
      <c r="O20" s="195"/>
      <c r="P20" s="195"/>
      <c r="Q20" s="195"/>
      <c r="R20" s="195"/>
      <c r="S20" s="196"/>
      <c r="T20" s="197"/>
      <c r="U20" s="198"/>
      <c r="V20" s="198"/>
      <c r="W20" s="198"/>
      <c r="X20" s="198"/>
      <c r="Y20" s="198"/>
      <c r="Z20" s="198"/>
      <c r="AA20" s="198"/>
      <c r="AB20" s="198"/>
      <c r="AC20" s="198"/>
      <c r="AD20" s="198"/>
      <c r="AE20" s="198"/>
      <c r="AF20" s="198"/>
      <c r="AG20" s="198"/>
      <c r="AH20" s="198"/>
      <c r="AI20" s="198"/>
      <c r="AJ20" s="198"/>
      <c r="AK20" s="198"/>
      <c r="AL20" s="198"/>
      <c r="AM20" s="198"/>
      <c r="AN20" s="198"/>
      <c r="AO20" s="198"/>
      <c r="AP20" s="198"/>
      <c r="AQ20" s="198"/>
      <c r="AR20" s="198"/>
      <c r="AS20" s="198"/>
      <c r="AT20" s="198"/>
      <c r="AU20" s="198"/>
      <c r="AV20" s="198"/>
      <c r="AW20" s="198"/>
      <c r="AX20" s="198"/>
      <c r="AY20" s="198"/>
      <c r="AZ20" s="199"/>
      <c r="BA20" s="200"/>
      <c r="BB20" s="200"/>
      <c r="BC20" s="200"/>
      <c r="BD20" s="200"/>
      <c r="BE20" s="201"/>
      <c r="BF20" s="202"/>
      <c r="BG20" s="202"/>
      <c r="BH20" s="203"/>
      <c r="BI20" s="204"/>
    </row>
    <row r="21" spans="1:61" ht="13.5">
      <c r="A21" s="191"/>
      <c r="B21" s="192"/>
      <c r="C21" s="192"/>
      <c r="D21" s="192"/>
      <c r="E21" s="193"/>
      <c r="F21" s="194"/>
      <c r="G21" s="195"/>
      <c r="H21" s="195"/>
      <c r="I21" s="195"/>
      <c r="J21" s="195"/>
      <c r="K21" s="195"/>
      <c r="L21" s="195"/>
      <c r="M21" s="195"/>
      <c r="N21" s="195"/>
      <c r="O21" s="195"/>
      <c r="P21" s="195"/>
      <c r="Q21" s="195"/>
      <c r="R21" s="195"/>
      <c r="S21" s="196"/>
      <c r="T21" s="197"/>
      <c r="U21" s="198"/>
      <c r="V21" s="198"/>
      <c r="W21" s="198"/>
      <c r="X21" s="198"/>
      <c r="Y21" s="198"/>
      <c r="Z21" s="198"/>
      <c r="AA21" s="198"/>
      <c r="AB21" s="198"/>
      <c r="AC21" s="198"/>
      <c r="AD21" s="198"/>
      <c r="AE21" s="198"/>
      <c r="AF21" s="198"/>
      <c r="AG21" s="198"/>
      <c r="AH21" s="198"/>
      <c r="AI21" s="198"/>
      <c r="AJ21" s="198"/>
      <c r="AK21" s="198"/>
      <c r="AL21" s="198"/>
      <c r="AM21" s="198"/>
      <c r="AN21" s="198"/>
      <c r="AO21" s="198"/>
      <c r="AP21" s="198"/>
      <c r="AQ21" s="198"/>
      <c r="AR21" s="198"/>
      <c r="AS21" s="198"/>
      <c r="AT21" s="198"/>
      <c r="AU21" s="198"/>
      <c r="AV21" s="198"/>
      <c r="AW21" s="198"/>
      <c r="AX21" s="198"/>
      <c r="AY21" s="198"/>
      <c r="AZ21" s="199"/>
      <c r="BA21" s="200"/>
      <c r="BB21" s="200"/>
      <c r="BC21" s="200"/>
      <c r="BD21" s="200"/>
      <c r="BE21" s="201"/>
      <c r="BF21" s="202"/>
      <c r="BG21" s="202"/>
      <c r="BH21" s="203"/>
      <c r="BI21" s="204"/>
    </row>
    <row r="22" spans="1:61" ht="13.5">
      <c r="A22" s="191"/>
      <c r="B22" s="192"/>
      <c r="C22" s="192"/>
      <c r="D22" s="192"/>
      <c r="E22" s="193"/>
      <c r="F22" s="194"/>
      <c r="G22" s="195"/>
      <c r="H22" s="195"/>
      <c r="I22" s="195"/>
      <c r="J22" s="195"/>
      <c r="K22" s="195"/>
      <c r="L22" s="195"/>
      <c r="M22" s="195"/>
      <c r="N22" s="195"/>
      <c r="O22" s="195"/>
      <c r="P22" s="195"/>
      <c r="Q22" s="195"/>
      <c r="R22" s="195"/>
      <c r="S22" s="196"/>
      <c r="T22" s="197"/>
      <c r="U22" s="198"/>
      <c r="V22" s="198"/>
      <c r="W22" s="198"/>
      <c r="X22" s="198"/>
      <c r="Y22" s="198"/>
      <c r="Z22" s="198"/>
      <c r="AA22" s="198"/>
      <c r="AB22" s="198"/>
      <c r="AC22" s="198"/>
      <c r="AD22" s="198"/>
      <c r="AE22" s="198"/>
      <c r="AF22" s="198"/>
      <c r="AG22" s="198"/>
      <c r="AH22" s="198"/>
      <c r="AI22" s="198"/>
      <c r="AJ22" s="198"/>
      <c r="AK22" s="198"/>
      <c r="AL22" s="198"/>
      <c r="AM22" s="198"/>
      <c r="AN22" s="198"/>
      <c r="AO22" s="198"/>
      <c r="AP22" s="198"/>
      <c r="AQ22" s="198"/>
      <c r="AR22" s="198"/>
      <c r="AS22" s="198"/>
      <c r="AT22" s="198"/>
      <c r="AU22" s="198"/>
      <c r="AV22" s="198"/>
      <c r="AW22" s="198"/>
      <c r="AX22" s="198"/>
      <c r="AY22" s="198"/>
      <c r="AZ22" s="199"/>
      <c r="BA22" s="200"/>
      <c r="BB22" s="200"/>
      <c r="BC22" s="200"/>
      <c r="BD22" s="200"/>
      <c r="BE22" s="201"/>
      <c r="BF22" s="202"/>
      <c r="BG22" s="202"/>
      <c r="BH22" s="203"/>
      <c r="BI22" s="204"/>
    </row>
    <row r="23" spans="1:61" ht="13.5">
      <c r="A23" s="191"/>
      <c r="B23" s="192"/>
      <c r="C23" s="192"/>
      <c r="D23" s="192"/>
      <c r="E23" s="193"/>
      <c r="F23" s="194"/>
      <c r="G23" s="195"/>
      <c r="H23" s="195"/>
      <c r="I23" s="195"/>
      <c r="J23" s="195"/>
      <c r="K23" s="195"/>
      <c r="L23" s="195"/>
      <c r="M23" s="195"/>
      <c r="N23" s="195"/>
      <c r="O23" s="195"/>
      <c r="P23" s="195"/>
      <c r="Q23" s="195"/>
      <c r="R23" s="195"/>
      <c r="S23" s="196"/>
      <c r="T23" s="197"/>
      <c r="U23" s="198"/>
      <c r="V23" s="198"/>
      <c r="W23" s="198"/>
      <c r="X23" s="198"/>
      <c r="Y23" s="198"/>
      <c r="Z23" s="198"/>
      <c r="AA23" s="198"/>
      <c r="AB23" s="198"/>
      <c r="AC23" s="198"/>
      <c r="AD23" s="198"/>
      <c r="AE23" s="198"/>
      <c r="AF23" s="198"/>
      <c r="AG23" s="198"/>
      <c r="AH23" s="198"/>
      <c r="AI23" s="198"/>
      <c r="AJ23" s="198"/>
      <c r="AK23" s="198"/>
      <c r="AL23" s="198"/>
      <c r="AM23" s="198"/>
      <c r="AN23" s="198"/>
      <c r="AO23" s="198"/>
      <c r="AP23" s="198"/>
      <c r="AQ23" s="198"/>
      <c r="AR23" s="198"/>
      <c r="AS23" s="198"/>
      <c r="AT23" s="198"/>
      <c r="AU23" s="198"/>
      <c r="AV23" s="198"/>
      <c r="AW23" s="198"/>
      <c r="AX23" s="198"/>
      <c r="AY23" s="198"/>
      <c r="AZ23" s="199"/>
      <c r="BA23" s="200"/>
      <c r="BB23" s="200"/>
      <c r="BC23" s="200"/>
      <c r="BD23" s="200"/>
      <c r="BE23" s="201"/>
      <c r="BF23" s="202"/>
      <c r="BG23" s="202"/>
      <c r="BH23" s="203"/>
      <c r="BI23" s="204"/>
    </row>
    <row r="24" spans="1:61" ht="13.5">
      <c r="A24" s="191"/>
      <c r="B24" s="192"/>
      <c r="C24" s="192"/>
      <c r="D24" s="192"/>
      <c r="E24" s="193"/>
      <c r="F24" s="194"/>
      <c r="G24" s="195"/>
      <c r="H24" s="195"/>
      <c r="I24" s="195"/>
      <c r="J24" s="195"/>
      <c r="K24" s="195"/>
      <c r="L24" s="195"/>
      <c r="M24" s="195"/>
      <c r="N24" s="195"/>
      <c r="O24" s="195"/>
      <c r="P24" s="195"/>
      <c r="Q24" s="195"/>
      <c r="R24" s="195"/>
      <c r="S24" s="196"/>
      <c r="T24" s="197"/>
      <c r="U24" s="198"/>
      <c r="V24" s="198"/>
      <c r="W24" s="198"/>
      <c r="X24" s="198"/>
      <c r="Y24" s="198"/>
      <c r="Z24" s="198"/>
      <c r="AA24" s="198"/>
      <c r="AB24" s="198"/>
      <c r="AC24" s="198"/>
      <c r="AD24" s="198"/>
      <c r="AE24" s="198"/>
      <c r="AF24" s="198"/>
      <c r="AG24" s="198"/>
      <c r="AH24" s="198"/>
      <c r="AI24" s="198"/>
      <c r="AJ24" s="198"/>
      <c r="AK24" s="198"/>
      <c r="AL24" s="198"/>
      <c r="AM24" s="198"/>
      <c r="AN24" s="198"/>
      <c r="AO24" s="198"/>
      <c r="AP24" s="198"/>
      <c r="AQ24" s="198"/>
      <c r="AR24" s="198"/>
      <c r="AS24" s="198"/>
      <c r="AT24" s="198"/>
      <c r="AU24" s="198"/>
      <c r="AV24" s="198"/>
      <c r="AW24" s="198"/>
      <c r="AX24" s="198"/>
      <c r="AY24" s="198"/>
      <c r="AZ24" s="199"/>
      <c r="BA24" s="200"/>
      <c r="BB24" s="200"/>
      <c r="BC24" s="200"/>
      <c r="BD24" s="200"/>
      <c r="BE24" s="201"/>
      <c r="BF24" s="202"/>
      <c r="BG24" s="202"/>
      <c r="BH24" s="203"/>
      <c r="BI24" s="204"/>
    </row>
    <row r="25" spans="1:61" ht="13.5">
      <c r="A25" s="191"/>
      <c r="B25" s="192"/>
      <c r="C25" s="192"/>
      <c r="D25" s="192"/>
      <c r="E25" s="193"/>
      <c r="F25" s="194"/>
      <c r="G25" s="195"/>
      <c r="H25" s="195"/>
      <c r="I25" s="195"/>
      <c r="J25" s="195"/>
      <c r="K25" s="195"/>
      <c r="L25" s="195"/>
      <c r="M25" s="195"/>
      <c r="N25" s="195"/>
      <c r="O25" s="195"/>
      <c r="P25" s="195"/>
      <c r="Q25" s="195"/>
      <c r="R25" s="195"/>
      <c r="S25" s="196"/>
      <c r="T25" s="197"/>
      <c r="U25" s="198"/>
      <c r="V25" s="198"/>
      <c r="W25" s="198"/>
      <c r="X25" s="198"/>
      <c r="Y25" s="198"/>
      <c r="Z25" s="198"/>
      <c r="AA25" s="198"/>
      <c r="AB25" s="198"/>
      <c r="AC25" s="198"/>
      <c r="AD25" s="198"/>
      <c r="AE25" s="198"/>
      <c r="AF25" s="198"/>
      <c r="AG25" s="198"/>
      <c r="AH25" s="198"/>
      <c r="AI25" s="198"/>
      <c r="AJ25" s="198"/>
      <c r="AK25" s="198"/>
      <c r="AL25" s="198"/>
      <c r="AM25" s="198"/>
      <c r="AN25" s="198"/>
      <c r="AO25" s="198"/>
      <c r="AP25" s="198"/>
      <c r="AQ25" s="198"/>
      <c r="AR25" s="198"/>
      <c r="AS25" s="198"/>
      <c r="AT25" s="198"/>
      <c r="AU25" s="198"/>
      <c r="AV25" s="198"/>
      <c r="AW25" s="198"/>
      <c r="AX25" s="198"/>
      <c r="AY25" s="198"/>
      <c r="AZ25" s="199"/>
      <c r="BA25" s="200"/>
      <c r="BB25" s="200"/>
      <c r="BC25" s="200"/>
      <c r="BD25" s="200"/>
      <c r="BE25" s="201"/>
      <c r="BF25" s="202"/>
      <c r="BG25" s="202"/>
      <c r="BH25" s="203"/>
      <c r="BI25" s="204"/>
    </row>
    <row r="26" spans="1:61" ht="13.5">
      <c r="A26" s="191"/>
      <c r="B26" s="192"/>
      <c r="C26" s="192"/>
      <c r="D26" s="192"/>
      <c r="E26" s="193"/>
      <c r="F26" s="194"/>
      <c r="G26" s="195"/>
      <c r="H26" s="195"/>
      <c r="I26" s="195"/>
      <c r="J26" s="195"/>
      <c r="K26" s="195"/>
      <c r="L26" s="195"/>
      <c r="M26" s="195"/>
      <c r="N26" s="195"/>
      <c r="O26" s="195"/>
      <c r="P26" s="195"/>
      <c r="Q26" s="195"/>
      <c r="R26" s="195"/>
      <c r="S26" s="196"/>
      <c r="T26" s="197"/>
      <c r="U26" s="198"/>
      <c r="V26" s="198"/>
      <c r="W26" s="198"/>
      <c r="X26" s="198"/>
      <c r="Y26" s="198"/>
      <c r="Z26" s="198"/>
      <c r="AA26" s="198"/>
      <c r="AB26" s="198"/>
      <c r="AC26" s="198"/>
      <c r="AD26" s="198"/>
      <c r="AE26" s="198"/>
      <c r="AF26" s="198"/>
      <c r="AG26" s="198"/>
      <c r="AH26" s="198"/>
      <c r="AI26" s="198"/>
      <c r="AJ26" s="198"/>
      <c r="AK26" s="198"/>
      <c r="AL26" s="198"/>
      <c r="AM26" s="198"/>
      <c r="AN26" s="198"/>
      <c r="AO26" s="198"/>
      <c r="AP26" s="198"/>
      <c r="AQ26" s="198"/>
      <c r="AR26" s="198"/>
      <c r="AS26" s="198"/>
      <c r="AT26" s="198"/>
      <c r="AU26" s="198"/>
      <c r="AV26" s="198"/>
      <c r="AW26" s="198"/>
      <c r="AX26" s="198"/>
      <c r="AY26" s="198"/>
      <c r="AZ26" s="199"/>
      <c r="BA26" s="200"/>
      <c r="BB26" s="200"/>
      <c r="BC26" s="200"/>
      <c r="BD26" s="200"/>
      <c r="BE26" s="201"/>
      <c r="BF26" s="202"/>
      <c r="BG26" s="202"/>
      <c r="BH26" s="203"/>
      <c r="BI26" s="204"/>
    </row>
    <row r="27" spans="1:61" ht="13.5">
      <c r="A27" s="191"/>
      <c r="B27" s="192"/>
      <c r="C27" s="192"/>
      <c r="D27" s="192"/>
      <c r="E27" s="193"/>
      <c r="F27" s="194"/>
      <c r="G27" s="195"/>
      <c r="H27" s="195"/>
      <c r="I27" s="195"/>
      <c r="J27" s="195"/>
      <c r="K27" s="195"/>
      <c r="L27" s="195"/>
      <c r="M27" s="195"/>
      <c r="N27" s="195"/>
      <c r="O27" s="195"/>
      <c r="P27" s="195"/>
      <c r="Q27" s="195"/>
      <c r="R27" s="195"/>
      <c r="S27" s="196"/>
      <c r="T27" s="197"/>
      <c r="U27" s="198"/>
      <c r="V27" s="198"/>
      <c r="W27" s="198"/>
      <c r="X27" s="198"/>
      <c r="Y27" s="198"/>
      <c r="Z27" s="198"/>
      <c r="AA27" s="198"/>
      <c r="AB27" s="198"/>
      <c r="AC27" s="198"/>
      <c r="AD27" s="198"/>
      <c r="AE27" s="198"/>
      <c r="AF27" s="198"/>
      <c r="AG27" s="198"/>
      <c r="AH27" s="198"/>
      <c r="AI27" s="198"/>
      <c r="AJ27" s="198"/>
      <c r="AK27" s="198"/>
      <c r="AL27" s="198"/>
      <c r="AM27" s="198"/>
      <c r="AN27" s="198"/>
      <c r="AO27" s="198"/>
      <c r="AP27" s="198"/>
      <c r="AQ27" s="198"/>
      <c r="AR27" s="198"/>
      <c r="AS27" s="198"/>
      <c r="AT27" s="198"/>
      <c r="AU27" s="198"/>
      <c r="AV27" s="198"/>
      <c r="AW27" s="198"/>
      <c r="AX27" s="198"/>
      <c r="AY27" s="198"/>
      <c r="AZ27" s="199"/>
      <c r="BA27" s="200"/>
      <c r="BB27" s="200"/>
      <c r="BC27" s="200"/>
      <c r="BD27" s="200"/>
      <c r="BE27" s="201"/>
      <c r="BF27" s="202"/>
      <c r="BG27" s="202"/>
      <c r="BH27" s="203"/>
      <c r="BI27" s="204"/>
    </row>
    <row r="28" spans="1:61" ht="13.5">
      <c r="A28" s="191"/>
      <c r="B28" s="192"/>
      <c r="C28" s="192"/>
      <c r="D28" s="192"/>
      <c r="E28" s="193"/>
      <c r="F28" s="194"/>
      <c r="G28" s="195"/>
      <c r="H28" s="195"/>
      <c r="I28" s="195"/>
      <c r="J28" s="195"/>
      <c r="K28" s="195"/>
      <c r="L28" s="195"/>
      <c r="M28" s="195"/>
      <c r="N28" s="195"/>
      <c r="O28" s="195"/>
      <c r="P28" s="195"/>
      <c r="Q28" s="195"/>
      <c r="R28" s="195"/>
      <c r="S28" s="196"/>
      <c r="T28" s="197"/>
      <c r="U28" s="198"/>
      <c r="V28" s="198"/>
      <c r="W28" s="198"/>
      <c r="X28" s="198"/>
      <c r="Y28" s="198"/>
      <c r="Z28" s="198"/>
      <c r="AA28" s="198"/>
      <c r="AB28" s="198"/>
      <c r="AC28" s="198"/>
      <c r="AD28" s="198"/>
      <c r="AE28" s="198"/>
      <c r="AF28" s="198"/>
      <c r="AG28" s="198"/>
      <c r="AH28" s="198"/>
      <c r="AI28" s="198"/>
      <c r="AJ28" s="198"/>
      <c r="AK28" s="198"/>
      <c r="AL28" s="198"/>
      <c r="AM28" s="198"/>
      <c r="AN28" s="198"/>
      <c r="AO28" s="198"/>
      <c r="AP28" s="198"/>
      <c r="AQ28" s="198"/>
      <c r="AR28" s="198"/>
      <c r="AS28" s="198"/>
      <c r="AT28" s="198"/>
      <c r="AU28" s="198"/>
      <c r="AV28" s="198"/>
      <c r="AW28" s="198"/>
      <c r="AX28" s="198"/>
      <c r="AY28" s="198"/>
      <c r="AZ28" s="199"/>
      <c r="BA28" s="200"/>
      <c r="BB28" s="200"/>
      <c r="BC28" s="200"/>
      <c r="BD28" s="200"/>
      <c r="BE28" s="201"/>
      <c r="BF28" s="202"/>
      <c r="BG28" s="202"/>
      <c r="BH28" s="203"/>
      <c r="BI28" s="204"/>
    </row>
    <row r="29" spans="1:61" ht="13.5">
      <c r="A29" s="191"/>
      <c r="B29" s="192"/>
      <c r="C29" s="192"/>
      <c r="D29" s="192"/>
      <c r="E29" s="193"/>
      <c r="F29" s="194"/>
      <c r="G29" s="195"/>
      <c r="H29" s="195"/>
      <c r="I29" s="195"/>
      <c r="J29" s="195"/>
      <c r="K29" s="195"/>
      <c r="L29" s="195"/>
      <c r="M29" s="195"/>
      <c r="N29" s="195"/>
      <c r="O29" s="195"/>
      <c r="P29" s="195"/>
      <c r="Q29" s="195"/>
      <c r="R29" s="195"/>
      <c r="S29" s="196"/>
      <c r="T29" s="197"/>
      <c r="U29" s="198"/>
      <c r="V29" s="198"/>
      <c r="W29" s="198"/>
      <c r="X29" s="198"/>
      <c r="Y29" s="198"/>
      <c r="Z29" s="198"/>
      <c r="AA29" s="198"/>
      <c r="AB29" s="198"/>
      <c r="AC29" s="198"/>
      <c r="AD29" s="198"/>
      <c r="AE29" s="198"/>
      <c r="AF29" s="198"/>
      <c r="AG29" s="198"/>
      <c r="AH29" s="198"/>
      <c r="AI29" s="198"/>
      <c r="AJ29" s="198"/>
      <c r="AK29" s="198"/>
      <c r="AL29" s="198"/>
      <c r="AM29" s="198"/>
      <c r="AN29" s="198"/>
      <c r="AO29" s="198"/>
      <c r="AP29" s="198"/>
      <c r="AQ29" s="198"/>
      <c r="AR29" s="198"/>
      <c r="AS29" s="198"/>
      <c r="AT29" s="198"/>
      <c r="AU29" s="198"/>
      <c r="AV29" s="198"/>
      <c r="AW29" s="198"/>
      <c r="AX29" s="198"/>
      <c r="AY29" s="198"/>
      <c r="AZ29" s="199"/>
      <c r="BA29" s="200"/>
      <c r="BB29" s="200"/>
      <c r="BC29" s="200"/>
      <c r="BD29" s="200"/>
      <c r="BE29" s="201"/>
      <c r="BF29" s="202"/>
      <c r="BG29" s="202"/>
      <c r="BH29" s="203"/>
      <c r="BI29" s="204"/>
    </row>
    <row r="30" spans="1:61" ht="13.5">
      <c r="A30" s="191"/>
      <c r="B30" s="192"/>
      <c r="C30" s="192"/>
      <c r="D30" s="192"/>
      <c r="E30" s="193"/>
      <c r="F30" s="194"/>
      <c r="G30" s="195"/>
      <c r="H30" s="195"/>
      <c r="I30" s="195"/>
      <c r="J30" s="195"/>
      <c r="K30" s="195"/>
      <c r="L30" s="195"/>
      <c r="M30" s="195"/>
      <c r="N30" s="195"/>
      <c r="O30" s="195"/>
      <c r="P30" s="195"/>
      <c r="Q30" s="195"/>
      <c r="R30" s="195"/>
      <c r="S30" s="196"/>
      <c r="T30" s="197"/>
      <c r="U30" s="198"/>
      <c r="V30" s="198"/>
      <c r="W30" s="198"/>
      <c r="X30" s="198"/>
      <c r="Y30" s="198"/>
      <c r="Z30" s="198"/>
      <c r="AA30" s="198"/>
      <c r="AB30" s="198"/>
      <c r="AC30" s="198"/>
      <c r="AD30" s="198"/>
      <c r="AE30" s="198"/>
      <c r="AF30" s="198"/>
      <c r="AG30" s="198"/>
      <c r="AH30" s="198"/>
      <c r="AI30" s="198"/>
      <c r="AJ30" s="198"/>
      <c r="AK30" s="198"/>
      <c r="AL30" s="198"/>
      <c r="AM30" s="198"/>
      <c r="AN30" s="198"/>
      <c r="AO30" s="198"/>
      <c r="AP30" s="198"/>
      <c r="AQ30" s="198"/>
      <c r="AR30" s="198"/>
      <c r="AS30" s="198"/>
      <c r="AT30" s="198"/>
      <c r="AU30" s="198"/>
      <c r="AV30" s="198"/>
      <c r="AW30" s="198"/>
      <c r="AX30" s="198"/>
      <c r="AY30" s="198"/>
      <c r="AZ30" s="199"/>
      <c r="BA30" s="200"/>
      <c r="BB30" s="200"/>
      <c r="BC30" s="200"/>
      <c r="BD30" s="200"/>
      <c r="BE30" s="201"/>
      <c r="BF30" s="202"/>
      <c r="BG30" s="202"/>
      <c r="BH30" s="203"/>
      <c r="BI30" s="204"/>
    </row>
    <row r="31" spans="1:61" ht="13.5">
      <c r="A31" s="191"/>
      <c r="B31" s="192"/>
      <c r="C31" s="192"/>
      <c r="D31" s="192"/>
      <c r="E31" s="193"/>
      <c r="F31" s="194"/>
      <c r="G31" s="195"/>
      <c r="H31" s="195"/>
      <c r="I31" s="195"/>
      <c r="J31" s="195"/>
      <c r="K31" s="195"/>
      <c r="L31" s="195"/>
      <c r="M31" s="195"/>
      <c r="N31" s="195"/>
      <c r="O31" s="195"/>
      <c r="P31" s="195"/>
      <c r="Q31" s="195"/>
      <c r="R31" s="195"/>
      <c r="S31" s="196"/>
      <c r="T31" s="197"/>
      <c r="U31" s="198"/>
      <c r="V31" s="198"/>
      <c r="W31" s="198"/>
      <c r="X31" s="198"/>
      <c r="Y31" s="198"/>
      <c r="Z31" s="198"/>
      <c r="AA31" s="198"/>
      <c r="AB31" s="198"/>
      <c r="AC31" s="198"/>
      <c r="AD31" s="198"/>
      <c r="AE31" s="198"/>
      <c r="AF31" s="198"/>
      <c r="AG31" s="198"/>
      <c r="AH31" s="198"/>
      <c r="AI31" s="198"/>
      <c r="AJ31" s="198"/>
      <c r="AK31" s="198"/>
      <c r="AL31" s="198"/>
      <c r="AM31" s="198"/>
      <c r="AN31" s="198"/>
      <c r="AO31" s="198"/>
      <c r="AP31" s="198"/>
      <c r="AQ31" s="198"/>
      <c r="AR31" s="198"/>
      <c r="AS31" s="198"/>
      <c r="AT31" s="198"/>
      <c r="AU31" s="198"/>
      <c r="AV31" s="198"/>
      <c r="AW31" s="198"/>
      <c r="AX31" s="198"/>
      <c r="AY31" s="198"/>
      <c r="AZ31" s="199"/>
      <c r="BA31" s="200"/>
      <c r="BB31" s="200"/>
      <c r="BC31" s="200"/>
      <c r="BD31" s="200"/>
      <c r="BE31" s="201"/>
      <c r="BF31" s="202"/>
      <c r="BG31" s="202"/>
      <c r="BH31" s="203"/>
      <c r="BI31" s="204"/>
    </row>
    <row r="32" spans="1:61" ht="13.5">
      <c r="A32" s="191"/>
      <c r="B32" s="192"/>
      <c r="C32" s="192"/>
      <c r="D32" s="192"/>
      <c r="E32" s="193"/>
      <c r="F32" s="194"/>
      <c r="G32" s="195"/>
      <c r="H32" s="195"/>
      <c r="I32" s="195"/>
      <c r="J32" s="195"/>
      <c r="K32" s="195"/>
      <c r="L32" s="195"/>
      <c r="M32" s="195"/>
      <c r="N32" s="195"/>
      <c r="O32" s="195"/>
      <c r="P32" s="195"/>
      <c r="Q32" s="195"/>
      <c r="R32" s="195"/>
      <c r="S32" s="196"/>
      <c r="T32" s="197"/>
      <c r="U32" s="198"/>
      <c r="V32" s="198"/>
      <c r="W32" s="198"/>
      <c r="X32" s="198"/>
      <c r="Y32" s="198"/>
      <c r="Z32" s="198"/>
      <c r="AA32" s="198"/>
      <c r="AB32" s="198"/>
      <c r="AC32" s="198"/>
      <c r="AD32" s="198"/>
      <c r="AE32" s="198"/>
      <c r="AF32" s="198"/>
      <c r="AG32" s="198"/>
      <c r="AH32" s="198"/>
      <c r="AI32" s="198"/>
      <c r="AJ32" s="198"/>
      <c r="AK32" s="198"/>
      <c r="AL32" s="198"/>
      <c r="AM32" s="198"/>
      <c r="AN32" s="198"/>
      <c r="AO32" s="198"/>
      <c r="AP32" s="198"/>
      <c r="AQ32" s="198"/>
      <c r="AR32" s="198"/>
      <c r="AS32" s="198"/>
      <c r="AT32" s="198"/>
      <c r="AU32" s="198"/>
      <c r="AV32" s="198"/>
      <c r="AW32" s="198"/>
      <c r="AX32" s="198"/>
      <c r="AY32" s="198"/>
      <c r="AZ32" s="199"/>
      <c r="BA32" s="200"/>
      <c r="BB32" s="200"/>
      <c r="BC32" s="200"/>
      <c r="BD32" s="200"/>
      <c r="BE32" s="201"/>
      <c r="BF32" s="202"/>
      <c r="BG32" s="202"/>
      <c r="BH32" s="203"/>
      <c r="BI32" s="204"/>
    </row>
    <row r="33" spans="1:61" ht="13.5">
      <c r="A33" s="191"/>
      <c r="B33" s="192"/>
      <c r="C33" s="192"/>
      <c r="D33" s="192"/>
      <c r="E33" s="193"/>
      <c r="F33" s="194"/>
      <c r="G33" s="195"/>
      <c r="H33" s="195"/>
      <c r="I33" s="195"/>
      <c r="J33" s="195"/>
      <c r="K33" s="195"/>
      <c r="L33" s="195"/>
      <c r="M33" s="195"/>
      <c r="N33" s="195"/>
      <c r="O33" s="195"/>
      <c r="P33" s="195"/>
      <c r="Q33" s="195"/>
      <c r="R33" s="195"/>
      <c r="S33" s="196"/>
      <c r="T33" s="197"/>
      <c r="U33" s="198"/>
      <c r="V33" s="198"/>
      <c r="W33" s="198"/>
      <c r="X33" s="198"/>
      <c r="Y33" s="198"/>
      <c r="Z33" s="198"/>
      <c r="AA33" s="198"/>
      <c r="AB33" s="198"/>
      <c r="AC33" s="198"/>
      <c r="AD33" s="198"/>
      <c r="AE33" s="198"/>
      <c r="AF33" s="198"/>
      <c r="AG33" s="198"/>
      <c r="AH33" s="198"/>
      <c r="AI33" s="198"/>
      <c r="AJ33" s="198"/>
      <c r="AK33" s="198"/>
      <c r="AL33" s="198"/>
      <c r="AM33" s="198"/>
      <c r="AN33" s="198"/>
      <c r="AO33" s="198"/>
      <c r="AP33" s="198"/>
      <c r="AQ33" s="198"/>
      <c r="AR33" s="198"/>
      <c r="AS33" s="198"/>
      <c r="AT33" s="198"/>
      <c r="AU33" s="198"/>
      <c r="AV33" s="198"/>
      <c r="AW33" s="198"/>
      <c r="AX33" s="198"/>
      <c r="AY33" s="198"/>
      <c r="AZ33" s="199"/>
      <c r="BA33" s="200"/>
      <c r="BB33" s="200"/>
      <c r="BC33" s="200"/>
      <c r="BD33" s="200"/>
      <c r="BE33" s="201"/>
      <c r="BF33" s="202"/>
      <c r="BG33" s="202"/>
      <c r="BH33" s="203"/>
      <c r="BI33" s="204"/>
    </row>
    <row r="34" spans="1:61" ht="13.5">
      <c r="A34" s="191"/>
      <c r="B34" s="192"/>
      <c r="C34" s="192"/>
      <c r="D34" s="192"/>
      <c r="E34" s="193"/>
      <c r="F34" s="194"/>
      <c r="G34" s="195"/>
      <c r="H34" s="195"/>
      <c r="I34" s="195"/>
      <c r="J34" s="195"/>
      <c r="K34" s="195"/>
      <c r="L34" s="195"/>
      <c r="M34" s="195"/>
      <c r="N34" s="195"/>
      <c r="O34" s="195"/>
      <c r="P34" s="195"/>
      <c r="Q34" s="195"/>
      <c r="R34" s="195"/>
      <c r="S34" s="196"/>
      <c r="T34" s="197"/>
      <c r="U34" s="198"/>
      <c r="V34" s="198"/>
      <c r="W34" s="198"/>
      <c r="X34" s="198"/>
      <c r="Y34" s="198"/>
      <c r="Z34" s="198"/>
      <c r="AA34" s="198"/>
      <c r="AB34" s="198"/>
      <c r="AC34" s="198"/>
      <c r="AD34" s="198"/>
      <c r="AE34" s="198"/>
      <c r="AF34" s="198"/>
      <c r="AG34" s="198"/>
      <c r="AH34" s="198"/>
      <c r="AI34" s="198"/>
      <c r="AJ34" s="198"/>
      <c r="AK34" s="198"/>
      <c r="AL34" s="198"/>
      <c r="AM34" s="198"/>
      <c r="AN34" s="198"/>
      <c r="AO34" s="198"/>
      <c r="AP34" s="198"/>
      <c r="AQ34" s="198"/>
      <c r="AR34" s="198"/>
      <c r="AS34" s="198"/>
      <c r="AT34" s="198"/>
      <c r="AU34" s="198"/>
      <c r="AV34" s="198"/>
      <c r="AW34" s="198"/>
      <c r="AX34" s="198"/>
      <c r="AY34" s="198"/>
      <c r="AZ34" s="199"/>
      <c r="BA34" s="200"/>
      <c r="BB34" s="200"/>
      <c r="BC34" s="200"/>
      <c r="BD34" s="200"/>
      <c r="BE34" s="201"/>
      <c r="BF34" s="202"/>
      <c r="BG34" s="202"/>
      <c r="BH34" s="203"/>
      <c r="BI34" s="204"/>
    </row>
    <row r="35" spans="1:61" ht="13.5">
      <c r="A35" s="191"/>
      <c r="B35" s="192"/>
      <c r="C35" s="192"/>
      <c r="D35" s="192"/>
      <c r="E35" s="193"/>
      <c r="F35" s="194"/>
      <c r="G35" s="195"/>
      <c r="H35" s="195"/>
      <c r="I35" s="195"/>
      <c r="J35" s="195"/>
      <c r="K35" s="195"/>
      <c r="L35" s="195"/>
      <c r="M35" s="195"/>
      <c r="N35" s="195"/>
      <c r="O35" s="195"/>
      <c r="P35" s="195"/>
      <c r="Q35" s="195"/>
      <c r="R35" s="195"/>
      <c r="S35" s="196"/>
      <c r="T35" s="197"/>
      <c r="U35" s="198"/>
      <c r="V35" s="198"/>
      <c r="W35" s="198"/>
      <c r="X35" s="198"/>
      <c r="Y35" s="198"/>
      <c r="Z35" s="198"/>
      <c r="AA35" s="198"/>
      <c r="AB35" s="198"/>
      <c r="AC35" s="198"/>
      <c r="AD35" s="198"/>
      <c r="AE35" s="198"/>
      <c r="AF35" s="198"/>
      <c r="AG35" s="198"/>
      <c r="AH35" s="198"/>
      <c r="AI35" s="198"/>
      <c r="AJ35" s="198"/>
      <c r="AK35" s="198"/>
      <c r="AL35" s="198"/>
      <c r="AM35" s="198"/>
      <c r="AN35" s="198"/>
      <c r="AO35" s="198"/>
      <c r="AP35" s="198"/>
      <c r="AQ35" s="198"/>
      <c r="AR35" s="198"/>
      <c r="AS35" s="198"/>
      <c r="AT35" s="198"/>
      <c r="AU35" s="198"/>
      <c r="AV35" s="198"/>
      <c r="AW35" s="198"/>
      <c r="AX35" s="198"/>
      <c r="AY35" s="198"/>
      <c r="AZ35" s="199"/>
      <c r="BA35" s="200"/>
      <c r="BB35" s="200"/>
      <c r="BC35" s="200"/>
      <c r="BD35" s="200"/>
      <c r="BE35" s="201"/>
      <c r="BF35" s="202"/>
      <c r="BG35" s="202"/>
      <c r="BH35" s="203"/>
      <c r="BI35" s="204"/>
    </row>
    <row r="36" spans="1:61" ht="13.5">
      <c r="A36" s="191"/>
      <c r="B36" s="192"/>
      <c r="C36" s="192"/>
      <c r="D36" s="192"/>
      <c r="E36" s="193"/>
      <c r="F36" s="194"/>
      <c r="G36" s="195"/>
      <c r="H36" s="195"/>
      <c r="I36" s="195"/>
      <c r="J36" s="195"/>
      <c r="K36" s="195"/>
      <c r="L36" s="195"/>
      <c r="M36" s="195"/>
      <c r="N36" s="195"/>
      <c r="O36" s="195"/>
      <c r="P36" s="195"/>
      <c r="Q36" s="195"/>
      <c r="R36" s="195"/>
      <c r="S36" s="196"/>
      <c r="T36" s="197"/>
      <c r="U36" s="198"/>
      <c r="V36" s="198"/>
      <c r="W36" s="198"/>
      <c r="X36" s="198"/>
      <c r="Y36" s="198"/>
      <c r="Z36" s="198"/>
      <c r="AA36" s="198"/>
      <c r="AB36" s="198"/>
      <c r="AC36" s="198"/>
      <c r="AD36" s="198"/>
      <c r="AE36" s="198"/>
      <c r="AF36" s="198"/>
      <c r="AG36" s="198"/>
      <c r="AH36" s="198"/>
      <c r="AI36" s="198"/>
      <c r="AJ36" s="198"/>
      <c r="AK36" s="198"/>
      <c r="AL36" s="198"/>
      <c r="AM36" s="198"/>
      <c r="AN36" s="198"/>
      <c r="AO36" s="198"/>
      <c r="AP36" s="198"/>
      <c r="AQ36" s="198"/>
      <c r="AR36" s="198"/>
      <c r="AS36" s="198"/>
      <c r="AT36" s="198"/>
      <c r="AU36" s="198"/>
      <c r="AV36" s="198"/>
      <c r="AW36" s="198"/>
      <c r="AX36" s="198"/>
      <c r="AY36" s="198"/>
      <c r="AZ36" s="199"/>
      <c r="BA36" s="200"/>
      <c r="BB36" s="200"/>
      <c r="BC36" s="200"/>
      <c r="BD36" s="200"/>
      <c r="BE36" s="201"/>
      <c r="BF36" s="202"/>
      <c r="BG36" s="202"/>
      <c r="BH36" s="203"/>
      <c r="BI36" s="204"/>
    </row>
    <row r="37" spans="1:61" ht="13.5">
      <c r="A37" s="191"/>
      <c r="B37" s="192"/>
      <c r="C37" s="192"/>
      <c r="D37" s="192"/>
      <c r="E37" s="193"/>
      <c r="F37" s="194"/>
      <c r="G37" s="195"/>
      <c r="H37" s="195"/>
      <c r="I37" s="195"/>
      <c r="J37" s="195"/>
      <c r="K37" s="195"/>
      <c r="L37" s="195"/>
      <c r="M37" s="195"/>
      <c r="N37" s="195"/>
      <c r="O37" s="195"/>
      <c r="P37" s="195"/>
      <c r="Q37" s="195"/>
      <c r="R37" s="195"/>
      <c r="S37" s="196"/>
      <c r="T37" s="197"/>
      <c r="U37" s="198"/>
      <c r="V37" s="198"/>
      <c r="W37" s="198"/>
      <c r="X37" s="198"/>
      <c r="Y37" s="198"/>
      <c r="Z37" s="198"/>
      <c r="AA37" s="198"/>
      <c r="AB37" s="198"/>
      <c r="AC37" s="198"/>
      <c r="AD37" s="198"/>
      <c r="AE37" s="198"/>
      <c r="AF37" s="198"/>
      <c r="AG37" s="198"/>
      <c r="AH37" s="198"/>
      <c r="AI37" s="198"/>
      <c r="AJ37" s="198"/>
      <c r="AK37" s="198"/>
      <c r="AL37" s="198"/>
      <c r="AM37" s="198"/>
      <c r="AN37" s="198"/>
      <c r="AO37" s="198"/>
      <c r="AP37" s="198"/>
      <c r="AQ37" s="198"/>
      <c r="AR37" s="198"/>
      <c r="AS37" s="198"/>
      <c r="AT37" s="198"/>
      <c r="AU37" s="198"/>
      <c r="AV37" s="198"/>
      <c r="AW37" s="198"/>
      <c r="AX37" s="198"/>
      <c r="AY37" s="198"/>
      <c r="AZ37" s="199"/>
      <c r="BA37" s="200"/>
      <c r="BB37" s="200"/>
      <c r="BC37" s="200"/>
      <c r="BD37" s="200"/>
      <c r="BE37" s="201"/>
      <c r="BF37" s="202"/>
      <c r="BG37" s="202"/>
      <c r="BH37" s="203"/>
      <c r="BI37" s="204"/>
    </row>
    <row r="38" spans="1:61" ht="13.5">
      <c r="A38" s="191"/>
      <c r="B38" s="192"/>
      <c r="C38" s="192"/>
      <c r="D38" s="192"/>
      <c r="E38" s="193"/>
      <c r="F38" s="194"/>
      <c r="G38" s="195"/>
      <c r="H38" s="195"/>
      <c r="I38" s="195"/>
      <c r="J38" s="195"/>
      <c r="K38" s="195"/>
      <c r="L38" s="195"/>
      <c r="M38" s="195"/>
      <c r="N38" s="195"/>
      <c r="O38" s="195"/>
      <c r="P38" s="195"/>
      <c r="Q38" s="195"/>
      <c r="R38" s="195"/>
      <c r="S38" s="196"/>
      <c r="T38" s="197"/>
      <c r="U38" s="198"/>
      <c r="V38" s="198"/>
      <c r="W38" s="198"/>
      <c r="X38" s="198"/>
      <c r="Y38" s="198"/>
      <c r="Z38" s="198"/>
      <c r="AA38" s="198"/>
      <c r="AB38" s="198"/>
      <c r="AC38" s="198"/>
      <c r="AD38" s="198"/>
      <c r="AE38" s="198"/>
      <c r="AF38" s="198"/>
      <c r="AG38" s="198"/>
      <c r="AH38" s="198"/>
      <c r="AI38" s="198"/>
      <c r="AJ38" s="198"/>
      <c r="AK38" s="198"/>
      <c r="AL38" s="198"/>
      <c r="AM38" s="198"/>
      <c r="AN38" s="198"/>
      <c r="AO38" s="198"/>
      <c r="AP38" s="198"/>
      <c r="AQ38" s="198"/>
      <c r="AR38" s="198"/>
      <c r="AS38" s="198"/>
      <c r="AT38" s="198"/>
      <c r="AU38" s="198"/>
      <c r="AV38" s="198"/>
      <c r="AW38" s="198"/>
      <c r="AX38" s="198"/>
      <c r="AY38" s="198"/>
      <c r="AZ38" s="199"/>
      <c r="BA38" s="200"/>
      <c r="BB38" s="200"/>
      <c r="BC38" s="200"/>
      <c r="BD38" s="200"/>
      <c r="BE38" s="201"/>
      <c r="BF38" s="202"/>
      <c r="BG38" s="202"/>
      <c r="BH38" s="203"/>
      <c r="BI38" s="204"/>
    </row>
    <row r="39" spans="1:61" ht="15" customHeight="1">
      <c r="A39" s="191"/>
      <c r="B39" s="192"/>
      <c r="C39" s="192"/>
      <c r="D39" s="192"/>
      <c r="E39" s="193"/>
      <c r="F39" s="194"/>
      <c r="G39" s="195"/>
      <c r="H39" s="195"/>
      <c r="I39" s="195"/>
      <c r="J39" s="195"/>
      <c r="K39" s="195"/>
      <c r="L39" s="195"/>
      <c r="M39" s="195"/>
      <c r="N39" s="195"/>
      <c r="O39" s="195"/>
      <c r="P39" s="195"/>
      <c r="Q39" s="195"/>
      <c r="R39" s="195"/>
      <c r="S39" s="196"/>
      <c r="T39" s="198"/>
      <c r="U39" s="198"/>
      <c r="V39" s="198"/>
      <c r="W39" s="198"/>
      <c r="X39" s="198"/>
      <c r="Y39" s="198"/>
      <c r="Z39" s="198"/>
      <c r="AA39" s="198"/>
      <c r="AB39" s="198"/>
      <c r="AC39" s="198"/>
      <c r="AD39" s="198"/>
      <c r="AE39" s="198"/>
      <c r="AF39" s="198"/>
      <c r="AG39" s="198"/>
      <c r="AH39" s="198"/>
      <c r="AI39" s="198"/>
      <c r="AJ39" s="198"/>
      <c r="AK39" s="198"/>
      <c r="AL39" s="198"/>
      <c r="AM39" s="198"/>
      <c r="AN39" s="198"/>
      <c r="AO39" s="198"/>
      <c r="AP39" s="198"/>
      <c r="AQ39" s="198"/>
      <c r="AR39" s="198"/>
      <c r="AS39" s="198"/>
      <c r="AT39" s="198"/>
      <c r="AU39" s="198"/>
      <c r="AV39" s="198"/>
      <c r="AW39" s="198"/>
      <c r="AX39" s="198"/>
      <c r="AY39" s="198"/>
      <c r="AZ39" s="199"/>
      <c r="BA39" s="200"/>
      <c r="BB39" s="200"/>
      <c r="BC39" s="200"/>
      <c r="BD39" s="200"/>
      <c r="BE39" s="201"/>
      <c r="BF39" s="202"/>
      <c r="BG39" s="202"/>
      <c r="BH39" s="203"/>
      <c r="BI39" s="204"/>
    </row>
    <row r="40" spans="1:61" ht="15" customHeight="1" thickBot="1">
      <c r="A40" s="277"/>
      <c r="B40" s="278"/>
      <c r="C40" s="278"/>
      <c r="D40" s="278"/>
      <c r="E40" s="279"/>
      <c r="F40" s="280"/>
      <c r="G40" s="281"/>
      <c r="H40" s="281"/>
      <c r="I40" s="281"/>
      <c r="J40" s="281"/>
      <c r="K40" s="281"/>
      <c r="L40" s="281"/>
      <c r="M40" s="281"/>
      <c r="N40" s="281"/>
      <c r="O40" s="281"/>
      <c r="P40" s="281"/>
      <c r="Q40" s="281"/>
      <c r="R40" s="281"/>
      <c r="S40" s="282"/>
      <c r="T40" s="283"/>
      <c r="U40" s="283"/>
      <c r="V40" s="283"/>
      <c r="W40" s="283"/>
      <c r="X40" s="283"/>
      <c r="Y40" s="283"/>
      <c r="Z40" s="283"/>
      <c r="AA40" s="283"/>
      <c r="AB40" s="283"/>
      <c r="AC40" s="283"/>
      <c r="AD40" s="283"/>
      <c r="AE40" s="283"/>
      <c r="AF40" s="283"/>
      <c r="AG40" s="283"/>
      <c r="AH40" s="283"/>
      <c r="AI40" s="283"/>
      <c r="AJ40" s="283"/>
      <c r="AK40" s="283"/>
      <c r="AL40" s="283"/>
      <c r="AM40" s="283"/>
      <c r="AN40" s="283"/>
      <c r="AO40" s="283"/>
      <c r="AP40" s="283"/>
      <c r="AQ40" s="283"/>
      <c r="AR40" s="283"/>
      <c r="AS40" s="283"/>
      <c r="AT40" s="283"/>
      <c r="AU40" s="283"/>
      <c r="AV40" s="283"/>
      <c r="AW40" s="283"/>
      <c r="AX40" s="283"/>
      <c r="AY40" s="283"/>
      <c r="AZ40" s="284"/>
      <c r="BA40" s="285"/>
      <c r="BB40" s="285"/>
      <c r="BC40" s="285"/>
      <c r="BD40" s="285"/>
      <c r="BE40" s="286"/>
      <c r="BF40" s="287"/>
      <c r="BG40" s="287"/>
      <c r="BH40" s="288"/>
      <c r="BI40" s="289"/>
    </row>
  </sheetData>
  <mergeCells count="197">
    <mergeCell ref="A36:E36"/>
    <mergeCell ref="F36:S36"/>
    <mergeCell ref="T36:AY36"/>
    <mergeCell ref="AZ36:BE36"/>
    <mergeCell ref="BF36:BI36"/>
    <mergeCell ref="A40:E40"/>
    <mergeCell ref="F40:S40"/>
    <mergeCell ref="T40:AY40"/>
    <mergeCell ref="AZ40:BE40"/>
    <mergeCell ref="BF40:BI40"/>
    <mergeCell ref="A39:E39"/>
    <mergeCell ref="F39:S39"/>
    <mergeCell ref="T39:AY39"/>
    <mergeCell ref="AZ39:BE39"/>
    <mergeCell ref="BF39:BI39"/>
    <mergeCell ref="BF38:BI38"/>
    <mergeCell ref="AZ38:BE38"/>
    <mergeCell ref="T38:AY38"/>
    <mergeCell ref="F38:S38"/>
    <mergeCell ref="A38:E38"/>
    <mergeCell ref="BF33:BI33"/>
    <mergeCell ref="A34:E34"/>
    <mergeCell ref="F34:S34"/>
    <mergeCell ref="T34:AY34"/>
    <mergeCell ref="AZ34:BE34"/>
    <mergeCell ref="BF34:BI34"/>
    <mergeCell ref="A35:E35"/>
    <mergeCell ref="F35:S35"/>
    <mergeCell ref="T35:AY35"/>
    <mergeCell ref="AZ35:BE35"/>
    <mergeCell ref="BF35:BI35"/>
    <mergeCell ref="A12:E12"/>
    <mergeCell ref="F12:S12"/>
    <mergeCell ref="T12:AY12"/>
    <mergeCell ref="AZ12:BE12"/>
    <mergeCell ref="BF12:BI12"/>
    <mergeCell ref="A13:E13"/>
    <mergeCell ref="F13:S13"/>
    <mergeCell ref="T13:AY13"/>
    <mergeCell ref="AZ13:BE13"/>
    <mergeCell ref="BF13:BI13"/>
    <mergeCell ref="A10:E10"/>
    <mergeCell ref="F10:S10"/>
    <mergeCell ref="T10:AY10"/>
    <mergeCell ref="AZ10:BE10"/>
    <mergeCell ref="BF10:BI10"/>
    <mergeCell ref="A11:E11"/>
    <mergeCell ref="F11:S11"/>
    <mergeCell ref="T11:AY11"/>
    <mergeCell ref="AZ11:BE11"/>
    <mergeCell ref="BF11:BI11"/>
    <mergeCell ref="A8:E8"/>
    <mergeCell ref="F8:S8"/>
    <mergeCell ref="T8:AY8"/>
    <mergeCell ref="AZ8:BE8"/>
    <mergeCell ref="BF8:BI8"/>
    <mergeCell ref="A9:E9"/>
    <mergeCell ref="F9:S9"/>
    <mergeCell ref="T9:AY9"/>
    <mergeCell ref="AZ9:BE9"/>
    <mergeCell ref="BF9:BI9"/>
    <mergeCell ref="A6:E6"/>
    <mergeCell ref="F6:S6"/>
    <mergeCell ref="T6:AY6"/>
    <mergeCell ref="AZ6:BE6"/>
    <mergeCell ref="BF6:BI6"/>
    <mergeCell ref="A7:E7"/>
    <mergeCell ref="F7:S7"/>
    <mergeCell ref="T7:AY7"/>
    <mergeCell ref="AZ7:BE7"/>
    <mergeCell ref="BF7:BI7"/>
    <mergeCell ref="BB3:BI3"/>
    <mergeCell ref="A5:E5"/>
    <mergeCell ref="F5:S5"/>
    <mergeCell ref="T5:AY5"/>
    <mergeCell ref="AZ5:BE5"/>
    <mergeCell ref="BF5:BI5"/>
    <mergeCell ref="BB1:BI1"/>
    <mergeCell ref="F2:P3"/>
    <mergeCell ref="Q2:V3"/>
    <mergeCell ref="W2:AD3"/>
    <mergeCell ref="AE2:AS3"/>
    <mergeCell ref="AT2:AU2"/>
    <mergeCell ref="AV2:BA2"/>
    <mergeCell ref="BB2:BI2"/>
    <mergeCell ref="AT3:AU3"/>
    <mergeCell ref="AV3:BA3"/>
    <mergeCell ref="A1:E3"/>
    <mergeCell ref="F1:P1"/>
    <mergeCell ref="Q1:V1"/>
    <mergeCell ref="W1:AD1"/>
    <mergeCell ref="AE1:AS1"/>
    <mergeCell ref="AT1:BA1"/>
    <mergeCell ref="A14:E14"/>
    <mergeCell ref="F14:S14"/>
    <mergeCell ref="T14:AY14"/>
    <mergeCell ref="AZ14:BE14"/>
    <mergeCell ref="BF14:BI14"/>
    <mergeCell ref="A15:E15"/>
    <mergeCell ref="F15:S15"/>
    <mergeCell ref="T15:AY15"/>
    <mergeCell ref="AZ15:BE15"/>
    <mergeCell ref="BF15:BI15"/>
    <mergeCell ref="A16:E16"/>
    <mergeCell ref="F16:S16"/>
    <mergeCell ref="T16:AY16"/>
    <mergeCell ref="AZ16:BE16"/>
    <mergeCell ref="BF16:BI16"/>
    <mergeCell ref="A17:E17"/>
    <mergeCell ref="F17:S17"/>
    <mergeCell ref="T17:AY17"/>
    <mergeCell ref="AZ17:BE17"/>
    <mergeCell ref="BF17:BI17"/>
    <mergeCell ref="A18:E18"/>
    <mergeCell ref="F18:S18"/>
    <mergeCell ref="T18:AY18"/>
    <mergeCell ref="AZ18:BE18"/>
    <mergeCell ref="BF18:BI18"/>
    <mergeCell ref="A19:E19"/>
    <mergeCell ref="F19:S19"/>
    <mergeCell ref="T19:AY19"/>
    <mergeCell ref="AZ19:BE19"/>
    <mergeCell ref="BF19:BI19"/>
    <mergeCell ref="A20:E20"/>
    <mergeCell ref="F20:S20"/>
    <mergeCell ref="T20:AY20"/>
    <mergeCell ref="AZ20:BE20"/>
    <mergeCell ref="BF20:BI20"/>
    <mergeCell ref="A21:E21"/>
    <mergeCell ref="F21:S21"/>
    <mergeCell ref="T21:AY21"/>
    <mergeCell ref="AZ21:BE21"/>
    <mergeCell ref="BF21:BI21"/>
    <mergeCell ref="A22:E22"/>
    <mergeCell ref="F22:S22"/>
    <mergeCell ref="T22:AY22"/>
    <mergeCell ref="AZ22:BE22"/>
    <mergeCell ref="BF22:BI22"/>
    <mergeCell ref="A23:E23"/>
    <mergeCell ref="F23:S23"/>
    <mergeCell ref="T23:AY23"/>
    <mergeCell ref="AZ23:BE23"/>
    <mergeCell ref="BF23:BI23"/>
    <mergeCell ref="A24:E24"/>
    <mergeCell ref="F24:S24"/>
    <mergeCell ref="T24:AY24"/>
    <mergeCell ref="AZ24:BE24"/>
    <mergeCell ref="BF24:BI24"/>
    <mergeCell ref="A25:E25"/>
    <mergeCell ref="F25:S25"/>
    <mergeCell ref="T25:AY25"/>
    <mergeCell ref="AZ25:BE25"/>
    <mergeCell ref="BF25:BI25"/>
    <mergeCell ref="A26:E26"/>
    <mergeCell ref="F26:S26"/>
    <mergeCell ref="T26:AY26"/>
    <mergeCell ref="AZ26:BE26"/>
    <mergeCell ref="BF26:BI26"/>
    <mergeCell ref="A27:E27"/>
    <mergeCell ref="F27:S27"/>
    <mergeCell ref="T27:AY27"/>
    <mergeCell ref="AZ27:BE27"/>
    <mergeCell ref="BF27:BI27"/>
    <mergeCell ref="A28:E28"/>
    <mergeCell ref="F28:S28"/>
    <mergeCell ref="T28:AY28"/>
    <mergeCell ref="AZ28:BE28"/>
    <mergeCell ref="BF28:BI28"/>
    <mergeCell ref="A29:E29"/>
    <mergeCell ref="F29:S29"/>
    <mergeCell ref="T29:AY29"/>
    <mergeCell ref="AZ29:BE29"/>
    <mergeCell ref="BF29:BI29"/>
    <mergeCell ref="A30:E30"/>
    <mergeCell ref="F30:S30"/>
    <mergeCell ref="T30:AY30"/>
    <mergeCell ref="AZ30:BE30"/>
    <mergeCell ref="BF30:BI30"/>
    <mergeCell ref="A37:E37"/>
    <mergeCell ref="F37:S37"/>
    <mergeCell ref="T37:AY37"/>
    <mergeCell ref="AZ37:BE37"/>
    <mergeCell ref="BF37:BI37"/>
    <mergeCell ref="A31:E31"/>
    <mergeCell ref="F31:S31"/>
    <mergeCell ref="T31:AY31"/>
    <mergeCell ref="AZ31:BE31"/>
    <mergeCell ref="BF31:BI31"/>
    <mergeCell ref="A32:E32"/>
    <mergeCell ref="F32:S32"/>
    <mergeCell ref="T32:AY32"/>
    <mergeCell ref="AZ32:BE32"/>
    <mergeCell ref="BF32:BI32"/>
    <mergeCell ref="A33:E33"/>
    <mergeCell ref="F33:S33"/>
    <mergeCell ref="T33:AY33"/>
    <mergeCell ref="AZ33:BE33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scale="85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0C581A-4BE4-4DB7-82AA-E5B6D12C77B6}">
  <dimension ref="A1:BI46"/>
  <sheetViews>
    <sheetView showGridLines="0" zoomScaleNormal="100" workbookViewId="0">
      <selection activeCell="A17" sqref="A17:XFD17"/>
    </sheetView>
  </sheetViews>
  <sheetFormatPr defaultColWidth="2.33203125" defaultRowHeight="15" customHeight="1"/>
  <cols>
    <col min="1" max="16384" width="2.33203125" style="43"/>
  </cols>
  <sheetData>
    <row r="1" spans="1:61" s="1" customFormat="1" ht="15" customHeight="1" thickBot="1">
      <c r="A1" s="245" t="s">
        <v>32</v>
      </c>
      <c r="B1" s="246"/>
      <c r="C1" s="246"/>
      <c r="D1" s="246"/>
      <c r="E1" s="247"/>
      <c r="F1" s="254" t="str">
        <f>変更履歴!F1</f>
        <v>システム名</v>
      </c>
      <c r="G1" s="255"/>
      <c r="H1" s="255"/>
      <c r="I1" s="255"/>
      <c r="J1" s="255"/>
      <c r="K1" s="255"/>
      <c r="L1" s="255"/>
      <c r="M1" s="255"/>
      <c r="N1" s="255"/>
      <c r="O1" s="255"/>
      <c r="P1" s="256"/>
      <c r="Q1" s="257" t="str">
        <f>変更履歴!Q1</f>
        <v>機能分類</v>
      </c>
      <c r="R1" s="258"/>
      <c r="S1" s="258"/>
      <c r="T1" s="258"/>
      <c r="U1" s="258"/>
      <c r="V1" s="259"/>
      <c r="W1" s="254" t="str">
        <f>変更履歴!W1</f>
        <v>機能ＩＤ</v>
      </c>
      <c r="X1" s="255"/>
      <c r="Y1" s="255"/>
      <c r="Z1" s="255"/>
      <c r="AA1" s="255"/>
      <c r="AB1" s="255"/>
      <c r="AC1" s="255"/>
      <c r="AD1" s="256"/>
      <c r="AE1" s="254" t="str">
        <f>変更履歴!AE1</f>
        <v>機能名称</v>
      </c>
      <c r="AF1" s="255"/>
      <c r="AG1" s="255"/>
      <c r="AH1" s="255"/>
      <c r="AI1" s="255"/>
      <c r="AJ1" s="255"/>
      <c r="AK1" s="255"/>
      <c r="AL1" s="255"/>
      <c r="AM1" s="255"/>
      <c r="AN1" s="255"/>
      <c r="AO1" s="255"/>
      <c r="AP1" s="255"/>
      <c r="AQ1" s="255"/>
      <c r="AR1" s="255"/>
      <c r="AS1" s="256"/>
      <c r="AT1" s="260" t="str">
        <f>変更履歴!AT1</f>
        <v>日付</v>
      </c>
      <c r="AU1" s="261"/>
      <c r="AV1" s="261"/>
      <c r="AW1" s="261"/>
      <c r="AX1" s="261"/>
      <c r="AY1" s="261"/>
      <c r="AZ1" s="261"/>
      <c r="BA1" s="262"/>
      <c r="BB1" s="217" t="str">
        <f>変更履歴!BB1</f>
        <v>更新者</v>
      </c>
      <c r="BC1" s="219"/>
      <c r="BD1" s="219"/>
      <c r="BE1" s="219"/>
      <c r="BF1" s="219"/>
      <c r="BG1" s="219"/>
      <c r="BH1" s="219"/>
      <c r="BI1" s="220"/>
    </row>
    <row r="2" spans="1:61" s="1" customFormat="1" ht="15" customHeight="1">
      <c r="A2" s="248"/>
      <c r="B2" s="249"/>
      <c r="C2" s="249"/>
      <c r="D2" s="249"/>
      <c r="E2" s="250"/>
      <c r="F2" s="221" t="str">
        <f>変更履歴!F2</f>
        <v>Dynamics365 for Finance and Operations</v>
      </c>
      <c r="G2" s="222"/>
      <c r="H2" s="222"/>
      <c r="I2" s="222"/>
      <c r="J2" s="222"/>
      <c r="K2" s="222"/>
      <c r="L2" s="222"/>
      <c r="M2" s="222"/>
      <c r="N2" s="222"/>
      <c r="O2" s="222"/>
      <c r="P2" s="223"/>
      <c r="Q2" s="221" t="str">
        <f>変更履歴!Q2</f>
        <v>債権・債務</v>
      </c>
      <c r="R2" s="222"/>
      <c r="S2" s="222"/>
      <c r="T2" s="222"/>
      <c r="U2" s="222"/>
      <c r="V2" s="223"/>
      <c r="W2" s="227" t="str">
        <f>変更履歴!W2</f>
        <v>FO-006</v>
      </c>
      <c r="X2" s="228"/>
      <c r="Y2" s="228"/>
      <c r="Z2" s="228"/>
      <c r="AA2" s="228"/>
      <c r="AB2" s="228"/>
      <c r="AC2" s="228"/>
      <c r="AD2" s="229"/>
      <c r="AE2" s="221" t="str">
        <f>変更履歴!AE2</f>
        <v>支払方法・支払サイトマスタ画面</v>
      </c>
      <c r="AF2" s="222"/>
      <c r="AG2" s="222"/>
      <c r="AH2" s="222"/>
      <c r="AI2" s="222"/>
      <c r="AJ2" s="222"/>
      <c r="AK2" s="222"/>
      <c r="AL2" s="222"/>
      <c r="AM2" s="222"/>
      <c r="AN2" s="222"/>
      <c r="AO2" s="222"/>
      <c r="AP2" s="222"/>
      <c r="AQ2" s="222"/>
      <c r="AR2" s="222"/>
      <c r="AS2" s="223"/>
      <c r="AT2" s="233" t="str">
        <f>変更履歴!AT2</f>
        <v>作成</v>
      </c>
      <c r="AU2" s="234"/>
      <c r="AV2" s="235">
        <f>変更履歴!AV2</f>
        <v>45448</v>
      </c>
      <c r="AW2" s="235"/>
      <c r="AX2" s="235"/>
      <c r="AY2" s="235"/>
      <c r="AZ2" s="235"/>
      <c r="BA2" s="236"/>
      <c r="BB2" s="237" t="str">
        <f>変更履歴!BB2</f>
        <v>JBS井田</v>
      </c>
      <c r="BC2" s="239"/>
      <c r="BD2" s="239"/>
      <c r="BE2" s="239"/>
      <c r="BF2" s="239"/>
      <c r="BG2" s="239"/>
      <c r="BH2" s="239"/>
      <c r="BI2" s="240"/>
    </row>
    <row r="3" spans="1:61" s="1" customFormat="1" ht="15" customHeight="1" thickBot="1">
      <c r="A3" s="251"/>
      <c r="B3" s="252"/>
      <c r="C3" s="252"/>
      <c r="D3" s="252"/>
      <c r="E3" s="253"/>
      <c r="F3" s="224"/>
      <c r="G3" s="225"/>
      <c r="H3" s="225"/>
      <c r="I3" s="225"/>
      <c r="J3" s="225"/>
      <c r="K3" s="225"/>
      <c r="L3" s="225"/>
      <c r="M3" s="225"/>
      <c r="N3" s="225"/>
      <c r="O3" s="225"/>
      <c r="P3" s="226"/>
      <c r="Q3" s="224"/>
      <c r="R3" s="225"/>
      <c r="S3" s="225"/>
      <c r="T3" s="225"/>
      <c r="U3" s="225"/>
      <c r="V3" s="226"/>
      <c r="W3" s="230"/>
      <c r="X3" s="231"/>
      <c r="Y3" s="231"/>
      <c r="Z3" s="231"/>
      <c r="AA3" s="231"/>
      <c r="AB3" s="231"/>
      <c r="AC3" s="231"/>
      <c r="AD3" s="232"/>
      <c r="AE3" s="224"/>
      <c r="AF3" s="225"/>
      <c r="AG3" s="225"/>
      <c r="AH3" s="225"/>
      <c r="AI3" s="225"/>
      <c r="AJ3" s="225"/>
      <c r="AK3" s="225"/>
      <c r="AL3" s="225"/>
      <c r="AM3" s="225"/>
      <c r="AN3" s="225"/>
      <c r="AO3" s="225"/>
      <c r="AP3" s="225"/>
      <c r="AQ3" s="225"/>
      <c r="AR3" s="225"/>
      <c r="AS3" s="226"/>
      <c r="AT3" s="241" t="str">
        <f>変更履歴!AT3</f>
        <v>更新</v>
      </c>
      <c r="AU3" s="242"/>
      <c r="AV3" s="290">
        <f ca="1">変更履歴!AV3</f>
        <v>45589</v>
      </c>
      <c r="AW3" s="291"/>
      <c r="AX3" s="291"/>
      <c r="AY3" s="291"/>
      <c r="AZ3" s="291"/>
      <c r="BA3" s="292"/>
      <c r="BB3" s="294" t="str">
        <f ca="1">変更履歴!BB3</f>
        <v>JBS井田</v>
      </c>
      <c r="BC3" s="295"/>
      <c r="BD3" s="295"/>
      <c r="BE3" s="295"/>
      <c r="BF3" s="295"/>
      <c r="BG3" s="295"/>
      <c r="BH3" s="295"/>
      <c r="BI3" s="296"/>
    </row>
    <row r="4" spans="1:61" s="1" customFormat="1" ht="15" customHeight="1" thickBot="1">
      <c r="A4" s="293"/>
      <c r="B4" s="293"/>
      <c r="C4" s="293"/>
      <c r="D4" s="293"/>
      <c r="E4" s="293"/>
      <c r="F4" s="293"/>
      <c r="G4" s="293"/>
      <c r="H4" s="293"/>
    </row>
    <row r="5" spans="1:61" s="1" customFormat="1" ht="15" customHeight="1">
      <c r="A5" s="2" t="s">
        <v>33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4"/>
    </row>
    <row r="6" spans="1:61" s="1" customFormat="1" ht="15" customHeight="1">
      <c r="A6" s="15"/>
      <c r="B6" s="5" t="s">
        <v>34</v>
      </c>
      <c r="C6" s="1" t="s">
        <v>35</v>
      </c>
      <c r="BI6" s="24"/>
    </row>
    <row r="7" spans="1:61" s="1" customFormat="1" ht="15" customHeight="1">
      <c r="A7" s="15"/>
      <c r="B7" s="5"/>
      <c r="BI7" s="24"/>
    </row>
    <row r="8" spans="1:61" s="1" customFormat="1" ht="15" customHeight="1">
      <c r="A8" s="16" t="s">
        <v>36</v>
      </c>
      <c r="BI8" s="24"/>
    </row>
    <row r="9" spans="1:61" s="1" customFormat="1" ht="15" customHeight="1">
      <c r="A9" s="15"/>
      <c r="B9" s="5" t="s">
        <v>37</v>
      </c>
      <c r="C9" s="1" t="s">
        <v>38</v>
      </c>
      <c r="BI9" s="24"/>
    </row>
    <row r="10" spans="1:61" s="1" customFormat="1" ht="15" customHeight="1">
      <c r="A10" s="15"/>
      <c r="B10" s="5" t="s">
        <v>39</v>
      </c>
      <c r="C10" s="1" t="s">
        <v>40</v>
      </c>
      <c r="BI10" s="24"/>
    </row>
    <row r="11" spans="1:61" s="1" customFormat="1" ht="15" customHeight="1">
      <c r="A11" s="15"/>
      <c r="B11" s="5"/>
      <c r="BI11" s="24"/>
    </row>
    <row r="12" spans="1:61" s="1" customFormat="1" ht="15" customHeight="1">
      <c r="A12" s="16" t="s">
        <v>41</v>
      </c>
      <c r="BI12" s="24"/>
    </row>
    <row r="13" spans="1:61" s="1" customFormat="1" ht="15" customHeight="1">
      <c r="A13" s="15"/>
      <c r="B13" s="5" t="s">
        <v>34</v>
      </c>
      <c r="C13" s="1" t="s">
        <v>42</v>
      </c>
      <c r="BI13" s="24"/>
    </row>
    <row r="14" spans="1:61" s="1" customFormat="1" ht="15" customHeight="1">
      <c r="A14" s="15"/>
      <c r="B14" s="5"/>
      <c r="BI14" s="24"/>
    </row>
    <row r="15" spans="1:61" s="1" customFormat="1" ht="15" customHeight="1">
      <c r="A15" s="16" t="s">
        <v>43</v>
      </c>
      <c r="BI15" s="24"/>
    </row>
    <row r="16" spans="1:61" s="1" customFormat="1" ht="15" customHeight="1">
      <c r="A16" s="15"/>
      <c r="B16" s="5" t="s">
        <v>34</v>
      </c>
      <c r="C16" s="1" t="s">
        <v>44</v>
      </c>
      <c r="BI16" s="24"/>
    </row>
    <row r="17" spans="1:61" s="1" customFormat="1" ht="15" customHeight="1">
      <c r="A17" s="15"/>
      <c r="C17" s="1" t="s">
        <v>277</v>
      </c>
      <c r="BI17" s="24"/>
    </row>
    <row r="18" spans="1:61" s="1" customFormat="1" ht="15" customHeight="1">
      <c r="A18" s="15"/>
      <c r="B18" s="5"/>
      <c r="C18" s="1" t="s">
        <v>45</v>
      </c>
      <c r="BI18" s="24"/>
    </row>
    <row r="19" spans="1:61" s="1" customFormat="1" ht="15" customHeight="1">
      <c r="A19" s="15"/>
      <c r="B19" s="5"/>
      <c r="C19" s="1" t="s">
        <v>46</v>
      </c>
      <c r="BI19" s="24"/>
    </row>
    <row r="20" spans="1:61" s="1" customFormat="1" ht="15" customHeight="1">
      <c r="A20" s="15"/>
      <c r="B20" s="5"/>
      <c r="C20" s="1" t="s">
        <v>47</v>
      </c>
      <c r="BI20" s="24"/>
    </row>
    <row r="21" spans="1:61" s="1" customFormat="1" ht="15" customHeight="1">
      <c r="A21" s="15"/>
      <c r="C21" s="1" t="s">
        <v>48</v>
      </c>
      <c r="BI21" s="24"/>
    </row>
    <row r="22" spans="1:61" s="1" customFormat="1" ht="15" customHeight="1">
      <c r="A22" s="15"/>
      <c r="C22" s="151" t="s">
        <v>49</v>
      </c>
      <c r="BI22" s="24"/>
    </row>
    <row r="23" spans="1:61" s="1" customFormat="1" ht="15" customHeight="1">
      <c r="A23" s="15"/>
      <c r="BI23" s="24"/>
    </row>
    <row r="24" spans="1:61" s="1" customFormat="1" ht="15" customHeight="1">
      <c r="A24" s="15"/>
      <c r="BI24" s="24"/>
    </row>
    <row r="25" spans="1:61" s="1" customFormat="1" ht="15" customHeight="1">
      <c r="A25" s="16" t="s">
        <v>50</v>
      </c>
      <c r="BI25" s="24"/>
    </row>
    <row r="26" spans="1:61" s="1" customFormat="1" ht="15" customHeight="1">
      <c r="A26" s="15"/>
      <c r="B26" s="5" t="s">
        <v>34</v>
      </c>
      <c r="C26" s="1" t="s">
        <v>51</v>
      </c>
      <c r="BI26" s="24"/>
    </row>
    <row r="27" spans="1:61" s="1" customFormat="1" ht="15" customHeight="1">
      <c r="A27" s="15"/>
      <c r="B27" s="5"/>
      <c r="BI27" s="24"/>
    </row>
    <row r="28" spans="1:61" s="1" customFormat="1" ht="15" customHeight="1">
      <c r="A28" s="15"/>
      <c r="BI28" s="24"/>
    </row>
    <row r="29" spans="1:61" s="1" customFormat="1" ht="15" customHeight="1">
      <c r="A29" s="15"/>
      <c r="BI29" s="24"/>
    </row>
    <row r="30" spans="1:61" s="1" customFormat="1" ht="15" customHeight="1">
      <c r="A30" s="15"/>
      <c r="B30" s="5"/>
      <c r="BI30" s="24"/>
    </row>
    <row r="31" spans="1:61" s="1" customFormat="1" ht="15" customHeight="1">
      <c r="A31" s="15"/>
      <c r="B31" s="5"/>
      <c r="BI31" s="24"/>
    </row>
    <row r="32" spans="1:61" s="1" customFormat="1" ht="15" customHeight="1">
      <c r="A32" s="15"/>
      <c r="B32" s="5"/>
      <c r="BI32" s="24"/>
    </row>
    <row r="33" spans="1:61" s="1" customFormat="1" ht="15" customHeight="1" thickBot="1">
      <c r="A33" s="17"/>
      <c r="B33" s="25"/>
      <c r="C33" s="25"/>
      <c r="D33" s="25"/>
      <c r="E33" s="25"/>
      <c r="F33" s="25"/>
      <c r="G33" s="25"/>
      <c r="H33" s="25"/>
      <c r="I33" s="25"/>
      <c r="J33" s="25"/>
      <c r="K33" s="25"/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  <c r="AA33" s="25"/>
      <c r="AB33" s="25"/>
      <c r="AC33" s="25"/>
      <c r="AD33" s="25"/>
      <c r="AE33" s="25"/>
      <c r="AF33" s="25"/>
      <c r="AG33" s="25"/>
      <c r="AH33" s="25"/>
      <c r="AI33" s="25"/>
      <c r="AJ33" s="25"/>
      <c r="AK33" s="25"/>
      <c r="AL33" s="25"/>
      <c r="AM33" s="25"/>
      <c r="AN33" s="25"/>
      <c r="AO33" s="25"/>
      <c r="AP33" s="25"/>
      <c r="AQ33" s="25"/>
      <c r="AR33" s="25"/>
      <c r="AS33" s="25"/>
      <c r="AT33" s="25"/>
      <c r="AU33" s="25"/>
      <c r="AV33" s="25"/>
      <c r="AW33" s="25"/>
      <c r="AX33" s="25"/>
      <c r="AY33" s="25"/>
      <c r="AZ33" s="25"/>
      <c r="BA33" s="25"/>
      <c r="BB33" s="25"/>
      <c r="BC33" s="25"/>
      <c r="BD33" s="25"/>
      <c r="BE33" s="25"/>
      <c r="BF33" s="25"/>
      <c r="BG33" s="25"/>
      <c r="BH33" s="25"/>
      <c r="BI33" s="26"/>
    </row>
    <row r="34" spans="1:61" s="1" customFormat="1" ht="15" customHeight="1"/>
    <row r="35" spans="1:61" s="1" customFormat="1" ht="15" customHeight="1"/>
    <row r="36" spans="1:61" s="1" customFormat="1" ht="15" customHeight="1"/>
    <row r="37" spans="1:61" s="1" customFormat="1" ht="15" customHeight="1"/>
    <row r="38" spans="1:61" s="1" customFormat="1" ht="15" customHeight="1"/>
    <row r="39" spans="1:61" s="1" customFormat="1" ht="15" customHeight="1"/>
    <row r="40" spans="1:61" s="1" customFormat="1" ht="15" customHeight="1"/>
    <row r="41" spans="1:61" s="1" customFormat="1" ht="15" customHeight="1"/>
    <row r="42" spans="1:61" s="1" customFormat="1" ht="15" customHeight="1"/>
    <row r="43" spans="1:61" s="1" customFormat="1" ht="15" customHeight="1"/>
    <row r="44" spans="1:61" s="1" customFormat="1" ht="15" customHeight="1"/>
    <row r="45" spans="1:61" s="1" customFormat="1" ht="15" customHeight="1"/>
    <row r="46" spans="1:61" s="1" customFormat="1" ht="15" customHeight="1"/>
  </sheetData>
  <mergeCells count="18">
    <mergeCell ref="AV2:BA2"/>
    <mergeCell ref="BB2:BI2"/>
    <mergeCell ref="AT3:AU3"/>
    <mergeCell ref="AV3:BA3"/>
    <mergeCell ref="A4:H4"/>
    <mergeCell ref="BB3:BI3"/>
    <mergeCell ref="BB1:BI1"/>
    <mergeCell ref="A1:E3"/>
    <mergeCell ref="F1:P1"/>
    <mergeCell ref="Q1:V1"/>
    <mergeCell ref="W1:AD1"/>
    <mergeCell ref="AE1:AS1"/>
    <mergeCell ref="AT1:BA1"/>
    <mergeCell ref="F2:P3"/>
    <mergeCell ref="Q2:V3"/>
    <mergeCell ref="W2:AD3"/>
    <mergeCell ref="AE2:AS3"/>
    <mergeCell ref="AT2:AU2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scale="85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CE8814-B2D9-4DA6-AC9E-028D89350E4F}">
  <dimension ref="A1:BI48"/>
  <sheetViews>
    <sheetView showGridLines="0" zoomScaleNormal="100" workbookViewId="0">
      <pane ySplit="5" topLeftCell="A6" activePane="bottomLeft" state="frozen"/>
      <selection pane="bottomLeft" sqref="A1:E3"/>
    </sheetView>
  </sheetViews>
  <sheetFormatPr defaultColWidth="2.33203125" defaultRowHeight="15" customHeight="1"/>
  <cols>
    <col min="1" max="16384" width="2.33203125" style="43"/>
  </cols>
  <sheetData>
    <row r="1" spans="1:61" s="1" customFormat="1" ht="15" customHeight="1" thickBot="1">
      <c r="A1" s="245" t="s">
        <v>32</v>
      </c>
      <c r="B1" s="246"/>
      <c r="C1" s="246"/>
      <c r="D1" s="246"/>
      <c r="E1" s="247"/>
      <c r="F1" s="254" t="str">
        <f>変更履歴!F1</f>
        <v>システム名</v>
      </c>
      <c r="G1" s="255"/>
      <c r="H1" s="255"/>
      <c r="I1" s="255"/>
      <c r="J1" s="255"/>
      <c r="K1" s="255"/>
      <c r="L1" s="255"/>
      <c r="M1" s="255"/>
      <c r="N1" s="255"/>
      <c r="O1" s="255"/>
      <c r="P1" s="256"/>
      <c r="Q1" s="257" t="str">
        <f>変更履歴!Q1</f>
        <v>機能分類</v>
      </c>
      <c r="R1" s="258"/>
      <c r="S1" s="258"/>
      <c r="T1" s="258"/>
      <c r="U1" s="258"/>
      <c r="V1" s="259"/>
      <c r="W1" s="254" t="str">
        <f>変更履歴!W1</f>
        <v>機能ＩＤ</v>
      </c>
      <c r="X1" s="255"/>
      <c r="Y1" s="255"/>
      <c r="Z1" s="255"/>
      <c r="AA1" s="255"/>
      <c r="AB1" s="255"/>
      <c r="AC1" s="255"/>
      <c r="AD1" s="256"/>
      <c r="AE1" s="254" t="str">
        <f>変更履歴!AE1</f>
        <v>機能名称</v>
      </c>
      <c r="AF1" s="255"/>
      <c r="AG1" s="255"/>
      <c r="AH1" s="255"/>
      <c r="AI1" s="255"/>
      <c r="AJ1" s="255"/>
      <c r="AK1" s="255"/>
      <c r="AL1" s="255"/>
      <c r="AM1" s="255"/>
      <c r="AN1" s="255"/>
      <c r="AO1" s="255"/>
      <c r="AP1" s="255"/>
      <c r="AQ1" s="255"/>
      <c r="AR1" s="255"/>
      <c r="AS1" s="256"/>
      <c r="AT1" s="260" t="str">
        <f>変更履歴!AT1</f>
        <v>日付</v>
      </c>
      <c r="AU1" s="261"/>
      <c r="AV1" s="261"/>
      <c r="AW1" s="261"/>
      <c r="AX1" s="261"/>
      <c r="AY1" s="261"/>
      <c r="AZ1" s="261"/>
      <c r="BA1" s="262"/>
      <c r="BB1" s="217" t="str">
        <f>変更履歴!BB1</f>
        <v>更新者</v>
      </c>
      <c r="BC1" s="219"/>
      <c r="BD1" s="219"/>
      <c r="BE1" s="219"/>
      <c r="BF1" s="219"/>
      <c r="BG1" s="219"/>
      <c r="BH1" s="219"/>
      <c r="BI1" s="220"/>
    </row>
    <row r="2" spans="1:61" s="1" customFormat="1" ht="15" customHeight="1">
      <c r="A2" s="248"/>
      <c r="B2" s="249"/>
      <c r="C2" s="249"/>
      <c r="D2" s="249"/>
      <c r="E2" s="250"/>
      <c r="F2" s="221" t="str">
        <f>変更履歴!F2</f>
        <v>Dynamics365 for Finance and Operations</v>
      </c>
      <c r="G2" s="222"/>
      <c r="H2" s="222"/>
      <c r="I2" s="222"/>
      <c r="J2" s="222"/>
      <c r="K2" s="222"/>
      <c r="L2" s="222"/>
      <c r="M2" s="222"/>
      <c r="N2" s="222"/>
      <c r="O2" s="222"/>
      <c r="P2" s="223"/>
      <c r="Q2" s="221" t="s">
        <v>17</v>
      </c>
      <c r="R2" s="222"/>
      <c r="S2" s="222"/>
      <c r="T2" s="222"/>
      <c r="U2" s="222"/>
      <c r="V2" s="223"/>
      <c r="W2" s="227" t="str">
        <f>変更履歴!W2</f>
        <v>FO-006</v>
      </c>
      <c r="X2" s="228"/>
      <c r="Y2" s="228"/>
      <c r="Z2" s="228"/>
      <c r="AA2" s="228"/>
      <c r="AB2" s="228"/>
      <c r="AC2" s="228"/>
      <c r="AD2" s="229"/>
      <c r="AE2" s="221" t="str">
        <f>変更履歴!AE2</f>
        <v>支払方法・支払サイトマスタ画面</v>
      </c>
      <c r="AF2" s="222"/>
      <c r="AG2" s="222"/>
      <c r="AH2" s="222"/>
      <c r="AI2" s="222"/>
      <c r="AJ2" s="222"/>
      <c r="AK2" s="222"/>
      <c r="AL2" s="222"/>
      <c r="AM2" s="222"/>
      <c r="AN2" s="222"/>
      <c r="AO2" s="222"/>
      <c r="AP2" s="222"/>
      <c r="AQ2" s="222"/>
      <c r="AR2" s="222"/>
      <c r="AS2" s="223"/>
      <c r="AT2" s="233" t="str">
        <f>変更履歴!AT2</f>
        <v>作成</v>
      </c>
      <c r="AU2" s="234"/>
      <c r="AV2" s="235">
        <f>変更履歴!AV2</f>
        <v>45448</v>
      </c>
      <c r="AW2" s="235"/>
      <c r="AX2" s="235"/>
      <c r="AY2" s="235"/>
      <c r="AZ2" s="235"/>
      <c r="BA2" s="236"/>
      <c r="BB2" s="237" t="str">
        <f>変更履歴!BB2</f>
        <v>JBS井田</v>
      </c>
      <c r="BC2" s="239"/>
      <c r="BD2" s="239"/>
      <c r="BE2" s="239"/>
      <c r="BF2" s="239"/>
      <c r="BG2" s="239"/>
      <c r="BH2" s="239"/>
      <c r="BI2" s="240"/>
    </row>
    <row r="3" spans="1:61" s="1" customFormat="1" ht="15" customHeight="1" thickBot="1">
      <c r="A3" s="251"/>
      <c r="B3" s="252"/>
      <c r="C3" s="252"/>
      <c r="D3" s="252"/>
      <c r="E3" s="253"/>
      <c r="F3" s="224"/>
      <c r="G3" s="225"/>
      <c r="H3" s="225"/>
      <c r="I3" s="225"/>
      <c r="J3" s="225"/>
      <c r="K3" s="225"/>
      <c r="L3" s="225"/>
      <c r="M3" s="225"/>
      <c r="N3" s="225"/>
      <c r="O3" s="225"/>
      <c r="P3" s="226"/>
      <c r="Q3" s="224"/>
      <c r="R3" s="225"/>
      <c r="S3" s="225"/>
      <c r="T3" s="225"/>
      <c r="U3" s="225"/>
      <c r="V3" s="226"/>
      <c r="W3" s="230"/>
      <c r="X3" s="231"/>
      <c r="Y3" s="231"/>
      <c r="Z3" s="231"/>
      <c r="AA3" s="231"/>
      <c r="AB3" s="231"/>
      <c r="AC3" s="231"/>
      <c r="AD3" s="232"/>
      <c r="AE3" s="224"/>
      <c r="AF3" s="225"/>
      <c r="AG3" s="225"/>
      <c r="AH3" s="225"/>
      <c r="AI3" s="225"/>
      <c r="AJ3" s="225"/>
      <c r="AK3" s="225"/>
      <c r="AL3" s="225"/>
      <c r="AM3" s="225"/>
      <c r="AN3" s="225"/>
      <c r="AO3" s="225"/>
      <c r="AP3" s="225"/>
      <c r="AQ3" s="225"/>
      <c r="AR3" s="225"/>
      <c r="AS3" s="226"/>
      <c r="AT3" s="241" t="str">
        <f>変更履歴!AT3</f>
        <v>更新</v>
      </c>
      <c r="AU3" s="242"/>
      <c r="AV3" s="290">
        <f ca="1">変更履歴!AV3</f>
        <v>45589</v>
      </c>
      <c r="AW3" s="291"/>
      <c r="AX3" s="291"/>
      <c r="AY3" s="291"/>
      <c r="AZ3" s="291"/>
      <c r="BA3" s="292"/>
      <c r="BB3" s="294" t="str">
        <f ca="1">変更履歴!BB3</f>
        <v>JBS井田</v>
      </c>
      <c r="BC3" s="295"/>
      <c r="BD3" s="295"/>
      <c r="BE3" s="295"/>
      <c r="BF3" s="295"/>
      <c r="BG3" s="295"/>
      <c r="BH3" s="295"/>
      <c r="BI3" s="296"/>
    </row>
    <row r="4" spans="1:61" s="1" customFormat="1" ht="15" customHeight="1" thickBot="1">
      <c r="A4" s="293"/>
      <c r="B4" s="293"/>
      <c r="C4" s="293"/>
      <c r="D4" s="293"/>
      <c r="E4" s="293"/>
      <c r="F4" s="293"/>
      <c r="G4" s="293"/>
      <c r="H4" s="293"/>
    </row>
    <row r="5" spans="1:61" s="85" customFormat="1" ht="15" customHeight="1" thickBot="1">
      <c r="A5" s="317" t="s">
        <v>52</v>
      </c>
      <c r="B5" s="318"/>
      <c r="C5" s="327" t="s">
        <v>53</v>
      </c>
      <c r="D5" s="328"/>
      <c r="E5" s="328"/>
      <c r="F5" s="328"/>
      <c r="G5" s="328"/>
      <c r="H5" s="328"/>
      <c r="I5" s="328"/>
      <c r="J5" s="329"/>
      <c r="K5" s="330" t="s">
        <v>54</v>
      </c>
      <c r="L5" s="331"/>
      <c r="M5" s="331"/>
      <c r="N5" s="331"/>
      <c r="O5" s="331"/>
      <c r="P5" s="331"/>
      <c r="Q5" s="331"/>
      <c r="R5" s="331"/>
      <c r="S5" s="331"/>
      <c r="T5" s="331"/>
      <c r="U5" s="331"/>
      <c r="V5" s="331"/>
      <c r="W5" s="331"/>
      <c r="X5" s="331"/>
      <c r="Y5" s="331"/>
      <c r="Z5" s="331"/>
      <c r="AA5" s="331"/>
      <c r="AB5" s="332"/>
      <c r="AC5" s="317" t="s">
        <v>55</v>
      </c>
      <c r="AD5" s="326"/>
      <c r="AE5" s="326"/>
      <c r="AF5" s="326"/>
      <c r="AG5" s="326"/>
      <c r="AH5" s="326"/>
      <c r="AI5" s="326"/>
      <c r="AJ5" s="326"/>
      <c r="AK5" s="326"/>
      <c r="AL5" s="326"/>
      <c r="AM5" s="326"/>
      <c r="AN5" s="326"/>
      <c r="AO5" s="326"/>
      <c r="AP5" s="326"/>
      <c r="AQ5" s="326"/>
      <c r="AR5" s="318"/>
      <c r="AS5" s="317" t="s">
        <v>56</v>
      </c>
      <c r="AT5" s="318"/>
      <c r="AU5" s="317" t="s">
        <v>57</v>
      </c>
      <c r="AV5" s="326"/>
      <c r="AW5" s="326"/>
      <c r="AX5" s="326"/>
      <c r="AY5" s="326"/>
      <c r="AZ5" s="326"/>
      <c r="BA5" s="326"/>
      <c r="BB5" s="326"/>
      <c r="BC5" s="326"/>
      <c r="BD5" s="326"/>
      <c r="BE5" s="326"/>
      <c r="BF5" s="326"/>
      <c r="BG5" s="326"/>
      <c r="BH5" s="326"/>
      <c r="BI5" s="318"/>
    </row>
    <row r="6" spans="1:61" s="1" customFormat="1" ht="15" customHeight="1">
      <c r="A6" s="313">
        <f>ROW()-5</f>
        <v>1</v>
      </c>
      <c r="B6" s="314"/>
      <c r="C6" s="333" t="s">
        <v>58</v>
      </c>
      <c r="D6" s="334"/>
      <c r="E6" s="334"/>
      <c r="F6" s="334"/>
      <c r="G6" s="334"/>
      <c r="H6" s="334"/>
      <c r="I6" s="334"/>
      <c r="J6" s="335"/>
      <c r="K6" s="297" t="s">
        <v>59</v>
      </c>
      <c r="L6" s="298"/>
      <c r="M6" s="298"/>
      <c r="N6" s="298"/>
      <c r="O6" s="298"/>
      <c r="P6" s="298"/>
      <c r="Q6" s="298"/>
      <c r="R6" s="298"/>
      <c r="S6" s="298"/>
      <c r="T6" s="298"/>
      <c r="U6" s="298"/>
      <c r="V6" s="298"/>
      <c r="W6" s="298"/>
      <c r="X6" s="298"/>
      <c r="Y6" s="298"/>
      <c r="Z6" s="298"/>
      <c r="AA6" s="298"/>
      <c r="AB6" s="299"/>
      <c r="AC6" s="297" t="s">
        <v>60</v>
      </c>
      <c r="AD6" s="298"/>
      <c r="AE6" s="298"/>
      <c r="AF6" s="298"/>
      <c r="AG6" s="298"/>
      <c r="AH6" s="298"/>
      <c r="AI6" s="298"/>
      <c r="AJ6" s="298"/>
      <c r="AK6" s="298"/>
      <c r="AL6" s="298"/>
      <c r="AM6" s="298"/>
      <c r="AN6" s="298"/>
      <c r="AO6" s="298"/>
      <c r="AP6" s="298"/>
      <c r="AQ6" s="298"/>
      <c r="AR6" s="299"/>
      <c r="AS6" s="319" t="s">
        <v>56</v>
      </c>
      <c r="AT6" s="320"/>
      <c r="AU6" s="310"/>
      <c r="AV6" s="311"/>
      <c r="AW6" s="311"/>
      <c r="AX6" s="311"/>
      <c r="AY6" s="311"/>
      <c r="AZ6" s="311"/>
      <c r="BA6" s="311"/>
      <c r="BB6" s="311"/>
      <c r="BC6" s="311"/>
      <c r="BD6" s="311"/>
      <c r="BE6" s="311"/>
      <c r="BF6" s="311"/>
      <c r="BG6" s="311"/>
      <c r="BH6" s="311"/>
      <c r="BI6" s="312"/>
    </row>
    <row r="7" spans="1:61" s="1" customFormat="1" ht="15" customHeight="1">
      <c r="A7" s="313">
        <f t="shared" ref="A7:A38" si="0">ROW()-5</f>
        <v>2</v>
      </c>
      <c r="B7" s="314"/>
      <c r="C7" s="307" t="s">
        <v>58</v>
      </c>
      <c r="D7" s="308"/>
      <c r="E7" s="308"/>
      <c r="F7" s="308"/>
      <c r="G7" s="308"/>
      <c r="H7" s="308"/>
      <c r="I7" s="308"/>
      <c r="J7" s="309"/>
      <c r="K7" s="297" t="s">
        <v>61</v>
      </c>
      <c r="L7" s="298"/>
      <c r="M7" s="298"/>
      <c r="N7" s="298"/>
      <c r="O7" s="298"/>
      <c r="P7" s="298"/>
      <c r="Q7" s="298"/>
      <c r="R7" s="298"/>
      <c r="S7" s="298"/>
      <c r="T7" s="298"/>
      <c r="U7" s="298"/>
      <c r="V7" s="298"/>
      <c r="W7" s="298"/>
      <c r="X7" s="298"/>
      <c r="Y7" s="298"/>
      <c r="Z7" s="298"/>
      <c r="AA7" s="298"/>
      <c r="AB7" s="299"/>
      <c r="AC7" s="297" t="s">
        <v>62</v>
      </c>
      <c r="AD7" s="298"/>
      <c r="AE7" s="298"/>
      <c r="AF7" s="298"/>
      <c r="AG7" s="298"/>
      <c r="AH7" s="298"/>
      <c r="AI7" s="298"/>
      <c r="AJ7" s="298"/>
      <c r="AK7" s="298"/>
      <c r="AL7" s="298"/>
      <c r="AM7" s="298"/>
      <c r="AN7" s="298"/>
      <c r="AO7" s="298"/>
      <c r="AP7" s="298"/>
      <c r="AQ7" s="298"/>
      <c r="AR7" s="299"/>
      <c r="AS7" s="305" t="s">
        <v>63</v>
      </c>
      <c r="AT7" s="306"/>
      <c r="AU7" s="297"/>
      <c r="AV7" s="298"/>
      <c r="AW7" s="298"/>
      <c r="AX7" s="298"/>
      <c r="AY7" s="298"/>
      <c r="AZ7" s="298"/>
      <c r="BA7" s="298"/>
      <c r="BB7" s="298"/>
      <c r="BC7" s="298"/>
      <c r="BD7" s="298"/>
      <c r="BE7" s="298"/>
      <c r="BF7" s="298"/>
      <c r="BG7" s="298"/>
      <c r="BH7" s="298"/>
      <c r="BI7" s="299"/>
    </row>
    <row r="8" spans="1:61" s="1" customFormat="1" ht="15" customHeight="1">
      <c r="A8" s="313">
        <f t="shared" si="0"/>
        <v>3</v>
      </c>
      <c r="B8" s="314"/>
      <c r="C8" s="307"/>
      <c r="D8" s="308"/>
      <c r="E8" s="308"/>
      <c r="F8" s="308"/>
      <c r="G8" s="308"/>
      <c r="H8" s="308"/>
      <c r="I8" s="308"/>
      <c r="J8" s="309"/>
      <c r="K8" s="297"/>
      <c r="L8" s="298"/>
      <c r="M8" s="298"/>
      <c r="N8" s="298"/>
      <c r="O8" s="298"/>
      <c r="P8" s="298"/>
      <c r="Q8" s="298"/>
      <c r="R8" s="298"/>
      <c r="S8" s="298"/>
      <c r="T8" s="298"/>
      <c r="U8" s="298"/>
      <c r="V8" s="298"/>
      <c r="W8" s="298"/>
      <c r="X8" s="298"/>
      <c r="Y8" s="298"/>
      <c r="Z8" s="298"/>
      <c r="AA8" s="298"/>
      <c r="AB8" s="299"/>
      <c r="AC8" s="297"/>
      <c r="AD8" s="298"/>
      <c r="AE8" s="298"/>
      <c r="AF8" s="298"/>
      <c r="AG8" s="298"/>
      <c r="AH8" s="298"/>
      <c r="AI8" s="298"/>
      <c r="AJ8" s="298"/>
      <c r="AK8" s="298"/>
      <c r="AL8" s="298"/>
      <c r="AM8" s="298"/>
      <c r="AN8" s="298"/>
      <c r="AO8" s="298"/>
      <c r="AP8" s="298"/>
      <c r="AQ8" s="298"/>
      <c r="AR8" s="299"/>
      <c r="AS8" s="305"/>
      <c r="AT8" s="306"/>
      <c r="AU8" s="297"/>
      <c r="AV8" s="298"/>
      <c r="AW8" s="298"/>
      <c r="AX8" s="298"/>
      <c r="AY8" s="298"/>
      <c r="AZ8" s="298"/>
      <c r="BA8" s="298"/>
      <c r="BB8" s="298"/>
      <c r="BC8" s="298"/>
      <c r="BD8" s="298"/>
      <c r="BE8" s="298"/>
      <c r="BF8" s="298"/>
      <c r="BG8" s="298"/>
      <c r="BH8" s="298"/>
      <c r="BI8" s="299"/>
    </row>
    <row r="9" spans="1:61" s="1" customFormat="1" ht="15" customHeight="1">
      <c r="A9" s="313">
        <f t="shared" si="0"/>
        <v>4</v>
      </c>
      <c r="B9" s="314"/>
      <c r="C9" s="307"/>
      <c r="D9" s="308"/>
      <c r="E9" s="308"/>
      <c r="F9" s="308"/>
      <c r="G9" s="308"/>
      <c r="H9" s="308"/>
      <c r="I9" s="308"/>
      <c r="J9" s="309"/>
      <c r="K9" s="297"/>
      <c r="L9" s="298"/>
      <c r="M9" s="298"/>
      <c r="N9" s="298"/>
      <c r="O9" s="298"/>
      <c r="P9" s="298"/>
      <c r="Q9" s="298"/>
      <c r="R9" s="298"/>
      <c r="S9" s="298"/>
      <c r="T9" s="298"/>
      <c r="U9" s="298"/>
      <c r="V9" s="298"/>
      <c r="W9" s="298"/>
      <c r="X9" s="298"/>
      <c r="Y9" s="298"/>
      <c r="Z9" s="298"/>
      <c r="AA9" s="298"/>
      <c r="AB9" s="299"/>
      <c r="AC9" s="297"/>
      <c r="AD9" s="298"/>
      <c r="AE9" s="298"/>
      <c r="AF9" s="298"/>
      <c r="AG9" s="298"/>
      <c r="AH9" s="298"/>
      <c r="AI9" s="298"/>
      <c r="AJ9" s="298"/>
      <c r="AK9" s="298"/>
      <c r="AL9" s="298"/>
      <c r="AM9" s="298"/>
      <c r="AN9" s="298"/>
      <c r="AO9" s="298"/>
      <c r="AP9" s="298"/>
      <c r="AQ9" s="298"/>
      <c r="AR9" s="299"/>
      <c r="AS9" s="305"/>
      <c r="AT9" s="306"/>
      <c r="AU9" s="297"/>
      <c r="AV9" s="298"/>
      <c r="AW9" s="298"/>
      <c r="AX9" s="298"/>
      <c r="AY9" s="298"/>
      <c r="AZ9" s="298"/>
      <c r="BA9" s="298"/>
      <c r="BB9" s="298"/>
      <c r="BC9" s="298"/>
      <c r="BD9" s="298"/>
      <c r="BE9" s="298"/>
      <c r="BF9" s="298"/>
      <c r="BG9" s="298"/>
      <c r="BH9" s="298"/>
      <c r="BI9" s="299"/>
    </row>
    <row r="10" spans="1:61" s="1" customFormat="1" ht="15" customHeight="1">
      <c r="A10" s="313">
        <f t="shared" si="0"/>
        <v>5</v>
      </c>
      <c r="B10" s="314"/>
      <c r="C10" s="307"/>
      <c r="D10" s="308"/>
      <c r="E10" s="308"/>
      <c r="F10" s="308"/>
      <c r="G10" s="308"/>
      <c r="H10" s="308"/>
      <c r="I10" s="308"/>
      <c r="J10" s="309"/>
      <c r="K10" s="297"/>
      <c r="L10" s="298"/>
      <c r="M10" s="298"/>
      <c r="N10" s="298"/>
      <c r="O10" s="298"/>
      <c r="P10" s="298"/>
      <c r="Q10" s="298"/>
      <c r="R10" s="298"/>
      <c r="S10" s="298"/>
      <c r="T10" s="298"/>
      <c r="U10" s="298"/>
      <c r="V10" s="298"/>
      <c r="W10" s="298"/>
      <c r="X10" s="298"/>
      <c r="Y10" s="298"/>
      <c r="Z10" s="298"/>
      <c r="AA10" s="298"/>
      <c r="AB10" s="299"/>
      <c r="AC10" s="297"/>
      <c r="AD10" s="298"/>
      <c r="AE10" s="298"/>
      <c r="AF10" s="298"/>
      <c r="AG10" s="298"/>
      <c r="AH10" s="298"/>
      <c r="AI10" s="298"/>
      <c r="AJ10" s="298"/>
      <c r="AK10" s="298"/>
      <c r="AL10" s="298"/>
      <c r="AM10" s="298"/>
      <c r="AN10" s="298"/>
      <c r="AO10" s="298"/>
      <c r="AP10" s="298"/>
      <c r="AQ10" s="298"/>
      <c r="AR10" s="299"/>
      <c r="AS10" s="305"/>
      <c r="AT10" s="306"/>
      <c r="AU10" s="297"/>
      <c r="AV10" s="298"/>
      <c r="AW10" s="298"/>
      <c r="AX10" s="298"/>
      <c r="AY10" s="298"/>
      <c r="AZ10" s="298"/>
      <c r="BA10" s="298"/>
      <c r="BB10" s="298"/>
      <c r="BC10" s="298"/>
      <c r="BD10" s="298"/>
      <c r="BE10" s="298"/>
      <c r="BF10" s="298"/>
      <c r="BG10" s="298"/>
      <c r="BH10" s="298"/>
      <c r="BI10" s="299"/>
    </row>
    <row r="11" spans="1:61" s="1" customFormat="1" ht="15" customHeight="1">
      <c r="A11" s="313">
        <f t="shared" si="0"/>
        <v>6</v>
      </c>
      <c r="B11" s="314"/>
      <c r="C11" s="307"/>
      <c r="D11" s="308"/>
      <c r="E11" s="308"/>
      <c r="F11" s="308"/>
      <c r="G11" s="308"/>
      <c r="H11" s="308"/>
      <c r="I11" s="308"/>
      <c r="J11" s="309"/>
      <c r="K11" s="297"/>
      <c r="L11" s="298"/>
      <c r="M11" s="298"/>
      <c r="N11" s="298"/>
      <c r="O11" s="298"/>
      <c r="P11" s="298"/>
      <c r="Q11" s="298"/>
      <c r="R11" s="298"/>
      <c r="S11" s="298"/>
      <c r="T11" s="298"/>
      <c r="U11" s="298"/>
      <c r="V11" s="298"/>
      <c r="W11" s="298"/>
      <c r="X11" s="298"/>
      <c r="Y11" s="298"/>
      <c r="Z11" s="298"/>
      <c r="AA11" s="298"/>
      <c r="AB11" s="299"/>
      <c r="AC11" s="297"/>
      <c r="AD11" s="298"/>
      <c r="AE11" s="298"/>
      <c r="AF11" s="298"/>
      <c r="AG11" s="298"/>
      <c r="AH11" s="298"/>
      <c r="AI11" s="298"/>
      <c r="AJ11" s="298"/>
      <c r="AK11" s="298"/>
      <c r="AL11" s="298"/>
      <c r="AM11" s="298"/>
      <c r="AN11" s="298"/>
      <c r="AO11" s="298"/>
      <c r="AP11" s="298"/>
      <c r="AQ11" s="298"/>
      <c r="AR11" s="299"/>
      <c r="AS11" s="305"/>
      <c r="AT11" s="306"/>
      <c r="AU11" s="297"/>
      <c r="AV11" s="298"/>
      <c r="AW11" s="298"/>
      <c r="AX11" s="298"/>
      <c r="AY11" s="298"/>
      <c r="AZ11" s="298"/>
      <c r="BA11" s="298"/>
      <c r="BB11" s="298"/>
      <c r="BC11" s="298"/>
      <c r="BD11" s="298"/>
      <c r="BE11" s="298"/>
      <c r="BF11" s="298"/>
      <c r="BG11" s="298"/>
      <c r="BH11" s="298"/>
      <c r="BI11" s="299"/>
    </row>
    <row r="12" spans="1:61" s="1" customFormat="1" ht="15" customHeight="1">
      <c r="A12" s="313">
        <f t="shared" si="0"/>
        <v>7</v>
      </c>
      <c r="B12" s="314"/>
      <c r="C12" s="307"/>
      <c r="D12" s="308"/>
      <c r="E12" s="308"/>
      <c r="F12" s="308"/>
      <c r="G12" s="308"/>
      <c r="H12" s="308"/>
      <c r="I12" s="308"/>
      <c r="J12" s="309"/>
      <c r="K12" s="297"/>
      <c r="L12" s="298"/>
      <c r="M12" s="298"/>
      <c r="N12" s="298"/>
      <c r="O12" s="298"/>
      <c r="P12" s="298"/>
      <c r="Q12" s="298"/>
      <c r="R12" s="298"/>
      <c r="S12" s="298"/>
      <c r="T12" s="298"/>
      <c r="U12" s="298"/>
      <c r="V12" s="298"/>
      <c r="W12" s="298"/>
      <c r="X12" s="298"/>
      <c r="Y12" s="298"/>
      <c r="Z12" s="298"/>
      <c r="AA12" s="298"/>
      <c r="AB12" s="299"/>
      <c r="AC12" s="297"/>
      <c r="AD12" s="298"/>
      <c r="AE12" s="298"/>
      <c r="AF12" s="298"/>
      <c r="AG12" s="298"/>
      <c r="AH12" s="298"/>
      <c r="AI12" s="298"/>
      <c r="AJ12" s="298"/>
      <c r="AK12" s="298"/>
      <c r="AL12" s="298"/>
      <c r="AM12" s="298"/>
      <c r="AN12" s="298"/>
      <c r="AO12" s="298"/>
      <c r="AP12" s="298"/>
      <c r="AQ12" s="298"/>
      <c r="AR12" s="299"/>
      <c r="AS12" s="305"/>
      <c r="AT12" s="306"/>
      <c r="AU12" s="297"/>
      <c r="AV12" s="298"/>
      <c r="AW12" s="298"/>
      <c r="AX12" s="298"/>
      <c r="AY12" s="298"/>
      <c r="AZ12" s="298"/>
      <c r="BA12" s="298"/>
      <c r="BB12" s="298"/>
      <c r="BC12" s="298"/>
      <c r="BD12" s="298"/>
      <c r="BE12" s="298"/>
      <c r="BF12" s="298"/>
      <c r="BG12" s="298"/>
      <c r="BH12" s="298"/>
      <c r="BI12" s="299"/>
    </row>
    <row r="13" spans="1:61" s="1" customFormat="1" ht="15" customHeight="1">
      <c r="A13" s="313">
        <f t="shared" si="0"/>
        <v>8</v>
      </c>
      <c r="B13" s="314"/>
      <c r="C13" s="307"/>
      <c r="D13" s="308"/>
      <c r="E13" s="308"/>
      <c r="F13" s="308"/>
      <c r="G13" s="308"/>
      <c r="H13" s="308"/>
      <c r="I13" s="308"/>
      <c r="J13" s="309"/>
      <c r="K13" s="297"/>
      <c r="L13" s="298"/>
      <c r="M13" s="298"/>
      <c r="N13" s="298"/>
      <c r="O13" s="298"/>
      <c r="P13" s="298"/>
      <c r="Q13" s="298"/>
      <c r="R13" s="298"/>
      <c r="S13" s="298"/>
      <c r="T13" s="298"/>
      <c r="U13" s="298"/>
      <c r="V13" s="298"/>
      <c r="W13" s="298"/>
      <c r="X13" s="298"/>
      <c r="Y13" s="298"/>
      <c r="Z13" s="298"/>
      <c r="AA13" s="298"/>
      <c r="AB13" s="299"/>
      <c r="AC13" s="297"/>
      <c r="AD13" s="298"/>
      <c r="AE13" s="298"/>
      <c r="AF13" s="298"/>
      <c r="AG13" s="298"/>
      <c r="AH13" s="298"/>
      <c r="AI13" s="298"/>
      <c r="AJ13" s="298"/>
      <c r="AK13" s="298"/>
      <c r="AL13" s="298"/>
      <c r="AM13" s="298"/>
      <c r="AN13" s="298"/>
      <c r="AO13" s="298"/>
      <c r="AP13" s="298"/>
      <c r="AQ13" s="298"/>
      <c r="AR13" s="299"/>
      <c r="AS13" s="305"/>
      <c r="AT13" s="306"/>
      <c r="AU13" s="297"/>
      <c r="AV13" s="298"/>
      <c r="AW13" s="298"/>
      <c r="AX13" s="298"/>
      <c r="AY13" s="298"/>
      <c r="AZ13" s="298"/>
      <c r="BA13" s="298"/>
      <c r="BB13" s="298"/>
      <c r="BC13" s="298"/>
      <c r="BD13" s="298"/>
      <c r="BE13" s="298"/>
      <c r="BF13" s="298"/>
      <c r="BG13" s="298"/>
      <c r="BH13" s="298"/>
      <c r="BI13" s="299"/>
    </row>
    <row r="14" spans="1:61" s="1" customFormat="1" ht="15" customHeight="1">
      <c r="A14" s="313">
        <f t="shared" si="0"/>
        <v>9</v>
      </c>
      <c r="B14" s="314"/>
      <c r="C14" s="307"/>
      <c r="D14" s="308"/>
      <c r="E14" s="308"/>
      <c r="F14" s="308"/>
      <c r="G14" s="308"/>
      <c r="H14" s="308"/>
      <c r="I14" s="308"/>
      <c r="J14" s="309"/>
      <c r="K14" s="297"/>
      <c r="L14" s="298"/>
      <c r="M14" s="298"/>
      <c r="N14" s="298"/>
      <c r="O14" s="298"/>
      <c r="P14" s="298"/>
      <c r="Q14" s="298"/>
      <c r="R14" s="298"/>
      <c r="S14" s="298"/>
      <c r="T14" s="298"/>
      <c r="U14" s="298"/>
      <c r="V14" s="298"/>
      <c r="W14" s="298"/>
      <c r="X14" s="298"/>
      <c r="Y14" s="298"/>
      <c r="Z14" s="298"/>
      <c r="AA14" s="298"/>
      <c r="AB14" s="299"/>
      <c r="AC14" s="297"/>
      <c r="AD14" s="298"/>
      <c r="AE14" s="298"/>
      <c r="AF14" s="298"/>
      <c r="AG14" s="298"/>
      <c r="AH14" s="298"/>
      <c r="AI14" s="298"/>
      <c r="AJ14" s="298"/>
      <c r="AK14" s="298"/>
      <c r="AL14" s="298"/>
      <c r="AM14" s="298"/>
      <c r="AN14" s="298"/>
      <c r="AO14" s="298"/>
      <c r="AP14" s="298"/>
      <c r="AQ14" s="298"/>
      <c r="AR14" s="299"/>
      <c r="AS14" s="305"/>
      <c r="AT14" s="306"/>
      <c r="AU14" s="297"/>
      <c r="AV14" s="298"/>
      <c r="AW14" s="298"/>
      <c r="AX14" s="298"/>
      <c r="AY14" s="298"/>
      <c r="AZ14" s="298"/>
      <c r="BA14" s="298"/>
      <c r="BB14" s="298"/>
      <c r="BC14" s="298"/>
      <c r="BD14" s="298"/>
      <c r="BE14" s="298"/>
      <c r="BF14" s="298"/>
      <c r="BG14" s="298"/>
      <c r="BH14" s="298"/>
      <c r="BI14" s="299"/>
    </row>
    <row r="15" spans="1:61" s="1" customFormat="1" ht="15" customHeight="1">
      <c r="A15" s="313">
        <f t="shared" si="0"/>
        <v>10</v>
      </c>
      <c r="B15" s="314"/>
      <c r="C15" s="307"/>
      <c r="D15" s="308"/>
      <c r="E15" s="308"/>
      <c r="F15" s="308"/>
      <c r="G15" s="308"/>
      <c r="H15" s="308"/>
      <c r="I15" s="308"/>
      <c r="J15" s="309"/>
      <c r="K15" s="297"/>
      <c r="L15" s="298"/>
      <c r="M15" s="298"/>
      <c r="N15" s="298"/>
      <c r="O15" s="298"/>
      <c r="P15" s="298"/>
      <c r="Q15" s="298"/>
      <c r="R15" s="298"/>
      <c r="S15" s="298"/>
      <c r="T15" s="298"/>
      <c r="U15" s="298"/>
      <c r="V15" s="298"/>
      <c r="W15" s="298"/>
      <c r="X15" s="298"/>
      <c r="Y15" s="298"/>
      <c r="Z15" s="298"/>
      <c r="AA15" s="298"/>
      <c r="AB15" s="299"/>
      <c r="AC15" s="297"/>
      <c r="AD15" s="298"/>
      <c r="AE15" s="298"/>
      <c r="AF15" s="298"/>
      <c r="AG15" s="298"/>
      <c r="AH15" s="298"/>
      <c r="AI15" s="298"/>
      <c r="AJ15" s="298"/>
      <c r="AK15" s="298"/>
      <c r="AL15" s="298"/>
      <c r="AM15" s="298"/>
      <c r="AN15" s="298"/>
      <c r="AO15" s="298"/>
      <c r="AP15" s="298"/>
      <c r="AQ15" s="298"/>
      <c r="AR15" s="299"/>
      <c r="AS15" s="305"/>
      <c r="AT15" s="306"/>
      <c r="AU15" s="297"/>
      <c r="AV15" s="298"/>
      <c r="AW15" s="298"/>
      <c r="AX15" s="298"/>
      <c r="AY15" s="298"/>
      <c r="AZ15" s="298"/>
      <c r="BA15" s="298"/>
      <c r="BB15" s="298"/>
      <c r="BC15" s="298"/>
      <c r="BD15" s="298"/>
      <c r="BE15" s="298"/>
      <c r="BF15" s="298"/>
      <c r="BG15" s="298"/>
      <c r="BH15" s="298"/>
      <c r="BI15" s="299"/>
    </row>
    <row r="16" spans="1:61" s="1" customFormat="1" ht="15" customHeight="1">
      <c r="A16" s="313">
        <f t="shared" si="0"/>
        <v>11</v>
      </c>
      <c r="B16" s="314"/>
      <c r="C16" s="307"/>
      <c r="D16" s="308"/>
      <c r="E16" s="308"/>
      <c r="F16" s="308"/>
      <c r="G16" s="308"/>
      <c r="H16" s="308"/>
      <c r="I16" s="308"/>
      <c r="J16" s="309"/>
      <c r="K16" s="297"/>
      <c r="L16" s="298"/>
      <c r="M16" s="298"/>
      <c r="N16" s="298"/>
      <c r="O16" s="298"/>
      <c r="P16" s="298"/>
      <c r="Q16" s="298"/>
      <c r="R16" s="298"/>
      <c r="S16" s="298"/>
      <c r="T16" s="298"/>
      <c r="U16" s="298"/>
      <c r="V16" s="298"/>
      <c r="W16" s="298"/>
      <c r="X16" s="298"/>
      <c r="Y16" s="298"/>
      <c r="Z16" s="298"/>
      <c r="AA16" s="298"/>
      <c r="AB16" s="299"/>
      <c r="AC16" s="297"/>
      <c r="AD16" s="298"/>
      <c r="AE16" s="298"/>
      <c r="AF16" s="298"/>
      <c r="AG16" s="298"/>
      <c r="AH16" s="298"/>
      <c r="AI16" s="298"/>
      <c r="AJ16" s="298"/>
      <c r="AK16" s="298"/>
      <c r="AL16" s="298"/>
      <c r="AM16" s="298"/>
      <c r="AN16" s="298"/>
      <c r="AO16" s="298"/>
      <c r="AP16" s="298"/>
      <c r="AQ16" s="298"/>
      <c r="AR16" s="299"/>
      <c r="AS16" s="305"/>
      <c r="AT16" s="306"/>
      <c r="AU16" s="297"/>
      <c r="AV16" s="298"/>
      <c r="AW16" s="298"/>
      <c r="AX16" s="298"/>
      <c r="AY16" s="298"/>
      <c r="AZ16" s="298"/>
      <c r="BA16" s="298"/>
      <c r="BB16" s="298"/>
      <c r="BC16" s="298"/>
      <c r="BD16" s="298"/>
      <c r="BE16" s="298"/>
      <c r="BF16" s="298"/>
      <c r="BG16" s="298"/>
      <c r="BH16" s="298"/>
      <c r="BI16" s="299"/>
    </row>
    <row r="17" spans="1:61" s="1" customFormat="1" ht="15" customHeight="1">
      <c r="A17" s="313">
        <f t="shared" si="0"/>
        <v>12</v>
      </c>
      <c r="B17" s="314"/>
      <c r="C17" s="307"/>
      <c r="D17" s="308"/>
      <c r="E17" s="308"/>
      <c r="F17" s="308"/>
      <c r="G17" s="308"/>
      <c r="H17" s="308"/>
      <c r="I17" s="308"/>
      <c r="J17" s="309"/>
      <c r="K17" s="297"/>
      <c r="L17" s="298"/>
      <c r="M17" s="298"/>
      <c r="N17" s="298"/>
      <c r="O17" s="298"/>
      <c r="P17" s="298"/>
      <c r="Q17" s="298"/>
      <c r="R17" s="298"/>
      <c r="S17" s="298"/>
      <c r="T17" s="298"/>
      <c r="U17" s="298"/>
      <c r="V17" s="298"/>
      <c r="W17" s="298"/>
      <c r="X17" s="298"/>
      <c r="Y17" s="298"/>
      <c r="Z17" s="298"/>
      <c r="AA17" s="298"/>
      <c r="AB17" s="299"/>
      <c r="AC17" s="297"/>
      <c r="AD17" s="298"/>
      <c r="AE17" s="298"/>
      <c r="AF17" s="298"/>
      <c r="AG17" s="298"/>
      <c r="AH17" s="298"/>
      <c r="AI17" s="298"/>
      <c r="AJ17" s="298"/>
      <c r="AK17" s="298"/>
      <c r="AL17" s="298"/>
      <c r="AM17" s="298"/>
      <c r="AN17" s="298"/>
      <c r="AO17" s="298"/>
      <c r="AP17" s="298"/>
      <c r="AQ17" s="298"/>
      <c r="AR17" s="299"/>
      <c r="AS17" s="305"/>
      <c r="AT17" s="306"/>
      <c r="AU17" s="297"/>
      <c r="AV17" s="298"/>
      <c r="AW17" s="298"/>
      <c r="AX17" s="298"/>
      <c r="AY17" s="298"/>
      <c r="AZ17" s="298"/>
      <c r="BA17" s="298"/>
      <c r="BB17" s="298"/>
      <c r="BC17" s="298"/>
      <c r="BD17" s="298"/>
      <c r="BE17" s="298"/>
      <c r="BF17" s="298"/>
      <c r="BG17" s="298"/>
      <c r="BH17" s="298"/>
      <c r="BI17" s="299"/>
    </row>
    <row r="18" spans="1:61" s="1" customFormat="1" ht="15" customHeight="1">
      <c r="A18" s="313">
        <f t="shared" si="0"/>
        <v>13</v>
      </c>
      <c r="B18" s="314"/>
      <c r="C18" s="307"/>
      <c r="D18" s="308"/>
      <c r="E18" s="308"/>
      <c r="F18" s="308"/>
      <c r="G18" s="308"/>
      <c r="H18" s="308"/>
      <c r="I18" s="308"/>
      <c r="J18" s="309"/>
      <c r="K18" s="297"/>
      <c r="L18" s="298"/>
      <c r="M18" s="298"/>
      <c r="N18" s="298"/>
      <c r="O18" s="298"/>
      <c r="P18" s="298"/>
      <c r="Q18" s="298"/>
      <c r="R18" s="298"/>
      <c r="S18" s="298"/>
      <c r="T18" s="298"/>
      <c r="U18" s="298"/>
      <c r="V18" s="298"/>
      <c r="W18" s="298"/>
      <c r="X18" s="298"/>
      <c r="Y18" s="298"/>
      <c r="Z18" s="298"/>
      <c r="AA18" s="298"/>
      <c r="AB18" s="299"/>
      <c r="AC18" s="297"/>
      <c r="AD18" s="298"/>
      <c r="AE18" s="298"/>
      <c r="AF18" s="298"/>
      <c r="AG18" s="298"/>
      <c r="AH18" s="298"/>
      <c r="AI18" s="298"/>
      <c r="AJ18" s="298"/>
      <c r="AK18" s="298"/>
      <c r="AL18" s="298"/>
      <c r="AM18" s="298"/>
      <c r="AN18" s="298"/>
      <c r="AO18" s="298"/>
      <c r="AP18" s="298"/>
      <c r="AQ18" s="298"/>
      <c r="AR18" s="299"/>
      <c r="AS18" s="305"/>
      <c r="AT18" s="306"/>
      <c r="AU18" s="297"/>
      <c r="AV18" s="298"/>
      <c r="AW18" s="298"/>
      <c r="AX18" s="298"/>
      <c r="AY18" s="298"/>
      <c r="AZ18" s="298"/>
      <c r="BA18" s="298"/>
      <c r="BB18" s="298"/>
      <c r="BC18" s="298"/>
      <c r="BD18" s="298"/>
      <c r="BE18" s="298"/>
      <c r="BF18" s="298"/>
      <c r="BG18" s="298"/>
      <c r="BH18" s="298"/>
      <c r="BI18" s="299"/>
    </row>
    <row r="19" spans="1:61" s="1" customFormat="1" ht="15" customHeight="1">
      <c r="A19" s="313">
        <f t="shared" si="0"/>
        <v>14</v>
      </c>
      <c r="B19" s="314"/>
      <c r="C19" s="307"/>
      <c r="D19" s="308"/>
      <c r="E19" s="308"/>
      <c r="F19" s="308"/>
      <c r="G19" s="308"/>
      <c r="H19" s="308"/>
      <c r="I19" s="308"/>
      <c r="J19" s="309"/>
      <c r="K19" s="297"/>
      <c r="L19" s="298"/>
      <c r="M19" s="298"/>
      <c r="N19" s="298"/>
      <c r="O19" s="298"/>
      <c r="P19" s="298"/>
      <c r="Q19" s="298"/>
      <c r="R19" s="298"/>
      <c r="S19" s="298"/>
      <c r="T19" s="298"/>
      <c r="U19" s="298"/>
      <c r="V19" s="298"/>
      <c r="W19" s="298"/>
      <c r="X19" s="298"/>
      <c r="Y19" s="298"/>
      <c r="Z19" s="298"/>
      <c r="AA19" s="298"/>
      <c r="AB19" s="299"/>
      <c r="AC19" s="297"/>
      <c r="AD19" s="298"/>
      <c r="AE19" s="298"/>
      <c r="AF19" s="298"/>
      <c r="AG19" s="298"/>
      <c r="AH19" s="298"/>
      <c r="AI19" s="298"/>
      <c r="AJ19" s="298"/>
      <c r="AK19" s="298"/>
      <c r="AL19" s="298"/>
      <c r="AM19" s="298"/>
      <c r="AN19" s="298"/>
      <c r="AO19" s="298"/>
      <c r="AP19" s="298"/>
      <c r="AQ19" s="298"/>
      <c r="AR19" s="299"/>
      <c r="AS19" s="305"/>
      <c r="AT19" s="306"/>
      <c r="AU19" s="297"/>
      <c r="AV19" s="298"/>
      <c r="AW19" s="298"/>
      <c r="AX19" s="298"/>
      <c r="AY19" s="298"/>
      <c r="AZ19" s="298"/>
      <c r="BA19" s="298"/>
      <c r="BB19" s="298"/>
      <c r="BC19" s="298"/>
      <c r="BD19" s="298"/>
      <c r="BE19" s="298"/>
      <c r="BF19" s="298"/>
      <c r="BG19" s="298"/>
      <c r="BH19" s="298"/>
      <c r="BI19" s="299"/>
    </row>
    <row r="20" spans="1:61" s="1" customFormat="1" ht="15" customHeight="1">
      <c r="A20" s="313">
        <f t="shared" si="0"/>
        <v>15</v>
      </c>
      <c r="B20" s="314"/>
      <c r="C20" s="307"/>
      <c r="D20" s="308"/>
      <c r="E20" s="308"/>
      <c r="F20" s="308"/>
      <c r="G20" s="308"/>
      <c r="H20" s="308"/>
      <c r="I20" s="308"/>
      <c r="J20" s="309"/>
      <c r="K20" s="297"/>
      <c r="L20" s="298"/>
      <c r="M20" s="298"/>
      <c r="N20" s="298"/>
      <c r="O20" s="298"/>
      <c r="P20" s="298"/>
      <c r="Q20" s="298"/>
      <c r="R20" s="298"/>
      <c r="S20" s="298"/>
      <c r="T20" s="298"/>
      <c r="U20" s="298"/>
      <c r="V20" s="298"/>
      <c r="W20" s="298"/>
      <c r="X20" s="298"/>
      <c r="Y20" s="298"/>
      <c r="Z20" s="298"/>
      <c r="AA20" s="298"/>
      <c r="AB20" s="299"/>
      <c r="AC20" s="297"/>
      <c r="AD20" s="298"/>
      <c r="AE20" s="298"/>
      <c r="AF20" s="298"/>
      <c r="AG20" s="298"/>
      <c r="AH20" s="298"/>
      <c r="AI20" s="298"/>
      <c r="AJ20" s="298"/>
      <c r="AK20" s="298"/>
      <c r="AL20" s="298"/>
      <c r="AM20" s="298"/>
      <c r="AN20" s="298"/>
      <c r="AO20" s="298"/>
      <c r="AP20" s="298"/>
      <c r="AQ20" s="298"/>
      <c r="AR20" s="299"/>
      <c r="AS20" s="305"/>
      <c r="AT20" s="306"/>
      <c r="AU20" s="297"/>
      <c r="AV20" s="298"/>
      <c r="AW20" s="298"/>
      <c r="AX20" s="298"/>
      <c r="AY20" s="298"/>
      <c r="AZ20" s="298"/>
      <c r="BA20" s="298"/>
      <c r="BB20" s="298"/>
      <c r="BC20" s="298"/>
      <c r="BD20" s="298"/>
      <c r="BE20" s="298"/>
      <c r="BF20" s="298"/>
      <c r="BG20" s="298"/>
      <c r="BH20" s="298"/>
      <c r="BI20" s="299"/>
    </row>
    <row r="21" spans="1:61" s="1" customFormat="1" ht="15" customHeight="1">
      <c r="A21" s="313">
        <f t="shared" si="0"/>
        <v>16</v>
      </c>
      <c r="B21" s="314"/>
      <c r="C21" s="307"/>
      <c r="D21" s="308"/>
      <c r="E21" s="308"/>
      <c r="F21" s="308"/>
      <c r="G21" s="308"/>
      <c r="H21" s="308"/>
      <c r="I21" s="308"/>
      <c r="J21" s="309"/>
      <c r="K21" s="297"/>
      <c r="L21" s="298"/>
      <c r="M21" s="298"/>
      <c r="N21" s="298"/>
      <c r="O21" s="298"/>
      <c r="P21" s="298"/>
      <c r="Q21" s="298"/>
      <c r="R21" s="298"/>
      <c r="S21" s="298"/>
      <c r="T21" s="298"/>
      <c r="U21" s="298"/>
      <c r="V21" s="298"/>
      <c r="W21" s="298"/>
      <c r="X21" s="298"/>
      <c r="Y21" s="298"/>
      <c r="Z21" s="298"/>
      <c r="AA21" s="298"/>
      <c r="AB21" s="299"/>
      <c r="AC21" s="297"/>
      <c r="AD21" s="298"/>
      <c r="AE21" s="298"/>
      <c r="AF21" s="298"/>
      <c r="AG21" s="298"/>
      <c r="AH21" s="298"/>
      <c r="AI21" s="298"/>
      <c r="AJ21" s="298"/>
      <c r="AK21" s="298"/>
      <c r="AL21" s="298"/>
      <c r="AM21" s="298"/>
      <c r="AN21" s="298"/>
      <c r="AO21" s="298"/>
      <c r="AP21" s="298"/>
      <c r="AQ21" s="298"/>
      <c r="AR21" s="299"/>
      <c r="AS21" s="305"/>
      <c r="AT21" s="306"/>
      <c r="AU21" s="297"/>
      <c r="AV21" s="298"/>
      <c r="AW21" s="298"/>
      <c r="AX21" s="298"/>
      <c r="AY21" s="298"/>
      <c r="AZ21" s="298"/>
      <c r="BA21" s="298"/>
      <c r="BB21" s="298"/>
      <c r="BC21" s="298"/>
      <c r="BD21" s="298"/>
      <c r="BE21" s="298"/>
      <c r="BF21" s="298"/>
      <c r="BG21" s="298"/>
      <c r="BH21" s="298"/>
      <c r="BI21" s="299"/>
    </row>
    <row r="22" spans="1:61" s="1" customFormat="1" ht="15" customHeight="1">
      <c r="A22" s="313">
        <f t="shared" si="0"/>
        <v>17</v>
      </c>
      <c r="B22" s="314"/>
      <c r="C22" s="307"/>
      <c r="D22" s="308"/>
      <c r="E22" s="308"/>
      <c r="F22" s="308"/>
      <c r="G22" s="308"/>
      <c r="H22" s="308"/>
      <c r="I22" s="308"/>
      <c r="J22" s="309"/>
      <c r="K22" s="297"/>
      <c r="L22" s="298"/>
      <c r="M22" s="298"/>
      <c r="N22" s="298"/>
      <c r="O22" s="298"/>
      <c r="P22" s="298"/>
      <c r="Q22" s="298"/>
      <c r="R22" s="298"/>
      <c r="S22" s="298"/>
      <c r="T22" s="298"/>
      <c r="U22" s="298"/>
      <c r="V22" s="298"/>
      <c r="W22" s="298"/>
      <c r="X22" s="298"/>
      <c r="Y22" s="298"/>
      <c r="Z22" s="298"/>
      <c r="AA22" s="298"/>
      <c r="AB22" s="299"/>
      <c r="AC22" s="297"/>
      <c r="AD22" s="298"/>
      <c r="AE22" s="298"/>
      <c r="AF22" s="298"/>
      <c r="AG22" s="298"/>
      <c r="AH22" s="298"/>
      <c r="AI22" s="298"/>
      <c r="AJ22" s="298"/>
      <c r="AK22" s="298"/>
      <c r="AL22" s="298"/>
      <c r="AM22" s="298"/>
      <c r="AN22" s="298"/>
      <c r="AO22" s="298"/>
      <c r="AP22" s="298"/>
      <c r="AQ22" s="298"/>
      <c r="AR22" s="299"/>
      <c r="AS22" s="305"/>
      <c r="AT22" s="306"/>
      <c r="AU22" s="297"/>
      <c r="AV22" s="298"/>
      <c r="AW22" s="298"/>
      <c r="AX22" s="298"/>
      <c r="AY22" s="298"/>
      <c r="AZ22" s="298"/>
      <c r="BA22" s="298"/>
      <c r="BB22" s="298"/>
      <c r="BC22" s="298"/>
      <c r="BD22" s="298"/>
      <c r="BE22" s="298"/>
      <c r="BF22" s="298"/>
      <c r="BG22" s="298"/>
      <c r="BH22" s="298"/>
      <c r="BI22" s="299"/>
    </row>
    <row r="23" spans="1:61" s="1" customFormat="1" ht="15" customHeight="1">
      <c r="A23" s="313">
        <f t="shared" si="0"/>
        <v>18</v>
      </c>
      <c r="B23" s="314"/>
      <c r="C23" s="307"/>
      <c r="D23" s="308"/>
      <c r="E23" s="308"/>
      <c r="F23" s="308"/>
      <c r="G23" s="308"/>
      <c r="H23" s="308"/>
      <c r="I23" s="308"/>
      <c r="J23" s="309"/>
      <c r="K23" s="297"/>
      <c r="L23" s="298"/>
      <c r="M23" s="298"/>
      <c r="N23" s="298"/>
      <c r="O23" s="298"/>
      <c r="P23" s="298"/>
      <c r="Q23" s="298"/>
      <c r="R23" s="298"/>
      <c r="S23" s="298"/>
      <c r="T23" s="298"/>
      <c r="U23" s="298"/>
      <c r="V23" s="298"/>
      <c r="W23" s="298"/>
      <c r="X23" s="298"/>
      <c r="Y23" s="298"/>
      <c r="Z23" s="298"/>
      <c r="AA23" s="298"/>
      <c r="AB23" s="299"/>
      <c r="AC23" s="297"/>
      <c r="AD23" s="298"/>
      <c r="AE23" s="298"/>
      <c r="AF23" s="298"/>
      <c r="AG23" s="298"/>
      <c r="AH23" s="298"/>
      <c r="AI23" s="298"/>
      <c r="AJ23" s="298"/>
      <c r="AK23" s="298"/>
      <c r="AL23" s="298"/>
      <c r="AM23" s="298"/>
      <c r="AN23" s="298"/>
      <c r="AO23" s="298"/>
      <c r="AP23" s="298"/>
      <c r="AQ23" s="298"/>
      <c r="AR23" s="299"/>
      <c r="AS23" s="305"/>
      <c r="AT23" s="306"/>
      <c r="AU23" s="297"/>
      <c r="AV23" s="298"/>
      <c r="AW23" s="298"/>
      <c r="AX23" s="298"/>
      <c r="AY23" s="298"/>
      <c r="AZ23" s="298"/>
      <c r="BA23" s="298"/>
      <c r="BB23" s="298"/>
      <c r="BC23" s="298"/>
      <c r="BD23" s="298"/>
      <c r="BE23" s="298"/>
      <c r="BF23" s="298"/>
      <c r="BG23" s="298"/>
      <c r="BH23" s="298"/>
      <c r="BI23" s="299"/>
    </row>
    <row r="24" spans="1:61" s="1" customFormat="1" ht="15" customHeight="1">
      <c r="A24" s="313">
        <f t="shared" si="0"/>
        <v>19</v>
      </c>
      <c r="B24" s="314"/>
      <c r="C24" s="307"/>
      <c r="D24" s="308"/>
      <c r="E24" s="308"/>
      <c r="F24" s="308"/>
      <c r="G24" s="308"/>
      <c r="H24" s="308"/>
      <c r="I24" s="308"/>
      <c r="J24" s="309"/>
      <c r="K24" s="297"/>
      <c r="L24" s="298"/>
      <c r="M24" s="298"/>
      <c r="N24" s="298"/>
      <c r="O24" s="298"/>
      <c r="P24" s="298"/>
      <c r="Q24" s="298"/>
      <c r="R24" s="298"/>
      <c r="S24" s="298"/>
      <c r="T24" s="298"/>
      <c r="U24" s="298"/>
      <c r="V24" s="298"/>
      <c r="W24" s="298"/>
      <c r="X24" s="298"/>
      <c r="Y24" s="298"/>
      <c r="Z24" s="298"/>
      <c r="AA24" s="298"/>
      <c r="AB24" s="299"/>
      <c r="AC24" s="297"/>
      <c r="AD24" s="298"/>
      <c r="AE24" s="298"/>
      <c r="AF24" s="298"/>
      <c r="AG24" s="298"/>
      <c r="AH24" s="298"/>
      <c r="AI24" s="298"/>
      <c r="AJ24" s="298"/>
      <c r="AK24" s="298"/>
      <c r="AL24" s="298"/>
      <c r="AM24" s="298"/>
      <c r="AN24" s="298"/>
      <c r="AO24" s="298"/>
      <c r="AP24" s="298"/>
      <c r="AQ24" s="298"/>
      <c r="AR24" s="299"/>
      <c r="AS24" s="305"/>
      <c r="AT24" s="306"/>
      <c r="AU24" s="297"/>
      <c r="AV24" s="298"/>
      <c r="AW24" s="298"/>
      <c r="AX24" s="298"/>
      <c r="AY24" s="298"/>
      <c r="AZ24" s="298"/>
      <c r="BA24" s="298"/>
      <c r="BB24" s="298"/>
      <c r="BC24" s="298"/>
      <c r="BD24" s="298"/>
      <c r="BE24" s="298"/>
      <c r="BF24" s="298"/>
      <c r="BG24" s="298"/>
      <c r="BH24" s="298"/>
      <c r="BI24" s="299"/>
    </row>
    <row r="25" spans="1:61" s="1" customFormat="1" ht="15" customHeight="1">
      <c r="A25" s="313">
        <f t="shared" si="0"/>
        <v>20</v>
      </c>
      <c r="B25" s="314"/>
      <c r="C25" s="307"/>
      <c r="D25" s="308"/>
      <c r="E25" s="308"/>
      <c r="F25" s="308"/>
      <c r="G25" s="308"/>
      <c r="H25" s="308"/>
      <c r="I25" s="308"/>
      <c r="J25" s="309"/>
      <c r="K25" s="297"/>
      <c r="L25" s="298"/>
      <c r="M25" s="298"/>
      <c r="N25" s="298"/>
      <c r="O25" s="298"/>
      <c r="P25" s="298"/>
      <c r="Q25" s="298"/>
      <c r="R25" s="298"/>
      <c r="S25" s="298"/>
      <c r="T25" s="298"/>
      <c r="U25" s="298"/>
      <c r="V25" s="298"/>
      <c r="W25" s="298"/>
      <c r="X25" s="298"/>
      <c r="Y25" s="298"/>
      <c r="Z25" s="298"/>
      <c r="AA25" s="298"/>
      <c r="AB25" s="299"/>
      <c r="AC25" s="297"/>
      <c r="AD25" s="298"/>
      <c r="AE25" s="298"/>
      <c r="AF25" s="298"/>
      <c r="AG25" s="298"/>
      <c r="AH25" s="298"/>
      <c r="AI25" s="298"/>
      <c r="AJ25" s="298"/>
      <c r="AK25" s="298"/>
      <c r="AL25" s="298"/>
      <c r="AM25" s="298"/>
      <c r="AN25" s="298"/>
      <c r="AO25" s="298"/>
      <c r="AP25" s="298"/>
      <c r="AQ25" s="298"/>
      <c r="AR25" s="299"/>
      <c r="AS25" s="305"/>
      <c r="AT25" s="306"/>
      <c r="AU25" s="297"/>
      <c r="AV25" s="298"/>
      <c r="AW25" s="298"/>
      <c r="AX25" s="298"/>
      <c r="AY25" s="298"/>
      <c r="AZ25" s="298"/>
      <c r="BA25" s="298"/>
      <c r="BB25" s="298"/>
      <c r="BC25" s="298"/>
      <c r="BD25" s="298"/>
      <c r="BE25" s="298"/>
      <c r="BF25" s="298"/>
      <c r="BG25" s="298"/>
      <c r="BH25" s="298"/>
      <c r="BI25" s="299"/>
    </row>
    <row r="26" spans="1:61" s="1" customFormat="1" ht="15" customHeight="1">
      <c r="A26" s="313">
        <f t="shared" si="0"/>
        <v>21</v>
      </c>
      <c r="B26" s="314"/>
      <c r="C26" s="307"/>
      <c r="D26" s="308"/>
      <c r="E26" s="308"/>
      <c r="F26" s="308"/>
      <c r="G26" s="308"/>
      <c r="H26" s="308"/>
      <c r="I26" s="308"/>
      <c r="J26" s="309"/>
      <c r="K26" s="297"/>
      <c r="L26" s="298"/>
      <c r="M26" s="298"/>
      <c r="N26" s="298"/>
      <c r="O26" s="298"/>
      <c r="P26" s="298"/>
      <c r="Q26" s="298"/>
      <c r="R26" s="298"/>
      <c r="S26" s="298"/>
      <c r="T26" s="298"/>
      <c r="U26" s="298"/>
      <c r="V26" s="298"/>
      <c r="W26" s="298"/>
      <c r="X26" s="298"/>
      <c r="Y26" s="298"/>
      <c r="Z26" s="298"/>
      <c r="AA26" s="298"/>
      <c r="AB26" s="299"/>
      <c r="AC26" s="297"/>
      <c r="AD26" s="298"/>
      <c r="AE26" s="298"/>
      <c r="AF26" s="298"/>
      <c r="AG26" s="298"/>
      <c r="AH26" s="298"/>
      <c r="AI26" s="298"/>
      <c r="AJ26" s="298"/>
      <c r="AK26" s="298"/>
      <c r="AL26" s="298"/>
      <c r="AM26" s="298"/>
      <c r="AN26" s="298"/>
      <c r="AO26" s="298"/>
      <c r="AP26" s="298"/>
      <c r="AQ26" s="298"/>
      <c r="AR26" s="299"/>
      <c r="AS26" s="305"/>
      <c r="AT26" s="306"/>
      <c r="AU26" s="297"/>
      <c r="AV26" s="298"/>
      <c r="AW26" s="298"/>
      <c r="AX26" s="298"/>
      <c r="AY26" s="298"/>
      <c r="AZ26" s="298"/>
      <c r="BA26" s="298"/>
      <c r="BB26" s="298"/>
      <c r="BC26" s="298"/>
      <c r="BD26" s="298"/>
      <c r="BE26" s="298"/>
      <c r="BF26" s="298"/>
      <c r="BG26" s="298"/>
      <c r="BH26" s="298"/>
      <c r="BI26" s="299"/>
    </row>
    <row r="27" spans="1:61" s="1" customFormat="1" ht="15" customHeight="1">
      <c r="A27" s="313">
        <f t="shared" si="0"/>
        <v>22</v>
      </c>
      <c r="B27" s="314"/>
      <c r="C27" s="307"/>
      <c r="D27" s="308"/>
      <c r="E27" s="308"/>
      <c r="F27" s="308"/>
      <c r="G27" s="308"/>
      <c r="H27" s="308"/>
      <c r="I27" s="308"/>
      <c r="J27" s="309"/>
      <c r="K27" s="297"/>
      <c r="L27" s="298"/>
      <c r="M27" s="298"/>
      <c r="N27" s="298"/>
      <c r="O27" s="298"/>
      <c r="P27" s="298"/>
      <c r="Q27" s="298"/>
      <c r="R27" s="298"/>
      <c r="S27" s="298"/>
      <c r="T27" s="298"/>
      <c r="U27" s="298"/>
      <c r="V27" s="298"/>
      <c r="W27" s="298"/>
      <c r="X27" s="298"/>
      <c r="Y27" s="298"/>
      <c r="Z27" s="298"/>
      <c r="AA27" s="298"/>
      <c r="AB27" s="299"/>
      <c r="AC27" s="297"/>
      <c r="AD27" s="298"/>
      <c r="AE27" s="298"/>
      <c r="AF27" s="298"/>
      <c r="AG27" s="298"/>
      <c r="AH27" s="298"/>
      <c r="AI27" s="298"/>
      <c r="AJ27" s="298"/>
      <c r="AK27" s="298"/>
      <c r="AL27" s="298"/>
      <c r="AM27" s="298"/>
      <c r="AN27" s="298"/>
      <c r="AO27" s="298"/>
      <c r="AP27" s="298"/>
      <c r="AQ27" s="298"/>
      <c r="AR27" s="299"/>
      <c r="AS27" s="305"/>
      <c r="AT27" s="306"/>
      <c r="AU27" s="297"/>
      <c r="AV27" s="298"/>
      <c r="AW27" s="298"/>
      <c r="AX27" s="298"/>
      <c r="AY27" s="298"/>
      <c r="AZ27" s="298"/>
      <c r="BA27" s="298"/>
      <c r="BB27" s="298"/>
      <c r="BC27" s="298"/>
      <c r="BD27" s="298"/>
      <c r="BE27" s="298"/>
      <c r="BF27" s="298"/>
      <c r="BG27" s="298"/>
      <c r="BH27" s="298"/>
      <c r="BI27" s="299"/>
    </row>
    <row r="28" spans="1:61" s="1" customFormat="1" ht="15" customHeight="1">
      <c r="A28" s="313">
        <f t="shared" si="0"/>
        <v>23</v>
      </c>
      <c r="B28" s="314"/>
      <c r="C28" s="307"/>
      <c r="D28" s="308"/>
      <c r="E28" s="308"/>
      <c r="F28" s="308"/>
      <c r="G28" s="308"/>
      <c r="H28" s="308"/>
      <c r="I28" s="308"/>
      <c r="J28" s="309"/>
      <c r="K28" s="297"/>
      <c r="L28" s="298"/>
      <c r="M28" s="298"/>
      <c r="N28" s="298"/>
      <c r="O28" s="298"/>
      <c r="P28" s="298"/>
      <c r="Q28" s="298"/>
      <c r="R28" s="298"/>
      <c r="S28" s="298"/>
      <c r="T28" s="298"/>
      <c r="U28" s="298"/>
      <c r="V28" s="298"/>
      <c r="W28" s="298"/>
      <c r="X28" s="298"/>
      <c r="Y28" s="298"/>
      <c r="Z28" s="298"/>
      <c r="AA28" s="298"/>
      <c r="AB28" s="299"/>
      <c r="AC28" s="297"/>
      <c r="AD28" s="298"/>
      <c r="AE28" s="298"/>
      <c r="AF28" s="298"/>
      <c r="AG28" s="298"/>
      <c r="AH28" s="298"/>
      <c r="AI28" s="298"/>
      <c r="AJ28" s="298"/>
      <c r="AK28" s="298"/>
      <c r="AL28" s="298"/>
      <c r="AM28" s="298"/>
      <c r="AN28" s="298"/>
      <c r="AO28" s="298"/>
      <c r="AP28" s="298"/>
      <c r="AQ28" s="298"/>
      <c r="AR28" s="299"/>
      <c r="AS28" s="305"/>
      <c r="AT28" s="306"/>
      <c r="AU28" s="297"/>
      <c r="AV28" s="298"/>
      <c r="AW28" s="298"/>
      <c r="AX28" s="298"/>
      <c r="AY28" s="298"/>
      <c r="AZ28" s="298"/>
      <c r="BA28" s="298"/>
      <c r="BB28" s="298"/>
      <c r="BC28" s="298"/>
      <c r="BD28" s="298"/>
      <c r="BE28" s="298"/>
      <c r="BF28" s="298"/>
      <c r="BG28" s="298"/>
      <c r="BH28" s="298"/>
      <c r="BI28" s="299"/>
    </row>
    <row r="29" spans="1:61" s="1" customFormat="1" ht="15" customHeight="1">
      <c r="A29" s="313">
        <f t="shared" si="0"/>
        <v>24</v>
      </c>
      <c r="B29" s="314"/>
      <c r="C29" s="307"/>
      <c r="D29" s="308"/>
      <c r="E29" s="308"/>
      <c r="F29" s="308"/>
      <c r="G29" s="308"/>
      <c r="H29" s="308"/>
      <c r="I29" s="308"/>
      <c r="J29" s="309"/>
      <c r="K29" s="297"/>
      <c r="L29" s="298"/>
      <c r="M29" s="298"/>
      <c r="N29" s="298"/>
      <c r="O29" s="298"/>
      <c r="P29" s="298"/>
      <c r="Q29" s="298"/>
      <c r="R29" s="298"/>
      <c r="S29" s="298"/>
      <c r="T29" s="298"/>
      <c r="U29" s="298"/>
      <c r="V29" s="298"/>
      <c r="W29" s="298"/>
      <c r="X29" s="298"/>
      <c r="Y29" s="298"/>
      <c r="Z29" s="298"/>
      <c r="AA29" s="298"/>
      <c r="AB29" s="299"/>
      <c r="AC29" s="297"/>
      <c r="AD29" s="298"/>
      <c r="AE29" s="298"/>
      <c r="AF29" s="298"/>
      <c r="AG29" s="298"/>
      <c r="AH29" s="298"/>
      <c r="AI29" s="298"/>
      <c r="AJ29" s="298"/>
      <c r="AK29" s="298"/>
      <c r="AL29" s="298"/>
      <c r="AM29" s="298"/>
      <c r="AN29" s="298"/>
      <c r="AO29" s="298"/>
      <c r="AP29" s="298"/>
      <c r="AQ29" s="298"/>
      <c r="AR29" s="299"/>
      <c r="AS29" s="305"/>
      <c r="AT29" s="306"/>
      <c r="AU29" s="297"/>
      <c r="AV29" s="298"/>
      <c r="AW29" s="298"/>
      <c r="AX29" s="298"/>
      <c r="AY29" s="298"/>
      <c r="AZ29" s="298"/>
      <c r="BA29" s="298"/>
      <c r="BB29" s="298"/>
      <c r="BC29" s="298"/>
      <c r="BD29" s="298"/>
      <c r="BE29" s="298"/>
      <c r="BF29" s="298"/>
      <c r="BG29" s="298"/>
      <c r="BH29" s="298"/>
      <c r="BI29" s="299"/>
    </row>
    <row r="30" spans="1:61" s="1" customFormat="1" ht="15" customHeight="1">
      <c r="A30" s="313">
        <f t="shared" si="0"/>
        <v>25</v>
      </c>
      <c r="B30" s="314"/>
      <c r="C30" s="307"/>
      <c r="D30" s="308"/>
      <c r="E30" s="308"/>
      <c r="F30" s="308"/>
      <c r="G30" s="308"/>
      <c r="H30" s="308"/>
      <c r="I30" s="308"/>
      <c r="J30" s="309"/>
      <c r="K30" s="297"/>
      <c r="L30" s="298"/>
      <c r="M30" s="298"/>
      <c r="N30" s="298"/>
      <c r="O30" s="298"/>
      <c r="P30" s="298"/>
      <c r="Q30" s="298"/>
      <c r="R30" s="298"/>
      <c r="S30" s="298"/>
      <c r="T30" s="298"/>
      <c r="U30" s="298"/>
      <c r="V30" s="298"/>
      <c r="W30" s="298"/>
      <c r="X30" s="298"/>
      <c r="Y30" s="298"/>
      <c r="Z30" s="298"/>
      <c r="AA30" s="298"/>
      <c r="AB30" s="299"/>
      <c r="AC30" s="297"/>
      <c r="AD30" s="298"/>
      <c r="AE30" s="298"/>
      <c r="AF30" s="298"/>
      <c r="AG30" s="298"/>
      <c r="AH30" s="298"/>
      <c r="AI30" s="298"/>
      <c r="AJ30" s="298"/>
      <c r="AK30" s="298"/>
      <c r="AL30" s="298"/>
      <c r="AM30" s="298"/>
      <c r="AN30" s="298"/>
      <c r="AO30" s="298"/>
      <c r="AP30" s="298"/>
      <c r="AQ30" s="298"/>
      <c r="AR30" s="299"/>
      <c r="AS30" s="305"/>
      <c r="AT30" s="306"/>
      <c r="AU30" s="297"/>
      <c r="AV30" s="298"/>
      <c r="AW30" s="298"/>
      <c r="AX30" s="298"/>
      <c r="AY30" s="298"/>
      <c r="AZ30" s="298"/>
      <c r="BA30" s="298"/>
      <c r="BB30" s="298"/>
      <c r="BC30" s="298"/>
      <c r="BD30" s="298"/>
      <c r="BE30" s="298"/>
      <c r="BF30" s="298"/>
      <c r="BG30" s="298"/>
      <c r="BH30" s="298"/>
      <c r="BI30" s="299"/>
    </row>
    <row r="31" spans="1:61" s="1" customFormat="1" ht="15" customHeight="1">
      <c r="A31" s="313">
        <f t="shared" si="0"/>
        <v>26</v>
      </c>
      <c r="B31" s="314"/>
      <c r="C31" s="307"/>
      <c r="D31" s="308"/>
      <c r="E31" s="308"/>
      <c r="F31" s="308"/>
      <c r="G31" s="308"/>
      <c r="H31" s="308"/>
      <c r="I31" s="308"/>
      <c r="J31" s="309"/>
      <c r="K31" s="297"/>
      <c r="L31" s="298"/>
      <c r="M31" s="298"/>
      <c r="N31" s="298"/>
      <c r="O31" s="298"/>
      <c r="P31" s="298"/>
      <c r="Q31" s="298"/>
      <c r="R31" s="298"/>
      <c r="S31" s="298"/>
      <c r="T31" s="298"/>
      <c r="U31" s="298"/>
      <c r="V31" s="298"/>
      <c r="W31" s="298"/>
      <c r="X31" s="298"/>
      <c r="Y31" s="298"/>
      <c r="Z31" s="298"/>
      <c r="AA31" s="298"/>
      <c r="AB31" s="299"/>
      <c r="AC31" s="297"/>
      <c r="AD31" s="298"/>
      <c r="AE31" s="298"/>
      <c r="AF31" s="298"/>
      <c r="AG31" s="298"/>
      <c r="AH31" s="298"/>
      <c r="AI31" s="298"/>
      <c r="AJ31" s="298"/>
      <c r="AK31" s="298"/>
      <c r="AL31" s="298"/>
      <c r="AM31" s="298"/>
      <c r="AN31" s="298"/>
      <c r="AO31" s="298"/>
      <c r="AP31" s="298"/>
      <c r="AQ31" s="298"/>
      <c r="AR31" s="299"/>
      <c r="AS31" s="305"/>
      <c r="AT31" s="306"/>
      <c r="AU31" s="297"/>
      <c r="AV31" s="298"/>
      <c r="AW31" s="298"/>
      <c r="AX31" s="298"/>
      <c r="AY31" s="298"/>
      <c r="AZ31" s="298"/>
      <c r="BA31" s="298"/>
      <c r="BB31" s="298"/>
      <c r="BC31" s="298"/>
      <c r="BD31" s="298"/>
      <c r="BE31" s="298"/>
      <c r="BF31" s="298"/>
      <c r="BG31" s="298"/>
      <c r="BH31" s="298"/>
      <c r="BI31" s="299"/>
    </row>
    <row r="32" spans="1:61" s="1" customFormat="1" ht="15" customHeight="1">
      <c r="A32" s="313">
        <f t="shared" si="0"/>
        <v>27</v>
      </c>
      <c r="B32" s="314"/>
      <c r="C32" s="307"/>
      <c r="D32" s="308"/>
      <c r="E32" s="308"/>
      <c r="F32" s="308"/>
      <c r="G32" s="308"/>
      <c r="H32" s="308"/>
      <c r="I32" s="308"/>
      <c r="J32" s="309"/>
      <c r="K32" s="297"/>
      <c r="L32" s="298"/>
      <c r="M32" s="298"/>
      <c r="N32" s="298"/>
      <c r="O32" s="298"/>
      <c r="P32" s="298"/>
      <c r="Q32" s="298"/>
      <c r="R32" s="298"/>
      <c r="S32" s="298"/>
      <c r="T32" s="298"/>
      <c r="U32" s="298"/>
      <c r="V32" s="298"/>
      <c r="W32" s="298"/>
      <c r="X32" s="298"/>
      <c r="Y32" s="298"/>
      <c r="Z32" s="298"/>
      <c r="AA32" s="298"/>
      <c r="AB32" s="299"/>
      <c r="AC32" s="297"/>
      <c r="AD32" s="298"/>
      <c r="AE32" s="298"/>
      <c r="AF32" s="298"/>
      <c r="AG32" s="298"/>
      <c r="AH32" s="298"/>
      <c r="AI32" s="298"/>
      <c r="AJ32" s="298"/>
      <c r="AK32" s="298"/>
      <c r="AL32" s="298"/>
      <c r="AM32" s="298"/>
      <c r="AN32" s="298"/>
      <c r="AO32" s="298"/>
      <c r="AP32" s="298"/>
      <c r="AQ32" s="298"/>
      <c r="AR32" s="299"/>
      <c r="AS32" s="305"/>
      <c r="AT32" s="306"/>
      <c r="AU32" s="297"/>
      <c r="AV32" s="298"/>
      <c r="AW32" s="298"/>
      <c r="AX32" s="298"/>
      <c r="AY32" s="298"/>
      <c r="AZ32" s="298"/>
      <c r="BA32" s="298"/>
      <c r="BB32" s="298"/>
      <c r="BC32" s="298"/>
      <c r="BD32" s="298"/>
      <c r="BE32" s="298"/>
      <c r="BF32" s="298"/>
      <c r="BG32" s="298"/>
      <c r="BH32" s="298"/>
      <c r="BI32" s="299"/>
    </row>
    <row r="33" spans="1:61" s="1" customFormat="1" ht="15" customHeight="1">
      <c r="A33" s="313">
        <f t="shared" si="0"/>
        <v>28</v>
      </c>
      <c r="B33" s="314"/>
      <c r="C33" s="307"/>
      <c r="D33" s="308"/>
      <c r="E33" s="308"/>
      <c r="F33" s="308"/>
      <c r="G33" s="308"/>
      <c r="H33" s="308"/>
      <c r="I33" s="308"/>
      <c r="J33" s="309"/>
      <c r="K33" s="297"/>
      <c r="L33" s="298"/>
      <c r="M33" s="298"/>
      <c r="N33" s="298"/>
      <c r="O33" s="298"/>
      <c r="P33" s="298"/>
      <c r="Q33" s="298"/>
      <c r="R33" s="298"/>
      <c r="S33" s="298"/>
      <c r="T33" s="298"/>
      <c r="U33" s="298"/>
      <c r="V33" s="298"/>
      <c r="W33" s="298"/>
      <c r="X33" s="298"/>
      <c r="Y33" s="298"/>
      <c r="Z33" s="298"/>
      <c r="AA33" s="298"/>
      <c r="AB33" s="299"/>
      <c r="AC33" s="297"/>
      <c r="AD33" s="298"/>
      <c r="AE33" s="298"/>
      <c r="AF33" s="298"/>
      <c r="AG33" s="298"/>
      <c r="AH33" s="298"/>
      <c r="AI33" s="298"/>
      <c r="AJ33" s="298"/>
      <c r="AK33" s="298"/>
      <c r="AL33" s="298"/>
      <c r="AM33" s="298"/>
      <c r="AN33" s="298"/>
      <c r="AO33" s="298"/>
      <c r="AP33" s="298"/>
      <c r="AQ33" s="298"/>
      <c r="AR33" s="299"/>
      <c r="AS33" s="305"/>
      <c r="AT33" s="306"/>
      <c r="AU33" s="297"/>
      <c r="AV33" s="298"/>
      <c r="AW33" s="298"/>
      <c r="AX33" s="298"/>
      <c r="AY33" s="298"/>
      <c r="AZ33" s="298"/>
      <c r="BA33" s="298"/>
      <c r="BB33" s="298"/>
      <c r="BC33" s="298"/>
      <c r="BD33" s="298"/>
      <c r="BE33" s="298"/>
      <c r="BF33" s="298"/>
      <c r="BG33" s="298"/>
      <c r="BH33" s="298"/>
      <c r="BI33" s="299"/>
    </row>
    <row r="34" spans="1:61" s="1" customFormat="1" ht="15" customHeight="1">
      <c r="A34" s="313">
        <f t="shared" si="0"/>
        <v>29</v>
      </c>
      <c r="B34" s="314"/>
      <c r="C34" s="307"/>
      <c r="D34" s="308"/>
      <c r="E34" s="308"/>
      <c r="F34" s="308"/>
      <c r="G34" s="308"/>
      <c r="H34" s="308"/>
      <c r="I34" s="308"/>
      <c r="J34" s="309"/>
      <c r="K34" s="297"/>
      <c r="L34" s="298"/>
      <c r="M34" s="298"/>
      <c r="N34" s="298"/>
      <c r="O34" s="298"/>
      <c r="P34" s="298"/>
      <c r="Q34" s="298"/>
      <c r="R34" s="298"/>
      <c r="S34" s="298"/>
      <c r="T34" s="298"/>
      <c r="U34" s="298"/>
      <c r="V34" s="298"/>
      <c r="W34" s="298"/>
      <c r="X34" s="298"/>
      <c r="Y34" s="298"/>
      <c r="Z34" s="298"/>
      <c r="AA34" s="298"/>
      <c r="AB34" s="299"/>
      <c r="AC34" s="297"/>
      <c r="AD34" s="298"/>
      <c r="AE34" s="298"/>
      <c r="AF34" s="298"/>
      <c r="AG34" s="298"/>
      <c r="AH34" s="298"/>
      <c r="AI34" s="298"/>
      <c r="AJ34" s="298"/>
      <c r="AK34" s="298"/>
      <c r="AL34" s="298"/>
      <c r="AM34" s="298"/>
      <c r="AN34" s="298"/>
      <c r="AO34" s="298"/>
      <c r="AP34" s="298"/>
      <c r="AQ34" s="298"/>
      <c r="AR34" s="299"/>
      <c r="AS34" s="305"/>
      <c r="AT34" s="306"/>
      <c r="AU34" s="297"/>
      <c r="AV34" s="298"/>
      <c r="AW34" s="298"/>
      <c r="AX34" s="298"/>
      <c r="AY34" s="298"/>
      <c r="AZ34" s="298"/>
      <c r="BA34" s="298"/>
      <c r="BB34" s="298"/>
      <c r="BC34" s="298"/>
      <c r="BD34" s="298"/>
      <c r="BE34" s="298"/>
      <c r="BF34" s="298"/>
      <c r="BG34" s="298"/>
      <c r="BH34" s="298"/>
      <c r="BI34" s="299"/>
    </row>
    <row r="35" spans="1:61" s="1" customFormat="1" ht="15" customHeight="1">
      <c r="A35" s="313">
        <f t="shared" si="0"/>
        <v>30</v>
      </c>
      <c r="B35" s="314"/>
      <c r="C35" s="307"/>
      <c r="D35" s="308"/>
      <c r="E35" s="308"/>
      <c r="F35" s="308"/>
      <c r="G35" s="308"/>
      <c r="H35" s="308"/>
      <c r="I35" s="308"/>
      <c r="J35" s="309"/>
      <c r="K35" s="297"/>
      <c r="L35" s="298"/>
      <c r="M35" s="298"/>
      <c r="N35" s="298"/>
      <c r="O35" s="298"/>
      <c r="P35" s="298"/>
      <c r="Q35" s="298"/>
      <c r="R35" s="298"/>
      <c r="S35" s="298"/>
      <c r="T35" s="298"/>
      <c r="U35" s="298"/>
      <c r="V35" s="298"/>
      <c r="W35" s="298"/>
      <c r="X35" s="298"/>
      <c r="Y35" s="298"/>
      <c r="Z35" s="298"/>
      <c r="AA35" s="298"/>
      <c r="AB35" s="299"/>
      <c r="AC35" s="297"/>
      <c r="AD35" s="298"/>
      <c r="AE35" s="298"/>
      <c r="AF35" s="298"/>
      <c r="AG35" s="298"/>
      <c r="AH35" s="298"/>
      <c r="AI35" s="298"/>
      <c r="AJ35" s="298"/>
      <c r="AK35" s="298"/>
      <c r="AL35" s="298"/>
      <c r="AM35" s="298"/>
      <c r="AN35" s="298"/>
      <c r="AO35" s="298"/>
      <c r="AP35" s="298"/>
      <c r="AQ35" s="298"/>
      <c r="AR35" s="299"/>
      <c r="AS35" s="305"/>
      <c r="AT35" s="306"/>
      <c r="AU35" s="297"/>
      <c r="AV35" s="298"/>
      <c r="AW35" s="298"/>
      <c r="AX35" s="298"/>
      <c r="AY35" s="298"/>
      <c r="AZ35" s="298"/>
      <c r="BA35" s="298"/>
      <c r="BB35" s="298"/>
      <c r="BC35" s="298"/>
      <c r="BD35" s="298"/>
      <c r="BE35" s="298"/>
      <c r="BF35" s="298"/>
      <c r="BG35" s="298"/>
      <c r="BH35" s="298"/>
      <c r="BI35" s="299"/>
    </row>
    <row r="36" spans="1:61" s="1" customFormat="1" ht="15" customHeight="1">
      <c r="A36" s="313">
        <f t="shared" si="0"/>
        <v>31</v>
      </c>
      <c r="B36" s="314"/>
      <c r="C36" s="307"/>
      <c r="D36" s="308"/>
      <c r="E36" s="308"/>
      <c r="F36" s="308"/>
      <c r="G36" s="308"/>
      <c r="H36" s="308"/>
      <c r="I36" s="308"/>
      <c r="J36" s="309"/>
      <c r="K36" s="297"/>
      <c r="L36" s="298"/>
      <c r="M36" s="298"/>
      <c r="N36" s="298"/>
      <c r="O36" s="298"/>
      <c r="P36" s="298"/>
      <c r="Q36" s="298"/>
      <c r="R36" s="298"/>
      <c r="S36" s="298"/>
      <c r="T36" s="298"/>
      <c r="U36" s="298"/>
      <c r="V36" s="298"/>
      <c r="W36" s="298"/>
      <c r="X36" s="298"/>
      <c r="Y36" s="298"/>
      <c r="Z36" s="298"/>
      <c r="AA36" s="298"/>
      <c r="AB36" s="299"/>
      <c r="AC36" s="297"/>
      <c r="AD36" s="298"/>
      <c r="AE36" s="298"/>
      <c r="AF36" s="298"/>
      <c r="AG36" s="298"/>
      <c r="AH36" s="298"/>
      <c r="AI36" s="298"/>
      <c r="AJ36" s="298"/>
      <c r="AK36" s="298"/>
      <c r="AL36" s="298"/>
      <c r="AM36" s="298"/>
      <c r="AN36" s="298"/>
      <c r="AO36" s="298"/>
      <c r="AP36" s="298"/>
      <c r="AQ36" s="298"/>
      <c r="AR36" s="299"/>
      <c r="AS36" s="305"/>
      <c r="AT36" s="306"/>
      <c r="AU36" s="297"/>
      <c r="AV36" s="298"/>
      <c r="AW36" s="298"/>
      <c r="AX36" s="298"/>
      <c r="AY36" s="298"/>
      <c r="AZ36" s="298"/>
      <c r="BA36" s="298"/>
      <c r="BB36" s="298"/>
      <c r="BC36" s="298"/>
      <c r="BD36" s="298"/>
      <c r="BE36" s="298"/>
      <c r="BF36" s="298"/>
      <c r="BG36" s="298"/>
      <c r="BH36" s="298"/>
      <c r="BI36" s="299"/>
    </row>
    <row r="37" spans="1:61" s="1" customFormat="1" ht="15" customHeight="1">
      <c r="A37" s="324">
        <f t="shared" si="0"/>
        <v>32</v>
      </c>
      <c r="B37" s="325"/>
      <c r="C37" s="307"/>
      <c r="D37" s="308"/>
      <c r="E37" s="308"/>
      <c r="F37" s="308"/>
      <c r="G37" s="308"/>
      <c r="H37" s="308"/>
      <c r="I37" s="308"/>
      <c r="J37" s="309"/>
      <c r="K37" s="297"/>
      <c r="L37" s="298"/>
      <c r="M37" s="298"/>
      <c r="N37" s="298"/>
      <c r="O37" s="298"/>
      <c r="P37" s="298"/>
      <c r="Q37" s="298"/>
      <c r="R37" s="298"/>
      <c r="S37" s="298"/>
      <c r="T37" s="298"/>
      <c r="U37" s="298"/>
      <c r="V37" s="298"/>
      <c r="W37" s="298"/>
      <c r="X37" s="298"/>
      <c r="Y37" s="298"/>
      <c r="Z37" s="298"/>
      <c r="AA37" s="298"/>
      <c r="AB37" s="299"/>
      <c r="AC37" s="297"/>
      <c r="AD37" s="298"/>
      <c r="AE37" s="298"/>
      <c r="AF37" s="298"/>
      <c r="AG37" s="298"/>
      <c r="AH37" s="298"/>
      <c r="AI37" s="298"/>
      <c r="AJ37" s="298"/>
      <c r="AK37" s="298"/>
      <c r="AL37" s="298"/>
      <c r="AM37" s="298"/>
      <c r="AN37" s="298"/>
      <c r="AO37" s="298"/>
      <c r="AP37" s="298"/>
      <c r="AQ37" s="298"/>
      <c r="AR37" s="299"/>
      <c r="AS37" s="305"/>
      <c r="AT37" s="306"/>
      <c r="AU37" s="297"/>
      <c r="AV37" s="298"/>
      <c r="AW37" s="298"/>
      <c r="AX37" s="298"/>
      <c r="AY37" s="298"/>
      <c r="AZ37" s="298"/>
      <c r="BA37" s="298"/>
      <c r="BB37" s="298"/>
      <c r="BC37" s="298"/>
      <c r="BD37" s="298"/>
      <c r="BE37" s="298"/>
      <c r="BF37" s="298"/>
      <c r="BG37" s="298"/>
      <c r="BH37" s="298"/>
      <c r="BI37" s="299"/>
    </row>
    <row r="38" spans="1:61" s="1" customFormat="1" ht="15" customHeight="1" thickBot="1">
      <c r="A38" s="315">
        <f t="shared" si="0"/>
        <v>33</v>
      </c>
      <c r="B38" s="316"/>
      <c r="C38" s="321"/>
      <c r="D38" s="322"/>
      <c r="E38" s="322"/>
      <c r="F38" s="322"/>
      <c r="G38" s="322"/>
      <c r="H38" s="322"/>
      <c r="I38" s="322"/>
      <c r="J38" s="323"/>
      <c r="K38" s="300"/>
      <c r="L38" s="301"/>
      <c r="M38" s="301"/>
      <c r="N38" s="301"/>
      <c r="O38" s="301"/>
      <c r="P38" s="301"/>
      <c r="Q38" s="301"/>
      <c r="R38" s="301"/>
      <c r="S38" s="301"/>
      <c r="T38" s="301"/>
      <c r="U38" s="301"/>
      <c r="V38" s="301"/>
      <c r="W38" s="301"/>
      <c r="X38" s="301"/>
      <c r="Y38" s="301"/>
      <c r="Z38" s="301"/>
      <c r="AA38" s="301"/>
      <c r="AB38" s="302"/>
      <c r="AC38" s="300"/>
      <c r="AD38" s="301"/>
      <c r="AE38" s="301"/>
      <c r="AF38" s="301"/>
      <c r="AG38" s="301"/>
      <c r="AH38" s="301"/>
      <c r="AI38" s="301"/>
      <c r="AJ38" s="301"/>
      <c r="AK38" s="301"/>
      <c r="AL38" s="301"/>
      <c r="AM38" s="301"/>
      <c r="AN38" s="301"/>
      <c r="AO38" s="301"/>
      <c r="AP38" s="301"/>
      <c r="AQ38" s="301"/>
      <c r="AR38" s="302"/>
      <c r="AS38" s="303"/>
      <c r="AT38" s="304"/>
      <c r="AU38" s="300"/>
      <c r="AV38" s="301"/>
      <c r="AW38" s="301"/>
      <c r="AX38" s="301"/>
      <c r="AY38" s="301"/>
      <c r="AZ38" s="301"/>
      <c r="BA38" s="301"/>
      <c r="BB38" s="301"/>
      <c r="BC38" s="301"/>
      <c r="BD38" s="301"/>
      <c r="BE38" s="301"/>
      <c r="BF38" s="301"/>
      <c r="BG38" s="301"/>
      <c r="BH38" s="301"/>
      <c r="BI38" s="302"/>
    </row>
    <row r="39" spans="1:61" s="1" customFormat="1" ht="15" customHeight="1"/>
    <row r="40" spans="1:61" s="1" customFormat="1" ht="15" customHeight="1">
      <c r="A40" s="43"/>
      <c r="B40" s="43"/>
      <c r="C40" s="43"/>
      <c r="D40" s="43"/>
      <c r="E40" s="43"/>
      <c r="F40" s="43"/>
      <c r="G40" s="43"/>
      <c r="H40" s="43"/>
      <c r="I40" s="43"/>
      <c r="J40" s="43"/>
      <c r="K40" s="43"/>
      <c r="L40" s="43"/>
      <c r="M40" s="43"/>
      <c r="N40" s="43"/>
      <c r="O40" s="43"/>
      <c r="P40" s="43"/>
      <c r="Q40" s="43"/>
      <c r="R40" s="43"/>
      <c r="S40" s="43"/>
      <c r="T40" s="43"/>
      <c r="U40" s="43"/>
      <c r="V40" s="43"/>
      <c r="W40" s="43"/>
      <c r="X40" s="43"/>
      <c r="Y40" s="43"/>
      <c r="Z40" s="43"/>
      <c r="AA40" s="43"/>
      <c r="AB40" s="43"/>
      <c r="AC40" s="43"/>
      <c r="AD40" s="43"/>
      <c r="AE40" s="43"/>
      <c r="AF40" s="43"/>
      <c r="AG40" s="43"/>
      <c r="AH40" s="43"/>
      <c r="AI40" s="43"/>
      <c r="AJ40" s="43"/>
      <c r="AK40" s="43"/>
      <c r="AL40" s="43"/>
      <c r="AM40" s="43"/>
      <c r="AN40" s="43"/>
      <c r="AO40" s="43"/>
      <c r="AP40" s="43"/>
      <c r="AQ40" s="43"/>
      <c r="AR40" s="43"/>
      <c r="AS40" s="43"/>
      <c r="AT40" s="43"/>
      <c r="AU40" s="43"/>
      <c r="AV40" s="43"/>
      <c r="AW40" s="43"/>
      <c r="AX40" s="43"/>
      <c r="AY40" s="43"/>
      <c r="AZ40" s="43"/>
      <c r="BA40" s="43"/>
      <c r="BB40" s="43"/>
      <c r="BC40" s="43"/>
      <c r="BD40" s="43"/>
      <c r="BE40" s="43"/>
      <c r="BF40" s="43"/>
      <c r="BG40" s="43"/>
      <c r="BH40" s="43"/>
      <c r="BI40" s="43"/>
    </row>
    <row r="41" spans="1:61" s="1" customFormat="1" ht="15" customHeight="1">
      <c r="A41" s="43"/>
      <c r="B41" s="43"/>
      <c r="C41" s="43"/>
      <c r="D41" s="43"/>
      <c r="E41" s="43"/>
      <c r="F41" s="43"/>
      <c r="G41" s="43"/>
      <c r="H41" s="43"/>
      <c r="I41" s="43"/>
      <c r="J41" s="43"/>
      <c r="K41" s="43"/>
      <c r="L41" s="43"/>
      <c r="M41" s="43"/>
      <c r="N41" s="43"/>
      <c r="O41" s="43"/>
      <c r="P41" s="43"/>
      <c r="Q41" s="43"/>
      <c r="R41" s="43"/>
      <c r="S41" s="43"/>
      <c r="T41" s="43"/>
      <c r="U41" s="43"/>
      <c r="V41" s="43"/>
      <c r="W41" s="43"/>
      <c r="X41" s="43"/>
      <c r="Y41" s="43"/>
      <c r="Z41" s="43"/>
      <c r="AA41" s="43"/>
      <c r="AB41" s="43"/>
      <c r="AC41" s="43"/>
      <c r="AD41" s="43"/>
      <c r="AE41" s="43"/>
      <c r="AF41" s="43"/>
      <c r="AG41" s="43"/>
      <c r="AH41" s="43"/>
      <c r="AI41" s="43"/>
      <c r="AJ41" s="43"/>
      <c r="AK41" s="43"/>
      <c r="AL41" s="43"/>
      <c r="AM41" s="43"/>
      <c r="AN41" s="43"/>
      <c r="AO41" s="43"/>
      <c r="AP41" s="43"/>
      <c r="AQ41" s="43"/>
      <c r="AR41" s="43"/>
      <c r="AS41" s="43"/>
      <c r="AT41" s="43"/>
      <c r="AU41" s="43"/>
      <c r="AV41" s="43"/>
      <c r="AW41" s="43"/>
      <c r="AX41" s="43"/>
      <c r="AY41" s="43"/>
      <c r="AZ41" s="43"/>
      <c r="BA41" s="43"/>
      <c r="BB41" s="43"/>
      <c r="BC41" s="43"/>
      <c r="BD41" s="43"/>
      <c r="BE41" s="43"/>
      <c r="BF41" s="43"/>
      <c r="BG41" s="43"/>
      <c r="BH41" s="43"/>
      <c r="BI41" s="43"/>
    </row>
    <row r="42" spans="1:61" s="1" customFormat="1" ht="15" customHeight="1">
      <c r="A42" s="43"/>
      <c r="B42" s="43"/>
      <c r="C42" s="43"/>
      <c r="D42" s="43"/>
      <c r="E42" s="43"/>
      <c r="F42" s="43"/>
      <c r="G42" s="43"/>
      <c r="H42" s="43"/>
      <c r="I42" s="43"/>
      <c r="J42" s="43"/>
      <c r="K42" s="43"/>
      <c r="L42" s="43"/>
      <c r="M42" s="43"/>
      <c r="N42" s="43"/>
      <c r="O42" s="43"/>
      <c r="P42" s="43"/>
      <c r="Q42" s="43"/>
      <c r="R42" s="43"/>
      <c r="S42" s="43"/>
      <c r="T42" s="43"/>
      <c r="U42" s="43"/>
      <c r="V42" s="43"/>
      <c r="W42" s="43"/>
      <c r="X42" s="43"/>
      <c r="Y42" s="43"/>
      <c r="Z42" s="43"/>
      <c r="AA42" s="43"/>
      <c r="AB42" s="43"/>
      <c r="AC42" s="43"/>
      <c r="AD42" s="43"/>
      <c r="AE42" s="43"/>
      <c r="AF42" s="43"/>
      <c r="AG42" s="43"/>
      <c r="AH42" s="43"/>
      <c r="AI42" s="43"/>
      <c r="AJ42" s="43"/>
      <c r="AK42" s="43"/>
      <c r="AL42" s="43"/>
      <c r="AM42" s="43"/>
      <c r="AN42" s="43"/>
      <c r="AO42" s="43"/>
      <c r="AP42" s="43"/>
      <c r="AQ42" s="43"/>
      <c r="AR42" s="43"/>
      <c r="AS42" s="43"/>
      <c r="AT42" s="43"/>
      <c r="AU42" s="43"/>
      <c r="AV42" s="43"/>
      <c r="AW42" s="43"/>
      <c r="AX42" s="43"/>
      <c r="AY42" s="43"/>
      <c r="AZ42" s="43"/>
      <c r="BA42" s="43"/>
      <c r="BB42" s="43"/>
      <c r="BC42" s="43"/>
      <c r="BD42" s="43"/>
      <c r="BE42" s="43"/>
      <c r="BF42" s="43"/>
      <c r="BG42" s="43"/>
      <c r="BH42" s="43"/>
      <c r="BI42" s="43"/>
    </row>
    <row r="43" spans="1:61" s="1" customFormat="1" ht="15" customHeight="1">
      <c r="A43" s="43"/>
      <c r="B43" s="43"/>
      <c r="C43" s="43"/>
      <c r="D43" s="43"/>
      <c r="E43" s="43"/>
      <c r="F43" s="43"/>
      <c r="G43" s="43"/>
      <c r="H43" s="43"/>
      <c r="I43" s="43"/>
      <c r="J43" s="43"/>
      <c r="K43" s="43"/>
      <c r="L43" s="43"/>
      <c r="M43" s="43"/>
      <c r="N43" s="43"/>
      <c r="O43" s="43"/>
      <c r="P43" s="43"/>
      <c r="Q43" s="43"/>
      <c r="R43" s="43"/>
      <c r="S43" s="43"/>
      <c r="T43" s="43"/>
      <c r="U43" s="43"/>
      <c r="V43" s="43"/>
      <c r="W43" s="43"/>
      <c r="X43" s="43"/>
      <c r="Y43" s="43"/>
      <c r="Z43" s="43"/>
      <c r="AA43" s="43"/>
      <c r="AB43" s="43"/>
      <c r="AC43" s="43"/>
      <c r="AD43" s="43"/>
      <c r="AE43" s="43"/>
      <c r="AF43" s="43"/>
      <c r="AG43" s="43"/>
      <c r="AH43" s="43"/>
      <c r="AI43" s="43"/>
      <c r="AJ43" s="43"/>
      <c r="AK43" s="43"/>
      <c r="AL43" s="43"/>
      <c r="AM43" s="43"/>
      <c r="AN43" s="43"/>
      <c r="AO43" s="43"/>
      <c r="AP43" s="43"/>
      <c r="AQ43" s="43"/>
      <c r="AR43" s="43"/>
      <c r="AS43" s="43"/>
      <c r="AT43" s="43"/>
      <c r="AU43" s="43"/>
      <c r="AV43" s="43"/>
      <c r="AW43" s="43"/>
      <c r="AX43" s="43"/>
      <c r="AY43" s="43"/>
      <c r="AZ43" s="43"/>
      <c r="BA43" s="43"/>
      <c r="BB43" s="43"/>
      <c r="BC43" s="43"/>
      <c r="BD43" s="43"/>
      <c r="BE43" s="43"/>
      <c r="BF43" s="43"/>
      <c r="BG43" s="43"/>
      <c r="BH43" s="43"/>
      <c r="BI43" s="43"/>
    </row>
    <row r="44" spans="1:61" s="1" customFormat="1" ht="15" customHeight="1">
      <c r="A44" s="43"/>
      <c r="B44" s="43"/>
      <c r="C44" s="43"/>
      <c r="D44" s="43"/>
      <c r="E44" s="43"/>
      <c r="F44" s="43"/>
      <c r="G44" s="43"/>
      <c r="H44" s="43"/>
      <c r="I44" s="43"/>
      <c r="J44" s="43"/>
      <c r="K44" s="43"/>
      <c r="L44" s="43"/>
      <c r="M44" s="43"/>
      <c r="N44" s="43"/>
      <c r="O44" s="43"/>
      <c r="P44" s="43"/>
      <c r="Q44" s="43"/>
      <c r="R44" s="43"/>
      <c r="S44" s="43"/>
      <c r="T44" s="43"/>
      <c r="U44" s="43"/>
      <c r="V44" s="43"/>
      <c r="W44" s="43"/>
      <c r="X44" s="43"/>
      <c r="Y44" s="43"/>
      <c r="Z44" s="43"/>
      <c r="AA44" s="43"/>
      <c r="AB44" s="43"/>
      <c r="AC44" s="43"/>
      <c r="AD44" s="43"/>
      <c r="AE44" s="43"/>
      <c r="AF44" s="43"/>
      <c r="AG44" s="43"/>
      <c r="AH44" s="43"/>
      <c r="AI44" s="43"/>
      <c r="AJ44" s="43"/>
      <c r="AK44" s="43"/>
      <c r="AL44" s="43"/>
      <c r="AM44" s="43"/>
      <c r="AN44" s="43"/>
      <c r="AO44" s="43"/>
      <c r="AP44" s="43"/>
      <c r="AQ44" s="43"/>
      <c r="AR44" s="43"/>
      <c r="AS44" s="43"/>
      <c r="AT44" s="43"/>
      <c r="AU44" s="43"/>
      <c r="AV44" s="43"/>
      <c r="AW44" s="43"/>
      <c r="AX44" s="43"/>
      <c r="AY44" s="43"/>
      <c r="AZ44" s="43"/>
      <c r="BA44" s="43"/>
      <c r="BB44" s="43"/>
      <c r="BC44" s="43"/>
      <c r="BD44" s="43"/>
      <c r="BE44" s="43"/>
      <c r="BF44" s="43"/>
      <c r="BG44" s="43"/>
      <c r="BH44" s="43"/>
      <c r="BI44" s="43"/>
    </row>
    <row r="45" spans="1:61" s="1" customFormat="1" ht="15" customHeight="1">
      <c r="A45" s="43"/>
      <c r="B45" s="43"/>
      <c r="C45" s="43"/>
      <c r="D45" s="43"/>
      <c r="E45" s="43"/>
      <c r="F45" s="43"/>
      <c r="G45" s="43"/>
      <c r="H45" s="43"/>
      <c r="I45" s="43"/>
      <c r="J45" s="43"/>
      <c r="K45" s="43"/>
      <c r="L45" s="43"/>
      <c r="M45" s="43"/>
      <c r="N45" s="43"/>
      <c r="O45" s="43"/>
      <c r="P45" s="43"/>
      <c r="Q45" s="43"/>
      <c r="R45" s="43"/>
      <c r="S45" s="43"/>
      <c r="T45" s="43"/>
      <c r="U45" s="43"/>
      <c r="V45" s="43"/>
      <c r="W45" s="43"/>
      <c r="X45" s="43"/>
      <c r="Y45" s="43"/>
      <c r="Z45" s="43"/>
      <c r="AA45" s="43"/>
      <c r="AB45" s="43"/>
      <c r="AC45" s="43"/>
      <c r="AD45" s="43"/>
      <c r="AE45" s="43"/>
      <c r="AF45" s="43"/>
      <c r="AG45" s="43"/>
      <c r="AH45" s="43"/>
      <c r="AI45" s="43"/>
      <c r="AJ45" s="43"/>
      <c r="AK45" s="43"/>
      <c r="AL45" s="43"/>
      <c r="AM45" s="43"/>
      <c r="AN45" s="43"/>
      <c r="AO45" s="43"/>
      <c r="AP45" s="43"/>
      <c r="AQ45" s="43"/>
      <c r="AR45" s="43"/>
      <c r="AS45" s="43"/>
      <c r="AT45" s="43"/>
      <c r="AU45" s="43"/>
      <c r="AV45" s="43"/>
      <c r="AW45" s="43"/>
      <c r="AX45" s="43"/>
      <c r="AY45" s="43"/>
      <c r="AZ45" s="43"/>
      <c r="BA45" s="43"/>
      <c r="BB45" s="43"/>
      <c r="BC45" s="43"/>
      <c r="BD45" s="43"/>
      <c r="BE45" s="43"/>
      <c r="BF45" s="43"/>
      <c r="BG45" s="43"/>
      <c r="BH45" s="43"/>
      <c r="BI45" s="43"/>
    </row>
    <row r="46" spans="1:61" s="1" customFormat="1" ht="15" customHeight="1">
      <c r="A46" s="43"/>
      <c r="B46" s="43"/>
      <c r="C46" s="43"/>
      <c r="D46" s="43"/>
      <c r="E46" s="43"/>
      <c r="F46" s="43"/>
      <c r="G46" s="43"/>
      <c r="H46" s="43"/>
      <c r="I46" s="43"/>
      <c r="J46" s="43"/>
      <c r="K46" s="43"/>
      <c r="L46" s="43"/>
      <c r="M46" s="43"/>
      <c r="N46" s="43"/>
      <c r="O46" s="43"/>
      <c r="P46" s="43"/>
      <c r="Q46" s="43"/>
      <c r="R46" s="43"/>
      <c r="S46" s="43"/>
      <c r="T46" s="43"/>
      <c r="U46" s="43"/>
      <c r="V46" s="43"/>
      <c r="W46" s="43"/>
      <c r="X46" s="43"/>
      <c r="Y46" s="43"/>
      <c r="Z46" s="43"/>
      <c r="AA46" s="43"/>
      <c r="AB46" s="43"/>
      <c r="AC46" s="43"/>
      <c r="AD46" s="43"/>
      <c r="AE46" s="43"/>
      <c r="AF46" s="43"/>
      <c r="AG46" s="43"/>
      <c r="AH46" s="43"/>
      <c r="AI46" s="43"/>
      <c r="AJ46" s="43"/>
      <c r="AK46" s="43"/>
      <c r="AL46" s="43"/>
      <c r="AM46" s="43"/>
      <c r="AN46" s="43"/>
      <c r="AO46" s="43"/>
      <c r="AP46" s="43"/>
      <c r="AQ46" s="43"/>
      <c r="AR46" s="43"/>
      <c r="AS46" s="43"/>
      <c r="AT46" s="43"/>
      <c r="AU46" s="43"/>
      <c r="AV46" s="43"/>
      <c r="AW46" s="43"/>
      <c r="AX46" s="43"/>
      <c r="AY46" s="43"/>
      <c r="AZ46" s="43"/>
      <c r="BA46" s="43"/>
      <c r="BB46" s="43"/>
      <c r="BC46" s="43"/>
      <c r="BD46" s="43"/>
      <c r="BE46" s="43"/>
      <c r="BF46" s="43"/>
      <c r="BG46" s="43"/>
      <c r="BH46" s="43"/>
      <c r="BI46" s="43"/>
    </row>
    <row r="47" spans="1:61" s="1" customFormat="1" ht="15" customHeight="1">
      <c r="A47" s="43"/>
      <c r="B47" s="43"/>
      <c r="C47" s="43"/>
      <c r="D47" s="43"/>
      <c r="E47" s="43"/>
      <c r="F47" s="43"/>
      <c r="G47" s="43"/>
      <c r="H47" s="43"/>
      <c r="I47" s="43"/>
      <c r="J47" s="43"/>
      <c r="K47" s="43"/>
      <c r="L47" s="43"/>
      <c r="M47" s="43"/>
      <c r="N47" s="43"/>
      <c r="O47" s="43"/>
      <c r="P47" s="43"/>
      <c r="Q47" s="43"/>
      <c r="R47" s="43"/>
      <c r="S47" s="43"/>
      <c r="T47" s="43"/>
      <c r="U47" s="43"/>
      <c r="V47" s="43"/>
      <c r="W47" s="43"/>
      <c r="X47" s="43"/>
      <c r="Y47" s="43"/>
      <c r="Z47" s="43"/>
      <c r="AA47" s="43"/>
      <c r="AB47" s="43"/>
      <c r="AC47" s="43"/>
      <c r="AD47" s="43"/>
      <c r="AE47" s="43"/>
      <c r="AF47" s="43"/>
      <c r="AG47" s="43"/>
      <c r="AH47" s="43"/>
      <c r="AI47" s="43"/>
      <c r="AJ47" s="43"/>
      <c r="AK47" s="43"/>
      <c r="AL47" s="43"/>
      <c r="AM47" s="43"/>
      <c r="AN47" s="43"/>
      <c r="AO47" s="43"/>
      <c r="AP47" s="43"/>
      <c r="AQ47" s="43"/>
      <c r="AR47" s="43"/>
      <c r="AS47" s="43"/>
      <c r="AT47" s="43"/>
      <c r="AU47" s="43"/>
      <c r="AV47" s="43"/>
      <c r="AW47" s="43"/>
      <c r="AX47" s="43"/>
      <c r="AY47" s="43"/>
      <c r="AZ47" s="43"/>
      <c r="BA47" s="43"/>
      <c r="BB47" s="43"/>
      <c r="BC47" s="43"/>
      <c r="BD47" s="43"/>
      <c r="BE47" s="43"/>
      <c r="BF47" s="43"/>
      <c r="BG47" s="43"/>
      <c r="BH47" s="43"/>
      <c r="BI47" s="43"/>
    </row>
    <row r="48" spans="1:61" s="1" customFormat="1" ht="15" customHeight="1">
      <c r="A48" s="43"/>
      <c r="B48" s="43"/>
      <c r="C48" s="43"/>
      <c r="D48" s="43"/>
      <c r="E48" s="43"/>
      <c r="F48" s="43"/>
      <c r="G48" s="43"/>
      <c r="H48" s="43"/>
      <c r="I48" s="43"/>
      <c r="J48" s="43"/>
      <c r="K48" s="43"/>
      <c r="L48" s="43"/>
      <c r="M48" s="43"/>
      <c r="N48" s="43"/>
      <c r="O48" s="43"/>
      <c r="P48" s="43"/>
      <c r="Q48" s="43"/>
      <c r="R48" s="43"/>
      <c r="S48" s="43"/>
      <c r="T48" s="43"/>
      <c r="U48" s="43"/>
      <c r="V48" s="43"/>
      <c r="W48" s="43"/>
      <c r="X48" s="43"/>
      <c r="Y48" s="43"/>
      <c r="Z48" s="43"/>
      <c r="AA48" s="43"/>
      <c r="AB48" s="43"/>
      <c r="AC48" s="43"/>
      <c r="AD48" s="43"/>
      <c r="AE48" s="43"/>
      <c r="AF48" s="43"/>
      <c r="AG48" s="43"/>
      <c r="AH48" s="43"/>
      <c r="AI48" s="43"/>
      <c r="AJ48" s="43"/>
      <c r="AK48" s="43"/>
      <c r="AL48" s="43"/>
      <c r="AM48" s="43"/>
      <c r="AN48" s="43"/>
      <c r="AO48" s="43"/>
      <c r="AP48" s="43"/>
      <c r="AQ48" s="43"/>
      <c r="AR48" s="43"/>
      <c r="AS48" s="43"/>
      <c r="AT48" s="43"/>
      <c r="AU48" s="43"/>
      <c r="AV48" s="43"/>
      <c r="AW48" s="43"/>
      <c r="AX48" s="43"/>
      <c r="AY48" s="43"/>
      <c r="AZ48" s="43"/>
      <c r="BA48" s="43"/>
      <c r="BB48" s="43"/>
      <c r="BC48" s="43"/>
      <c r="BD48" s="43"/>
      <c r="BE48" s="43"/>
      <c r="BF48" s="43"/>
      <c r="BG48" s="43"/>
      <c r="BH48" s="43"/>
      <c r="BI48" s="43"/>
    </row>
  </sheetData>
  <mergeCells count="222">
    <mergeCell ref="AT1:BA1"/>
    <mergeCell ref="BB1:BI1"/>
    <mergeCell ref="AT2:AU2"/>
    <mergeCell ref="AV2:BA2"/>
    <mergeCell ref="BB2:BI2"/>
    <mergeCell ref="AT3:AU3"/>
    <mergeCell ref="AV3:BA3"/>
    <mergeCell ref="BB3:BI3"/>
    <mergeCell ref="A1:E3"/>
    <mergeCell ref="F1:P1"/>
    <mergeCell ref="Q1:V1"/>
    <mergeCell ref="W1:AD1"/>
    <mergeCell ref="AE1:AS1"/>
    <mergeCell ref="F2:P3"/>
    <mergeCell ref="Q2:V3"/>
    <mergeCell ref="W2:AD3"/>
    <mergeCell ref="AE2:AS3"/>
    <mergeCell ref="AU5:BI5"/>
    <mergeCell ref="AS9:AT9"/>
    <mergeCell ref="AS10:AT10"/>
    <mergeCell ref="AS11:AT11"/>
    <mergeCell ref="AS34:AT34"/>
    <mergeCell ref="AS35:AT35"/>
    <mergeCell ref="AS37:AT37"/>
    <mergeCell ref="C34:J34"/>
    <mergeCell ref="C35:J35"/>
    <mergeCell ref="C5:J5"/>
    <mergeCell ref="K5:AB5"/>
    <mergeCell ref="AC5:AR5"/>
    <mergeCell ref="C6:J6"/>
    <mergeCell ref="C36:J36"/>
    <mergeCell ref="C25:J25"/>
    <mergeCell ref="C26:J26"/>
    <mergeCell ref="C27:J27"/>
    <mergeCell ref="C28:J28"/>
    <mergeCell ref="C29:J29"/>
    <mergeCell ref="AS33:AT33"/>
    <mergeCell ref="AS36:AT36"/>
    <mergeCell ref="AS28:AT28"/>
    <mergeCell ref="AS29:AT29"/>
    <mergeCell ref="K6:AB6"/>
    <mergeCell ref="A4:H4"/>
    <mergeCell ref="A38:B38"/>
    <mergeCell ref="AS5:AT5"/>
    <mergeCell ref="AS6:AT6"/>
    <mergeCell ref="AS7:AT7"/>
    <mergeCell ref="AS8:AT8"/>
    <mergeCell ref="C37:J37"/>
    <mergeCell ref="C38:J38"/>
    <mergeCell ref="A5:B5"/>
    <mergeCell ref="A6:B6"/>
    <mergeCell ref="A7:B7"/>
    <mergeCell ref="A8:B8"/>
    <mergeCell ref="A9:B9"/>
    <mergeCell ref="A10:B10"/>
    <mergeCell ref="C7:J7"/>
    <mergeCell ref="A11:B11"/>
    <mergeCell ref="C8:J8"/>
    <mergeCell ref="C9:J9"/>
    <mergeCell ref="C10:J10"/>
    <mergeCell ref="C11:J11"/>
    <mergeCell ref="A34:B34"/>
    <mergeCell ref="A35:B35"/>
    <mergeCell ref="A37:B37"/>
    <mergeCell ref="A24:B24"/>
    <mergeCell ref="A25:B25"/>
    <mergeCell ref="A16:B16"/>
    <mergeCell ref="A17:B17"/>
    <mergeCell ref="A18:B18"/>
    <mergeCell ref="A19:B19"/>
    <mergeCell ref="A20:B20"/>
    <mergeCell ref="A12:B12"/>
    <mergeCell ref="A13:B13"/>
    <mergeCell ref="A14:B14"/>
    <mergeCell ref="A15:B15"/>
    <mergeCell ref="A31:B31"/>
    <mergeCell ref="A32:B32"/>
    <mergeCell ref="A33:B33"/>
    <mergeCell ref="A36:B36"/>
    <mergeCell ref="AS12:AT12"/>
    <mergeCell ref="AS13:AT13"/>
    <mergeCell ref="AS14:AT14"/>
    <mergeCell ref="AS15:AT15"/>
    <mergeCell ref="AS16:AT16"/>
    <mergeCell ref="AS17:AT17"/>
    <mergeCell ref="AS18:AT18"/>
    <mergeCell ref="AS19:AT19"/>
    <mergeCell ref="AS20:AT20"/>
    <mergeCell ref="AS21:AT21"/>
    <mergeCell ref="AS22:AT22"/>
    <mergeCell ref="A26:B26"/>
    <mergeCell ref="A27:B27"/>
    <mergeCell ref="A28:B28"/>
    <mergeCell ref="A29:B29"/>
    <mergeCell ref="A30:B30"/>
    <mergeCell ref="A21:B21"/>
    <mergeCell ref="A22:B22"/>
    <mergeCell ref="A23:B23"/>
    <mergeCell ref="C33:J33"/>
    <mergeCell ref="AC6:AR6"/>
    <mergeCell ref="AU6:BI6"/>
    <mergeCell ref="K7:AB7"/>
    <mergeCell ref="AC7:AR7"/>
    <mergeCell ref="AU7:BI7"/>
    <mergeCell ref="AS23:AT23"/>
    <mergeCell ref="K10:AB10"/>
    <mergeCell ref="AC10:AR10"/>
    <mergeCell ref="AU10:BI10"/>
    <mergeCell ref="K11:AB11"/>
    <mergeCell ref="AC11:AR11"/>
    <mergeCell ref="AU11:BI11"/>
    <mergeCell ref="K8:AB8"/>
    <mergeCell ref="AC8:AR8"/>
    <mergeCell ref="AU8:BI8"/>
    <mergeCell ref="K9:AB9"/>
    <mergeCell ref="AC9:AR9"/>
    <mergeCell ref="AU9:BI9"/>
    <mergeCell ref="K14:AB14"/>
    <mergeCell ref="AC14:AR14"/>
    <mergeCell ref="AU14:BI14"/>
    <mergeCell ref="K12:AB12"/>
    <mergeCell ref="AC12:AR12"/>
    <mergeCell ref="AU12:BI12"/>
    <mergeCell ref="C30:J30"/>
    <mergeCell ref="C31:J31"/>
    <mergeCell ref="C32:J32"/>
    <mergeCell ref="C12:J12"/>
    <mergeCell ref="C13:J13"/>
    <mergeCell ref="C14:J14"/>
    <mergeCell ref="C15:J15"/>
    <mergeCell ref="C16:J16"/>
    <mergeCell ref="C17:J17"/>
    <mergeCell ref="C18:J18"/>
    <mergeCell ref="C19:J19"/>
    <mergeCell ref="C20:J20"/>
    <mergeCell ref="C21:J21"/>
    <mergeCell ref="C22:J22"/>
    <mergeCell ref="C23:J23"/>
    <mergeCell ref="C24:J24"/>
    <mergeCell ref="K13:AB13"/>
    <mergeCell ref="AC13:AR13"/>
    <mergeCell ref="AU13:BI13"/>
    <mergeCell ref="K17:AB17"/>
    <mergeCell ref="AC17:AR17"/>
    <mergeCell ref="AU17:BI17"/>
    <mergeCell ref="K18:AB18"/>
    <mergeCell ref="AC18:AR18"/>
    <mergeCell ref="AU18:BI18"/>
    <mergeCell ref="K15:AB15"/>
    <mergeCell ref="AC15:AR15"/>
    <mergeCell ref="AU15:BI15"/>
    <mergeCell ref="K16:AB16"/>
    <mergeCell ref="AC16:AR16"/>
    <mergeCell ref="AU16:BI16"/>
    <mergeCell ref="K21:AB21"/>
    <mergeCell ref="AC21:AR21"/>
    <mergeCell ref="AU21:BI21"/>
    <mergeCell ref="K22:AB22"/>
    <mergeCell ref="AC22:AR22"/>
    <mergeCell ref="AU22:BI22"/>
    <mergeCell ref="K19:AB19"/>
    <mergeCell ref="AC19:AR19"/>
    <mergeCell ref="AU19:BI19"/>
    <mergeCell ref="K20:AB20"/>
    <mergeCell ref="AC20:AR20"/>
    <mergeCell ref="AU20:BI20"/>
    <mergeCell ref="K25:AB25"/>
    <mergeCell ref="AC25:AR25"/>
    <mergeCell ref="AU25:BI25"/>
    <mergeCell ref="K26:AB26"/>
    <mergeCell ref="AC26:AR26"/>
    <mergeCell ref="AU26:BI26"/>
    <mergeCell ref="K23:AB23"/>
    <mergeCell ref="AC23:AR23"/>
    <mergeCell ref="AU23:BI23"/>
    <mergeCell ref="K24:AB24"/>
    <mergeCell ref="AC24:AR24"/>
    <mergeCell ref="AU24:BI24"/>
    <mergeCell ref="AS24:AT24"/>
    <mergeCell ref="AS25:AT25"/>
    <mergeCell ref="AS26:AT26"/>
    <mergeCell ref="K29:AB29"/>
    <mergeCell ref="AC29:AR29"/>
    <mergeCell ref="AU29:BI29"/>
    <mergeCell ref="K30:AB30"/>
    <mergeCell ref="AC30:AR30"/>
    <mergeCell ref="AU30:BI30"/>
    <mergeCell ref="K27:AB27"/>
    <mergeCell ref="AC27:AR27"/>
    <mergeCell ref="AU27:BI27"/>
    <mergeCell ref="K28:AB28"/>
    <mergeCell ref="AC28:AR28"/>
    <mergeCell ref="AU28:BI28"/>
    <mergeCell ref="AS30:AT30"/>
    <mergeCell ref="AS27:AT27"/>
    <mergeCell ref="K33:AB33"/>
    <mergeCell ref="AC33:AR33"/>
    <mergeCell ref="AU33:BI33"/>
    <mergeCell ref="K34:AB34"/>
    <mergeCell ref="AC34:AR34"/>
    <mergeCell ref="AU34:BI34"/>
    <mergeCell ref="K31:AB31"/>
    <mergeCell ref="AC31:AR31"/>
    <mergeCell ref="AU31:BI31"/>
    <mergeCell ref="K32:AB32"/>
    <mergeCell ref="AC32:AR32"/>
    <mergeCell ref="AU32:BI32"/>
    <mergeCell ref="AS31:AT31"/>
    <mergeCell ref="AS32:AT32"/>
    <mergeCell ref="K37:AB37"/>
    <mergeCell ref="AC37:AR37"/>
    <mergeCell ref="AU37:BI37"/>
    <mergeCell ref="K38:AB38"/>
    <mergeCell ref="AC38:AR38"/>
    <mergeCell ref="AU38:BI38"/>
    <mergeCell ref="K35:AB35"/>
    <mergeCell ref="AC35:AR35"/>
    <mergeCell ref="AU35:BI35"/>
    <mergeCell ref="K36:AB36"/>
    <mergeCell ref="AC36:AR36"/>
    <mergeCell ref="AU36:BI36"/>
    <mergeCell ref="AS38:AT38"/>
  </mergeCells>
  <phoneticPr fontId="2"/>
  <dataValidations count="2">
    <dataValidation type="list" allowBlank="1" showInputMessage="1" showErrorMessage="1" sqref="C6:J38" xr:uid="{AF9A0E33-F197-4220-AEA2-36DFEC1C8293}">
      <formula1>テーブル種別</formula1>
    </dataValidation>
    <dataValidation type="list" allowBlank="1" showInputMessage="1" showErrorMessage="1" sqref="AS6:AT38" xr:uid="{F5C93658-8A23-4FAA-8DE6-CA2A7E0CAA6B}">
      <formula1>io</formula1>
    </dataValidation>
  </dataValidations>
  <printOptions horizontalCentered="1"/>
  <pageMargins left="0.23622047244094491" right="0.23622047244094491" top="0.74803149606299213" bottom="0.74803149606299213" header="0.31496062992125984" footer="0.31496062992125984"/>
  <pageSetup paperSize="9" scale="85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43B976-2B89-4B7F-BD27-7C3E5AB4FCB4}">
  <dimension ref="A1:BJ26"/>
  <sheetViews>
    <sheetView showGridLines="0" zoomScaleNormal="100" workbookViewId="0">
      <pane ySplit="5" topLeftCell="A6" activePane="bottomLeft" state="frozen"/>
      <selection pane="bottomLeft" sqref="A1:E3"/>
    </sheetView>
  </sheetViews>
  <sheetFormatPr defaultColWidth="2.33203125" defaultRowHeight="15" customHeight="1"/>
  <cols>
    <col min="1" max="16384" width="2.33203125" style="43"/>
  </cols>
  <sheetData>
    <row r="1" spans="1:62" s="1" customFormat="1" ht="15" customHeight="1" thickBot="1">
      <c r="A1" s="245" t="s">
        <v>32</v>
      </c>
      <c r="B1" s="246"/>
      <c r="C1" s="246"/>
      <c r="D1" s="246"/>
      <c r="E1" s="247"/>
      <c r="F1" s="254" t="str">
        <f>変更履歴!F1</f>
        <v>システム名</v>
      </c>
      <c r="G1" s="255"/>
      <c r="H1" s="255"/>
      <c r="I1" s="255"/>
      <c r="J1" s="255"/>
      <c r="K1" s="255"/>
      <c r="L1" s="255"/>
      <c r="M1" s="255"/>
      <c r="N1" s="255"/>
      <c r="O1" s="255"/>
      <c r="P1" s="256"/>
      <c r="Q1" s="257" t="str">
        <f>変更履歴!Q1</f>
        <v>機能分類</v>
      </c>
      <c r="R1" s="258"/>
      <c r="S1" s="258"/>
      <c r="T1" s="258"/>
      <c r="U1" s="258"/>
      <c r="V1" s="259"/>
      <c r="W1" s="254" t="str">
        <f>変更履歴!W1</f>
        <v>機能ＩＤ</v>
      </c>
      <c r="X1" s="255"/>
      <c r="Y1" s="255"/>
      <c r="Z1" s="255"/>
      <c r="AA1" s="255"/>
      <c r="AB1" s="255"/>
      <c r="AC1" s="255"/>
      <c r="AD1" s="256"/>
      <c r="AE1" s="254" t="str">
        <f>変更履歴!AE1</f>
        <v>機能名称</v>
      </c>
      <c r="AF1" s="255"/>
      <c r="AG1" s="255"/>
      <c r="AH1" s="255"/>
      <c r="AI1" s="255"/>
      <c r="AJ1" s="255"/>
      <c r="AK1" s="255"/>
      <c r="AL1" s="255"/>
      <c r="AM1" s="255"/>
      <c r="AN1" s="255"/>
      <c r="AO1" s="255"/>
      <c r="AP1" s="255"/>
      <c r="AQ1" s="255"/>
      <c r="AR1" s="255"/>
      <c r="AS1" s="256"/>
      <c r="AT1" s="260" t="str">
        <f>変更履歴!AT1</f>
        <v>日付</v>
      </c>
      <c r="AU1" s="261"/>
      <c r="AV1" s="261"/>
      <c r="AW1" s="261"/>
      <c r="AX1" s="261"/>
      <c r="AY1" s="261"/>
      <c r="AZ1" s="261"/>
      <c r="BA1" s="262"/>
      <c r="BB1" s="217" t="str">
        <f>変更履歴!BB1</f>
        <v>更新者</v>
      </c>
      <c r="BC1" s="219"/>
      <c r="BD1" s="219"/>
      <c r="BE1" s="219"/>
      <c r="BF1" s="219"/>
      <c r="BG1" s="219"/>
      <c r="BH1" s="219"/>
      <c r="BI1" s="220"/>
    </row>
    <row r="2" spans="1:62" s="1" customFormat="1" ht="15" customHeight="1">
      <c r="A2" s="248"/>
      <c r="B2" s="249"/>
      <c r="C2" s="249"/>
      <c r="D2" s="249"/>
      <c r="E2" s="250"/>
      <c r="F2" s="221" t="str">
        <f>変更履歴!F2</f>
        <v>Dynamics365 for Finance and Operations</v>
      </c>
      <c r="G2" s="222"/>
      <c r="H2" s="222"/>
      <c r="I2" s="222"/>
      <c r="J2" s="222"/>
      <c r="K2" s="222"/>
      <c r="L2" s="222"/>
      <c r="M2" s="222"/>
      <c r="N2" s="222"/>
      <c r="O2" s="222"/>
      <c r="P2" s="223"/>
      <c r="Q2" s="221" t="str">
        <f>変更履歴!Q2</f>
        <v>債権・債務</v>
      </c>
      <c r="R2" s="222"/>
      <c r="S2" s="222"/>
      <c r="T2" s="222"/>
      <c r="U2" s="222"/>
      <c r="V2" s="223"/>
      <c r="W2" s="227" t="str">
        <f>変更履歴!W2</f>
        <v>FO-006</v>
      </c>
      <c r="X2" s="228"/>
      <c r="Y2" s="228"/>
      <c r="Z2" s="228"/>
      <c r="AA2" s="228"/>
      <c r="AB2" s="228"/>
      <c r="AC2" s="228"/>
      <c r="AD2" s="229"/>
      <c r="AE2" s="221" t="str">
        <f>変更履歴!AE2</f>
        <v>支払方法・支払サイトマスタ画面</v>
      </c>
      <c r="AF2" s="222"/>
      <c r="AG2" s="222"/>
      <c r="AH2" s="222"/>
      <c r="AI2" s="222"/>
      <c r="AJ2" s="222"/>
      <c r="AK2" s="222"/>
      <c r="AL2" s="222"/>
      <c r="AM2" s="222"/>
      <c r="AN2" s="222"/>
      <c r="AO2" s="222"/>
      <c r="AP2" s="222"/>
      <c r="AQ2" s="222"/>
      <c r="AR2" s="222"/>
      <c r="AS2" s="223"/>
      <c r="AT2" s="233" t="str">
        <f>変更履歴!AT2</f>
        <v>作成</v>
      </c>
      <c r="AU2" s="234"/>
      <c r="AV2" s="235">
        <f>変更履歴!AV2</f>
        <v>45448</v>
      </c>
      <c r="AW2" s="235"/>
      <c r="AX2" s="235"/>
      <c r="AY2" s="235"/>
      <c r="AZ2" s="235"/>
      <c r="BA2" s="236"/>
      <c r="BB2" s="237" t="str">
        <f>変更履歴!BB2</f>
        <v>JBS井田</v>
      </c>
      <c r="BC2" s="239"/>
      <c r="BD2" s="239"/>
      <c r="BE2" s="239"/>
      <c r="BF2" s="239"/>
      <c r="BG2" s="239"/>
      <c r="BH2" s="239"/>
      <c r="BI2" s="240"/>
    </row>
    <row r="3" spans="1:62" s="1" customFormat="1" ht="15" customHeight="1" thickBot="1">
      <c r="A3" s="251"/>
      <c r="B3" s="252"/>
      <c r="C3" s="252"/>
      <c r="D3" s="252"/>
      <c r="E3" s="253"/>
      <c r="F3" s="224"/>
      <c r="G3" s="225"/>
      <c r="H3" s="225"/>
      <c r="I3" s="225"/>
      <c r="J3" s="225"/>
      <c r="K3" s="225"/>
      <c r="L3" s="225"/>
      <c r="M3" s="225"/>
      <c r="N3" s="225"/>
      <c r="O3" s="225"/>
      <c r="P3" s="226"/>
      <c r="Q3" s="224"/>
      <c r="R3" s="225"/>
      <c r="S3" s="225"/>
      <c r="T3" s="225"/>
      <c r="U3" s="225"/>
      <c r="V3" s="226"/>
      <c r="W3" s="230"/>
      <c r="X3" s="231"/>
      <c r="Y3" s="231"/>
      <c r="Z3" s="231"/>
      <c r="AA3" s="231"/>
      <c r="AB3" s="231"/>
      <c r="AC3" s="231"/>
      <c r="AD3" s="232"/>
      <c r="AE3" s="224"/>
      <c r="AF3" s="225"/>
      <c r="AG3" s="225"/>
      <c r="AH3" s="225"/>
      <c r="AI3" s="225"/>
      <c r="AJ3" s="225"/>
      <c r="AK3" s="225"/>
      <c r="AL3" s="225"/>
      <c r="AM3" s="225"/>
      <c r="AN3" s="225"/>
      <c r="AO3" s="225"/>
      <c r="AP3" s="225"/>
      <c r="AQ3" s="225"/>
      <c r="AR3" s="225"/>
      <c r="AS3" s="226"/>
      <c r="AT3" s="241" t="str">
        <f>変更履歴!AT3</f>
        <v>更新</v>
      </c>
      <c r="AU3" s="242"/>
      <c r="AV3" s="290">
        <f ca="1">変更履歴!AV3</f>
        <v>45589</v>
      </c>
      <c r="AW3" s="291"/>
      <c r="AX3" s="291"/>
      <c r="AY3" s="291"/>
      <c r="AZ3" s="291"/>
      <c r="BA3" s="292"/>
      <c r="BB3" s="294" t="str">
        <f ca="1">変更履歴!BB3</f>
        <v>JBS井田</v>
      </c>
      <c r="BC3" s="295"/>
      <c r="BD3" s="295"/>
      <c r="BE3" s="295"/>
      <c r="BF3" s="295"/>
      <c r="BG3" s="295"/>
      <c r="BH3" s="295"/>
      <c r="BI3" s="296"/>
    </row>
    <row r="4" spans="1:62" s="1" customFormat="1" ht="15" customHeight="1" thickBot="1">
      <c r="A4" s="293"/>
      <c r="B4" s="293"/>
      <c r="C4" s="293"/>
      <c r="D4" s="293"/>
      <c r="E4" s="293"/>
      <c r="F4" s="293"/>
      <c r="G4" s="293"/>
      <c r="H4" s="293"/>
    </row>
    <row r="5" spans="1:62" s="85" customFormat="1" ht="15" customHeight="1" thickBot="1">
      <c r="A5" s="317" t="s">
        <v>64</v>
      </c>
      <c r="B5" s="326"/>
      <c r="C5" s="326"/>
      <c r="D5" s="326"/>
      <c r="E5" s="326"/>
      <c r="F5" s="326"/>
      <c r="G5" s="326"/>
      <c r="H5" s="326"/>
      <c r="I5" s="326"/>
      <c r="J5" s="326"/>
      <c r="K5" s="326"/>
      <c r="L5" s="326"/>
      <c r="M5" s="326"/>
      <c r="N5" s="330"/>
      <c r="O5" s="332" t="s">
        <v>65</v>
      </c>
      <c r="P5" s="326"/>
      <c r="Q5" s="326"/>
      <c r="R5" s="326"/>
      <c r="S5" s="326"/>
      <c r="T5" s="326"/>
      <c r="U5" s="326"/>
      <c r="V5" s="326"/>
      <c r="W5" s="326"/>
      <c r="X5" s="326"/>
      <c r="Y5" s="326"/>
      <c r="Z5" s="326"/>
      <c r="AA5" s="326"/>
      <c r="AB5" s="326"/>
      <c r="AC5" s="326"/>
      <c r="AD5" s="326"/>
      <c r="AE5" s="326"/>
      <c r="AF5" s="326"/>
      <c r="AG5" s="326"/>
      <c r="AH5" s="326"/>
      <c r="AI5" s="326"/>
      <c r="AJ5" s="326"/>
      <c r="AK5" s="326"/>
      <c r="AL5" s="326"/>
      <c r="AM5" s="330"/>
      <c r="AN5" s="326" t="s">
        <v>66</v>
      </c>
      <c r="AO5" s="326"/>
      <c r="AP5" s="326"/>
      <c r="AQ5" s="326"/>
      <c r="AR5" s="326"/>
      <c r="AS5" s="326"/>
      <c r="AT5" s="326"/>
      <c r="AU5" s="326"/>
      <c r="AV5" s="326"/>
      <c r="AW5" s="326"/>
      <c r="AX5" s="326"/>
      <c r="AY5" s="326"/>
      <c r="AZ5" s="326"/>
      <c r="BA5" s="326"/>
      <c r="BB5" s="326"/>
      <c r="BC5" s="326"/>
      <c r="BD5" s="326"/>
      <c r="BE5" s="326"/>
      <c r="BF5" s="326"/>
      <c r="BG5" s="326"/>
      <c r="BH5" s="326"/>
      <c r="BI5" s="318"/>
      <c r="BJ5" s="84"/>
    </row>
    <row r="6" spans="1:62" s="1" customFormat="1" ht="15" customHeight="1">
      <c r="A6" s="15"/>
      <c r="N6" s="6"/>
      <c r="O6" s="23"/>
      <c r="AM6" s="6"/>
      <c r="BI6" s="24"/>
    </row>
    <row r="7" spans="1:62" s="1" customFormat="1" ht="15" customHeight="1">
      <c r="A7" s="15"/>
      <c r="N7" s="6"/>
      <c r="O7" s="23"/>
      <c r="AM7" s="6"/>
      <c r="BI7" s="24"/>
    </row>
    <row r="8" spans="1:62" s="1" customFormat="1" ht="15" customHeight="1">
      <c r="A8" s="15"/>
      <c r="N8" s="6"/>
      <c r="O8" s="23"/>
      <c r="AM8" s="6"/>
      <c r="BI8" s="24"/>
    </row>
    <row r="9" spans="1:62" s="1" customFormat="1" ht="15" customHeight="1">
      <c r="A9" s="15"/>
      <c r="N9" s="6"/>
      <c r="O9" s="23"/>
      <c r="AM9" s="6"/>
      <c r="BI9" s="24"/>
    </row>
    <row r="10" spans="1:62" s="1" customFormat="1" ht="15" customHeight="1" thickBot="1">
      <c r="A10" s="17"/>
      <c r="B10" s="25"/>
      <c r="C10" s="25"/>
      <c r="D10" s="25"/>
      <c r="E10" s="25"/>
      <c r="F10" s="25"/>
      <c r="G10" s="25"/>
      <c r="H10" s="25"/>
      <c r="I10" s="25"/>
      <c r="J10" s="25"/>
      <c r="K10" s="25"/>
      <c r="L10" s="25"/>
      <c r="M10" s="25"/>
      <c r="N10" s="52"/>
      <c r="O10" s="57"/>
      <c r="P10" s="25"/>
      <c r="Q10" s="25"/>
      <c r="R10" s="25"/>
      <c r="S10" s="25"/>
      <c r="T10" s="25"/>
      <c r="U10" s="25"/>
      <c r="V10" s="25"/>
      <c r="W10" s="25"/>
      <c r="X10" s="25"/>
      <c r="Y10" s="25"/>
      <c r="Z10" s="25"/>
      <c r="AA10" s="25"/>
      <c r="AB10" s="25"/>
      <c r="AC10" s="25"/>
      <c r="AD10" s="25"/>
      <c r="AE10" s="25"/>
      <c r="AF10" s="25"/>
      <c r="AG10" s="25"/>
      <c r="AH10" s="25"/>
      <c r="AI10" s="25"/>
      <c r="AJ10" s="25"/>
      <c r="AK10" s="25"/>
      <c r="AL10" s="25"/>
      <c r="AM10" s="52"/>
      <c r="AN10" s="25"/>
      <c r="AO10" s="25"/>
      <c r="AP10" s="25"/>
      <c r="AQ10" s="25"/>
      <c r="AR10" s="25"/>
      <c r="AS10" s="25"/>
      <c r="AT10" s="25"/>
      <c r="AU10" s="25"/>
      <c r="AV10" s="25"/>
      <c r="AW10" s="25"/>
      <c r="AX10" s="25"/>
      <c r="AY10" s="25"/>
      <c r="AZ10" s="25"/>
      <c r="BA10" s="25"/>
      <c r="BB10" s="25"/>
      <c r="BC10" s="25"/>
      <c r="BD10" s="25"/>
      <c r="BE10" s="25"/>
      <c r="BF10" s="25"/>
      <c r="BG10" s="25"/>
      <c r="BH10" s="25"/>
      <c r="BI10" s="26"/>
    </row>
    <row r="11" spans="1:62" s="1" customFormat="1" ht="15" customHeight="1">
      <c r="A11" s="15"/>
      <c r="N11" s="6"/>
      <c r="O11" s="23"/>
      <c r="AM11" s="6"/>
      <c r="BI11" s="24"/>
    </row>
    <row r="12" spans="1:62" s="1" customFormat="1" ht="15" customHeight="1">
      <c r="A12" s="15"/>
      <c r="N12" s="6"/>
      <c r="O12" s="23"/>
      <c r="AM12" s="6"/>
      <c r="BI12" s="24"/>
    </row>
    <row r="13" spans="1:62" s="1" customFormat="1" ht="15" customHeight="1">
      <c r="A13" s="15"/>
      <c r="N13" s="6"/>
      <c r="O13" s="23"/>
      <c r="AM13" s="6"/>
      <c r="BI13" s="24"/>
    </row>
    <row r="14" spans="1:62" s="1" customFormat="1" ht="15" customHeight="1">
      <c r="A14" s="15"/>
      <c r="N14" s="6"/>
      <c r="O14" s="23"/>
      <c r="AM14" s="6"/>
      <c r="BI14" s="24"/>
    </row>
    <row r="15" spans="1:62" s="1" customFormat="1" ht="15" customHeight="1">
      <c r="A15" s="15"/>
      <c r="N15" s="6"/>
      <c r="O15" s="23"/>
      <c r="AM15" s="6"/>
      <c r="BI15" s="24"/>
    </row>
    <row r="16" spans="1:62" s="1" customFormat="1" ht="15" customHeight="1">
      <c r="A16" s="15"/>
      <c r="N16" s="6"/>
      <c r="O16" s="23"/>
      <c r="AM16" s="6"/>
      <c r="BI16" s="24"/>
    </row>
    <row r="17" spans="1:61" s="1" customFormat="1" ht="15" customHeight="1">
      <c r="A17" s="15"/>
      <c r="N17" s="6"/>
      <c r="O17" s="23"/>
      <c r="AM17" s="6"/>
      <c r="BI17" s="24"/>
    </row>
    <row r="18" spans="1:61" s="1" customFormat="1" ht="15" customHeight="1">
      <c r="A18" s="15"/>
      <c r="N18" s="6"/>
      <c r="O18" s="23"/>
      <c r="AM18" s="6"/>
      <c r="BI18" s="24"/>
    </row>
    <row r="19" spans="1:61" s="1" customFormat="1" ht="15" customHeight="1">
      <c r="A19" s="15"/>
      <c r="N19" s="6"/>
      <c r="O19" s="23"/>
      <c r="AM19" s="6"/>
      <c r="BI19" s="24"/>
    </row>
    <row r="20" spans="1:61" ht="15" customHeight="1" thickBot="1">
      <c r="A20" s="15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6"/>
      <c r="O20" s="23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6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49"/>
      <c r="BE20" s="49"/>
      <c r="BF20" s="49"/>
      <c r="BG20" s="49"/>
      <c r="BH20" s="49"/>
      <c r="BI20" s="50"/>
    </row>
    <row r="21" spans="1:61" s="1" customFormat="1" ht="15" customHeight="1" thickBot="1">
      <c r="A21" s="317" t="s">
        <v>67</v>
      </c>
      <c r="B21" s="326"/>
      <c r="C21" s="326"/>
      <c r="D21" s="326"/>
      <c r="E21" s="326"/>
      <c r="F21" s="326"/>
      <c r="G21" s="326"/>
      <c r="H21" s="326"/>
      <c r="I21" s="326"/>
      <c r="J21" s="326"/>
      <c r="K21" s="326"/>
      <c r="L21" s="326"/>
      <c r="M21" s="326"/>
      <c r="N21" s="326"/>
      <c r="O21" s="326"/>
      <c r="P21" s="326"/>
      <c r="Q21" s="326"/>
      <c r="R21" s="326"/>
      <c r="S21" s="326"/>
      <c r="T21" s="326"/>
      <c r="U21" s="326"/>
      <c r="V21" s="326"/>
      <c r="W21" s="326"/>
      <c r="X21" s="326"/>
      <c r="Y21" s="326"/>
      <c r="Z21" s="326"/>
      <c r="AA21" s="326"/>
      <c r="AB21" s="326"/>
      <c r="AC21" s="326"/>
      <c r="AD21" s="326"/>
      <c r="AE21" s="326"/>
      <c r="AF21" s="326"/>
      <c r="AG21" s="326"/>
      <c r="AH21" s="326"/>
      <c r="AI21" s="326"/>
      <c r="AJ21" s="326"/>
      <c r="AK21" s="326"/>
      <c r="AL21" s="326"/>
      <c r="AM21" s="326"/>
      <c r="AN21" s="326"/>
      <c r="AO21" s="326"/>
      <c r="AP21" s="326"/>
      <c r="AQ21" s="326"/>
      <c r="AR21" s="326"/>
      <c r="AS21" s="326"/>
      <c r="AT21" s="326"/>
      <c r="AU21" s="326"/>
      <c r="AV21" s="326"/>
      <c r="AW21" s="326"/>
      <c r="AX21" s="326"/>
      <c r="AY21" s="326"/>
      <c r="AZ21" s="326"/>
      <c r="BA21" s="326"/>
      <c r="BB21" s="326"/>
      <c r="BC21" s="326"/>
      <c r="BD21" s="326"/>
      <c r="BE21" s="326"/>
      <c r="BF21" s="326"/>
      <c r="BG21" s="326"/>
      <c r="BH21" s="326"/>
      <c r="BI21" s="318"/>
    </row>
    <row r="22" spans="1:61" s="1" customFormat="1" ht="15" customHeight="1">
      <c r="A22" s="319" t="s">
        <v>68</v>
      </c>
      <c r="B22" s="336"/>
      <c r="C22" s="336"/>
      <c r="D22" s="336"/>
      <c r="E22" s="336"/>
      <c r="F22" s="336"/>
      <c r="G22" s="336"/>
      <c r="H22" s="336"/>
      <c r="I22" s="336"/>
      <c r="J22" s="336"/>
      <c r="K22" s="336"/>
      <c r="L22" s="336"/>
      <c r="M22" s="336"/>
      <c r="N22" s="336"/>
      <c r="O22" s="336"/>
      <c r="P22" s="336"/>
      <c r="Q22" s="336"/>
      <c r="R22" s="336"/>
      <c r="S22" s="336"/>
      <c r="T22" s="336"/>
      <c r="U22" s="336"/>
      <c r="V22" s="336"/>
      <c r="W22" s="336"/>
      <c r="X22" s="336"/>
      <c r="Y22" s="336"/>
      <c r="Z22" s="336"/>
      <c r="AA22" s="336"/>
      <c r="AB22" s="336"/>
      <c r="AC22" s="336"/>
      <c r="AD22" s="336"/>
      <c r="AE22" s="336"/>
      <c r="AF22" s="336"/>
      <c r="AG22" s="336"/>
      <c r="AH22" s="336"/>
      <c r="AI22" s="336"/>
      <c r="AJ22" s="336"/>
      <c r="AK22" s="336"/>
      <c r="AL22" s="336"/>
      <c r="AM22" s="336"/>
      <c r="AN22" s="336"/>
      <c r="AO22" s="336"/>
      <c r="AP22" s="336"/>
      <c r="AQ22" s="336"/>
      <c r="AR22" s="336"/>
      <c r="AS22" s="336"/>
      <c r="AT22" s="336"/>
      <c r="AU22" s="336"/>
      <c r="AV22" s="336"/>
      <c r="AW22" s="336"/>
      <c r="AX22" s="336"/>
      <c r="AY22" s="336"/>
      <c r="AZ22" s="336"/>
      <c r="BA22" s="336"/>
      <c r="BB22" s="336"/>
      <c r="BC22" s="336"/>
      <c r="BD22" s="336"/>
      <c r="BE22" s="336"/>
      <c r="BF22" s="336"/>
      <c r="BG22" s="336"/>
      <c r="BH22" s="336"/>
      <c r="BI22" s="320"/>
    </row>
    <row r="23" spans="1:61" s="1" customFormat="1" ht="15" customHeight="1">
      <c r="A23" s="15"/>
      <c r="N23" s="51"/>
      <c r="AB23" s="51"/>
      <c r="AK23" s="51"/>
      <c r="AZ23" s="51"/>
      <c r="BI23" s="24"/>
    </row>
    <row r="24" spans="1:61" s="1" customFormat="1" ht="15" customHeight="1">
      <c r="A24" s="15"/>
      <c r="N24" s="6"/>
      <c r="AB24" s="6"/>
      <c r="AK24" s="6"/>
      <c r="AZ24" s="6"/>
      <c r="BI24" s="24"/>
    </row>
    <row r="25" spans="1:61" s="1" customFormat="1" ht="15" customHeight="1">
      <c r="A25" s="15"/>
      <c r="N25" s="6"/>
      <c r="AB25" s="6"/>
      <c r="AK25" s="6"/>
      <c r="AZ25" s="6"/>
      <c r="BI25" s="24"/>
    </row>
    <row r="26" spans="1:61" s="1" customFormat="1" ht="15" customHeight="1" thickBot="1">
      <c r="A26" s="17"/>
      <c r="B26" s="25"/>
      <c r="C26" s="25"/>
      <c r="D26" s="25"/>
      <c r="E26" s="25"/>
      <c r="F26" s="25"/>
      <c r="G26" s="25"/>
      <c r="H26" s="25"/>
      <c r="I26" s="25"/>
      <c r="J26" s="25"/>
      <c r="K26" s="25"/>
      <c r="L26" s="25"/>
      <c r="M26" s="25"/>
      <c r="N26" s="52"/>
      <c r="O26" s="25"/>
      <c r="P26" s="25"/>
      <c r="Q26" s="25"/>
      <c r="R26" s="25"/>
      <c r="S26" s="25"/>
      <c r="T26" s="25"/>
      <c r="U26" s="25"/>
      <c r="V26" s="25"/>
      <c r="W26" s="25"/>
      <c r="X26" s="25"/>
      <c r="Y26" s="25"/>
      <c r="Z26" s="25"/>
      <c r="AA26" s="25"/>
      <c r="AB26" s="52"/>
      <c r="AC26" s="25"/>
      <c r="AD26" s="25"/>
      <c r="AE26" s="25"/>
      <c r="AF26" s="25"/>
      <c r="AG26" s="25"/>
      <c r="AH26" s="25"/>
      <c r="AI26" s="25"/>
      <c r="AJ26" s="25"/>
      <c r="AK26" s="52"/>
      <c r="AL26" s="25" t="s">
        <v>69</v>
      </c>
      <c r="AM26" s="25"/>
      <c r="AN26" s="25"/>
      <c r="AO26" s="25"/>
      <c r="AP26" s="25"/>
      <c r="AQ26" s="25"/>
      <c r="AR26" s="25"/>
      <c r="AS26" s="25"/>
      <c r="AT26" s="25"/>
      <c r="AU26" s="25"/>
      <c r="AV26" s="25"/>
      <c r="AW26" s="25"/>
      <c r="AX26" s="25"/>
      <c r="AY26" s="25"/>
      <c r="AZ26" s="52"/>
      <c r="BA26" s="25"/>
      <c r="BB26" s="25"/>
      <c r="BC26" s="25"/>
      <c r="BD26" s="25"/>
      <c r="BE26" s="25"/>
      <c r="BF26" s="25"/>
      <c r="BG26" s="25"/>
      <c r="BH26" s="25"/>
      <c r="BI26" s="26"/>
    </row>
  </sheetData>
  <mergeCells count="23">
    <mergeCell ref="A21:BI21"/>
    <mergeCell ref="A22:BI22"/>
    <mergeCell ref="A1:E3"/>
    <mergeCell ref="AE1:AS1"/>
    <mergeCell ref="AT1:BA1"/>
    <mergeCell ref="BB1:BI1"/>
    <mergeCell ref="F2:P3"/>
    <mergeCell ref="Q2:V3"/>
    <mergeCell ref="W2:AD3"/>
    <mergeCell ref="AE2:AS3"/>
    <mergeCell ref="AT2:AU2"/>
    <mergeCell ref="AV2:BA2"/>
    <mergeCell ref="BB2:BI2"/>
    <mergeCell ref="AT3:AU3"/>
    <mergeCell ref="AV3:BA3"/>
    <mergeCell ref="A5:N5"/>
    <mergeCell ref="O5:AM5"/>
    <mergeCell ref="A4:H4"/>
    <mergeCell ref="AN5:BI5"/>
    <mergeCell ref="F1:P1"/>
    <mergeCell ref="Q1:V1"/>
    <mergeCell ref="W1:AD1"/>
    <mergeCell ref="BB3:BI3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scale="85"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AA858B-683A-4DBF-A066-0AD8CA833074}">
  <dimension ref="A1:BI38"/>
  <sheetViews>
    <sheetView showGridLines="0" zoomScaleNormal="100" workbookViewId="0">
      <pane ySplit="5" topLeftCell="A6" activePane="bottomLeft" state="frozen"/>
      <selection pane="bottomLeft" sqref="A1:E3"/>
    </sheetView>
  </sheetViews>
  <sheetFormatPr defaultColWidth="2.33203125" defaultRowHeight="15" customHeight="1"/>
  <cols>
    <col min="1" max="37" width="2.33203125" style="1"/>
    <col min="38" max="42" width="2.33203125" style="5"/>
    <col min="43" max="16384" width="2.33203125" style="1"/>
  </cols>
  <sheetData>
    <row r="1" spans="1:61" ht="14" thickBot="1">
      <c r="A1" s="245" t="s">
        <v>32</v>
      </c>
      <c r="B1" s="246"/>
      <c r="C1" s="246"/>
      <c r="D1" s="246"/>
      <c r="E1" s="247"/>
      <c r="F1" s="254" t="str">
        <f>変更履歴!F1</f>
        <v>システム名</v>
      </c>
      <c r="G1" s="255"/>
      <c r="H1" s="255"/>
      <c r="I1" s="255"/>
      <c r="J1" s="255"/>
      <c r="K1" s="255"/>
      <c r="L1" s="255"/>
      <c r="M1" s="255"/>
      <c r="N1" s="255"/>
      <c r="O1" s="255"/>
      <c r="P1" s="256"/>
      <c r="Q1" s="254" t="str">
        <f>変更履歴!Q1</f>
        <v>機能分類</v>
      </c>
      <c r="R1" s="255"/>
      <c r="S1" s="255"/>
      <c r="T1" s="255"/>
      <c r="U1" s="255"/>
      <c r="V1" s="256"/>
      <c r="W1" s="254" t="str">
        <f>変更履歴!W1</f>
        <v>機能ＩＤ</v>
      </c>
      <c r="X1" s="255"/>
      <c r="Y1" s="255"/>
      <c r="Z1" s="255"/>
      <c r="AA1" s="255"/>
      <c r="AB1" s="255"/>
      <c r="AC1" s="255"/>
      <c r="AD1" s="256"/>
      <c r="AE1" s="254" t="str">
        <f>変更履歴!AE1</f>
        <v>機能名称</v>
      </c>
      <c r="AF1" s="255"/>
      <c r="AG1" s="255"/>
      <c r="AH1" s="255"/>
      <c r="AI1" s="255"/>
      <c r="AJ1" s="255"/>
      <c r="AK1" s="255"/>
      <c r="AL1" s="255"/>
      <c r="AM1" s="255"/>
      <c r="AN1" s="255"/>
      <c r="AO1" s="255"/>
      <c r="AP1" s="255"/>
      <c r="AQ1" s="255"/>
      <c r="AR1" s="255"/>
      <c r="AS1" s="256"/>
      <c r="AT1" s="346" t="str">
        <f>変更履歴!AT1</f>
        <v>日付</v>
      </c>
      <c r="AU1" s="347"/>
      <c r="AV1" s="347"/>
      <c r="AW1" s="347"/>
      <c r="AX1" s="347"/>
      <c r="AY1" s="347"/>
      <c r="AZ1" s="347"/>
      <c r="BA1" s="348"/>
      <c r="BB1" s="346" t="str">
        <f>変更履歴!BB1</f>
        <v>更新者</v>
      </c>
      <c r="BC1" s="347"/>
      <c r="BD1" s="347"/>
      <c r="BE1" s="347"/>
      <c r="BF1" s="347"/>
      <c r="BG1" s="347"/>
      <c r="BH1" s="347"/>
      <c r="BI1" s="348"/>
    </row>
    <row r="2" spans="1:61" ht="13.5">
      <c r="A2" s="248"/>
      <c r="B2" s="249"/>
      <c r="C2" s="249"/>
      <c r="D2" s="249"/>
      <c r="E2" s="250"/>
      <c r="F2" s="221" t="str">
        <f>変更履歴!F2</f>
        <v>Dynamics365 for Finance and Operations</v>
      </c>
      <c r="G2" s="222"/>
      <c r="H2" s="222"/>
      <c r="I2" s="222"/>
      <c r="J2" s="222"/>
      <c r="K2" s="222"/>
      <c r="L2" s="222"/>
      <c r="M2" s="222"/>
      <c r="N2" s="222"/>
      <c r="O2" s="222"/>
      <c r="P2" s="223"/>
      <c r="Q2" s="221" t="str">
        <f>変更履歴!Q2</f>
        <v>債権・債務</v>
      </c>
      <c r="R2" s="222"/>
      <c r="S2" s="222"/>
      <c r="T2" s="222"/>
      <c r="U2" s="222"/>
      <c r="V2" s="223"/>
      <c r="W2" s="227" t="str">
        <f>変更履歴!W2</f>
        <v>FO-006</v>
      </c>
      <c r="X2" s="228"/>
      <c r="Y2" s="228"/>
      <c r="Z2" s="228"/>
      <c r="AA2" s="228"/>
      <c r="AB2" s="228"/>
      <c r="AC2" s="228"/>
      <c r="AD2" s="229"/>
      <c r="AE2" s="221" t="str">
        <f>変更履歴!AE2</f>
        <v>支払方法・支払サイトマスタ画面</v>
      </c>
      <c r="AF2" s="222"/>
      <c r="AG2" s="222"/>
      <c r="AH2" s="222"/>
      <c r="AI2" s="222"/>
      <c r="AJ2" s="222"/>
      <c r="AK2" s="222"/>
      <c r="AL2" s="222"/>
      <c r="AM2" s="222"/>
      <c r="AN2" s="222"/>
      <c r="AO2" s="222"/>
      <c r="AP2" s="222"/>
      <c r="AQ2" s="222"/>
      <c r="AR2" s="222"/>
      <c r="AS2" s="223"/>
      <c r="AT2" s="349" t="str">
        <f>変更履歴!AT2</f>
        <v>作成</v>
      </c>
      <c r="AU2" s="350"/>
      <c r="AV2" s="351">
        <f>変更履歴!AV2</f>
        <v>45448</v>
      </c>
      <c r="AW2" s="352"/>
      <c r="AX2" s="352"/>
      <c r="AY2" s="352"/>
      <c r="AZ2" s="352"/>
      <c r="BA2" s="353"/>
      <c r="BB2" s="354" t="str">
        <f>変更履歴!BB2</f>
        <v>JBS井田</v>
      </c>
      <c r="BC2" s="355"/>
      <c r="BD2" s="355"/>
      <c r="BE2" s="355"/>
      <c r="BF2" s="355"/>
      <c r="BG2" s="355"/>
      <c r="BH2" s="355"/>
      <c r="BI2" s="356"/>
    </row>
    <row r="3" spans="1:61" ht="15" customHeight="1" thickBot="1">
      <c r="A3" s="251"/>
      <c r="B3" s="252"/>
      <c r="C3" s="252"/>
      <c r="D3" s="252"/>
      <c r="E3" s="253"/>
      <c r="F3" s="224"/>
      <c r="G3" s="225"/>
      <c r="H3" s="225"/>
      <c r="I3" s="225"/>
      <c r="J3" s="225"/>
      <c r="K3" s="225"/>
      <c r="L3" s="225"/>
      <c r="M3" s="225"/>
      <c r="N3" s="225"/>
      <c r="O3" s="225"/>
      <c r="P3" s="226"/>
      <c r="Q3" s="224"/>
      <c r="R3" s="225"/>
      <c r="S3" s="225"/>
      <c r="T3" s="225"/>
      <c r="U3" s="225"/>
      <c r="V3" s="226"/>
      <c r="W3" s="230"/>
      <c r="X3" s="231"/>
      <c r="Y3" s="231"/>
      <c r="Z3" s="231"/>
      <c r="AA3" s="231"/>
      <c r="AB3" s="231"/>
      <c r="AC3" s="231"/>
      <c r="AD3" s="232"/>
      <c r="AE3" s="224"/>
      <c r="AF3" s="225"/>
      <c r="AG3" s="225"/>
      <c r="AH3" s="225"/>
      <c r="AI3" s="225"/>
      <c r="AJ3" s="225"/>
      <c r="AK3" s="225"/>
      <c r="AL3" s="225"/>
      <c r="AM3" s="225"/>
      <c r="AN3" s="225"/>
      <c r="AO3" s="225"/>
      <c r="AP3" s="225"/>
      <c r="AQ3" s="225"/>
      <c r="AR3" s="225"/>
      <c r="AS3" s="226"/>
      <c r="AT3" s="357" t="str">
        <f>変更履歴!AT3</f>
        <v>更新</v>
      </c>
      <c r="AU3" s="358"/>
      <c r="AV3" s="290">
        <f ca="1">変更履歴!AV3</f>
        <v>45589</v>
      </c>
      <c r="AW3" s="291"/>
      <c r="AX3" s="291"/>
      <c r="AY3" s="291"/>
      <c r="AZ3" s="291"/>
      <c r="BA3" s="292"/>
      <c r="BB3" s="359" t="str">
        <f ca="1">変更履歴!BB3</f>
        <v>JBS井田</v>
      </c>
      <c r="BC3" s="360"/>
      <c r="BD3" s="360"/>
      <c r="BE3" s="360"/>
      <c r="BF3" s="360"/>
      <c r="BG3" s="360"/>
      <c r="BH3" s="360"/>
      <c r="BI3" s="361"/>
    </row>
    <row r="4" spans="1:61" ht="15" customHeight="1" thickBot="1">
      <c r="A4" s="339"/>
      <c r="B4" s="339"/>
      <c r="C4" s="339"/>
      <c r="D4" s="339"/>
      <c r="E4" s="339"/>
      <c r="F4" s="339"/>
      <c r="G4" s="339"/>
      <c r="H4" s="339"/>
      <c r="AL4" s="1"/>
      <c r="AM4" s="1"/>
      <c r="AN4" s="1"/>
      <c r="AO4" s="1"/>
      <c r="AP4" s="1"/>
    </row>
    <row r="5" spans="1:61" s="83" customFormat="1" ht="15" customHeight="1" thickBot="1">
      <c r="A5" s="337" t="s">
        <v>52</v>
      </c>
      <c r="B5" s="338"/>
      <c r="C5" s="340" t="s">
        <v>70</v>
      </c>
      <c r="D5" s="341"/>
      <c r="E5" s="341"/>
      <c r="F5" s="341"/>
      <c r="G5" s="341"/>
      <c r="H5" s="338"/>
      <c r="I5" s="340" t="s">
        <v>71</v>
      </c>
      <c r="J5" s="341"/>
      <c r="K5" s="341"/>
      <c r="L5" s="341"/>
      <c r="M5" s="341"/>
      <c r="N5" s="341"/>
      <c r="O5" s="341"/>
      <c r="P5" s="341"/>
      <c r="Q5" s="341"/>
      <c r="R5" s="341"/>
      <c r="S5" s="341"/>
      <c r="T5" s="341"/>
      <c r="U5" s="341"/>
      <c r="V5" s="341"/>
      <c r="W5" s="341"/>
      <c r="X5" s="341"/>
      <c r="Y5" s="341"/>
      <c r="Z5" s="341"/>
      <c r="AA5" s="341"/>
      <c r="AB5" s="341"/>
      <c r="AC5" s="341"/>
      <c r="AD5" s="341"/>
      <c r="AE5" s="341"/>
      <c r="AF5" s="341"/>
      <c r="AG5" s="341"/>
      <c r="AH5" s="341"/>
      <c r="AI5" s="341"/>
      <c r="AJ5" s="341"/>
      <c r="AK5" s="341"/>
      <c r="AL5" s="341"/>
      <c r="AM5" s="341"/>
      <c r="AN5" s="338"/>
      <c r="AO5" s="343" t="s">
        <v>53</v>
      </c>
      <c r="AP5" s="344"/>
      <c r="AQ5" s="345"/>
      <c r="AR5" s="340" t="s">
        <v>72</v>
      </c>
      <c r="AS5" s="341"/>
      <c r="AT5" s="341"/>
      <c r="AU5" s="341"/>
      <c r="AV5" s="341"/>
      <c r="AW5" s="341"/>
      <c r="AX5" s="341"/>
      <c r="AY5" s="341"/>
      <c r="AZ5" s="341"/>
      <c r="BA5" s="341"/>
      <c r="BB5" s="341"/>
      <c r="BC5" s="338"/>
      <c r="BD5" s="340" t="s">
        <v>73</v>
      </c>
      <c r="BE5" s="341"/>
      <c r="BF5" s="341"/>
      <c r="BG5" s="341"/>
      <c r="BH5" s="341"/>
      <c r="BI5" s="342"/>
    </row>
    <row r="6" spans="1:61" ht="15" customHeight="1">
      <c r="A6" s="53" t="s">
        <v>37</v>
      </c>
      <c r="B6" s="6"/>
      <c r="C6" s="23" t="s">
        <v>74</v>
      </c>
      <c r="I6" s="23"/>
      <c r="AL6" s="1"/>
      <c r="AM6" s="1"/>
      <c r="AN6" s="1"/>
      <c r="AO6" s="23"/>
      <c r="AP6" s="1"/>
      <c r="AQ6" s="6"/>
      <c r="BD6" s="54"/>
      <c r="BE6" s="5"/>
      <c r="BF6" s="5"/>
      <c r="BG6" s="5"/>
      <c r="BH6" s="5"/>
      <c r="BI6" s="55"/>
    </row>
    <row r="7" spans="1:61" ht="15" customHeight="1">
      <c r="A7" s="53"/>
      <c r="B7" s="6"/>
      <c r="C7" s="23"/>
      <c r="I7" s="23"/>
      <c r="J7" s="1" t="s">
        <v>75</v>
      </c>
      <c r="L7" s="1" t="s">
        <v>76</v>
      </c>
      <c r="AL7" s="1"/>
      <c r="AM7" s="1"/>
      <c r="AN7" s="1"/>
      <c r="AO7" s="23"/>
      <c r="AP7" s="1"/>
      <c r="AQ7" s="6"/>
      <c r="AR7" s="56"/>
      <c r="AS7" s="56"/>
      <c r="AT7" s="56"/>
      <c r="AU7" s="56"/>
      <c r="AV7" s="56"/>
      <c r="AW7" s="56"/>
      <c r="AX7" s="56"/>
      <c r="AY7" s="56"/>
      <c r="AZ7" s="56"/>
      <c r="BA7" s="56"/>
      <c r="BB7" s="56"/>
      <c r="BC7" s="56"/>
      <c r="BD7" s="54"/>
      <c r="BE7" s="5"/>
      <c r="BF7" s="5"/>
      <c r="BG7" s="5"/>
      <c r="BH7" s="5"/>
      <c r="BI7" s="55"/>
    </row>
    <row r="8" spans="1:61" ht="15" customHeight="1">
      <c r="A8" s="53"/>
      <c r="B8" s="6"/>
      <c r="C8" s="23"/>
      <c r="I8" s="23"/>
      <c r="AL8" s="1"/>
      <c r="AM8" s="1"/>
      <c r="AN8" s="1"/>
      <c r="AO8" s="23"/>
      <c r="AP8" s="1"/>
      <c r="AQ8" s="6"/>
      <c r="AR8" s="56"/>
      <c r="AS8" s="56"/>
      <c r="AT8" s="56"/>
      <c r="AU8" s="56"/>
      <c r="AV8" s="56"/>
      <c r="AW8" s="56"/>
      <c r="AX8" s="56"/>
      <c r="AY8" s="56"/>
      <c r="AZ8" s="56"/>
      <c r="BA8" s="56"/>
      <c r="BB8" s="56"/>
      <c r="BC8" s="56"/>
      <c r="BD8" s="54"/>
      <c r="BE8" s="5"/>
      <c r="BF8" s="5"/>
      <c r="BG8" s="5"/>
      <c r="BH8" s="5"/>
      <c r="BI8" s="55"/>
    </row>
    <row r="9" spans="1:61" ht="15" customHeight="1">
      <c r="A9" s="53"/>
      <c r="B9" s="6"/>
      <c r="C9" s="23"/>
      <c r="I9" s="23"/>
      <c r="K9" s="1" t="s">
        <v>77</v>
      </c>
      <c r="AL9" s="1"/>
      <c r="AM9" s="1"/>
      <c r="AN9" s="1"/>
      <c r="AO9" s="23"/>
      <c r="AP9" s="1"/>
      <c r="AQ9" s="6"/>
      <c r="AR9" s="56"/>
      <c r="AS9" s="56"/>
      <c r="AT9" s="56"/>
      <c r="AU9" s="56"/>
      <c r="AV9" s="56"/>
      <c r="AW9" s="56"/>
      <c r="AX9" s="56"/>
      <c r="AY9" s="56"/>
      <c r="AZ9" s="56"/>
      <c r="BA9" s="56"/>
      <c r="BB9" s="56"/>
      <c r="BC9" s="56"/>
      <c r="BD9" s="54"/>
      <c r="BE9" s="5"/>
      <c r="BF9" s="5"/>
      <c r="BG9" s="5"/>
      <c r="BH9" s="5"/>
      <c r="BI9" s="55"/>
    </row>
    <row r="10" spans="1:61" ht="15" customHeight="1" thickBot="1">
      <c r="A10" s="145"/>
      <c r="B10" s="52"/>
      <c r="C10" s="57"/>
      <c r="D10" s="25"/>
      <c r="E10" s="25"/>
      <c r="F10" s="25"/>
      <c r="G10" s="25"/>
      <c r="H10" s="25"/>
      <c r="I10" s="57"/>
      <c r="J10" s="25"/>
      <c r="K10" s="25"/>
      <c r="L10" s="25"/>
      <c r="M10" s="25"/>
      <c r="N10" s="25"/>
      <c r="O10" s="25"/>
      <c r="P10" s="25"/>
      <c r="Q10" s="25"/>
      <c r="R10" s="25"/>
      <c r="S10" s="25"/>
      <c r="T10" s="25"/>
      <c r="U10" s="25"/>
      <c r="V10" s="25"/>
      <c r="W10" s="25"/>
      <c r="X10" s="25"/>
      <c r="Y10" s="25"/>
      <c r="Z10" s="25"/>
      <c r="AA10" s="25"/>
      <c r="AB10" s="25"/>
      <c r="AC10" s="25"/>
      <c r="AD10" s="25"/>
      <c r="AE10" s="25"/>
      <c r="AF10" s="25"/>
      <c r="AG10" s="25"/>
      <c r="AH10" s="25"/>
      <c r="AI10" s="25"/>
      <c r="AJ10" s="25"/>
      <c r="AK10" s="25"/>
      <c r="AL10" s="25"/>
      <c r="AM10" s="25"/>
      <c r="AN10" s="52"/>
      <c r="AO10" s="57"/>
      <c r="AP10" s="25"/>
      <c r="AQ10" s="52"/>
      <c r="AR10" s="146"/>
      <c r="AS10" s="146"/>
      <c r="AT10" s="146"/>
      <c r="AU10" s="146"/>
      <c r="AV10" s="146"/>
      <c r="AW10" s="146"/>
      <c r="AX10" s="146"/>
      <c r="AY10" s="146"/>
      <c r="AZ10" s="146"/>
      <c r="BA10" s="146"/>
      <c r="BB10" s="146"/>
      <c r="BC10" s="146"/>
      <c r="BD10" s="58"/>
      <c r="BE10" s="59"/>
      <c r="BF10" s="59"/>
      <c r="BG10" s="59"/>
      <c r="BH10" s="59"/>
      <c r="BI10" s="60"/>
    </row>
    <row r="11" spans="1:61" ht="15" customHeight="1">
      <c r="A11" s="53"/>
      <c r="B11" s="6"/>
      <c r="C11" s="23"/>
      <c r="I11" s="23"/>
      <c r="AL11" s="1"/>
      <c r="AM11" s="1"/>
      <c r="AN11" s="6"/>
      <c r="AO11" s="23"/>
      <c r="AP11" s="1"/>
      <c r="AQ11" s="6"/>
      <c r="AR11" s="56"/>
      <c r="AS11" s="56"/>
      <c r="AT11" s="56"/>
      <c r="AU11" s="56"/>
      <c r="AV11" s="56"/>
      <c r="AW11" s="56"/>
      <c r="AX11" s="56"/>
      <c r="AY11" s="56"/>
      <c r="AZ11" s="56"/>
      <c r="BA11" s="56"/>
      <c r="BB11" s="56"/>
      <c r="BC11" s="56"/>
      <c r="BD11" s="54"/>
      <c r="BE11" s="5"/>
      <c r="BF11" s="5"/>
      <c r="BG11" s="5"/>
      <c r="BH11" s="5"/>
      <c r="BI11" s="55"/>
    </row>
    <row r="12" spans="1:61" ht="15" customHeight="1">
      <c r="A12" s="53" t="s">
        <v>39</v>
      </c>
      <c r="B12" s="6"/>
      <c r="C12" s="23" t="s">
        <v>78</v>
      </c>
      <c r="I12" s="23"/>
      <c r="J12" s="1" t="s">
        <v>79</v>
      </c>
      <c r="L12" s="1" t="s">
        <v>80</v>
      </c>
      <c r="AL12" s="1"/>
      <c r="AM12" s="1"/>
      <c r="AN12" s="6"/>
      <c r="AO12" s="23"/>
      <c r="AP12" s="1"/>
      <c r="AQ12" s="6"/>
      <c r="AR12" s="56"/>
      <c r="AS12" s="56"/>
      <c r="AT12" s="56"/>
      <c r="AU12" s="56"/>
      <c r="AV12" s="56"/>
      <c r="AW12" s="56"/>
      <c r="AX12" s="56"/>
      <c r="AY12" s="56"/>
      <c r="AZ12" s="56"/>
      <c r="BA12" s="56"/>
      <c r="BB12" s="56"/>
      <c r="BC12" s="56"/>
      <c r="BD12" s="54"/>
      <c r="BE12" s="5"/>
      <c r="BF12" s="5"/>
      <c r="BG12" s="5"/>
      <c r="BH12" s="5"/>
      <c r="BI12" s="55"/>
    </row>
    <row r="13" spans="1:61" ht="15" customHeight="1">
      <c r="A13" s="53"/>
      <c r="B13" s="6"/>
      <c r="C13" s="23"/>
      <c r="I13" s="23"/>
      <c r="AL13" s="1"/>
      <c r="AM13" s="1"/>
      <c r="AN13" s="6"/>
      <c r="AO13" s="23"/>
      <c r="AP13" s="1"/>
      <c r="AQ13" s="6"/>
      <c r="AR13" s="56"/>
      <c r="AS13" s="56"/>
      <c r="AT13" s="56"/>
      <c r="AU13" s="56"/>
      <c r="AV13" s="56"/>
      <c r="AW13" s="56"/>
      <c r="AX13" s="56"/>
      <c r="AY13" s="56"/>
      <c r="AZ13" s="56"/>
      <c r="BA13" s="56"/>
      <c r="BB13" s="56"/>
      <c r="BC13" s="56"/>
      <c r="BD13" s="54"/>
      <c r="BE13" s="5"/>
      <c r="BF13" s="5"/>
      <c r="BG13" s="5"/>
      <c r="BH13" s="5"/>
      <c r="BI13" s="55"/>
    </row>
    <row r="14" spans="1:61" ht="15" customHeight="1">
      <c r="A14" s="53"/>
      <c r="B14" s="6"/>
      <c r="C14" s="23"/>
      <c r="I14" s="23"/>
      <c r="K14" s="1" t="s">
        <v>81</v>
      </c>
      <c r="AL14" s="1"/>
      <c r="AM14" s="1"/>
      <c r="AN14" s="6"/>
      <c r="AO14" s="23"/>
      <c r="AP14" s="1"/>
      <c r="AQ14" s="6"/>
      <c r="AR14" s="56"/>
      <c r="AS14" s="56"/>
      <c r="AT14" s="56"/>
      <c r="AU14" s="56"/>
      <c r="AV14" s="56"/>
      <c r="AW14" s="56"/>
      <c r="AX14" s="56"/>
      <c r="AY14" s="56"/>
      <c r="AZ14" s="56"/>
      <c r="BA14" s="56"/>
      <c r="BB14" s="56"/>
      <c r="BC14" s="56"/>
      <c r="BD14" s="54"/>
      <c r="BE14" s="5"/>
      <c r="BF14" s="5"/>
      <c r="BG14" s="5"/>
      <c r="BH14" s="5"/>
      <c r="BI14" s="55"/>
    </row>
    <row r="15" spans="1:61" ht="15" customHeight="1">
      <c r="A15" s="53"/>
      <c r="B15" s="6"/>
      <c r="C15" s="23"/>
      <c r="I15" s="23"/>
      <c r="K15" s="1" t="s">
        <v>82</v>
      </c>
      <c r="AL15" s="1"/>
      <c r="AM15" s="1"/>
      <c r="AN15" s="6"/>
      <c r="AO15" s="23"/>
      <c r="AP15" s="1"/>
      <c r="AQ15" s="6"/>
      <c r="AR15" s="56"/>
      <c r="AS15" s="56"/>
      <c r="AT15" s="56"/>
      <c r="AU15" s="56"/>
      <c r="AV15" s="56"/>
      <c r="AW15" s="56"/>
      <c r="AX15" s="56"/>
      <c r="AY15" s="56"/>
      <c r="AZ15" s="56"/>
      <c r="BA15" s="56"/>
      <c r="BB15" s="56"/>
      <c r="BC15" s="56"/>
      <c r="BD15" s="54"/>
      <c r="BE15" s="5"/>
      <c r="BF15" s="5"/>
      <c r="BG15" s="5"/>
      <c r="BH15" s="5"/>
      <c r="BI15" s="55"/>
    </row>
    <row r="16" spans="1:61" ht="15" customHeight="1">
      <c r="A16" s="53"/>
      <c r="B16" s="6"/>
      <c r="C16" s="23"/>
      <c r="I16" s="23"/>
      <c r="AL16" s="1"/>
      <c r="AM16" s="1"/>
      <c r="AN16" s="6"/>
      <c r="AO16" s="23"/>
      <c r="AP16" s="1"/>
      <c r="AQ16" s="6"/>
      <c r="AR16" s="56"/>
      <c r="AS16" s="56"/>
      <c r="AT16" s="56"/>
      <c r="AU16" s="56"/>
      <c r="AV16" s="56"/>
      <c r="AW16" s="56"/>
      <c r="AX16" s="56"/>
      <c r="AY16" s="56"/>
      <c r="AZ16" s="56"/>
      <c r="BA16" s="56"/>
      <c r="BB16" s="56"/>
      <c r="BC16" s="56"/>
      <c r="BD16" s="54"/>
      <c r="BE16" s="5"/>
      <c r="BF16" s="5"/>
      <c r="BG16" s="5"/>
      <c r="BH16" s="5"/>
      <c r="BI16" s="55"/>
    </row>
    <row r="17" spans="1:61" ht="13.5">
      <c r="A17" s="53"/>
      <c r="B17" s="6"/>
      <c r="C17" s="23"/>
      <c r="I17" s="23"/>
      <c r="AL17" s="1"/>
      <c r="AM17" s="1"/>
      <c r="AN17" s="6"/>
      <c r="AO17" s="23"/>
      <c r="AP17" s="1"/>
      <c r="AQ17" s="6"/>
      <c r="AR17" s="56"/>
      <c r="AS17" s="56"/>
      <c r="AT17" s="56"/>
      <c r="AU17" s="56"/>
      <c r="AV17" s="56"/>
      <c r="AW17" s="56"/>
      <c r="AX17" s="56"/>
      <c r="AY17" s="56"/>
      <c r="AZ17" s="56"/>
      <c r="BA17" s="56"/>
      <c r="BB17" s="56"/>
      <c r="BC17" s="56"/>
      <c r="BD17" s="54"/>
      <c r="BE17" s="5"/>
      <c r="BF17" s="5"/>
      <c r="BG17" s="5"/>
      <c r="BH17" s="5"/>
      <c r="BI17" s="55"/>
    </row>
    <row r="18" spans="1:61" ht="15" customHeight="1" thickBot="1">
      <c r="A18" s="17"/>
      <c r="B18" s="52"/>
      <c r="C18" s="57"/>
      <c r="D18" s="25"/>
      <c r="E18" s="25"/>
      <c r="F18" s="25"/>
      <c r="G18" s="25"/>
      <c r="H18" s="25"/>
      <c r="I18" s="57"/>
      <c r="J18" s="25"/>
      <c r="K18" s="25"/>
      <c r="L18" s="25"/>
      <c r="M18" s="25"/>
      <c r="N18" s="25"/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  <c r="AB18" s="25"/>
      <c r="AC18" s="25"/>
      <c r="AD18" s="25"/>
      <c r="AE18" s="25"/>
      <c r="AF18" s="25"/>
      <c r="AG18" s="25"/>
      <c r="AH18" s="25"/>
      <c r="AI18" s="25"/>
      <c r="AJ18" s="25"/>
      <c r="AK18" s="25"/>
      <c r="AL18" s="25"/>
      <c r="AM18" s="25"/>
      <c r="AN18" s="52"/>
      <c r="AO18" s="57"/>
      <c r="AP18" s="25"/>
      <c r="AQ18" s="52"/>
      <c r="AR18" s="25"/>
      <c r="AS18" s="25"/>
      <c r="AT18" s="25"/>
      <c r="AU18" s="25"/>
      <c r="AV18" s="25"/>
      <c r="AW18" s="25"/>
      <c r="AX18" s="25"/>
      <c r="AY18" s="25"/>
      <c r="AZ18" s="25"/>
      <c r="BA18" s="25"/>
      <c r="BB18" s="25"/>
      <c r="BC18" s="25"/>
      <c r="BD18" s="58"/>
      <c r="BE18" s="59"/>
      <c r="BF18" s="59"/>
      <c r="BG18" s="59"/>
      <c r="BH18" s="59"/>
      <c r="BI18" s="60"/>
    </row>
    <row r="19" spans="1:61" ht="13.5"/>
    <row r="36" ht="13.5"/>
    <row r="37" ht="13.5"/>
    <row r="38" ht="13.5"/>
  </sheetData>
  <mergeCells count="24">
    <mergeCell ref="AT1:BA1"/>
    <mergeCell ref="BB1:BI1"/>
    <mergeCell ref="F2:P3"/>
    <mergeCell ref="Q2:V3"/>
    <mergeCell ref="W2:AD3"/>
    <mergeCell ref="AE2:AS3"/>
    <mergeCell ref="AT2:AU2"/>
    <mergeCell ref="AV2:BA2"/>
    <mergeCell ref="BB2:BI2"/>
    <mergeCell ref="AT3:AU3"/>
    <mergeCell ref="AV3:BA3"/>
    <mergeCell ref="BB3:BI3"/>
    <mergeCell ref="A1:E3"/>
    <mergeCell ref="F1:P1"/>
    <mergeCell ref="Q1:V1"/>
    <mergeCell ref="W1:AD1"/>
    <mergeCell ref="AE1:AS1"/>
    <mergeCell ref="A5:B5"/>
    <mergeCell ref="A4:H4"/>
    <mergeCell ref="C5:H5"/>
    <mergeCell ref="BD5:BI5"/>
    <mergeCell ref="AR5:BC5"/>
    <mergeCell ref="AO5:AQ5"/>
    <mergeCell ref="I5:AN5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scale="85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CD2214-FE2B-4A53-A3CA-84909A38E840}">
  <dimension ref="A1:BI41"/>
  <sheetViews>
    <sheetView showGridLines="0" zoomScale="80" zoomScaleNormal="80" workbookViewId="0">
      <pane ySplit="6" topLeftCell="A21" activePane="bottomLeft" state="frozen"/>
      <selection activeCell="S1" sqref="S1"/>
      <selection pane="bottomLeft" activeCell="E44" sqref="E44"/>
    </sheetView>
  </sheetViews>
  <sheetFormatPr defaultColWidth="2.33203125" defaultRowHeight="15" customHeight="1"/>
  <cols>
    <col min="1" max="16384" width="2.33203125" style="43"/>
  </cols>
  <sheetData>
    <row r="1" spans="1:61" s="1" customFormat="1" ht="15" customHeight="1" thickBot="1">
      <c r="A1" s="245" t="s">
        <v>32</v>
      </c>
      <c r="B1" s="246"/>
      <c r="C1" s="246"/>
      <c r="D1" s="246"/>
      <c r="E1" s="247"/>
      <c r="F1" s="254" t="str">
        <f>変更履歴!F1</f>
        <v>システム名</v>
      </c>
      <c r="G1" s="255"/>
      <c r="H1" s="255"/>
      <c r="I1" s="255"/>
      <c r="J1" s="255"/>
      <c r="K1" s="255"/>
      <c r="L1" s="255"/>
      <c r="M1" s="255"/>
      <c r="N1" s="255"/>
      <c r="O1" s="255"/>
      <c r="P1" s="256"/>
      <c r="Q1" s="257" t="str">
        <f>変更履歴!Q1</f>
        <v>機能分類</v>
      </c>
      <c r="R1" s="258"/>
      <c r="S1" s="258"/>
      <c r="T1" s="258"/>
      <c r="U1" s="258"/>
      <c r="V1" s="259"/>
      <c r="W1" s="254" t="str">
        <f>変更履歴!W1</f>
        <v>機能ＩＤ</v>
      </c>
      <c r="X1" s="255"/>
      <c r="Y1" s="255"/>
      <c r="Z1" s="255"/>
      <c r="AA1" s="255"/>
      <c r="AB1" s="255"/>
      <c r="AC1" s="255"/>
      <c r="AD1" s="256"/>
      <c r="AE1" s="254" t="str">
        <f>変更履歴!AE1</f>
        <v>機能名称</v>
      </c>
      <c r="AF1" s="255"/>
      <c r="AG1" s="255"/>
      <c r="AH1" s="255"/>
      <c r="AI1" s="255"/>
      <c r="AJ1" s="255"/>
      <c r="AK1" s="255"/>
      <c r="AL1" s="255"/>
      <c r="AM1" s="255"/>
      <c r="AN1" s="255"/>
      <c r="AO1" s="255"/>
      <c r="AP1" s="255"/>
      <c r="AQ1" s="255"/>
      <c r="AR1" s="255"/>
      <c r="AS1" s="256"/>
      <c r="AT1" s="260" t="str">
        <f>変更履歴!AT1</f>
        <v>日付</v>
      </c>
      <c r="AU1" s="261"/>
      <c r="AV1" s="261"/>
      <c r="AW1" s="261"/>
      <c r="AX1" s="261"/>
      <c r="AY1" s="261"/>
      <c r="AZ1" s="261"/>
      <c r="BA1" s="262"/>
      <c r="BB1" s="217" t="str">
        <f>変更履歴!BB1</f>
        <v>更新者</v>
      </c>
      <c r="BC1" s="219"/>
      <c r="BD1" s="219"/>
      <c r="BE1" s="219"/>
      <c r="BF1" s="219"/>
      <c r="BG1" s="219"/>
      <c r="BH1" s="219"/>
      <c r="BI1" s="220"/>
    </row>
    <row r="2" spans="1:61" s="1" customFormat="1" ht="15" customHeight="1">
      <c r="A2" s="248"/>
      <c r="B2" s="249"/>
      <c r="C2" s="249"/>
      <c r="D2" s="249"/>
      <c r="E2" s="250"/>
      <c r="F2" s="221" t="str">
        <f>変更履歴!F2</f>
        <v>Dynamics365 for Finance and Operations</v>
      </c>
      <c r="G2" s="222"/>
      <c r="H2" s="222"/>
      <c r="I2" s="222"/>
      <c r="J2" s="222"/>
      <c r="K2" s="222"/>
      <c r="L2" s="222"/>
      <c r="M2" s="222"/>
      <c r="N2" s="222"/>
      <c r="O2" s="222"/>
      <c r="P2" s="223"/>
      <c r="Q2" s="221" t="str">
        <f>変更履歴!Q2</f>
        <v>債権・債務</v>
      </c>
      <c r="R2" s="222"/>
      <c r="S2" s="222"/>
      <c r="T2" s="222"/>
      <c r="U2" s="222"/>
      <c r="V2" s="223"/>
      <c r="W2" s="227" t="str">
        <f>変更履歴!W2</f>
        <v>FO-006</v>
      </c>
      <c r="X2" s="228"/>
      <c r="Y2" s="228"/>
      <c r="Z2" s="228"/>
      <c r="AA2" s="228"/>
      <c r="AB2" s="228"/>
      <c r="AC2" s="228"/>
      <c r="AD2" s="229"/>
      <c r="AE2" s="221" t="str">
        <f>変更履歴!AE2</f>
        <v>支払方法・支払サイトマスタ画面</v>
      </c>
      <c r="AF2" s="222"/>
      <c r="AG2" s="222"/>
      <c r="AH2" s="222"/>
      <c r="AI2" s="222"/>
      <c r="AJ2" s="222"/>
      <c r="AK2" s="222"/>
      <c r="AL2" s="222"/>
      <c r="AM2" s="222"/>
      <c r="AN2" s="222"/>
      <c r="AO2" s="222"/>
      <c r="AP2" s="222"/>
      <c r="AQ2" s="222"/>
      <c r="AR2" s="222"/>
      <c r="AS2" s="223"/>
      <c r="AT2" s="233" t="str">
        <f>変更履歴!AT2</f>
        <v>作成</v>
      </c>
      <c r="AU2" s="234"/>
      <c r="AV2" s="235">
        <f>変更履歴!AV2</f>
        <v>45448</v>
      </c>
      <c r="AW2" s="235"/>
      <c r="AX2" s="235"/>
      <c r="AY2" s="235"/>
      <c r="AZ2" s="235"/>
      <c r="BA2" s="236"/>
      <c r="BB2" s="237" t="str">
        <f>変更履歴!BB2</f>
        <v>JBS井田</v>
      </c>
      <c r="BC2" s="239"/>
      <c r="BD2" s="239"/>
      <c r="BE2" s="239"/>
      <c r="BF2" s="239"/>
      <c r="BG2" s="239"/>
      <c r="BH2" s="239"/>
      <c r="BI2" s="240"/>
    </row>
    <row r="3" spans="1:61" s="1" customFormat="1" ht="15" customHeight="1" thickBot="1">
      <c r="A3" s="251"/>
      <c r="B3" s="252"/>
      <c r="C3" s="252"/>
      <c r="D3" s="252"/>
      <c r="E3" s="253"/>
      <c r="F3" s="224"/>
      <c r="G3" s="225"/>
      <c r="H3" s="225"/>
      <c r="I3" s="225"/>
      <c r="J3" s="225"/>
      <c r="K3" s="225"/>
      <c r="L3" s="225"/>
      <c r="M3" s="225"/>
      <c r="N3" s="225"/>
      <c r="O3" s="225"/>
      <c r="P3" s="226"/>
      <c r="Q3" s="224"/>
      <c r="R3" s="225"/>
      <c r="S3" s="225"/>
      <c r="T3" s="225"/>
      <c r="U3" s="225"/>
      <c r="V3" s="226"/>
      <c r="W3" s="230"/>
      <c r="X3" s="231"/>
      <c r="Y3" s="231"/>
      <c r="Z3" s="231"/>
      <c r="AA3" s="231"/>
      <c r="AB3" s="231"/>
      <c r="AC3" s="231"/>
      <c r="AD3" s="232"/>
      <c r="AE3" s="224"/>
      <c r="AF3" s="225"/>
      <c r="AG3" s="225"/>
      <c r="AH3" s="225"/>
      <c r="AI3" s="225"/>
      <c r="AJ3" s="225"/>
      <c r="AK3" s="225"/>
      <c r="AL3" s="225"/>
      <c r="AM3" s="225"/>
      <c r="AN3" s="225"/>
      <c r="AO3" s="225"/>
      <c r="AP3" s="225"/>
      <c r="AQ3" s="225"/>
      <c r="AR3" s="225"/>
      <c r="AS3" s="226"/>
      <c r="AT3" s="241" t="str">
        <f>変更履歴!AT3</f>
        <v>更新</v>
      </c>
      <c r="AU3" s="242"/>
      <c r="AV3" s="290">
        <f ca="1">変更履歴!AV3</f>
        <v>45589</v>
      </c>
      <c r="AW3" s="291"/>
      <c r="AX3" s="291"/>
      <c r="AY3" s="291"/>
      <c r="AZ3" s="291"/>
      <c r="BA3" s="292"/>
      <c r="BB3" s="294" t="str">
        <f ca="1">変更履歴!BB3</f>
        <v>JBS井田</v>
      </c>
      <c r="BC3" s="295"/>
      <c r="BD3" s="295"/>
      <c r="BE3" s="295"/>
      <c r="BF3" s="295"/>
      <c r="BG3" s="295"/>
      <c r="BH3" s="295"/>
      <c r="BI3" s="296"/>
    </row>
    <row r="4" spans="1:61" s="1" customFormat="1" ht="15" customHeight="1" thickBot="1">
      <c r="A4" s="3"/>
      <c r="B4" s="3"/>
      <c r="C4" s="3"/>
      <c r="D4" s="3"/>
      <c r="E4" s="3"/>
      <c r="F4" s="3"/>
      <c r="G4" s="3"/>
      <c r="H4" s="3"/>
    </row>
    <row r="5" spans="1:61" s="1" customFormat="1" ht="15" customHeight="1" thickBot="1">
      <c r="A5" s="362" t="s">
        <v>83</v>
      </c>
      <c r="B5" s="363"/>
      <c r="C5" s="363"/>
      <c r="D5" s="363"/>
      <c r="E5" s="363"/>
      <c r="F5" s="363"/>
      <c r="G5" s="363"/>
      <c r="H5" s="364"/>
      <c r="I5" s="61" t="s">
        <v>84</v>
      </c>
      <c r="J5" s="61"/>
      <c r="K5" s="61"/>
      <c r="L5" s="61"/>
      <c r="M5" s="61"/>
      <c r="N5" s="61"/>
      <c r="O5" s="61"/>
      <c r="P5" s="61"/>
      <c r="Q5" s="61"/>
      <c r="R5" s="61"/>
      <c r="S5" s="61"/>
      <c r="T5" s="61"/>
      <c r="U5" s="61"/>
      <c r="V5" s="61"/>
      <c r="W5" s="61"/>
      <c r="X5" s="61"/>
      <c r="Y5" s="61"/>
      <c r="Z5" s="61"/>
      <c r="AA5" s="61"/>
      <c r="AB5" s="61"/>
      <c r="AC5" s="61"/>
      <c r="AD5" s="61"/>
      <c r="AE5" s="61"/>
      <c r="AF5" s="61"/>
      <c r="AG5" s="61"/>
      <c r="AH5" s="61"/>
      <c r="AI5" s="61"/>
      <c r="AJ5" s="61"/>
      <c r="AK5" s="61"/>
      <c r="AL5" s="61"/>
      <c r="AM5" s="61"/>
      <c r="AN5" s="61"/>
      <c r="AO5" s="61"/>
      <c r="AP5" s="61"/>
      <c r="AQ5" s="61"/>
      <c r="AR5" s="61"/>
      <c r="AS5" s="61"/>
      <c r="AT5" s="61"/>
      <c r="AU5" s="61"/>
      <c r="AV5" s="61"/>
      <c r="AW5" s="61"/>
      <c r="AX5" s="61"/>
      <c r="AY5" s="61"/>
      <c r="AZ5" s="61"/>
      <c r="BA5" s="61"/>
      <c r="BB5" s="61"/>
      <c r="BC5" s="61"/>
      <c r="BD5" s="61"/>
      <c r="BE5" s="61"/>
      <c r="BF5" s="61"/>
      <c r="BG5" s="61"/>
      <c r="BH5" s="61"/>
      <c r="BI5" s="62"/>
    </row>
    <row r="6" spans="1:61" s="1" customFormat="1" ht="15" customHeight="1" thickBot="1">
      <c r="A6" s="365" t="s">
        <v>85</v>
      </c>
      <c r="B6" s="366"/>
      <c r="C6" s="366"/>
      <c r="D6" s="366"/>
      <c r="E6" s="366"/>
      <c r="F6" s="366"/>
      <c r="G6" s="366"/>
      <c r="H6" s="367"/>
      <c r="I6" s="25" t="s">
        <v>86</v>
      </c>
      <c r="J6" s="25"/>
      <c r="K6" s="25"/>
      <c r="L6" s="25"/>
      <c r="M6" s="25"/>
      <c r="N6" s="25"/>
      <c r="O6" s="25"/>
      <c r="P6" s="25"/>
      <c r="Q6" s="25"/>
      <c r="R6" s="25"/>
      <c r="S6" s="25"/>
      <c r="T6" s="25"/>
      <c r="U6" s="25"/>
      <c r="V6" s="25"/>
      <c r="W6" s="25"/>
      <c r="X6" s="25"/>
      <c r="Y6" s="25"/>
      <c r="Z6" s="25"/>
      <c r="AA6" s="25"/>
      <c r="AB6" s="25"/>
      <c r="AC6" s="25"/>
      <c r="AD6" s="25"/>
      <c r="AE6" s="25"/>
      <c r="AF6" s="25"/>
      <c r="AG6" s="25"/>
      <c r="AH6" s="25"/>
      <c r="AI6" s="25"/>
      <c r="AJ6" s="25"/>
      <c r="AK6" s="25"/>
      <c r="AL6" s="25"/>
      <c r="AM6" s="25"/>
      <c r="AN6" s="25"/>
      <c r="AO6" s="25"/>
      <c r="AP6" s="25"/>
      <c r="AQ6" s="25"/>
      <c r="AR6" s="25"/>
      <c r="AS6" s="25"/>
      <c r="AT6" s="25"/>
      <c r="AU6" s="25"/>
      <c r="AV6" s="25"/>
      <c r="AW6" s="25"/>
      <c r="AX6" s="25"/>
      <c r="AY6" s="25"/>
      <c r="AZ6" s="25"/>
      <c r="BA6" s="25"/>
      <c r="BB6" s="25"/>
      <c r="BC6" s="25"/>
      <c r="BD6" s="25"/>
      <c r="BE6" s="25"/>
      <c r="BF6" s="25"/>
      <c r="BG6" s="25"/>
      <c r="BH6" s="25"/>
      <c r="BI6" s="26"/>
    </row>
    <row r="7" spans="1:61" s="1" customFormat="1" ht="15" customHeight="1" thickBot="1">
      <c r="A7" s="15"/>
      <c r="BI7" s="24"/>
    </row>
    <row r="8" spans="1:61" s="1" customFormat="1" ht="15" customHeight="1" thickBot="1">
      <c r="A8" s="362" t="s">
        <v>87</v>
      </c>
      <c r="B8" s="363"/>
      <c r="C8" s="363"/>
      <c r="D8" s="363"/>
      <c r="E8" s="363"/>
      <c r="F8" s="363"/>
      <c r="G8" s="363"/>
      <c r="H8" s="364"/>
      <c r="I8" s="63"/>
      <c r="J8" s="61"/>
      <c r="K8" s="61"/>
      <c r="L8" s="61"/>
      <c r="M8" s="61"/>
      <c r="N8" s="61"/>
      <c r="O8" s="61"/>
      <c r="P8" s="61"/>
      <c r="Q8" s="61"/>
      <c r="R8" s="61"/>
      <c r="S8" s="61"/>
      <c r="T8" s="61"/>
      <c r="U8" s="61"/>
      <c r="V8" s="61"/>
      <c r="W8" s="61"/>
      <c r="X8" s="61"/>
      <c r="Y8" s="61"/>
      <c r="Z8" s="61"/>
      <c r="AA8" s="61"/>
      <c r="AB8" s="61"/>
      <c r="AC8" s="61"/>
      <c r="AD8" s="61"/>
      <c r="AE8" s="61"/>
      <c r="AF8" s="61"/>
      <c r="AG8" s="61"/>
      <c r="AH8" s="61"/>
      <c r="AI8" s="61"/>
      <c r="AJ8" s="61"/>
      <c r="AK8" s="61"/>
      <c r="AL8" s="61"/>
      <c r="AM8" s="61"/>
      <c r="AN8" s="61"/>
      <c r="AO8" s="61"/>
      <c r="AP8" s="61"/>
      <c r="AQ8" s="61"/>
      <c r="AR8" s="61"/>
      <c r="AS8" s="61"/>
      <c r="AT8" s="61"/>
      <c r="AU8" s="61"/>
      <c r="AV8" s="61"/>
      <c r="AW8" s="61"/>
      <c r="AX8" s="61"/>
      <c r="AY8" s="61"/>
      <c r="AZ8" s="61"/>
      <c r="BA8" s="61"/>
      <c r="BB8" s="61"/>
      <c r="BC8" s="61"/>
      <c r="BD8" s="61"/>
      <c r="BE8" s="61"/>
      <c r="BF8" s="61"/>
      <c r="BG8" s="61"/>
      <c r="BH8" s="61"/>
      <c r="BI8" s="62"/>
    </row>
    <row r="9" spans="1:61" s="1" customFormat="1" ht="15" customHeight="1">
      <c r="A9" s="15"/>
      <c r="BI9" s="24"/>
    </row>
    <row r="10" spans="1:61" s="1" customFormat="1" ht="15" customHeight="1">
      <c r="A10" s="15"/>
      <c r="BI10" s="24"/>
    </row>
    <row r="11" spans="1:61" s="1" customFormat="1" ht="15" customHeight="1">
      <c r="A11" s="15"/>
      <c r="BI11" s="24"/>
    </row>
    <row r="12" spans="1:61" s="1" customFormat="1" ht="15" customHeight="1">
      <c r="A12" s="15"/>
      <c r="BI12" s="24"/>
    </row>
    <row r="13" spans="1:61" ht="15" customHeight="1">
      <c r="A13" s="35"/>
      <c r="BI13" s="33"/>
    </row>
    <row r="14" spans="1:61" ht="15" customHeight="1">
      <c r="A14" s="35"/>
      <c r="BI14" s="33"/>
    </row>
    <row r="15" spans="1:61" ht="15" customHeight="1">
      <c r="A15" s="35"/>
      <c r="E15"/>
      <c r="BI15" s="33"/>
    </row>
    <row r="16" spans="1:61" ht="15" customHeight="1">
      <c r="A16" s="35"/>
      <c r="BI16" s="33"/>
    </row>
    <row r="17" spans="1:61" ht="15" customHeight="1">
      <c r="A17" s="35"/>
      <c r="BI17" s="33"/>
    </row>
    <row r="18" spans="1:61" ht="15" customHeight="1">
      <c r="A18" s="35"/>
      <c r="BI18" s="33"/>
    </row>
    <row r="19" spans="1:61" ht="15" customHeight="1">
      <c r="A19" s="35"/>
      <c r="BI19" s="33"/>
    </row>
    <row r="20" spans="1:61" ht="15" customHeight="1">
      <c r="A20" s="35"/>
      <c r="BI20" s="33"/>
    </row>
    <row r="21" spans="1:61" ht="15" customHeight="1">
      <c r="A21" s="35"/>
      <c r="BI21" s="33"/>
    </row>
    <row r="22" spans="1:61" ht="15" customHeight="1">
      <c r="A22" s="35"/>
      <c r="BI22" s="33"/>
    </row>
    <row r="23" spans="1:61" ht="15" customHeight="1">
      <c r="A23" s="35"/>
      <c r="BI23" s="33"/>
    </row>
    <row r="24" spans="1:61" ht="15" customHeight="1">
      <c r="A24" s="35"/>
      <c r="BI24" s="33"/>
    </row>
    <row r="25" spans="1:61" ht="15" customHeight="1">
      <c r="A25" s="35"/>
      <c r="BI25" s="33"/>
    </row>
    <row r="26" spans="1:61" ht="15" customHeight="1">
      <c r="A26" s="35"/>
      <c r="BI26" s="33"/>
    </row>
    <row r="27" spans="1:61" ht="15" customHeight="1">
      <c r="A27" s="35"/>
      <c r="BI27" s="33"/>
    </row>
    <row r="28" spans="1:61" ht="15" customHeight="1">
      <c r="A28" s="35"/>
      <c r="BI28" s="33"/>
    </row>
    <row r="29" spans="1:61" s="1" customFormat="1" ht="15" customHeight="1">
      <c r="A29" s="15"/>
      <c r="BI29" s="24"/>
    </row>
    <row r="30" spans="1:61" s="1" customFormat="1" ht="15" customHeight="1">
      <c r="A30" s="15"/>
      <c r="BI30" s="24"/>
    </row>
    <row r="31" spans="1:61" ht="15" customHeight="1">
      <c r="A31" s="35"/>
      <c r="BI31" s="33"/>
    </row>
    <row r="32" spans="1:61" ht="15" customHeight="1">
      <c r="A32" s="35"/>
      <c r="BI32" s="33"/>
    </row>
    <row r="33" spans="1:61" ht="15" customHeight="1">
      <c r="A33" s="35"/>
      <c r="BI33" s="33"/>
    </row>
    <row r="34" spans="1:61" ht="15" customHeight="1">
      <c r="A34" s="35"/>
      <c r="BI34" s="33"/>
    </row>
    <row r="35" spans="1:61" ht="15" customHeight="1">
      <c r="A35" s="35"/>
      <c r="BI35" s="33"/>
    </row>
    <row r="36" spans="1:61" ht="15" customHeight="1">
      <c r="A36" s="35"/>
      <c r="BI36" s="33"/>
    </row>
    <row r="37" spans="1:61" ht="15" customHeight="1">
      <c r="A37" s="35"/>
      <c r="BI37" s="33"/>
    </row>
    <row r="38" spans="1:61" ht="15" customHeight="1">
      <c r="BI38" s="33"/>
    </row>
    <row r="39" spans="1:61" ht="15" customHeight="1">
      <c r="BI39" s="33"/>
    </row>
    <row r="40" spans="1:61" ht="15" customHeight="1">
      <c r="BI40" s="33"/>
    </row>
    <row r="41" spans="1:61" ht="15" customHeight="1" thickBot="1">
      <c r="A41" s="48"/>
      <c r="B41" s="49"/>
      <c r="C41" s="49"/>
      <c r="D41" s="49"/>
      <c r="E41" s="49"/>
      <c r="F41" s="49"/>
      <c r="G41" s="49"/>
      <c r="H41" s="49"/>
      <c r="I41" s="49"/>
      <c r="J41" s="49"/>
      <c r="K41" s="49"/>
      <c r="L41" s="49"/>
      <c r="M41" s="49"/>
      <c r="N41" s="49"/>
      <c r="O41" s="49"/>
      <c r="P41" s="49"/>
      <c r="Q41" s="49"/>
      <c r="R41" s="49"/>
      <c r="S41" s="49"/>
      <c r="T41" s="49"/>
      <c r="U41" s="49"/>
      <c r="V41" s="49"/>
      <c r="W41" s="49"/>
      <c r="X41" s="49"/>
      <c r="Y41" s="49"/>
      <c r="Z41" s="49"/>
      <c r="AA41" s="49"/>
      <c r="AB41" s="49"/>
      <c r="AC41" s="49"/>
      <c r="AD41" s="49"/>
      <c r="AE41" s="49"/>
      <c r="AF41" s="49"/>
      <c r="AG41" s="49"/>
      <c r="AH41" s="49"/>
      <c r="AI41" s="49"/>
      <c r="AJ41" s="49"/>
      <c r="AK41" s="49"/>
      <c r="AL41" s="49"/>
      <c r="AM41" s="49"/>
      <c r="AN41" s="49"/>
      <c r="AO41" s="49"/>
      <c r="AP41" s="49"/>
      <c r="AQ41" s="49"/>
      <c r="AR41" s="49"/>
      <c r="AS41" s="49"/>
      <c r="AT41" s="49"/>
      <c r="AU41" s="49"/>
      <c r="AV41" s="49"/>
      <c r="AW41" s="49"/>
      <c r="AX41" s="49"/>
      <c r="AY41" s="49"/>
      <c r="AZ41" s="49"/>
      <c r="BA41" s="49"/>
      <c r="BB41" s="49"/>
      <c r="BC41" s="49"/>
      <c r="BD41" s="49"/>
      <c r="BE41" s="49"/>
      <c r="BF41" s="49"/>
      <c r="BG41" s="49"/>
      <c r="BH41" s="49"/>
      <c r="BI41" s="50"/>
    </row>
  </sheetData>
  <mergeCells count="20">
    <mergeCell ref="AE1:AS1"/>
    <mergeCell ref="AT1:BA1"/>
    <mergeCell ref="BB1:BI1"/>
    <mergeCell ref="F2:P3"/>
    <mergeCell ref="Q2:V3"/>
    <mergeCell ref="W2:AD3"/>
    <mergeCell ref="AE2:AS3"/>
    <mergeCell ref="AT2:AU2"/>
    <mergeCell ref="AV2:BA2"/>
    <mergeCell ref="BB2:BI2"/>
    <mergeCell ref="AT3:AU3"/>
    <mergeCell ref="AV3:BA3"/>
    <mergeCell ref="BB3:BI3"/>
    <mergeCell ref="Q1:V1"/>
    <mergeCell ref="W1:AD1"/>
    <mergeCell ref="A5:H5"/>
    <mergeCell ref="A6:H6"/>
    <mergeCell ref="A8:H8"/>
    <mergeCell ref="A1:E3"/>
    <mergeCell ref="F1:P1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scale="85" orientation="landscape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AE1F4B-1B0F-4B71-9CA1-004084418863}">
  <dimension ref="A1:BK66"/>
  <sheetViews>
    <sheetView showGridLines="0" tabSelected="1" zoomScaleNormal="100" workbookViewId="0">
      <pane ySplit="5" topLeftCell="A38" activePane="bottomLeft" state="frozen"/>
      <selection pane="bottomLeft" activeCell="W58" sqref="W58"/>
    </sheetView>
  </sheetViews>
  <sheetFormatPr defaultColWidth="2.33203125" defaultRowHeight="15" customHeight="1"/>
  <cols>
    <col min="1" max="22" width="2.33203125" style="43"/>
    <col min="23" max="24" width="2.33203125" style="36"/>
    <col min="25" max="25" width="2.33203125" style="43"/>
    <col min="26" max="26" width="3.58203125" style="43" bestFit="1" customWidth="1"/>
    <col min="27" max="16384" width="2.33203125" style="43"/>
  </cols>
  <sheetData>
    <row r="1" spans="1:61" s="1" customFormat="1" ht="15" customHeight="1" thickBot="1">
      <c r="A1" s="245" t="s">
        <v>32</v>
      </c>
      <c r="B1" s="246"/>
      <c r="C1" s="246"/>
      <c r="D1" s="246"/>
      <c r="E1" s="247"/>
      <c r="F1" s="254" t="str">
        <f>変更履歴!F1</f>
        <v>システム名</v>
      </c>
      <c r="G1" s="255"/>
      <c r="H1" s="255"/>
      <c r="I1" s="255"/>
      <c r="J1" s="255"/>
      <c r="K1" s="255"/>
      <c r="L1" s="255"/>
      <c r="M1" s="255"/>
      <c r="N1" s="255"/>
      <c r="O1" s="255"/>
      <c r="P1" s="256"/>
      <c r="Q1" s="257" t="str">
        <f>変更履歴!Q1</f>
        <v>機能分類</v>
      </c>
      <c r="R1" s="258"/>
      <c r="S1" s="258"/>
      <c r="T1" s="258"/>
      <c r="U1" s="258"/>
      <c r="V1" s="259"/>
      <c r="W1" s="254" t="str">
        <f>変更履歴!W1</f>
        <v>機能ＩＤ</v>
      </c>
      <c r="X1" s="255"/>
      <c r="Y1" s="255"/>
      <c r="Z1" s="255"/>
      <c r="AA1" s="255"/>
      <c r="AB1" s="255"/>
      <c r="AC1" s="255"/>
      <c r="AD1" s="256"/>
      <c r="AE1" s="254" t="str">
        <f>変更履歴!AE1</f>
        <v>機能名称</v>
      </c>
      <c r="AF1" s="255"/>
      <c r="AG1" s="255"/>
      <c r="AH1" s="255"/>
      <c r="AI1" s="255"/>
      <c r="AJ1" s="255"/>
      <c r="AK1" s="255"/>
      <c r="AL1" s="255"/>
      <c r="AM1" s="255"/>
      <c r="AN1" s="255"/>
      <c r="AO1" s="255"/>
      <c r="AP1" s="255"/>
      <c r="AQ1" s="255"/>
      <c r="AR1" s="255"/>
      <c r="AS1" s="256"/>
      <c r="AT1" s="260" t="str">
        <f>変更履歴!AT1</f>
        <v>日付</v>
      </c>
      <c r="AU1" s="261"/>
      <c r="AV1" s="261"/>
      <c r="AW1" s="261"/>
      <c r="AX1" s="261"/>
      <c r="AY1" s="261"/>
      <c r="AZ1" s="261"/>
      <c r="BA1" s="262"/>
      <c r="BB1" s="217" t="str">
        <f>変更履歴!BB1</f>
        <v>更新者</v>
      </c>
      <c r="BC1" s="219"/>
      <c r="BD1" s="219"/>
      <c r="BE1" s="219"/>
      <c r="BF1" s="219"/>
      <c r="BG1" s="219"/>
      <c r="BH1" s="219"/>
      <c r="BI1" s="220"/>
    </row>
    <row r="2" spans="1:61" s="1" customFormat="1" ht="15" customHeight="1">
      <c r="A2" s="248"/>
      <c r="B2" s="249"/>
      <c r="C2" s="249"/>
      <c r="D2" s="249"/>
      <c r="E2" s="250"/>
      <c r="F2" s="221" t="str">
        <f>変更履歴!F2</f>
        <v>Dynamics365 for Finance and Operations</v>
      </c>
      <c r="G2" s="222"/>
      <c r="H2" s="222"/>
      <c r="I2" s="222"/>
      <c r="J2" s="222"/>
      <c r="K2" s="222"/>
      <c r="L2" s="222"/>
      <c r="M2" s="222"/>
      <c r="N2" s="222"/>
      <c r="O2" s="222"/>
      <c r="P2" s="223"/>
      <c r="Q2" s="221" t="str">
        <f>変更履歴!Q2</f>
        <v>債権・債務</v>
      </c>
      <c r="R2" s="222"/>
      <c r="S2" s="222"/>
      <c r="T2" s="222"/>
      <c r="U2" s="222"/>
      <c r="V2" s="223"/>
      <c r="W2" s="227" t="str">
        <f>変更履歴!W2</f>
        <v>FO-006</v>
      </c>
      <c r="X2" s="228"/>
      <c r="Y2" s="228"/>
      <c r="Z2" s="228"/>
      <c r="AA2" s="228"/>
      <c r="AB2" s="228"/>
      <c r="AC2" s="228"/>
      <c r="AD2" s="229"/>
      <c r="AE2" s="221" t="str">
        <f>変更履歴!AE2</f>
        <v>支払方法・支払サイトマスタ画面</v>
      </c>
      <c r="AF2" s="222"/>
      <c r="AG2" s="222"/>
      <c r="AH2" s="222"/>
      <c r="AI2" s="222"/>
      <c r="AJ2" s="222"/>
      <c r="AK2" s="222"/>
      <c r="AL2" s="222"/>
      <c r="AM2" s="222"/>
      <c r="AN2" s="222"/>
      <c r="AO2" s="222"/>
      <c r="AP2" s="222"/>
      <c r="AQ2" s="222"/>
      <c r="AR2" s="222"/>
      <c r="AS2" s="223"/>
      <c r="AT2" s="233" t="str">
        <f>変更履歴!AT2</f>
        <v>作成</v>
      </c>
      <c r="AU2" s="234"/>
      <c r="AV2" s="235">
        <f>変更履歴!AV2</f>
        <v>45448</v>
      </c>
      <c r="AW2" s="235"/>
      <c r="AX2" s="235"/>
      <c r="AY2" s="235"/>
      <c r="AZ2" s="235"/>
      <c r="BA2" s="236"/>
      <c r="BB2" s="237" t="str">
        <f>変更履歴!BB2</f>
        <v>JBS井田</v>
      </c>
      <c r="BC2" s="239"/>
      <c r="BD2" s="239"/>
      <c r="BE2" s="239"/>
      <c r="BF2" s="239"/>
      <c r="BG2" s="239"/>
      <c r="BH2" s="239"/>
      <c r="BI2" s="240"/>
    </row>
    <row r="3" spans="1:61" s="1" customFormat="1" ht="15" customHeight="1" thickBot="1">
      <c r="A3" s="251"/>
      <c r="B3" s="252"/>
      <c r="C3" s="252"/>
      <c r="D3" s="252"/>
      <c r="E3" s="253"/>
      <c r="F3" s="224"/>
      <c r="G3" s="225"/>
      <c r="H3" s="225"/>
      <c r="I3" s="225"/>
      <c r="J3" s="225"/>
      <c r="K3" s="225"/>
      <c r="L3" s="225"/>
      <c r="M3" s="225"/>
      <c r="N3" s="225"/>
      <c r="O3" s="225"/>
      <c r="P3" s="226"/>
      <c r="Q3" s="224"/>
      <c r="R3" s="225"/>
      <c r="S3" s="225"/>
      <c r="T3" s="225"/>
      <c r="U3" s="225"/>
      <c r="V3" s="226"/>
      <c r="W3" s="230"/>
      <c r="X3" s="231"/>
      <c r="Y3" s="231"/>
      <c r="Z3" s="231"/>
      <c r="AA3" s="231"/>
      <c r="AB3" s="231"/>
      <c r="AC3" s="231"/>
      <c r="AD3" s="232"/>
      <c r="AE3" s="224"/>
      <c r="AF3" s="225"/>
      <c r="AG3" s="225"/>
      <c r="AH3" s="225"/>
      <c r="AI3" s="225"/>
      <c r="AJ3" s="225"/>
      <c r="AK3" s="225"/>
      <c r="AL3" s="225"/>
      <c r="AM3" s="225"/>
      <c r="AN3" s="225"/>
      <c r="AO3" s="225"/>
      <c r="AP3" s="225"/>
      <c r="AQ3" s="225"/>
      <c r="AR3" s="225"/>
      <c r="AS3" s="226"/>
      <c r="AT3" s="241" t="str">
        <f>変更履歴!AT3</f>
        <v>更新</v>
      </c>
      <c r="AU3" s="242"/>
      <c r="AV3" s="290">
        <f ca="1">変更履歴!AV3</f>
        <v>45589</v>
      </c>
      <c r="AW3" s="291"/>
      <c r="AX3" s="291"/>
      <c r="AY3" s="291"/>
      <c r="AZ3" s="291"/>
      <c r="BA3" s="292"/>
      <c r="BB3" s="294" t="str">
        <f ca="1">変更履歴!BB3</f>
        <v>JBS井田</v>
      </c>
      <c r="BC3" s="295"/>
      <c r="BD3" s="295"/>
      <c r="BE3" s="295"/>
      <c r="BF3" s="295"/>
      <c r="BG3" s="295"/>
      <c r="BH3" s="295"/>
      <c r="BI3" s="296"/>
    </row>
    <row r="4" spans="1:61" s="1" customFormat="1" ht="15" customHeight="1" thickBot="1">
      <c r="A4" s="293"/>
      <c r="B4" s="293"/>
      <c r="C4" s="293"/>
      <c r="D4" s="293"/>
      <c r="E4" s="293"/>
      <c r="F4" s="293"/>
      <c r="G4" s="293"/>
      <c r="H4" s="293"/>
      <c r="W4" s="47"/>
      <c r="X4" s="47"/>
    </row>
    <row r="5" spans="1:61" s="1" customFormat="1" ht="15" customHeight="1" thickBot="1">
      <c r="A5" s="317" t="s">
        <v>88</v>
      </c>
      <c r="B5" s="326"/>
      <c r="C5" s="326"/>
      <c r="D5" s="326"/>
      <c r="E5" s="326"/>
      <c r="F5" s="326"/>
      <c r="G5" s="326"/>
      <c r="H5" s="317" t="s">
        <v>89</v>
      </c>
      <c r="I5" s="326"/>
      <c r="J5" s="326"/>
      <c r="K5" s="326"/>
      <c r="L5" s="326"/>
      <c r="M5" s="326"/>
      <c r="N5" s="326"/>
      <c r="O5" s="326"/>
      <c r="P5" s="318"/>
      <c r="Q5" s="326" t="s">
        <v>90</v>
      </c>
      <c r="R5" s="326"/>
      <c r="S5" s="326"/>
      <c r="T5" s="326"/>
      <c r="U5" s="317" t="s">
        <v>91</v>
      </c>
      <c r="V5" s="318"/>
      <c r="W5" s="326" t="s">
        <v>92</v>
      </c>
      <c r="X5" s="318"/>
      <c r="Y5" s="317" t="s">
        <v>93</v>
      </c>
      <c r="Z5" s="326"/>
      <c r="AA5" s="326"/>
      <c r="AB5" s="326"/>
      <c r="AC5" s="326"/>
      <c r="AD5" s="326"/>
      <c r="AE5" s="326"/>
      <c r="AF5" s="326"/>
      <c r="AG5" s="326"/>
      <c r="AH5" s="326"/>
      <c r="AI5" s="326"/>
      <c r="AJ5" s="326"/>
      <c r="AK5" s="326"/>
      <c r="AL5" s="326"/>
      <c r="AM5" s="326"/>
      <c r="AN5" s="326"/>
      <c r="AO5" s="326"/>
      <c r="AP5" s="326"/>
      <c r="AQ5" s="326"/>
      <c r="AR5" s="326"/>
      <c r="AS5" s="326"/>
      <c r="AT5" s="326"/>
      <c r="AU5" s="326"/>
      <c r="AV5" s="326"/>
      <c r="AW5" s="326"/>
      <c r="AX5" s="326"/>
      <c r="AY5" s="326"/>
      <c r="AZ5" s="326"/>
      <c r="BA5" s="318"/>
      <c r="BB5" s="326" t="s">
        <v>57</v>
      </c>
      <c r="BC5" s="326"/>
      <c r="BD5" s="326"/>
      <c r="BE5" s="326"/>
      <c r="BF5" s="326"/>
      <c r="BG5" s="326"/>
      <c r="BH5" s="326"/>
      <c r="BI5" s="318"/>
    </row>
    <row r="6" spans="1:61" s="1" customFormat="1" ht="15" customHeight="1">
      <c r="A6" s="15" t="s">
        <v>94</v>
      </c>
      <c r="Q6" s="64" t="s">
        <v>94</v>
      </c>
      <c r="R6" s="3"/>
      <c r="S6" s="3"/>
      <c r="T6" s="4"/>
      <c r="U6" s="381" t="s">
        <v>95</v>
      </c>
      <c r="V6" s="382"/>
      <c r="W6" s="385" t="s">
        <v>95</v>
      </c>
      <c r="X6" s="386"/>
      <c r="Y6" s="133" t="s">
        <v>96</v>
      </c>
      <c r="BB6" s="64"/>
      <c r="BC6" s="3"/>
      <c r="BD6" s="3"/>
      <c r="BE6" s="3"/>
      <c r="BF6" s="3"/>
      <c r="BG6" s="3"/>
      <c r="BH6" s="3"/>
      <c r="BI6" s="4"/>
    </row>
    <row r="7" spans="1:61" s="1" customFormat="1" ht="15" customHeight="1">
      <c r="A7" s="15"/>
      <c r="Q7" s="15"/>
      <c r="T7" s="24"/>
      <c r="U7" s="381"/>
      <c r="V7" s="382"/>
      <c r="W7" s="381"/>
      <c r="X7" s="382"/>
      <c r="Y7" s="133" t="s">
        <v>97</v>
      </c>
      <c r="BB7" s="15"/>
      <c r="BI7" s="24"/>
    </row>
    <row r="8" spans="1:61" s="1" customFormat="1" ht="15" customHeight="1" thickBot="1">
      <c r="A8" s="17"/>
      <c r="B8" s="25"/>
      <c r="C8" s="25"/>
      <c r="D8" s="25"/>
      <c r="E8" s="25"/>
      <c r="F8" s="25"/>
      <c r="G8" s="25"/>
      <c r="H8" s="25"/>
      <c r="I8" s="25"/>
      <c r="J8" s="25"/>
      <c r="K8" s="25"/>
      <c r="L8" s="25"/>
      <c r="M8" s="25"/>
      <c r="N8" s="25"/>
      <c r="O8" s="25"/>
      <c r="P8" s="25"/>
      <c r="Q8" s="17"/>
      <c r="R8" s="25"/>
      <c r="S8" s="25"/>
      <c r="T8" s="26"/>
      <c r="U8" s="383"/>
      <c r="V8" s="384"/>
      <c r="W8" s="383"/>
      <c r="X8" s="384"/>
      <c r="Y8" s="25"/>
      <c r="Z8" s="25"/>
      <c r="AA8" s="25"/>
      <c r="AB8" s="25"/>
      <c r="AC8" s="25"/>
      <c r="AD8" s="25"/>
      <c r="AE8" s="25"/>
      <c r="AF8" s="25"/>
      <c r="AG8" s="25"/>
      <c r="AH8" s="25"/>
      <c r="AI8" s="25"/>
      <c r="AJ8" s="25"/>
      <c r="AK8" s="25"/>
      <c r="AL8" s="25"/>
      <c r="AM8" s="25"/>
      <c r="AN8" s="25"/>
      <c r="AO8" s="25"/>
      <c r="AP8" s="25"/>
      <c r="AQ8" s="25"/>
      <c r="AR8" s="25"/>
      <c r="AS8" s="25"/>
      <c r="AT8" s="25"/>
      <c r="AU8" s="25"/>
      <c r="AV8" s="25"/>
      <c r="AW8" s="25"/>
      <c r="AX8" s="25"/>
      <c r="AY8" s="25"/>
      <c r="AZ8" s="25"/>
      <c r="BA8" s="26"/>
      <c r="BB8" s="17"/>
      <c r="BC8" s="25"/>
      <c r="BD8" s="25"/>
      <c r="BE8" s="25"/>
      <c r="BF8" s="25"/>
      <c r="BG8" s="25"/>
      <c r="BH8" s="25"/>
      <c r="BI8" s="26"/>
    </row>
    <row r="9" spans="1:61" ht="15" customHeight="1">
      <c r="A9" s="66" t="s">
        <v>98</v>
      </c>
      <c r="B9" s="67"/>
      <c r="C9" s="67"/>
      <c r="D9" s="67"/>
      <c r="E9" s="67"/>
      <c r="F9" s="67"/>
      <c r="G9" s="67"/>
      <c r="H9" s="67"/>
      <c r="I9" s="67"/>
      <c r="J9" s="67"/>
      <c r="K9" s="67"/>
      <c r="L9" s="67"/>
      <c r="M9" s="67"/>
      <c r="N9" s="67"/>
      <c r="O9" s="67"/>
      <c r="P9" s="67"/>
      <c r="Q9" s="67"/>
      <c r="R9" s="67"/>
      <c r="S9" s="67"/>
      <c r="T9" s="67"/>
      <c r="U9" s="370"/>
      <c r="V9" s="370"/>
      <c r="W9" s="67"/>
      <c r="X9" s="67"/>
      <c r="Y9" s="67"/>
      <c r="Z9" s="67"/>
      <c r="AA9" s="67"/>
      <c r="AB9" s="67"/>
      <c r="AC9" s="67"/>
      <c r="AD9" s="67"/>
      <c r="AE9" s="67"/>
      <c r="AF9" s="67"/>
      <c r="AG9" s="67"/>
      <c r="AH9" s="67"/>
      <c r="AI9" s="67"/>
      <c r="AJ9" s="67"/>
      <c r="AK9" s="67"/>
      <c r="AL9" s="67"/>
      <c r="AM9" s="67"/>
      <c r="AN9" s="67"/>
      <c r="AO9" s="67"/>
      <c r="AP9" s="67"/>
      <c r="AQ9" s="67"/>
      <c r="AR9" s="67"/>
      <c r="AS9" s="67"/>
      <c r="AT9" s="67"/>
      <c r="AU9" s="67"/>
      <c r="AV9" s="67"/>
      <c r="AW9" s="67"/>
      <c r="AX9" s="67"/>
      <c r="AY9" s="67"/>
      <c r="AZ9" s="67"/>
      <c r="BA9" s="67"/>
      <c r="BB9" s="67"/>
      <c r="BC9" s="67"/>
      <c r="BD9" s="67"/>
      <c r="BE9" s="67"/>
      <c r="BF9" s="67"/>
      <c r="BG9" s="67"/>
      <c r="BH9" s="67"/>
      <c r="BI9" s="68"/>
    </row>
    <row r="10" spans="1:61" ht="15" customHeight="1">
      <c r="A10" s="66"/>
      <c r="B10" s="67"/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  <c r="T10" s="67"/>
      <c r="U10" s="370"/>
      <c r="V10" s="370"/>
      <c r="W10" s="370"/>
      <c r="X10" s="370"/>
      <c r="Y10" s="67"/>
      <c r="Z10" s="67"/>
      <c r="AA10" s="67"/>
      <c r="AB10" s="67"/>
      <c r="AC10" s="67"/>
      <c r="AD10" s="67"/>
      <c r="AE10" s="67"/>
      <c r="AF10" s="67"/>
      <c r="AG10" s="67"/>
      <c r="AH10" s="67"/>
      <c r="AI10" s="67"/>
      <c r="AJ10" s="67"/>
      <c r="AK10" s="67"/>
      <c r="AL10" s="67"/>
      <c r="AM10" s="67"/>
      <c r="AN10" s="67"/>
      <c r="AO10" s="67"/>
      <c r="AP10" s="67"/>
      <c r="AQ10" s="67"/>
      <c r="AR10" s="67"/>
      <c r="AS10" s="67"/>
      <c r="AT10" s="67"/>
      <c r="AU10" s="67"/>
      <c r="AV10" s="67"/>
      <c r="AW10" s="67"/>
      <c r="AX10" s="67"/>
      <c r="AY10" s="67"/>
      <c r="AZ10" s="67"/>
      <c r="BA10" s="67"/>
      <c r="BB10" s="67"/>
      <c r="BC10" s="67"/>
      <c r="BD10" s="67"/>
      <c r="BE10" s="67"/>
      <c r="BF10" s="67"/>
      <c r="BG10" s="67"/>
      <c r="BH10" s="67"/>
      <c r="BI10" s="68"/>
    </row>
    <row r="11" spans="1:61" ht="15" customHeight="1" thickBot="1">
      <c r="A11" s="66"/>
      <c r="B11" s="67"/>
      <c r="C11" s="67"/>
      <c r="D11" s="67"/>
      <c r="E11" s="67"/>
      <c r="F11" s="67"/>
      <c r="G11" s="67"/>
      <c r="H11" s="67"/>
      <c r="I11" s="67"/>
      <c r="J11" s="67"/>
      <c r="K11" s="67"/>
      <c r="L11" s="67"/>
      <c r="M11" s="67"/>
      <c r="N11" s="67"/>
      <c r="O11" s="67"/>
      <c r="P11" s="67"/>
      <c r="Q11" s="67"/>
      <c r="R11" s="67"/>
      <c r="S11" s="67"/>
      <c r="T11" s="67"/>
      <c r="U11" s="371"/>
      <c r="V11" s="371"/>
      <c r="W11" s="371"/>
      <c r="X11" s="371"/>
      <c r="Y11" s="67"/>
      <c r="Z11" s="67"/>
      <c r="AA11" s="67"/>
      <c r="AB11" s="67"/>
      <c r="AC11" s="67"/>
      <c r="AD11" s="67"/>
      <c r="AE11" s="67"/>
      <c r="AF11" s="67"/>
      <c r="AG11" s="67"/>
      <c r="AH11" s="67"/>
      <c r="AI11" s="67"/>
      <c r="AJ11" s="67"/>
      <c r="AK11" s="67"/>
      <c r="AL11" s="67"/>
      <c r="AM11" s="67"/>
      <c r="AN11" s="67"/>
      <c r="AO11" s="67"/>
      <c r="AP11" s="67"/>
      <c r="AQ11" s="67"/>
      <c r="AR11" s="67"/>
      <c r="AS11" s="67"/>
      <c r="AT11" s="67"/>
      <c r="AU11" s="67"/>
      <c r="AV11" s="67"/>
      <c r="AW11" s="67"/>
      <c r="AX11" s="67"/>
      <c r="AY11" s="67"/>
      <c r="AZ11" s="67"/>
      <c r="BA11" s="67"/>
      <c r="BB11" s="67"/>
      <c r="BC11" s="67"/>
      <c r="BD11" s="67"/>
      <c r="BE11" s="67"/>
      <c r="BF11" s="67"/>
      <c r="BG11" s="67"/>
      <c r="BH11" s="67"/>
      <c r="BI11" s="68"/>
    </row>
    <row r="12" spans="1:61" ht="15" customHeight="1">
      <c r="A12" s="66"/>
      <c r="B12" s="67"/>
      <c r="C12" s="67"/>
      <c r="D12" s="67"/>
      <c r="E12" s="67"/>
      <c r="F12" s="67"/>
      <c r="G12" s="67"/>
      <c r="H12" s="34" t="s">
        <v>99</v>
      </c>
      <c r="I12" s="65"/>
      <c r="J12" s="65"/>
      <c r="K12" s="65"/>
      <c r="L12" s="65"/>
      <c r="M12" s="65"/>
      <c r="N12" s="65"/>
      <c r="O12" s="65"/>
      <c r="P12" s="65"/>
      <c r="Q12" s="34" t="s">
        <v>100</v>
      </c>
      <c r="R12" s="65"/>
      <c r="S12" s="65"/>
      <c r="T12" s="32"/>
      <c r="U12" s="376" t="s">
        <v>95</v>
      </c>
      <c r="V12" s="377"/>
      <c r="W12" s="374" t="s">
        <v>95</v>
      </c>
      <c r="X12" s="375"/>
      <c r="Y12" s="65" t="s">
        <v>101</v>
      </c>
      <c r="Z12" s="65"/>
      <c r="AA12" s="65"/>
      <c r="AB12" s="65"/>
      <c r="AC12" s="65"/>
      <c r="AD12" s="65"/>
      <c r="AE12" s="65"/>
      <c r="AF12" s="65"/>
      <c r="AG12" s="65"/>
      <c r="AH12" s="65"/>
      <c r="AI12" s="65"/>
      <c r="AJ12" s="65"/>
      <c r="AK12" s="65"/>
      <c r="AL12" s="65"/>
      <c r="AM12" s="65"/>
      <c r="AN12" s="65"/>
      <c r="AO12" s="65"/>
      <c r="AP12" s="65"/>
      <c r="AQ12" s="65"/>
      <c r="AR12" s="65"/>
      <c r="AS12" s="65"/>
      <c r="AT12" s="65"/>
      <c r="AU12" s="65"/>
      <c r="AV12" s="65"/>
      <c r="AW12" s="65"/>
      <c r="AX12" s="65"/>
      <c r="AY12" s="65"/>
      <c r="AZ12" s="65"/>
      <c r="BA12" s="65"/>
      <c r="BB12" s="34"/>
      <c r="BC12" s="65"/>
      <c r="BD12" s="65"/>
      <c r="BE12" s="65"/>
      <c r="BF12" s="65"/>
      <c r="BG12" s="65"/>
      <c r="BH12" s="65"/>
      <c r="BI12" s="32"/>
    </row>
    <row r="13" spans="1:61" ht="15" customHeight="1">
      <c r="A13" s="66"/>
      <c r="B13" s="67"/>
      <c r="C13" s="67"/>
      <c r="D13" s="67"/>
      <c r="E13" s="67"/>
      <c r="F13" s="67"/>
      <c r="G13" s="67"/>
      <c r="H13" s="35"/>
      <c r="Q13" s="35"/>
      <c r="T13" s="33"/>
      <c r="U13" s="138"/>
      <c r="V13" s="139"/>
      <c r="W13" s="138"/>
      <c r="X13" s="139"/>
      <c r="BB13" s="35"/>
      <c r="BI13" s="33"/>
    </row>
    <row r="14" spans="1:61" ht="15" customHeight="1" thickBot="1">
      <c r="A14" s="66"/>
      <c r="B14" s="67"/>
      <c r="C14" s="67"/>
      <c r="D14" s="67"/>
      <c r="E14" s="67"/>
      <c r="F14" s="67"/>
      <c r="G14" s="67"/>
      <c r="H14" s="48"/>
      <c r="I14" s="49"/>
      <c r="J14" s="49"/>
      <c r="K14" s="49"/>
      <c r="L14" s="49"/>
      <c r="M14" s="49"/>
      <c r="N14" s="49"/>
      <c r="O14" s="49"/>
      <c r="P14" s="49"/>
      <c r="Q14" s="48"/>
      <c r="R14" s="49"/>
      <c r="S14" s="49"/>
      <c r="T14" s="50"/>
      <c r="U14" s="372"/>
      <c r="V14" s="373"/>
      <c r="W14" s="372"/>
      <c r="X14" s="373"/>
      <c r="Y14" s="49"/>
      <c r="Z14" s="49"/>
      <c r="AA14" s="49"/>
      <c r="AB14" s="49"/>
      <c r="AC14" s="49"/>
      <c r="AD14" s="49"/>
      <c r="AE14" s="49"/>
      <c r="AF14" s="49"/>
      <c r="AG14" s="49"/>
      <c r="AH14" s="49"/>
      <c r="AI14" s="49"/>
      <c r="AJ14" s="49"/>
      <c r="AK14" s="49"/>
      <c r="AL14" s="49"/>
      <c r="AM14" s="49"/>
      <c r="AN14" s="49"/>
      <c r="AO14" s="49"/>
      <c r="AP14" s="49"/>
      <c r="AQ14" s="49"/>
      <c r="AR14" s="49"/>
      <c r="AS14" s="49"/>
      <c r="AT14" s="49"/>
      <c r="AU14" s="49"/>
      <c r="AV14" s="49"/>
      <c r="AW14" s="49"/>
      <c r="AX14" s="49"/>
      <c r="AY14" s="49"/>
      <c r="AZ14" s="49"/>
      <c r="BA14" s="49"/>
      <c r="BB14" s="48"/>
      <c r="BC14" s="49"/>
      <c r="BD14" s="49"/>
      <c r="BE14" s="49"/>
      <c r="BF14" s="49"/>
      <c r="BG14" s="49"/>
      <c r="BH14" s="49"/>
      <c r="BI14" s="50"/>
    </row>
    <row r="15" spans="1:61" ht="15" customHeight="1">
      <c r="A15" s="66"/>
      <c r="B15" s="67"/>
      <c r="C15" s="67"/>
      <c r="D15" s="67"/>
      <c r="E15" s="67"/>
      <c r="F15" s="67"/>
      <c r="G15" s="67"/>
      <c r="H15" s="35" t="s">
        <v>102</v>
      </c>
      <c r="Q15" s="34" t="s">
        <v>100</v>
      </c>
      <c r="T15" s="33"/>
      <c r="U15" s="376" t="s">
        <v>95</v>
      </c>
      <c r="V15" s="377"/>
      <c r="W15" s="374" t="s">
        <v>95</v>
      </c>
      <c r="X15" s="375"/>
      <c r="Y15" s="65" t="s">
        <v>103</v>
      </c>
      <c r="BB15" s="34"/>
      <c r="BI15" s="33"/>
    </row>
    <row r="16" spans="1:61" ht="15" customHeight="1" thickBot="1">
      <c r="A16" s="66"/>
      <c r="B16" s="67"/>
      <c r="C16" s="67"/>
      <c r="D16" s="67"/>
      <c r="E16" s="67"/>
      <c r="F16" s="67"/>
      <c r="G16" s="67"/>
      <c r="H16" s="48"/>
      <c r="I16" s="49"/>
      <c r="J16" s="49"/>
      <c r="K16" s="49"/>
      <c r="L16" s="49"/>
      <c r="M16" s="49"/>
      <c r="N16" s="49"/>
      <c r="O16" s="49"/>
      <c r="P16" s="49"/>
      <c r="Q16" s="48"/>
      <c r="R16" s="49"/>
      <c r="S16" s="49"/>
      <c r="T16" s="50"/>
      <c r="U16" s="372"/>
      <c r="V16" s="373"/>
      <c r="W16" s="372"/>
      <c r="X16" s="373"/>
      <c r="Y16" s="49"/>
      <c r="Z16" s="49"/>
      <c r="AA16" s="49"/>
      <c r="AB16" s="49"/>
      <c r="AC16" s="49"/>
      <c r="AD16" s="49"/>
      <c r="AE16" s="49"/>
      <c r="AF16" s="49"/>
      <c r="AG16" s="49"/>
      <c r="AH16" s="49"/>
      <c r="AI16" s="49"/>
      <c r="AJ16" s="49"/>
      <c r="AK16" s="49"/>
      <c r="AL16" s="49"/>
      <c r="AM16" s="49"/>
      <c r="AN16" s="49"/>
      <c r="AO16" s="49"/>
      <c r="AP16" s="49"/>
      <c r="AQ16" s="49"/>
      <c r="AR16" s="49"/>
      <c r="AS16" s="49"/>
      <c r="AT16" s="49"/>
      <c r="AU16" s="49"/>
      <c r="AV16" s="49"/>
      <c r="AW16" s="49"/>
      <c r="AX16" s="49"/>
      <c r="AY16" s="49"/>
      <c r="AZ16" s="49"/>
      <c r="BA16" s="49"/>
      <c r="BB16" s="35"/>
      <c r="BI16" s="33"/>
    </row>
    <row r="17" spans="1:61" ht="15" customHeight="1">
      <c r="A17" s="66"/>
      <c r="B17" s="67"/>
      <c r="C17" s="67"/>
      <c r="D17" s="67"/>
      <c r="E17" s="67"/>
      <c r="F17" s="67"/>
      <c r="G17" s="67"/>
      <c r="H17" s="35" t="s">
        <v>104</v>
      </c>
      <c r="Q17" s="34" t="s">
        <v>100</v>
      </c>
      <c r="T17" s="33"/>
      <c r="U17" s="376" t="s">
        <v>95</v>
      </c>
      <c r="V17" s="377"/>
      <c r="W17" s="374" t="s">
        <v>95</v>
      </c>
      <c r="X17" s="375"/>
      <c r="Y17" s="65" t="s">
        <v>105</v>
      </c>
      <c r="BB17" s="34"/>
      <c r="BC17" s="65"/>
      <c r="BD17" s="65"/>
      <c r="BE17" s="65"/>
      <c r="BF17" s="65"/>
      <c r="BG17" s="65"/>
      <c r="BH17" s="65"/>
      <c r="BI17" s="32"/>
    </row>
    <row r="18" spans="1:61" ht="15" customHeight="1" thickBot="1">
      <c r="A18" s="71"/>
      <c r="B18" s="72"/>
      <c r="C18" s="72"/>
      <c r="D18" s="72"/>
      <c r="E18" s="72"/>
      <c r="F18" s="72"/>
      <c r="G18" s="72"/>
      <c r="H18" s="48"/>
      <c r="I18" s="49"/>
      <c r="J18" s="49"/>
      <c r="K18" s="49"/>
      <c r="L18" s="49"/>
      <c r="M18" s="49"/>
      <c r="N18" s="49"/>
      <c r="O18" s="49"/>
      <c r="P18" s="49"/>
      <c r="Q18" s="48"/>
      <c r="R18" s="49"/>
      <c r="S18" s="49"/>
      <c r="T18" s="50"/>
      <c r="U18" s="372"/>
      <c r="V18" s="373"/>
      <c r="W18" s="372"/>
      <c r="X18" s="373"/>
      <c r="Y18" s="49"/>
      <c r="Z18" s="49"/>
      <c r="AA18" s="49"/>
      <c r="AB18" s="49"/>
      <c r="AC18" s="49"/>
      <c r="AD18" s="49"/>
      <c r="AE18" s="49"/>
      <c r="AF18" s="49"/>
      <c r="AG18" s="49"/>
      <c r="AH18" s="49"/>
      <c r="AI18" s="49"/>
      <c r="AJ18" s="49"/>
      <c r="AK18" s="49"/>
      <c r="AL18" s="49"/>
      <c r="AM18" s="49"/>
      <c r="AN18" s="49"/>
      <c r="AO18" s="49"/>
      <c r="AP18" s="49"/>
      <c r="AQ18" s="49"/>
      <c r="AR18" s="49"/>
      <c r="AS18" s="49"/>
      <c r="AT18" s="49"/>
      <c r="AU18" s="49"/>
      <c r="AV18" s="49"/>
      <c r="AW18" s="49"/>
      <c r="AX18" s="49"/>
      <c r="AY18" s="49"/>
      <c r="AZ18" s="49"/>
      <c r="BA18" s="49"/>
      <c r="BB18" s="48"/>
      <c r="BC18" s="49"/>
      <c r="BD18" s="49"/>
      <c r="BE18" s="49"/>
      <c r="BF18" s="49"/>
      <c r="BG18" s="49"/>
      <c r="BH18" s="49"/>
      <c r="BI18" s="50"/>
    </row>
    <row r="19" spans="1:61" ht="15" customHeight="1">
      <c r="A19" s="135" t="s">
        <v>106</v>
      </c>
      <c r="B19" s="136"/>
      <c r="C19" s="136"/>
      <c r="D19" s="67"/>
      <c r="E19" s="67"/>
      <c r="F19" s="67"/>
      <c r="G19" s="136"/>
      <c r="H19" s="136"/>
      <c r="I19" s="136"/>
      <c r="J19" s="136"/>
      <c r="K19" s="136"/>
      <c r="L19" s="136"/>
      <c r="M19" s="136"/>
      <c r="N19" s="136"/>
      <c r="O19" s="136"/>
      <c r="P19" s="136"/>
      <c r="Q19" s="136"/>
      <c r="R19" s="136"/>
      <c r="S19" s="136"/>
      <c r="T19" s="136"/>
      <c r="U19" s="378"/>
      <c r="V19" s="378"/>
      <c r="W19" s="136"/>
      <c r="X19" s="136"/>
      <c r="Y19" s="136"/>
      <c r="Z19" s="136"/>
      <c r="AA19" s="136"/>
      <c r="AB19" s="136"/>
      <c r="AC19" s="136"/>
      <c r="AD19" s="136"/>
      <c r="AE19" s="136"/>
      <c r="AF19" s="136"/>
      <c r="AG19" s="136"/>
      <c r="AH19" s="136"/>
      <c r="AI19" s="136"/>
      <c r="AJ19" s="136"/>
      <c r="AK19" s="136"/>
      <c r="AL19" s="136"/>
      <c r="AM19" s="136"/>
      <c r="AN19" s="136"/>
      <c r="AO19" s="136"/>
      <c r="AP19" s="136"/>
      <c r="AQ19" s="136"/>
      <c r="AR19" s="136"/>
      <c r="AS19" s="136"/>
      <c r="AT19" s="136"/>
      <c r="AU19" s="136"/>
      <c r="AV19" s="136"/>
      <c r="AW19" s="136"/>
      <c r="AX19" s="136"/>
      <c r="AY19" s="136"/>
      <c r="AZ19" s="136"/>
      <c r="BA19" s="136"/>
      <c r="BB19" s="136"/>
      <c r="BC19" s="136"/>
      <c r="BD19" s="136"/>
      <c r="BE19" s="136"/>
      <c r="BF19" s="136"/>
      <c r="BG19" s="136"/>
      <c r="BH19" s="136"/>
      <c r="BI19" s="137"/>
    </row>
    <row r="20" spans="1:61" ht="15" customHeight="1">
      <c r="A20" s="66"/>
      <c r="B20" s="67"/>
      <c r="C20" s="67"/>
      <c r="D20" s="67"/>
      <c r="E20" s="67"/>
      <c r="F20" s="67"/>
      <c r="G20" s="67"/>
      <c r="H20" s="67"/>
      <c r="I20" s="67"/>
      <c r="J20" s="67"/>
      <c r="K20" s="67"/>
      <c r="L20" s="67"/>
      <c r="M20" s="67"/>
      <c r="N20" s="67"/>
      <c r="O20" s="67"/>
      <c r="P20" s="67"/>
      <c r="Q20" s="67"/>
      <c r="R20" s="67"/>
      <c r="S20" s="67"/>
      <c r="T20" s="67"/>
      <c r="U20" s="132"/>
      <c r="V20" s="132"/>
      <c r="W20" s="67"/>
      <c r="X20" s="67"/>
      <c r="Y20" s="67"/>
      <c r="Z20" s="67"/>
      <c r="AA20" s="67"/>
      <c r="AB20" s="67"/>
      <c r="AC20" s="67"/>
      <c r="AD20" s="67"/>
      <c r="AE20" s="67"/>
      <c r="AF20" s="67"/>
      <c r="AG20" s="67"/>
      <c r="AH20" s="67"/>
      <c r="AI20" s="67"/>
      <c r="AJ20" s="67"/>
      <c r="AK20" s="67"/>
      <c r="AL20" s="67"/>
      <c r="AM20" s="67"/>
      <c r="AN20" s="67"/>
      <c r="AO20" s="67"/>
      <c r="AP20" s="67"/>
      <c r="AQ20" s="67"/>
      <c r="AR20" s="67"/>
      <c r="AS20" s="67"/>
      <c r="AT20" s="67"/>
      <c r="AU20" s="67"/>
      <c r="AV20" s="67"/>
      <c r="AW20" s="67"/>
      <c r="AX20" s="67"/>
      <c r="AY20" s="67"/>
      <c r="AZ20" s="67"/>
      <c r="BA20" s="67"/>
      <c r="BB20" s="67"/>
      <c r="BC20" s="67"/>
      <c r="BD20" s="67"/>
      <c r="BE20" s="67"/>
      <c r="BF20" s="67"/>
      <c r="BG20" s="67"/>
      <c r="BH20" s="67"/>
      <c r="BI20" s="68"/>
    </row>
    <row r="21" spans="1:61" ht="15" customHeight="1">
      <c r="A21" s="66"/>
      <c r="B21" s="67"/>
      <c r="C21" s="67"/>
      <c r="D21" s="67"/>
      <c r="E21" s="67"/>
      <c r="F21" s="67"/>
      <c r="G21" s="67"/>
      <c r="H21" s="67"/>
      <c r="I21" s="67"/>
      <c r="J21" s="67"/>
      <c r="K21" s="67"/>
      <c r="L21" s="67"/>
      <c r="M21" s="67"/>
      <c r="N21" s="67"/>
      <c r="O21" s="67"/>
      <c r="P21" s="67"/>
      <c r="Q21" s="67"/>
      <c r="R21" s="67"/>
      <c r="S21" s="67"/>
      <c r="T21" s="67"/>
      <c r="U21" s="132"/>
      <c r="V21" s="132"/>
      <c r="W21" s="67"/>
      <c r="X21" s="67"/>
      <c r="Y21" s="67"/>
      <c r="Z21" s="67"/>
      <c r="AA21" s="67"/>
      <c r="AB21" s="67"/>
      <c r="AC21" s="67"/>
      <c r="AD21" s="67"/>
      <c r="AE21" s="67"/>
      <c r="AF21" s="67"/>
      <c r="AG21" s="67"/>
      <c r="AH21" s="67"/>
      <c r="AI21" s="67"/>
      <c r="AJ21" s="67"/>
      <c r="AK21" s="67"/>
      <c r="AL21" s="67"/>
      <c r="AM21" s="67"/>
      <c r="AN21" s="67"/>
      <c r="AO21" s="67"/>
      <c r="AP21" s="67"/>
      <c r="AQ21" s="67"/>
      <c r="AR21" s="67"/>
      <c r="AS21" s="67"/>
      <c r="AT21" s="67"/>
      <c r="AU21" s="67"/>
      <c r="AV21" s="67"/>
      <c r="AW21" s="67"/>
      <c r="AX21" s="67"/>
      <c r="AY21" s="67"/>
      <c r="AZ21" s="67"/>
      <c r="BA21" s="67"/>
      <c r="BB21" s="67"/>
      <c r="BC21" s="67"/>
      <c r="BD21" s="67"/>
      <c r="BE21" s="67"/>
      <c r="BF21" s="67"/>
      <c r="BG21" s="67"/>
      <c r="BH21" s="67"/>
      <c r="BI21" s="68"/>
    </row>
    <row r="22" spans="1:61" ht="15" customHeight="1" thickBot="1">
      <c r="A22" s="66"/>
      <c r="B22" s="67"/>
      <c r="C22" s="67"/>
      <c r="D22" s="67"/>
      <c r="E22" s="67"/>
      <c r="F22" s="67"/>
      <c r="G22" s="67"/>
      <c r="H22" s="72"/>
      <c r="I22" s="72"/>
      <c r="J22" s="72"/>
      <c r="K22" s="72"/>
      <c r="L22" s="72"/>
      <c r="M22" s="72"/>
      <c r="N22" s="72"/>
      <c r="O22" s="72"/>
      <c r="P22" s="72"/>
      <c r="Q22" s="72"/>
      <c r="R22" s="72"/>
      <c r="S22" s="72"/>
      <c r="T22" s="72"/>
      <c r="U22" s="371"/>
      <c r="V22" s="371"/>
      <c r="W22" s="371"/>
      <c r="X22" s="371"/>
      <c r="Y22" s="72"/>
      <c r="Z22" s="72"/>
      <c r="AA22" s="72"/>
      <c r="AB22" s="72"/>
      <c r="AC22" s="72"/>
      <c r="AD22" s="72"/>
      <c r="AE22" s="72"/>
      <c r="AF22" s="72"/>
      <c r="AG22" s="72"/>
      <c r="AH22" s="72"/>
      <c r="AI22" s="72"/>
      <c r="AJ22" s="72"/>
      <c r="AK22" s="72"/>
      <c r="AL22" s="72"/>
      <c r="AM22" s="72"/>
      <c r="AN22" s="72"/>
      <c r="AO22" s="72"/>
      <c r="AP22" s="72"/>
      <c r="AQ22" s="72"/>
      <c r="AR22" s="72"/>
      <c r="AS22" s="72"/>
      <c r="AT22" s="72"/>
      <c r="AU22" s="72"/>
      <c r="AV22" s="72"/>
      <c r="AW22" s="72"/>
      <c r="AX22" s="72"/>
      <c r="AY22" s="72"/>
      <c r="AZ22" s="72"/>
      <c r="BA22" s="72"/>
      <c r="BB22" s="72"/>
      <c r="BC22" s="72"/>
      <c r="BD22" s="72"/>
      <c r="BE22" s="72"/>
      <c r="BF22" s="72"/>
      <c r="BG22" s="72"/>
      <c r="BH22" s="72"/>
      <c r="BI22" s="140"/>
    </row>
    <row r="23" spans="1:61" ht="15" customHeight="1">
      <c r="A23" s="66"/>
      <c r="B23" s="67"/>
      <c r="C23" s="67"/>
      <c r="D23" s="67"/>
      <c r="E23" s="67"/>
      <c r="F23" s="67"/>
      <c r="G23" s="67"/>
      <c r="H23" s="34" t="s">
        <v>107</v>
      </c>
      <c r="I23" s="65"/>
      <c r="J23" s="65"/>
      <c r="K23" s="65"/>
      <c r="L23" s="65"/>
      <c r="M23" s="65"/>
      <c r="N23" s="65"/>
      <c r="O23" s="65"/>
      <c r="P23" s="65"/>
      <c r="Q23" s="34" t="s">
        <v>108</v>
      </c>
      <c r="R23" s="65"/>
      <c r="S23" s="65"/>
      <c r="T23" s="32"/>
      <c r="U23" s="379" t="s">
        <v>109</v>
      </c>
      <c r="V23" s="380"/>
      <c r="W23" s="379" t="s">
        <v>95</v>
      </c>
      <c r="X23" s="380"/>
      <c r="Y23" s="65"/>
      <c r="Z23" s="65"/>
      <c r="AA23" s="65"/>
      <c r="AB23" s="65"/>
      <c r="AC23" s="65"/>
      <c r="AD23" s="65"/>
      <c r="AE23" s="65"/>
      <c r="AF23" s="65"/>
      <c r="AG23" s="65"/>
      <c r="AH23" s="65"/>
      <c r="AI23" s="65"/>
      <c r="AJ23" s="65"/>
      <c r="AK23" s="65"/>
      <c r="AL23" s="65"/>
      <c r="AM23" s="65"/>
      <c r="AN23" s="65"/>
      <c r="AO23" s="65"/>
      <c r="AP23" s="65"/>
      <c r="AQ23" s="65"/>
      <c r="AR23" s="65"/>
      <c r="AS23" s="65"/>
      <c r="AT23" s="65"/>
      <c r="AU23" s="65"/>
      <c r="AV23" s="65"/>
      <c r="AW23" s="65"/>
      <c r="AX23" s="65"/>
      <c r="AY23" s="65"/>
      <c r="AZ23" s="65"/>
      <c r="BA23" s="65"/>
      <c r="BB23" s="34"/>
      <c r="BC23" s="65"/>
      <c r="BD23" s="65"/>
      <c r="BE23" s="65"/>
      <c r="BF23" s="65"/>
      <c r="BG23" s="65"/>
      <c r="BH23" s="65"/>
      <c r="BI23" s="32"/>
    </row>
    <row r="24" spans="1:61" ht="15" customHeight="1">
      <c r="A24" s="66"/>
      <c r="B24" s="67"/>
      <c r="C24" s="67"/>
      <c r="D24" s="67"/>
      <c r="E24" s="67"/>
      <c r="F24" s="67"/>
      <c r="G24" s="67"/>
      <c r="H24" s="35"/>
      <c r="Q24" s="35"/>
      <c r="T24" s="33"/>
      <c r="U24" s="368"/>
      <c r="V24" s="369"/>
      <c r="W24" s="368"/>
      <c r="X24" s="369"/>
      <c r="BB24" s="35"/>
      <c r="BI24" s="33"/>
    </row>
    <row r="25" spans="1:61" ht="15" customHeight="1" thickBot="1">
      <c r="A25" s="71"/>
      <c r="B25" s="72"/>
      <c r="C25" s="72"/>
      <c r="D25" s="72"/>
      <c r="E25" s="72"/>
      <c r="F25" s="72"/>
      <c r="G25" s="72"/>
      <c r="H25" s="48"/>
      <c r="I25" s="49"/>
      <c r="J25" s="49"/>
      <c r="K25" s="49"/>
      <c r="L25" s="49"/>
      <c r="M25" s="49"/>
      <c r="N25" s="49"/>
      <c r="O25" s="49"/>
      <c r="P25" s="49"/>
      <c r="Q25" s="48"/>
      <c r="R25" s="49"/>
      <c r="S25" s="49"/>
      <c r="T25" s="50"/>
      <c r="U25" s="372"/>
      <c r="V25" s="373"/>
      <c r="W25" s="372"/>
      <c r="X25" s="373"/>
      <c r="Y25" s="49"/>
      <c r="Z25" s="49"/>
      <c r="AA25" s="49"/>
      <c r="AB25" s="49"/>
      <c r="AC25" s="49"/>
      <c r="AD25" s="49"/>
      <c r="AE25" s="49"/>
      <c r="AF25" s="49"/>
      <c r="AG25" s="49"/>
      <c r="AH25" s="49"/>
      <c r="AI25" s="49"/>
      <c r="AJ25" s="49"/>
      <c r="AK25" s="49"/>
      <c r="AL25" s="49"/>
      <c r="AM25" s="49"/>
      <c r="AN25" s="49"/>
      <c r="AO25" s="49"/>
      <c r="AP25" s="49"/>
      <c r="AQ25" s="49"/>
      <c r="AR25" s="49"/>
      <c r="AS25" s="49"/>
      <c r="AT25" s="49"/>
      <c r="AU25" s="49"/>
      <c r="AV25" s="49"/>
      <c r="AW25" s="49"/>
      <c r="AX25" s="49"/>
      <c r="AY25" s="49"/>
      <c r="AZ25" s="49"/>
      <c r="BA25" s="49"/>
      <c r="BB25" s="48"/>
      <c r="BC25" s="49"/>
      <c r="BD25" s="49"/>
      <c r="BE25" s="49"/>
      <c r="BF25" s="49"/>
      <c r="BG25" s="49"/>
      <c r="BH25" s="49"/>
      <c r="BI25" s="50"/>
    </row>
    <row r="26" spans="1:61" ht="15" customHeight="1">
      <c r="A26" s="66" t="s">
        <v>110</v>
      </c>
      <c r="B26" s="67"/>
      <c r="C26" s="67"/>
      <c r="D26" s="67"/>
      <c r="E26" s="67"/>
      <c r="F26" s="67"/>
      <c r="G26" s="67"/>
      <c r="H26" s="67"/>
      <c r="I26" s="67"/>
      <c r="J26" s="67"/>
      <c r="K26" s="67"/>
      <c r="L26" s="67"/>
      <c r="M26" s="67"/>
      <c r="N26" s="67"/>
      <c r="O26" s="67"/>
      <c r="P26" s="67"/>
      <c r="Q26" s="67"/>
      <c r="R26" s="67"/>
      <c r="S26" s="67"/>
      <c r="T26" s="67"/>
      <c r="U26" s="370"/>
      <c r="V26" s="370"/>
      <c r="W26" s="67"/>
      <c r="X26" s="67"/>
      <c r="Y26" s="67"/>
      <c r="Z26" s="67"/>
      <c r="AA26" s="67"/>
      <c r="AB26" s="67"/>
      <c r="AC26" s="67"/>
      <c r="AD26" s="67"/>
      <c r="AE26" s="67"/>
      <c r="AF26" s="67"/>
      <c r="AG26" s="67"/>
      <c r="AH26" s="67"/>
      <c r="AI26" s="67"/>
      <c r="AJ26" s="67"/>
      <c r="AK26" s="67"/>
      <c r="AL26" s="67"/>
      <c r="AM26" s="67"/>
      <c r="AN26" s="67"/>
      <c r="AO26" s="67"/>
      <c r="AP26" s="67"/>
      <c r="AQ26" s="67"/>
      <c r="AR26" s="67"/>
      <c r="AS26" s="67"/>
      <c r="AT26" s="67"/>
      <c r="AU26" s="67"/>
      <c r="AV26" s="67"/>
      <c r="AW26" s="67"/>
      <c r="AX26" s="67"/>
      <c r="AY26" s="67"/>
      <c r="AZ26" s="67"/>
      <c r="BA26" s="67"/>
      <c r="BB26" s="67"/>
      <c r="BC26" s="67"/>
      <c r="BD26" s="67"/>
      <c r="BE26" s="67"/>
      <c r="BF26" s="67"/>
      <c r="BG26" s="67"/>
      <c r="BH26" s="67"/>
      <c r="BI26" s="68"/>
    </row>
    <row r="27" spans="1:61" ht="15" customHeight="1">
      <c r="A27" s="66"/>
      <c r="B27" s="67"/>
      <c r="C27" s="67"/>
      <c r="D27" s="67"/>
      <c r="E27" s="67"/>
      <c r="F27" s="67"/>
      <c r="G27" s="67"/>
      <c r="H27" s="67"/>
      <c r="I27" s="67"/>
      <c r="J27" s="67"/>
      <c r="K27" s="67"/>
      <c r="L27" s="67"/>
      <c r="M27" s="67"/>
      <c r="N27" s="67"/>
      <c r="O27" s="67"/>
      <c r="P27" s="67"/>
      <c r="Q27" s="67"/>
      <c r="R27" s="67"/>
      <c r="S27" s="67"/>
      <c r="T27" s="67"/>
      <c r="U27" s="370"/>
      <c r="V27" s="370"/>
      <c r="W27" s="370"/>
      <c r="X27" s="370"/>
      <c r="Y27" s="67"/>
      <c r="Z27" s="67"/>
      <c r="AA27" s="67"/>
      <c r="AB27" s="67"/>
      <c r="AC27" s="67"/>
      <c r="AD27" s="67"/>
      <c r="AE27" s="67"/>
      <c r="AF27" s="67"/>
      <c r="AG27" s="67"/>
      <c r="AH27" s="67"/>
      <c r="AI27" s="67"/>
      <c r="AJ27" s="67"/>
      <c r="AK27" s="67"/>
      <c r="AL27" s="67"/>
      <c r="AM27" s="67"/>
      <c r="AN27" s="67"/>
      <c r="AO27" s="67"/>
      <c r="AP27" s="67"/>
      <c r="AQ27" s="67"/>
      <c r="AR27" s="67"/>
      <c r="AS27" s="67"/>
      <c r="AT27" s="67"/>
      <c r="AU27" s="67"/>
      <c r="AV27" s="67"/>
      <c r="AW27" s="67"/>
      <c r="AX27" s="67"/>
      <c r="AY27" s="67"/>
      <c r="AZ27" s="67"/>
      <c r="BA27" s="67"/>
      <c r="BB27" s="67"/>
      <c r="BC27" s="67"/>
      <c r="BD27" s="67"/>
      <c r="BE27" s="67"/>
      <c r="BF27" s="67"/>
      <c r="BG27" s="67"/>
      <c r="BH27" s="67"/>
      <c r="BI27" s="68"/>
    </row>
    <row r="28" spans="1:61" ht="15" customHeight="1">
      <c r="A28" s="66"/>
      <c r="B28" s="67"/>
      <c r="C28" s="67"/>
      <c r="D28" s="67"/>
      <c r="E28" s="67"/>
      <c r="F28" s="67"/>
      <c r="G28" s="67"/>
      <c r="H28" s="67"/>
      <c r="I28" s="67"/>
      <c r="J28" s="67"/>
      <c r="K28" s="67"/>
      <c r="L28" s="67"/>
      <c r="M28" s="67"/>
      <c r="N28" s="67"/>
      <c r="O28" s="67"/>
      <c r="P28" s="67"/>
      <c r="Q28" s="67"/>
      <c r="R28" s="67"/>
      <c r="S28" s="67"/>
      <c r="T28" s="67"/>
      <c r="U28" s="132"/>
      <c r="V28" s="132"/>
      <c r="W28" s="132"/>
      <c r="X28" s="132"/>
      <c r="Y28" s="67"/>
      <c r="Z28" s="67"/>
      <c r="AA28" s="67"/>
      <c r="AB28" s="67"/>
      <c r="AC28" s="67"/>
      <c r="AD28" s="67"/>
      <c r="AE28" s="67"/>
      <c r="AF28" s="67"/>
      <c r="AG28" s="67"/>
      <c r="AH28" s="67"/>
      <c r="AI28" s="67"/>
      <c r="AJ28" s="67"/>
      <c r="AK28" s="67"/>
      <c r="AL28" s="67"/>
      <c r="AM28" s="67"/>
      <c r="AN28" s="67"/>
      <c r="AO28" s="67"/>
      <c r="AP28" s="67"/>
      <c r="AQ28" s="67"/>
      <c r="AR28" s="67"/>
      <c r="AS28" s="67"/>
      <c r="AT28" s="67"/>
      <c r="AU28" s="67"/>
      <c r="AV28" s="67"/>
      <c r="AW28" s="67"/>
      <c r="AX28" s="67"/>
      <c r="AY28" s="67"/>
      <c r="AZ28" s="67"/>
      <c r="BA28" s="67"/>
      <c r="BB28" s="67"/>
      <c r="BC28" s="67"/>
      <c r="BD28" s="67"/>
      <c r="BE28" s="67"/>
      <c r="BF28" s="67"/>
      <c r="BG28" s="67"/>
      <c r="BH28" s="67"/>
      <c r="BI28" s="68"/>
    </row>
    <row r="29" spans="1:61" ht="15" customHeight="1" thickBot="1">
      <c r="A29" s="66"/>
      <c r="B29" s="67"/>
      <c r="C29" s="67"/>
      <c r="D29" s="67"/>
      <c r="E29" s="67"/>
      <c r="F29" s="67"/>
      <c r="G29" s="67"/>
      <c r="H29" s="67"/>
      <c r="I29" s="67"/>
      <c r="J29" s="67"/>
      <c r="K29" s="67"/>
      <c r="L29" s="67"/>
      <c r="M29" s="67"/>
      <c r="N29" s="67"/>
      <c r="O29" s="67"/>
      <c r="P29" s="67"/>
      <c r="Q29" s="67"/>
      <c r="R29" s="67"/>
      <c r="S29" s="67"/>
      <c r="T29" s="67"/>
      <c r="U29" s="371"/>
      <c r="V29" s="371"/>
      <c r="W29" s="371"/>
      <c r="X29" s="371"/>
      <c r="Y29" s="72"/>
      <c r="Z29" s="72"/>
      <c r="AA29" s="72"/>
      <c r="AB29" s="72"/>
      <c r="AC29" s="72"/>
      <c r="AD29" s="72"/>
      <c r="AE29" s="72"/>
      <c r="AF29" s="72"/>
      <c r="AG29" s="72"/>
      <c r="AH29" s="72"/>
      <c r="AI29" s="67"/>
      <c r="AJ29" s="67"/>
      <c r="AK29" s="67"/>
      <c r="AL29" s="67"/>
      <c r="AM29" s="67"/>
      <c r="AN29" s="67"/>
      <c r="AO29" s="67"/>
      <c r="AP29" s="67"/>
      <c r="AQ29" s="67"/>
      <c r="AR29" s="67"/>
      <c r="AS29" s="67"/>
      <c r="AT29" s="67"/>
      <c r="AU29" s="67"/>
      <c r="AV29" s="67"/>
      <c r="AW29" s="67"/>
      <c r="AX29" s="67"/>
      <c r="AY29" s="67"/>
      <c r="AZ29" s="67"/>
      <c r="BA29" s="67"/>
      <c r="BB29" s="67"/>
      <c r="BC29" s="67"/>
      <c r="BD29" s="67"/>
      <c r="BE29" s="67"/>
      <c r="BF29" s="67"/>
      <c r="BG29" s="67"/>
      <c r="BH29" s="67"/>
      <c r="BI29" s="68"/>
    </row>
    <row r="30" spans="1:61" ht="15" customHeight="1">
      <c r="A30" s="66"/>
      <c r="B30" s="67"/>
      <c r="C30" s="67"/>
      <c r="D30" s="67"/>
      <c r="E30" s="67"/>
      <c r="F30" s="67"/>
      <c r="G30" s="67"/>
      <c r="H30" s="34" t="s">
        <v>111</v>
      </c>
      <c r="I30" s="65"/>
      <c r="J30" s="65"/>
      <c r="K30" s="65"/>
      <c r="L30" s="65"/>
      <c r="M30" s="65"/>
      <c r="N30" s="65"/>
      <c r="O30" s="65"/>
      <c r="P30" s="65"/>
      <c r="Q30" s="34" t="s">
        <v>112</v>
      </c>
      <c r="R30" s="65"/>
      <c r="S30" s="65"/>
      <c r="T30" s="32"/>
      <c r="U30" s="368" t="s">
        <v>113</v>
      </c>
      <c r="V30" s="369"/>
      <c r="W30" s="368" t="s">
        <v>113</v>
      </c>
      <c r="X30" s="369"/>
      <c r="Y30" s="134" t="s">
        <v>114</v>
      </c>
      <c r="Z30" s="134"/>
      <c r="AA30" s="134"/>
      <c r="AB30" s="134"/>
      <c r="AC30" s="134"/>
      <c r="AD30" s="134"/>
      <c r="AE30" s="134"/>
      <c r="AF30" s="134"/>
      <c r="AG30" s="134"/>
      <c r="AI30" s="65"/>
      <c r="AJ30" s="65"/>
      <c r="AK30" s="65"/>
      <c r="AL30" s="65"/>
      <c r="AM30" s="65"/>
      <c r="AN30" s="65"/>
      <c r="AO30" s="65"/>
      <c r="AP30" s="65"/>
      <c r="AQ30" s="65"/>
      <c r="AR30" s="65"/>
      <c r="AS30" s="65"/>
      <c r="AT30" s="65"/>
      <c r="AU30" s="65"/>
      <c r="AV30" s="65"/>
      <c r="AW30" s="65"/>
      <c r="AX30" s="65"/>
      <c r="AY30" s="65"/>
      <c r="AZ30" s="65"/>
      <c r="BA30" s="65"/>
      <c r="BB30" s="34"/>
      <c r="BC30" s="65"/>
      <c r="BD30" s="65"/>
      <c r="BE30" s="65"/>
      <c r="BF30" s="65"/>
      <c r="BG30" s="65"/>
      <c r="BH30" s="65"/>
      <c r="BI30" s="32"/>
    </row>
    <row r="31" spans="1:61" ht="15" customHeight="1">
      <c r="A31" s="66"/>
      <c r="B31" s="67"/>
      <c r="C31" s="67"/>
      <c r="D31" s="67"/>
      <c r="E31" s="67"/>
      <c r="F31" s="67"/>
      <c r="G31" s="67"/>
      <c r="H31" s="35"/>
      <c r="Q31" s="35"/>
      <c r="T31" s="33"/>
      <c r="U31" s="368"/>
      <c r="V31" s="369"/>
      <c r="W31" s="368"/>
      <c r="X31" s="369"/>
      <c r="Y31" s="134" t="s">
        <v>115</v>
      </c>
      <c r="BB31" s="35"/>
      <c r="BI31" s="33"/>
    </row>
    <row r="32" spans="1:61" ht="15" customHeight="1">
      <c r="A32" s="66"/>
      <c r="B32" s="67"/>
      <c r="C32" s="67"/>
      <c r="D32" s="67"/>
      <c r="E32" s="67"/>
      <c r="F32" s="67"/>
      <c r="G32" s="67"/>
      <c r="H32" s="35"/>
      <c r="Q32" s="35"/>
      <c r="T32" s="33"/>
      <c r="U32" s="69"/>
      <c r="V32" s="70"/>
      <c r="W32" s="69"/>
      <c r="X32" s="70"/>
      <c r="Y32" s="147"/>
      <c r="Z32" s="148"/>
      <c r="AA32" s="148"/>
      <c r="AB32" s="148"/>
      <c r="AC32" s="148"/>
      <c r="AD32" s="148"/>
      <c r="AE32" s="148"/>
      <c r="AF32" s="148"/>
      <c r="AG32" s="148"/>
      <c r="AH32" s="148"/>
      <c r="AI32" s="148"/>
      <c r="AJ32" s="148"/>
      <c r="AK32" s="148"/>
      <c r="AL32" s="148"/>
      <c r="AM32" s="148"/>
      <c r="AN32" s="148"/>
      <c r="BB32" s="35"/>
      <c r="BI32" s="33"/>
    </row>
    <row r="33" spans="1:63" ht="15" customHeight="1">
      <c r="A33" s="66"/>
      <c r="B33" s="67"/>
      <c r="C33" s="67"/>
      <c r="D33" s="67"/>
      <c r="E33" s="67"/>
      <c r="F33" s="67"/>
      <c r="G33" s="67"/>
      <c r="H33" s="35"/>
      <c r="Q33" s="35"/>
      <c r="T33" s="33"/>
      <c r="U33" s="69"/>
      <c r="V33" s="70"/>
      <c r="W33" s="69"/>
      <c r="X33" s="70"/>
      <c r="Y33" s="147"/>
      <c r="Z33" s="148"/>
      <c r="AA33" s="148"/>
      <c r="AB33" s="148"/>
      <c r="AC33" s="148"/>
      <c r="AD33" s="148"/>
      <c r="AE33" s="148"/>
      <c r="AF33" s="148"/>
      <c r="AG33" s="148"/>
      <c r="AH33" s="148"/>
      <c r="AI33" s="148"/>
      <c r="AJ33" s="148"/>
      <c r="AK33" s="148"/>
      <c r="AL33" s="148"/>
      <c r="AM33" s="148"/>
      <c r="AN33" s="148"/>
      <c r="BB33" s="35"/>
      <c r="BI33" s="33"/>
    </row>
    <row r="34" spans="1:63" ht="15" customHeight="1">
      <c r="A34" s="66"/>
      <c r="B34" s="67"/>
      <c r="C34" s="67"/>
      <c r="D34" s="67"/>
      <c r="E34" s="67"/>
      <c r="F34" s="67"/>
      <c r="G34" s="67"/>
      <c r="H34" s="35"/>
      <c r="Q34" s="35"/>
      <c r="T34" s="33"/>
      <c r="U34" s="368"/>
      <c r="V34" s="369"/>
      <c r="W34" s="368"/>
      <c r="X34" s="369"/>
      <c r="Y34" s="147" t="s">
        <v>116</v>
      </c>
      <c r="Z34" s="148"/>
      <c r="AA34" s="148"/>
      <c r="AB34" s="148"/>
      <c r="AC34" s="148"/>
      <c r="AD34" s="148"/>
      <c r="AE34" s="148"/>
      <c r="AF34" s="148"/>
      <c r="AG34" s="148"/>
      <c r="AH34" s="148"/>
      <c r="AI34" s="148"/>
      <c r="AJ34" s="148"/>
      <c r="AK34" s="148"/>
      <c r="AL34" s="148"/>
      <c r="AM34" s="148"/>
      <c r="AN34" s="148"/>
      <c r="BB34" s="35"/>
      <c r="BI34" s="33"/>
    </row>
    <row r="35" spans="1:63" ht="15" customHeight="1">
      <c r="A35" s="66"/>
      <c r="B35" s="67"/>
      <c r="C35" s="67"/>
      <c r="D35" s="67"/>
      <c r="E35" s="67"/>
      <c r="F35" s="67"/>
      <c r="G35" s="67"/>
      <c r="H35" s="35"/>
      <c r="Q35" s="35"/>
      <c r="T35" s="33"/>
      <c r="U35" s="368"/>
      <c r="V35" s="369"/>
      <c r="W35" s="368"/>
      <c r="X35" s="369"/>
      <c r="Y35" s="148" t="s">
        <v>117</v>
      </c>
      <c r="Z35" s="148"/>
      <c r="AA35" s="147"/>
      <c r="AB35" s="147" t="s">
        <v>118</v>
      </c>
      <c r="AC35" s="147"/>
      <c r="AD35" s="147"/>
      <c r="AE35" s="147"/>
      <c r="AF35" s="147"/>
      <c r="AG35" s="147"/>
      <c r="AH35" s="148"/>
      <c r="AI35" s="148"/>
      <c r="AJ35" s="148"/>
      <c r="AK35" s="148"/>
      <c r="AL35" s="148"/>
      <c r="AM35" s="148"/>
      <c r="AN35" s="148"/>
      <c r="BB35" s="35"/>
      <c r="BI35" s="33"/>
    </row>
    <row r="36" spans="1:63" ht="15" customHeight="1">
      <c r="A36" s="66"/>
      <c r="B36" s="67"/>
      <c r="C36" s="67"/>
      <c r="D36" s="67"/>
      <c r="E36" s="67"/>
      <c r="F36" s="67"/>
      <c r="G36" s="67"/>
      <c r="H36" s="35"/>
      <c r="Q36" s="35"/>
      <c r="T36" s="33"/>
      <c r="U36" s="368"/>
      <c r="V36" s="369"/>
      <c r="W36" s="368"/>
      <c r="X36" s="369"/>
      <c r="Y36" s="148" t="s">
        <v>119</v>
      </c>
      <c r="Z36" s="148"/>
      <c r="AA36" s="148"/>
      <c r="AB36" s="148" t="s">
        <v>120</v>
      </c>
      <c r="AC36" s="148"/>
      <c r="AD36" s="148"/>
      <c r="AE36" s="148"/>
      <c r="AF36" s="148"/>
      <c r="AG36" s="148"/>
      <c r="AH36" s="148"/>
      <c r="AI36" s="148"/>
      <c r="AJ36" s="148"/>
      <c r="AK36" s="148"/>
      <c r="AL36" s="148"/>
      <c r="AM36" s="148"/>
      <c r="AN36" s="148"/>
      <c r="BB36" s="35"/>
      <c r="BI36" s="33"/>
    </row>
    <row r="37" spans="1:63" ht="15" customHeight="1">
      <c r="A37" s="66"/>
      <c r="B37" s="67"/>
      <c r="C37" s="67"/>
      <c r="D37" s="67"/>
      <c r="E37" s="67"/>
      <c r="F37" s="67"/>
      <c r="G37" s="67"/>
      <c r="H37" s="35"/>
      <c r="Q37" s="35"/>
      <c r="T37" s="33"/>
      <c r="U37" s="69"/>
      <c r="V37" s="70"/>
      <c r="W37" s="69"/>
      <c r="X37" s="70"/>
      <c r="Y37" s="148"/>
      <c r="Z37" s="148"/>
      <c r="AA37" s="148"/>
      <c r="AB37" s="148" t="s">
        <v>121</v>
      </c>
      <c r="AC37" s="148"/>
      <c r="AD37" s="148"/>
      <c r="AE37" s="148"/>
      <c r="AF37" s="148"/>
      <c r="AG37" s="148"/>
      <c r="AH37" s="148"/>
      <c r="AI37" s="148"/>
      <c r="AJ37" s="148"/>
      <c r="AK37" s="148"/>
      <c r="AL37" s="148"/>
      <c r="AM37" s="148"/>
      <c r="AN37" s="148"/>
      <c r="BB37" s="35"/>
      <c r="BI37" s="33"/>
    </row>
    <row r="38" spans="1:63" ht="15" customHeight="1" thickBot="1">
      <c r="A38" s="66"/>
      <c r="B38" s="67"/>
      <c r="C38" s="67"/>
      <c r="D38" s="67"/>
      <c r="E38" s="67"/>
      <c r="F38" s="67"/>
      <c r="G38" s="67"/>
      <c r="H38" s="48"/>
      <c r="I38" s="49"/>
      <c r="J38" s="49"/>
      <c r="K38" s="49"/>
      <c r="L38" s="49"/>
      <c r="M38" s="49"/>
      <c r="N38" s="49"/>
      <c r="O38" s="49"/>
      <c r="P38" s="49"/>
      <c r="Q38" s="48"/>
      <c r="R38" s="49"/>
      <c r="S38" s="49"/>
      <c r="T38" s="50"/>
      <c r="U38" s="372"/>
      <c r="V38" s="373"/>
      <c r="W38" s="372"/>
      <c r="X38" s="373"/>
      <c r="Y38" s="149"/>
      <c r="Z38" s="149"/>
      <c r="AA38" s="149"/>
      <c r="AB38" s="149"/>
      <c r="AC38" s="149"/>
      <c r="AD38" s="149"/>
      <c r="AE38" s="149"/>
      <c r="AF38" s="149"/>
      <c r="AG38" s="149"/>
      <c r="AH38" s="149"/>
      <c r="AI38" s="149"/>
      <c r="AJ38" s="149"/>
      <c r="AK38" s="149"/>
      <c r="AL38" s="149"/>
      <c r="AM38" s="149"/>
      <c r="AN38" s="149"/>
      <c r="AO38" s="49"/>
      <c r="AP38" s="49"/>
      <c r="AQ38" s="49"/>
      <c r="AR38" s="49"/>
      <c r="AS38" s="49"/>
      <c r="AT38" s="49"/>
      <c r="AU38" s="49"/>
      <c r="AV38" s="49"/>
      <c r="AW38" s="49"/>
      <c r="AX38" s="49"/>
      <c r="AY38" s="49"/>
      <c r="AZ38" s="49"/>
      <c r="BA38" s="49"/>
      <c r="BB38" s="48"/>
      <c r="BC38" s="49"/>
      <c r="BD38" s="49"/>
      <c r="BE38" s="49"/>
      <c r="BF38" s="49"/>
      <c r="BG38" s="49"/>
      <c r="BH38" s="49"/>
      <c r="BI38" s="50"/>
    </row>
    <row r="39" spans="1:63" ht="15" customHeight="1">
      <c r="A39" s="66"/>
      <c r="B39" s="67"/>
      <c r="C39" s="67"/>
      <c r="D39" s="67"/>
      <c r="E39" s="67"/>
      <c r="F39" s="67"/>
      <c r="G39" s="67"/>
      <c r="H39" s="35" t="s">
        <v>122</v>
      </c>
      <c r="Q39" s="35" t="s">
        <v>123</v>
      </c>
      <c r="T39" s="33"/>
      <c r="U39" s="368" t="s">
        <v>113</v>
      </c>
      <c r="V39" s="369"/>
      <c r="W39" s="368" t="s">
        <v>95</v>
      </c>
      <c r="X39" s="369"/>
      <c r="Y39" s="147" t="s">
        <v>114</v>
      </c>
      <c r="Z39" s="147"/>
      <c r="AA39" s="147"/>
      <c r="AB39" s="147"/>
      <c r="AC39" s="147"/>
      <c r="AD39" s="147"/>
      <c r="AE39" s="147"/>
      <c r="AF39" s="147"/>
      <c r="AG39" s="147"/>
      <c r="AH39" s="148"/>
      <c r="AI39" s="148"/>
      <c r="AJ39" s="148"/>
      <c r="AK39" s="148"/>
      <c r="AL39" s="148"/>
      <c r="AM39" s="148"/>
      <c r="AN39" s="148"/>
      <c r="BB39" s="35"/>
      <c r="BI39" s="33"/>
    </row>
    <row r="40" spans="1:63" ht="15" customHeight="1">
      <c r="A40" s="66"/>
      <c r="B40" s="67"/>
      <c r="C40" s="67"/>
      <c r="D40" s="67"/>
      <c r="E40" s="67"/>
      <c r="F40" s="67"/>
      <c r="G40" s="67"/>
      <c r="H40" s="35"/>
      <c r="Q40" s="35"/>
      <c r="T40" s="33"/>
      <c r="U40" s="368"/>
      <c r="V40" s="369"/>
      <c r="W40" s="368"/>
      <c r="X40" s="369"/>
      <c r="Y40" s="147" t="s">
        <v>124</v>
      </c>
      <c r="Z40" s="147"/>
      <c r="AA40" s="147"/>
      <c r="AB40" s="147"/>
      <c r="AC40" s="147"/>
      <c r="AD40" s="147"/>
      <c r="AE40" s="147"/>
      <c r="AF40" s="147"/>
      <c r="AG40" s="147"/>
      <c r="AH40" s="148"/>
      <c r="AI40" s="148"/>
      <c r="AJ40" s="148"/>
      <c r="AK40" s="148"/>
      <c r="AL40" s="148"/>
      <c r="AM40" s="148"/>
      <c r="AN40" s="148"/>
      <c r="BB40" s="35"/>
      <c r="BI40" s="33"/>
    </row>
    <row r="41" spans="1:63" ht="15" customHeight="1">
      <c r="A41" s="66"/>
      <c r="B41" s="67"/>
      <c r="C41" s="67"/>
      <c r="D41" s="67"/>
      <c r="E41" s="67"/>
      <c r="F41" s="67"/>
      <c r="G41" s="67"/>
      <c r="H41" s="35"/>
      <c r="Q41" s="35"/>
      <c r="T41" s="33"/>
      <c r="U41" s="69"/>
      <c r="V41" s="70"/>
      <c r="W41" s="69"/>
      <c r="X41" s="70"/>
      <c r="Y41" s="147" t="s">
        <v>125</v>
      </c>
      <c r="Z41" s="147"/>
      <c r="AA41" s="147"/>
      <c r="AB41" s="147"/>
      <c r="AC41" s="147"/>
      <c r="AD41" s="147"/>
      <c r="AE41" s="147"/>
      <c r="AF41" s="147"/>
      <c r="AG41" s="147"/>
      <c r="AH41" s="148"/>
      <c r="AI41" s="148"/>
      <c r="AJ41" s="148"/>
      <c r="AK41" s="148"/>
      <c r="AL41" s="148"/>
      <c r="AM41" s="148"/>
      <c r="AN41" s="148"/>
      <c r="BB41" s="35"/>
      <c r="BI41" s="33"/>
    </row>
    <row r="42" spans="1:63" ht="15" customHeight="1">
      <c r="A42" s="66"/>
      <c r="B42" s="67"/>
      <c r="C42" s="67"/>
      <c r="D42" s="67"/>
      <c r="E42" s="67"/>
      <c r="F42" s="67"/>
      <c r="G42" s="67"/>
      <c r="H42" s="35"/>
      <c r="Q42" s="35"/>
      <c r="T42" s="33"/>
      <c r="U42" s="69"/>
      <c r="V42" s="70"/>
      <c r="W42" s="69"/>
      <c r="X42" s="70"/>
      <c r="Y42" s="147" t="s">
        <v>126</v>
      </c>
      <c r="Z42" s="147"/>
      <c r="AA42" s="147"/>
      <c r="AB42" s="147"/>
      <c r="AC42" s="147"/>
      <c r="AD42" s="147"/>
      <c r="AE42" s="147"/>
      <c r="AF42" s="147"/>
      <c r="AG42" s="147"/>
      <c r="AH42" s="148"/>
      <c r="AI42" s="148"/>
      <c r="AJ42" s="148"/>
      <c r="AK42" s="148"/>
      <c r="AL42" s="148"/>
      <c r="AM42" s="148"/>
      <c r="AN42" s="148"/>
      <c r="BB42" s="35"/>
      <c r="BI42" s="33"/>
    </row>
    <row r="43" spans="1:63" ht="15" customHeight="1">
      <c r="A43" s="66"/>
      <c r="B43" s="67"/>
      <c r="C43" s="67"/>
      <c r="D43" s="67"/>
      <c r="E43" s="67"/>
      <c r="F43" s="67"/>
      <c r="G43" s="67"/>
      <c r="H43" s="35"/>
      <c r="Q43" s="35"/>
      <c r="T43" s="33"/>
      <c r="U43" s="69"/>
      <c r="V43" s="70"/>
      <c r="W43" s="69"/>
      <c r="X43" s="70"/>
      <c r="Y43" s="147"/>
      <c r="Z43" s="147"/>
      <c r="AA43" s="147"/>
      <c r="AB43" s="147"/>
      <c r="AC43" s="147"/>
      <c r="AD43" s="147"/>
      <c r="AE43" s="147"/>
      <c r="AF43" s="147"/>
      <c r="AG43" s="147"/>
      <c r="AH43" s="148"/>
      <c r="AI43" s="148"/>
      <c r="AJ43" s="148"/>
      <c r="AK43" s="148"/>
      <c r="AL43" s="148"/>
      <c r="AM43" s="148"/>
      <c r="AN43" s="148"/>
      <c r="BB43" s="35"/>
      <c r="BI43" s="33"/>
    </row>
    <row r="44" spans="1:63" ht="15" customHeight="1" thickBot="1">
      <c r="A44" s="66"/>
      <c r="B44" s="67"/>
      <c r="C44" s="67"/>
      <c r="D44" s="67"/>
      <c r="E44" s="67"/>
      <c r="F44" s="67"/>
      <c r="G44" s="67"/>
      <c r="H44" s="48"/>
      <c r="I44" s="49"/>
      <c r="J44" s="49"/>
      <c r="K44" s="49"/>
      <c r="L44" s="49"/>
      <c r="M44" s="49"/>
      <c r="N44" s="49"/>
      <c r="O44" s="49"/>
      <c r="P44" s="49"/>
      <c r="Q44" s="48"/>
      <c r="R44" s="49"/>
      <c r="S44" s="49"/>
      <c r="T44" s="50"/>
      <c r="U44" s="372"/>
      <c r="V44" s="373"/>
      <c r="W44" s="372"/>
      <c r="X44" s="373"/>
      <c r="Y44" s="149"/>
      <c r="Z44" s="149"/>
      <c r="AA44" s="149"/>
      <c r="AB44" s="149"/>
      <c r="AC44" s="149"/>
      <c r="AD44" s="149"/>
      <c r="AE44" s="149"/>
      <c r="AF44" s="149"/>
      <c r="AG44" s="149"/>
      <c r="AH44" s="149"/>
      <c r="AI44" s="149"/>
      <c r="AJ44" s="149"/>
      <c r="AK44" s="149"/>
      <c r="AL44" s="149"/>
      <c r="AM44" s="149"/>
      <c r="AN44" s="149"/>
      <c r="AO44" s="49"/>
      <c r="AP44" s="49"/>
      <c r="AQ44" s="49"/>
      <c r="AR44" s="49"/>
      <c r="AS44" s="49"/>
      <c r="AT44" s="49"/>
      <c r="AU44" s="49"/>
      <c r="AV44" s="49"/>
      <c r="AW44" s="49"/>
      <c r="AX44" s="49"/>
      <c r="AY44" s="49"/>
      <c r="AZ44" s="49"/>
      <c r="BA44" s="49"/>
      <c r="BB44" s="48"/>
      <c r="BC44" s="49"/>
      <c r="BD44" s="49"/>
      <c r="BE44" s="49"/>
      <c r="BF44" s="49"/>
      <c r="BG44" s="49"/>
      <c r="BH44" s="49"/>
      <c r="BI44" s="50"/>
    </row>
    <row r="45" spans="1:63" ht="15" customHeight="1">
      <c r="A45" s="66"/>
      <c r="B45" s="67"/>
      <c r="C45" s="67"/>
      <c r="D45" s="67"/>
      <c r="E45" s="67"/>
      <c r="F45" s="67"/>
      <c r="G45" s="67"/>
      <c r="H45" s="35" t="s">
        <v>127</v>
      </c>
      <c r="Q45" s="35" t="s">
        <v>112</v>
      </c>
      <c r="T45" s="33"/>
      <c r="U45" s="368" t="s">
        <v>113</v>
      </c>
      <c r="V45" s="369"/>
      <c r="W45" s="368" t="s">
        <v>113</v>
      </c>
      <c r="X45" s="369"/>
      <c r="Y45" s="147" t="s">
        <v>114</v>
      </c>
      <c r="Z45" s="147"/>
      <c r="AA45" s="147"/>
      <c r="AB45" s="147"/>
      <c r="AC45" s="147"/>
      <c r="AD45" s="147"/>
      <c r="AE45" s="147"/>
      <c r="AF45" s="147"/>
      <c r="AG45" s="147"/>
      <c r="AH45" s="148"/>
      <c r="AI45" s="148"/>
      <c r="AJ45" s="148"/>
      <c r="AK45" s="148"/>
      <c r="AL45" s="148"/>
      <c r="AM45" s="148"/>
      <c r="AN45" s="148"/>
      <c r="BB45" s="35"/>
      <c r="BI45" s="33"/>
      <c r="BJ45" s="141"/>
      <c r="BK45" s="134"/>
    </row>
    <row r="46" spans="1:63" ht="15" customHeight="1">
      <c r="A46" s="66"/>
      <c r="B46" s="67"/>
      <c r="C46" s="67"/>
      <c r="D46" s="67"/>
      <c r="E46" s="67"/>
      <c r="F46" s="67"/>
      <c r="G46" s="67"/>
      <c r="H46" s="35"/>
      <c r="Q46" s="35"/>
      <c r="T46" s="33"/>
      <c r="U46" s="368"/>
      <c r="V46" s="369"/>
      <c r="W46" s="368"/>
      <c r="X46" s="369"/>
      <c r="Y46" s="147" t="s">
        <v>128</v>
      </c>
      <c r="Z46" s="148"/>
      <c r="AA46" s="147"/>
      <c r="AB46" s="147"/>
      <c r="AC46" s="147"/>
      <c r="AD46" s="147"/>
      <c r="AE46" s="147"/>
      <c r="AF46" s="147"/>
      <c r="AG46" s="147"/>
      <c r="AH46" s="148"/>
      <c r="AI46" s="148"/>
      <c r="AJ46" s="148"/>
      <c r="AK46" s="148"/>
      <c r="AL46" s="148"/>
      <c r="AM46" s="148"/>
      <c r="AN46" s="148"/>
      <c r="BB46" s="35"/>
      <c r="BI46" s="33"/>
      <c r="BJ46" s="142"/>
      <c r="BK46" s="134"/>
    </row>
    <row r="47" spans="1:63" ht="15" customHeight="1">
      <c r="A47" s="66"/>
      <c r="B47" s="67"/>
      <c r="C47" s="67"/>
      <c r="D47" s="67"/>
      <c r="E47" s="67"/>
      <c r="F47" s="67"/>
      <c r="G47" s="67"/>
      <c r="H47" s="35"/>
      <c r="Q47" s="35"/>
      <c r="T47" s="33"/>
      <c r="U47" s="69"/>
      <c r="V47" s="70"/>
      <c r="W47" s="69"/>
      <c r="X47" s="70"/>
      <c r="Y47" s="150"/>
      <c r="Z47" s="148"/>
      <c r="AA47" s="147"/>
      <c r="AB47" s="147"/>
      <c r="AC47" s="147"/>
      <c r="AD47" s="147"/>
      <c r="AE47" s="147"/>
      <c r="AF47" s="147"/>
      <c r="AG47" s="147"/>
      <c r="AH47" s="148"/>
      <c r="AI47" s="148"/>
      <c r="AJ47" s="148"/>
      <c r="AK47" s="148"/>
      <c r="AL47" s="148"/>
      <c r="AM47" s="148"/>
      <c r="AN47" s="148"/>
      <c r="BB47" s="35"/>
      <c r="BI47" s="33"/>
      <c r="BJ47" s="142"/>
      <c r="BK47" s="134"/>
    </row>
    <row r="48" spans="1:63" ht="15" customHeight="1">
      <c r="A48" s="66"/>
      <c r="B48" s="67"/>
      <c r="C48" s="67"/>
      <c r="D48" s="67"/>
      <c r="E48" s="67"/>
      <c r="F48" s="67"/>
      <c r="G48" s="67"/>
      <c r="H48" s="35"/>
      <c r="Q48" s="35"/>
      <c r="T48" s="33"/>
      <c r="U48" s="69"/>
      <c r="V48" s="70"/>
      <c r="W48" s="69"/>
      <c r="X48" s="70"/>
      <c r="Y48" s="150"/>
      <c r="Z48" s="148"/>
      <c r="AA48" s="147"/>
      <c r="AB48" s="147"/>
      <c r="AC48" s="147"/>
      <c r="AD48" s="147"/>
      <c r="AE48" s="147"/>
      <c r="AF48" s="147"/>
      <c r="AG48" s="147"/>
      <c r="AH48" s="148"/>
      <c r="AI48" s="148"/>
      <c r="AJ48" s="148"/>
      <c r="AK48" s="148"/>
      <c r="AL48" s="148"/>
      <c r="AM48" s="148"/>
      <c r="AN48" s="148"/>
      <c r="BB48" s="35"/>
      <c r="BI48" s="33"/>
      <c r="BJ48" s="142"/>
      <c r="BK48" s="134"/>
    </row>
    <row r="49" spans="1:61" ht="15" customHeight="1">
      <c r="A49" s="66"/>
      <c r="B49" s="67"/>
      <c r="C49" s="67"/>
      <c r="D49" s="67"/>
      <c r="E49" s="67"/>
      <c r="F49" s="67"/>
      <c r="G49" s="67"/>
      <c r="H49" s="35"/>
      <c r="Q49" s="35"/>
      <c r="T49" s="33"/>
      <c r="U49" s="69"/>
      <c r="V49" s="70"/>
      <c r="W49" s="69"/>
      <c r="X49" s="70"/>
      <c r="Y49" s="147" t="s">
        <v>116</v>
      </c>
      <c r="Z49" s="148"/>
      <c r="AA49" s="147"/>
      <c r="AB49" s="147"/>
      <c r="AC49" s="147"/>
      <c r="AD49" s="147"/>
      <c r="AE49" s="147"/>
      <c r="AF49" s="147"/>
      <c r="AG49" s="147"/>
      <c r="AH49" s="148"/>
      <c r="AI49" s="148"/>
      <c r="AJ49" s="148"/>
      <c r="AK49" s="148"/>
      <c r="AL49" s="148"/>
      <c r="AM49" s="148"/>
      <c r="AN49" s="148"/>
      <c r="BB49" s="35"/>
      <c r="BI49" s="33"/>
    </row>
    <row r="50" spans="1:61" ht="15" customHeight="1">
      <c r="A50" s="66"/>
      <c r="B50" s="67"/>
      <c r="C50" s="67"/>
      <c r="D50" s="67"/>
      <c r="E50" s="67"/>
      <c r="F50" s="67"/>
      <c r="G50" s="67"/>
      <c r="H50" s="35"/>
      <c r="Q50" s="35"/>
      <c r="T50" s="33"/>
      <c r="U50" s="69"/>
      <c r="V50" s="70"/>
      <c r="W50" s="69"/>
      <c r="X50" s="70"/>
      <c r="Y50" s="148" t="s">
        <v>117</v>
      </c>
      <c r="Z50" s="148"/>
      <c r="AA50" s="147"/>
      <c r="AB50" s="147" t="s">
        <v>118</v>
      </c>
      <c r="AC50" s="147"/>
      <c r="AD50" s="147"/>
      <c r="AE50" s="147"/>
      <c r="AF50" s="147"/>
      <c r="AG50" s="147"/>
      <c r="AH50" s="148"/>
      <c r="AI50" s="148"/>
      <c r="AJ50" s="148"/>
      <c r="AK50" s="148"/>
      <c r="AL50" s="148"/>
      <c r="AM50" s="148"/>
      <c r="AN50" s="148"/>
      <c r="AO50" s="142"/>
      <c r="AP50" s="142"/>
      <c r="BB50" s="35"/>
      <c r="BI50" s="33"/>
    </row>
    <row r="51" spans="1:61" ht="15" customHeight="1">
      <c r="A51" s="66"/>
      <c r="B51" s="67"/>
      <c r="C51" s="67"/>
      <c r="D51" s="67"/>
      <c r="E51" s="67"/>
      <c r="F51" s="67"/>
      <c r="G51" s="67"/>
      <c r="H51" s="35"/>
      <c r="Q51" s="35"/>
      <c r="T51" s="33"/>
      <c r="U51" s="69"/>
      <c r="V51" s="70"/>
      <c r="W51" s="69"/>
      <c r="X51" s="70"/>
      <c r="Y51" s="148" t="s">
        <v>119</v>
      </c>
      <c r="Z51" s="148"/>
      <c r="AA51" s="148"/>
      <c r="AB51" s="148" t="s">
        <v>120</v>
      </c>
      <c r="AC51" s="148"/>
      <c r="AD51" s="148"/>
      <c r="AE51" s="148"/>
      <c r="AF51" s="148"/>
      <c r="AG51" s="148"/>
      <c r="AH51" s="148"/>
      <c r="AI51" s="148"/>
      <c r="AJ51" s="148"/>
      <c r="AK51" s="148"/>
      <c r="AL51" s="148"/>
      <c r="AM51" s="148"/>
      <c r="AN51" s="148"/>
      <c r="AO51" s="142"/>
      <c r="AP51" s="142"/>
      <c r="BB51" s="35"/>
      <c r="BI51" s="33"/>
    </row>
    <row r="52" spans="1:61" ht="15" customHeight="1">
      <c r="A52" s="66"/>
      <c r="B52" s="67"/>
      <c r="C52" s="67"/>
      <c r="D52" s="67"/>
      <c r="E52" s="67"/>
      <c r="F52" s="67"/>
      <c r="G52" s="67"/>
      <c r="H52" s="35"/>
      <c r="Q52" s="35"/>
      <c r="T52" s="33"/>
      <c r="U52" s="69"/>
      <c r="V52" s="70"/>
      <c r="W52" s="69"/>
      <c r="X52" s="70"/>
      <c r="Y52" s="148"/>
      <c r="Z52" s="148"/>
      <c r="AA52" s="148"/>
      <c r="AB52" s="148" t="s">
        <v>121</v>
      </c>
      <c r="AC52" s="148"/>
      <c r="AD52" s="148"/>
      <c r="AE52" s="148"/>
      <c r="AF52" s="148"/>
      <c r="AG52" s="148"/>
      <c r="AH52" s="148"/>
      <c r="AI52" s="148"/>
      <c r="AJ52" s="148"/>
      <c r="AK52" s="148"/>
      <c r="AL52" s="148"/>
      <c r="AM52" s="148"/>
      <c r="AN52" s="148"/>
      <c r="AO52" s="142"/>
      <c r="AP52" s="142"/>
      <c r="BB52" s="35"/>
      <c r="BI52" s="33"/>
    </row>
    <row r="53" spans="1:61" ht="15" customHeight="1" thickBot="1">
      <c r="A53" s="66"/>
      <c r="B53" s="67"/>
      <c r="C53" s="67"/>
      <c r="D53" s="67"/>
      <c r="E53" s="67"/>
      <c r="F53" s="67"/>
      <c r="G53" s="67"/>
      <c r="H53" s="48"/>
      <c r="I53" s="49"/>
      <c r="J53" s="49"/>
      <c r="K53" s="49"/>
      <c r="L53" s="49"/>
      <c r="M53" s="49"/>
      <c r="N53" s="49"/>
      <c r="O53" s="49"/>
      <c r="P53" s="49"/>
      <c r="Q53" s="48"/>
      <c r="R53" s="49"/>
      <c r="S53" s="49"/>
      <c r="T53" s="50"/>
      <c r="U53" s="372"/>
      <c r="V53" s="373"/>
      <c r="W53" s="372"/>
      <c r="X53" s="373"/>
      <c r="Y53" s="49"/>
      <c r="Z53" s="49"/>
      <c r="AA53" s="49"/>
      <c r="AB53" s="49"/>
      <c r="AC53" s="49"/>
      <c r="AD53" s="49"/>
      <c r="AE53" s="49"/>
      <c r="AF53" s="49"/>
      <c r="AG53" s="49"/>
      <c r="AH53" s="49"/>
      <c r="AI53" s="49"/>
      <c r="AJ53" s="49"/>
      <c r="AK53" s="49"/>
      <c r="AL53" s="49"/>
      <c r="AM53" s="49"/>
      <c r="AN53" s="49"/>
      <c r="AO53" s="49"/>
      <c r="AP53" s="49"/>
      <c r="AQ53" s="49"/>
      <c r="AR53" s="49"/>
      <c r="AS53" s="49"/>
      <c r="AT53" s="49"/>
      <c r="AU53" s="49"/>
      <c r="AV53" s="49"/>
      <c r="AW53" s="49"/>
      <c r="AX53" s="49"/>
      <c r="AY53" s="49"/>
      <c r="AZ53" s="49"/>
      <c r="BA53" s="49"/>
      <c r="BB53" s="48"/>
      <c r="BC53" s="49"/>
      <c r="BD53" s="49"/>
      <c r="BE53" s="49"/>
      <c r="BF53" s="49"/>
      <c r="BG53" s="49"/>
      <c r="BH53" s="49"/>
      <c r="BI53" s="50"/>
    </row>
    <row r="54" spans="1:61" ht="15" customHeight="1">
      <c r="A54" s="66"/>
      <c r="B54" s="67"/>
      <c r="C54" s="67"/>
      <c r="D54" s="67"/>
      <c r="E54" s="67"/>
      <c r="F54" s="67"/>
      <c r="G54" s="67"/>
      <c r="H54" s="35" t="s">
        <v>129</v>
      </c>
      <c r="Q54" s="35" t="s">
        <v>123</v>
      </c>
      <c r="T54" s="33"/>
      <c r="U54" s="368" t="s">
        <v>113</v>
      </c>
      <c r="V54" s="369"/>
      <c r="W54" s="368" t="s">
        <v>95</v>
      </c>
      <c r="X54" s="369"/>
      <c r="Y54" s="134" t="s">
        <v>114</v>
      </c>
      <c r="Z54" s="134"/>
      <c r="AA54" s="134"/>
      <c r="AB54" s="134"/>
      <c r="AC54" s="134"/>
      <c r="AD54" s="134"/>
      <c r="AE54" s="134"/>
      <c r="AF54" s="134"/>
      <c r="AG54" s="134"/>
      <c r="BB54" s="35"/>
      <c r="BI54" s="33"/>
    </row>
    <row r="55" spans="1:61" ht="15" customHeight="1">
      <c r="A55" s="66"/>
      <c r="B55" s="67"/>
      <c r="C55" s="67"/>
      <c r="D55" s="67"/>
      <c r="E55" s="67"/>
      <c r="F55" s="67"/>
      <c r="G55" s="67"/>
      <c r="H55" s="35"/>
      <c r="Q55" s="35"/>
      <c r="T55" s="33"/>
      <c r="U55" s="368"/>
      <c r="V55" s="369"/>
      <c r="W55" s="368"/>
      <c r="X55" s="369"/>
      <c r="Y55" s="134" t="s">
        <v>130</v>
      </c>
      <c r="Z55" s="134"/>
      <c r="AA55" s="134"/>
      <c r="AB55" s="134"/>
      <c r="AC55" s="134"/>
      <c r="AD55" s="134"/>
      <c r="AE55" s="134"/>
      <c r="AF55" s="134"/>
      <c r="AG55" s="134"/>
      <c r="BB55" s="35"/>
      <c r="BI55" s="33"/>
    </row>
    <row r="56" spans="1:61" ht="15" customHeight="1" thickBot="1">
      <c r="A56" s="66"/>
      <c r="B56" s="67"/>
      <c r="C56" s="67"/>
      <c r="D56" s="67"/>
      <c r="E56" s="67"/>
      <c r="F56" s="67"/>
      <c r="G56" s="67"/>
      <c r="H56" s="48"/>
      <c r="I56" s="49"/>
      <c r="J56" s="49"/>
      <c r="K56" s="49"/>
      <c r="L56" s="49"/>
      <c r="M56" s="49"/>
      <c r="N56" s="49"/>
      <c r="O56" s="49"/>
      <c r="P56" s="49"/>
      <c r="Q56" s="48"/>
      <c r="R56" s="49"/>
      <c r="S56" s="49"/>
      <c r="T56" s="50"/>
      <c r="U56" s="372"/>
      <c r="V56" s="373"/>
      <c r="W56" s="372"/>
      <c r="X56" s="373"/>
      <c r="Y56" s="143" t="s">
        <v>131</v>
      </c>
      <c r="Z56" s="49"/>
      <c r="AA56" s="49"/>
      <c r="AB56" s="49"/>
      <c r="AC56" s="49"/>
      <c r="AD56" s="49"/>
      <c r="AE56" s="49"/>
      <c r="AF56" s="49"/>
      <c r="AG56" s="49"/>
      <c r="AH56" s="49"/>
      <c r="AI56" s="49"/>
      <c r="AJ56" s="49"/>
      <c r="AK56" s="49"/>
      <c r="AL56" s="49"/>
      <c r="AM56" s="49"/>
      <c r="AN56" s="49"/>
      <c r="AO56" s="49"/>
      <c r="AP56" s="49"/>
      <c r="AQ56" s="49"/>
      <c r="AR56" s="49"/>
      <c r="AS56" s="49"/>
      <c r="AT56" s="49"/>
      <c r="AU56" s="49"/>
      <c r="AV56" s="49"/>
      <c r="AW56" s="49"/>
      <c r="AX56" s="49"/>
      <c r="AY56" s="49"/>
      <c r="AZ56" s="49"/>
      <c r="BA56" s="49"/>
      <c r="BB56" s="48"/>
      <c r="BC56" s="49"/>
      <c r="BD56" s="49"/>
      <c r="BE56" s="49"/>
      <c r="BF56" s="49"/>
      <c r="BG56" s="49"/>
      <c r="BH56" s="49"/>
      <c r="BI56" s="50"/>
    </row>
    <row r="57" spans="1:61" ht="14.5" customHeight="1">
      <c r="A57" s="66"/>
      <c r="B57" s="67"/>
      <c r="C57" s="67"/>
      <c r="D57" s="67"/>
      <c r="E57" s="67"/>
      <c r="F57" s="67"/>
      <c r="G57" s="67"/>
      <c r="H57" s="35" t="s">
        <v>132</v>
      </c>
      <c r="Q57" s="35" t="s">
        <v>112</v>
      </c>
      <c r="T57" s="33"/>
      <c r="U57" s="368" t="s">
        <v>113</v>
      </c>
      <c r="V57" s="369"/>
      <c r="W57" s="368" t="s">
        <v>113</v>
      </c>
      <c r="X57" s="369"/>
      <c r="Y57" s="134" t="s">
        <v>114</v>
      </c>
      <c r="Z57" s="134"/>
      <c r="AA57" s="134"/>
      <c r="AB57" s="134"/>
      <c r="AC57" s="134"/>
      <c r="AD57" s="134"/>
      <c r="AE57" s="134"/>
      <c r="AF57" s="134"/>
      <c r="AG57" s="134"/>
      <c r="AI57" s="65"/>
      <c r="AJ57" s="65"/>
      <c r="AK57" s="65"/>
      <c r="AL57" s="65"/>
      <c r="AM57" s="65"/>
      <c r="AN57" s="65"/>
      <c r="AO57" s="65"/>
      <c r="BB57" s="35"/>
      <c r="BI57" s="33"/>
    </row>
    <row r="58" spans="1:61" ht="15" customHeight="1">
      <c r="A58" s="66"/>
      <c r="B58" s="67"/>
      <c r="C58" s="67"/>
      <c r="D58" s="67"/>
      <c r="E58" s="67"/>
      <c r="F58" s="67"/>
      <c r="G58" s="67"/>
      <c r="H58" s="35"/>
      <c r="Q58" s="35"/>
      <c r="T58" s="33"/>
      <c r="U58" s="69"/>
      <c r="V58" s="70"/>
      <c r="W58" s="69"/>
      <c r="X58" s="70"/>
      <c r="Y58" s="134" t="s">
        <v>133</v>
      </c>
      <c r="BB58" s="35"/>
      <c r="BI58" s="33"/>
    </row>
    <row r="59" spans="1:61" ht="15" customHeight="1">
      <c r="A59" s="66"/>
      <c r="B59" s="67"/>
      <c r="C59" s="67"/>
      <c r="D59" s="67"/>
      <c r="E59" s="67"/>
      <c r="F59" s="67"/>
      <c r="G59" s="67"/>
      <c r="H59" s="35"/>
      <c r="Q59" s="35"/>
      <c r="T59" s="33"/>
      <c r="U59" s="368"/>
      <c r="V59" s="369"/>
      <c r="W59" s="368"/>
      <c r="X59" s="369"/>
      <c r="Y59" s="147" t="s">
        <v>116</v>
      </c>
      <c r="Z59" s="148"/>
      <c r="AA59" s="148"/>
      <c r="AB59" s="148"/>
      <c r="AC59" s="148"/>
      <c r="AD59" s="148"/>
      <c r="AE59" s="148"/>
      <c r="AF59" s="148"/>
      <c r="AG59" s="148"/>
      <c r="AH59" s="148"/>
      <c r="AI59" s="148"/>
      <c r="AJ59" s="148"/>
      <c r="AK59" s="148"/>
      <c r="AL59" s="148"/>
      <c r="AM59" s="148"/>
      <c r="AN59" s="148"/>
      <c r="BB59" s="35"/>
      <c r="BI59" s="33"/>
    </row>
    <row r="60" spans="1:61" ht="15" customHeight="1">
      <c r="A60" s="66"/>
      <c r="B60" s="67"/>
      <c r="C60" s="67"/>
      <c r="D60" s="67"/>
      <c r="E60" s="67"/>
      <c r="F60" s="67"/>
      <c r="G60" s="67"/>
      <c r="H60" s="35"/>
      <c r="Q60" s="35"/>
      <c r="T60" s="33"/>
      <c r="U60" s="69"/>
      <c r="V60" s="70"/>
      <c r="W60" s="69"/>
      <c r="X60" s="70"/>
      <c r="Y60" s="148" t="s">
        <v>117</v>
      </c>
      <c r="Z60" s="148"/>
      <c r="AA60" s="147"/>
      <c r="AB60" s="147" t="s">
        <v>134</v>
      </c>
      <c r="AC60" s="147"/>
      <c r="AD60" s="148"/>
      <c r="AE60" s="148"/>
      <c r="AF60" s="148"/>
      <c r="AG60" s="148"/>
      <c r="AH60" s="148"/>
      <c r="AI60" s="148"/>
      <c r="AJ60" s="148"/>
      <c r="AK60" s="148"/>
      <c r="AL60" s="148"/>
      <c r="AM60" s="148"/>
      <c r="AN60" s="148"/>
      <c r="BB60" s="35"/>
      <c r="BI60" s="33"/>
    </row>
    <row r="61" spans="1:61" ht="15" customHeight="1">
      <c r="A61" s="66"/>
      <c r="B61" s="67"/>
      <c r="C61" s="67"/>
      <c r="D61" s="67"/>
      <c r="E61" s="67"/>
      <c r="F61" s="67"/>
      <c r="G61" s="67"/>
      <c r="H61" s="35"/>
      <c r="Q61" s="35"/>
      <c r="T61" s="33"/>
      <c r="U61" s="69"/>
      <c r="V61" s="70"/>
      <c r="W61" s="69"/>
      <c r="X61" s="70"/>
      <c r="Y61" s="148" t="s">
        <v>119</v>
      </c>
      <c r="Z61" s="148"/>
      <c r="AA61" s="148"/>
      <c r="AB61" s="147" t="s">
        <v>135</v>
      </c>
      <c r="AC61" s="148"/>
      <c r="AD61" s="147"/>
      <c r="AE61" s="147"/>
      <c r="AF61" s="148"/>
      <c r="AG61" s="148"/>
      <c r="AH61" s="148"/>
      <c r="AI61" s="148"/>
      <c r="AJ61" s="148"/>
      <c r="AK61" s="148"/>
      <c r="AL61" s="148"/>
      <c r="AM61" s="148"/>
      <c r="AN61" s="148"/>
      <c r="BB61" s="35"/>
      <c r="BI61" s="33"/>
    </row>
    <row r="62" spans="1:61" ht="15" customHeight="1">
      <c r="A62" s="66"/>
      <c r="B62" s="67"/>
      <c r="C62" s="67"/>
      <c r="D62" s="67"/>
      <c r="E62" s="67"/>
      <c r="F62" s="67"/>
      <c r="G62" s="67"/>
      <c r="H62" s="35"/>
      <c r="Q62" s="35"/>
      <c r="T62" s="33"/>
      <c r="U62" s="69"/>
      <c r="V62" s="70"/>
      <c r="W62" s="69"/>
      <c r="X62" s="70"/>
      <c r="Y62" s="148"/>
      <c r="Z62" s="148"/>
      <c r="AA62" s="148"/>
      <c r="AB62" s="148" t="s">
        <v>136</v>
      </c>
      <c r="AC62" s="148"/>
      <c r="AD62" s="148"/>
      <c r="AE62" s="148"/>
      <c r="AF62" s="148"/>
      <c r="AG62" s="148"/>
      <c r="AH62" s="148"/>
      <c r="AI62" s="148"/>
      <c r="AJ62" s="148"/>
      <c r="AK62" s="148"/>
      <c r="AL62" s="148"/>
      <c r="AM62" s="148"/>
      <c r="AN62" s="148"/>
      <c r="BB62" s="35"/>
      <c r="BI62" s="33"/>
    </row>
    <row r="63" spans="1:61" ht="15" customHeight="1">
      <c r="A63" s="66"/>
      <c r="B63" s="67"/>
      <c r="C63" s="67"/>
      <c r="D63" s="67"/>
      <c r="E63" s="67"/>
      <c r="F63" s="67"/>
      <c r="G63" s="67"/>
      <c r="H63" s="35"/>
      <c r="Q63" s="35"/>
      <c r="T63" s="33"/>
      <c r="U63" s="69"/>
      <c r="V63" s="70"/>
      <c r="W63" s="69"/>
      <c r="X63" s="70"/>
      <c r="Y63" s="148"/>
      <c r="Z63" s="148"/>
      <c r="AA63" s="147"/>
      <c r="AB63" s="147"/>
      <c r="AC63" s="147"/>
      <c r="AD63" s="148"/>
      <c r="AE63" s="148"/>
      <c r="AF63" s="148"/>
      <c r="AG63" s="148"/>
      <c r="AH63" s="148"/>
      <c r="AI63" s="148"/>
      <c r="AJ63" s="148"/>
      <c r="AK63" s="148"/>
      <c r="AL63" s="148"/>
      <c r="AM63" s="148"/>
      <c r="AN63" s="148"/>
      <c r="BB63" s="35"/>
      <c r="BI63" s="33"/>
    </row>
    <row r="64" spans="1:61" ht="15" customHeight="1" thickBot="1">
      <c r="A64" s="71"/>
      <c r="B64" s="72"/>
      <c r="C64" s="72"/>
      <c r="D64" s="72"/>
      <c r="E64" s="72"/>
      <c r="F64" s="72"/>
      <c r="G64" s="72"/>
      <c r="H64" s="48"/>
      <c r="I64" s="49"/>
      <c r="J64" s="49"/>
      <c r="K64" s="49"/>
      <c r="L64" s="49"/>
      <c r="M64" s="49"/>
      <c r="N64" s="49"/>
      <c r="O64" s="49"/>
      <c r="P64" s="49"/>
      <c r="Q64" s="48"/>
      <c r="R64" s="49"/>
      <c r="S64" s="49"/>
      <c r="T64" s="50"/>
      <c r="U64" s="372"/>
      <c r="V64" s="373"/>
      <c r="W64" s="372"/>
      <c r="X64" s="373"/>
      <c r="Y64" s="49"/>
      <c r="Z64" s="49"/>
      <c r="AA64" s="49"/>
      <c r="AB64" s="49"/>
      <c r="AC64" s="49"/>
      <c r="AD64" s="49"/>
      <c r="AE64" s="49"/>
      <c r="AF64" s="49"/>
      <c r="AG64" s="49"/>
      <c r="AH64" s="49"/>
      <c r="AI64" s="49"/>
      <c r="AJ64" s="49"/>
      <c r="AK64" s="49"/>
      <c r="AL64" s="49"/>
      <c r="AM64" s="49"/>
      <c r="AN64" s="49"/>
      <c r="AO64" s="49"/>
      <c r="AP64" s="49"/>
      <c r="AQ64" s="49"/>
      <c r="AR64" s="49"/>
      <c r="AS64" s="49"/>
      <c r="AT64" s="49"/>
      <c r="AU64" s="49"/>
      <c r="AV64" s="49"/>
      <c r="AW64" s="49"/>
      <c r="AX64" s="49"/>
      <c r="AY64" s="49"/>
      <c r="AZ64" s="49"/>
      <c r="BA64" s="49"/>
      <c r="BB64" s="48"/>
      <c r="BC64" s="49"/>
      <c r="BD64" s="49"/>
      <c r="BE64" s="49"/>
      <c r="BF64" s="49"/>
      <c r="BG64" s="49"/>
      <c r="BH64" s="49"/>
      <c r="BI64" s="50"/>
    </row>
    <row r="65" spans="30:40" ht="15" customHeight="1">
      <c r="AF65" s="148"/>
      <c r="AG65" s="148"/>
      <c r="AH65" s="148"/>
      <c r="AI65" s="148"/>
      <c r="AJ65" s="148"/>
      <c r="AK65" s="148"/>
      <c r="AL65" s="148"/>
      <c r="AM65" s="148"/>
      <c r="AN65" s="148"/>
    </row>
    <row r="66" spans="30:40" ht="15" customHeight="1">
      <c r="AD66" s="148"/>
      <c r="AE66" s="148"/>
      <c r="AF66" s="148"/>
      <c r="AG66" s="148"/>
      <c r="AH66" s="148"/>
      <c r="AI66" s="148"/>
      <c r="AJ66" s="148"/>
      <c r="AK66" s="148"/>
      <c r="AL66" s="148"/>
      <c r="AM66" s="148"/>
      <c r="AN66" s="148"/>
    </row>
  </sheetData>
  <mergeCells count="98">
    <mergeCell ref="BB5:BI5"/>
    <mergeCell ref="Y5:BA5"/>
    <mergeCell ref="AT1:BA1"/>
    <mergeCell ref="BB1:BI1"/>
    <mergeCell ref="AV2:BA2"/>
    <mergeCell ref="BB2:BI2"/>
    <mergeCell ref="AV3:BA3"/>
    <mergeCell ref="BB3:BI3"/>
    <mergeCell ref="AE1:AS1"/>
    <mergeCell ref="AE2:AS3"/>
    <mergeCell ref="AT2:AU2"/>
    <mergeCell ref="AT3:AU3"/>
    <mergeCell ref="U56:V56"/>
    <mergeCell ref="W56:X56"/>
    <mergeCell ref="W14:X14"/>
    <mergeCell ref="W10:X10"/>
    <mergeCell ref="W11:X11"/>
    <mergeCell ref="W12:X12"/>
    <mergeCell ref="W24:X24"/>
    <mergeCell ref="W16:X16"/>
    <mergeCell ref="W17:X17"/>
    <mergeCell ref="W44:X44"/>
    <mergeCell ref="W25:X25"/>
    <mergeCell ref="W18:X18"/>
    <mergeCell ref="W27:X27"/>
    <mergeCell ref="W29:X29"/>
    <mergeCell ref="U40:V40"/>
    <mergeCell ref="U44:V44"/>
    <mergeCell ref="W6:X6"/>
    <mergeCell ref="F1:P1"/>
    <mergeCell ref="Q1:V1"/>
    <mergeCell ref="W1:AD1"/>
    <mergeCell ref="A4:H4"/>
    <mergeCell ref="H5:P5"/>
    <mergeCell ref="A1:E3"/>
    <mergeCell ref="A5:G5"/>
    <mergeCell ref="Q5:T5"/>
    <mergeCell ref="U5:V5"/>
    <mergeCell ref="W5:X5"/>
    <mergeCell ref="F2:P3"/>
    <mergeCell ref="Q2:V3"/>
    <mergeCell ref="W2:AD3"/>
    <mergeCell ref="W7:X7"/>
    <mergeCell ref="W8:X8"/>
    <mergeCell ref="U64:V64"/>
    <mergeCell ref="U6:V6"/>
    <mergeCell ref="U7:V7"/>
    <mergeCell ref="U8:V8"/>
    <mergeCell ref="U9:V9"/>
    <mergeCell ref="U10:V10"/>
    <mergeCell ref="U11:V11"/>
    <mergeCell ref="U12:V12"/>
    <mergeCell ref="U14:V14"/>
    <mergeCell ref="U17:V17"/>
    <mergeCell ref="U24:V24"/>
    <mergeCell ref="U25:V25"/>
    <mergeCell ref="U18:V18"/>
    <mergeCell ref="U45:V45"/>
    <mergeCell ref="W23:X23"/>
    <mergeCell ref="W64:X64"/>
    <mergeCell ref="W45:X45"/>
    <mergeCell ref="W46:X46"/>
    <mergeCell ref="W53:X53"/>
    <mergeCell ref="W35:X35"/>
    <mergeCell ref="W40:X40"/>
    <mergeCell ref="W39:X39"/>
    <mergeCell ref="U34:V34"/>
    <mergeCell ref="U39:V39"/>
    <mergeCell ref="W15:X15"/>
    <mergeCell ref="U31:V31"/>
    <mergeCell ref="W31:X31"/>
    <mergeCell ref="U36:V36"/>
    <mergeCell ref="W36:X36"/>
    <mergeCell ref="W34:X34"/>
    <mergeCell ref="U15:V15"/>
    <mergeCell ref="U16:V16"/>
    <mergeCell ref="W30:X30"/>
    <mergeCell ref="U19:V19"/>
    <mergeCell ref="U22:V22"/>
    <mergeCell ref="U26:V26"/>
    <mergeCell ref="W22:X22"/>
    <mergeCell ref="U23:V23"/>
    <mergeCell ref="U59:V59"/>
    <mergeCell ref="W59:X59"/>
    <mergeCell ref="U46:V46"/>
    <mergeCell ref="U27:V27"/>
    <mergeCell ref="U29:V29"/>
    <mergeCell ref="U30:V30"/>
    <mergeCell ref="U35:V35"/>
    <mergeCell ref="U57:V57"/>
    <mergeCell ref="W57:X57"/>
    <mergeCell ref="U54:V54"/>
    <mergeCell ref="W54:X54"/>
    <mergeCell ref="U55:V55"/>
    <mergeCell ref="W55:X55"/>
    <mergeCell ref="U53:V53"/>
    <mergeCell ref="W38:X38"/>
    <mergeCell ref="U38:V38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scale="85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EEF63A-F82F-4DF1-B27C-5BB42FE71799}">
  <sheetPr>
    <tabColor theme="2" tint="-0.249977111117893"/>
  </sheetPr>
  <dimension ref="A1:BI38"/>
  <sheetViews>
    <sheetView showGridLines="0" zoomScaleNormal="100" workbookViewId="0">
      <selection activeCell="M9" sqref="M9:V12"/>
    </sheetView>
  </sheetViews>
  <sheetFormatPr defaultColWidth="2.33203125" defaultRowHeight="15" customHeight="1"/>
  <cols>
    <col min="1" max="16384" width="2.33203125" style="1"/>
  </cols>
  <sheetData>
    <row r="1" spans="1:61" ht="15" customHeight="1" thickBot="1">
      <c r="A1" s="245" t="s">
        <v>32</v>
      </c>
      <c r="B1" s="246"/>
      <c r="C1" s="246"/>
      <c r="D1" s="246"/>
      <c r="E1" s="247"/>
      <c r="F1" s="254" t="str">
        <f>変更履歴!F1</f>
        <v>システム名</v>
      </c>
      <c r="G1" s="255"/>
      <c r="H1" s="255"/>
      <c r="I1" s="255"/>
      <c r="J1" s="255"/>
      <c r="K1" s="255"/>
      <c r="L1" s="255"/>
      <c r="M1" s="255"/>
      <c r="N1" s="255"/>
      <c r="O1" s="255"/>
      <c r="P1" s="256"/>
      <c r="Q1" s="257" t="str">
        <f>変更履歴!Q1</f>
        <v>機能分類</v>
      </c>
      <c r="R1" s="258"/>
      <c r="S1" s="258"/>
      <c r="T1" s="258"/>
      <c r="U1" s="258"/>
      <c r="V1" s="259"/>
      <c r="W1" s="254" t="str">
        <f>変更履歴!W1</f>
        <v>機能ＩＤ</v>
      </c>
      <c r="X1" s="255"/>
      <c r="Y1" s="255"/>
      <c r="Z1" s="255"/>
      <c r="AA1" s="255"/>
      <c r="AB1" s="255"/>
      <c r="AC1" s="255"/>
      <c r="AD1" s="256"/>
      <c r="AE1" s="254" t="str">
        <f>変更履歴!AE1</f>
        <v>機能名称</v>
      </c>
      <c r="AF1" s="255"/>
      <c r="AG1" s="255"/>
      <c r="AH1" s="255"/>
      <c r="AI1" s="255"/>
      <c r="AJ1" s="255"/>
      <c r="AK1" s="255"/>
      <c r="AL1" s="255"/>
      <c r="AM1" s="255"/>
      <c r="AN1" s="255"/>
      <c r="AO1" s="255"/>
      <c r="AP1" s="255"/>
      <c r="AQ1" s="255"/>
      <c r="AR1" s="255"/>
      <c r="AS1" s="256"/>
      <c r="AT1" s="260" t="str">
        <f>変更履歴!AT1</f>
        <v>日付</v>
      </c>
      <c r="AU1" s="261"/>
      <c r="AV1" s="261"/>
      <c r="AW1" s="261"/>
      <c r="AX1" s="261"/>
      <c r="AY1" s="261"/>
      <c r="AZ1" s="261"/>
      <c r="BA1" s="262"/>
      <c r="BB1" s="217" t="str">
        <f>変更履歴!BB1</f>
        <v>更新者</v>
      </c>
      <c r="BC1" s="219"/>
      <c r="BD1" s="219"/>
      <c r="BE1" s="219"/>
      <c r="BF1" s="219"/>
      <c r="BG1" s="219"/>
      <c r="BH1" s="219"/>
      <c r="BI1" s="220"/>
    </row>
    <row r="2" spans="1:61" ht="15" customHeight="1">
      <c r="A2" s="248"/>
      <c r="B2" s="249"/>
      <c r="C2" s="249"/>
      <c r="D2" s="249"/>
      <c r="E2" s="250"/>
      <c r="F2" s="221" t="str">
        <f>変更履歴!F2</f>
        <v>Dynamics365 for Finance and Operations</v>
      </c>
      <c r="G2" s="222"/>
      <c r="H2" s="222"/>
      <c r="I2" s="222"/>
      <c r="J2" s="222"/>
      <c r="K2" s="222"/>
      <c r="L2" s="222"/>
      <c r="M2" s="222"/>
      <c r="N2" s="222"/>
      <c r="O2" s="222"/>
      <c r="P2" s="223"/>
      <c r="Q2" s="221" t="str">
        <f>変更履歴!Q2</f>
        <v>債権・債務</v>
      </c>
      <c r="R2" s="222"/>
      <c r="S2" s="222"/>
      <c r="T2" s="222"/>
      <c r="U2" s="222"/>
      <c r="V2" s="223"/>
      <c r="W2" s="227" t="str">
        <f>変更履歴!W2</f>
        <v>FO-006</v>
      </c>
      <c r="X2" s="228"/>
      <c r="Y2" s="228"/>
      <c r="Z2" s="228"/>
      <c r="AA2" s="228"/>
      <c r="AB2" s="228"/>
      <c r="AC2" s="228"/>
      <c r="AD2" s="229"/>
      <c r="AE2" s="221" t="str">
        <f>変更履歴!AE2</f>
        <v>支払方法・支払サイトマスタ画面</v>
      </c>
      <c r="AF2" s="222"/>
      <c r="AG2" s="222"/>
      <c r="AH2" s="222"/>
      <c r="AI2" s="222"/>
      <c r="AJ2" s="222"/>
      <c r="AK2" s="222"/>
      <c r="AL2" s="222"/>
      <c r="AM2" s="222"/>
      <c r="AN2" s="222"/>
      <c r="AO2" s="222"/>
      <c r="AP2" s="222"/>
      <c r="AQ2" s="222"/>
      <c r="AR2" s="222"/>
      <c r="AS2" s="223"/>
      <c r="AT2" s="233" t="str">
        <f>変更履歴!AT2</f>
        <v>作成</v>
      </c>
      <c r="AU2" s="234"/>
      <c r="AV2" s="235">
        <f>変更履歴!AV2</f>
        <v>45448</v>
      </c>
      <c r="AW2" s="235"/>
      <c r="AX2" s="235"/>
      <c r="AY2" s="235"/>
      <c r="AZ2" s="235"/>
      <c r="BA2" s="236"/>
      <c r="BB2" s="237" t="str">
        <f>変更履歴!BB2</f>
        <v>JBS井田</v>
      </c>
      <c r="BC2" s="239"/>
      <c r="BD2" s="239"/>
      <c r="BE2" s="239"/>
      <c r="BF2" s="239"/>
      <c r="BG2" s="239"/>
      <c r="BH2" s="239"/>
      <c r="BI2" s="240"/>
    </row>
    <row r="3" spans="1:61" ht="15" customHeight="1" thickBot="1">
      <c r="A3" s="251"/>
      <c r="B3" s="252"/>
      <c r="C3" s="252"/>
      <c r="D3" s="252"/>
      <c r="E3" s="253"/>
      <c r="F3" s="224"/>
      <c r="G3" s="225"/>
      <c r="H3" s="225"/>
      <c r="I3" s="225"/>
      <c r="J3" s="225"/>
      <c r="K3" s="225"/>
      <c r="L3" s="225"/>
      <c r="M3" s="225"/>
      <c r="N3" s="225"/>
      <c r="O3" s="225"/>
      <c r="P3" s="226"/>
      <c r="Q3" s="224"/>
      <c r="R3" s="225"/>
      <c r="S3" s="225"/>
      <c r="T3" s="225"/>
      <c r="U3" s="225"/>
      <c r="V3" s="226"/>
      <c r="W3" s="230"/>
      <c r="X3" s="231"/>
      <c r="Y3" s="231"/>
      <c r="Z3" s="231"/>
      <c r="AA3" s="231"/>
      <c r="AB3" s="231"/>
      <c r="AC3" s="231"/>
      <c r="AD3" s="232"/>
      <c r="AE3" s="224"/>
      <c r="AF3" s="225"/>
      <c r="AG3" s="225"/>
      <c r="AH3" s="225"/>
      <c r="AI3" s="225"/>
      <c r="AJ3" s="225"/>
      <c r="AK3" s="225"/>
      <c r="AL3" s="225"/>
      <c r="AM3" s="225"/>
      <c r="AN3" s="225"/>
      <c r="AO3" s="225"/>
      <c r="AP3" s="225"/>
      <c r="AQ3" s="225"/>
      <c r="AR3" s="225"/>
      <c r="AS3" s="226"/>
      <c r="AT3" s="241" t="str">
        <f>変更履歴!AT3</f>
        <v>更新</v>
      </c>
      <c r="AU3" s="242"/>
      <c r="AV3" s="290">
        <f ca="1">変更履歴!AV3</f>
        <v>45589</v>
      </c>
      <c r="AW3" s="291"/>
      <c r="AX3" s="291"/>
      <c r="AY3" s="291"/>
      <c r="AZ3" s="291"/>
      <c r="BA3" s="292"/>
      <c r="BB3" s="294" t="str">
        <f ca="1">変更履歴!BB3</f>
        <v>JBS井田</v>
      </c>
      <c r="BC3" s="295"/>
      <c r="BD3" s="295"/>
      <c r="BE3" s="295"/>
      <c r="BF3" s="295"/>
      <c r="BG3" s="295"/>
      <c r="BH3" s="295"/>
      <c r="BI3" s="296"/>
    </row>
    <row r="4" spans="1:61" ht="15" customHeight="1" thickBot="1"/>
    <row r="5" spans="1:61" ht="15" customHeight="1" thickBot="1">
      <c r="A5" s="317" t="s">
        <v>137</v>
      </c>
      <c r="B5" s="326"/>
      <c r="C5" s="326"/>
      <c r="D5" s="326"/>
      <c r="E5" s="326"/>
      <c r="F5" s="326"/>
      <c r="G5" s="326"/>
      <c r="H5" s="326"/>
      <c r="I5" s="326"/>
      <c r="J5" s="326"/>
      <c r="K5" s="326"/>
      <c r="L5" s="326"/>
      <c r="M5" s="326"/>
      <c r="N5" s="326"/>
      <c r="O5" s="326"/>
      <c r="P5" s="326"/>
      <c r="Q5" s="326"/>
      <c r="R5" s="326"/>
      <c r="S5" s="326"/>
      <c r="T5" s="326"/>
      <c r="U5" s="326"/>
      <c r="V5" s="326"/>
      <c r="W5" s="326"/>
      <c r="X5" s="326"/>
      <c r="Y5" s="326"/>
      <c r="Z5" s="326"/>
      <c r="AA5" s="326"/>
      <c r="AB5" s="326"/>
      <c r="AC5" s="326"/>
      <c r="AD5" s="326"/>
      <c r="AE5" s="326"/>
      <c r="AF5" s="326"/>
      <c r="AG5" s="326"/>
      <c r="AH5" s="326"/>
      <c r="AI5" s="326"/>
      <c r="AJ5" s="326"/>
      <c r="AK5" s="326"/>
      <c r="AL5" s="326"/>
      <c r="AM5" s="326"/>
      <c r="AN5" s="326"/>
      <c r="AO5" s="326"/>
      <c r="AP5" s="326"/>
      <c r="AQ5" s="326"/>
      <c r="AR5" s="326"/>
      <c r="AS5" s="326"/>
      <c r="AT5" s="326"/>
      <c r="AU5" s="326"/>
      <c r="AV5" s="326"/>
      <c r="AW5" s="326"/>
      <c r="AX5" s="318"/>
      <c r="AY5" s="327" t="s">
        <v>57</v>
      </c>
      <c r="AZ5" s="328"/>
      <c r="BA5" s="328"/>
      <c r="BB5" s="328"/>
      <c r="BC5" s="328"/>
      <c r="BD5" s="328"/>
      <c r="BE5" s="328"/>
      <c r="BF5" s="328"/>
      <c r="BG5" s="328"/>
      <c r="BH5" s="328"/>
      <c r="BI5" s="329"/>
    </row>
    <row r="6" spans="1:61" ht="15" customHeight="1" thickBot="1">
      <c r="A6" s="64" t="s">
        <v>138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61"/>
      <c r="AA6" s="61"/>
      <c r="AB6" s="61"/>
      <c r="AC6" s="61"/>
      <c r="AD6" s="61"/>
      <c r="AE6" s="61"/>
      <c r="AF6" s="61"/>
      <c r="AG6" s="61"/>
      <c r="AH6" s="62"/>
      <c r="AI6" s="393" t="s">
        <v>139</v>
      </c>
      <c r="AJ6" s="394"/>
      <c r="AK6" s="394"/>
      <c r="AL6" s="394"/>
      <c r="AM6" s="394"/>
      <c r="AN6" s="394"/>
      <c r="AO6" s="394"/>
      <c r="AP6" s="394"/>
      <c r="AQ6" s="394"/>
      <c r="AR6" s="394"/>
      <c r="AS6" s="394"/>
      <c r="AT6" s="394"/>
      <c r="AU6" s="394"/>
      <c r="AV6" s="394"/>
      <c r="AW6" s="394"/>
      <c r="AX6" s="395"/>
      <c r="AY6" s="387"/>
      <c r="AZ6" s="388"/>
      <c r="BA6" s="388"/>
      <c r="BB6" s="388"/>
      <c r="BC6" s="388"/>
      <c r="BD6" s="388"/>
      <c r="BE6" s="388"/>
      <c r="BF6" s="388"/>
      <c r="BG6" s="388"/>
      <c r="BH6" s="388"/>
      <c r="BI6" s="389"/>
    </row>
    <row r="7" spans="1:61" ht="15" customHeight="1" thickBot="1">
      <c r="A7" s="396" t="s">
        <v>140</v>
      </c>
      <c r="B7" s="293"/>
      <c r="C7" s="293"/>
      <c r="D7" s="293"/>
      <c r="E7" s="293"/>
      <c r="F7" s="293"/>
      <c r="G7" s="293"/>
      <c r="H7" s="293"/>
      <c r="I7" s="61"/>
      <c r="J7" s="61"/>
      <c r="K7" s="62"/>
      <c r="L7" s="64" t="s">
        <v>141</v>
      </c>
      <c r="M7" s="3"/>
      <c r="N7" s="3"/>
      <c r="O7" s="3"/>
      <c r="P7" s="3"/>
      <c r="Q7" s="3"/>
      <c r="R7" s="3"/>
      <c r="S7" s="3"/>
      <c r="T7" s="61"/>
      <c r="U7" s="61"/>
      <c r="V7" s="61"/>
      <c r="W7" s="62"/>
      <c r="X7" s="64" t="s">
        <v>142</v>
      </c>
      <c r="Y7" s="3"/>
      <c r="Z7" s="3"/>
      <c r="AA7" s="3"/>
      <c r="AB7" s="3"/>
      <c r="AC7" s="3"/>
      <c r="AD7" s="3"/>
      <c r="AE7" s="3"/>
      <c r="AF7" s="3"/>
      <c r="AG7" s="3"/>
      <c r="AH7" s="62"/>
      <c r="AI7" s="333" t="s">
        <v>143</v>
      </c>
      <c r="AJ7" s="334"/>
      <c r="AK7" s="334"/>
      <c r="AL7" s="334"/>
      <c r="AM7" s="334"/>
      <c r="AN7" s="334"/>
      <c r="AO7" s="334"/>
      <c r="AP7" s="334"/>
      <c r="AQ7" s="334"/>
      <c r="AR7" s="334"/>
      <c r="AS7" s="334"/>
      <c r="AT7" s="334"/>
      <c r="AU7" s="334"/>
      <c r="AV7" s="334"/>
      <c r="AW7" s="334"/>
      <c r="AX7" s="335"/>
      <c r="AY7" s="387"/>
      <c r="AZ7" s="388"/>
      <c r="BA7" s="388"/>
      <c r="BB7" s="388"/>
      <c r="BC7" s="388"/>
      <c r="BD7" s="388"/>
      <c r="BE7" s="388"/>
      <c r="BF7" s="388"/>
      <c r="BG7" s="388"/>
      <c r="BH7" s="388"/>
      <c r="BI7" s="389"/>
    </row>
    <row r="8" spans="1:61" ht="15" customHeight="1" thickBot="1">
      <c r="A8" s="90" t="s">
        <v>144</v>
      </c>
      <c r="B8" s="87"/>
      <c r="C8" s="87"/>
      <c r="D8" s="87"/>
      <c r="E8" s="87"/>
      <c r="F8" s="87" t="s">
        <v>145</v>
      </c>
      <c r="G8" s="87"/>
      <c r="H8" s="87"/>
      <c r="I8" s="87"/>
      <c r="J8" s="87" t="s">
        <v>146</v>
      </c>
      <c r="K8" s="87"/>
      <c r="L8" s="87"/>
      <c r="M8" s="87"/>
      <c r="N8" s="87" t="s">
        <v>147</v>
      </c>
      <c r="O8" s="87"/>
      <c r="P8" s="87"/>
      <c r="Q8" s="87"/>
      <c r="R8" s="87" t="s">
        <v>148</v>
      </c>
      <c r="S8" s="87"/>
      <c r="T8" s="87"/>
      <c r="U8" s="87"/>
      <c r="V8" s="87"/>
      <c r="W8" s="87"/>
      <c r="X8" s="87"/>
      <c r="Y8" s="87"/>
      <c r="Z8" s="87"/>
      <c r="AA8" s="87"/>
      <c r="AB8" s="87"/>
      <c r="AC8" s="87"/>
      <c r="AD8" s="87"/>
      <c r="AE8" s="87"/>
      <c r="AF8" s="87"/>
      <c r="AG8" s="87"/>
      <c r="AH8" s="87"/>
      <c r="AI8" s="333" t="s">
        <v>149</v>
      </c>
      <c r="AJ8" s="334"/>
      <c r="AK8" s="334"/>
      <c r="AL8" s="334"/>
      <c r="AM8" s="334"/>
      <c r="AN8" s="334"/>
      <c r="AO8" s="334"/>
      <c r="AP8" s="334"/>
      <c r="AQ8" s="334"/>
      <c r="AR8" s="334"/>
      <c r="AS8" s="334"/>
      <c r="AT8" s="334"/>
      <c r="AU8" s="334"/>
      <c r="AV8" s="334"/>
      <c r="AW8" s="334"/>
      <c r="AX8" s="335"/>
      <c r="AY8" s="390"/>
      <c r="AZ8" s="391"/>
      <c r="BA8" s="391"/>
      <c r="BB8" s="391"/>
      <c r="BC8" s="391"/>
      <c r="BD8" s="391"/>
      <c r="BE8" s="391"/>
      <c r="BF8" s="391"/>
      <c r="BG8" s="391"/>
      <c r="BH8" s="391"/>
      <c r="BI8" s="392"/>
    </row>
    <row r="9" spans="1:61" ht="15" customHeight="1">
      <c r="A9" s="89"/>
      <c r="B9" s="86"/>
      <c r="C9" s="86"/>
      <c r="D9" s="86"/>
      <c r="E9" s="86"/>
      <c r="F9" s="86"/>
      <c r="G9" s="86"/>
      <c r="H9" s="86"/>
      <c r="I9" s="86"/>
      <c r="J9" s="86"/>
      <c r="K9" s="86"/>
      <c r="L9" s="86"/>
      <c r="M9" s="86"/>
      <c r="N9" s="86"/>
      <c r="O9" s="86"/>
      <c r="P9" s="86"/>
      <c r="Q9" s="86"/>
      <c r="R9" s="86"/>
      <c r="S9" s="86"/>
      <c r="T9" s="86"/>
      <c r="U9" s="86"/>
      <c r="V9" s="86"/>
      <c r="W9" s="86"/>
      <c r="X9" s="86"/>
      <c r="Y9" s="86"/>
      <c r="Z9" s="86"/>
      <c r="AA9" s="86"/>
      <c r="AB9" s="86"/>
      <c r="AC9" s="86"/>
      <c r="AD9" s="86"/>
      <c r="AE9" s="86"/>
      <c r="AF9" s="86"/>
      <c r="AG9" s="86"/>
      <c r="AH9" s="86"/>
      <c r="AI9" s="86"/>
      <c r="AJ9" s="86"/>
      <c r="AK9" s="86"/>
      <c r="AL9" s="86"/>
      <c r="AM9" s="86"/>
      <c r="AN9" s="86"/>
      <c r="AO9" s="86"/>
      <c r="AP9" s="86"/>
      <c r="AQ9" s="86"/>
      <c r="AR9" s="86"/>
      <c r="AS9" s="86"/>
      <c r="AT9" s="86"/>
      <c r="AU9" s="86"/>
      <c r="AV9" s="86"/>
      <c r="AW9" s="86"/>
      <c r="AX9" s="88"/>
      <c r="AY9" s="64"/>
      <c r="AZ9" s="3"/>
      <c r="BA9" s="3"/>
      <c r="BB9" s="3"/>
      <c r="BC9" s="3"/>
      <c r="BD9" s="3"/>
      <c r="BE9" s="3"/>
      <c r="BF9" s="3"/>
      <c r="BG9" s="3"/>
      <c r="BH9" s="3"/>
      <c r="BI9" s="4"/>
    </row>
    <row r="10" spans="1:61" ht="15" customHeight="1">
      <c r="A10" s="15"/>
      <c r="AX10" s="24"/>
      <c r="AY10" s="15"/>
      <c r="BI10" s="24"/>
    </row>
    <row r="11" spans="1:61" ht="15" customHeight="1">
      <c r="A11" s="15"/>
      <c r="AX11" s="24"/>
      <c r="AY11" s="15"/>
      <c r="BI11" s="24"/>
    </row>
    <row r="12" spans="1:61" ht="15" customHeight="1">
      <c r="A12" s="15"/>
      <c r="AX12" s="24"/>
      <c r="AY12" s="15"/>
      <c r="BI12" s="24"/>
    </row>
    <row r="13" spans="1:61" ht="15" customHeight="1">
      <c r="A13" s="15"/>
      <c r="AX13" s="24"/>
      <c r="AY13" s="15"/>
      <c r="BI13" s="24"/>
    </row>
    <row r="14" spans="1:61" ht="15" customHeight="1">
      <c r="A14" s="15"/>
      <c r="AX14" s="24"/>
      <c r="AY14" s="15"/>
      <c r="BI14" s="24"/>
    </row>
    <row r="15" spans="1:61" ht="15" customHeight="1">
      <c r="A15" s="15"/>
      <c r="AX15" s="24"/>
      <c r="AY15" s="15"/>
      <c r="BI15" s="24"/>
    </row>
    <row r="16" spans="1:61" ht="15" customHeight="1">
      <c r="A16" s="15"/>
      <c r="AX16" s="24"/>
      <c r="AY16" s="15"/>
      <c r="BI16" s="24"/>
    </row>
    <row r="17" spans="1:61" ht="15" customHeight="1">
      <c r="A17" s="15"/>
      <c r="AX17" s="24"/>
      <c r="AY17" s="15"/>
      <c r="BI17" s="24"/>
    </row>
    <row r="18" spans="1:61" ht="15" customHeight="1">
      <c r="A18" s="15"/>
      <c r="AX18" s="24"/>
      <c r="AY18" s="15"/>
      <c r="BI18" s="24"/>
    </row>
    <row r="19" spans="1:61" ht="15" customHeight="1">
      <c r="A19" s="15"/>
      <c r="AX19" s="24"/>
      <c r="AY19" s="15"/>
      <c r="BI19" s="24"/>
    </row>
    <row r="20" spans="1:61" ht="15" customHeight="1">
      <c r="A20" s="15"/>
      <c r="AX20" s="24"/>
      <c r="AY20" s="15"/>
      <c r="BI20" s="24"/>
    </row>
    <row r="21" spans="1:61" ht="15" customHeight="1">
      <c r="A21" s="15"/>
      <c r="AX21" s="24"/>
      <c r="AY21" s="15"/>
      <c r="BI21" s="24"/>
    </row>
    <row r="22" spans="1:61" ht="15" customHeight="1">
      <c r="A22" s="15"/>
      <c r="AX22" s="24"/>
      <c r="AY22" s="15"/>
      <c r="BI22" s="24"/>
    </row>
    <row r="23" spans="1:61" ht="15" customHeight="1">
      <c r="A23" s="15"/>
      <c r="AX23" s="24"/>
      <c r="AY23" s="15"/>
      <c r="BI23" s="24"/>
    </row>
    <row r="24" spans="1:61" ht="15" customHeight="1">
      <c r="A24" s="15"/>
      <c r="AX24" s="24"/>
      <c r="AY24" s="15"/>
      <c r="BI24" s="24"/>
    </row>
    <row r="25" spans="1:61" ht="15" customHeight="1">
      <c r="A25" s="15"/>
      <c r="AX25" s="24"/>
      <c r="AY25" s="15"/>
      <c r="BI25" s="24"/>
    </row>
    <row r="26" spans="1:61" ht="15" customHeight="1">
      <c r="A26" s="15"/>
      <c r="AX26" s="24"/>
      <c r="AY26" s="15"/>
      <c r="BI26" s="24"/>
    </row>
    <row r="27" spans="1:61" ht="15" customHeight="1">
      <c r="A27" s="15"/>
      <c r="AX27" s="24"/>
      <c r="AY27" s="15"/>
      <c r="BI27" s="24"/>
    </row>
    <row r="28" spans="1:61" ht="15" customHeight="1">
      <c r="A28" s="15"/>
      <c r="AX28" s="24"/>
      <c r="AY28" s="15"/>
      <c r="BI28" s="24"/>
    </row>
    <row r="29" spans="1:61" ht="15" customHeight="1">
      <c r="A29" s="15"/>
      <c r="AX29" s="24"/>
      <c r="AY29" s="15"/>
      <c r="BI29" s="24"/>
    </row>
    <row r="30" spans="1:61" ht="15" customHeight="1">
      <c r="A30" s="15"/>
      <c r="AX30" s="24"/>
      <c r="AY30" s="15"/>
      <c r="BI30" s="24"/>
    </row>
    <row r="31" spans="1:61" ht="15" customHeight="1">
      <c r="A31" s="15"/>
      <c r="AX31" s="24"/>
      <c r="AY31" s="15"/>
      <c r="BI31" s="24"/>
    </row>
    <row r="32" spans="1:61" ht="15" customHeight="1">
      <c r="A32" s="15"/>
      <c r="AX32" s="24"/>
      <c r="AY32" s="15"/>
      <c r="BI32" s="24"/>
    </row>
    <row r="33" spans="1:61" ht="15" customHeight="1">
      <c r="A33" s="15"/>
      <c r="AX33" s="24"/>
      <c r="AY33" s="15"/>
      <c r="BI33" s="24"/>
    </row>
    <row r="34" spans="1:61" ht="15" customHeight="1">
      <c r="A34" s="15"/>
      <c r="AX34" s="24"/>
      <c r="AY34" s="15"/>
      <c r="BI34" s="24"/>
    </row>
    <row r="35" spans="1:61" ht="15" customHeight="1">
      <c r="A35" s="15"/>
      <c r="AX35" s="24"/>
      <c r="AY35" s="15"/>
      <c r="BI35" s="24"/>
    </row>
    <row r="36" spans="1:61" ht="15" customHeight="1">
      <c r="A36" s="15"/>
      <c r="AX36" s="24"/>
      <c r="AY36" s="15"/>
      <c r="BI36" s="24"/>
    </row>
    <row r="37" spans="1:61" ht="15" customHeight="1">
      <c r="A37" s="15"/>
      <c r="AX37" s="24"/>
      <c r="AY37" s="15"/>
      <c r="BI37" s="24"/>
    </row>
    <row r="38" spans="1:61" ht="15" customHeight="1" thickBot="1">
      <c r="A38" s="17"/>
      <c r="B38" s="25"/>
      <c r="C38" s="25"/>
      <c r="D38" s="25"/>
      <c r="E38" s="25"/>
      <c r="F38" s="25"/>
      <c r="G38" s="25"/>
      <c r="H38" s="25"/>
      <c r="I38" s="25"/>
      <c r="J38" s="25"/>
      <c r="K38" s="25"/>
      <c r="L38" s="25"/>
      <c r="M38" s="25"/>
      <c r="N38" s="25"/>
      <c r="O38" s="25"/>
      <c r="P38" s="25"/>
      <c r="Q38" s="25"/>
      <c r="R38" s="25"/>
      <c r="S38" s="25"/>
      <c r="T38" s="25"/>
      <c r="U38" s="25"/>
      <c r="V38" s="25"/>
      <c r="W38" s="25"/>
      <c r="X38" s="25"/>
      <c r="Y38" s="25"/>
      <c r="Z38" s="25"/>
      <c r="AA38" s="25"/>
      <c r="AB38" s="25"/>
      <c r="AC38" s="25"/>
      <c r="AD38" s="25"/>
      <c r="AE38" s="25"/>
      <c r="AF38" s="25"/>
      <c r="AG38" s="25"/>
      <c r="AH38" s="25"/>
      <c r="AI38" s="25"/>
      <c r="AJ38" s="25"/>
      <c r="AK38" s="25"/>
      <c r="AL38" s="25"/>
      <c r="AM38" s="25"/>
      <c r="AN38" s="25"/>
      <c r="AO38" s="25"/>
      <c r="AP38" s="25"/>
      <c r="AQ38" s="25"/>
      <c r="AR38" s="25"/>
      <c r="AS38" s="25"/>
      <c r="AT38" s="25"/>
      <c r="AU38" s="25"/>
      <c r="AV38" s="25"/>
      <c r="AW38" s="25"/>
      <c r="AX38" s="26"/>
      <c r="AY38" s="17"/>
      <c r="AZ38" s="25"/>
      <c r="BA38" s="25"/>
      <c r="BB38" s="25"/>
      <c r="BC38" s="25"/>
      <c r="BD38" s="25"/>
      <c r="BE38" s="25"/>
      <c r="BF38" s="25"/>
      <c r="BG38" s="25"/>
      <c r="BH38" s="25"/>
      <c r="BI38" s="26"/>
    </row>
  </sheetData>
  <mergeCells count="23">
    <mergeCell ref="A1:E3"/>
    <mergeCell ref="AE1:AS1"/>
    <mergeCell ref="F2:P3"/>
    <mergeCell ref="Q2:V3"/>
    <mergeCell ref="W2:AD3"/>
    <mergeCell ref="AE2:AS3"/>
    <mergeCell ref="AT3:AU3"/>
    <mergeCell ref="AV3:BA3"/>
    <mergeCell ref="BB3:BI3"/>
    <mergeCell ref="F1:P1"/>
    <mergeCell ref="Q1:V1"/>
    <mergeCell ref="W1:AD1"/>
    <mergeCell ref="AT1:BA1"/>
    <mergeCell ref="BB1:BI1"/>
    <mergeCell ref="AT2:AU2"/>
    <mergeCell ref="AV2:BA2"/>
    <mergeCell ref="BB2:BI2"/>
    <mergeCell ref="A5:AX5"/>
    <mergeCell ref="AY5:BI8"/>
    <mergeCell ref="AI7:AX7"/>
    <mergeCell ref="AI6:AX6"/>
    <mergeCell ref="A7:H7"/>
    <mergeCell ref="AI8:AX8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scale="85" orientation="landscape" verticalDpi="360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C344D7-022C-4AED-8747-624C74E25F82}">
  <sheetPr>
    <tabColor theme="2" tint="-0.249977111117893"/>
  </sheetPr>
  <dimension ref="A1:EF52"/>
  <sheetViews>
    <sheetView showGridLines="0" zoomScaleNormal="100" workbookViewId="0">
      <pane xSplit="18" ySplit="7" topLeftCell="S8" activePane="bottomRight" state="frozen"/>
      <selection pane="topRight" activeCell="M9" sqref="M9:V12"/>
      <selection pane="bottomLeft" activeCell="M9" sqref="M9:V12"/>
      <selection pane="bottomRight" activeCell="M9" sqref="M9:V12"/>
    </sheetView>
  </sheetViews>
  <sheetFormatPr defaultColWidth="2.33203125" defaultRowHeight="15" customHeight="1"/>
  <cols>
    <col min="1" max="16384" width="2.33203125" style="1"/>
  </cols>
  <sheetData>
    <row r="1" spans="1:136" ht="15" customHeight="1" thickBot="1">
      <c r="A1" s="245" t="s">
        <v>32</v>
      </c>
      <c r="B1" s="246"/>
      <c r="C1" s="246"/>
      <c r="D1" s="246"/>
      <c r="E1" s="247"/>
      <c r="F1" s="254" t="str">
        <f>変更履歴!F1</f>
        <v>システム名</v>
      </c>
      <c r="G1" s="255"/>
      <c r="H1" s="255"/>
      <c r="I1" s="255"/>
      <c r="J1" s="255"/>
      <c r="K1" s="255"/>
      <c r="L1" s="255"/>
      <c r="M1" s="255"/>
      <c r="N1" s="255"/>
      <c r="O1" s="255"/>
      <c r="P1" s="256"/>
      <c r="Q1" s="257" t="str">
        <f>変更履歴!Q1</f>
        <v>機能分類</v>
      </c>
      <c r="R1" s="258"/>
      <c r="S1" s="258"/>
      <c r="T1" s="258"/>
      <c r="U1" s="258"/>
      <c r="V1" s="259"/>
      <c r="W1" s="254" t="str">
        <f>変更履歴!W1</f>
        <v>機能ＩＤ</v>
      </c>
      <c r="X1" s="255"/>
      <c r="Y1" s="255"/>
      <c r="Z1" s="255"/>
      <c r="AA1" s="255"/>
      <c r="AB1" s="255"/>
      <c r="AC1" s="255"/>
      <c r="AD1" s="256"/>
      <c r="AE1" s="254" t="str">
        <f>変更履歴!AE1</f>
        <v>機能名称</v>
      </c>
      <c r="AF1" s="255"/>
      <c r="AG1" s="255"/>
      <c r="AH1" s="255"/>
      <c r="AI1" s="255"/>
      <c r="AJ1" s="255"/>
      <c r="AK1" s="255"/>
      <c r="AL1" s="255"/>
      <c r="AM1" s="255"/>
      <c r="AN1" s="255"/>
      <c r="AO1" s="255"/>
      <c r="AP1" s="255"/>
      <c r="AQ1" s="255"/>
      <c r="AR1" s="255"/>
      <c r="AS1" s="256"/>
      <c r="AT1" s="260" t="str">
        <f>変更履歴!AT1</f>
        <v>日付</v>
      </c>
      <c r="AU1" s="261"/>
      <c r="AV1" s="261"/>
      <c r="AW1" s="261"/>
      <c r="AX1" s="261"/>
      <c r="AY1" s="261"/>
      <c r="AZ1" s="261"/>
      <c r="BA1" s="262"/>
      <c r="BB1" s="217" t="str">
        <f>変更履歴!BB1</f>
        <v>更新者</v>
      </c>
      <c r="BC1" s="219"/>
      <c r="BD1" s="219"/>
      <c r="BE1" s="219"/>
      <c r="BF1" s="219"/>
      <c r="BG1" s="219"/>
      <c r="BH1" s="219"/>
      <c r="BI1" s="220"/>
    </row>
    <row r="2" spans="1:136" ht="15" customHeight="1">
      <c r="A2" s="248"/>
      <c r="B2" s="249"/>
      <c r="C2" s="249"/>
      <c r="D2" s="249"/>
      <c r="E2" s="250"/>
      <c r="F2" s="221" t="str">
        <f>変更履歴!F2</f>
        <v>Dynamics365 for Finance and Operations</v>
      </c>
      <c r="G2" s="222"/>
      <c r="H2" s="222"/>
      <c r="I2" s="222"/>
      <c r="J2" s="222"/>
      <c r="K2" s="222"/>
      <c r="L2" s="222"/>
      <c r="M2" s="222"/>
      <c r="N2" s="222"/>
      <c r="O2" s="222"/>
      <c r="P2" s="223"/>
      <c r="Q2" s="221" t="str">
        <f>変更履歴!Q2</f>
        <v>債権・債務</v>
      </c>
      <c r="R2" s="222"/>
      <c r="S2" s="222"/>
      <c r="T2" s="222"/>
      <c r="U2" s="222"/>
      <c r="V2" s="223"/>
      <c r="W2" s="227" t="str">
        <f>変更履歴!W2</f>
        <v>FO-006</v>
      </c>
      <c r="X2" s="228"/>
      <c r="Y2" s="228"/>
      <c r="Z2" s="228"/>
      <c r="AA2" s="228"/>
      <c r="AB2" s="228"/>
      <c r="AC2" s="228"/>
      <c r="AD2" s="229"/>
      <c r="AE2" s="221" t="str">
        <f>変更履歴!AE2</f>
        <v>支払方法・支払サイトマスタ画面</v>
      </c>
      <c r="AF2" s="222"/>
      <c r="AG2" s="222"/>
      <c r="AH2" s="222"/>
      <c r="AI2" s="222"/>
      <c r="AJ2" s="222"/>
      <c r="AK2" s="222"/>
      <c r="AL2" s="222"/>
      <c r="AM2" s="222"/>
      <c r="AN2" s="222"/>
      <c r="AO2" s="222"/>
      <c r="AP2" s="222"/>
      <c r="AQ2" s="222"/>
      <c r="AR2" s="222"/>
      <c r="AS2" s="223"/>
      <c r="AT2" s="233" t="str">
        <f>変更履歴!AT2</f>
        <v>作成</v>
      </c>
      <c r="AU2" s="234"/>
      <c r="AV2" s="235">
        <f>変更履歴!AV2</f>
        <v>45448</v>
      </c>
      <c r="AW2" s="235"/>
      <c r="AX2" s="235"/>
      <c r="AY2" s="235"/>
      <c r="AZ2" s="235"/>
      <c r="BA2" s="236"/>
      <c r="BB2" s="237" t="str">
        <f>変更履歴!BB2</f>
        <v>JBS井田</v>
      </c>
      <c r="BC2" s="239"/>
      <c r="BD2" s="239"/>
      <c r="BE2" s="239"/>
      <c r="BF2" s="239"/>
      <c r="BG2" s="239"/>
      <c r="BH2" s="239"/>
      <c r="BI2" s="240"/>
    </row>
    <row r="3" spans="1:136" ht="15" customHeight="1" thickBot="1">
      <c r="A3" s="251"/>
      <c r="B3" s="252"/>
      <c r="C3" s="252"/>
      <c r="D3" s="252"/>
      <c r="E3" s="253"/>
      <c r="F3" s="224"/>
      <c r="G3" s="225"/>
      <c r="H3" s="225"/>
      <c r="I3" s="225"/>
      <c r="J3" s="225"/>
      <c r="K3" s="225"/>
      <c r="L3" s="225"/>
      <c r="M3" s="225"/>
      <c r="N3" s="225"/>
      <c r="O3" s="225"/>
      <c r="P3" s="226"/>
      <c r="Q3" s="224"/>
      <c r="R3" s="225"/>
      <c r="S3" s="225"/>
      <c r="T3" s="225"/>
      <c r="U3" s="225"/>
      <c r="V3" s="226"/>
      <c r="W3" s="230"/>
      <c r="X3" s="231"/>
      <c r="Y3" s="231"/>
      <c r="Z3" s="231"/>
      <c r="AA3" s="231"/>
      <c r="AB3" s="231"/>
      <c r="AC3" s="231"/>
      <c r="AD3" s="232"/>
      <c r="AE3" s="224"/>
      <c r="AF3" s="225"/>
      <c r="AG3" s="225"/>
      <c r="AH3" s="225"/>
      <c r="AI3" s="225"/>
      <c r="AJ3" s="225"/>
      <c r="AK3" s="225"/>
      <c r="AL3" s="225"/>
      <c r="AM3" s="225"/>
      <c r="AN3" s="225"/>
      <c r="AO3" s="225"/>
      <c r="AP3" s="225"/>
      <c r="AQ3" s="225"/>
      <c r="AR3" s="225"/>
      <c r="AS3" s="226"/>
      <c r="AT3" s="241" t="str">
        <f>変更履歴!AT3</f>
        <v>更新</v>
      </c>
      <c r="AU3" s="242"/>
      <c r="AV3" s="290">
        <f ca="1">変更履歴!AV3</f>
        <v>45589</v>
      </c>
      <c r="AW3" s="291"/>
      <c r="AX3" s="291"/>
      <c r="AY3" s="291"/>
      <c r="AZ3" s="291"/>
      <c r="BA3" s="292"/>
      <c r="BB3" s="294" t="str">
        <f ca="1">変更履歴!BB3</f>
        <v>JBS井田</v>
      </c>
      <c r="BC3" s="295"/>
      <c r="BD3" s="295"/>
      <c r="BE3" s="295"/>
      <c r="BF3" s="295"/>
      <c r="BG3" s="295"/>
      <c r="BH3" s="295"/>
      <c r="BI3" s="296"/>
    </row>
    <row r="4" spans="1:136" ht="15" customHeight="1" thickBot="1"/>
    <row r="5" spans="1:136" ht="15" customHeight="1" thickBot="1">
      <c r="S5" s="469" t="s">
        <v>150</v>
      </c>
      <c r="T5" s="470"/>
      <c r="U5" s="470"/>
      <c r="V5" s="470"/>
      <c r="W5" s="470"/>
      <c r="X5" s="470"/>
      <c r="Y5" s="470"/>
      <c r="Z5" s="470"/>
      <c r="AA5" s="470"/>
      <c r="AB5" s="470" t="s">
        <v>151</v>
      </c>
      <c r="AC5" s="470"/>
      <c r="AD5" s="470"/>
      <c r="AE5" s="470"/>
      <c r="AF5" s="470"/>
      <c r="AG5" s="471"/>
      <c r="AH5" s="472"/>
      <c r="AI5" s="472"/>
      <c r="AJ5" s="472"/>
      <c r="AK5" s="91"/>
    </row>
    <row r="6" spans="1:136" ht="15" customHeight="1">
      <c r="A6" s="473" t="s">
        <v>152</v>
      </c>
      <c r="B6" s="458"/>
      <c r="C6" s="458"/>
      <c r="D6" s="458"/>
      <c r="E6" s="458"/>
      <c r="F6" s="458"/>
      <c r="G6" s="458"/>
      <c r="H6" s="460" t="s">
        <v>52</v>
      </c>
      <c r="I6" s="460"/>
      <c r="J6" s="458" t="s">
        <v>89</v>
      </c>
      <c r="K6" s="458"/>
      <c r="L6" s="458"/>
      <c r="M6" s="458"/>
      <c r="N6" s="458"/>
      <c r="O6" s="458"/>
      <c r="P6" s="458"/>
      <c r="Q6" s="458"/>
      <c r="R6" s="458"/>
      <c r="S6" s="475" t="s">
        <v>153</v>
      </c>
      <c r="T6" s="475"/>
      <c r="U6" s="475"/>
      <c r="V6" s="467" t="s">
        <v>154</v>
      </c>
      <c r="W6" s="467"/>
      <c r="X6" s="467"/>
      <c r="Y6" s="467"/>
      <c r="Z6" s="467"/>
      <c r="AA6" s="467"/>
      <c r="AB6" s="467" t="s">
        <v>155</v>
      </c>
      <c r="AC6" s="467"/>
      <c r="AD6" s="467"/>
      <c r="AE6" s="467" t="s">
        <v>156</v>
      </c>
      <c r="AF6" s="467"/>
      <c r="AG6" s="467"/>
      <c r="AH6" s="460" t="s">
        <v>157</v>
      </c>
      <c r="AI6" s="460"/>
      <c r="AJ6" s="460"/>
      <c r="AK6" s="460" t="s">
        <v>158</v>
      </c>
      <c r="AL6" s="460"/>
      <c r="AM6" s="460"/>
      <c r="AN6" s="460"/>
      <c r="AO6" s="458" t="s">
        <v>159</v>
      </c>
      <c r="AP6" s="458"/>
      <c r="AQ6" s="458"/>
      <c r="AR6" s="458"/>
      <c r="AS6" s="458"/>
      <c r="AT6" s="458"/>
      <c r="AU6" s="458"/>
      <c r="AV6" s="458"/>
      <c r="AW6" s="458"/>
      <c r="AX6" s="458"/>
      <c r="AY6" s="458"/>
      <c r="AZ6" s="458"/>
      <c r="BA6" s="458"/>
      <c r="BB6" s="458"/>
      <c r="BC6" s="458"/>
      <c r="BD6" s="458"/>
      <c r="BE6" s="458"/>
      <c r="BF6" s="458"/>
      <c r="BG6" s="458"/>
      <c r="BH6" s="458"/>
      <c r="BI6" s="458"/>
      <c r="BJ6" s="458"/>
      <c r="BK6" s="458"/>
      <c r="BL6" s="458" t="s">
        <v>57</v>
      </c>
      <c r="BM6" s="458"/>
      <c r="BN6" s="458"/>
      <c r="BO6" s="458"/>
      <c r="BP6" s="458"/>
      <c r="BQ6" s="458"/>
      <c r="BR6" s="458"/>
      <c r="BS6" s="458"/>
      <c r="BT6" s="458"/>
      <c r="BU6" s="458"/>
      <c r="BV6" s="458"/>
      <c r="BW6" s="458"/>
      <c r="BX6" s="458"/>
      <c r="BY6" s="458"/>
      <c r="BZ6" s="458"/>
      <c r="CA6" s="458"/>
      <c r="CB6" s="458"/>
      <c r="CC6" s="458" t="s">
        <v>160</v>
      </c>
      <c r="CD6" s="458"/>
      <c r="CE6" s="458"/>
      <c r="CF6" s="458"/>
      <c r="CG6" s="458"/>
      <c r="CH6" s="458"/>
      <c r="CI6" s="458"/>
      <c r="CJ6" s="458"/>
      <c r="CK6" s="458"/>
      <c r="CL6" s="458"/>
      <c r="CM6" s="458"/>
      <c r="CN6" s="458"/>
      <c r="CO6" s="458" t="s">
        <v>161</v>
      </c>
      <c r="CP6" s="458"/>
      <c r="CQ6" s="458"/>
      <c r="CR6" s="458"/>
      <c r="CS6" s="458"/>
      <c r="CT6" s="458"/>
      <c r="CU6" s="458"/>
      <c r="CV6" s="458"/>
      <c r="CW6" s="458"/>
      <c r="CX6" s="458"/>
      <c r="CY6" s="458"/>
      <c r="CZ6" s="458"/>
      <c r="DA6" s="460" t="s">
        <v>162</v>
      </c>
      <c r="DB6" s="460"/>
      <c r="DC6" s="460"/>
      <c r="DD6" s="460"/>
      <c r="DE6" s="460"/>
      <c r="DF6" s="460"/>
      <c r="DG6" s="458" t="s">
        <v>163</v>
      </c>
      <c r="DH6" s="458"/>
      <c r="DI6" s="458"/>
      <c r="DJ6" s="458"/>
      <c r="DK6" s="458"/>
      <c r="DL6" s="458"/>
      <c r="DM6" s="458"/>
      <c r="DN6" s="458"/>
      <c r="DO6" s="458"/>
      <c r="DP6" s="458"/>
      <c r="DQ6" s="458"/>
      <c r="DR6" s="458"/>
      <c r="DS6" s="458"/>
      <c r="DT6" s="458" t="s">
        <v>164</v>
      </c>
      <c r="DU6" s="458"/>
      <c r="DV6" s="458"/>
      <c r="DW6" s="458"/>
      <c r="DX6" s="458"/>
      <c r="DY6" s="458"/>
      <c r="DZ6" s="458"/>
      <c r="EA6" s="458"/>
      <c r="EB6" s="458"/>
      <c r="EC6" s="458"/>
      <c r="ED6" s="458"/>
      <c r="EE6" s="458"/>
      <c r="EF6" s="462"/>
    </row>
    <row r="7" spans="1:136" ht="15" customHeight="1">
      <c r="A7" s="474"/>
      <c r="B7" s="459"/>
      <c r="C7" s="459"/>
      <c r="D7" s="459"/>
      <c r="E7" s="459"/>
      <c r="F7" s="459"/>
      <c r="G7" s="459"/>
      <c r="H7" s="461"/>
      <c r="I7" s="461"/>
      <c r="J7" s="459"/>
      <c r="K7" s="459"/>
      <c r="L7" s="459"/>
      <c r="M7" s="459"/>
      <c r="N7" s="459"/>
      <c r="O7" s="459"/>
      <c r="P7" s="459"/>
      <c r="Q7" s="459"/>
      <c r="R7" s="459"/>
      <c r="S7" s="461"/>
      <c r="T7" s="461"/>
      <c r="U7" s="461"/>
      <c r="V7" s="459"/>
      <c r="W7" s="459"/>
      <c r="X7" s="459"/>
      <c r="Y7" s="459"/>
      <c r="Z7" s="459"/>
      <c r="AA7" s="459"/>
      <c r="AB7" s="459"/>
      <c r="AC7" s="459"/>
      <c r="AD7" s="459"/>
      <c r="AE7" s="459"/>
      <c r="AF7" s="459"/>
      <c r="AG7" s="459"/>
      <c r="AH7" s="461"/>
      <c r="AI7" s="461"/>
      <c r="AJ7" s="461"/>
      <c r="AK7" s="461"/>
      <c r="AL7" s="461"/>
      <c r="AM7" s="461"/>
      <c r="AN7" s="461"/>
      <c r="AO7" s="459"/>
      <c r="AP7" s="459"/>
      <c r="AQ7" s="459"/>
      <c r="AR7" s="459"/>
      <c r="AS7" s="459"/>
      <c r="AT7" s="459"/>
      <c r="AU7" s="459"/>
      <c r="AV7" s="459"/>
      <c r="AW7" s="459"/>
      <c r="AX7" s="459"/>
      <c r="AY7" s="459"/>
      <c r="AZ7" s="459"/>
      <c r="BA7" s="459"/>
      <c r="BB7" s="459"/>
      <c r="BC7" s="459"/>
      <c r="BD7" s="459"/>
      <c r="BE7" s="459"/>
      <c r="BF7" s="459"/>
      <c r="BG7" s="459"/>
      <c r="BH7" s="459"/>
      <c r="BI7" s="459"/>
      <c r="BJ7" s="459"/>
      <c r="BK7" s="459"/>
      <c r="BL7" s="459"/>
      <c r="BM7" s="459"/>
      <c r="BN7" s="459"/>
      <c r="BO7" s="459"/>
      <c r="BP7" s="459"/>
      <c r="BQ7" s="459"/>
      <c r="BR7" s="459"/>
      <c r="BS7" s="459"/>
      <c r="BT7" s="459"/>
      <c r="BU7" s="459"/>
      <c r="BV7" s="459"/>
      <c r="BW7" s="459"/>
      <c r="BX7" s="459"/>
      <c r="BY7" s="459"/>
      <c r="BZ7" s="459"/>
      <c r="CA7" s="459"/>
      <c r="CB7" s="459"/>
      <c r="CC7" s="459"/>
      <c r="CD7" s="459"/>
      <c r="CE7" s="459"/>
      <c r="CF7" s="459"/>
      <c r="CG7" s="459"/>
      <c r="CH7" s="459"/>
      <c r="CI7" s="459"/>
      <c r="CJ7" s="459"/>
      <c r="CK7" s="459"/>
      <c r="CL7" s="459"/>
      <c r="CM7" s="459"/>
      <c r="CN7" s="459"/>
      <c r="CO7" s="459"/>
      <c r="CP7" s="459"/>
      <c r="CQ7" s="459"/>
      <c r="CR7" s="459"/>
      <c r="CS7" s="459"/>
      <c r="CT7" s="459"/>
      <c r="CU7" s="459"/>
      <c r="CV7" s="459"/>
      <c r="CW7" s="459"/>
      <c r="CX7" s="459"/>
      <c r="CY7" s="459"/>
      <c r="CZ7" s="459"/>
      <c r="DA7" s="461"/>
      <c r="DB7" s="461"/>
      <c r="DC7" s="461"/>
      <c r="DD7" s="461"/>
      <c r="DE7" s="461"/>
      <c r="DF7" s="461"/>
      <c r="DG7" s="459"/>
      <c r="DH7" s="459"/>
      <c r="DI7" s="459"/>
      <c r="DJ7" s="459"/>
      <c r="DK7" s="459"/>
      <c r="DL7" s="459"/>
      <c r="DM7" s="459"/>
      <c r="DN7" s="459"/>
      <c r="DO7" s="459"/>
      <c r="DP7" s="459"/>
      <c r="DQ7" s="459"/>
      <c r="DR7" s="459"/>
      <c r="DS7" s="459"/>
      <c r="DT7" s="459"/>
      <c r="DU7" s="459"/>
      <c r="DV7" s="459"/>
      <c r="DW7" s="459"/>
      <c r="DX7" s="459"/>
      <c r="DY7" s="459"/>
      <c r="DZ7" s="459"/>
      <c r="EA7" s="459"/>
      <c r="EB7" s="459"/>
      <c r="EC7" s="459"/>
      <c r="ED7" s="459"/>
      <c r="EE7" s="459"/>
      <c r="EF7" s="463"/>
    </row>
    <row r="8" spans="1:136" ht="15" customHeight="1">
      <c r="A8" s="434" t="s">
        <v>165</v>
      </c>
      <c r="B8" s="435"/>
      <c r="C8" s="435"/>
      <c r="D8" s="435"/>
      <c r="E8" s="435"/>
      <c r="F8" s="435"/>
      <c r="G8" s="436"/>
      <c r="H8" s="414">
        <f>ROW()-7</f>
        <v>1</v>
      </c>
      <c r="I8" s="415"/>
      <c r="J8" s="464"/>
      <c r="K8" s="465"/>
      <c r="L8" s="465"/>
      <c r="M8" s="465"/>
      <c r="N8" s="465"/>
      <c r="O8" s="465"/>
      <c r="P8" s="465"/>
      <c r="Q8" s="465"/>
      <c r="R8" s="466"/>
      <c r="S8" s="416"/>
      <c r="T8" s="298"/>
      <c r="U8" s="417"/>
      <c r="V8" s="464"/>
      <c r="W8" s="465"/>
      <c r="X8" s="465"/>
      <c r="Y8" s="465"/>
      <c r="Z8" s="465"/>
      <c r="AA8" s="466"/>
      <c r="AB8" s="464"/>
      <c r="AC8" s="465"/>
      <c r="AD8" s="466"/>
      <c r="AE8" s="464"/>
      <c r="AF8" s="465"/>
      <c r="AG8" s="466"/>
      <c r="AH8" s="414"/>
      <c r="AI8" s="450"/>
      <c r="AJ8" s="415"/>
      <c r="AK8" s="451"/>
      <c r="AL8" s="452"/>
      <c r="AM8" s="452"/>
      <c r="AN8" s="453"/>
      <c r="AO8" s="454"/>
      <c r="AP8" s="454"/>
      <c r="AQ8" s="454"/>
      <c r="AR8" s="454"/>
      <c r="AS8" s="454"/>
      <c r="AT8" s="454"/>
      <c r="AU8" s="454"/>
      <c r="AV8" s="454"/>
      <c r="AW8" s="454"/>
      <c r="AX8" s="454"/>
      <c r="AY8" s="454"/>
      <c r="AZ8" s="454"/>
      <c r="BA8" s="454"/>
      <c r="BB8" s="454"/>
      <c r="BC8" s="454"/>
      <c r="BD8" s="454"/>
      <c r="BE8" s="454"/>
      <c r="BF8" s="454"/>
      <c r="BG8" s="454"/>
      <c r="BH8" s="454"/>
      <c r="BI8" s="454"/>
      <c r="BJ8" s="454"/>
      <c r="BK8" s="454"/>
      <c r="BL8" s="455"/>
      <c r="BM8" s="456"/>
      <c r="BN8" s="456"/>
      <c r="BO8" s="456"/>
      <c r="BP8" s="456"/>
      <c r="BQ8" s="456"/>
      <c r="BR8" s="456"/>
      <c r="BS8" s="456"/>
      <c r="BT8" s="456"/>
      <c r="BU8" s="456"/>
      <c r="BV8" s="456"/>
      <c r="BW8" s="456"/>
      <c r="BX8" s="456"/>
      <c r="BY8" s="456"/>
      <c r="BZ8" s="456"/>
      <c r="CA8" s="456"/>
      <c r="CB8" s="457"/>
      <c r="CC8" s="455"/>
      <c r="CD8" s="456"/>
      <c r="CE8" s="456"/>
      <c r="CF8" s="456"/>
      <c r="CG8" s="456"/>
      <c r="CH8" s="456"/>
      <c r="CI8" s="456"/>
      <c r="CJ8" s="456"/>
      <c r="CK8" s="456"/>
      <c r="CL8" s="456"/>
      <c r="CM8" s="456"/>
      <c r="CN8" s="457"/>
      <c r="CO8" s="455"/>
      <c r="CP8" s="456"/>
      <c r="CQ8" s="456"/>
      <c r="CR8" s="456"/>
      <c r="CS8" s="456"/>
      <c r="CT8" s="456"/>
      <c r="CU8" s="456"/>
      <c r="CV8" s="456"/>
      <c r="CW8" s="456"/>
      <c r="CX8" s="456"/>
      <c r="CY8" s="456"/>
      <c r="CZ8" s="457"/>
      <c r="DA8" s="451" t="s">
        <v>166</v>
      </c>
      <c r="DB8" s="452"/>
      <c r="DC8" s="452"/>
      <c r="DD8" s="452"/>
      <c r="DE8" s="452"/>
      <c r="DF8" s="453"/>
      <c r="DG8" s="455"/>
      <c r="DH8" s="456"/>
      <c r="DI8" s="456"/>
      <c r="DJ8" s="456"/>
      <c r="DK8" s="456"/>
      <c r="DL8" s="456"/>
      <c r="DM8" s="456"/>
      <c r="DN8" s="456"/>
      <c r="DO8" s="456"/>
      <c r="DP8" s="456"/>
      <c r="DQ8" s="456"/>
      <c r="DR8" s="456"/>
      <c r="DS8" s="457"/>
      <c r="DT8" s="455"/>
      <c r="DU8" s="456"/>
      <c r="DV8" s="456"/>
      <c r="DW8" s="456"/>
      <c r="DX8" s="456"/>
      <c r="DY8" s="456"/>
      <c r="DZ8" s="456"/>
      <c r="EA8" s="456"/>
      <c r="EB8" s="456"/>
      <c r="EC8" s="456"/>
      <c r="ED8" s="456"/>
      <c r="EE8" s="456"/>
      <c r="EF8" s="468"/>
    </row>
    <row r="9" spans="1:136" ht="15" customHeight="1">
      <c r="A9" s="434"/>
      <c r="B9" s="435"/>
      <c r="C9" s="435"/>
      <c r="D9" s="435"/>
      <c r="E9" s="435"/>
      <c r="F9" s="435"/>
      <c r="G9" s="436"/>
      <c r="H9" s="414">
        <f t="shared" ref="H9:H51" si="0">ROW()-7</f>
        <v>2</v>
      </c>
      <c r="I9" s="415"/>
      <c r="J9" s="416"/>
      <c r="K9" s="298"/>
      <c r="L9" s="298"/>
      <c r="M9" s="298"/>
      <c r="N9" s="298"/>
      <c r="O9" s="298"/>
      <c r="P9" s="298"/>
      <c r="Q9" s="298"/>
      <c r="R9" s="417"/>
      <c r="S9" s="418"/>
      <c r="T9" s="418"/>
      <c r="U9" s="418"/>
      <c r="V9" s="416"/>
      <c r="W9" s="298"/>
      <c r="X9" s="298"/>
      <c r="Y9" s="298"/>
      <c r="Z9" s="298"/>
      <c r="AA9" s="417"/>
      <c r="AB9" s="416"/>
      <c r="AC9" s="298"/>
      <c r="AD9" s="417"/>
      <c r="AE9" s="416"/>
      <c r="AF9" s="298"/>
      <c r="AG9" s="417"/>
      <c r="AH9" s="425"/>
      <c r="AI9" s="426"/>
      <c r="AJ9" s="427"/>
      <c r="AK9" s="411"/>
      <c r="AL9" s="412"/>
      <c r="AM9" s="412"/>
      <c r="AN9" s="413"/>
      <c r="AO9" s="449"/>
      <c r="AP9" s="449"/>
      <c r="AQ9" s="449"/>
      <c r="AR9" s="449"/>
      <c r="AS9" s="449"/>
      <c r="AT9" s="449"/>
      <c r="AU9" s="449"/>
      <c r="AV9" s="449"/>
      <c r="AW9" s="449"/>
      <c r="AX9" s="449"/>
      <c r="AY9" s="449"/>
      <c r="AZ9" s="449"/>
      <c r="BA9" s="449"/>
      <c r="BB9" s="449"/>
      <c r="BC9" s="449"/>
      <c r="BD9" s="449"/>
      <c r="BE9" s="449"/>
      <c r="BF9" s="449"/>
      <c r="BG9" s="449"/>
      <c r="BH9" s="449"/>
      <c r="BI9" s="449"/>
      <c r="BJ9" s="449"/>
      <c r="BK9" s="449"/>
      <c r="BL9" s="409"/>
      <c r="BM9" s="308"/>
      <c r="BN9" s="308"/>
      <c r="BO9" s="308"/>
      <c r="BP9" s="308"/>
      <c r="BQ9" s="308"/>
      <c r="BR9" s="308"/>
      <c r="BS9" s="308"/>
      <c r="BT9" s="308"/>
      <c r="BU9" s="308"/>
      <c r="BV9" s="308"/>
      <c r="BW9" s="308"/>
      <c r="BX9" s="308"/>
      <c r="BY9" s="308"/>
      <c r="BZ9" s="308"/>
      <c r="CA9" s="308"/>
      <c r="CB9" s="410"/>
      <c r="CC9" s="405"/>
      <c r="CD9" s="406"/>
      <c r="CE9" s="406"/>
      <c r="CF9" s="406"/>
      <c r="CG9" s="406"/>
      <c r="CH9" s="406"/>
      <c r="CI9" s="406"/>
      <c r="CJ9" s="406"/>
      <c r="CK9" s="406"/>
      <c r="CL9" s="406"/>
      <c r="CM9" s="406"/>
      <c r="CN9" s="407"/>
      <c r="CO9" s="405"/>
      <c r="CP9" s="406"/>
      <c r="CQ9" s="406"/>
      <c r="CR9" s="406"/>
      <c r="CS9" s="406"/>
      <c r="CT9" s="406"/>
      <c r="CU9" s="406"/>
      <c r="CV9" s="406"/>
      <c r="CW9" s="406"/>
      <c r="CX9" s="406"/>
      <c r="CY9" s="406"/>
      <c r="CZ9" s="407"/>
      <c r="DA9" s="411" t="s">
        <v>166</v>
      </c>
      <c r="DB9" s="412"/>
      <c r="DC9" s="412"/>
      <c r="DD9" s="412"/>
      <c r="DE9" s="412"/>
      <c r="DF9" s="413"/>
      <c r="DG9" s="405"/>
      <c r="DH9" s="406"/>
      <c r="DI9" s="406"/>
      <c r="DJ9" s="406"/>
      <c r="DK9" s="406"/>
      <c r="DL9" s="406"/>
      <c r="DM9" s="406"/>
      <c r="DN9" s="406"/>
      <c r="DO9" s="406"/>
      <c r="DP9" s="406"/>
      <c r="DQ9" s="406"/>
      <c r="DR9" s="406"/>
      <c r="DS9" s="407"/>
      <c r="DT9" s="405"/>
      <c r="DU9" s="406"/>
      <c r="DV9" s="406"/>
      <c r="DW9" s="406"/>
      <c r="DX9" s="406"/>
      <c r="DY9" s="406"/>
      <c r="DZ9" s="406"/>
      <c r="EA9" s="406"/>
      <c r="EB9" s="406"/>
      <c r="EC9" s="406"/>
      <c r="ED9" s="406"/>
      <c r="EE9" s="406"/>
      <c r="EF9" s="408"/>
    </row>
    <row r="10" spans="1:136" ht="15" customHeight="1">
      <c r="A10" s="434"/>
      <c r="B10" s="435"/>
      <c r="C10" s="435"/>
      <c r="D10" s="435"/>
      <c r="E10" s="435"/>
      <c r="F10" s="435"/>
      <c r="G10" s="436"/>
      <c r="H10" s="414">
        <f t="shared" si="0"/>
        <v>3</v>
      </c>
      <c r="I10" s="415"/>
      <c r="J10" s="416"/>
      <c r="K10" s="298"/>
      <c r="L10" s="298"/>
      <c r="M10" s="298"/>
      <c r="N10" s="298"/>
      <c r="O10" s="298"/>
      <c r="P10" s="298"/>
      <c r="Q10" s="298"/>
      <c r="R10" s="417"/>
      <c r="S10" s="418"/>
      <c r="T10" s="418"/>
      <c r="U10" s="418"/>
      <c r="V10" s="416"/>
      <c r="W10" s="298"/>
      <c r="X10" s="298"/>
      <c r="Y10" s="298"/>
      <c r="Z10" s="298"/>
      <c r="AA10" s="417"/>
      <c r="AB10" s="416"/>
      <c r="AC10" s="298"/>
      <c r="AD10" s="417"/>
      <c r="AE10" s="416"/>
      <c r="AF10" s="298"/>
      <c r="AG10" s="417"/>
      <c r="AH10" s="425"/>
      <c r="AI10" s="426"/>
      <c r="AJ10" s="427"/>
      <c r="AK10" s="411"/>
      <c r="AL10" s="412"/>
      <c r="AM10" s="412"/>
      <c r="AN10" s="413"/>
      <c r="AO10" s="449"/>
      <c r="AP10" s="449"/>
      <c r="AQ10" s="449"/>
      <c r="AR10" s="449"/>
      <c r="AS10" s="449"/>
      <c r="AT10" s="449"/>
      <c r="AU10" s="449"/>
      <c r="AV10" s="449"/>
      <c r="AW10" s="449"/>
      <c r="AX10" s="449"/>
      <c r="AY10" s="449"/>
      <c r="AZ10" s="449"/>
      <c r="BA10" s="449"/>
      <c r="BB10" s="449"/>
      <c r="BC10" s="449"/>
      <c r="BD10" s="449"/>
      <c r="BE10" s="449"/>
      <c r="BF10" s="449"/>
      <c r="BG10" s="449"/>
      <c r="BH10" s="449"/>
      <c r="BI10" s="449"/>
      <c r="BJ10" s="449"/>
      <c r="BK10" s="449"/>
      <c r="BL10" s="409"/>
      <c r="BM10" s="308"/>
      <c r="BN10" s="308"/>
      <c r="BO10" s="308"/>
      <c r="BP10" s="308"/>
      <c r="BQ10" s="308"/>
      <c r="BR10" s="308"/>
      <c r="BS10" s="308"/>
      <c r="BT10" s="308"/>
      <c r="BU10" s="308"/>
      <c r="BV10" s="308"/>
      <c r="BW10" s="308"/>
      <c r="BX10" s="308"/>
      <c r="BY10" s="308"/>
      <c r="BZ10" s="308"/>
      <c r="CA10" s="308"/>
      <c r="CB10" s="410"/>
      <c r="CC10" s="405"/>
      <c r="CD10" s="406"/>
      <c r="CE10" s="406"/>
      <c r="CF10" s="406"/>
      <c r="CG10" s="406"/>
      <c r="CH10" s="406"/>
      <c r="CI10" s="406"/>
      <c r="CJ10" s="406"/>
      <c r="CK10" s="406"/>
      <c r="CL10" s="406"/>
      <c r="CM10" s="406"/>
      <c r="CN10" s="407"/>
      <c r="CO10" s="405"/>
      <c r="CP10" s="406"/>
      <c r="CQ10" s="406"/>
      <c r="CR10" s="406"/>
      <c r="CS10" s="406"/>
      <c r="CT10" s="406"/>
      <c r="CU10" s="406"/>
      <c r="CV10" s="406"/>
      <c r="CW10" s="406"/>
      <c r="CX10" s="406"/>
      <c r="CY10" s="406"/>
      <c r="CZ10" s="407"/>
      <c r="DA10" s="411" t="s">
        <v>166</v>
      </c>
      <c r="DB10" s="412"/>
      <c r="DC10" s="412"/>
      <c r="DD10" s="412"/>
      <c r="DE10" s="412"/>
      <c r="DF10" s="413"/>
      <c r="DG10" s="405"/>
      <c r="DH10" s="406"/>
      <c r="DI10" s="406"/>
      <c r="DJ10" s="406"/>
      <c r="DK10" s="406"/>
      <c r="DL10" s="406"/>
      <c r="DM10" s="406"/>
      <c r="DN10" s="406"/>
      <c r="DO10" s="406"/>
      <c r="DP10" s="406"/>
      <c r="DQ10" s="406"/>
      <c r="DR10" s="406"/>
      <c r="DS10" s="407"/>
      <c r="DT10" s="405"/>
      <c r="DU10" s="406"/>
      <c r="DV10" s="406"/>
      <c r="DW10" s="406"/>
      <c r="DX10" s="406"/>
      <c r="DY10" s="406"/>
      <c r="DZ10" s="406"/>
      <c r="EA10" s="406"/>
      <c r="EB10" s="406"/>
      <c r="EC10" s="406"/>
      <c r="ED10" s="406"/>
      <c r="EE10" s="406"/>
      <c r="EF10" s="408"/>
    </row>
    <row r="11" spans="1:136" ht="15" customHeight="1">
      <c r="A11" s="434"/>
      <c r="B11" s="435"/>
      <c r="C11" s="435"/>
      <c r="D11" s="435"/>
      <c r="E11" s="435"/>
      <c r="F11" s="435"/>
      <c r="G11" s="436"/>
      <c r="H11" s="414">
        <f t="shared" si="0"/>
        <v>4</v>
      </c>
      <c r="I11" s="415"/>
      <c r="J11" s="416"/>
      <c r="K11" s="298"/>
      <c r="L11" s="298"/>
      <c r="M11" s="298"/>
      <c r="N11" s="298"/>
      <c r="O11" s="298"/>
      <c r="P11" s="298"/>
      <c r="Q11" s="298"/>
      <c r="R11" s="417"/>
      <c r="S11" s="418"/>
      <c r="T11" s="418"/>
      <c r="U11" s="418"/>
      <c r="V11" s="416"/>
      <c r="W11" s="298"/>
      <c r="X11" s="298"/>
      <c r="Y11" s="298"/>
      <c r="Z11" s="298"/>
      <c r="AA11" s="417"/>
      <c r="AB11" s="416"/>
      <c r="AC11" s="298"/>
      <c r="AD11" s="417"/>
      <c r="AE11" s="416"/>
      <c r="AF11" s="298"/>
      <c r="AG11" s="417"/>
      <c r="AH11" s="425"/>
      <c r="AI11" s="426"/>
      <c r="AJ11" s="427"/>
      <c r="AK11" s="411"/>
      <c r="AL11" s="412"/>
      <c r="AM11" s="412"/>
      <c r="AN11" s="413"/>
      <c r="AO11" s="449"/>
      <c r="AP11" s="449"/>
      <c r="AQ11" s="449"/>
      <c r="AR11" s="449"/>
      <c r="AS11" s="449"/>
      <c r="AT11" s="449"/>
      <c r="AU11" s="449"/>
      <c r="AV11" s="449"/>
      <c r="AW11" s="449"/>
      <c r="AX11" s="449"/>
      <c r="AY11" s="449"/>
      <c r="AZ11" s="449"/>
      <c r="BA11" s="449"/>
      <c r="BB11" s="449"/>
      <c r="BC11" s="449"/>
      <c r="BD11" s="449"/>
      <c r="BE11" s="449"/>
      <c r="BF11" s="449"/>
      <c r="BG11" s="449"/>
      <c r="BH11" s="449"/>
      <c r="BI11" s="449"/>
      <c r="BJ11" s="449"/>
      <c r="BK11" s="449"/>
      <c r="BL11" s="409"/>
      <c r="BM11" s="308"/>
      <c r="BN11" s="308"/>
      <c r="BO11" s="308"/>
      <c r="BP11" s="308"/>
      <c r="BQ11" s="308"/>
      <c r="BR11" s="308"/>
      <c r="BS11" s="308"/>
      <c r="BT11" s="308"/>
      <c r="BU11" s="308"/>
      <c r="BV11" s="308"/>
      <c r="BW11" s="308"/>
      <c r="BX11" s="308"/>
      <c r="BY11" s="308"/>
      <c r="BZ11" s="308"/>
      <c r="CA11" s="308"/>
      <c r="CB11" s="410"/>
      <c r="CC11" s="405"/>
      <c r="CD11" s="406"/>
      <c r="CE11" s="406"/>
      <c r="CF11" s="406"/>
      <c r="CG11" s="406"/>
      <c r="CH11" s="406"/>
      <c r="CI11" s="406"/>
      <c r="CJ11" s="406"/>
      <c r="CK11" s="406"/>
      <c r="CL11" s="406"/>
      <c r="CM11" s="406"/>
      <c r="CN11" s="407"/>
      <c r="CO11" s="405"/>
      <c r="CP11" s="406"/>
      <c r="CQ11" s="406"/>
      <c r="CR11" s="406"/>
      <c r="CS11" s="406"/>
      <c r="CT11" s="406"/>
      <c r="CU11" s="406"/>
      <c r="CV11" s="406"/>
      <c r="CW11" s="406"/>
      <c r="CX11" s="406"/>
      <c r="CY11" s="406"/>
      <c r="CZ11" s="407"/>
      <c r="DA11" s="411" t="s">
        <v>166</v>
      </c>
      <c r="DB11" s="412"/>
      <c r="DC11" s="412"/>
      <c r="DD11" s="412"/>
      <c r="DE11" s="412"/>
      <c r="DF11" s="413"/>
      <c r="DG11" s="405"/>
      <c r="DH11" s="406"/>
      <c r="DI11" s="406"/>
      <c r="DJ11" s="406"/>
      <c r="DK11" s="406"/>
      <c r="DL11" s="406"/>
      <c r="DM11" s="406"/>
      <c r="DN11" s="406"/>
      <c r="DO11" s="406"/>
      <c r="DP11" s="406"/>
      <c r="DQ11" s="406"/>
      <c r="DR11" s="406"/>
      <c r="DS11" s="407"/>
      <c r="DT11" s="405"/>
      <c r="DU11" s="406"/>
      <c r="DV11" s="406"/>
      <c r="DW11" s="406"/>
      <c r="DX11" s="406"/>
      <c r="DY11" s="406"/>
      <c r="DZ11" s="406"/>
      <c r="EA11" s="406"/>
      <c r="EB11" s="406"/>
      <c r="EC11" s="406"/>
      <c r="ED11" s="406"/>
      <c r="EE11" s="406"/>
      <c r="EF11" s="408"/>
    </row>
    <row r="12" spans="1:136" ht="15" customHeight="1">
      <c r="A12" s="434"/>
      <c r="B12" s="435"/>
      <c r="C12" s="435"/>
      <c r="D12" s="435"/>
      <c r="E12" s="435"/>
      <c r="F12" s="435"/>
      <c r="G12" s="436"/>
      <c r="H12" s="414">
        <f t="shared" si="0"/>
        <v>5</v>
      </c>
      <c r="I12" s="415"/>
      <c r="J12" s="416"/>
      <c r="K12" s="298"/>
      <c r="L12" s="298"/>
      <c r="M12" s="298"/>
      <c r="N12" s="298"/>
      <c r="O12" s="298"/>
      <c r="P12" s="298"/>
      <c r="Q12" s="298"/>
      <c r="R12" s="417"/>
      <c r="S12" s="418"/>
      <c r="T12" s="418"/>
      <c r="U12" s="418"/>
      <c r="V12" s="416"/>
      <c r="W12" s="298"/>
      <c r="X12" s="298"/>
      <c r="Y12" s="298"/>
      <c r="Z12" s="298"/>
      <c r="AA12" s="417"/>
      <c r="AB12" s="416"/>
      <c r="AC12" s="298"/>
      <c r="AD12" s="417"/>
      <c r="AE12" s="416"/>
      <c r="AF12" s="298"/>
      <c r="AG12" s="417"/>
      <c r="AH12" s="425"/>
      <c r="AI12" s="426"/>
      <c r="AJ12" s="427"/>
      <c r="AK12" s="411"/>
      <c r="AL12" s="412"/>
      <c r="AM12" s="412"/>
      <c r="AN12" s="413"/>
      <c r="AO12" s="449"/>
      <c r="AP12" s="449"/>
      <c r="AQ12" s="449"/>
      <c r="AR12" s="449"/>
      <c r="AS12" s="449"/>
      <c r="AT12" s="449"/>
      <c r="AU12" s="449"/>
      <c r="AV12" s="449"/>
      <c r="AW12" s="449"/>
      <c r="AX12" s="449"/>
      <c r="AY12" s="449"/>
      <c r="AZ12" s="449"/>
      <c r="BA12" s="449"/>
      <c r="BB12" s="449"/>
      <c r="BC12" s="449"/>
      <c r="BD12" s="449"/>
      <c r="BE12" s="449"/>
      <c r="BF12" s="449"/>
      <c r="BG12" s="449"/>
      <c r="BH12" s="449"/>
      <c r="BI12" s="449"/>
      <c r="BJ12" s="449"/>
      <c r="BK12" s="449"/>
      <c r="BL12" s="409"/>
      <c r="BM12" s="308"/>
      <c r="BN12" s="308"/>
      <c r="BO12" s="308"/>
      <c r="BP12" s="308"/>
      <c r="BQ12" s="308"/>
      <c r="BR12" s="308"/>
      <c r="BS12" s="308"/>
      <c r="BT12" s="308"/>
      <c r="BU12" s="308"/>
      <c r="BV12" s="308"/>
      <c r="BW12" s="308"/>
      <c r="BX12" s="308"/>
      <c r="BY12" s="308"/>
      <c r="BZ12" s="308"/>
      <c r="CA12" s="308"/>
      <c r="CB12" s="410"/>
      <c r="CC12" s="405"/>
      <c r="CD12" s="406"/>
      <c r="CE12" s="406"/>
      <c r="CF12" s="406"/>
      <c r="CG12" s="406"/>
      <c r="CH12" s="406"/>
      <c r="CI12" s="406"/>
      <c r="CJ12" s="406"/>
      <c r="CK12" s="406"/>
      <c r="CL12" s="406"/>
      <c r="CM12" s="406"/>
      <c r="CN12" s="407"/>
      <c r="CO12" s="405"/>
      <c r="CP12" s="406"/>
      <c r="CQ12" s="406"/>
      <c r="CR12" s="406"/>
      <c r="CS12" s="406"/>
      <c r="CT12" s="406"/>
      <c r="CU12" s="406"/>
      <c r="CV12" s="406"/>
      <c r="CW12" s="406"/>
      <c r="CX12" s="406"/>
      <c r="CY12" s="406"/>
      <c r="CZ12" s="407"/>
      <c r="DA12" s="411" t="s">
        <v>166</v>
      </c>
      <c r="DB12" s="412"/>
      <c r="DC12" s="412"/>
      <c r="DD12" s="412"/>
      <c r="DE12" s="412"/>
      <c r="DF12" s="413"/>
      <c r="DG12" s="405"/>
      <c r="DH12" s="406"/>
      <c r="DI12" s="406"/>
      <c r="DJ12" s="406"/>
      <c r="DK12" s="406"/>
      <c r="DL12" s="406"/>
      <c r="DM12" s="406"/>
      <c r="DN12" s="406"/>
      <c r="DO12" s="406"/>
      <c r="DP12" s="406"/>
      <c r="DQ12" s="406"/>
      <c r="DR12" s="406"/>
      <c r="DS12" s="407"/>
      <c r="DT12" s="405"/>
      <c r="DU12" s="406"/>
      <c r="DV12" s="406"/>
      <c r="DW12" s="406"/>
      <c r="DX12" s="406"/>
      <c r="DY12" s="406"/>
      <c r="DZ12" s="406"/>
      <c r="EA12" s="406"/>
      <c r="EB12" s="406"/>
      <c r="EC12" s="406"/>
      <c r="ED12" s="406"/>
      <c r="EE12" s="406"/>
      <c r="EF12" s="408"/>
    </row>
    <row r="13" spans="1:136" ht="15" customHeight="1">
      <c r="A13" s="434"/>
      <c r="B13" s="435"/>
      <c r="C13" s="435"/>
      <c r="D13" s="435"/>
      <c r="E13" s="435"/>
      <c r="F13" s="435"/>
      <c r="G13" s="436"/>
      <c r="H13" s="414">
        <f t="shared" si="0"/>
        <v>6</v>
      </c>
      <c r="I13" s="415"/>
      <c r="J13" s="416"/>
      <c r="K13" s="298"/>
      <c r="L13" s="298"/>
      <c r="M13" s="298"/>
      <c r="N13" s="298"/>
      <c r="O13" s="298"/>
      <c r="P13" s="298"/>
      <c r="Q13" s="298"/>
      <c r="R13" s="417"/>
      <c r="S13" s="418"/>
      <c r="T13" s="418"/>
      <c r="U13" s="418"/>
      <c r="V13" s="416"/>
      <c r="W13" s="298"/>
      <c r="X13" s="298"/>
      <c r="Y13" s="298"/>
      <c r="Z13" s="298"/>
      <c r="AA13" s="417"/>
      <c r="AB13" s="416"/>
      <c r="AC13" s="298"/>
      <c r="AD13" s="417"/>
      <c r="AE13" s="416"/>
      <c r="AF13" s="298"/>
      <c r="AG13" s="417"/>
      <c r="AH13" s="425"/>
      <c r="AI13" s="426"/>
      <c r="AJ13" s="427"/>
      <c r="AK13" s="411"/>
      <c r="AL13" s="412"/>
      <c r="AM13" s="412"/>
      <c r="AN13" s="413"/>
      <c r="AO13" s="449"/>
      <c r="AP13" s="449"/>
      <c r="AQ13" s="449"/>
      <c r="AR13" s="449"/>
      <c r="AS13" s="449"/>
      <c r="AT13" s="449"/>
      <c r="AU13" s="449"/>
      <c r="AV13" s="449"/>
      <c r="AW13" s="449"/>
      <c r="AX13" s="449"/>
      <c r="AY13" s="449"/>
      <c r="AZ13" s="449"/>
      <c r="BA13" s="449"/>
      <c r="BB13" s="449"/>
      <c r="BC13" s="449"/>
      <c r="BD13" s="449"/>
      <c r="BE13" s="449"/>
      <c r="BF13" s="449"/>
      <c r="BG13" s="449"/>
      <c r="BH13" s="449"/>
      <c r="BI13" s="449"/>
      <c r="BJ13" s="449"/>
      <c r="BK13" s="449"/>
      <c r="BL13" s="409"/>
      <c r="BM13" s="308"/>
      <c r="BN13" s="308"/>
      <c r="BO13" s="308"/>
      <c r="BP13" s="308"/>
      <c r="BQ13" s="308"/>
      <c r="BR13" s="308"/>
      <c r="BS13" s="308"/>
      <c r="BT13" s="308"/>
      <c r="BU13" s="308"/>
      <c r="BV13" s="308"/>
      <c r="BW13" s="308"/>
      <c r="BX13" s="308"/>
      <c r="BY13" s="308"/>
      <c r="BZ13" s="308"/>
      <c r="CA13" s="308"/>
      <c r="CB13" s="410"/>
      <c r="CC13" s="405"/>
      <c r="CD13" s="406"/>
      <c r="CE13" s="406"/>
      <c r="CF13" s="406"/>
      <c r="CG13" s="406"/>
      <c r="CH13" s="406"/>
      <c r="CI13" s="406"/>
      <c r="CJ13" s="406"/>
      <c r="CK13" s="406"/>
      <c r="CL13" s="406"/>
      <c r="CM13" s="406"/>
      <c r="CN13" s="407"/>
      <c r="CO13" s="405"/>
      <c r="CP13" s="406"/>
      <c r="CQ13" s="406"/>
      <c r="CR13" s="406"/>
      <c r="CS13" s="406"/>
      <c r="CT13" s="406"/>
      <c r="CU13" s="406"/>
      <c r="CV13" s="406"/>
      <c r="CW13" s="406"/>
      <c r="CX13" s="406"/>
      <c r="CY13" s="406"/>
      <c r="CZ13" s="407"/>
      <c r="DA13" s="411" t="s">
        <v>166</v>
      </c>
      <c r="DB13" s="412"/>
      <c r="DC13" s="412"/>
      <c r="DD13" s="412"/>
      <c r="DE13" s="412"/>
      <c r="DF13" s="413"/>
      <c r="DG13" s="405"/>
      <c r="DH13" s="406"/>
      <c r="DI13" s="406"/>
      <c r="DJ13" s="406"/>
      <c r="DK13" s="406"/>
      <c r="DL13" s="406"/>
      <c r="DM13" s="406"/>
      <c r="DN13" s="406"/>
      <c r="DO13" s="406"/>
      <c r="DP13" s="406"/>
      <c r="DQ13" s="406"/>
      <c r="DR13" s="406"/>
      <c r="DS13" s="407"/>
      <c r="DT13" s="405"/>
      <c r="DU13" s="406"/>
      <c r="DV13" s="406"/>
      <c r="DW13" s="406"/>
      <c r="DX13" s="406"/>
      <c r="DY13" s="406"/>
      <c r="DZ13" s="406"/>
      <c r="EA13" s="406"/>
      <c r="EB13" s="406"/>
      <c r="EC13" s="406"/>
      <c r="ED13" s="406"/>
      <c r="EE13" s="406"/>
      <c r="EF13" s="408"/>
    </row>
    <row r="14" spans="1:136" ht="15" customHeight="1">
      <c r="A14" s="434"/>
      <c r="B14" s="435"/>
      <c r="C14" s="435"/>
      <c r="D14" s="435"/>
      <c r="E14" s="435"/>
      <c r="F14" s="435"/>
      <c r="G14" s="436"/>
      <c r="H14" s="414">
        <f t="shared" si="0"/>
        <v>7</v>
      </c>
      <c r="I14" s="415"/>
      <c r="J14" s="416"/>
      <c r="K14" s="298"/>
      <c r="L14" s="298"/>
      <c r="M14" s="298"/>
      <c r="N14" s="298"/>
      <c r="O14" s="298"/>
      <c r="P14" s="298"/>
      <c r="Q14" s="298"/>
      <c r="R14" s="417"/>
      <c r="S14" s="418"/>
      <c r="T14" s="418"/>
      <c r="U14" s="418"/>
      <c r="V14" s="416"/>
      <c r="W14" s="298"/>
      <c r="X14" s="298"/>
      <c r="Y14" s="298"/>
      <c r="Z14" s="298"/>
      <c r="AA14" s="417"/>
      <c r="AB14" s="416"/>
      <c r="AC14" s="298"/>
      <c r="AD14" s="417"/>
      <c r="AE14" s="416"/>
      <c r="AF14" s="298"/>
      <c r="AG14" s="417"/>
      <c r="AH14" s="425"/>
      <c r="AI14" s="426"/>
      <c r="AJ14" s="427"/>
      <c r="AK14" s="411"/>
      <c r="AL14" s="412"/>
      <c r="AM14" s="412"/>
      <c r="AN14" s="413"/>
      <c r="AO14" s="449"/>
      <c r="AP14" s="449"/>
      <c r="AQ14" s="449"/>
      <c r="AR14" s="449"/>
      <c r="AS14" s="449"/>
      <c r="AT14" s="449"/>
      <c r="AU14" s="449"/>
      <c r="AV14" s="449"/>
      <c r="AW14" s="449"/>
      <c r="AX14" s="449"/>
      <c r="AY14" s="449"/>
      <c r="AZ14" s="449"/>
      <c r="BA14" s="449"/>
      <c r="BB14" s="449"/>
      <c r="BC14" s="449"/>
      <c r="BD14" s="449"/>
      <c r="BE14" s="449"/>
      <c r="BF14" s="449"/>
      <c r="BG14" s="449"/>
      <c r="BH14" s="449"/>
      <c r="BI14" s="449"/>
      <c r="BJ14" s="449"/>
      <c r="BK14" s="449"/>
      <c r="BL14" s="409"/>
      <c r="BM14" s="308"/>
      <c r="BN14" s="308"/>
      <c r="BO14" s="308"/>
      <c r="BP14" s="308"/>
      <c r="BQ14" s="308"/>
      <c r="BR14" s="308"/>
      <c r="BS14" s="308"/>
      <c r="BT14" s="308"/>
      <c r="BU14" s="308"/>
      <c r="BV14" s="308"/>
      <c r="BW14" s="308"/>
      <c r="BX14" s="308"/>
      <c r="BY14" s="308"/>
      <c r="BZ14" s="308"/>
      <c r="CA14" s="308"/>
      <c r="CB14" s="410"/>
      <c r="CC14" s="405"/>
      <c r="CD14" s="406"/>
      <c r="CE14" s="406"/>
      <c r="CF14" s="406"/>
      <c r="CG14" s="406"/>
      <c r="CH14" s="406"/>
      <c r="CI14" s="406"/>
      <c r="CJ14" s="406"/>
      <c r="CK14" s="406"/>
      <c r="CL14" s="406"/>
      <c r="CM14" s="406"/>
      <c r="CN14" s="407"/>
      <c r="CO14" s="405"/>
      <c r="CP14" s="406"/>
      <c r="CQ14" s="406"/>
      <c r="CR14" s="406"/>
      <c r="CS14" s="406"/>
      <c r="CT14" s="406"/>
      <c r="CU14" s="406"/>
      <c r="CV14" s="406"/>
      <c r="CW14" s="406"/>
      <c r="CX14" s="406"/>
      <c r="CY14" s="406"/>
      <c r="CZ14" s="407"/>
      <c r="DA14" s="411" t="s">
        <v>166</v>
      </c>
      <c r="DB14" s="412"/>
      <c r="DC14" s="412"/>
      <c r="DD14" s="412"/>
      <c r="DE14" s="412"/>
      <c r="DF14" s="413"/>
      <c r="DG14" s="405"/>
      <c r="DH14" s="406"/>
      <c r="DI14" s="406"/>
      <c r="DJ14" s="406"/>
      <c r="DK14" s="406"/>
      <c r="DL14" s="406"/>
      <c r="DM14" s="406"/>
      <c r="DN14" s="406"/>
      <c r="DO14" s="406"/>
      <c r="DP14" s="406"/>
      <c r="DQ14" s="406"/>
      <c r="DR14" s="406"/>
      <c r="DS14" s="407"/>
      <c r="DT14" s="405"/>
      <c r="DU14" s="406"/>
      <c r="DV14" s="406"/>
      <c r="DW14" s="406"/>
      <c r="DX14" s="406"/>
      <c r="DY14" s="406"/>
      <c r="DZ14" s="406"/>
      <c r="EA14" s="406"/>
      <c r="EB14" s="406"/>
      <c r="EC14" s="406"/>
      <c r="ED14" s="406"/>
      <c r="EE14" s="406"/>
      <c r="EF14" s="408"/>
    </row>
    <row r="15" spans="1:136" ht="15" customHeight="1">
      <c r="A15" s="434"/>
      <c r="B15" s="435"/>
      <c r="C15" s="435"/>
      <c r="D15" s="435"/>
      <c r="E15" s="435"/>
      <c r="F15" s="435"/>
      <c r="G15" s="436"/>
      <c r="H15" s="414">
        <f t="shared" si="0"/>
        <v>8</v>
      </c>
      <c r="I15" s="415"/>
      <c r="J15" s="416"/>
      <c r="K15" s="298"/>
      <c r="L15" s="298"/>
      <c r="M15" s="298"/>
      <c r="N15" s="298"/>
      <c r="O15" s="298"/>
      <c r="P15" s="298"/>
      <c r="Q15" s="298"/>
      <c r="R15" s="417"/>
      <c r="S15" s="418"/>
      <c r="T15" s="418"/>
      <c r="U15" s="418"/>
      <c r="V15" s="416"/>
      <c r="W15" s="298"/>
      <c r="X15" s="298"/>
      <c r="Y15" s="298"/>
      <c r="Z15" s="298"/>
      <c r="AA15" s="417"/>
      <c r="AB15" s="416"/>
      <c r="AC15" s="298"/>
      <c r="AD15" s="417"/>
      <c r="AE15" s="416"/>
      <c r="AF15" s="298"/>
      <c r="AG15" s="417"/>
      <c r="AH15" s="425"/>
      <c r="AI15" s="426"/>
      <c r="AJ15" s="427"/>
      <c r="AK15" s="411"/>
      <c r="AL15" s="412"/>
      <c r="AM15" s="412"/>
      <c r="AN15" s="413"/>
      <c r="AO15" s="449"/>
      <c r="AP15" s="449"/>
      <c r="AQ15" s="449"/>
      <c r="AR15" s="449"/>
      <c r="AS15" s="449"/>
      <c r="AT15" s="449"/>
      <c r="AU15" s="449"/>
      <c r="AV15" s="449"/>
      <c r="AW15" s="449"/>
      <c r="AX15" s="449"/>
      <c r="AY15" s="449"/>
      <c r="AZ15" s="449"/>
      <c r="BA15" s="449"/>
      <c r="BB15" s="449"/>
      <c r="BC15" s="449"/>
      <c r="BD15" s="449"/>
      <c r="BE15" s="449"/>
      <c r="BF15" s="449"/>
      <c r="BG15" s="449"/>
      <c r="BH15" s="449"/>
      <c r="BI15" s="449"/>
      <c r="BJ15" s="449"/>
      <c r="BK15" s="449"/>
      <c r="BL15" s="409"/>
      <c r="BM15" s="308"/>
      <c r="BN15" s="308"/>
      <c r="BO15" s="308"/>
      <c r="BP15" s="308"/>
      <c r="BQ15" s="308"/>
      <c r="BR15" s="308"/>
      <c r="BS15" s="308"/>
      <c r="BT15" s="308"/>
      <c r="BU15" s="308"/>
      <c r="BV15" s="308"/>
      <c r="BW15" s="308"/>
      <c r="BX15" s="308"/>
      <c r="BY15" s="308"/>
      <c r="BZ15" s="308"/>
      <c r="CA15" s="308"/>
      <c r="CB15" s="410"/>
      <c r="CC15" s="405"/>
      <c r="CD15" s="406"/>
      <c r="CE15" s="406"/>
      <c r="CF15" s="406"/>
      <c r="CG15" s="406"/>
      <c r="CH15" s="406"/>
      <c r="CI15" s="406"/>
      <c r="CJ15" s="406"/>
      <c r="CK15" s="406"/>
      <c r="CL15" s="406"/>
      <c r="CM15" s="406"/>
      <c r="CN15" s="407"/>
      <c r="CO15" s="405"/>
      <c r="CP15" s="406"/>
      <c r="CQ15" s="406"/>
      <c r="CR15" s="406"/>
      <c r="CS15" s="406"/>
      <c r="CT15" s="406"/>
      <c r="CU15" s="406"/>
      <c r="CV15" s="406"/>
      <c r="CW15" s="406"/>
      <c r="CX15" s="406"/>
      <c r="CY15" s="406"/>
      <c r="CZ15" s="407"/>
      <c r="DA15" s="411" t="s">
        <v>166</v>
      </c>
      <c r="DB15" s="412"/>
      <c r="DC15" s="412"/>
      <c r="DD15" s="412"/>
      <c r="DE15" s="412"/>
      <c r="DF15" s="413"/>
      <c r="DG15" s="405"/>
      <c r="DH15" s="406"/>
      <c r="DI15" s="406"/>
      <c r="DJ15" s="406"/>
      <c r="DK15" s="406"/>
      <c r="DL15" s="406"/>
      <c r="DM15" s="406"/>
      <c r="DN15" s="406"/>
      <c r="DO15" s="406"/>
      <c r="DP15" s="406"/>
      <c r="DQ15" s="406"/>
      <c r="DR15" s="406"/>
      <c r="DS15" s="407"/>
      <c r="DT15" s="405"/>
      <c r="DU15" s="406"/>
      <c r="DV15" s="406"/>
      <c r="DW15" s="406"/>
      <c r="DX15" s="406"/>
      <c r="DY15" s="406"/>
      <c r="DZ15" s="406"/>
      <c r="EA15" s="406"/>
      <c r="EB15" s="406"/>
      <c r="EC15" s="406"/>
      <c r="ED15" s="406"/>
      <c r="EE15" s="406"/>
      <c r="EF15" s="408"/>
    </row>
    <row r="16" spans="1:136" ht="15" customHeight="1">
      <c r="A16" s="434"/>
      <c r="B16" s="435"/>
      <c r="C16" s="435"/>
      <c r="D16" s="435"/>
      <c r="E16" s="435"/>
      <c r="F16" s="435"/>
      <c r="G16" s="436"/>
      <c r="H16" s="414">
        <f t="shared" si="0"/>
        <v>9</v>
      </c>
      <c r="I16" s="415"/>
      <c r="J16" s="416"/>
      <c r="K16" s="298"/>
      <c r="L16" s="298"/>
      <c r="M16" s="298"/>
      <c r="N16" s="298"/>
      <c r="O16" s="298"/>
      <c r="P16" s="298"/>
      <c r="Q16" s="298"/>
      <c r="R16" s="417"/>
      <c r="S16" s="418"/>
      <c r="T16" s="418"/>
      <c r="U16" s="418"/>
      <c r="V16" s="416"/>
      <c r="W16" s="298"/>
      <c r="X16" s="298"/>
      <c r="Y16" s="298"/>
      <c r="Z16" s="298"/>
      <c r="AA16" s="417"/>
      <c r="AB16" s="416"/>
      <c r="AC16" s="298"/>
      <c r="AD16" s="417"/>
      <c r="AE16" s="416"/>
      <c r="AF16" s="298"/>
      <c r="AG16" s="417"/>
      <c r="AH16" s="425"/>
      <c r="AI16" s="426"/>
      <c r="AJ16" s="427"/>
      <c r="AK16" s="425"/>
      <c r="AL16" s="426"/>
      <c r="AM16" s="426"/>
      <c r="AN16" s="427"/>
      <c r="AO16" s="449"/>
      <c r="AP16" s="449"/>
      <c r="AQ16" s="449"/>
      <c r="AR16" s="449"/>
      <c r="AS16" s="449"/>
      <c r="AT16" s="449"/>
      <c r="AU16" s="449"/>
      <c r="AV16" s="449"/>
      <c r="AW16" s="449"/>
      <c r="AX16" s="449"/>
      <c r="AY16" s="449"/>
      <c r="AZ16" s="449"/>
      <c r="BA16" s="449"/>
      <c r="BB16" s="449"/>
      <c r="BC16" s="449"/>
      <c r="BD16" s="449"/>
      <c r="BE16" s="449"/>
      <c r="BF16" s="449"/>
      <c r="BG16" s="449"/>
      <c r="BH16" s="449"/>
      <c r="BI16" s="449"/>
      <c r="BJ16" s="449"/>
      <c r="BK16" s="449"/>
      <c r="BL16" s="409"/>
      <c r="BM16" s="308"/>
      <c r="BN16" s="308"/>
      <c r="BO16" s="308"/>
      <c r="BP16" s="308"/>
      <c r="BQ16" s="308"/>
      <c r="BR16" s="308"/>
      <c r="BS16" s="308"/>
      <c r="BT16" s="308"/>
      <c r="BU16" s="308"/>
      <c r="BV16" s="308"/>
      <c r="BW16" s="308"/>
      <c r="BX16" s="308"/>
      <c r="BY16" s="308"/>
      <c r="BZ16" s="308"/>
      <c r="CA16" s="308"/>
      <c r="CB16" s="410"/>
      <c r="CC16" s="405"/>
      <c r="CD16" s="406"/>
      <c r="CE16" s="406"/>
      <c r="CF16" s="406"/>
      <c r="CG16" s="406"/>
      <c r="CH16" s="406"/>
      <c r="CI16" s="406"/>
      <c r="CJ16" s="406"/>
      <c r="CK16" s="406"/>
      <c r="CL16" s="406"/>
      <c r="CM16" s="406"/>
      <c r="CN16" s="407"/>
      <c r="CO16" s="409"/>
      <c r="CP16" s="308"/>
      <c r="CQ16" s="308"/>
      <c r="CR16" s="308"/>
      <c r="CS16" s="308"/>
      <c r="CT16" s="308"/>
      <c r="CU16" s="308"/>
      <c r="CV16" s="308"/>
      <c r="CW16" s="308"/>
      <c r="CX16" s="308"/>
      <c r="CY16" s="308"/>
      <c r="CZ16" s="410"/>
      <c r="DA16" s="411" t="s">
        <v>166</v>
      </c>
      <c r="DB16" s="412"/>
      <c r="DC16" s="412"/>
      <c r="DD16" s="412"/>
      <c r="DE16" s="412"/>
      <c r="DF16" s="413"/>
      <c r="DG16" s="409"/>
      <c r="DH16" s="308"/>
      <c r="DI16" s="308"/>
      <c r="DJ16" s="308"/>
      <c r="DK16" s="308"/>
      <c r="DL16" s="308"/>
      <c r="DM16" s="308"/>
      <c r="DN16" s="308"/>
      <c r="DO16" s="308"/>
      <c r="DP16" s="308"/>
      <c r="DQ16" s="308"/>
      <c r="DR16" s="308"/>
      <c r="DS16" s="410"/>
      <c r="DT16" s="409"/>
      <c r="DU16" s="308"/>
      <c r="DV16" s="308"/>
      <c r="DW16" s="308"/>
      <c r="DX16" s="308"/>
      <c r="DY16" s="308"/>
      <c r="DZ16" s="308"/>
      <c r="EA16" s="308"/>
      <c r="EB16" s="308"/>
      <c r="EC16" s="308"/>
      <c r="ED16" s="308"/>
      <c r="EE16" s="308"/>
      <c r="EF16" s="309"/>
    </row>
    <row r="17" spans="1:136" ht="15" customHeight="1">
      <c r="A17" s="446" t="s">
        <v>167</v>
      </c>
      <c r="B17" s="447"/>
      <c r="C17" s="447"/>
      <c r="D17" s="447"/>
      <c r="E17" s="447"/>
      <c r="F17" s="447"/>
      <c r="G17" s="448"/>
      <c r="H17" s="414">
        <f t="shared" si="0"/>
        <v>10</v>
      </c>
      <c r="I17" s="415"/>
      <c r="J17" s="416"/>
      <c r="K17" s="298"/>
      <c r="L17" s="298"/>
      <c r="M17" s="298"/>
      <c r="N17" s="298"/>
      <c r="O17" s="298"/>
      <c r="P17" s="298"/>
      <c r="Q17" s="298"/>
      <c r="R17" s="417"/>
      <c r="S17" s="418"/>
      <c r="T17" s="418"/>
      <c r="U17" s="418"/>
      <c r="V17" s="409"/>
      <c r="W17" s="308"/>
      <c r="X17" s="308"/>
      <c r="Y17" s="308"/>
      <c r="Z17" s="308"/>
      <c r="AA17" s="410"/>
      <c r="AB17" s="409"/>
      <c r="AC17" s="308"/>
      <c r="AD17" s="410"/>
      <c r="AE17" s="409"/>
      <c r="AF17" s="308"/>
      <c r="AG17" s="410"/>
      <c r="AH17" s="425"/>
      <c r="AI17" s="426"/>
      <c r="AJ17" s="427"/>
      <c r="AK17" s="411"/>
      <c r="AL17" s="412"/>
      <c r="AM17" s="412"/>
      <c r="AN17" s="413"/>
      <c r="AO17" s="409"/>
      <c r="AP17" s="308"/>
      <c r="AQ17" s="308"/>
      <c r="AR17" s="308"/>
      <c r="AS17" s="308"/>
      <c r="AT17" s="308"/>
      <c r="AU17" s="308"/>
      <c r="AV17" s="308"/>
      <c r="AW17" s="308"/>
      <c r="AX17" s="308"/>
      <c r="AY17" s="308"/>
      <c r="AZ17" s="308"/>
      <c r="BA17" s="308"/>
      <c r="BB17" s="308"/>
      <c r="BC17" s="308"/>
      <c r="BD17" s="308"/>
      <c r="BE17" s="308"/>
      <c r="BF17" s="308"/>
      <c r="BG17" s="308"/>
      <c r="BH17" s="308"/>
      <c r="BI17" s="308"/>
      <c r="BJ17" s="308"/>
      <c r="BK17" s="410"/>
      <c r="BL17" s="409"/>
      <c r="BM17" s="308"/>
      <c r="BN17" s="308"/>
      <c r="BO17" s="308"/>
      <c r="BP17" s="308"/>
      <c r="BQ17" s="308"/>
      <c r="BR17" s="308"/>
      <c r="BS17" s="308"/>
      <c r="BT17" s="308"/>
      <c r="BU17" s="308"/>
      <c r="BV17" s="308"/>
      <c r="BW17" s="308"/>
      <c r="BX17" s="308"/>
      <c r="BY17" s="308"/>
      <c r="BZ17" s="308"/>
      <c r="CA17" s="308"/>
      <c r="CB17" s="410"/>
      <c r="CC17" s="409"/>
      <c r="CD17" s="308"/>
      <c r="CE17" s="308"/>
      <c r="CF17" s="308"/>
      <c r="CG17" s="308"/>
      <c r="CH17" s="308"/>
      <c r="CI17" s="308"/>
      <c r="CJ17" s="308"/>
      <c r="CK17" s="308"/>
      <c r="CL17" s="308"/>
      <c r="CM17" s="308"/>
      <c r="CN17" s="410"/>
      <c r="CO17" s="409"/>
      <c r="CP17" s="308"/>
      <c r="CQ17" s="308"/>
      <c r="CR17" s="308"/>
      <c r="CS17" s="308"/>
      <c r="CT17" s="308"/>
      <c r="CU17" s="308"/>
      <c r="CV17" s="308"/>
      <c r="CW17" s="308"/>
      <c r="CX17" s="308"/>
      <c r="CY17" s="308"/>
      <c r="CZ17" s="410"/>
      <c r="DA17" s="411" t="s">
        <v>166</v>
      </c>
      <c r="DB17" s="412"/>
      <c r="DC17" s="412"/>
      <c r="DD17" s="412"/>
      <c r="DE17" s="412"/>
      <c r="DF17" s="413"/>
      <c r="DG17" s="409"/>
      <c r="DH17" s="308"/>
      <c r="DI17" s="308"/>
      <c r="DJ17" s="308"/>
      <c r="DK17" s="308"/>
      <c r="DL17" s="308"/>
      <c r="DM17" s="308"/>
      <c r="DN17" s="308"/>
      <c r="DO17" s="308"/>
      <c r="DP17" s="308"/>
      <c r="DQ17" s="308"/>
      <c r="DR17" s="308"/>
      <c r="DS17" s="410"/>
      <c r="DT17" s="409"/>
      <c r="DU17" s="308"/>
      <c r="DV17" s="308"/>
      <c r="DW17" s="308"/>
      <c r="DX17" s="308"/>
      <c r="DY17" s="308"/>
      <c r="DZ17" s="308"/>
      <c r="EA17" s="308"/>
      <c r="EB17" s="308"/>
      <c r="EC17" s="308"/>
      <c r="ED17" s="308"/>
      <c r="EE17" s="308"/>
      <c r="EF17" s="309"/>
    </row>
    <row r="18" spans="1:136" ht="15" customHeight="1">
      <c r="A18" s="440" t="s">
        <v>168</v>
      </c>
      <c r="B18" s="441"/>
      <c r="C18" s="441"/>
      <c r="D18" s="441"/>
      <c r="E18" s="441"/>
      <c r="F18" s="441"/>
      <c r="G18" s="442"/>
      <c r="H18" s="414">
        <f t="shared" si="0"/>
        <v>11</v>
      </c>
      <c r="I18" s="415"/>
      <c r="J18" s="416"/>
      <c r="K18" s="298"/>
      <c r="L18" s="298"/>
      <c r="M18" s="298"/>
      <c r="N18" s="298"/>
      <c r="O18" s="298"/>
      <c r="P18" s="298"/>
      <c r="Q18" s="298"/>
      <c r="R18" s="417"/>
      <c r="S18" s="418"/>
      <c r="T18" s="418"/>
      <c r="U18" s="418"/>
      <c r="V18" s="409"/>
      <c r="W18" s="308"/>
      <c r="X18" s="308"/>
      <c r="Y18" s="308"/>
      <c r="Z18" s="308"/>
      <c r="AA18" s="410"/>
      <c r="AB18" s="409"/>
      <c r="AC18" s="308"/>
      <c r="AD18" s="410"/>
      <c r="AE18" s="409"/>
      <c r="AF18" s="308"/>
      <c r="AG18" s="410"/>
      <c r="AH18" s="425"/>
      <c r="AI18" s="426"/>
      <c r="AJ18" s="427"/>
      <c r="AK18" s="411"/>
      <c r="AL18" s="412"/>
      <c r="AM18" s="412"/>
      <c r="AN18" s="413"/>
      <c r="AO18" s="409"/>
      <c r="AP18" s="308"/>
      <c r="AQ18" s="308"/>
      <c r="AR18" s="308"/>
      <c r="AS18" s="308"/>
      <c r="AT18" s="308"/>
      <c r="AU18" s="308"/>
      <c r="AV18" s="308"/>
      <c r="AW18" s="308"/>
      <c r="AX18" s="308"/>
      <c r="AY18" s="308"/>
      <c r="AZ18" s="308"/>
      <c r="BA18" s="308"/>
      <c r="BB18" s="308"/>
      <c r="BC18" s="308"/>
      <c r="BD18" s="308"/>
      <c r="BE18" s="308"/>
      <c r="BF18" s="308"/>
      <c r="BG18" s="308"/>
      <c r="BH18" s="308"/>
      <c r="BI18" s="308"/>
      <c r="BJ18" s="308"/>
      <c r="BK18" s="410"/>
      <c r="BL18" s="409"/>
      <c r="BM18" s="308"/>
      <c r="BN18" s="308"/>
      <c r="BO18" s="308"/>
      <c r="BP18" s="308"/>
      <c r="BQ18" s="308"/>
      <c r="BR18" s="308"/>
      <c r="BS18" s="308"/>
      <c r="BT18" s="308"/>
      <c r="BU18" s="308"/>
      <c r="BV18" s="308"/>
      <c r="BW18" s="308"/>
      <c r="BX18" s="308"/>
      <c r="BY18" s="308"/>
      <c r="BZ18" s="308"/>
      <c r="CA18" s="308"/>
      <c r="CB18" s="410"/>
      <c r="CC18" s="409"/>
      <c r="CD18" s="308"/>
      <c r="CE18" s="308"/>
      <c r="CF18" s="308"/>
      <c r="CG18" s="308"/>
      <c r="CH18" s="308"/>
      <c r="CI18" s="308"/>
      <c r="CJ18" s="308"/>
      <c r="CK18" s="308"/>
      <c r="CL18" s="308"/>
      <c r="CM18" s="308"/>
      <c r="CN18" s="410"/>
      <c r="CO18" s="409"/>
      <c r="CP18" s="308"/>
      <c r="CQ18" s="308"/>
      <c r="CR18" s="308"/>
      <c r="CS18" s="308"/>
      <c r="CT18" s="308"/>
      <c r="CU18" s="308"/>
      <c r="CV18" s="308"/>
      <c r="CW18" s="308"/>
      <c r="CX18" s="308"/>
      <c r="CY18" s="308"/>
      <c r="CZ18" s="410"/>
      <c r="DA18" s="411" t="s">
        <v>166</v>
      </c>
      <c r="DB18" s="412"/>
      <c r="DC18" s="412"/>
      <c r="DD18" s="412"/>
      <c r="DE18" s="412"/>
      <c r="DF18" s="413"/>
      <c r="DG18" s="409"/>
      <c r="DH18" s="308"/>
      <c r="DI18" s="308"/>
      <c r="DJ18" s="308"/>
      <c r="DK18" s="308"/>
      <c r="DL18" s="308"/>
      <c r="DM18" s="308"/>
      <c r="DN18" s="308"/>
      <c r="DO18" s="308"/>
      <c r="DP18" s="308"/>
      <c r="DQ18" s="308"/>
      <c r="DR18" s="308"/>
      <c r="DS18" s="410"/>
      <c r="DT18" s="409"/>
      <c r="DU18" s="308"/>
      <c r="DV18" s="308"/>
      <c r="DW18" s="308"/>
      <c r="DX18" s="308"/>
      <c r="DY18" s="308"/>
      <c r="DZ18" s="308"/>
      <c r="EA18" s="308"/>
      <c r="EB18" s="308"/>
      <c r="EC18" s="308"/>
      <c r="ED18" s="308"/>
      <c r="EE18" s="308"/>
      <c r="EF18" s="309"/>
    </row>
    <row r="19" spans="1:136" ht="15" customHeight="1">
      <c r="A19" s="440"/>
      <c r="B19" s="441"/>
      <c r="C19" s="441"/>
      <c r="D19" s="441"/>
      <c r="E19" s="441"/>
      <c r="F19" s="441"/>
      <c r="G19" s="442"/>
      <c r="H19" s="414">
        <f t="shared" si="0"/>
        <v>12</v>
      </c>
      <c r="I19" s="415"/>
      <c r="J19" s="416"/>
      <c r="K19" s="298"/>
      <c r="L19" s="298"/>
      <c r="M19" s="298"/>
      <c r="N19" s="298"/>
      <c r="O19" s="298"/>
      <c r="P19" s="298"/>
      <c r="Q19" s="298"/>
      <c r="R19" s="417"/>
      <c r="S19" s="418"/>
      <c r="T19" s="418"/>
      <c r="U19" s="418"/>
      <c r="V19" s="409"/>
      <c r="W19" s="308"/>
      <c r="X19" s="308"/>
      <c r="Y19" s="308"/>
      <c r="Z19" s="308"/>
      <c r="AA19" s="410"/>
      <c r="AB19" s="409"/>
      <c r="AC19" s="308"/>
      <c r="AD19" s="410"/>
      <c r="AE19" s="409"/>
      <c r="AF19" s="308"/>
      <c r="AG19" s="410"/>
      <c r="AH19" s="425"/>
      <c r="AI19" s="426"/>
      <c r="AJ19" s="427"/>
      <c r="AK19" s="411"/>
      <c r="AL19" s="412"/>
      <c r="AM19" s="412"/>
      <c r="AN19" s="413"/>
      <c r="AO19" s="409"/>
      <c r="AP19" s="308"/>
      <c r="AQ19" s="308"/>
      <c r="AR19" s="308"/>
      <c r="AS19" s="308"/>
      <c r="AT19" s="308"/>
      <c r="AU19" s="308"/>
      <c r="AV19" s="308"/>
      <c r="AW19" s="308"/>
      <c r="AX19" s="308"/>
      <c r="AY19" s="308"/>
      <c r="AZ19" s="308"/>
      <c r="BA19" s="308"/>
      <c r="BB19" s="308"/>
      <c r="BC19" s="308"/>
      <c r="BD19" s="308"/>
      <c r="BE19" s="308"/>
      <c r="BF19" s="308"/>
      <c r="BG19" s="308"/>
      <c r="BH19" s="308"/>
      <c r="BI19" s="308"/>
      <c r="BJ19" s="308"/>
      <c r="BK19" s="410"/>
      <c r="BL19" s="409"/>
      <c r="BM19" s="308"/>
      <c r="BN19" s="308"/>
      <c r="BO19" s="308"/>
      <c r="BP19" s="308"/>
      <c r="BQ19" s="308"/>
      <c r="BR19" s="308"/>
      <c r="BS19" s="308"/>
      <c r="BT19" s="308"/>
      <c r="BU19" s="308"/>
      <c r="BV19" s="308"/>
      <c r="BW19" s="308"/>
      <c r="BX19" s="308"/>
      <c r="BY19" s="308"/>
      <c r="BZ19" s="308"/>
      <c r="CA19" s="308"/>
      <c r="CB19" s="410"/>
      <c r="CC19" s="409"/>
      <c r="CD19" s="308"/>
      <c r="CE19" s="308"/>
      <c r="CF19" s="308"/>
      <c r="CG19" s="308"/>
      <c r="CH19" s="308"/>
      <c r="CI19" s="308"/>
      <c r="CJ19" s="308"/>
      <c r="CK19" s="308"/>
      <c r="CL19" s="308"/>
      <c r="CM19" s="308"/>
      <c r="CN19" s="410"/>
      <c r="CO19" s="409"/>
      <c r="CP19" s="308"/>
      <c r="CQ19" s="308"/>
      <c r="CR19" s="308"/>
      <c r="CS19" s="308"/>
      <c r="CT19" s="308"/>
      <c r="CU19" s="308"/>
      <c r="CV19" s="308"/>
      <c r="CW19" s="308"/>
      <c r="CX19" s="308"/>
      <c r="CY19" s="308"/>
      <c r="CZ19" s="410"/>
      <c r="DA19" s="411" t="s">
        <v>166</v>
      </c>
      <c r="DB19" s="412"/>
      <c r="DC19" s="412"/>
      <c r="DD19" s="412"/>
      <c r="DE19" s="412"/>
      <c r="DF19" s="413"/>
      <c r="DG19" s="409"/>
      <c r="DH19" s="308"/>
      <c r="DI19" s="308"/>
      <c r="DJ19" s="308"/>
      <c r="DK19" s="308"/>
      <c r="DL19" s="308"/>
      <c r="DM19" s="308"/>
      <c r="DN19" s="308"/>
      <c r="DO19" s="308"/>
      <c r="DP19" s="308"/>
      <c r="DQ19" s="308"/>
      <c r="DR19" s="308"/>
      <c r="DS19" s="410"/>
      <c r="DT19" s="409"/>
      <c r="DU19" s="308"/>
      <c r="DV19" s="308"/>
      <c r="DW19" s="308"/>
      <c r="DX19" s="308"/>
      <c r="DY19" s="308"/>
      <c r="DZ19" s="308"/>
      <c r="EA19" s="308"/>
      <c r="EB19" s="308"/>
      <c r="EC19" s="308"/>
      <c r="ED19" s="308"/>
      <c r="EE19" s="308"/>
      <c r="EF19" s="309"/>
    </row>
    <row r="20" spans="1:136" ht="15" customHeight="1">
      <c r="A20" s="440"/>
      <c r="B20" s="441"/>
      <c r="C20" s="441"/>
      <c r="D20" s="441"/>
      <c r="E20" s="441"/>
      <c r="F20" s="441"/>
      <c r="G20" s="442"/>
      <c r="H20" s="414">
        <f t="shared" si="0"/>
        <v>13</v>
      </c>
      <c r="I20" s="415"/>
      <c r="J20" s="416"/>
      <c r="K20" s="298"/>
      <c r="L20" s="298"/>
      <c r="M20" s="298"/>
      <c r="N20" s="298"/>
      <c r="O20" s="298"/>
      <c r="P20" s="298"/>
      <c r="Q20" s="298"/>
      <c r="R20" s="417"/>
      <c r="S20" s="418"/>
      <c r="T20" s="418"/>
      <c r="U20" s="418"/>
      <c r="V20" s="409"/>
      <c r="W20" s="308"/>
      <c r="X20" s="308"/>
      <c r="Y20" s="308"/>
      <c r="Z20" s="308"/>
      <c r="AA20" s="410"/>
      <c r="AB20" s="409"/>
      <c r="AC20" s="308"/>
      <c r="AD20" s="410"/>
      <c r="AE20" s="409"/>
      <c r="AF20" s="308"/>
      <c r="AG20" s="410"/>
      <c r="AH20" s="425"/>
      <c r="AI20" s="426"/>
      <c r="AJ20" s="427"/>
      <c r="AK20" s="411"/>
      <c r="AL20" s="412"/>
      <c r="AM20" s="412"/>
      <c r="AN20" s="413"/>
      <c r="AO20" s="409"/>
      <c r="AP20" s="308"/>
      <c r="AQ20" s="308"/>
      <c r="AR20" s="308"/>
      <c r="AS20" s="308"/>
      <c r="AT20" s="308"/>
      <c r="AU20" s="308"/>
      <c r="AV20" s="308"/>
      <c r="AW20" s="308"/>
      <c r="AX20" s="308"/>
      <c r="AY20" s="308"/>
      <c r="AZ20" s="308"/>
      <c r="BA20" s="308"/>
      <c r="BB20" s="308"/>
      <c r="BC20" s="308"/>
      <c r="BD20" s="308"/>
      <c r="BE20" s="308"/>
      <c r="BF20" s="308"/>
      <c r="BG20" s="308"/>
      <c r="BH20" s="308"/>
      <c r="BI20" s="308"/>
      <c r="BJ20" s="308"/>
      <c r="BK20" s="410"/>
      <c r="BL20" s="409"/>
      <c r="BM20" s="308"/>
      <c r="BN20" s="308"/>
      <c r="BO20" s="308"/>
      <c r="BP20" s="308"/>
      <c r="BQ20" s="308"/>
      <c r="BR20" s="308"/>
      <c r="BS20" s="308"/>
      <c r="BT20" s="308"/>
      <c r="BU20" s="308"/>
      <c r="BV20" s="308"/>
      <c r="BW20" s="308"/>
      <c r="BX20" s="308"/>
      <c r="BY20" s="308"/>
      <c r="BZ20" s="308"/>
      <c r="CA20" s="308"/>
      <c r="CB20" s="410"/>
      <c r="CC20" s="409"/>
      <c r="CD20" s="308"/>
      <c r="CE20" s="308"/>
      <c r="CF20" s="308"/>
      <c r="CG20" s="308"/>
      <c r="CH20" s="308"/>
      <c r="CI20" s="308"/>
      <c r="CJ20" s="308"/>
      <c r="CK20" s="308"/>
      <c r="CL20" s="308"/>
      <c r="CM20" s="308"/>
      <c r="CN20" s="410"/>
      <c r="CO20" s="409"/>
      <c r="CP20" s="308"/>
      <c r="CQ20" s="308"/>
      <c r="CR20" s="308"/>
      <c r="CS20" s="308"/>
      <c r="CT20" s="308"/>
      <c r="CU20" s="308"/>
      <c r="CV20" s="308"/>
      <c r="CW20" s="308"/>
      <c r="CX20" s="308"/>
      <c r="CY20" s="308"/>
      <c r="CZ20" s="410"/>
      <c r="DA20" s="411" t="s">
        <v>166</v>
      </c>
      <c r="DB20" s="412"/>
      <c r="DC20" s="412"/>
      <c r="DD20" s="412"/>
      <c r="DE20" s="412"/>
      <c r="DF20" s="413"/>
      <c r="DG20" s="409"/>
      <c r="DH20" s="308"/>
      <c r="DI20" s="308"/>
      <c r="DJ20" s="308"/>
      <c r="DK20" s="308"/>
      <c r="DL20" s="308"/>
      <c r="DM20" s="308"/>
      <c r="DN20" s="308"/>
      <c r="DO20" s="308"/>
      <c r="DP20" s="308"/>
      <c r="DQ20" s="308"/>
      <c r="DR20" s="308"/>
      <c r="DS20" s="410"/>
      <c r="DT20" s="409"/>
      <c r="DU20" s="308"/>
      <c r="DV20" s="308"/>
      <c r="DW20" s="308"/>
      <c r="DX20" s="308"/>
      <c r="DY20" s="308"/>
      <c r="DZ20" s="308"/>
      <c r="EA20" s="308"/>
      <c r="EB20" s="308"/>
      <c r="EC20" s="308"/>
      <c r="ED20" s="308"/>
      <c r="EE20" s="308"/>
      <c r="EF20" s="309"/>
    </row>
    <row r="21" spans="1:136" ht="15" customHeight="1">
      <c r="A21" s="440"/>
      <c r="B21" s="441"/>
      <c r="C21" s="441"/>
      <c r="D21" s="441"/>
      <c r="E21" s="441"/>
      <c r="F21" s="441"/>
      <c r="G21" s="442"/>
      <c r="H21" s="414">
        <f t="shared" si="0"/>
        <v>14</v>
      </c>
      <c r="I21" s="415"/>
      <c r="J21" s="416"/>
      <c r="K21" s="298"/>
      <c r="L21" s="298"/>
      <c r="M21" s="298"/>
      <c r="N21" s="298"/>
      <c r="O21" s="298"/>
      <c r="P21" s="298"/>
      <c r="Q21" s="298"/>
      <c r="R21" s="417"/>
      <c r="S21" s="418"/>
      <c r="T21" s="418"/>
      <c r="U21" s="418"/>
      <c r="V21" s="409"/>
      <c r="W21" s="308"/>
      <c r="X21" s="308"/>
      <c r="Y21" s="308"/>
      <c r="Z21" s="308"/>
      <c r="AA21" s="410"/>
      <c r="AB21" s="409"/>
      <c r="AC21" s="308"/>
      <c r="AD21" s="410"/>
      <c r="AE21" s="409"/>
      <c r="AF21" s="308"/>
      <c r="AG21" s="410"/>
      <c r="AH21" s="425"/>
      <c r="AI21" s="426"/>
      <c r="AJ21" s="427"/>
      <c r="AK21" s="411"/>
      <c r="AL21" s="412"/>
      <c r="AM21" s="412"/>
      <c r="AN21" s="413"/>
      <c r="AO21" s="409"/>
      <c r="AP21" s="308"/>
      <c r="AQ21" s="308"/>
      <c r="AR21" s="308"/>
      <c r="AS21" s="308"/>
      <c r="AT21" s="308"/>
      <c r="AU21" s="308"/>
      <c r="AV21" s="308"/>
      <c r="AW21" s="308"/>
      <c r="AX21" s="308"/>
      <c r="AY21" s="308"/>
      <c r="AZ21" s="308"/>
      <c r="BA21" s="308"/>
      <c r="BB21" s="308"/>
      <c r="BC21" s="308"/>
      <c r="BD21" s="308"/>
      <c r="BE21" s="308"/>
      <c r="BF21" s="308"/>
      <c r="BG21" s="308"/>
      <c r="BH21" s="308"/>
      <c r="BI21" s="308"/>
      <c r="BJ21" s="308"/>
      <c r="BK21" s="410"/>
      <c r="BL21" s="409"/>
      <c r="BM21" s="308"/>
      <c r="BN21" s="308"/>
      <c r="BO21" s="308"/>
      <c r="BP21" s="308"/>
      <c r="BQ21" s="308"/>
      <c r="BR21" s="308"/>
      <c r="BS21" s="308"/>
      <c r="BT21" s="308"/>
      <c r="BU21" s="308"/>
      <c r="BV21" s="308"/>
      <c r="BW21" s="308"/>
      <c r="BX21" s="308"/>
      <c r="BY21" s="308"/>
      <c r="BZ21" s="308"/>
      <c r="CA21" s="308"/>
      <c r="CB21" s="410"/>
      <c r="CC21" s="409"/>
      <c r="CD21" s="308"/>
      <c r="CE21" s="308"/>
      <c r="CF21" s="308"/>
      <c r="CG21" s="308"/>
      <c r="CH21" s="308"/>
      <c r="CI21" s="308"/>
      <c r="CJ21" s="308"/>
      <c r="CK21" s="308"/>
      <c r="CL21" s="308"/>
      <c r="CM21" s="308"/>
      <c r="CN21" s="410"/>
      <c r="CO21" s="409"/>
      <c r="CP21" s="308"/>
      <c r="CQ21" s="308"/>
      <c r="CR21" s="308"/>
      <c r="CS21" s="308"/>
      <c r="CT21" s="308"/>
      <c r="CU21" s="308"/>
      <c r="CV21" s="308"/>
      <c r="CW21" s="308"/>
      <c r="CX21" s="308"/>
      <c r="CY21" s="308"/>
      <c r="CZ21" s="410"/>
      <c r="DA21" s="411" t="s">
        <v>166</v>
      </c>
      <c r="DB21" s="412"/>
      <c r="DC21" s="412"/>
      <c r="DD21" s="412"/>
      <c r="DE21" s="412"/>
      <c r="DF21" s="413"/>
      <c r="DG21" s="409"/>
      <c r="DH21" s="308"/>
      <c r="DI21" s="308"/>
      <c r="DJ21" s="308"/>
      <c r="DK21" s="308"/>
      <c r="DL21" s="308"/>
      <c r="DM21" s="308"/>
      <c r="DN21" s="308"/>
      <c r="DO21" s="308"/>
      <c r="DP21" s="308"/>
      <c r="DQ21" s="308"/>
      <c r="DR21" s="308"/>
      <c r="DS21" s="410"/>
      <c r="DT21" s="409"/>
      <c r="DU21" s="308"/>
      <c r="DV21" s="308"/>
      <c r="DW21" s="308"/>
      <c r="DX21" s="308"/>
      <c r="DY21" s="308"/>
      <c r="DZ21" s="308"/>
      <c r="EA21" s="308"/>
      <c r="EB21" s="308"/>
      <c r="EC21" s="308"/>
      <c r="ED21" s="308"/>
      <c r="EE21" s="308"/>
      <c r="EF21" s="309"/>
    </row>
    <row r="22" spans="1:136" ht="15" customHeight="1">
      <c r="A22" s="440"/>
      <c r="B22" s="441"/>
      <c r="C22" s="441"/>
      <c r="D22" s="441"/>
      <c r="E22" s="441"/>
      <c r="F22" s="441"/>
      <c r="G22" s="442"/>
      <c r="H22" s="414">
        <f t="shared" si="0"/>
        <v>15</v>
      </c>
      <c r="I22" s="415"/>
      <c r="J22" s="416"/>
      <c r="K22" s="298"/>
      <c r="L22" s="298"/>
      <c r="M22" s="298"/>
      <c r="N22" s="298"/>
      <c r="O22" s="298"/>
      <c r="P22" s="298"/>
      <c r="Q22" s="298"/>
      <c r="R22" s="417"/>
      <c r="S22" s="418"/>
      <c r="T22" s="418"/>
      <c r="U22" s="418"/>
      <c r="V22" s="409"/>
      <c r="W22" s="308"/>
      <c r="X22" s="308"/>
      <c r="Y22" s="308"/>
      <c r="Z22" s="308"/>
      <c r="AA22" s="410"/>
      <c r="AB22" s="409"/>
      <c r="AC22" s="308"/>
      <c r="AD22" s="410"/>
      <c r="AE22" s="409"/>
      <c r="AF22" s="308"/>
      <c r="AG22" s="410"/>
      <c r="AH22" s="425"/>
      <c r="AI22" s="426"/>
      <c r="AJ22" s="427"/>
      <c r="AK22" s="411"/>
      <c r="AL22" s="412"/>
      <c r="AM22" s="412"/>
      <c r="AN22" s="413"/>
      <c r="AO22" s="409"/>
      <c r="AP22" s="308"/>
      <c r="AQ22" s="308"/>
      <c r="AR22" s="308"/>
      <c r="AS22" s="308"/>
      <c r="AT22" s="308"/>
      <c r="AU22" s="308"/>
      <c r="AV22" s="308"/>
      <c r="AW22" s="308"/>
      <c r="AX22" s="308"/>
      <c r="AY22" s="308"/>
      <c r="AZ22" s="308"/>
      <c r="BA22" s="308"/>
      <c r="BB22" s="308"/>
      <c r="BC22" s="308"/>
      <c r="BD22" s="308"/>
      <c r="BE22" s="308"/>
      <c r="BF22" s="308"/>
      <c r="BG22" s="308"/>
      <c r="BH22" s="308"/>
      <c r="BI22" s="308"/>
      <c r="BJ22" s="308"/>
      <c r="BK22" s="410"/>
      <c r="BL22" s="409"/>
      <c r="BM22" s="308"/>
      <c r="BN22" s="308"/>
      <c r="BO22" s="308"/>
      <c r="BP22" s="308"/>
      <c r="BQ22" s="308"/>
      <c r="BR22" s="308"/>
      <c r="BS22" s="308"/>
      <c r="BT22" s="308"/>
      <c r="BU22" s="308"/>
      <c r="BV22" s="308"/>
      <c r="BW22" s="308"/>
      <c r="BX22" s="308"/>
      <c r="BY22" s="308"/>
      <c r="BZ22" s="308"/>
      <c r="CA22" s="308"/>
      <c r="CB22" s="410"/>
      <c r="CC22" s="409"/>
      <c r="CD22" s="308"/>
      <c r="CE22" s="308"/>
      <c r="CF22" s="308"/>
      <c r="CG22" s="308"/>
      <c r="CH22" s="308"/>
      <c r="CI22" s="308"/>
      <c r="CJ22" s="308"/>
      <c r="CK22" s="308"/>
      <c r="CL22" s="308"/>
      <c r="CM22" s="308"/>
      <c r="CN22" s="410"/>
      <c r="CO22" s="409"/>
      <c r="CP22" s="308"/>
      <c r="CQ22" s="308"/>
      <c r="CR22" s="308"/>
      <c r="CS22" s="308"/>
      <c r="CT22" s="308"/>
      <c r="CU22" s="308"/>
      <c r="CV22" s="308"/>
      <c r="CW22" s="308"/>
      <c r="CX22" s="308"/>
      <c r="CY22" s="308"/>
      <c r="CZ22" s="410"/>
      <c r="DA22" s="411" t="s">
        <v>166</v>
      </c>
      <c r="DB22" s="412"/>
      <c r="DC22" s="412"/>
      <c r="DD22" s="412"/>
      <c r="DE22" s="412"/>
      <c r="DF22" s="413"/>
      <c r="DG22" s="409"/>
      <c r="DH22" s="308"/>
      <c r="DI22" s="308"/>
      <c r="DJ22" s="308"/>
      <c r="DK22" s="308"/>
      <c r="DL22" s="308"/>
      <c r="DM22" s="308"/>
      <c r="DN22" s="308"/>
      <c r="DO22" s="308"/>
      <c r="DP22" s="308"/>
      <c r="DQ22" s="308"/>
      <c r="DR22" s="308"/>
      <c r="DS22" s="410"/>
      <c r="DT22" s="409"/>
      <c r="DU22" s="308"/>
      <c r="DV22" s="308"/>
      <c r="DW22" s="308"/>
      <c r="DX22" s="308"/>
      <c r="DY22" s="308"/>
      <c r="DZ22" s="308"/>
      <c r="EA22" s="308"/>
      <c r="EB22" s="308"/>
      <c r="EC22" s="308"/>
      <c r="ED22" s="308"/>
      <c r="EE22" s="308"/>
      <c r="EF22" s="309"/>
    </row>
    <row r="23" spans="1:136" ht="15" customHeight="1">
      <c r="A23" s="440"/>
      <c r="B23" s="441"/>
      <c r="C23" s="441"/>
      <c r="D23" s="441"/>
      <c r="E23" s="441"/>
      <c r="F23" s="441"/>
      <c r="G23" s="442"/>
      <c r="H23" s="414">
        <f t="shared" si="0"/>
        <v>16</v>
      </c>
      <c r="I23" s="415"/>
      <c r="J23" s="416"/>
      <c r="K23" s="298"/>
      <c r="L23" s="298"/>
      <c r="M23" s="298"/>
      <c r="N23" s="298"/>
      <c r="O23" s="298"/>
      <c r="P23" s="298"/>
      <c r="Q23" s="298"/>
      <c r="R23" s="417"/>
      <c r="S23" s="418"/>
      <c r="T23" s="418"/>
      <c r="U23" s="418"/>
      <c r="V23" s="409"/>
      <c r="W23" s="308"/>
      <c r="X23" s="308"/>
      <c r="Y23" s="308"/>
      <c r="Z23" s="308"/>
      <c r="AA23" s="410"/>
      <c r="AB23" s="409"/>
      <c r="AC23" s="308"/>
      <c r="AD23" s="410"/>
      <c r="AE23" s="409"/>
      <c r="AF23" s="308"/>
      <c r="AG23" s="410"/>
      <c r="AH23" s="425"/>
      <c r="AI23" s="426"/>
      <c r="AJ23" s="427"/>
      <c r="AK23" s="411"/>
      <c r="AL23" s="412"/>
      <c r="AM23" s="412"/>
      <c r="AN23" s="413"/>
      <c r="AO23" s="409"/>
      <c r="AP23" s="308"/>
      <c r="AQ23" s="308"/>
      <c r="AR23" s="308"/>
      <c r="AS23" s="308"/>
      <c r="AT23" s="308"/>
      <c r="AU23" s="308"/>
      <c r="AV23" s="308"/>
      <c r="AW23" s="308"/>
      <c r="AX23" s="308"/>
      <c r="AY23" s="308"/>
      <c r="AZ23" s="308"/>
      <c r="BA23" s="308"/>
      <c r="BB23" s="308"/>
      <c r="BC23" s="308"/>
      <c r="BD23" s="308"/>
      <c r="BE23" s="308"/>
      <c r="BF23" s="308"/>
      <c r="BG23" s="308"/>
      <c r="BH23" s="308"/>
      <c r="BI23" s="308"/>
      <c r="BJ23" s="308"/>
      <c r="BK23" s="410"/>
      <c r="BL23" s="409"/>
      <c r="BM23" s="308"/>
      <c r="BN23" s="308"/>
      <c r="BO23" s="308"/>
      <c r="BP23" s="308"/>
      <c r="BQ23" s="308"/>
      <c r="BR23" s="308"/>
      <c r="BS23" s="308"/>
      <c r="BT23" s="308"/>
      <c r="BU23" s="308"/>
      <c r="BV23" s="308"/>
      <c r="BW23" s="308"/>
      <c r="BX23" s="308"/>
      <c r="BY23" s="308"/>
      <c r="BZ23" s="308"/>
      <c r="CA23" s="308"/>
      <c r="CB23" s="410"/>
      <c r="CC23" s="409"/>
      <c r="CD23" s="308"/>
      <c r="CE23" s="308"/>
      <c r="CF23" s="308"/>
      <c r="CG23" s="308"/>
      <c r="CH23" s="308"/>
      <c r="CI23" s="308"/>
      <c r="CJ23" s="308"/>
      <c r="CK23" s="308"/>
      <c r="CL23" s="308"/>
      <c r="CM23" s="308"/>
      <c r="CN23" s="410"/>
      <c r="CO23" s="409"/>
      <c r="CP23" s="308"/>
      <c r="CQ23" s="308"/>
      <c r="CR23" s="308"/>
      <c r="CS23" s="308"/>
      <c r="CT23" s="308"/>
      <c r="CU23" s="308"/>
      <c r="CV23" s="308"/>
      <c r="CW23" s="308"/>
      <c r="CX23" s="308"/>
      <c r="CY23" s="308"/>
      <c r="CZ23" s="410"/>
      <c r="DA23" s="411" t="s">
        <v>166</v>
      </c>
      <c r="DB23" s="412"/>
      <c r="DC23" s="412"/>
      <c r="DD23" s="412"/>
      <c r="DE23" s="412"/>
      <c r="DF23" s="413"/>
      <c r="DG23" s="409"/>
      <c r="DH23" s="308"/>
      <c r="DI23" s="308"/>
      <c r="DJ23" s="308"/>
      <c r="DK23" s="308"/>
      <c r="DL23" s="308"/>
      <c r="DM23" s="308"/>
      <c r="DN23" s="308"/>
      <c r="DO23" s="308"/>
      <c r="DP23" s="308"/>
      <c r="DQ23" s="308"/>
      <c r="DR23" s="308"/>
      <c r="DS23" s="410"/>
      <c r="DT23" s="409"/>
      <c r="DU23" s="308"/>
      <c r="DV23" s="308"/>
      <c r="DW23" s="308"/>
      <c r="DX23" s="308"/>
      <c r="DY23" s="308"/>
      <c r="DZ23" s="308"/>
      <c r="EA23" s="308"/>
      <c r="EB23" s="308"/>
      <c r="EC23" s="308"/>
      <c r="ED23" s="308"/>
      <c r="EE23" s="308"/>
      <c r="EF23" s="309"/>
    </row>
    <row r="24" spans="1:136" ht="15" customHeight="1">
      <c r="A24" s="440"/>
      <c r="B24" s="441"/>
      <c r="C24" s="441"/>
      <c r="D24" s="441"/>
      <c r="E24" s="441"/>
      <c r="F24" s="441"/>
      <c r="G24" s="442"/>
      <c r="H24" s="414">
        <f t="shared" si="0"/>
        <v>17</v>
      </c>
      <c r="I24" s="415"/>
      <c r="J24" s="416"/>
      <c r="K24" s="298"/>
      <c r="L24" s="298"/>
      <c r="M24" s="298"/>
      <c r="N24" s="298"/>
      <c r="O24" s="298"/>
      <c r="P24" s="298"/>
      <c r="Q24" s="298"/>
      <c r="R24" s="417"/>
      <c r="S24" s="418"/>
      <c r="T24" s="418"/>
      <c r="U24" s="418"/>
      <c r="V24" s="409"/>
      <c r="W24" s="308"/>
      <c r="X24" s="308"/>
      <c r="Y24" s="308"/>
      <c r="Z24" s="308"/>
      <c r="AA24" s="410"/>
      <c r="AB24" s="409"/>
      <c r="AC24" s="308"/>
      <c r="AD24" s="410"/>
      <c r="AE24" s="409"/>
      <c r="AF24" s="308"/>
      <c r="AG24" s="410"/>
      <c r="AH24" s="425"/>
      <c r="AI24" s="426"/>
      <c r="AJ24" s="427"/>
      <c r="AK24" s="411"/>
      <c r="AL24" s="412"/>
      <c r="AM24" s="412"/>
      <c r="AN24" s="413"/>
      <c r="AO24" s="409"/>
      <c r="AP24" s="308"/>
      <c r="AQ24" s="308"/>
      <c r="AR24" s="308"/>
      <c r="AS24" s="308"/>
      <c r="AT24" s="308"/>
      <c r="AU24" s="308"/>
      <c r="AV24" s="308"/>
      <c r="AW24" s="308"/>
      <c r="AX24" s="308"/>
      <c r="AY24" s="308"/>
      <c r="AZ24" s="308"/>
      <c r="BA24" s="308"/>
      <c r="BB24" s="308"/>
      <c r="BC24" s="308"/>
      <c r="BD24" s="308"/>
      <c r="BE24" s="308"/>
      <c r="BF24" s="308"/>
      <c r="BG24" s="308"/>
      <c r="BH24" s="308"/>
      <c r="BI24" s="308"/>
      <c r="BJ24" s="308"/>
      <c r="BK24" s="410"/>
      <c r="BL24" s="409"/>
      <c r="BM24" s="308"/>
      <c r="BN24" s="308"/>
      <c r="BO24" s="308"/>
      <c r="BP24" s="308"/>
      <c r="BQ24" s="308"/>
      <c r="BR24" s="308"/>
      <c r="BS24" s="308"/>
      <c r="BT24" s="308"/>
      <c r="BU24" s="308"/>
      <c r="BV24" s="308"/>
      <c r="BW24" s="308"/>
      <c r="BX24" s="308"/>
      <c r="BY24" s="308"/>
      <c r="BZ24" s="308"/>
      <c r="CA24" s="308"/>
      <c r="CB24" s="410"/>
      <c r="CC24" s="409"/>
      <c r="CD24" s="308"/>
      <c r="CE24" s="308"/>
      <c r="CF24" s="308"/>
      <c r="CG24" s="308"/>
      <c r="CH24" s="308"/>
      <c r="CI24" s="308"/>
      <c r="CJ24" s="308"/>
      <c r="CK24" s="308"/>
      <c r="CL24" s="308"/>
      <c r="CM24" s="308"/>
      <c r="CN24" s="410"/>
      <c r="CO24" s="409"/>
      <c r="CP24" s="308"/>
      <c r="CQ24" s="308"/>
      <c r="CR24" s="308"/>
      <c r="CS24" s="308"/>
      <c r="CT24" s="308"/>
      <c r="CU24" s="308"/>
      <c r="CV24" s="308"/>
      <c r="CW24" s="308"/>
      <c r="CX24" s="308"/>
      <c r="CY24" s="308"/>
      <c r="CZ24" s="410"/>
      <c r="DA24" s="411" t="s">
        <v>166</v>
      </c>
      <c r="DB24" s="412"/>
      <c r="DC24" s="412"/>
      <c r="DD24" s="412"/>
      <c r="DE24" s="412"/>
      <c r="DF24" s="413"/>
      <c r="DG24" s="409"/>
      <c r="DH24" s="308"/>
      <c r="DI24" s="308"/>
      <c r="DJ24" s="308"/>
      <c r="DK24" s="308"/>
      <c r="DL24" s="308"/>
      <c r="DM24" s="308"/>
      <c r="DN24" s="308"/>
      <c r="DO24" s="308"/>
      <c r="DP24" s="308"/>
      <c r="DQ24" s="308"/>
      <c r="DR24" s="308"/>
      <c r="DS24" s="410"/>
      <c r="DT24" s="409"/>
      <c r="DU24" s="308"/>
      <c r="DV24" s="308"/>
      <c r="DW24" s="308"/>
      <c r="DX24" s="308"/>
      <c r="DY24" s="308"/>
      <c r="DZ24" s="308"/>
      <c r="EA24" s="308"/>
      <c r="EB24" s="308"/>
      <c r="EC24" s="308"/>
      <c r="ED24" s="308"/>
      <c r="EE24" s="308"/>
      <c r="EF24" s="309"/>
    </row>
    <row r="25" spans="1:136" ht="15" customHeight="1">
      <c r="A25" s="440"/>
      <c r="B25" s="441"/>
      <c r="C25" s="441"/>
      <c r="D25" s="441"/>
      <c r="E25" s="441"/>
      <c r="F25" s="441"/>
      <c r="G25" s="442"/>
      <c r="H25" s="414">
        <f t="shared" si="0"/>
        <v>18</v>
      </c>
      <c r="I25" s="415"/>
      <c r="J25" s="416"/>
      <c r="K25" s="298"/>
      <c r="L25" s="298"/>
      <c r="M25" s="298"/>
      <c r="N25" s="298"/>
      <c r="O25" s="298"/>
      <c r="P25" s="298"/>
      <c r="Q25" s="298"/>
      <c r="R25" s="417"/>
      <c r="S25" s="418"/>
      <c r="T25" s="418"/>
      <c r="U25" s="418"/>
      <c r="V25" s="409"/>
      <c r="W25" s="308"/>
      <c r="X25" s="308"/>
      <c r="Y25" s="308"/>
      <c r="Z25" s="308"/>
      <c r="AA25" s="410"/>
      <c r="AB25" s="409"/>
      <c r="AC25" s="308"/>
      <c r="AD25" s="410"/>
      <c r="AE25" s="409"/>
      <c r="AF25" s="308"/>
      <c r="AG25" s="410"/>
      <c r="AH25" s="425"/>
      <c r="AI25" s="426"/>
      <c r="AJ25" s="427"/>
      <c r="AK25" s="411"/>
      <c r="AL25" s="412"/>
      <c r="AM25" s="412"/>
      <c r="AN25" s="413"/>
      <c r="AO25" s="409"/>
      <c r="AP25" s="308"/>
      <c r="AQ25" s="308"/>
      <c r="AR25" s="308"/>
      <c r="AS25" s="308"/>
      <c r="AT25" s="308"/>
      <c r="AU25" s="308"/>
      <c r="AV25" s="308"/>
      <c r="AW25" s="308"/>
      <c r="AX25" s="308"/>
      <c r="AY25" s="308"/>
      <c r="AZ25" s="308"/>
      <c r="BA25" s="308"/>
      <c r="BB25" s="308"/>
      <c r="BC25" s="308"/>
      <c r="BD25" s="308"/>
      <c r="BE25" s="308"/>
      <c r="BF25" s="308"/>
      <c r="BG25" s="308"/>
      <c r="BH25" s="308"/>
      <c r="BI25" s="308"/>
      <c r="BJ25" s="308"/>
      <c r="BK25" s="410"/>
      <c r="BL25" s="409"/>
      <c r="BM25" s="308"/>
      <c r="BN25" s="308"/>
      <c r="BO25" s="308"/>
      <c r="BP25" s="308"/>
      <c r="BQ25" s="308"/>
      <c r="BR25" s="308"/>
      <c r="BS25" s="308"/>
      <c r="BT25" s="308"/>
      <c r="BU25" s="308"/>
      <c r="BV25" s="308"/>
      <c r="BW25" s="308"/>
      <c r="BX25" s="308"/>
      <c r="BY25" s="308"/>
      <c r="BZ25" s="308"/>
      <c r="CA25" s="308"/>
      <c r="CB25" s="410"/>
      <c r="CC25" s="409"/>
      <c r="CD25" s="308"/>
      <c r="CE25" s="308"/>
      <c r="CF25" s="308"/>
      <c r="CG25" s="308"/>
      <c r="CH25" s="308"/>
      <c r="CI25" s="308"/>
      <c r="CJ25" s="308"/>
      <c r="CK25" s="308"/>
      <c r="CL25" s="308"/>
      <c r="CM25" s="308"/>
      <c r="CN25" s="410"/>
      <c r="CO25" s="409"/>
      <c r="CP25" s="308"/>
      <c r="CQ25" s="308"/>
      <c r="CR25" s="308"/>
      <c r="CS25" s="308"/>
      <c r="CT25" s="308"/>
      <c r="CU25" s="308"/>
      <c r="CV25" s="308"/>
      <c r="CW25" s="308"/>
      <c r="CX25" s="308"/>
      <c r="CY25" s="308"/>
      <c r="CZ25" s="410"/>
      <c r="DA25" s="411" t="s">
        <v>166</v>
      </c>
      <c r="DB25" s="412"/>
      <c r="DC25" s="412"/>
      <c r="DD25" s="412"/>
      <c r="DE25" s="412"/>
      <c r="DF25" s="413"/>
      <c r="DG25" s="409"/>
      <c r="DH25" s="308"/>
      <c r="DI25" s="308"/>
      <c r="DJ25" s="308"/>
      <c r="DK25" s="308"/>
      <c r="DL25" s="308"/>
      <c r="DM25" s="308"/>
      <c r="DN25" s="308"/>
      <c r="DO25" s="308"/>
      <c r="DP25" s="308"/>
      <c r="DQ25" s="308"/>
      <c r="DR25" s="308"/>
      <c r="DS25" s="410"/>
      <c r="DT25" s="409"/>
      <c r="DU25" s="308"/>
      <c r="DV25" s="308"/>
      <c r="DW25" s="308"/>
      <c r="DX25" s="308"/>
      <c r="DY25" s="308"/>
      <c r="DZ25" s="308"/>
      <c r="EA25" s="308"/>
      <c r="EB25" s="308"/>
      <c r="EC25" s="308"/>
      <c r="ED25" s="308"/>
      <c r="EE25" s="308"/>
      <c r="EF25" s="309"/>
    </row>
    <row r="26" spans="1:136" ht="15" customHeight="1">
      <c r="A26" s="440"/>
      <c r="B26" s="441"/>
      <c r="C26" s="441"/>
      <c r="D26" s="441"/>
      <c r="E26" s="441"/>
      <c r="F26" s="441"/>
      <c r="G26" s="442"/>
      <c r="H26" s="414">
        <f t="shared" si="0"/>
        <v>19</v>
      </c>
      <c r="I26" s="415"/>
      <c r="J26" s="416"/>
      <c r="K26" s="298"/>
      <c r="L26" s="298"/>
      <c r="M26" s="298"/>
      <c r="N26" s="298"/>
      <c r="O26" s="298"/>
      <c r="P26" s="298"/>
      <c r="Q26" s="298"/>
      <c r="R26" s="417"/>
      <c r="S26" s="418"/>
      <c r="T26" s="418"/>
      <c r="U26" s="418"/>
      <c r="V26" s="409"/>
      <c r="W26" s="308"/>
      <c r="X26" s="308"/>
      <c r="Y26" s="308"/>
      <c r="Z26" s="308"/>
      <c r="AA26" s="410"/>
      <c r="AB26" s="409"/>
      <c r="AC26" s="308"/>
      <c r="AD26" s="410"/>
      <c r="AE26" s="409"/>
      <c r="AF26" s="308"/>
      <c r="AG26" s="410"/>
      <c r="AH26" s="425"/>
      <c r="AI26" s="426"/>
      <c r="AJ26" s="427"/>
      <c r="AK26" s="411"/>
      <c r="AL26" s="412"/>
      <c r="AM26" s="412"/>
      <c r="AN26" s="413"/>
      <c r="AO26" s="409"/>
      <c r="AP26" s="308"/>
      <c r="AQ26" s="308"/>
      <c r="AR26" s="308"/>
      <c r="AS26" s="308"/>
      <c r="AT26" s="308"/>
      <c r="AU26" s="308"/>
      <c r="AV26" s="308"/>
      <c r="AW26" s="308"/>
      <c r="AX26" s="308"/>
      <c r="AY26" s="308"/>
      <c r="AZ26" s="308"/>
      <c r="BA26" s="308"/>
      <c r="BB26" s="308"/>
      <c r="BC26" s="308"/>
      <c r="BD26" s="308"/>
      <c r="BE26" s="308"/>
      <c r="BF26" s="308"/>
      <c r="BG26" s="308"/>
      <c r="BH26" s="308"/>
      <c r="BI26" s="308"/>
      <c r="BJ26" s="308"/>
      <c r="BK26" s="410"/>
      <c r="BL26" s="409"/>
      <c r="BM26" s="308"/>
      <c r="BN26" s="308"/>
      <c r="BO26" s="308"/>
      <c r="BP26" s="308"/>
      <c r="BQ26" s="308"/>
      <c r="BR26" s="308"/>
      <c r="BS26" s="308"/>
      <c r="BT26" s="308"/>
      <c r="BU26" s="308"/>
      <c r="BV26" s="308"/>
      <c r="BW26" s="308"/>
      <c r="BX26" s="308"/>
      <c r="BY26" s="308"/>
      <c r="BZ26" s="308"/>
      <c r="CA26" s="308"/>
      <c r="CB26" s="410"/>
      <c r="CC26" s="409"/>
      <c r="CD26" s="308"/>
      <c r="CE26" s="308"/>
      <c r="CF26" s="308"/>
      <c r="CG26" s="308"/>
      <c r="CH26" s="308"/>
      <c r="CI26" s="308"/>
      <c r="CJ26" s="308"/>
      <c r="CK26" s="308"/>
      <c r="CL26" s="308"/>
      <c r="CM26" s="308"/>
      <c r="CN26" s="410"/>
      <c r="CO26" s="409"/>
      <c r="CP26" s="308"/>
      <c r="CQ26" s="308"/>
      <c r="CR26" s="308"/>
      <c r="CS26" s="308"/>
      <c r="CT26" s="308"/>
      <c r="CU26" s="308"/>
      <c r="CV26" s="308"/>
      <c r="CW26" s="308"/>
      <c r="CX26" s="308"/>
      <c r="CY26" s="308"/>
      <c r="CZ26" s="410"/>
      <c r="DA26" s="411" t="s">
        <v>166</v>
      </c>
      <c r="DB26" s="412"/>
      <c r="DC26" s="412"/>
      <c r="DD26" s="412"/>
      <c r="DE26" s="412"/>
      <c r="DF26" s="413"/>
      <c r="DG26" s="409"/>
      <c r="DH26" s="308"/>
      <c r="DI26" s="308"/>
      <c r="DJ26" s="308"/>
      <c r="DK26" s="308"/>
      <c r="DL26" s="308"/>
      <c r="DM26" s="308"/>
      <c r="DN26" s="308"/>
      <c r="DO26" s="308"/>
      <c r="DP26" s="308"/>
      <c r="DQ26" s="308"/>
      <c r="DR26" s="308"/>
      <c r="DS26" s="410"/>
      <c r="DT26" s="409"/>
      <c r="DU26" s="308"/>
      <c r="DV26" s="308"/>
      <c r="DW26" s="308"/>
      <c r="DX26" s="308"/>
      <c r="DY26" s="308"/>
      <c r="DZ26" s="308"/>
      <c r="EA26" s="308"/>
      <c r="EB26" s="308"/>
      <c r="EC26" s="308"/>
      <c r="ED26" s="308"/>
      <c r="EE26" s="308"/>
      <c r="EF26" s="309"/>
    </row>
    <row r="27" spans="1:136" ht="15" customHeight="1">
      <c r="A27" s="440"/>
      <c r="B27" s="441"/>
      <c r="C27" s="441"/>
      <c r="D27" s="441"/>
      <c r="E27" s="441"/>
      <c r="F27" s="441"/>
      <c r="G27" s="442"/>
      <c r="H27" s="414">
        <f t="shared" si="0"/>
        <v>20</v>
      </c>
      <c r="I27" s="415"/>
      <c r="J27" s="416"/>
      <c r="K27" s="298"/>
      <c r="L27" s="298"/>
      <c r="M27" s="298"/>
      <c r="N27" s="298"/>
      <c r="O27" s="298"/>
      <c r="P27" s="298"/>
      <c r="Q27" s="298"/>
      <c r="R27" s="417"/>
      <c r="S27" s="418"/>
      <c r="T27" s="418"/>
      <c r="U27" s="418"/>
      <c r="V27" s="409"/>
      <c r="W27" s="308"/>
      <c r="X27" s="308"/>
      <c r="Y27" s="308"/>
      <c r="Z27" s="308"/>
      <c r="AA27" s="410"/>
      <c r="AB27" s="409"/>
      <c r="AC27" s="308"/>
      <c r="AD27" s="410"/>
      <c r="AE27" s="409"/>
      <c r="AF27" s="308"/>
      <c r="AG27" s="410"/>
      <c r="AH27" s="425"/>
      <c r="AI27" s="426"/>
      <c r="AJ27" s="427"/>
      <c r="AK27" s="411"/>
      <c r="AL27" s="412"/>
      <c r="AM27" s="412"/>
      <c r="AN27" s="413"/>
      <c r="AO27" s="409"/>
      <c r="AP27" s="308"/>
      <c r="AQ27" s="308"/>
      <c r="AR27" s="308"/>
      <c r="AS27" s="308"/>
      <c r="AT27" s="308"/>
      <c r="AU27" s="308"/>
      <c r="AV27" s="308"/>
      <c r="AW27" s="308"/>
      <c r="AX27" s="308"/>
      <c r="AY27" s="308"/>
      <c r="AZ27" s="308"/>
      <c r="BA27" s="308"/>
      <c r="BB27" s="308"/>
      <c r="BC27" s="308"/>
      <c r="BD27" s="308"/>
      <c r="BE27" s="308"/>
      <c r="BF27" s="308"/>
      <c r="BG27" s="308"/>
      <c r="BH27" s="308"/>
      <c r="BI27" s="308"/>
      <c r="BJ27" s="308"/>
      <c r="BK27" s="410"/>
      <c r="BL27" s="409"/>
      <c r="BM27" s="308"/>
      <c r="BN27" s="308"/>
      <c r="BO27" s="308"/>
      <c r="BP27" s="308"/>
      <c r="BQ27" s="308"/>
      <c r="BR27" s="308"/>
      <c r="BS27" s="308"/>
      <c r="BT27" s="308"/>
      <c r="BU27" s="308"/>
      <c r="BV27" s="308"/>
      <c r="BW27" s="308"/>
      <c r="BX27" s="308"/>
      <c r="BY27" s="308"/>
      <c r="BZ27" s="308"/>
      <c r="CA27" s="308"/>
      <c r="CB27" s="410"/>
      <c r="CC27" s="409"/>
      <c r="CD27" s="308"/>
      <c r="CE27" s="308"/>
      <c r="CF27" s="308"/>
      <c r="CG27" s="308"/>
      <c r="CH27" s="308"/>
      <c r="CI27" s="308"/>
      <c r="CJ27" s="308"/>
      <c r="CK27" s="308"/>
      <c r="CL27" s="308"/>
      <c r="CM27" s="308"/>
      <c r="CN27" s="410"/>
      <c r="CO27" s="409"/>
      <c r="CP27" s="308"/>
      <c r="CQ27" s="308"/>
      <c r="CR27" s="308"/>
      <c r="CS27" s="308"/>
      <c r="CT27" s="308"/>
      <c r="CU27" s="308"/>
      <c r="CV27" s="308"/>
      <c r="CW27" s="308"/>
      <c r="CX27" s="308"/>
      <c r="CY27" s="308"/>
      <c r="CZ27" s="410"/>
      <c r="DA27" s="411" t="s">
        <v>166</v>
      </c>
      <c r="DB27" s="412"/>
      <c r="DC27" s="412"/>
      <c r="DD27" s="412"/>
      <c r="DE27" s="412"/>
      <c r="DF27" s="413"/>
      <c r="DG27" s="409"/>
      <c r="DH27" s="308"/>
      <c r="DI27" s="308"/>
      <c r="DJ27" s="308"/>
      <c r="DK27" s="308"/>
      <c r="DL27" s="308"/>
      <c r="DM27" s="308"/>
      <c r="DN27" s="308"/>
      <c r="DO27" s="308"/>
      <c r="DP27" s="308"/>
      <c r="DQ27" s="308"/>
      <c r="DR27" s="308"/>
      <c r="DS27" s="410"/>
      <c r="DT27" s="409"/>
      <c r="DU27" s="308"/>
      <c r="DV27" s="308"/>
      <c r="DW27" s="308"/>
      <c r="DX27" s="308"/>
      <c r="DY27" s="308"/>
      <c r="DZ27" s="308"/>
      <c r="EA27" s="308"/>
      <c r="EB27" s="308"/>
      <c r="EC27" s="308"/>
      <c r="ED27" s="308"/>
      <c r="EE27" s="308"/>
      <c r="EF27" s="309"/>
    </row>
    <row r="28" spans="1:136" ht="15" customHeight="1">
      <c r="A28" s="440"/>
      <c r="B28" s="441"/>
      <c r="C28" s="441"/>
      <c r="D28" s="441"/>
      <c r="E28" s="441"/>
      <c r="F28" s="441"/>
      <c r="G28" s="442"/>
      <c r="H28" s="414">
        <f t="shared" si="0"/>
        <v>21</v>
      </c>
      <c r="I28" s="415"/>
      <c r="J28" s="416"/>
      <c r="K28" s="298"/>
      <c r="L28" s="298"/>
      <c r="M28" s="298"/>
      <c r="N28" s="298"/>
      <c r="O28" s="298"/>
      <c r="P28" s="298"/>
      <c r="Q28" s="298"/>
      <c r="R28" s="417"/>
      <c r="S28" s="418"/>
      <c r="T28" s="418"/>
      <c r="U28" s="418"/>
      <c r="V28" s="409"/>
      <c r="W28" s="308"/>
      <c r="X28" s="308"/>
      <c r="Y28" s="308"/>
      <c r="Z28" s="308"/>
      <c r="AA28" s="410"/>
      <c r="AB28" s="409"/>
      <c r="AC28" s="308"/>
      <c r="AD28" s="410"/>
      <c r="AE28" s="409"/>
      <c r="AF28" s="308"/>
      <c r="AG28" s="410"/>
      <c r="AH28" s="425"/>
      <c r="AI28" s="426"/>
      <c r="AJ28" s="427"/>
      <c r="AK28" s="411"/>
      <c r="AL28" s="412"/>
      <c r="AM28" s="412"/>
      <c r="AN28" s="413"/>
      <c r="AO28" s="409"/>
      <c r="AP28" s="308"/>
      <c r="AQ28" s="308"/>
      <c r="AR28" s="308"/>
      <c r="AS28" s="308"/>
      <c r="AT28" s="308"/>
      <c r="AU28" s="308"/>
      <c r="AV28" s="308"/>
      <c r="AW28" s="308"/>
      <c r="AX28" s="308"/>
      <c r="AY28" s="308"/>
      <c r="AZ28" s="308"/>
      <c r="BA28" s="308"/>
      <c r="BB28" s="308"/>
      <c r="BC28" s="308"/>
      <c r="BD28" s="308"/>
      <c r="BE28" s="308"/>
      <c r="BF28" s="308"/>
      <c r="BG28" s="308"/>
      <c r="BH28" s="308"/>
      <c r="BI28" s="308"/>
      <c r="BJ28" s="308"/>
      <c r="BK28" s="410"/>
      <c r="BL28" s="409"/>
      <c r="BM28" s="308"/>
      <c r="BN28" s="308"/>
      <c r="BO28" s="308"/>
      <c r="BP28" s="308"/>
      <c r="BQ28" s="308"/>
      <c r="BR28" s="308"/>
      <c r="BS28" s="308"/>
      <c r="BT28" s="308"/>
      <c r="BU28" s="308"/>
      <c r="BV28" s="308"/>
      <c r="BW28" s="308"/>
      <c r="BX28" s="308"/>
      <c r="BY28" s="308"/>
      <c r="BZ28" s="308"/>
      <c r="CA28" s="308"/>
      <c r="CB28" s="410"/>
      <c r="CC28" s="409"/>
      <c r="CD28" s="308"/>
      <c r="CE28" s="308"/>
      <c r="CF28" s="308"/>
      <c r="CG28" s="308"/>
      <c r="CH28" s="308"/>
      <c r="CI28" s="308"/>
      <c r="CJ28" s="308"/>
      <c r="CK28" s="308"/>
      <c r="CL28" s="308"/>
      <c r="CM28" s="308"/>
      <c r="CN28" s="410"/>
      <c r="CO28" s="409"/>
      <c r="CP28" s="308"/>
      <c r="CQ28" s="308"/>
      <c r="CR28" s="308"/>
      <c r="CS28" s="308"/>
      <c r="CT28" s="308"/>
      <c r="CU28" s="308"/>
      <c r="CV28" s="308"/>
      <c r="CW28" s="308"/>
      <c r="CX28" s="308"/>
      <c r="CY28" s="308"/>
      <c r="CZ28" s="410"/>
      <c r="DA28" s="411" t="s">
        <v>166</v>
      </c>
      <c r="DB28" s="412"/>
      <c r="DC28" s="412"/>
      <c r="DD28" s="412"/>
      <c r="DE28" s="412"/>
      <c r="DF28" s="413"/>
      <c r="DG28" s="409"/>
      <c r="DH28" s="308"/>
      <c r="DI28" s="308"/>
      <c r="DJ28" s="308"/>
      <c r="DK28" s="308"/>
      <c r="DL28" s="308"/>
      <c r="DM28" s="308"/>
      <c r="DN28" s="308"/>
      <c r="DO28" s="308"/>
      <c r="DP28" s="308"/>
      <c r="DQ28" s="308"/>
      <c r="DR28" s="308"/>
      <c r="DS28" s="410"/>
      <c r="DT28" s="409"/>
      <c r="DU28" s="308"/>
      <c r="DV28" s="308"/>
      <c r="DW28" s="308"/>
      <c r="DX28" s="308"/>
      <c r="DY28" s="308"/>
      <c r="DZ28" s="308"/>
      <c r="EA28" s="308"/>
      <c r="EB28" s="308"/>
      <c r="EC28" s="308"/>
      <c r="ED28" s="308"/>
      <c r="EE28" s="308"/>
      <c r="EF28" s="309"/>
    </row>
    <row r="29" spans="1:136" ht="15" customHeight="1">
      <c r="A29" s="440"/>
      <c r="B29" s="441"/>
      <c r="C29" s="441"/>
      <c r="D29" s="441"/>
      <c r="E29" s="441"/>
      <c r="F29" s="441"/>
      <c r="G29" s="442"/>
      <c r="H29" s="414">
        <f t="shared" si="0"/>
        <v>22</v>
      </c>
      <c r="I29" s="415"/>
      <c r="J29" s="416"/>
      <c r="K29" s="298"/>
      <c r="L29" s="298"/>
      <c r="M29" s="298"/>
      <c r="N29" s="298"/>
      <c r="O29" s="298"/>
      <c r="P29" s="298"/>
      <c r="Q29" s="298"/>
      <c r="R29" s="417"/>
      <c r="S29" s="418"/>
      <c r="T29" s="418"/>
      <c r="U29" s="418"/>
      <c r="V29" s="409"/>
      <c r="W29" s="308"/>
      <c r="X29" s="308"/>
      <c r="Y29" s="308"/>
      <c r="Z29" s="308"/>
      <c r="AA29" s="410"/>
      <c r="AB29" s="409"/>
      <c r="AC29" s="308"/>
      <c r="AD29" s="410"/>
      <c r="AE29" s="409"/>
      <c r="AF29" s="308"/>
      <c r="AG29" s="410"/>
      <c r="AH29" s="425"/>
      <c r="AI29" s="426"/>
      <c r="AJ29" s="427"/>
      <c r="AK29" s="411"/>
      <c r="AL29" s="412"/>
      <c r="AM29" s="412"/>
      <c r="AN29" s="413"/>
      <c r="AO29" s="409"/>
      <c r="AP29" s="308"/>
      <c r="AQ29" s="308"/>
      <c r="AR29" s="308"/>
      <c r="AS29" s="308"/>
      <c r="AT29" s="308"/>
      <c r="AU29" s="308"/>
      <c r="AV29" s="308"/>
      <c r="AW29" s="308"/>
      <c r="AX29" s="308"/>
      <c r="AY29" s="308"/>
      <c r="AZ29" s="308"/>
      <c r="BA29" s="308"/>
      <c r="BB29" s="308"/>
      <c r="BC29" s="308"/>
      <c r="BD29" s="308"/>
      <c r="BE29" s="308"/>
      <c r="BF29" s="308"/>
      <c r="BG29" s="308"/>
      <c r="BH29" s="308"/>
      <c r="BI29" s="308"/>
      <c r="BJ29" s="308"/>
      <c r="BK29" s="410"/>
      <c r="BL29" s="409"/>
      <c r="BM29" s="308"/>
      <c r="BN29" s="308"/>
      <c r="BO29" s="308"/>
      <c r="BP29" s="308"/>
      <c r="BQ29" s="308"/>
      <c r="BR29" s="308"/>
      <c r="BS29" s="308"/>
      <c r="BT29" s="308"/>
      <c r="BU29" s="308"/>
      <c r="BV29" s="308"/>
      <c r="BW29" s="308"/>
      <c r="BX29" s="308"/>
      <c r="BY29" s="308"/>
      <c r="BZ29" s="308"/>
      <c r="CA29" s="308"/>
      <c r="CB29" s="410"/>
      <c r="CC29" s="409"/>
      <c r="CD29" s="308"/>
      <c r="CE29" s="308"/>
      <c r="CF29" s="308"/>
      <c r="CG29" s="308"/>
      <c r="CH29" s="308"/>
      <c r="CI29" s="308"/>
      <c r="CJ29" s="308"/>
      <c r="CK29" s="308"/>
      <c r="CL29" s="308"/>
      <c r="CM29" s="308"/>
      <c r="CN29" s="410"/>
      <c r="CO29" s="409"/>
      <c r="CP29" s="308"/>
      <c r="CQ29" s="308"/>
      <c r="CR29" s="308"/>
      <c r="CS29" s="308"/>
      <c r="CT29" s="308"/>
      <c r="CU29" s="308"/>
      <c r="CV29" s="308"/>
      <c r="CW29" s="308"/>
      <c r="CX29" s="308"/>
      <c r="CY29" s="308"/>
      <c r="CZ29" s="410"/>
      <c r="DA29" s="411" t="s">
        <v>166</v>
      </c>
      <c r="DB29" s="412"/>
      <c r="DC29" s="412"/>
      <c r="DD29" s="412"/>
      <c r="DE29" s="412"/>
      <c r="DF29" s="413"/>
      <c r="DG29" s="409"/>
      <c r="DH29" s="308"/>
      <c r="DI29" s="308"/>
      <c r="DJ29" s="308"/>
      <c r="DK29" s="308"/>
      <c r="DL29" s="308"/>
      <c r="DM29" s="308"/>
      <c r="DN29" s="308"/>
      <c r="DO29" s="308"/>
      <c r="DP29" s="308"/>
      <c r="DQ29" s="308"/>
      <c r="DR29" s="308"/>
      <c r="DS29" s="410"/>
      <c r="DT29" s="409"/>
      <c r="DU29" s="308"/>
      <c r="DV29" s="308"/>
      <c r="DW29" s="308"/>
      <c r="DX29" s="308"/>
      <c r="DY29" s="308"/>
      <c r="DZ29" s="308"/>
      <c r="EA29" s="308"/>
      <c r="EB29" s="308"/>
      <c r="EC29" s="308"/>
      <c r="ED29" s="308"/>
      <c r="EE29" s="308"/>
      <c r="EF29" s="309"/>
    </row>
    <row r="30" spans="1:136" ht="15" customHeight="1">
      <c r="A30" s="443"/>
      <c r="B30" s="444"/>
      <c r="C30" s="444"/>
      <c r="D30" s="444"/>
      <c r="E30" s="444"/>
      <c r="F30" s="444"/>
      <c r="G30" s="445"/>
      <c r="H30" s="414">
        <f t="shared" si="0"/>
        <v>23</v>
      </c>
      <c r="I30" s="415"/>
      <c r="J30" s="416"/>
      <c r="K30" s="298"/>
      <c r="L30" s="298"/>
      <c r="M30" s="298"/>
      <c r="N30" s="298"/>
      <c r="O30" s="298"/>
      <c r="P30" s="298"/>
      <c r="Q30" s="298"/>
      <c r="R30" s="417"/>
      <c r="S30" s="418"/>
      <c r="T30" s="418"/>
      <c r="U30" s="418"/>
      <c r="V30" s="409"/>
      <c r="W30" s="308"/>
      <c r="X30" s="308"/>
      <c r="Y30" s="308"/>
      <c r="Z30" s="308"/>
      <c r="AA30" s="410"/>
      <c r="AB30" s="409"/>
      <c r="AC30" s="308"/>
      <c r="AD30" s="410"/>
      <c r="AE30" s="409"/>
      <c r="AF30" s="308"/>
      <c r="AG30" s="410"/>
      <c r="AH30" s="425"/>
      <c r="AI30" s="426"/>
      <c r="AJ30" s="427"/>
      <c r="AK30" s="411"/>
      <c r="AL30" s="412"/>
      <c r="AM30" s="412"/>
      <c r="AN30" s="413"/>
      <c r="AO30" s="409"/>
      <c r="AP30" s="308"/>
      <c r="AQ30" s="308"/>
      <c r="AR30" s="308"/>
      <c r="AS30" s="308"/>
      <c r="AT30" s="308"/>
      <c r="AU30" s="308"/>
      <c r="AV30" s="308"/>
      <c r="AW30" s="308"/>
      <c r="AX30" s="308"/>
      <c r="AY30" s="308"/>
      <c r="AZ30" s="308"/>
      <c r="BA30" s="308"/>
      <c r="BB30" s="308"/>
      <c r="BC30" s="308"/>
      <c r="BD30" s="308"/>
      <c r="BE30" s="308"/>
      <c r="BF30" s="308"/>
      <c r="BG30" s="308"/>
      <c r="BH30" s="308"/>
      <c r="BI30" s="308"/>
      <c r="BJ30" s="308"/>
      <c r="BK30" s="410"/>
      <c r="BL30" s="409"/>
      <c r="BM30" s="308"/>
      <c r="BN30" s="308"/>
      <c r="BO30" s="308"/>
      <c r="BP30" s="308"/>
      <c r="BQ30" s="308"/>
      <c r="BR30" s="308"/>
      <c r="BS30" s="308"/>
      <c r="BT30" s="308"/>
      <c r="BU30" s="308"/>
      <c r="BV30" s="308"/>
      <c r="BW30" s="308"/>
      <c r="BX30" s="308"/>
      <c r="BY30" s="308"/>
      <c r="BZ30" s="308"/>
      <c r="CA30" s="308"/>
      <c r="CB30" s="410"/>
      <c r="CC30" s="409"/>
      <c r="CD30" s="308"/>
      <c r="CE30" s="308"/>
      <c r="CF30" s="308"/>
      <c r="CG30" s="308"/>
      <c r="CH30" s="308"/>
      <c r="CI30" s="308"/>
      <c r="CJ30" s="308"/>
      <c r="CK30" s="308"/>
      <c r="CL30" s="308"/>
      <c r="CM30" s="308"/>
      <c r="CN30" s="410"/>
      <c r="CO30" s="409"/>
      <c r="CP30" s="308"/>
      <c r="CQ30" s="308"/>
      <c r="CR30" s="308"/>
      <c r="CS30" s="308"/>
      <c r="CT30" s="308"/>
      <c r="CU30" s="308"/>
      <c r="CV30" s="308"/>
      <c r="CW30" s="308"/>
      <c r="CX30" s="308"/>
      <c r="CY30" s="308"/>
      <c r="CZ30" s="410"/>
      <c r="DA30" s="411" t="s">
        <v>166</v>
      </c>
      <c r="DB30" s="412"/>
      <c r="DC30" s="412"/>
      <c r="DD30" s="412"/>
      <c r="DE30" s="412"/>
      <c r="DF30" s="413"/>
      <c r="DG30" s="409"/>
      <c r="DH30" s="308"/>
      <c r="DI30" s="308"/>
      <c r="DJ30" s="308"/>
      <c r="DK30" s="308"/>
      <c r="DL30" s="308"/>
      <c r="DM30" s="308"/>
      <c r="DN30" s="308"/>
      <c r="DO30" s="308"/>
      <c r="DP30" s="308"/>
      <c r="DQ30" s="308"/>
      <c r="DR30" s="308"/>
      <c r="DS30" s="410"/>
      <c r="DT30" s="409"/>
      <c r="DU30" s="308"/>
      <c r="DV30" s="308"/>
      <c r="DW30" s="308"/>
      <c r="DX30" s="308"/>
      <c r="DY30" s="308"/>
      <c r="DZ30" s="308"/>
      <c r="EA30" s="308"/>
      <c r="EB30" s="308"/>
      <c r="EC30" s="308"/>
      <c r="ED30" s="308"/>
      <c r="EE30" s="308"/>
      <c r="EF30" s="309"/>
    </row>
    <row r="31" spans="1:136" ht="15" customHeight="1">
      <c r="A31" s="446" t="s">
        <v>169</v>
      </c>
      <c r="B31" s="447"/>
      <c r="C31" s="447"/>
      <c r="D31" s="447"/>
      <c r="E31" s="447"/>
      <c r="F31" s="447"/>
      <c r="G31" s="448"/>
      <c r="H31" s="414">
        <f t="shared" si="0"/>
        <v>24</v>
      </c>
      <c r="I31" s="415"/>
      <c r="J31" s="416"/>
      <c r="K31" s="298"/>
      <c r="L31" s="298"/>
      <c r="M31" s="298"/>
      <c r="N31" s="298"/>
      <c r="O31" s="298"/>
      <c r="P31" s="298"/>
      <c r="Q31" s="298"/>
      <c r="R31" s="417"/>
      <c r="S31" s="418"/>
      <c r="T31" s="418"/>
      <c r="U31" s="418"/>
      <c r="V31" s="409"/>
      <c r="W31" s="308"/>
      <c r="X31" s="308"/>
      <c r="Y31" s="308"/>
      <c r="Z31" s="308"/>
      <c r="AA31" s="410"/>
      <c r="AB31" s="409"/>
      <c r="AC31" s="308"/>
      <c r="AD31" s="410"/>
      <c r="AE31" s="409"/>
      <c r="AF31" s="308"/>
      <c r="AG31" s="410"/>
      <c r="AH31" s="425"/>
      <c r="AI31" s="426"/>
      <c r="AJ31" s="427"/>
      <c r="AK31" s="425"/>
      <c r="AL31" s="426"/>
      <c r="AM31" s="426"/>
      <c r="AN31" s="427"/>
      <c r="AO31" s="409"/>
      <c r="AP31" s="308"/>
      <c r="AQ31" s="308"/>
      <c r="AR31" s="308"/>
      <c r="AS31" s="308"/>
      <c r="AT31" s="308"/>
      <c r="AU31" s="308"/>
      <c r="AV31" s="308"/>
      <c r="AW31" s="308"/>
      <c r="AX31" s="308"/>
      <c r="AY31" s="308"/>
      <c r="AZ31" s="308"/>
      <c r="BA31" s="308"/>
      <c r="BB31" s="308"/>
      <c r="BC31" s="308"/>
      <c r="BD31" s="308"/>
      <c r="BE31" s="308"/>
      <c r="BF31" s="308"/>
      <c r="BG31" s="308"/>
      <c r="BH31" s="308"/>
      <c r="BI31" s="308"/>
      <c r="BJ31" s="308"/>
      <c r="BK31" s="410"/>
      <c r="BL31" s="409"/>
      <c r="BM31" s="308"/>
      <c r="BN31" s="308"/>
      <c r="BO31" s="308"/>
      <c r="BP31" s="308"/>
      <c r="BQ31" s="308"/>
      <c r="BR31" s="308"/>
      <c r="BS31" s="308"/>
      <c r="BT31" s="308"/>
      <c r="BU31" s="308"/>
      <c r="BV31" s="308"/>
      <c r="BW31" s="308"/>
      <c r="BX31" s="308"/>
      <c r="BY31" s="308"/>
      <c r="BZ31" s="308"/>
      <c r="CA31" s="308"/>
      <c r="CB31" s="410"/>
      <c r="CC31" s="409"/>
      <c r="CD31" s="308"/>
      <c r="CE31" s="308"/>
      <c r="CF31" s="308"/>
      <c r="CG31" s="308"/>
      <c r="CH31" s="308"/>
      <c r="CI31" s="308"/>
      <c r="CJ31" s="308"/>
      <c r="CK31" s="308"/>
      <c r="CL31" s="308"/>
      <c r="CM31" s="308"/>
      <c r="CN31" s="410"/>
      <c r="CO31" s="409"/>
      <c r="CP31" s="308"/>
      <c r="CQ31" s="308"/>
      <c r="CR31" s="308"/>
      <c r="CS31" s="308"/>
      <c r="CT31" s="308"/>
      <c r="CU31" s="308"/>
      <c r="CV31" s="308"/>
      <c r="CW31" s="308"/>
      <c r="CX31" s="308"/>
      <c r="CY31" s="308"/>
      <c r="CZ31" s="410"/>
      <c r="DA31" s="411" t="s">
        <v>170</v>
      </c>
      <c r="DB31" s="412"/>
      <c r="DC31" s="412"/>
      <c r="DD31" s="412"/>
      <c r="DE31" s="412"/>
      <c r="DF31" s="413"/>
      <c r="DG31" s="409"/>
      <c r="DH31" s="308"/>
      <c r="DI31" s="308"/>
      <c r="DJ31" s="308"/>
      <c r="DK31" s="308"/>
      <c r="DL31" s="308"/>
      <c r="DM31" s="308"/>
      <c r="DN31" s="308"/>
      <c r="DO31" s="308"/>
      <c r="DP31" s="308"/>
      <c r="DQ31" s="308"/>
      <c r="DR31" s="308"/>
      <c r="DS31" s="410"/>
      <c r="DT31" s="409"/>
      <c r="DU31" s="308"/>
      <c r="DV31" s="308"/>
      <c r="DW31" s="308"/>
      <c r="DX31" s="308"/>
      <c r="DY31" s="308"/>
      <c r="DZ31" s="308"/>
      <c r="EA31" s="308"/>
      <c r="EB31" s="308"/>
      <c r="EC31" s="308"/>
      <c r="ED31" s="308"/>
      <c r="EE31" s="308"/>
      <c r="EF31" s="309"/>
    </row>
    <row r="32" spans="1:136" ht="15" customHeight="1">
      <c r="A32" s="440" t="s">
        <v>171</v>
      </c>
      <c r="B32" s="441"/>
      <c r="C32" s="441"/>
      <c r="D32" s="441"/>
      <c r="E32" s="441"/>
      <c r="F32" s="441"/>
      <c r="G32" s="442"/>
      <c r="H32" s="414">
        <f t="shared" si="0"/>
        <v>25</v>
      </c>
      <c r="I32" s="415"/>
      <c r="J32" s="416"/>
      <c r="K32" s="298"/>
      <c r="L32" s="298"/>
      <c r="M32" s="298"/>
      <c r="N32" s="298"/>
      <c r="O32" s="298"/>
      <c r="P32" s="298"/>
      <c r="Q32" s="298"/>
      <c r="R32" s="417"/>
      <c r="S32" s="418"/>
      <c r="T32" s="418"/>
      <c r="U32" s="418"/>
      <c r="V32" s="409"/>
      <c r="W32" s="308"/>
      <c r="X32" s="308"/>
      <c r="Y32" s="308"/>
      <c r="Z32" s="308"/>
      <c r="AA32" s="410"/>
      <c r="AB32" s="409"/>
      <c r="AC32" s="308"/>
      <c r="AD32" s="410"/>
      <c r="AE32" s="409"/>
      <c r="AF32" s="308"/>
      <c r="AG32" s="410"/>
      <c r="AH32" s="425"/>
      <c r="AI32" s="426"/>
      <c r="AJ32" s="427"/>
      <c r="AK32" s="425"/>
      <c r="AL32" s="426"/>
      <c r="AM32" s="426"/>
      <c r="AN32" s="427"/>
      <c r="AO32" s="409"/>
      <c r="AP32" s="308"/>
      <c r="AQ32" s="308"/>
      <c r="AR32" s="308"/>
      <c r="AS32" s="308"/>
      <c r="AT32" s="308"/>
      <c r="AU32" s="308"/>
      <c r="AV32" s="308"/>
      <c r="AW32" s="308"/>
      <c r="AX32" s="308"/>
      <c r="AY32" s="308"/>
      <c r="AZ32" s="308"/>
      <c r="BA32" s="308"/>
      <c r="BB32" s="308"/>
      <c r="BC32" s="308"/>
      <c r="BD32" s="308"/>
      <c r="BE32" s="308"/>
      <c r="BF32" s="308"/>
      <c r="BG32" s="308"/>
      <c r="BH32" s="308"/>
      <c r="BI32" s="308"/>
      <c r="BJ32" s="308"/>
      <c r="BK32" s="410"/>
      <c r="BL32" s="409"/>
      <c r="BM32" s="308"/>
      <c r="BN32" s="308"/>
      <c r="BO32" s="308"/>
      <c r="BP32" s="308"/>
      <c r="BQ32" s="308"/>
      <c r="BR32" s="308"/>
      <c r="BS32" s="308"/>
      <c r="BT32" s="308"/>
      <c r="BU32" s="308"/>
      <c r="BV32" s="308"/>
      <c r="BW32" s="308"/>
      <c r="BX32" s="308"/>
      <c r="BY32" s="308"/>
      <c r="BZ32" s="308"/>
      <c r="CA32" s="308"/>
      <c r="CB32" s="410"/>
      <c r="CC32" s="409"/>
      <c r="CD32" s="308"/>
      <c r="CE32" s="308"/>
      <c r="CF32" s="308"/>
      <c r="CG32" s="308"/>
      <c r="CH32" s="308"/>
      <c r="CI32" s="308"/>
      <c r="CJ32" s="308"/>
      <c r="CK32" s="308"/>
      <c r="CL32" s="308"/>
      <c r="CM32" s="308"/>
      <c r="CN32" s="410"/>
      <c r="CO32" s="409"/>
      <c r="CP32" s="308"/>
      <c r="CQ32" s="308"/>
      <c r="CR32" s="308"/>
      <c r="CS32" s="308"/>
      <c r="CT32" s="308"/>
      <c r="CU32" s="308"/>
      <c r="CV32" s="308"/>
      <c r="CW32" s="308"/>
      <c r="CX32" s="308"/>
      <c r="CY32" s="308"/>
      <c r="CZ32" s="410"/>
      <c r="DA32" s="411" t="s">
        <v>170</v>
      </c>
      <c r="DB32" s="412"/>
      <c r="DC32" s="412"/>
      <c r="DD32" s="412"/>
      <c r="DE32" s="412"/>
      <c r="DF32" s="413"/>
      <c r="DG32" s="409"/>
      <c r="DH32" s="308"/>
      <c r="DI32" s="308"/>
      <c r="DJ32" s="308"/>
      <c r="DK32" s="308"/>
      <c r="DL32" s="308"/>
      <c r="DM32" s="308"/>
      <c r="DN32" s="308"/>
      <c r="DO32" s="308"/>
      <c r="DP32" s="308"/>
      <c r="DQ32" s="308"/>
      <c r="DR32" s="308"/>
      <c r="DS32" s="410"/>
      <c r="DT32" s="409"/>
      <c r="DU32" s="308"/>
      <c r="DV32" s="308"/>
      <c r="DW32" s="308"/>
      <c r="DX32" s="308"/>
      <c r="DY32" s="308"/>
      <c r="DZ32" s="308"/>
      <c r="EA32" s="308"/>
      <c r="EB32" s="308"/>
      <c r="EC32" s="308"/>
      <c r="ED32" s="308"/>
      <c r="EE32" s="308"/>
      <c r="EF32" s="309"/>
    </row>
    <row r="33" spans="1:136" ht="15" customHeight="1">
      <c r="A33" s="440"/>
      <c r="B33" s="441"/>
      <c r="C33" s="441"/>
      <c r="D33" s="441"/>
      <c r="E33" s="441"/>
      <c r="F33" s="441"/>
      <c r="G33" s="442"/>
      <c r="H33" s="414">
        <f t="shared" si="0"/>
        <v>26</v>
      </c>
      <c r="I33" s="415"/>
      <c r="J33" s="416"/>
      <c r="K33" s="298"/>
      <c r="L33" s="298"/>
      <c r="M33" s="298"/>
      <c r="N33" s="298"/>
      <c r="O33" s="298"/>
      <c r="P33" s="298"/>
      <c r="Q33" s="298"/>
      <c r="R33" s="417"/>
      <c r="S33" s="418"/>
      <c r="T33" s="418"/>
      <c r="U33" s="418"/>
      <c r="V33" s="428"/>
      <c r="W33" s="429"/>
      <c r="X33" s="429"/>
      <c r="Y33" s="429"/>
      <c r="Z33" s="429"/>
      <c r="AA33" s="430"/>
      <c r="AB33" s="409"/>
      <c r="AC33" s="308"/>
      <c r="AD33" s="410"/>
      <c r="AE33" s="409"/>
      <c r="AF33" s="308"/>
      <c r="AG33" s="410"/>
      <c r="AH33" s="425"/>
      <c r="AI33" s="426"/>
      <c r="AJ33" s="427"/>
      <c r="AK33" s="425"/>
      <c r="AL33" s="426"/>
      <c r="AM33" s="426"/>
      <c r="AN33" s="427"/>
      <c r="AO33" s="409"/>
      <c r="AP33" s="308"/>
      <c r="AQ33" s="308"/>
      <c r="AR33" s="308"/>
      <c r="AS33" s="308"/>
      <c r="AT33" s="308"/>
      <c r="AU33" s="308"/>
      <c r="AV33" s="308"/>
      <c r="AW33" s="308"/>
      <c r="AX33" s="308"/>
      <c r="AY33" s="308"/>
      <c r="AZ33" s="308"/>
      <c r="BA33" s="308"/>
      <c r="BB33" s="308"/>
      <c r="BC33" s="308"/>
      <c r="BD33" s="308"/>
      <c r="BE33" s="308"/>
      <c r="BF33" s="308"/>
      <c r="BG33" s="308"/>
      <c r="BH33" s="308"/>
      <c r="BI33" s="308"/>
      <c r="BJ33" s="308"/>
      <c r="BK33" s="410"/>
      <c r="BL33" s="409"/>
      <c r="BM33" s="308"/>
      <c r="BN33" s="308"/>
      <c r="BO33" s="308"/>
      <c r="BP33" s="308"/>
      <c r="BQ33" s="308"/>
      <c r="BR33" s="308"/>
      <c r="BS33" s="308"/>
      <c r="BT33" s="308"/>
      <c r="BU33" s="308"/>
      <c r="BV33" s="308"/>
      <c r="BW33" s="308"/>
      <c r="BX33" s="308"/>
      <c r="BY33" s="308"/>
      <c r="BZ33" s="308"/>
      <c r="CA33" s="308"/>
      <c r="CB33" s="410"/>
      <c r="CC33" s="409"/>
      <c r="CD33" s="308"/>
      <c r="CE33" s="308"/>
      <c r="CF33" s="308"/>
      <c r="CG33" s="308"/>
      <c r="CH33" s="308"/>
      <c r="CI33" s="308"/>
      <c r="CJ33" s="308"/>
      <c r="CK33" s="308"/>
      <c r="CL33" s="308"/>
      <c r="CM33" s="308"/>
      <c r="CN33" s="410"/>
      <c r="CO33" s="409"/>
      <c r="CP33" s="308"/>
      <c r="CQ33" s="308"/>
      <c r="CR33" s="308"/>
      <c r="CS33" s="308"/>
      <c r="CT33" s="308"/>
      <c r="CU33" s="308"/>
      <c r="CV33" s="308"/>
      <c r="CW33" s="308"/>
      <c r="CX33" s="308"/>
      <c r="CY33" s="308"/>
      <c r="CZ33" s="410"/>
      <c r="DA33" s="411" t="s">
        <v>170</v>
      </c>
      <c r="DB33" s="412"/>
      <c r="DC33" s="412"/>
      <c r="DD33" s="412"/>
      <c r="DE33" s="412"/>
      <c r="DF33" s="413"/>
      <c r="DG33" s="409"/>
      <c r="DH33" s="308"/>
      <c r="DI33" s="308"/>
      <c r="DJ33" s="308"/>
      <c r="DK33" s="308"/>
      <c r="DL33" s="308"/>
      <c r="DM33" s="308"/>
      <c r="DN33" s="308"/>
      <c r="DO33" s="308"/>
      <c r="DP33" s="308"/>
      <c r="DQ33" s="308"/>
      <c r="DR33" s="308"/>
      <c r="DS33" s="410"/>
      <c r="DT33" s="409"/>
      <c r="DU33" s="308"/>
      <c r="DV33" s="308"/>
      <c r="DW33" s="308"/>
      <c r="DX33" s="308"/>
      <c r="DY33" s="308"/>
      <c r="DZ33" s="308"/>
      <c r="EA33" s="308"/>
      <c r="EB33" s="308"/>
      <c r="EC33" s="308"/>
      <c r="ED33" s="308"/>
      <c r="EE33" s="308"/>
      <c r="EF33" s="309"/>
    </row>
    <row r="34" spans="1:136" ht="15" customHeight="1">
      <c r="A34" s="440"/>
      <c r="B34" s="441"/>
      <c r="C34" s="441"/>
      <c r="D34" s="441"/>
      <c r="E34" s="441"/>
      <c r="F34" s="441"/>
      <c r="G34" s="442"/>
      <c r="H34" s="414">
        <f t="shared" si="0"/>
        <v>27</v>
      </c>
      <c r="I34" s="415"/>
      <c r="J34" s="416"/>
      <c r="K34" s="298"/>
      <c r="L34" s="298"/>
      <c r="M34" s="298"/>
      <c r="N34" s="298"/>
      <c r="O34" s="298"/>
      <c r="P34" s="298"/>
      <c r="Q34" s="298"/>
      <c r="R34" s="417"/>
      <c r="S34" s="418"/>
      <c r="T34" s="418"/>
      <c r="U34" s="418"/>
      <c r="V34" s="409"/>
      <c r="W34" s="308"/>
      <c r="X34" s="308"/>
      <c r="Y34" s="308"/>
      <c r="Z34" s="308"/>
      <c r="AA34" s="410"/>
      <c r="AB34" s="409"/>
      <c r="AC34" s="308"/>
      <c r="AD34" s="410"/>
      <c r="AE34" s="409"/>
      <c r="AF34" s="308"/>
      <c r="AG34" s="410"/>
      <c r="AH34" s="425"/>
      <c r="AI34" s="426"/>
      <c r="AJ34" s="427"/>
      <c r="AK34" s="411"/>
      <c r="AL34" s="412"/>
      <c r="AM34" s="412"/>
      <c r="AN34" s="413"/>
      <c r="AO34" s="409"/>
      <c r="AP34" s="308"/>
      <c r="AQ34" s="308"/>
      <c r="AR34" s="308"/>
      <c r="AS34" s="308"/>
      <c r="AT34" s="308"/>
      <c r="AU34" s="308"/>
      <c r="AV34" s="308"/>
      <c r="AW34" s="308"/>
      <c r="AX34" s="308"/>
      <c r="AY34" s="308"/>
      <c r="AZ34" s="308"/>
      <c r="BA34" s="308"/>
      <c r="BB34" s="308"/>
      <c r="BC34" s="308"/>
      <c r="BD34" s="308"/>
      <c r="BE34" s="308"/>
      <c r="BF34" s="308"/>
      <c r="BG34" s="308"/>
      <c r="BH34" s="308"/>
      <c r="BI34" s="308"/>
      <c r="BJ34" s="308"/>
      <c r="BK34" s="410"/>
      <c r="BL34" s="409"/>
      <c r="BM34" s="308"/>
      <c r="BN34" s="308"/>
      <c r="BO34" s="308"/>
      <c r="BP34" s="308"/>
      <c r="BQ34" s="308"/>
      <c r="BR34" s="308"/>
      <c r="BS34" s="308"/>
      <c r="BT34" s="308"/>
      <c r="BU34" s="308"/>
      <c r="BV34" s="308"/>
      <c r="BW34" s="308"/>
      <c r="BX34" s="308"/>
      <c r="BY34" s="308"/>
      <c r="BZ34" s="308"/>
      <c r="CA34" s="308"/>
      <c r="CB34" s="410"/>
      <c r="CC34" s="409"/>
      <c r="CD34" s="308"/>
      <c r="CE34" s="308"/>
      <c r="CF34" s="308"/>
      <c r="CG34" s="308"/>
      <c r="CH34" s="308"/>
      <c r="CI34" s="308"/>
      <c r="CJ34" s="308"/>
      <c r="CK34" s="308"/>
      <c r="CL34" s="308"/>
      <c r="CM34" s="308"/>
      <c r="CN34" s="410"/>
      <c r="CO34" s="409"/>
      <c r="CP34" s="308"/>
      <c r="CQ34" s="308"/>
      <c r="CR34" s="308"/>
      <c r="CS34" s="308"/>
      <c r="CT34" s="308"/>
      <c r="CU34" s="308"/>
      <c r="CV34" s="308"/>
      <c r="CW34" s="308"/>
      <c r="CX34" s="308"/>
      <c r="CY34" s="308"/>
      <c r="CZ34" s="410"/>
      <c r="DA34" s="411" t="s">
        <v>170</v>
      </c>
      <c r="DB34" s="412"/>
      <c r="DC34" s="412"/>
      <c r="DD34" s="412"/>
      <c r="DE34" s="412"/>
      <c r="DF34" s="413"/>
      <c r="DG34" s="409"/>
      <c r="DH34" s="308"/>
      <c r="DI34" s="308"/>
      <c r="DJ34" s="308"/>
      <c r="DK34" s="308"/>
      <c r="DL34" s="308"/>
      <c r="DM34" s="308"/>
      <c r="DN34" s="308"/>
      <c r="DO34" s="308"/>
      <c r="DP34" s="308"/>
      <c r="DQ34" s="308"/>
      <c r="DR34" s="308"/>
      <c r="DS34" s="410"/>
      <c r="DT34" s="409"/>
      <c r="DU34" s="308"/>
      <c r="DV34" s="308"/>
      <c r="DW34" s="308"/>
      <c r="DX34" s="308"/>
      <c r="DY34" s="308"/>
      <c r="DZ34" s="308"/>
      <c r="EA34" s="308"/>
      <c r="EB34" s="308"/>
      <c r="EC34" s="308"/>
      <c r="ED34" s="308"/>
      <c r="EE34" s="308"/>
      <c r="EF34" s="309"/>
    </row>
    <row r="35" spans="1:136" ht="15" customHeight="1">
      <c r="A35" s="440"/>
      <c r="B35" s="441"/>
      <c r="C35" s="441"/>
      <c r="D35" s="441"/>
      <c r="E35" s="441"/>
      <c r="F35" s="441"/>
      <c r="G35" s="442"/>
      <c r="H35" s="414">
        <f t="shared" si="0"/>
        <v>28</v>
      </c>
      <c r="I35" s="415"/>
      <c r="J35" s="416"/>
      <c r="K35" s="298"/>
      <c r="L35" s="298"/>
      <c r="M35" s="298"/>
      <c r="N35" s="298"/>
      <c r="O35" s="298"/>
      <c r="P35" s="298"/>
      <c r="Q35" s="298"/>
      <c r="R35" s="417"/>
      <c r="S35" s="418"/>
      <c r="T35" s="418"/>
      <c r="U35" s="418"/>
      <c r="V35" s="428"/>
      <c r="W35" s="429"/>
      <c r="X35" s="429"/>
      <c r="Y35" s="429"/>
      <c r="Z35" s="429"/>
      <c r="AA35" s="430"/>
      <c r="AB35" s="409"/>
      <c r="AC35" s="308"/>
      <c r="AD35" s="410"/>
      <c r="AE35" s="409"/>
      <c r="AF35" s="308"/>
      <c r="AG35" s="410"/>
      <c r="AH35" s="425"/>
      <c r="AI35" s="426"/>
      <c r="AJ35" s="427"/>
      <c r="AK35" s="425"/>
      <c r="AL35" s="426"/>
      <c r="AM35" s="426"/>
      <c r="AN35" s="427"/>
      <c r="AO35" s="409"/>
      <c r="AP35" s="308"/>
      <c r="AQ35" s="308"/>
      <c r="AR35" s="308"/>
      <c r="AS35" s="308"/>
      <c r="AT35" s="308"/>
      <c r="AU35" s="308"/>
      <c r="AV35" s="308"/>
      <c r="AW35" s="308"/>
      <c r="AX35" s="308"/>
      <c r="AY35" s="308"/>
      <c r="AZ35" s="308"/>
      <c r="BA35" s="308"/>
      <c r="BB35" s="308"/>
      <c r="BC35" s="308"/>
      <c r="BD35" s="308"/>
      <c r="BE35" s="308"/>
      <c r="BF35" s="308"/>
      <c r="BG35" s="308"/>
      <c r="BH35" s="308"/>
      <c r="BI35" s="308"/>
      <c r="BJ35" s="308"/>
      <c r="BK35" s="410"/>
      <c r="BL35" s="409"/>
      <c r="BM35" s="308"/>
      <c r="BN35" s="308"/>
      <c r="BO35" s="308"/>
      <c r="BP35" s="308"/>
      <c r="BQ35" s="308"/>
      <c r="BR35" s="308"/>
      <c r="BS35" s="308"/>
      <c r="BT35" s="308"/>
      <c r="BU35" s="308"/>
      <c r="BV35" s="308"/>
      <c r="BW35" s="308"/>
      <c r="BX35" s="308"/>
      <c r="BY35" s="308"/>
      <c r="BZ35" s="308"/>
      <c r="CA35" s="308"/>
      <c r="CB35" s="410"/>
      <c r="CC35" s="409"/>
      <c r="CD35" s="308"/>
      <c r="CE35" s="308"/>
      <c r="CF35" s="308"/>
      <c r="CG35" s="308"/>
      <c r="CH35" s="308"/>
      <c r="CI35" s="308"/>
      <c r="CJ35" s="308"/>
      <c r="CK35" s="308"/>
      <c r="CL35" s="308"/>
      <c r="CM35" s="308"/>
      <c r="CN35" s="410"/>
      <c r="CO35" s="409"/>
      <c r="CP35" s="308"/>
      <c r="CQ35" s="308"/>
      <c r="CR35" s="308"/>
      <c r="CS35" s="308"/>
      <c r="CT35" s="308"/>
      <c r="CU35" s="308"/>
      <c r="CV35" s="308"/>
      <c r="CW35" s="308"/>
      <c r="CX35" s="308"/>
      <c r="CY35" s="308"/>
      <c r="CZ35" s="410"/>
      <c r="DA35" s="411" t="s">
        <v>170</v>
      </c>
      <c r="DB35" s="412"/>
      <c r="DC35" s="412"/>
      <c r="DD35" s="412"/>
      <c r="DE35" s="412"/>
      <c r="DF35" s="413"/>
      <c r="DG35" s="409"/>
      <c r="DH35" s="308"/>
      <c r="DI35" s="308"/>
      <c r="DJ35" s="308"/>
      <c r="DK35" s="308"/>
      <c r="DL35" s="308"/>
      <c r="DM35" s="308"/>
      <c r="DN35" s="308"/>
      <c r="DO35" s="308"/>
      <c r="DP35" s="308"/>
      <c r="DQ35" s="308"/>
      <c r="DR35" s="308"/>
      <c r="DS35" s="410"/>
      <c r="DT35" s="409"/>
      <c r="DU35" s="308"/>
      <c r="DV35" s="308"/>
      <c r="DW35" s="308"/>
      <c r="DX35" s="308"/>
      <c r="DY35" s="308"/>
      <c r="DZ35" s="308"/>
      <c r="EA35" s="308"/>
      <c r="EB35" s="308"/>
      <c r="EC35" s="308"/>
      <c r="ED35" s="308"/>
      <c r="EE35" s="308"/>
      <c r="EF35" s="309"/>
    </row>
    <row r="36" spans="1:136" ht="15" customHeight="1">
      <c r="A36" s="440"/>
      <c r="B36" s="441"/>
      <c r="C36" s="441"/>
      <c r="D36" s="441"/>
      <c r="E36" s="441"/>
      <c r="F36" s="441"/>
      <c r="G36" s="442"/>
      <c r="H36" s="414">
        <f t="shared" si="0"/>
        <v>29</v>
      </c>
      <c r="I36" s="415"/>
      <c r="J36" s="416"/>
      <c r="K36" s="298"/>
      <c r="L36" s="298"/>
      <c r="M36" s="298"/>
      <c r="N36" s="298"/>
      <c r="O36" s="298"/>
      <c r="P36" s="298"/>
      <c r="Q36" s="298"/>
      <c r="R36" s="417"/>
      <c r="S36" s="418"/>
      <c r="T36" s="418"/>
      <c r="U36" s="418"/>
      <c r="V36" s="428"/>
      <c r="W36" s="429"/>
      <c r="X36" s="429"/>
      <c r="Y36" s="429"/>
      <c r="Z36" s="429"/>
      <c r="AA36" s="430"/>
      <c r="AB36" s="409"/>
      <c r="AC36" s="308"/>
      <c r="AD36" s="410"/>
      <c r="AE36" s="409"/>
      <c r="AF36" s="308"/>
      <c r="AG36" s="410"/>
      <c r="AH36" s="425"/>
      <c r="AI36" s="426"/>
      <c r="AJ36" s="427"/>
      <c r="AK36" s="425"/>
      <c r="AL36" s="426"/>
      <c r="AM36" s="426"/>
      <c r="AN36" s="427"/>
      <c r="AO36" s="409"/>
      <c r="AP36" s="308"/>
      <c r="AQ36" s="308"/>
      <c r="AR36" s="308"/>
      <c r="AS36" s="308"/>
      <c r="AT36" s="308"/>
      <c r="AU36" s="308"/>
      <c r="AV36" s="308"/>
      <c r="AW36" s="308"/>
      <c r="AX36" s="308"/>
      <c r="AY36" s="308"/>
      <c r="AZ36" s="308"/>
      <c r="BA36" s="308"/>
      <c r="BB36" s="308"/>
      <c r="BC36" s="308"/>
      <c r="BD36" s="308"/>
      <c r="BE36" s="308"/>
      <c r="BF36" s="308"/>
      <c r="BG36" s="308"/>
      <c r="BH36" s="308"/>
      <c r="BI36" s="308"/>
      <c r="BJ36" s="308"/>
      <c r="BK36" s="410"/>
      <c r="BL36" s="409"/>
      <c r="BM36" s="308"/>
      <c r="BN36" s="308"/>
      <c r="BO36" s="308"/>
      <c r="BP36" s="308"/>
      <c r="BQ36" s="308"/>
      <c r="BR36" s="308"/>
      <c r="BS36" s="308"/>
      <c r="BT36" s="308"/>
      <c r="BU36" s="308"/>
      <c r="BV36" s="308"/>
      <c r="BW36" s="308"/>
      <c r="BX36" s="308"/>
      <c r="BY36" s="308"/>
      <c r="BZ36" s="308"/>
      <c r="CA36" s="308"/>
      <c r="CB36" s="410"/>
      <c r="CC36" s="409"/>
      <c r="CD36" s="308"/>
      <c r="CE36" s="308"/>
      <c r="CF36" s="308"/>
      <c r="CG36" s="308"/>
      <c r="CH36" s="308"/>
      <c r="CI36" s="308"/>
      <c r="CJ36" s="308"/>
      <c r="CK36" s="308"/>
      <c r="CL36" s="308"/>
      <c r="CM36" s="308"/>
      <c r="CN36" s="410"/>
      <c r="CO36" s="409"/>
      <c r="CP36" s="308"/>
      <c r="CQ36" s="308"/>
      <c r="CR36" s="308"/>
      <c r="CS36" s="308"/>
      <c r="CT36" s="308"/>
      <c r="CU36" s="308"/>
      <c r="CV36" s="308"/>
      <c r="CW36" s="308"/>
      <c r="CX36" s="308"/>
      <c r="CY36" s="308"/>
      <c r="CZ36" s="410"/>
      <c r="DA36" s="411" t="s">
        <v>170</v>
      </c>
      <c r="DB36" s="412"/>
      <c r="DC36" s="412"/>
      <c r="DD36" s="412"/>
      <c r="DE36" s="412"/>
      <c r="DF36" s="413"/>
      <c r="DG36" s="409"/>
      <c r="DH36" s="308"/>
      <c r="DI36" s="308"/>
      <c r="DJ36" s="308"/>
      <c r="DK36" s="308"/>
      <c r="DL36" s="308"/>
      <c r="DM36" s="308"/>
      <c r="DN36" s="308"/>
      <c r="DO36" s="308"/>
      <c r="DP36" s="308"/>
      <c r="DQ36" s="308"/>
      <c r="DR36" s="308"/>
      <c r="DS36" s="410"/>
      <c r="DT36" s="409"/>
      <c r="DU36" s="308"/>
      <c r="DV36" s="308"/>
      <c r="DW36" s="308"/>
      <c r="DX36" s="308"/>
      <c r="DY36" s="308"/>
      <c r="DZ36" s="308"/>
      <c r="EA36" s="308"/>
      <c r="EB36" s="308"/>
      <c r="EC36" s="308"/>
      <c r="ED36" s="308"/>
      <c r="EE36" s="308"/>
      <c r="EF36" s="309"/>
    </row>
    <row r="37" spans="1:136" ht="15" customHeight="1">
      <c r="A37" s="440"/>
      <c r="B37" s="441"/>
      <c r="C37" s="441"/>
      <c r="D37" s="441"/>
      <c r="E37" s="441"/>
      <c r="F37" s="441"/>
      <c r="G37" s="442"/>
      <c r="H37" s="414">
        <f t="shared" si="0"/>
        <v>30</v>
      </c>
      <c r="I37" s="415"/>
      <c r="J37" s="416"/>
      <c r="K37" s="298"/>
      <c r="L37" s="298"/>
      <c r="M37" s="298"/>
      <c r="N37" s="298"/>
      <c r="O37" s="298"/>
      <c r="P37" s="298"/>
      <c r="Q37" s="298"/>
      <c r="R37" s="417"/>
      <c r="S37" s="418"/>
      <c r="T37" s="418"/>
      <c r="U37" s="418"/>
      <c r="V37" s="428"/>
      <c r="W37" s="429"/>
      <c r="X37" s="429"/>
      <c r="Y37" s="429"/>
      <c r="Z37" s="429"/>
      <c r="AA37" s="430"/>
      <c r="AB37" s="409"/>
      <c r="AC37" s="308"/>
      <c r="AD37" s="410"/>
      <c r="AE37" s="409"/>
      <c r="AF37" s="308"/>
      <c r="AG37" s="410"/>
      <c r="AH37" s="425"/>
      <c r="AI37" s="426"/>
      <c r="AJ37" s="427"/>
      <c r="AK37" s="425"/>
      <c r="AL37" s="426"/>
      <c r="AM37" s="426"/>
      <c r="AN37" s="427"/>
      <c r="AO37" s="409"/>
      <c r="AP37" s="308"/>
      <c r="AQ37" s="308"/>
      <c r="AR37" s="308"/>
      <c r="AS37" s="308"/>
      <c r="AT37" s="308"/>
      <c r="AU37" s="308"/>
      <c r="AV37" s="308"/>
      <c r="AW37" s="308"/>
      <c r="AX37" s="308"/>
      <c r="AY37" s="308"/>
      <c r="AZ37" s="308"/>
      <c r="BA37" s="308"/>
      <c r="BB37" s="308"/>
      <c r="BC37" s="308"/>
      <c r="BD37" s="308"/>
      <c r="BE37" s="308"/>
      <c r="BF37" s="308"/>
      <c r="BG37" s="308"/>
      <c r="BH37" s="308"/>
      <c r="BI37" s="308"/>
      <c r="BJ37" s="308"/>
      <c r="BK37" s="410"/>
      <c r="BL37" s="409"/>
      <c r="BM37" s="308"/>
      <c r="BN37" s="308"/>
      <c r="BO37" s="308"/>
      <c r="BP37" s="308"/>
      <c r="BQ37" s="308"/>
      <c r="BR37" s="308"/>
      <c r="BS37" s="308"/>
      <c r="BT37" s="308"/>
      <c r="BU37" s="308"/>
      <c r="BV37" s="308"/>
      <c r="BW37" s="308"/>
      <c r="BX37" s="308"/>
      <c r="BY37" s="308"/>
      <c r="BZ37" s="308"/>
      <c r="CA37" s="308"/>
      <c r="CB37" s="410"/>
      <c r="CC37" s="409"/>
      <c r="CD37" s="308"/>
      <c r="CE37" s="308"/>
      <c r="CF37" s="308"/>
      <c r="CG37" s="308"/>
      <c r="CH37" s="308"/>
      <c r="CI37" s="308"/>
      <c r="CJ37" s="308"/>
      <c r="CK37" s="308"/>
      <c r="CL37" s="308"/>
      <c r="CM37" s="308"/>
      <c r="CN37" s="410"/>
      <c r="CO37" s="409"/>
      <c r="CP37" s="308"/>
      <c r="CQ37" s="308"/>
      <c r="CR37" s="308"/>
      <c r="CS37" s="308"/>
      <c r="CT37" s="308"/>
      <c r="CU37" s="308"/>
      <c r="CV37" s="308"/>
      <c r="CW37" s="308"/>
      <c r="CX37" s="308"/>
      <c r="CY37" s="308"/>
      <c r="CZ37" s="410"/>
      <c r="DA37" s="411" t="s">
        <v>170</v>
      </c>
      <c r="DB37" s="412"/>
      <c r="DC37" s="412"/>
      <c r="DD37" s="412"/>
      <c r="DE37" s="412"/>
      <c r="DF37" s="413"/>
      <c r="DG37" s="409"/>
      <c r="DH37" s="308"/>
      <c r="DI37" s="308"/>
      <c r="DJ37" s="308"/>
      <c r="DK37" s="308"/>
      <c r="DL37" s="308"/>
      <c r="DM37" s="308"/>
      <c r="DN37" s="308"/>
      <c r="DO37" s="308"/>
      <c r="DP37" s="308"/>
      <c r="DQ37" s="308"/>
      <c r="DR37" s="308"/>
      <c r="DS37" s="410"/>
      <c r="DT37" s="409"/>
      <c r="DU37" s="308"/>
      <c r="DV37" s="308"/>
      <c r="DW37" s="308"/>
      <c r="DX37" s="308"/>
      <c r="DY37" s="308"/>
      <c r="DZ37" s="308"/>
      <c r="EA37" s="308"/>
      <c r="EB37" s="308"/>
      <c r="EC37" s="308"/>
      <c r="ED37" s="308"/>
      <c r="EE37" s="308"/>
      <c r="EF37" s="309"/>
    </row>
    <row r="38" spans="1:136" ht="15" customHeight="1">
      <c r="A38" s="440"/>
      <c r="B38" s="441"/>
      <c r="C38" s="441"/>
      <c r="D38" s="441"/>
      <c r="E38" s="441"/>
      <c r="F38" s="441"/>
      <c r="G38" s="442"/>
      <c r="H38" s="414">
        <f t="shared" si="0"/>
        <v>31</v>
      </c>
      <c r="I38" s="415"/>
      <c r="J38" s="416"/>
      <c r="K38" s="298"/>
      <c r="L38" s="298"/>
      <c r="M38" s="298"/>
      <c r="N38" s="298"/>
      <c r="O38" s="298"/>
      <c r="P38" s="298"/>
      <c r="Q38" s="298"/>
      <c r="R38" s="417"/>
      <c r="S38" s="418"/>
      <c r="T38" s="418"/>
      <c r="U38" s="418"/>
      <c r="V38" s="428"/>
      <c r="W38" s="429"/>
      <c r="X38" s="429"/>
      <c r="Y38" s="429"/>
      <c r="Z38" s="429"/>
      <c r="AA38" s="430"/>
      <c r="AB38" s="409"/>
      <c r="AC38" s="308"/>
      <c r="AD38" s="410"/>
      <c r="AE38" s="409"/>
      <c r="AF38" s="308"/>
      <c r="AG38" s="410"/>
      <c r="AH38" s="425"/>
      <c r="AI38" s="426"/>
      <c r="AJ38" s="427"/>
      <c r="AK38" s="425"/>
      <c r="AL38" s="426"/>
      <c r="AM38" s="426"/>
      <c r="AN38" s="427"/>
      <c r="AO38" s="409"/>
      <c r="AP38" s="308"/>
      <c r="AQ38" s="308"/>
      <c r="AR38" s="308"/>
      <c r="AS38" s="308"/>
      <c r="AT38" s="308"/>
      <c r="AU38" s="308"/>
      <c r="AV38" s="308"/>
      <c r="AW38" s="308"/>
      <c r="AX38" s="308"/>
      <c r="AY38" s="308"/>
      <c r="AZ38" s="308"/>
      <c r="BA38" s="308"/>
      <c r="BB38" s="308"/>
      <c r="BC38" s="308"/>
      <c r="BD38" s="308"/>
      <c r="BE38" s="308"/>
      <c r="BF38" s="308"/>
      <c r="BG38" s="308"/>
      <c r="BH38" s="308"/>
      <c r="BI38" s="308"/>
      <c r="BJ38" s="308"/>
      <c r="BK38" s="410"/>
      <c r="BL38" s="409"/>
      <c r="BM38" s="308"/>
      <c r="BN38" s="308"/>
      <c r="BO38" s="308"/>
      <c r="BP38" s="308"/>
      <c r="BQ38" s="308"/>
      <c r="BR38" s="308"/>
      <c r="BS38" s="308"/>
      <c r="BT38" s="308"/>
      <c r="BU38" s="308"/>
      <c r="BV38" s="308"/>
      <c r="BW38" s="308"/>
      <c r="BX38" s="308"/>
      <c r="BY38" s="308"/>
      <c r="BZ38" s="308"/>
      <c r="CA38" s="308"/>
      <c r="CB38" s="410"/>
      <c r="CC38" s="409"/>
      <c r="CD38" s="308"/>
      <c r="CE38" s="308"/>
      <c r="CF38" s="308"/>
      <c r="CG38" s="308"/>
      <c r="CH38" s="308"/>
      <c r="CI38" s="308"/>
      <c r="CJ38" s="308"/>
      <c r="CK38" s="308"/>
      <c r="CL38" s="308"/>
      <c r="CM38" s="308"/>
      <c r="CN38" s="410"/>
      <c r="CO38" s="409"/>
      <c r="CP38" s="308"/>
      <c r="CQ38" s="308"/>
      <c r="CR38" s="308"/>
      <c r="CS38" s="308"/>
      <c r="CT38" s="308"/>
      <c r="CU38" s="308"/>
      <c r="CV38" s="308"/>
      <c r="CW38" s="308"/>
      <c r="CX38" s="308"/>
      <c r="CY38" s="308"/>
      <c r="CZ38" s="410"/>
      <c r="DA38" s="411" t="s">
        <v>170</v>
      </c>
      <c r="DB38" s="412"/>
      <c r="DC38" s="412"/>
      <c r="DD38" s="412"/>
      <c r="DE38" s="412"/>
      <c r="DF38" s="413"/>
      <c r="DG38" s="409"/>
      <c r="DH38" s="308"/>
      <c r="DI38" s="308"/>
      <c r="DJ38" s="308"/>
      <c r="DK38" s="308"/>
      <c r="DL38" s="308"/>
      <c r="DM38" s="308"/>
      <c r="DN38" s="308"/>
      <c r="DO38" s="308"/>
      <c r="DP38" s="308"/>
      <c r="DQ38" s="308"/>
      <c r="DR38" s="308"/>
      <c r="DS38" s="410"/>
      <c r="DT38" s="409"/>
      <c r="DU38" s="308"/>
      <c r="DV38" s="308"/>
      <c r="DW38" s="308"/>
      <c r="DX38" s="308"/>
      <c r="DY38" s="308"/>
      <c r="DZ38" s="308"/>
      <c r="EA38" s="308"/>
      <c r="EB38" s="308"/>
      <c r="EC38" s="308"/>
      <c r="ED38" s="308"/>
      <c r="EE38" s="308"/>
      <c r="EF38" s="309"/>
    </row>
    <row r="39" spans="1:136" ht="15" customHeight="1">
      <c r="A39" s="440"/>
      <c r="B39" s="441"/>
      <c r="C39" s="441"/>
      <c r="D39" s="441"/>
      <c r="E39" s="441"/>
      <c r="F39" s="441"/>
      <c r="G39" s="442"/>
      <c r="H39" s="414">
        <f t="shared" si="0"/>
        <v>32</v>
      </c>
      <c r="I39" s="415"/>
      <c r="J39" s="416"/>
      <c r="K39" s="298"/>
      <c r="L39" s="298"/>
      <c r="M39" s="298"/>
      <c r="N39" s="298"/>
      <c r="O39" s="298"/>
      <c r="P39" s="298"/>
      <c r="Q39" s="298"/>
      <c r="R39" s="417"/>
      <c r="S39" s="418"/>
      <c r="T39" s="418"/>
      <c r="U39" s="418"/>
      <c r="V39" s="428"/>
      <c r="W39" s="429"/>
      <c r="X39" s="429"/>
      <c r="Y39" s="429"/>
      <c r="Z39" s="429"/>
      <c r="AA39" s="430"/>
      <c r="AB39" s="409"/>
      <c r="AC39" s="308"/>
      <c r="AD39" s="410"/>
      <c r="AE39" s="409"/>
      <c r="AF39" s="308"/>
      <c r="AG39" s="410"/>
      <c r="AH39" s="425"/>
      <c r="AI39" s="426"/>
      <c r="AJ39" s="427"/>
      <c r="AK39" s="425"/>
      <c r="AL39" s="426"/>
      <c r="AM39" s="426"/>
      <c r="AN39" s="427"/>
      <c r="AO39" s="409"/>
      <c r="AP39" s="308"/>
      <c r="AQ39" s="308"/>
      <c r="AR39" s="308"/>
      <c r="AS39" s="308"/>
      <c r="AT39" s="308"/>
      <c r="AU39" s="308"/>
      <c r="AV39" s="308"/>
      <c r="AW39" s="308"/>
      <c r="AX39" s="308"/>
      <c r="AY39" s="308"/>
      <c r="AZ39" s="308"/>
      <c r="BA39" s="308"/>
      <c r="BB39" s="308"/>
      <c r="BC39" s="308"/>
      <c r="BD39" s="308"/>
      <c r="BE39" s="308"/>
      <c r="BF39" s="308"/>
      <c r="BG39" s="308"/>
      <c r="BH39" s="308"/>
      <c r="BI39" s="308"/>
      <c r="BJ39" s="308"/>
      <c r="BK39" s="410"/>
      <c r="BL39" s="409"/>
      <c r="BM39" s="308"/>
      <c r="BN39" s="308"/>
      <c r="BO39" s="308"/>
      <c r="BP39" s="308"/>
      <c r="BQ39" s="308"/>
      <c r="BR39" s="308"/>
      <c r="BS39" s="308"/>
      <c r="BT39" s="308"/>
      <c r="BU39" s="308"/>
      <c r="BV39" s="308"/>
      <c r="BW39" s="308"/>
      <c r="BX39" s="308"/>
      <c r="BY39" s="308"/>
      <c r="BZ39" s="308"/>
      <c r="CA39" s="308"/>
      <c r="CB39" s="410"/>
      <c r="CC39" s="409"/>
      <c r="CD39" s="308"/>
      <c r="CE39" s="308"/>
      <c r="CF39" s="308"/>
      <c r="CG39" s="308"/>
      <c r="CH39" s="308"/>
      <c r="CI39" s="308"/>
      <c r="CJ39" s="308"/>
      <c r="CK39" s="308"/>
      <c r="CL39" s="308"/>
      <c r="CM39" s="308"/>
      <c r="CN39" s="410"/>
      <c r="CO39" s="409"/>
      <c r="CP39" s="308"/>
      <c r="CQ39" s="308"/>
      <c r="CR39" s="308"/>
      <c r="CS39" s="308"/>
      <c r="CT39" s="308"/>
      <c r="CU39" s="308"/>
      <c r="CV39" s="308"/>
      <c r="CW39" s="308"/>
      <c r="CX39" s="308"/>
      <c r="CY39" s="308"/>
      <c r="CZ39" s="410"/>
      <c r="DA39" s="411" t="s">
        <v>170</v>
      </c>
      <c r="DB39" s="412"/>
      <c r="DC39" s="412"/>
      <c r="DD39" s="412"/>
      <c r="DE39" s="412"/>
      <c r="DF39" s="413"/>
      <c r="DG39" s="409"/>
      <c r="DH39" s="308"/>
      <c r="DI39" s="308"/>
      <c r="DJ39" s="308"/>
      <c r="DK39" s="308"/>
      <c r="DL39" s="308"/>
      <c r="DM39" s="308"/>
      <c r="DN39" s="308"/>
      <c r="DO39" s="308"/>
      <c r="DP39" s="308"/>
      <c r="DQ39" s="308"/>
      <c r="DR39" s="308"/>
      <c r="DS39" s="410"/>
      <c r="DT39" s="409"/>
      <c r="DU39" s="308"/>
      <c r="DV39" s="308"/>
      <c r="DW39" s="308"/>
      <c r="DX39" s="308"/>
      <c r="DY39" s="308"/>
      <c r="DZ39" s="308"/>
      <c r="EA39" s="308"/>
      <c r="EB39" s="308"/>
      <c r="EC39" s="308"/>
      <c r="ED39" s="308"/>
      <c r="EE39" s="308"/>
      <c r="EF39" s="309"/>
    </row>
    <row r="40" spans="1:136" ht="15" customHeight="1">
      <c r="A40" s="440"/>
      <c r="B40" s="441"/>
      <c r="C40" s="441"/>
      <c r="D40" s="441"/>
      <c r="E40" s="441"/>
      <c r="F40" s="441"/>
      <c r="G40" s="442"/>
      <c r="H40" s="414">
        <f t="shared" si="0"/>
        <v>33</v>
      </c>
      <c r="I40" s="415"/>
      <c r="J40" s="416"/>
      <c r="K40" s="298"/>
      <c r="L40" s="298"/>
      <c r="M40" s="298"/>
      <c r="N40" s="298"/>
      <c r="O40" s="298"/>
      <c r="P40" s="298"/>
      <c r="Q40" s="298"/>
      <c r="R40" s="417"/>
      <c r="S40" s="418"/>
      <c r="T40" s="418"/>
      <c r="U40" s="418"/>
      <c r="V40" s="428"/>
      <c r="W40" s="429"/>
      <c r="X40" s="429"/>
      <c r="Y40" s="429"/>
      <c r="Z40" s="429"/>
      <c r="AA40" s="430"/>
      <c r="AB40" s="409"/>
      <c r="AC40" s="308"/>
      <c r="AD40" s="410"/>
      <c r="AE40" s="409"/>
      <c r="AF40" s="308"/>
      <c r="AG40" s="410"/>
      <c r="AH40" s="425"/>
      <c r="AI40" s="426"/>
      <c r="AJ40" s="427"/>
      <c r="AK40" s="425"/>
      <c r="AL40" s="426"/>
      <c r="AM40" s="426"/>
      <c r="AN40" s="427"/>
      <c r="AO40" s="409"/>
      <c r="AP40" s="308"/>
      <c r="AQ40" s="308"/>
      <c r="AR40" s="308"/>
      <c r="AS40" s="308"/>
      <c r="AT40" s="308"/>
      <c r="AU40" s="308"/>
      <c r="AV40" s="308"/>
      <c r="AW40" s="308"/>
      <c r="AX40" s="308"/>
      <c r="AY40" s="308"/>
      <c r="AZ40" s="308"/>
      <c r="BA40" s="308"/>
      <c r="BB40" s="308"/>
      <c r="BC40" s="308"/>
      <c r="BD40" s="308"/>
      <c r="BE40" s="308"/>
      <c r="BF40" s="308"/>
      <c r="BG40" s="308"/>
      <c r="BH40" s="308"/>
      <c r="BI40" s="308"/>
      <c r="BJ40" s="308"/>
      <c r="BK40" s="410"/>
      <c r="BL40" s="409"/>
      <c r="BM40" s="308"/>
      <c r="BN40" s="308"/>
      <c r="BO40" s="308"/>
      <c r="BP40" s="308"/>
      <c r="BQ40" s="308"/>
      <c r="BR40" s="308"/>
      <c r="BS40" s="308"/>
      <c r="BT40" s="308"/>
      <c r="BU40" s="308"/>
      <c r="BV40" s="308"/>
      <c r="BW40" s="308"/>
      <c r="BX40" s="308"/>
      <c r="BY40" s="308"/>
      <c r="BZ40" s="308"/>
      <c r="CA40" s="308"/>
      <c r="CB40" s="410"/>
      <c r="CC40" s="409"/>
      <c r="CD40" s="308"/>
      <c r="CE40" s="308"/>
      <c r="CF40" s="308"/>
      <c r="CG40" s="308"/>
      <c r="CH40" s="308"/>
      <c r="CI40" s="308"/>
      <c r="CJ40" s="308"/>
      <c r="CK40" s="308"/>
      <c r="CL40" s="308"/>
      <c r="CM40" s="308"/>
      <c r="CN40" s="410"/>
      <c r="CO40" s="409"/>
      <c r="CP40" s="308"/>
      <c r="CQ40" s="308"/>
      <c r="CR40" s="308"/>
      <c r="CS40" s="308"/>
      <c r="CT40" s="308"/>
      <c r="CU40" s="308"/>
      <c r="CV40" s="308"/>
      <c r="CW40" s="308"/>
      <c r="CX40" s="308"/>
      <c r="CY40" s="308"/>
      <c r="CZ40" s="410"/>
      <c r="DA40" s="411" t="s">
        <v>170</v>
      </c>
      <c r="DB40" s="412"/>
      <c r="DC40" s="412"/>
      <c r="DD40" s="412"/>
      <c r="DE40" s="412"/>
      <c r="DF40" s="413"/>
      <c r="DG40" s="409"/>
      <c r="DH40" s="308"/>
      <c r="DI40" s="308"/>
      <c r="DJ40" s="308"/>
      <c r="DK40" s="308"/>
      <c r="DL40" s="308"/>
      <c r="DM40" s="308"/>
      <c r="DN40" s="308"/>
      <c r="DO40" s="308"/>
      <c r="DP40" s="308"/>
      <c r="DQ40" s="308"/>
      <c r="DR40" s="308"/>
      <c r="DS40" s="410"/>
      <c r="DT40" s="409"/>
      <c r="DU40" s="308"/>
      <c r="DV40" s="308"/>
      <c r="DW40" s="308"/>
      <c r="DX40" s="308"/>
      <c r="DY40" s="308"/>
      <c r="DZ40" s="308"/>
      <c r="EA40" s="308"/>
      <c r="EB40" s="308"/>
      <c r="EC40" s="308"/>
      <c r="ED40" s="308"/>
      <c r="EE40" s="308"/>
      <c r="EF40" s="309"/>
    </row>
    <row r="41" spans="1:136" ht="15" customHeight="1">
      <c r="A41" s="440"/>
      <c r="B41" s="441"/>
      <c r="C41" s="441"/>
      <c r="D41" s="441"/>
      <c r="E41" s="441"/>
      <c r="F41" s="441"/>
      <c r="G41" s="442"/>
      <c r="H41" s="414">
        <f t="shared" si="0"/>
        <v>34</v>
      </c>
      <c r="I41" s="415"/>
      <c r="J41" s="416"/>
      <c r="K41" s="298"/>
      <c r="L41" s="298"/>
      <c r="M41" s="298"/>
      <c r="N41" s="298"/>
      <c r="O41" s="298"/>
      <c r="P41" s="298"/>
      <c r="Q41" s="298"/>
      <c r="R41" s="417"/>
      <c r="S41" s="418"/>
      <c r="T41" s="418"/>
      <c r="U41" s="418"/>
      <c r="V41" s="428"/>
      <c r="W41" s="429"/>
      <c r="X41" s="429"/>
      <c r="Y41" s="429"/>
      <c r="Z41" s="429"/>
      <c r="AA41" s="430"/>
      <c r="AB41" s="409"/>
      <c r="AC41" s="308"/>
      <c r="AD41" s="410"/>
      <c r="AE41" s="409"/>
      <c r="AF41" s="308"/>
      <c r="AG41" s="410"/>
      <c r="AH41" s="425"/>
      <c r="AI41" s="426"/>
      <c r="AJ41" s="427"/>
      <c r="AK41" s="425"/>
      <c r="AL41" s="426"/>
      <c r="AM41" s="426"/>
      <c r="AN41" s="427"/>
      <c r="AO41" s="409"/>
      <c r="AP41" s="308"/>
      <c r="AQ41" s="308"/>
      <c r="AR41" s="308"/>
      <c r="AS41" s="308"/>
      <c r="AT41" s="308"/>
      <c r="AU41" s="308"/>
      <c r="AV41" s="308"/>
      <c r="AW41" s="308"/>
      <c r="AX41" s="308"/>
      <c r="AY41" s="308"/>
      <c r="AZ41" s="308"/>
      <c r="BA41" s="308"/>
      <c r="BB41" s="308"/>
      <c r="BC41" s="308"/>
      <c r="BD41" s="308"/>
      <c r="BE41" s="308"/>
      <c r="BF41" s="308"/>
      <c r="BG41" s="308"/>
      <c r="BH41" s="308"/>
      <c r="BI41" s="308"/>
      <c r="BJ41" s="308"/>
      <c r="BK41" s="410"/>
      <c r="BL41" s="409"/>
      <c r="BM41" s="308"/>
      <c r="BN41" s="308"/>
      <c r="BO41" s="308"/>
      <c r="BP41" s="308"/>
      <c r="BQ41" s="308"/>
      <c r="BR41" s="308"/>
      <c r="BS41" s="308"/>
      <c r="BT41" s="308"/>
      <c r="BU41" s="308"/>
      <c r="BV41" s="308"/>
      <c r="BW41" s="308"/>
      <c r="BX41" s="308"/>
      <c r="BY41" s="308"/>
      <c r="BZ41" s="308"/>
      <c r="CA41" s="308"/>
      <c r="CB41" s="410"/>
      <c r="CC41" s="409"/>
      <c r="CD41" s="308"/>
      <c r="CE41" s="308"/>
      <c r="CF41" s="308"/>
      <c r="CG41" s="308"/>
      <c r="CH41" s="308"/>
      <c r="CI41" s="308"/>
      <c r="CJ41" s="308"/>
      <c r="CK41" s="308"/>
      <c r="CL41" s="308"/>
      <c r="CM41" s="308"/>
      <c r="CN41" s="410"/>
      <c r="CO41" s="409"/>
      <c r="CP41" s="308"/>
      <c r="CQ41" s="308"/>
      <c r="CR41" s="308"/>
      <c r="CS41" s="308"/>
      <c r="CT41" s="308"/>
      <c r="CU41" s="308"/>
      <c r="CV41" s="308"/>
      <c r="CW41" s="308"/>
      <c r="CX41" s="308"/>
      <c r="CY41" s="308"/>
      <c r="CZ41" s="410"/>
      <c r="DA41" s="411" t="s">
        <v>170</v>
      </c>
      <c r="DB41" s="412"/>
      <c r="DC41" s="412"/>
      <c r="DD41" s="412"/>
      <c r="DE41" s="412"/>
      <c r="DF41" s="413"/>
      <c r="DG41" s="409"/>
      <c r="DH41" s="308"/>
      <c r="DI41" s="308"/>
      <c r="DJ41" s="308"/>
      <c r="DK41" s="308"/>
      <c r="DL41" s="308"/>
      <c r="DM41" s="308"/>
      <c r="DN41" s="308"/>
      <c r="DO41" s="308"/>
      <c r="DP41" s="308"/>
      <c r="DQ41" s="308"/>
      <c r="DR41" s="308"/>
      <c r="DS41" s="410"/>
      <c r="DT41" s="409"/>
      <c r="DU41" s="308"/>
      <c r="DV41" s="308"/>
      <c r="DW41" s="308"/>
      <c r="DX41" s="308"/>
      <c r="DY41" s="308"/>
      <c r="DZ41" s="308"/>
      <c r="EA41" s="308"/>
      <c r="EB41" s="308"/>
      <c r="EC41" s="308"/>
      <c r="ED41" s="308"/>
      <c r="EE41" s="308"/>
      <c r="EF41" s="309"/>
    </row>
    <row r="42" spans="1:136" ht="15" customHeight="1">
      <c r="A42" s="440"/>
      <c r="B42" s="441"/>
      <c r="C42" s="441"/>
      <c r="D42" s="441"/>
      <c r="E42" s="441"/>
      <c r="F42" s="441"/>
      <c r="G42" s="442"/>
      <c r="H42" s="414">
        <f t="shared" si="0"/>
        <v>35</v>
      </c>
      <c r="I42" s="415"/>
      <c r="J42" s="416"/>
      <c r="K42" s="298"/>
      <c r="L42" s="298"/>
      <c r="M42" s="298"/>
      <c r="N42" s="298"/>
      <c r="O42" s="298"/>
      <c r="P42" s="298"/>
      <c r="Q42" s="298"/>
      <c r="R42" s="417"/>
      <c r="S42" s="418"/>
      <c r="T42" s="418"/>
      <c r="U42" s="418"/>
      <c r="V42" s="428"/>
      <c r="W42" s="429"/>
      <c r="X42" s="429"/>
      <c r="Y42" s="429"/>
      <c r="Z42" s="429"/>
      <c r="AA42" s="430"/>
      <c r="AB42" s="409"/>
      <c r="AC42" s="308"/>
      <c r="AD42" s="410"/>
      <c r="AE42" s="409"/>
      <c r="AF42" s="308"/>
      <c r="AG42" s="410"/>
      <c r="AH42" s="425"/>
      <c r="AI42" s="426"/>
      <c r="AJ42" s="427"/>
      <c r="AK42" s="425"/>
      <c r="AL42" s="426"/>
      <c r="AM42" s="426"/>
      <c r="AN42" s="427"/>
      <c r="AO42" s="409"/>
      <c r="AP42" s="308"/>
      <c r="AQ42" s="308"/>
      <c r="AR42" s="308"/>
      <c r="AS42" s="308"/>
      <c r="AT42" s="308"/>
      <c r="AU42" s="308"/>
      <c r="AV42" s="308"/>
      <c r="AW42" s="308"/>
      <c r="AX42" s="308"/>
      <c r="AY42" s="308"/>
      <c r="AZ42" s="308"/>
      <c r="BA42" s="308"/>
      <c r="BB42" s="308"/>
      <c r="BC42" s="308"/>
      <c r="BD42" s="308"/>
      <c r="BE42" s="308"/>
      <c r="BF42" s="308"/>
      <c r="BG42" s="308"/>
      <c r="BH42" s="308"/>
      <c r="BI42" s="308"/>
      <c r="BJ42" s="308"/>
      <c r="BK42" s="410"/>
      <c r="BL42" s="409"/>
      <c r="BM42" s="308"/>
      <c r="BN42" s="308"/>
      <c r="BO42" s="308"/>
      <c r="BP42" s="308"/>
      <c r="BQ42" s="308"/>
      <c r="BR42" s="308"/>
      <c r="BS42" s="308"/>
      <c r="BT42" s="308"/>
      <c r="BU42" s="308"/>
      <c r="BV42" s="308"/>
      <c r="BW42" s="308"/>
      <c r="BX42" s="308"/>
      <c r="BY42" s="308"/>
      <c r="BZ42" s="308"/>
      <c r="CA42" s="308"/>
      <c r="CB42" s="410"/>
      <c r="CC42" s="409"/>
      <c r="CD42" s="308"/>
      <c r="CE42" s="308"/>
      <c r="CF42" s="308"/>
      <c r="CG42" s="308"/>
      <c r="CH42" s="308"/>
      <c r="CI42" s="308"/>
      <c r="CJ42" s="308"/>
      <c r="CK42" s="308"/>
      <c r="CL42" s="308"/>
      <c r="CM42" s="308"/>
      <c r="CN42" s="410"/>
      <c r="CO42" s="409"/>
      <c r="CP42" s="308"/>
      <c r="CQ42" s="308"/>
      <c r="CR42" s="308"/>
      <c r="CS42" s="308"/>
      <c r="CT42" s="308"/>
      <c r="CU42" s="308"/>
      <c r="CV42" s="308"/>
      <c r="CW42" s="308"/>
      <c r="CX42" s="308"/>
      <c r="CY42" s="308"/>
      <c r="CZ42" s="410"/>
      <c r="DA42" s="411" t="s">
        <v>170</v>
      </c>
      <c r="DB42" s="412"/>
      <c r="DC42" s="412"/>
      <c r="DD42" s="412"/>
      <c r="DE42" s="412"/>
      <c r="DF42" s="413"/>
      <c r="DG42" s="409"/>
      <c r="DH42" s="308"/>
      <c r="DI42" s="308"/>
      <c r="DJ42" s="308"/>
      <c r="DK42" s="308"/>
      <c r="DL42" s="308"/>
      <c r="DM42" s="308"/>
      <c r="DN42" s="308"/>
      <c r="DO42" s="308"/>
      <c r="DP42" s="308"/>
      <c r="DQ42" s="308"/>
      <c r="DR42" s="308"/>
      <c r="DS42" s="410"/>
      <c r="DT42" s="409"/>
      <c r="DU42" s="308"/>
      <c r="DV42" s="308"/>
      <c r="DW42" s="308"/>
      <c r="DX42" s="308"/>
      <c r="DY42" s="308"/>
      <c r="DZ42" s="308"/>
      <c r="EA42" s="308"/>
      <c r="EB42" s="308"/>
      <c r="EC42" s="308"/>
      <c r="ED42" s="308"/>
      <c r="EE42" s="308"/>
      <c r="EF42" s="309"/>
    </row>
    <row r="43" spans="1:136" ht="15" customHeight="1">
      <c r="A43" s="440"/>
      <c r="B43" s="441"/>
      <c r="C43" s="441"/>
      <c r="D43" s="441"/>
      <c r="E43" s="441"/>
      <c r="F43" s="441"/>
      <c r="G43" s="442"/>
      <c r="H43" s="414">
        <f t="shared" si="0"/>
        <v>36</v>
      </c>
      <c r="I43" s="415"/>
      <c r="J43" s="416"/>
      <c r="K43" s="298"/>
      <c r="L43" s="298"/>
      <c r="M43" s="298"/>
      <c r="N43" s="298"/>
      <c r="O43" s="298"/>
      <c r="P43" s="298"/>
      <c r="Q43" s="298"/>
      <c r="R43" s="417"/>
      <c r="S43" s="418"/>
      <c r="T43" s="418"/>
      <c r="U43" s="418"/>
      <c r="V43" s="428"/>
      <c r="W43" s="429"/>
      <c r="X43" s="429"/>
      <c r="Y43" s="429"/>
      <c r="Z43" s="429"/>
      <c r="AA43" s="430"/>
      <c r="AB43" s="409"/>
      <c r="AC43" s="308"/>
      <c r="AD43" s="410"/>
      <c r="AE43" s="409"/>
      <c r="AF43" s="308"/>
      <c r="AG43" s="410"/>
      <c r="AH43" s="425"/>
      <c r="AI43" s="426"/>
      <c r="AJ43" s="427"/>
      <c r="AK43" s="425"/>
      <c r="AL43" s="426"/>
      <c r="AM43" s="426"/>
      <c r="AN43" s="427"/>
      <c r="AO43" s="409"/>
      <c r="AP43" s="308"/>
      <c r="AQ43" s="308"/>
      <c r="AR43" s="308"/>
      <c r="AS43" s="308"/>
      <c r="AT43" s="308"/>
      <c r="AU43" s="308"/>
      <c r="AV43" s="308"/>
      <c r="AW43" s="308"/>
      <c r="AX43" s="308"/>
      <c r="AY43" s="308"/>
      <c r="AZ43" s="308"/>
      <c r="BA43" s="308"/>
      <c r="BB43" s="308"/>
      <c r="BC43" s="308"/>
      <c r="BD43" s="308"/>
      <c r="BE43" s="308"/>
      <c r="BF43" s="308"/>
      <c r="BG43" s="308"/>
      <c r="BH43" s="308"/>
      <c r="BI43" s="308"/>
      <c r="BJ43" s="308"/>
      <c r="BK43" s="410"/>
      <c r="BL43" s="409"/>
      <c r="BM43" s="308"/>
      <c r="BN43" s="308"/>
      <c r="BO43" s="308"/>
      <c r="BP43" s="308"/>
      <c r="BQ43" s="308"/>
      <c r="BR43" s="308"/>
      <c r="BS43" s="308"/>
      <c r="BT43" s="308"/>
      <c r="BU43" s="308"/>
      <c r="BV43" s="308"/>
      <c r="BW43" s="308"/>
      <c r="BX43" s="308"/>
      <c r="BY43" s="308"/>
      <c r="BZ43" s="308"/>
      <c r="CA43" s="308"/>
      <c r="CB43" s="410"/>
      <c r="CC43" s="409"/>
      <c r="CD43" s="308"/>
      <c r="CE43" s="308"/>
      <c r="CF43" s="308"/>
      <c r="CG43" s="308"/>
      <c r="CH43" s="308"/>
      <c r="CI43" s="308"/>
      <c r="CJ43" s="308"/>
      <c r="CK43" s="308"/>
      <c r="CL43" s="308"/>
      <c r="CM43" s="308"/>
      <c r="CN43" s="410"/>
      <c r="CO43" s="409"/>
      <c r="CP43" s="308"/>
      <c r="CQ43" s="308"/>
      <c r="CR43" s="308"/>
      <c r="CS43" s="308"/>
      <c r="CT43" s="308"/>
      <c r="CU43" s="308"/>
      <c r="CV43" s="308"/>
      <c r="CW43" s="308"/>
      <c r="CX43" s="308"/>
      <c r="CY43" s="308"/>
      <c r="CZ43" s="410"/>
      <c r="DA43" s="411" t="s">
        <v>170</v>
      </c>
      <c r="DB43" s="412"/>
      <c r="DC43" s="412"/>
      <c r="DD43" s="412"/>
      <c r="DE43" s="412"/>
      <c r="DF43" s="413"/>
      <c r="DG43" s="409"/>
      <c r="DH43" s="308"/>
      <c r="DI43" s="308"/>
      <c r="DJ43" s="308"/>
      <c r="DK43" s="308"/>
      <c r="DL43" s="308"/>
      <c r="DM43" s="308"/>
      <c r="DN43" s="308"/>
      <c r="DO43" s="308"/>
      <c r="DP43" s="308"/>
      <c r="DQ43" s="308"/>
      <c r="DR43" s="308"/>
      <c r="DS43" s="410"/>
      <c r="DT43" s="409"/>
      <c r="DU43" s="308"/>
      <c r="DV43" s="308"/>
      <c r="DW43" s="308"/>
      <c r="DX43" s="308"/>
      <c r="DY43" s="308"/>
      <c r="DZ43" s="308"/>
      <c r="EA43" s="308"/>
      <c r="EB43" s="308"/>
      <c r="EC43" s="308"/>
      <c r="ED43" s="308"/>
      <c r="EE43" s="308"/>
      <c r="EF43" s="309"/>
    </row>
    <row r="44" spans="1:136" ht="15" customHeight="1">
      <c r="A44" s="440"/>
      <c r="B44" s="441"/>
      <c r="C44" s="441"/>
      <c r="D44" s="441"/>
      <c r="E44" s="441"/>
      <c r="F44" s="441"/>
      <c r="G44" s="442"/>
      <c r="H44" s="414">
        <f t="shared" si="0"/>
        <v>37</v>
      </c>
      <c r="I44" s="415"/>
      <c r="J44" s="416"/>
      <c r="K44" s="298"/>
      <c r="L44" s="298"/>
      <c r="M44" s="298"/>
      <c r="N44" s="298"/>
      <c r="O44" s="298"/>
      <c r="P44" s="298"/>
      <c r="Q44" s="298"/>
      <c r="R44" s="417"/>
      <c r="S44" s="418"/>
      <c r="T44" s="418"/>
      <c r="U44" s="418"/>
      <c r="V44" s="428"/>
      <c r="W44" s="429"/>
      <c r="X44" s="429"/>
      <c r="Y44" s="429"/>
      <c r="Z44" s="429"/>
      <c r="AA44" s="430"/>
      <c r="AB44" s="409"/>
      <c r="AC44" s="308"/>
      <c r="AD44" s="410"/>
      <c r="AE44" s="409"/>
      <c r="AF44" s="308"/>
      <c r="AG44" s="410"/>
      <c r="AH44" s="425"/>
      <c r="AI44" s="426"/>
      <c r="AJ44" s="427"/>
      <c r="AK44" s="425"/>
      <c r="AL44" s="426"/>
      <c r="AM44" s="426"/>
      <c r="AN44" s="427"/>
      <c r="AO44" s="409"/>
      <c r="AP44" s="308"/>
      <c r="AQ44" s="308"/>
      <c r="AR44" s="308"/>
      <c r="AS44" s="308"/>
      <c r="AT44" s="308"/>
      <c r="AU44" s="308"/>
      <c r="AV44" s="308"/>
      <c r="AW44" s="308"/>
      <c r="AX44" s="308"/>
      <c r="AY44" s="308"/>
      <c r="AZ44" s="308"/>
      <c r="BA44" s="308"/>
      <c r="BB44" s="308"/>
      <c r="BC44" s="308"/>
      <c r="BD44" s="308"/>
      <c r="BE44" s="308"/>
      <c r="BF44" s="308"/>
      <c r="BG44" s="308"/>
      <c r="BH44" s="308"/>
      <c r="BI44" s="308"/>
      <c r="BJ44" s="308"/>
      <c r="BK44" s="410"/>
      <c r="BL44" s="409"/>
      <c r="BM44" s="308"/>
      <c r="BN44" s="308"/>
      <c r="BO44" s="308"/>
      <c r="BP44" s="308"/>
      <c r="BQ44" s="308"/>
      <c r="BR44" s="308"/>
      <c r="BS44" s="308"/>
      <c r="BT44" s="308"/>
      <c r="BU44" s="308"/>
      <c r="BV44" s="308"/>
      <c r="BW44" s="308"/>
      <c r="BX44" s="308"/>
      <c r="BY44" s="308"/>
      <c r="BZ44" s="308"/>
      <c r="CA44" s="308"/>
      <c r="CB44" s="410"/>
      <c r="CC44" s="409"/>
      <c r="CD44" s="308"/>
      <c r="CE44" s="308"/>
      <c r="CF44" s="308"/>
      <c r="CG44" s="308"/>
      <c r="CH44" s="308"/>
      <c r="CI44" s="308"/>
      <c r="CJ44" s="308"/>
      <c r="CK44" s="308"/>
      <c r="CL44" s="308"/>
      <c r="CM44" s="308"/>
      <c r="CN44" s="410"/>
      <c r="CO44" s="409"/>
      <c r="CP44" s="308"/>
      <c r="CQ44" s="308"/>
      <c r="CR44" s="308"/>
      <c r="CS44" s="308"/>
      <c r="CT44" s="308"/>
      <c r="CU44" s="308"/>
      <c r="CV44" s="308"/>
      <c r="CW44" s="308"/>
      <c r="CX44" s="308"/>
      <c r="CY44" s="308"/>
      <c r="CZ44" s="410"/>
      <c r="DA44" s="411" t="s">
        <v>170</v>
      </c>
      <c r="DB44" s="412"/>
      <c r="DC44" s="412"/>
      <c r="DD44" s="412"/>
      <c r="DE44" s="412"/>
      <c r="DF44" s="413"/>
      <c r="DG44" s="409"/>
      <c r="DH44" s="308"/>
      <c r="DI44" s="308"/>
      <c r="DJ44" s="308"/>
      <c r="DK44" s="308"/>
      <c r="DL44" s="308"/>
      <c r="DM44" s="308"/>
      <c r="DN44" s="308"/>
      <c r="DO44" s="308"/>
      <c r="DP44" s="308"/>
      <c r="DQ44" s="308"/>
      <c r="DR44" s="308"/>
      <c r="DS44" s="410"/>
      <c r="DT44" s="409"/>
      <c r="DU44" s="308"/>
      <c r="DV44" s="308"/>
      <c r="DW44" s="308"/>
      <c r="DX44" s="308"/>
      <c r="DY44" s="308"/>
      <c r="DZ44" s="308"/>
      <c r="EA44" s="308"/>
      <c r="EB44" s="308"/>
      <c r="EC44" s="308"/>
      <c r="ED44" s="308"/>
      <c r="EE44" s="308"/>
      <c r="EF44" s="309"/>
    </row>
    <row r="45" spans="1:136" ht="15" customHeight="1">
      <c r="A45" s="443"/>
      <c r="B45" s="444"/>
      <c r="C45" s="444"/>
      <c r="D45" s="444"/>
      <c r="E45" s="444"/>
      <c r="F45" s="444"/>
      <c r="G45" s="445"/>
      <c r="H45" s="414">
        <f t="shared" si="0"/>
        <v>38</v>
      </c>
      <c r="I45" s="415"/>
      <c r="J45" s="416"/>
      <c r="K45" s="298"/>
      <c r="L45" s="298"/>
      <c r="M45" s="298"/>
      <c r="N45" s="298"/>
      <c r="O45" s="298"/>
      <c r="P45" s="298"/>
      <c r="Q45" s="298"/>
      <c r="R45" s="417"/>
      <c r="S45" s="418"/>
      <c r="T45" s="418"/>
      <c r="U45" s="418"/>
      <c r="V45" s="428"/>
      <c r="W45" s="429"/>
      <c r="X45" s="429"/>
      <c r="Y45" s="429"/>
      <c r="Z45" s="429"/>
      <c r="AA45" s="430"/>
      <c r="AB45" s="409"/>
      <c r="AC45" s="308"/>
      <c r="AD45" s="410"/>
      <c r="AE45" s="409"/>
      <c r="AF45" s="308"/>
      <c r="AG45" s="410"/>
      <c r="AH45" s="425"/>
      <c r="AI45" s="426"/>
      <c r="AJ45" s="427"/>
      <c r="AK45" s="425"/>
      <c r="AL45" s="426"/>
      <c r="AM45" s="426"/>
      <c r="AN45" s="427"/>
      <c r="AO45" s="409"/>
      <c r="AP45" s="308"/>
      <c r="AQ45" s="308"/>
      <c r="AR45" s="308"/>
      <c r="AS45" s="308"/>
      <c r="AT45" s="308"/>
      <c r="AU45" s="308"/>
      <c r="AV45" s="308"/>
      <c r="AW45" s="308"/>
      <c r="AX45" s="308"/>
      <c r="AY45" s="308"/>
      <c r="AZ45" s="308"/>
      <c r="BA45" s="308"/>
      <c r="BB45" s="308"/>
      <c r="BC45" s="308"/>
      <c r="BD45" s="308"/>
      <c r="BE45" s="308"/>
      <c r="BF45" s="308"/>
      <c r="BG45" s="308"/>
      <c r="BH45" s="308"/>
      <c r="BI45" s="308"/>
      <c r="BJ45" s="308"/>
      <c r="BK45" s="410"/>
      <c r="BL45" s="409"/>
      <c r="BM45" s="308"/>
      <c r="BN45" s="308"/>
      <c r="BO45" s="308"/>
      <c r="BP45" s="308"/>
      <c r="BQ45" s="308"/>
      <c r="BR45" s="308"/>
      <c r="BS45" s="308"/>
      <c r="BT45" s="308"/>
      <c r="BU45" s="308"/>
      <c r="BV45" s="308"/>
      <c r="BW45" s="308"/>
      <c r="BX45" s="308"/>
      <c r="BY45" s="308"/>
      <c r="BZ45" s="308"/>
      <c r="CA45" s="308"/>
      <c r="CB45" s="410"/>
      <c r="CC45" s="409"/>
      <c r="CD45" s="308"/>
      <c r="CE45" s="308"/>
      <c r="CF45" s="308"/>
      <c r="CG45" s="308"/>
      <c r="CH45" s="308"/>
      <c r="CI45" s="308"/>
      <c r="CJ45" s="308"/>
      <c r="CK45" s="308"/>
      <c r="CL45" s="308"/>
      <c r="CM45" s="308"/>
      <c r="CN45" s="410"/>
      <c r="CO45" s="409"/>
      <c r="CP45" s="308"/>
      <c r="CQ45" s="308"/>
      <c r="CR45" s="308"/>
      <c r="CS45" s="308"/>
      <c r="CT45" s="308"/>
      <c r="CU45" s="308"/>
      <c r="CV45" s="308"/>
      <c r="CW45" s="308"/>
      <c r="CX45" s="308"/>
      <c r="CY45" s="308"/>
      <c r="CZ45" s="410"/>
      <c r="DA45" s="411" t="s">
        <v>170</v>
      </c>
      <c r="DB45" s="412"/>
      <c r="DC45" s="412"/>
      <c r="DD45" s="412"/>
      <c r="DE45" s="412"/>
      <c r="DF45" s="413"/>
      <c r="DG45" s="409"/>
      <c r="DH45" s="308"/>
      <c r="DI45" s="308"/>
      <c r="DJ45" s="308"/>
      <c r="DK45" s="308"/>
      <c r="DL45" s="308"/>
      <c r="DM45" s="308"/>
      <c r="DN45" s="308"/>
      <c r="DO45" s="308"/>
      <c r="DP45" s="308"/>
      <c r="DQ45" s="308"/>
      <c r="DR45" s="308"/>
      <c r="DS45" s="410"/>
      <c r="DT45" s="409"/>
      <c r="DU45" s="308"/>
      <c r="DV45" s="308"/>
      <c r="DW45" s="308"/>
      <c r="DX45" s="308"/>
      <c r="DY45" s="308"/>
      <c r="DZ45" s="308"/>
      <c r="EA45" s="308"/>
      <c r="EB45" s="308"/>
      <c r="EC45" s="308"/>
      <c r="ED45" s="308"/>
      <c r="EE45" s="308"/>
      <c r="EF45" s="309"/>
    </row>
    <row r="46" spans="1:136" ht="15" customHeight="1">
      <c r="A46" s="431" t="s">
        <v>172</v>
      </c>
      <c r="B46" s="432"/>
      <c r="C46" s="432"/>
      <c r="D46" s="432"/>
      <c r="E46" s="432"/>
      <c r="F46" s="432"/>
      <c r="G46" s="433"/>
      <c r="H46" s="425">
        <f t="shared" si="0"/>
        <v>39</v>
      </c>
      <c r="I46" s="427"/>
      <c r="J46" s="416"/>
      <c r="K46" s="298"/>
      <c r="L46" s="298"/>
      <c r="M46" s="298"/>
      <c r="N46" s="298"/>
      <c r="O46" s="298"/>
      <c r="P46" s="298"/>
      <c r="Q46" s="298"/>
      <c r="R46" s="417"/>
      <c r="S46" s="418"/>
      <c r="T46" s="418"/>
      <c r="U46" s="418"/>
      <c r="V46" s="409"/>
      <c r="W46" s="308"/>
      <c r="X46" s="308"/>
      <c r="Y46" s="308"/>
      <c r="Z46" s="308"/>
      <c r="AA46" s="410"/>
      <c r="AB46" s="409"/>
      <c r="AC46" s="308"/>
      <c r="AD46" s="410"/>
      <c r="AE46" s="409"/>
      <c r="AF46" s="308"/>
      <c r="AG46" s="410"/>
      <c r="AH46" s="425"/>
      <c r="AI46" s="426"/>
      <c r="AJ46" s="427"/>
      <c r="AK46" s="411"/>
      <c r="AL46" s="412"/>
      <c r="AM46" s="412"/>
      <c r="AN46" s="413"/>
      <c r="AO46" s="409"/>
      <c r="AP46" s="308"/>
      <c r="AQ46" s="308"/>
      <c r="AR46" s="308"/>
      <c r="AS46" s="308"/>
      <c r="AT46" s="308"/>
      <c r="AU46" s="308"/>
      <c r="AV46" s="308"/>
      <c r="AW46" s="308"/>
      <c r="AX46" s="308"/>
      <c r="AY46" s="308"/>
      <c r="AZ46" s="308"/>
      <c r="BA46" s="308"/>
      <c r="BB46" s="308"/>
      <c r="BC46" s="308"/>
      <c r="BD46" s="308"/>
      <c r="BE46" s="308"/>
      <c r="BF46" s="308"/>
      <c r="BG46" s="308"/>
      <c r="BH46" s="308"/>
      <c r="BI46" s="308"/>
      <c r="BJ46" s="308"/>
      <c r="BK46" s="410"/>
      <c r="BL46" s="409"/>
      <c r="BM46" s="308"/>
      <c r="BN46" s="308"/>
      <c r="BO46" s="308"/>
      <c r="BP46" s="308"/>
      <c r="BQ46" s="308"/>
      <c r="BR46" s="308"/>
      <c r="BS46" s="308"/>
      <c r="BT46" s="308"/>
      <c r="BU46" s="308"/>
      <c r="BV46" s="308"/>
      <c r="BW46" s="308"/>
      <c r="BX46" s="308"/>
      <c r="BY46" s="308"/>
      <c r="BZ46" s="308"/>
      <c r="CA46" s="308"/>
      <c r="CB46" s="410"/>
      <c r="CC46" s="405"/>
      <c r="CD46" s="406"/>
      <c r="CE46" s="406"/>
      <c r="CF46" s="406"/>
      <c r="CG46" s="406"/>
      <c r="CH46" s="406"/>
      <c r="CI46" s="406"/>
      <c r="CJ46" s="406"/>
      <c r="CK46" s="406"/>
      <c r="CL46" s="406"/>
      <c r="CM46" s="406"/>
      <c r="CN46" s="407"/>
      <c r="CO46" s="405"/>
      <c r="CP46" s="406"/>
      <c r="CQ46" s="406"/>
      <c r="CR46" s="406"/>
      <c r="CS46" s="406"/>
      <c r="CT46" s="406"/>
      <c r="CU46" s="406"/>
      <c r="CV46" s="406"/>
      <c r="CW46" s="406"/>
      <c r="CX46" s="406"/>
      <c r="CY46" s="406"/>
      <c r="CZ46" s="407"/>
      <c r="DA46" s="411" t="s">
        <v>170</v>
      </c>
      <c r="DB46" s="412"/>
      <c r="DC46" s="412"/>
      <c r="DD46" s="412"/>
      <c r="DE46" s="412"/>
      <c r="DF46" s="413"/>
      <c r="DG46" s="405"/>
      <c r="DH46" s="406"/>
      <c r="DI46" s="406"/>
      <c r="DJ46" s="406"/>
      <c r="DK46" s="406"/>
      <c r="DL46" s="406"/>
      <c r="DM46" s="406"/>
      <c r="DN46" s="406"/>
      <c r="DO46" s="406"/>
      <c r="DP46" s="406"/>
      <c r="DQ46" s="406"/>
      <c r="DR46" s="406"/>
      <c r="DS46" s="407"/>
      <c r="DT46" s="405"/>
      <c r="DU46" s="406"/>
      <c r="DV46" s="406"/>
      <c r="DW46" s="406"/>
      <c r="DX46" s="406"/>
      <c r="DY46" s="406"/>
      <c r="DZ46" s="406"/>
      <c r="EA46" s="406"/>
      <c r="EB46" s="406"/>
      <c r="EC46" s="406"/>
      <c r="ED46" s="406"/>
      <c r="EE46" s="406"/>
      <c r="EF46" s="408"/>
    </row>
    <row r="47" spans="1:136" ht="15" customHeight="1">
      <c r="A47" s="434"/>
      <c r="B47" s="435"/>
      <c r="C47" s="435"/>
      <c r="D47" s="435"/>
      <c r="E47" s="435"/>
      <c r="F47" s="435"/>
      <c r="G47" s="436"/>
      <c r="H47" s="414">
        <f t="shared" si="0"/>
        <v>40</v>
      </c>
      <c r="I47" s="415"/>
      <c r="J47" s="416"/>
      <c r="K47" s="298"/>
      <c r="L47" s="298"/>
      <c r="M47" s="298"/>
      <c r="N47" s="298"/>
      <c r="O47" s="298"/>
      <c r="P47" s="298"/>
      <c r="Q47" s="298"/>
      <c r="R47" s="417"/>
      <c r="S47" s="418"/>
      <c r="T47" s="418"/>
      <c r="U47" s="418"/>
      <c r="V47" s="409"/>
      <c r="W47" s="308"/>
      <c r="X47" s="308"/>
      <c r="Y47" s="308"/>
      <c r="Z47" s="308"/>
      <c r="AA47" s="410"/>
      <c r="AB47" s="409"/>
      <c r="AC47" s="308"/>
      <c r="AD47" s="410"/>
      <c r="AE47" s="409"/>
      <c r="AF47" s="308"/>
      <c r="AG47" s="410"/>
      <c r="AH47" s="425"/>
      <c r="AI47" s="426"/>
      <c r="AJ47" s="427"/>
      <c r="AK47" s="411"/>
      <c r="AL47" s="412"/>
      <c r="AM47" s="412"/>
      <c r="AN47" s="413"/>
      <c r="AO47" s="409"/>
      <c r="AP47" s="308"/>
      <c r="AQ47" s="308"/>
      <c r="AR47" s="308"/>
      <c r="AS47" s="308"/>
      <c r="AT47" s="308"/>
      <c r="AU47" s="308"/>
      <c r="AV47" s="308"/>
      <c r="AW47" s="308"/>
      <c r="AX47" s="308"/>
      <c r="AY47" s="308"/>
      <c r="AZ47" s="308"/>
      <c r="BA47" s="308"/>
      <c r="BB47" s="308"/>
      <c r="BC47" s="308"/>
      <c r="BD47" s="308"/>
      <c r="BE47" s="308"/>
      <c r="BF47" s="308"/>
      <c r="BG47" s="308"/>
      <c r="BH47" s="308"/>
      <c r="BI47" s="308"/>
      <c r="BJ47" s="308"/>
      <c r="BK47" s="410"/>
      <c r="BL47" s="409"/>
      <c r="BM47" s="308"/>
      <c r="BN47" s="308"/>
      <c r="BO47" s="308"/>
      <c r="BP47" s="308"/>
      <c r="BQ47" s="308"/>
      <c r="BR47" s="308"/>
      <c r="BS47" s="308"/>
      <c r="BT47" s="308"/>
      <c r="BU47" s="308"/>
      <c r="BV47" s="308"/>
      <c r="BW47" s="308"/>
      <c r="BX47" s="308"/>
      <c r="BY47" s="308"/>
      <c r="BZ47" s="308"/>
      <c r="CA47" s="308"/>
      <c r="CB47" s="410"/>
      <c r="CC47" s="405"/>
      <c r="CD47" s="406"/>
      <c r="CE47" s="406"/>
      <c r="CF47" s="406"/>
      <c r="CG47" s="406"/>
      <c r="CH47" s="406"/>
      <c r="CI47" s="406"/>
      <c r="CJ47" s="406"/>
      <c r="CK47" s="406"/>
      <c r="CL47" s="406"/>
      <c r="CM47" s="406"/>
      <c r="CN47" s="407"/>
      <c r="CO47" s="405"/>
      <c r="CP47" s="406"/>
      <c r="CQ47" s="406"/>
      <c r="CR47" s="406"/>
      <c r="CS47" s="406"/>
      <c r="CT47" s="406"/>
      <c r="CU47" s="406"/>
      <c r="CV47" s="406"/>
      <c r="CW47" s="406"/>
      <c r="CX47" s="406"/>
      <c r="CY47" s="406"/>
      <c r="CZ47" s="407"/>
      <c r="DA47" s="411" t="s">
        <v>170</v>
      </c>
      <c r="DB47" s="412"/>
      <c r="DC47" s="412"/>
      <c r="DD47" s="412"/>
      <c r="DE47" s="412"/>
      <c r="DF47" s="413"/>
      <c r="DG47" s="405"/>
      <c r="DH47" s="406"/>
      <c r="DI47" s="406"/>
      <c r="DJ47" s="406"/>
      <c r="DK47" s="406"/>
      <c r="DL47" s="406"/>
      <c r="DM47" s="406"/>
      <c r="DN47" s="406"/>
      <c r="DO47" s="406"/>
      <c r="DP47" s="406"/>
      <c r="DQ47" s="406"/>
      <c r="DR47" s="406"/>
      <c r="DS47" s="407"/>
      <c r="DT47" s="405"/>
      <c r="DU47" s="406"/>
      <c r="DV47" s="406"/>
      <c r="DW47" s="406"/>
      <c r="DX47" s="406"/>
      <c r="DY47" s="406"/>
      <c r="DZ47" s="406"/>
      <c r="EA47" s="406"/>
      <c r="EB47" s="406"/>
      <c r="EC47" s="406"/>
      <c r="ED47" s="406"/>
      <c r="EE47" s="406"/>
      <c r="EF47" s="408"/>
    </row>
    <row r="48" spans="1:136" ht="15" customHeight="1">
      <c r="A48" s="434"/>
      <c r="B48" s="435"/>
      <c r="C48" s="435"/>
      <c r="D48" s="435"/>
      <c r="E48" s="435"/>
      <c r="F48" s="435"/>
      <c r="G48" s="436"/>
      <c r="H48" s="414">
        <f t="shared" si="0"/>
        <v>41</v>
      </c>
      <c r="I48" s="415"/>
      <c r="J48" s="416"/>
      <c r="K48" s="298"/>
      <c r="L48" s="298"/>
      <c r="M48" s="298"/>
      <c r="N48" s="298"/>
      <c r="O48" s="298"/>
      <c r="P48" s="298"/>
      <c r="Q48" s="298"/>
      <c r="R48" s="417"/>
      <c r="S48" s="418"/>
      <c r="T48" s="418"/>
      <c r="U48" s="418"/>
      <c r="V48" s="409"/>
      <c r="W48" s="308"/>
      <c r="X48" s="308"/>
      <c r="Y48" s="308"/>
      <c r="Z48" s="308"/>
      <c r="AA48" s="410"/>
      <c r="AB48" s="409"/>
      <c r="AC48" s="308"/>
      <c r="AD48" s="410"/>
      <c r="AE48" s="409"/>
      <c r="AF48" s="308"/>
      <c r="AG48" s="410"/>
      <c r="AH48" s="425"/>
      <c r="AI48" s="426"/>
      <c r="AJ48" s="427"/>
      <c r="AK48" s="411"/>
      <c r="AL48" s="412"/>
      <c r="AM48" s="412"/>
      <c r="AN48" s="413"/>
      <c r="AO48" s="409"/>
      <c r="AP48" s="308"/>
      <c r="AQ48" s="308"/>
      <c r="AR48" s="308"/>
      <c r="AS48" s="308"/>
      <c r="AT48" s="308"/>
      <c r="AU48" s="308"/>
      <c r="AV48" s="308"/>
      <c r="AW48" s="308"/>
      <c r="AX48" s="308"/>
      <c r="AY48" s="308"/>
      <c r="AZ48" s="308"/>
      <c r="BA48" s="308"/>
      <c r="BB48" s="308"/>
      <c r="BC48" s="308"/>
      <c r="BD48" s="308"/>
      <c r="BE48" s="308"/>
      <c r="BF48" s="308"/>
      <c r="BG48" s="308"/>
      <c r="BH48" s="308"/>
      <c r="BI48" s="308"/>
      <c r="BJ48" s="308"/>
      <c r="BK48" s="410"/>
      <c r="BL48" s="409"/>
      <c r="BM48" s="308"/>
      <c r="BN48" s="308"/>
      <c r="BO48" s="308"/>
      <c r="BP48" s="308"/>
      <c r="BQ48" s="308"/>
      <c r="BR48" s="308"/>
      <c r="BS48" s="308"/>
      <c r="BT48" s="308"/>
      <c r="BU48" s="308"/>
      <c r="BV48" s="308"/>
      <c r="BW48" s="308"/>
      <c r="BX48" s="308"/>
      <c r="BY48" s="308"/>
      <c r="BZ48" s="308"/>
      <c r="CA48" s="308"/>
      <c r="CB48" s="410"/>
      <c r="CC48" s="405"/>
      <c r="CD48" s="406"/>
      <c r="CE48" s="406"/>
      <c r="CF48" s="406"/>
      <c r="CG48" s="406"/>
      <c r="CH48" s="406"/>
      <c r="CI48" s="406"/>
      <c r="CJ48" s="406"/>
      <c r="CK48" s="406"/>
      <c r="CL48" s="406"/>
      <c r="CM48" s="406"/>
      <c r="CN48" s="407"/>
      <c r="CO48" s="405"/>
      <c r="CP48" s="406"/>
      <c r="CQ48" s="406"/>
      <c r="CR48" s="406"/>
      <c r="CS48" s="406"/>
      <c r="CT48" s="406"/>
      <c r="CU48" s="406"/>
      <c r="CV48" s="406"/>
      <c r="CW48" s="406"/>
      <c r="CX48" s="406"/>
      <c r="CY48" s="406"/>
      <c r="CZ48" s="407"/>
      <c r="DA48" s="411" t="s">
        <v>170</v>
      </c>
      <c r="DB48" s="412"/>
      <c r="DC48" s="412"/>
      <c r="DD48" s="412"/>
      <c r="DE48" s="412"/>
      <c r="DF48" s="413"/>
      <c r="DG48" s="405"/>
      <c r="DH48" s="406"/>
      <c r="DI48" s="406"/>
      <c r="DJ48" s="406"/>
      <c r="DK48" s="406"/>
      <c r="DL48" s="406"/>
      <c r="DM48" s="406"/>
      <c r="DN48" s="406"/>
      <c r="DO48" s="406"/>
      <c r="DP48" s="406"/>
      <c r="DQ48" s="406"/>
      <c r="DR48" s="406"/>
      <c r="DS48" s="407"/>
      <c r="DT48" s="405"/>
      <c r="DU48" s="406"/>
      <c r="DV48" s="406"/>
      <c r="DW48" s="406"/>
      <c r="DX48" s="406"/>
      <c r="DY48" s="406"/>
      <c r="DZ48" s="406"/>
      <c r="EA48" s="406"/>
      <c r="EB48" s="406"/>
      <c r="EC48" s="406"/>
      <c r="ED48" s="406"/>
      <c r="EE48" s="406"/>
      <c r="EF48" s="408"/>
    </row>
    <row r="49" spans="1:136" ht="15" customHeight="1">
      <c r="A49" s="434"/>
      <c r="B49" s="435"/>
      <c r="C49" s="435"/>
      <c r="D49" s="435"/>
      <c r="E49" s="435"/>
      <c r="F49" s="435"/>
      <c r="G49" s="436"/>
      <c r="H49" s="414">
        <f t="shared" si="0"/>
        <v>42</v>
      </c>
      <c r="I49" s="415"/>
      <c r="J49" s="416"/>
      <c r="K49" s="298"/>
      <c r="L49" s="298"/>
      <c r="M49" s="298"/>
      <c r="N49" s="298"/>
      <c r="O49" s="298"/>
      <c r="P49" s="298"/>
      <c r="Q49" s="298"/>
      <c r="R49" s="417"/>
      <c r="S49" s="418"/>
      <c r="T49" s="418"/>
      <c r="U49" s="418"/>
      <c r="V49" s="409"/>
      <c r="W49" s="308"/>
      <c r="X49" s="308"/>
      <c r="Y49" s="308"/>
      <c r="Z49" s="308"/>
      <c r="AA49" s="410"/>
      <c r="AB49" s="409"/>
      <c r="AC49" s="308"/>
      <c r="AD49" s="410"/>
      <c r="AE49" s="409"/>
      <c r="AF49" s="308"/>
      <c r="AG49" s="410"/>
      <c r="AH49" s="425"/>
      <c r="AI49" s="426"/>
      <c r="AJ49" s="427"/>
      <c r="AK49" s="411"/>
      <c r="AL49" s="412"/>
      <c r="AM49" s="412"/>
      <c r="AN49" s="413"/>
      <c r="AO49" s="409"/>
      <c r="AP49" s="308"/>
      <c r="AQ49" s="308"/>
      <c r="AR49" s="308"/>
      <c r="AS49" s="308"/>
      <c r="AT49" s="308"/>
      <c r="AU49" s="308"/>
      <c r="AV49" s="308"/>
      <c r="AW49" s="308"/>
      <c r="AX49" s="308"/>
      <c r="AY49" s="308"/>
      <c r="AZ49" s="308"/>
      <c r="BA49" s="308"/>
      <c r="BB49" s="308"/>
      <c r="BC49" s="308"/>
      <c r="BD49" s="308"/>
      <c r="BE49" s="308"/>
      <c r="BF49" s="308"/>
      <c r="BG49" s="308"/>
      <c r="BH49" s="308"/>
      <c r="BI49" s="308"/>
      <c r="BJ49" s="308"/>
      <c r="BK49" s="410"/>
      <c r="BL49" s="409"/>
      <c r="BM49" s="308"/>
      <c r="BN49" s="308"/>
      <c r="BO49" s="308"/>
      <c r="BP49" s="308"/>
      <c r="BQ49" s="308"/>
      <c r="BR49" s="308"/>
      <c r="BS49" s="308"/>
      <c r="BT49" s="308"/>
      <c r="BU49" s="308"/>
      <c r="BV49" s="308"/>
      <c r="BW49" s="308"/>
      <c r="BX49" s="308"/>
      <c r="BY49" s="308"/>
      <c r="BZ49" s="308"/>
      <c r="CA49" s="308"/>
      <c r="CB49" s="410"/>
      <c r="CC49" s="405"/>
      <c r="CD49" s="406"/>
      <c r="CE49" s="406"/>
      <c r="CF49" s="406"/>
      <c r="CG49" s="406"/>
      <c r="CH49" s="406"/>
      <c r="CI49" s="406"/>
      <c r="CJ49" s="406"/>
      <c r="CK49" s="406"/>
      <c r="CL49" s="406"/>
      <c r="CM49" s="406"/>
      <c r="CN49" s="407"/>
      <c r="CO49" s="405"/>
      <c r="CP49" s="406"/>
      <c r="CQ49" s="406"/>
      <c r="CR49" s="406"/>
      <c r="CS49" s="406"/>
      <c r="CT49" s="406"/>
      <c r="CU49" s="406"/>
      <c r="CV49" s="406"/>
      <c r="CW49" s="406"/>
      <c r="CX49" s="406"/>
      <c r="CY49" s="406"/>
      <c r="CZ49" s="407"/>
      <c r="DA49" s="411" t="s">
        <v>170</v>
      </c>
      <c r="DB49" s="412"/>
      <c r="DC49" s="412"/>
      <c r="DD49" s="412"/>
      <c r="DE49" s="412"/>
      <c r="DF49" s="413"/>
      <c r="DG49" s="405"/>
      <c r="DH49" s="406"/>
      <c r="DI49" s="406"/>
      <c r="DJ49" s="406"/>
      <c r="DK49" s="406"/>
      <c r="DL49" s="406"/>
      <c r="DM49" s="406"/>
      <c r="DN49" s="406"/>
      <c r="DO49" s="406"/>
      <c r="DP49" s="406"/>
      <c r="DQ49" s="406"/>
      <c r="DR49" s="406"/>
      <c r="DS49" s="407"/>
      <c r="DT49" s="405"/>
      <c r="DU49" s="406"/>
      <c r="DV49" s="406"/>
      <c r="DW49" s="406"/>
      <c r="DX49" s="406"/>
      <c r="DY49" s="406"/>
      <c r="DZ49" s="406"/>
      <c r="EA49" s="406"/>
      <c r="EB49" s="406"/>
      <c r="EC49" s="406"/>
      <c r="ED49" s="406"/>
      <c r="EE49" s="406"/>
      <c r="EF49" s="408"/>
    </row>
    <row r="50" spans="1:136" ht="15" customHeight="1">
      <c r="A50" s="434"/>
      <c r="B50" s="435"/>
      <c r="C50" s="435"/>
      <c r="D50" s="435"/>
      <c r="E50" s="435"/>
      <c r="F50" s="435"/>
      <c r="G50" s="436"/>
      <c r="H50" s="414">
        <f t="shared" si="0"/>
        <v>43</v>
      </c>
      <c r="I50" s="415"/>
      <c r="J50" s="416"/>
      <c r="K50" s="298"/>
      <c r="L50" s="298"/>
      <c r="M50" s="298"/>
      <c r="N50" s="298"/>
      <c r="O50" s="298"/>
      <c r="P50" s="298"/>
      <c r="Q50" s="298"/>
      <c r="R50" s="417"/>
      <c r="S50" s="418"/>
      <c r="T50" s="418"/>
      <c r="U50" s="418"/>
      <c r="V50" s="409"/>
      <c r="W50" s="308"/>
      <c r="X50" s="308"/>
      <c r="Y50" s="308"/>
      <c r="Z50" s="308"/>
      <c r="AA50" s="410"/>
      <c r="AB50" s="409"/>
      <c r="AC50" s="308"/>
      <c r="AD50" s="410"/>
      <c r="AE50" s="409"/>
      <c r="AF50" s="308"/>
      <c r="AG50" s="410"/>
      <c r="AH50" s="425"/>
      <c r="AI50" s="426"/>
      <c r="AJ50" s="427"/>
      <c r="AK50" s="411"/>
      <c r="AL50" s="412"/>
      <c r="AM50" s="412"/>
      <c r="AN50" s="413"/>
      <c r="AO50" s="409"/>
      <c r="AP50" s="308"/>
      <c r="AQ50" s="308"/>
      <c r="AR50" s="308"/>
      <c r="AS50" s="308"/>
      <c r="AT50" s="308"/>
      <c r="AU50" s="308"/>
      <c r="AV50" s="308"/>
      <c r="AW50" s="308"/>
      <c r="AX50" s="308"/>
      <c r="AY50" s="308"/>
      <c r="AZ50" s="308"/>
      <c r="BA50" s="308"/>
      <c r="BB50" s="308"/>
      <c r="BC50" s="308"/>
      <c r="BD50" s="308"/>
      <c r="BE50" s="308"/>
      <c r="BF50" s="308"/>
      <c r="BG50" s="308"/>
      <c r="BH50" s="308"/>
      <c r="BI50" s="308"/>
      <c r="BJ50" s="308"/>
      <c r="BK50" s="410"/>
      <c r="BL50" s="409"/>
      <c r="BM50" s="308"/>
      <c r="BN50" s="308"/>
      <c r="BO50" s="308"/>
      <c r="BP50" s="308"/>
      <c r="BQ50" s="308"/>
      <c r="BR50" s="308"/>
      <c r="BS50" s="308"/>
      <c r="BT50" s="308"/>
      <c r="BU50" s="308"/>
      <c r="BV50" s="308"/>
      <c r="BW50" s="308"/>
      <c r="BX50" s="308"/>
      <c r="BY50" s="308"/>
      <c r="BZ50" s="308"/>
      <c r="CA50" s="308"/>
      <c r="CB50" s="410"/>
      <c r="CC50" s="405"/>
      <c r="CD50" s="406"/>
      <c r="CE50" s="406"/>
      <c r="CF50" s="406"/>
      <c r="CG50" s="406"/>
      <c r="CH50" s="406"/>
      <c r="CI50" s="406"/>
      <c r="CJ50" s="406"/>
      <c r="CK50" s="406"/>
      <c r="CL50" s="406"/>
      <c r="CM50" s="406"/>
      <c r="CN50" s="407"/>
      <c r="CO50" s="405"/>
      <c r="CP50" s="406"/>
      <c r="CQ50" s="406"/>
      <c r="CR50" s="406"/>
      <c r="CS50" s="406"/>
      <c r="CT50" s="406"/>
      <c r="CU50" s="406"/>
      <c r="CV50" s="406"/>
      <c r="CW50" s="406"/>
      <c r="CX50" s="406"/>
      <c r="CY50" s="406"/>
      <c r="CZ50" s="407"/>
      <c r="DA50" s="411" t="s">
        <v>170</v>
      </c>
      <c r="DB50" s="412"/>
      <c r="DC50" s="412"/>
      <c r="DD50" s="412"/>
      <c r="DE50" s="412"/>
      <c r="DF50" s="413"/>
      <c r="DG50" s="405"/>
      <c r="DH50" s="406"/>
      <c r="DI50" s="406"/>
      <c r="DJ50" s="406"/>
      <c r="DK50" s="406"/>
      <c r="DL50" s="406"/>
      <c r="DM50" s="406"/>
      <c r="DN50" s="406"/>
      <c r="DO50" s="406"/>
      <c r="DP50" s="406"/>
      <c r="DQ50" s="406"/>
      <c r="DR50" s="406"/>
      <c r="DS50" s="407"/>
      <c r="DT50" s="405"/>
      <c r="DU50" s="406"/>
      <c r="DV50" s="406"/>
      <c r="DW50" s="406"/>
      <c r="DX50" s="406"/>
      <c r="DY50" s="406"/>
      <c r="DZ50" s="406"/>
      <c r="EA50" s="406"/>
      <c r="EB50" s="406"/>
      <c r="EC50" s="406"/>
      <c r="ED50" s="406"/>
      <c r="EE50" s="406"/>
      <c r="EF50" s="408"/>
    </row>
    <row r="51" spans="1:136" ht="15" customHeight="1">
      <c r="A51" s="434"/>
      <c r="B51" s="435"/>
      <c r="C51" s="435"/>
      <c r="D51" s="435"/>
      <c r="E51" s="435"/>
      <c r="F51" s="435"/>
      <c r="G51" s="436"/>
      <c r="H51" s="414">
        <f t="shared" si="0"/>
        <v>44</v>
      </c>
      <c r="I51" s="415"/>
      <c r="J51" s="416"/>
      <c r="K51" s="298"/>
      <c r="L51" s="298"/>
      <c r="M51" s="298"/>
      <c r="N51" s="298"/>
      <c r="O51" s="298"/>
      <c r="P51" s="298"/>
      <c r="Q51" s="298"/>
      <c r="R51" s="417"/>
      <c r="S51" s="418"/>
      <c r="T51" s="418"/>
      <c r="U51" s="418"/>
      <c r="V51" s="409"/>
      <c r="W51" s="308"/>
      <c r="X51" s="308"/>
      <c r="Y51" s="308"/>
      <c r="Z51" s="308"/>
      <c r="AA51" s="410"/>
      <c r="AB51" s="409"/>
      <c r="AC51" s="308"/>
      <c r="AD51" s="410"/>
      <c r="AE51" s="409"/>
      <c r="AF51" s="308"/>
      <c r="AG51" s="410"/>
      <c r="AH51" s="425"/>
      <c r="AI51" s="426"/>
      <c r="AJ51" s="427"/>
      <c r="AK51" s="425"/>
      <c r="AL51" s="426"/>
      <c r="AM51" s="426"/>
      <c r="AN51" s="427"/>
      <c r="AO51" s="409"/>
      <c r="AP51" s="308"/>
      <c r="AQ51" s="308"/>
      <c r="AR51" s="308"/>
      <c r="AS51" s="308"/>
      <c r="AT51" s="308"/>
      <c r="AU51" s="308"/>
      <c r="AV51" s="308"/>
      <c r="AW51" s="308"/>
      <c r="AX51" s="308"/>
      <c r="AY51" s="308"/>
      <c r="AZ51" s="308"/>
      <c r="BA51" s="308"/>
      <c r="BB51" s="308"/>
      <c r="BC51" s="308"/>
      <c r="BD51" s="308"/>
      <c r="BE51" s="308"/>
      <c r="BF51" s="308"/>
      <c r="BG51" s="308"/>
      <c r="BH51" s="308"/>
      <c r="BI51" s="308"/>
      <c r="BJ51" s="308"/>
      <c r="BK51" s="410"/>
      <c r="BL51" s="409"/>
      <c r="BM51" s="308"/>
      <c r="BN51" s="308"/>
      <c r="BO51" s="308"/>
      <c r="BP51" s="308"/>
      <c r="BQ51" s="308"/>
      <c r="BR51" s="308"/>
      <c r="BS51" s="308"/>
      <c r="BT51" s="308"/>
      <c r="BU51" s="308"/>
      <c r="BV51" s="308"/>
      <c r="BW51" s="308"/>
      <c r="BX51" s="308"/>
      <c r="BY51" s="308"/>
      <c r="BZ51" s="308"/>
      <c r="CA51" s="308"/>
      <c r="CB51" s="410"/>
      <c r="CC51" s="405"/>
      <c r="CD51" s="406"/>
      <c r="CE51" s="406"/>
      <c r="CF51" s="406"/>
      <c r="CG51" s="406"/>
      <c r="CH51" s="406"/>
      <c r="CI51" s="406"/>
      <c r="CJ51" s="406"/>
      <c r="CK51" s="406"/>
      <c r="CL51" s="406"/>
      <c r="CM51" s="406"/>
      <c r="CN51" s="407"/>
      <c r="CO51" s="405"/>
      <c r="CP51" s="406"/>
      <c r="CQ51" s="406"/>
      <c r="CR51" s="406"/>
      <c r="CS51" s="406"/>
      <c r="CT51" s="406"/>
      <c r="CU51" s="406"/>
      <c r="CV51" s="406"/>
      <c r="CW51" s="406"/>
      <c r="CX51" s="406"/>
      <c r="CY51" s="406"/>
      <c r="CZ51" s="407"/>
      <c r="DA51" s="411" t="s">
        <v>170</v>
      </c>
      <c r="DB51" s="412"/>
      <c r="DC51" s="412"/>
      <c r="DD51" s="412"/>
      <c r="DE51" s="412"/>
      <c r="DF51" s="413"/>
      <c r="DG51" s="405"/>
      <c r="DH51" s="406"/>
      <c r="DI51" s="406"/>
      <c r="DJ51" s="406"/>
      <c r="DK51" s="406"/>
      <c r="DL51" s="406"/>
      <c r="DM51" s="406"/>
      <c r="DN51" s="406"/>
      <c r="DO51" s="406"/>
      <c r="DP51" s="406"/>
      <c r="DQ51" s="406"/>
      <c r="DR51" s="406"/>
      <c r="DS51" s="407"/>
      <c r="DT51" s="405"/>
      <c r="DU51" s="406"/>
      <c r="DV51" s="406"/>
      <c r="DW51" s="406"/>
      <c r="DX51" s="406"/>
      <c r="DY51" s="406"/>
      <c r="DZ51" s="406"/>
      <c r="EA51" s="406"/>
      <c r="EB51" s="406"/>
      <c r="EC51" s="406"/>
      <c r="ED51" s="406"/>
      <c r="EE51" s="406"/>
      <c r="EF51" s="408"/>
    </row>
    <row r="52" spans="1:136" ht="15" customHeight="1" thickBot="1">
      <c r="A52" s="437"/>
      <c r="B52" s="438"/>
      <c r="C52" s="438"/>
      <c r="D52" s="438"/>
      <c r="E52" s="438"/>
      <c r="F52" s="438"/>
      <c r="G52" s="439"/>
      <c r="H52" s="419">
        <f>ROW()-7</f>
        <v>45</v>
      </c>
      <c r="I52" s="420"/>
      <c r="J52" s="421"/>
      <c r="K52" s="301"/>
      <c r="L52" s="301"/>
      <c r="M52" s="301"/>
      <c r="N52" s="301"/>
      <c r="O52" s="301"/>
      <c r="P52" s="301"/>
      <c r="Q52" s="301"/>
      <c r="R52" s="422"/>
      <c r="S52" s="423"/>
      <c r="T52" s="423"/>
      <c r="U52" s="423"/>
      <c r="V52" s="397"/>
      <c r="W52" s="322"/>
      <c r="X52" s="322"/>
      <c r="Y52" s="322"/>
      <c r="Z52" s="322"/>
      <c r="AA52" s="398"/>
      <c r="AB52" s="397"/>
      <c r="AC52" s="322"/>
      <c r="AD52" s="398"/>
      <c r="AE52" s="397"/>
      <c r="AF52" s="322"/>
      <c r="AG52" s="398"/>
      <c r="AH52" s="419"/>
      <c r="AI52" s="424"/>
      <c r="AJ52" s="420"/>
      <c r="AK52" s="402"/>
      <c r="AL52" s="403"/>
      <c r="AM52" s="403"/>
      <c r="AN52" s="404"/>
      <c r="AO52" s="397"/>
      <c r="AP52" s="322"/>
      <c r="AQ52" s="322"/>
      <c r="AR52" s="322"/>
      <c r="AS52" s="322"/>
      <c r="AT52" s="322"/>
      <c r="AU52" s="322"/>
      <c r="AV52" s="322"/>
      <c r="AW52" s="322"/>
      <c r="AX52" s="322"/>
      <c r="AY52" s="322"/>
      <c r="AZ52" s="322"/>
      <c r="BA52" s="322"/>
      <c r="BB52" s="322"/>
      <c r="BC52" s="322"/>
      <c r="BD52" s="322"/>
      <c r="BE52" s="322"/>
      <c r="BF52" s="322"/>
      <c r="BG52" s="322"/>
      <c r="BH52" s="322"/>
      <c r="BI52" s="322"/>
      <c r="BJ52" s="322"/>
      <c r="BK52" s="398"/>
      <c r="BL52" s="397"/>
      <c r="BM52" s="322"/>
      <c r="BN52" s="322"/>
      <c r="BO52" s="322"/>
      <c r="BP52" s="322"/>
      <c r="BQ52" s="322"/>
      <c r="BR52" s="322"/>
      <c r="BS52" s="322"/>
      <c r="BT52" s="322"/>
      <c r="BU52" s="322"/>
      <c r="BV52" s="322"/>
      <c r="BW52" s="322"/>
      <c r="BX52" s="322"/>
      <c r="BY52" s="322"/>
      <c r="BZ52" s="322"/>
      <c r="CA52" s="322"/>
      <c r="CB52" s="398"/>
      <c r="CC52" s="399"/>
      <c r="CD52" s="400"/>
      <c r="CE52" s="400"/>
      <c r="CF52" s="400"/>
      <c r="CG52" s="400"/>
      <c r="CH52" s="400"/>
      <c r="CI52" s="400"/>
      <c r="CJ52" s="400"/>
      <c r="CK52" s="400"/>
      <c r="CL52" s="400"/>
      <c r="CM52" s="400"/>
      <c r="CN52" s="401"/>
      <c r="CO52" s="399"/>
      <c r="CP52" s="400"/>
      <c r="CQ52" s="400"/>
      <c r="CR52" s="400"/>
      <c r="CS52" s="400"/>
      <c r="CT52" s="400"/>
      <c r="CU52" s="400"/>
      <c r="CV52" s="400"/>
      <c r="CW52" s="400"/>
      <c r="CX52" s="400"/>
      <c r="CY52" s="400"/>
      <c r="CZ52" s="401"/>
      <c r="DA52" s="402" t="s">
        <v>170</v>
      </c>
      <c r="DB52" s="403"/>
      <c r="DC52" s="403"/>
      <c r="DD52" s="403"/>
      <c r="DE52" s="403"/>
      <c r="DF52" s="404"/>
      <c r="DG52" s="397"/>
      <c r="DH52" s="322"/>
      <c r="DI52" s="322"/>
      <c r="DJ52" s="322"/>
      <c r="DK52" s="322"/>
      <c r="DL52" s="322"/>
      <c r="DM52" s="322"/>
      <c r="DN52" s="322"/>
      <c r="DO52" s="322"/>
      <c r="DP52" s="322"/>
      <c r="DQ52" s="322"/>
      <c r="DR52" s="322"/>
      <c r="DS52" s="398"/>
      <c r="DT52" s="397"/>
      <c r="DU52" s="322"/>
      <c r="DV52" s="322"/>
      <c r="DW52" s="322"/>
      <c r="DX52" s="322"/>
      <c r="DY52" s="322"/>
      <c r="DZ52" s="322"/>
      <c r="EA52" s="322"/>
      <c r="EB52" s="322"/>
      <c r="EC52" s="322"/>
      <c r="ED52" s="322"/>
      <c r="EE52" s="322"/>
      <c r="EF52" s="323"/>
    </row>
  </sheetData>
  <mergeCells count="717">
    <mergeCell ref="F2:P3"/>
    <mergeCell ref="Q2:V3"/>
    <mergeCell ref="W2:AD3"/>
    <mergeCell ref="AE2:AS3"/>
    <mergeCell ref="AT2:AU2"/>
    <mergeCell ref="AV2:BA2"/>
    <mergeCell ref="AT3:AU3"/>
    <mergeCell ref="AV3:BA3"/>
    <mergeCell ref="A1:E3"/>
    <mergeCell ref="F1:P1"/>
    <mergeCell ref="Q1:V1"/>
    <mergeCell ref="W1:AD1"/>
    <mergeCell ref="AE1:AS1"/>
    <mergeCell ref="AT1:BA1"/>
    <mergeCell ref="S5:AA5"/>
    <mergeCell ref="AB5:AG5"/>
    <mergeCell ref="AH5:AJ5"/>
    <mergeCell ref="A6:G7"/>
    <mergeCell ref="H6:I7"/>
    <mergeCell ref="J6:R7"/>
    <mergeCell ref="S6:U7"/>
    <mergeCell ref="V6:AA7"/>
    <mergeCell ref="AB6:AD7"/>
    <mergeCell ref="DG6:DS7"/>
    <mergeCell ref="DT6:EF7"/>
    <mergeCell ref="A8:G16"/>
    <mergeCell ref="H8:I8"/>
    <mergeCell ref="J8:R8"/>
    <mergeCell ref="S8:U8"/>
    <mergeCell ref="V8:AA8"/>
    <mergeCell ref="AB8:AD8"/>
    <mergeCell ref="AE6:AG7"/>
    <mergeCell ref="AH6:AJ7"/>
    <mergeCell ref="AK6:AN7"/>
    <mergeCell ref="AO6:BK7"/>
    <mergeCell ref="BL6:CB7"/>
    <mergeCell ref="CC6:CN7"/>
    <mergeCell ref="CO8:CZ8"/>
    <mergeCell ref="DA8:DF8"/>
    <mergeCell ref="DG8:DS8"/>
    <mergeCell ref="DT8:EF8"/>
    <mergeCell ref="H9:I9"/>
    <mergeCell ref="J9:R9"/>
    <mergeCell ref="S9:U9"/>
    <mergeCell ref="V9:AA9"/>
    <mergeCell ref="AE9:AG9"/>
    <mergeCell ref="AE8:AG8"/>
    <mergeCell ref="AH8:AJ8"/>
    <mergeCell ref="AK8:AN8"/>
    <mergeCell ref="AO8:BK8"/>
    <mergeCell ref="BL8:CB8"/>
    <mergeCell ref="CC8:CN8"/>
    <mergeCell ref="DA9:DF9"/>
    <mergeCell ref="CO6:CZ7"/>
    <mergeCell ref="DA6:DF7"/>
    <mergeCell ref="AK10:AN10"/>
    <mergeCell ref="DG9:DS9"/>
    <mergeCell ref="DT9:EF9"/>
    <mergeCell ref="H10:I10"/>
    <mergeCell ref="J10:R10"/>
    <mergeCell ref="S10:U10"/>
    <mergeCell ref="V10:AA10"/>
    <mergeCell ref="AB10:AD10"/>
    <mergeCell ref="AE10:AG10"/>
    <mergeCell ref="AH10:AJ10"/>
    <mergeCell ref="AH9:AJ9"/>
    <mergeCell ref="AK9:AN9"/>
    <mergeCell ref="AO9:BK9"/>
    <mergeCell ref="BL9:CB9"/>
    <mergeCell ref="CC9:CN9"/>
    <mergeCell ref="CO9:CZ9"/>
    <mergeCell ref="DG10:DS10"/>
    <mergeCell ref="DT10:EF10"/>
    <mergeCell ref="AO10:BK10"/>
    <mergeCell ref="BL10:CB10"/>
    <mergeCell ref="CC10:CN10"/>
    <mergeCell ref="CO10:CZ10"/>
    <mergeCell ref="DA10:DF10"/>
    <mergeCell ref="AB9:AD9"/>
    <mergeCell ref="DT11:EF11"/>
    <mergeCell ref="H12:I12"/>
    <mergeCell ref="J12:R12"/>
    <mergeCell ref="S12:U12"/>
    <mergeCell ref="V12:AA12"/>
    <mergeCell ref="AB12:AD12"/>
    <mergeCell ref="AE12:AG12"/>
    <mergeCell ref="AH12:AJ12"/>
    <mergeCell ref="AK12:AN12"/>
    <mergeCell ref="AO12:BK12"/>
    <mergeCell ref="AO11:BK11"/>
    <mergeCell ref="BL11:CB11"/>
    <mergeCell ref="CC11:CN11"/>
    <mergeCell ref="CO11:CZ11"/>
    <mergeCell ref="DA11:DF11"/>
    <mergeCell ref="DG11:DS11"/>
    <mergeCell ref="H11:I11"/>
    <mergeCell ref="J11:R11"/>
    <mergeCell ref="S11:U11"/>
    <mergeCell ref="V11:AA11"/>
    <mergeCell ref="AB11:AD11"/>
    <mergeCell ref="AE11:AG11"/>
    <mergeCell ref="AH11:AJ11"/>
    <mergeCell ref="AK11:AN11"/>
    <mergeCell ref="AE13:AG13"/>
    <mergeCell ref="DG14:DS14"/>
    <mergeCell ref="DT14:EF14"/>
    <mergeCell ref="BL12:CB12"/>
    <mergeCell ref="CC12:CN12"/>
    <mergeCell ref="CO12:CZ12"/>
    <mergeCell ref="DA12:DF12"/>
    <mergeCell ref="DG12:DS12"/>
    <mergeCell ref="DT12:EF12"/>
    <mergeCell ref="AO14:BK14"/>
    <mergeCell ref="BL14:CB14"/>
    <mergeCell ref="CC14:CN14"/>
    <mergeCell ref="CO14:CZ14"/>
    <mergeCell ref="DA14:DF14"/>
    <mergeCell ref="AH15:AJ15"/>
    <mergeCell ref="AK15:AN15"/>
    <mergeCell ref="AK14:AN14"/>
    <mergeCell ref="DA13:DF13"/>
    <mergeCell ref="DG13:DS13"/>
    <mergeCell ref="DT13:EF13"/>
    <mergeCell ref="H14:I14"/>
    <mergeCell ref="J14:R14"/>
    <mergeCell ref="S14:U14"/>
    <mergeCell ref="V14:AA14"/>
    <mergeCell ref="AB14:AD14"/>
    <mergeCell ref="AE14:AG14"/>
    <mergeCell ref="AH14:AJ14"/>
    <mergeCell ref="AH13:AJ13"/>
    <mergeCell ref="AK13:AN13"/>
    <mergeCell ref="AO13:BK13"/>
    <mergeCell ref="BL13:CB13"/>
    <mergeCell ref="CC13:CN13"/>
    <mergeCell ref="CO13:CZ13"/>
    <mergeCell ref="H13:I13"/>
    <mergeCell ref="J13:R13"/>
    <mergeCell ref="S13:U13"/>
    <mergeCell ref="V13:AA13"/>
    <mergeCell ref="AB13:AD13"/>
    <mergeCell ref="BL16:CB16"/>
    <mergeCell ref="CC16:CN16"/>
    <mergeCell ref="CO16:CZ16"/>
    <mergeCell ref="DA16:DF16"/>
    <mergeCell ref="DG16:DS16"/>
    <mergeCell ref="DT16:EF16"/>
    <mergeCell ref="DT15:EF15"/>
    <mergeCell ref="H16:I16"/>
    <mergeCell ref="J16:R16"/>
    <mergeCell ref="S16:U16"/>
    <mergeCell ref="V16:AA16"/>
    <mergeCell ref="AB16:AD16"/>
    <mergeCell ref="AE16:AG16"/>
    <mergeCell ref="AH16:AJ16"/>
    <mergeCell ref="AK16:AN16"/>
    <mergeCell ref="AO16:BK16"/>
    <mergeCell ref="AO15:BK15"/>
    <mergeCell ref="BL15:CB15"/>
    <mergeCell ref="CC15:CN15"/>
    <mergeCell ref="CO15:CZ15"/>
    <mergeCell ref="DA15:DF15"/>
    <mergeCell ref="DG15:DS15"/>
    <mergeCell ref="H15:I15"/>
    <mergeCell ref="J15:R15"/>
    <mergeCell ref="S15:U15"/>
    <mergeCell ref="V15:AA15"/>
    <mergeCell ref="AB15:AD15"/>
    <mergeCell ref="AE15:AG15"/>
    <mergeCell ref="CO17:CZ17"/>
    <mergeCell ref="DA17:DF17"/>
    <mergeCell ref="DG17:DS17"/>
    <mergeCell ref="DT17:EF17"/>
    <mergeCell ref="A18:G30"/>
    <mergeCell ref="H18:I18"/>
    <mergeCell ref="J18:R18"/>
    <mergeCell ref="S18:U18"/>
    <mergeCell ref="V18:AA18"/>
    <mergeCell ref="AB18:AD18"/>
    <mergeCell ref="AE17:AG17"/>
    <mergeCell ref="AH17:AJ17"/>
    <mergeCell ref="AK17:AN17"/>
    <mergeCell ref="AO17:BK17"/>
    <mergeCell ref="BL17:CB17"/>
    <mergeCell ref="CC17:CN17"/>
    <mergeCell ref="A17:G17"/>
    <mergeCell ref="H17:I17"/>
    <mergeCell ref="J17:R17"/>
    <mergeCell ref="S17:U17"/>
    <mergeCell ref="V17:AA17"/>
    <mergeCell ref="AB17:AD17"/>
    <mergeCell ref="CO18:CZ18"/>
    <mergeCell ref="DA18:DF18"/>
    <mergeCell ref="AH19:AJ19"/>
    <mergeCell ref="AK19:AN19"/>
    <mergeCell ref="DG18:DS18"/>
    <mergeCell ref="DT18:EF18"/>
    <mergeCell ref="H19:I19"/>
    <mergeCell ref="J19:R19"/>
    <mergeCell ref="S19:U19"/>
    <mergeCell ref="V19:AA19"/>
    <mergeCell ref="AB19:AD19"/>
    <mergeCell ref="AE19:AG19"/>
    <mergeCell ref="AE18:AG18"/>
    <mergeCell ref="AH18:AJ18"/>
    <mergeCell ref="AK18:AN18"/>
    <mergeCell ref="AO18:BK18"/>
    <mergeCell ref="BL18:CB18"/>
    <mergeCell ref="CC18:CN18"/>
    <mergeCell ref="DA19:DF19"/>
    <mergeCell ref="DG19:DS19"/>
    <mergeCell ref="DT19:EF19"/>
    <mergeCell ref="AO19:BK19"/>
    <mergeCell ref="BL19:CB19"/>
    <mergeCell ref="CC19:CN19"/>
    <mergeCell ref="CO19:CZ19"/>
    <mergeCell ref="DG20:DS20"/>
    <mergeCell ref="DT20:EF20"/>
    <mergeCell ref="H21:I21"/>
    <mergeCell ref="J21:R21"/>
    <mergeCell ref="S21:U21"/>
    <mergeCell ref="V21:AA21"/>
    <mergeCell ref="AB21:AD21"/>
    <mergeCell ref="AE21:AG21"/>
    <mergeCell ref="AH21:AJ21"/>
    <mergeCell ref="AK21:AN21"/>
    <mergeCell ref="AK20:AN20"/>
    <mergeCell ref="AO20:BK20"/>
    <mergeCell ref="BL20:CB20"/>
    <mergeCell ref="CC20:CN20"/>
    <mergeCell ref="CO20:CZ20"/>
    <mergeCell ref="DA20:DF20"/>
    <mergeCell ref="H20:I20"/>
    <mergeCell ref="J20:R20"/>
    <mergeCell ref="S20:U20"/>
    <mergeCell ref="V20:AA20"/>
    <mergeCell ref="AB20:AD20"/>
    <mergeCell ref="AE20:AG20"/>
    <mergeCell ref="AH20:AJ20"/>
    <mergeCell ref="BL22:CB22"/>
    <mergeCell ref="CC22:CN22"/>
    <mergeCell ref="CO22:CZ22"/>
    <mergeCell ref="DA22:DF22"/>
    <mergeCell ref="DG22:DS22"/>
    <mergeCell ref="DT22:EF22"/>
    <mergeCell ref="DT21:EF21"/>
    <mergeCell ref="AO21:BK21"/>
    <mergeCell ref="BL21:CB21"/>
    <mergeCell ref="CC21:CN21"/>
    <mergeCell ref="CO21:CZ21"/>
    <mergeCell ref="DA21:DF21"/>
    <mergeCell ref="DG21:DS21"/>
    <mergeCell ref="H22:I22"/>
    <mergeCell ref="J22:R22"/>
    <mergeCell ref="S22:U22"/>
    <mergeCell ref="V22:AA22"/>
    <mergeCell ref="AB22:AD22"/>
    <mergeCell ref="AE22:AG22"/>
    <mergeCell ref="AH22:AJ22"/>
    <mergeCell ref="AK22:AN22"/>
    <mergeCell ref="AO22:BK22"/>
    <mergeCell ref="H24:I24"/>
    <mergeCell ref="J24:R24"/>
    <mergeCell ref="S24:U24"/>
    <mergeCell ref="V24:AA24"/>
    <mergeCell ref="AB24:AD24"/>
    <mergeCell ref="AE24:AG24"/>
    <mergeCell ref="AH24:AJ24"/>
    <mergeCell ref="AH23:AJ23"/>
    <mergeCell ref="AK23:AN23"/>
    <mergeCell ref="H23:I23"/>
    <mergeCell ref="J23:R23"/>
    <mergeCell ref="S23:U23"/>
    <mergeCell ref="V23:AA23"/>
    <mergeCell ref="AB23:AD23"/>
    <mergeCell ref="AE23:AG23"/>
    <mergeCell ref="V25:AA25"/>
    <mergeCell ref="AB25:AD25"/>
    <mergeCell ref="AE25:AG25"/>
    <mergeCell ref="AH25:AJ25"/>
    <mergeCell ref="AK25:AN25"/>
    <mergeCell ref="AK24:AN24"/>
    <mergeCell ref="DA23:DF23"/>
    <mergeCell ref="DG23:DS23"/>
    <mergeCell ref="DT23:EF23"/>
    <mergeCell ref="AO23:BK23"/>
    <mergeCell ref="BL23:CB23"/>
    <mergeCell ref="CC23:CN23"/>
    <mergeCell ref="CO23:CZ23"/>
    <mergeCell ref="DG24:DS24"/>
    <mergeCell ref="DT24:EF24"/>
    <mergeCell ref="AO24:BK24"/>
    <mergeCell ref="BL24:CB24"/>
    <mergeCell ref="CC24:CN24"/>
    <mergeCell ref="CO24:CZ24"/>
    <mergeCell ref="DA24:DF24"/>
    <mergeCell ref="DT25:EF25"/>
    <mergeCell ref="AO25:BK25"/>
    <mergeCell ref="BL25:CB25"/>
    <mergeCell ref="CC25:CN25"/>
    <mergeCell ref="BL26:CB26"/>
    <mergeCell ref="CC26:CN26"/>
    <mergeCell ref="CO26:CZ26"/>
    <mergeCell ref="DA26:DF26"/>
    <mergeCell ref="AE27:AG27"/>
    <mergeCell ref="DG28:DS28"/>
    <mergeCell ref="DT28:EF28"/>
    <mergeCell ref="DG26:DS26"/>
    <mergeCell ref="DT26:EF26"/>
    <mergeCell ref="DT27:EF27"/>
    <mergeCell ref="DA28:DF28"/>
    <mergeCell ref="H26:I26"/>
    <mergeCell ref="J26:R26"/>
    <mergeCell ref="S26:U26"/>
    <mergeCell ref="V26:AA26"/>
    <mergeCell ref="AB26:AD26"/>
    <mergeCell ref="AE26:AG26"/>
    <mergeCell ref="AH26:AJ26"/>
    <mergeCell ref="AK26:AN26"/>
    <mergeCell ref="AO26:BK26"/>
    <mergeCell ref="CO25:CZ25"/>
    <mergeCell ref="DA25:DF25"/>
    <mergeCell ref="DG25:DS25"/>
    <mergeCell ref="H25:I25"/>
    <mergeCell ref="J25:R25"/>
    <mergeCell ref="S25:U25"/>
    <mergeCell ref="AH29:AJ29"/>
    <mergeCell ref="AK29:AN29"/>
    <mergeCell ref="AK28:AN28"/>
    <mergeCell ref="DA27:DF27"/>
    <mergeCell ref="DG27:DS27"/>
    <mergeCell ref="H28:I28"/>
    <mergeCell ref="J28:R28"/>
    <mergeCell ref="S28:U28"/>
    <mergeCell ref="V28:AA28"/>
    <mergeCell ref="AB28:AD28"/>
    <mergeCell ref="AE28:AG28"/>
    <mergeCell ref="AH28:AJ28"/>
    <mergeCell ref="AH27:AJ27"/>
    <mergeCell ref="AK27:AN27"/>
    <mergeCell ref="AO27:BK27"/>
    <mergeCell ref="BL27:CB27"/>
    <mergeCell ref="CC27:CN27"/>
    <mergeCell ref="CO27:CZ27"/>
    <mergeCell ref="H27:I27"/>
    <mergeCell ref="J27:R27"/>
    <mergeCell ref="S27:U27"/>
    <mergeCell ref="V27:AA27"/>
    <mergeCell ref="AB27:AD27"/>
    <mergeCell ref="AO28:BK28"/>
    <mergeCell ref="BL28:CB28"/>
    <mergeCell ref="CC28:CN28"/>
    <mergeCell ref="CO28:CZ28"/>
    <mergeCell ref="BL30:CB30"/>
    <mergeCell ref="CC30:CN30"/>
    <mergeCell ref="CO30:CZ30"/>
    <mergeCell ref="DA30:DF30"/>
    <mergeCell ref="DG30:DS30"/>
    <mergeCell ref="DT30:EF30"/>
    <mergeCell ref="DT29:EF29"/>
    <mergeCell ref="H30:I30"/>
    <mergeCell ref="J30:R30"/>
    <mergeCell ref="S30:U30"/>
    <mergeCell ref="V30:AA30"/>
    <mergeCell ref="AB30:AD30"/>
    <mergeCell ref="AE30:AG30"/>
    <mergeCell ref="AH30:AJ30"/>
    <mergeCell ref="AK30:AN30"/>
    <mergeCell ref="AO30:BK30"/>
    <mergeCell ref="AO29:BK29"/>
    <mergeCell ref="BL29:CB29"/>
    <mergeCell ref="CC29:CN29"/>
    <mergeCell ref="CO29:CZ29"/>
    <mergeCell ref="DA29:DF29"/>
    <mergeCell ref="DG29:DS29"/>
    <mergeCell ref="H29:I29"/>
    <mergeCell ref="J29:R29"/>
    <mergeCell ref="S29:U29"/>
    <mergeCell ref="V29:AA29"/>
    <mergeCell ref="AB29:AD29"/>
    <mergeCell ref="AE29:AG29"/>
    <mergeCell ref="CO31:CZ31"/>
    <mergeCell ref="DA31:DF31"/>
    <mergeCell ref="DG31:DS31"/>
    <mergeCell ref="DT31:EF31"/>
    <mergeCell ref="A32:G45"/>
    <mergeCell ref="H32:I32"/>
    <mergeCell ref="J32:R32"/>
    <mergeCell ref="S32:U32"/>
    <mergeCell ref="V32:AA32"/>
    <mergeCell ref="AB32:AD32"/>
    <mergeCell ref="AE31:AG31"/>
    <mergeCell ref="AH31:AJ31"/>
    <mergeCell ref="AK31:AN31"/>
    <mergeCell ref="AO31:BK31"/>
    <mergeCell ref="BL31:CB31"/>
    <mergeCell ref="CC31:CN31"/>
    <mergeCell ref="A31:G31"/>
    <mergeCell ref="H31:I31"/>
    <mergeCell ref="J31:R31"/>
    <mergeCell ref="S31:U31"/>
    <mergeCell ref="V31:AA31"/>
    <mergeCell ref="AB31:AD31"/>
    <mergeCell ref="CO32:CZ32"/>
    <mergeCell ref="DA32:DF32"/>
    <mergeCell ref="AH33:AJ33"/>
    <mergeCell ref="AK33:AN33"/>
    <mergeCell ref="DG32:DS32"/>
    <mergeCell ref="DT32:EF32"/>
    <mergeCell ref="H33:I33"/>
    <mergeCell ref="J33:R33"/>
    <mergeCell ref="S33:U33"/>
    <mergeCell ref="V33:AA33"/>
    <mergeCell ref="AB33:AD33"/>
    <mergeCell ref="AE33:AG33"/>
    <mergeCell ref="AE32:AG32"/>
    <mergeCell ref="AH32:AJ32"/>
    <mergeCell ref="AK32:AN32"/>
    <mergeCell ref="AO32:BK32"/>
    <mergeCell ref="BL32:CB32"/>
    <mergeCell ref="CC32:CN32"/>
    <mergeCell ref="DA33:DF33"/>
    <mergeCell ref="DG33:DS33"/>
    <mergeCell ref="DT33:EF33"/>
    <mergeCell ref="AO33:BK33"/>
    <mergeCell ref="BL33:CB33"/>
    <mergeCell ref="CC33:CN33"/>
    <mergeCell ref="CO33:CZ33"/>
    <mergeCell ref="DG34:DS34"/>
    <mergeCell ref="DT34:EF34"/>
    <mergeCell ref="H35:I35"/>
    <mergeCell ref="J35:R35"/>
    <mergeCell ref="S35:U35"/>
    <mergeCell ref="V35:AA35"/>
    <mergeCell ref="AB35:AD35"/>
    <mergeCell ref="AE35:AG35"/>
    <mergeCell ref="AH35:AJ35"/>
    <mergeCell ref="AK35:AN35"/>
    <mergeCell ref="AK34:AN34"/>
    <mergeCell ref="AO34:BK34"/>
    <mergeCell ref="BL34:CB34"/>
    <mergeCell ref="CC34:CN34"/>
    <mergeCell ref="CO34:CZ34"/>
    <mergeCell ref="DA34:DF34"/>
    <mergeCell ref="H34:I34"/>
    <mergeCell ref="J34:R34"/>
    <mergeCell ref="S34:U34"/>
    <mergeCell ref="V34:AA34"/>
    <mergeCell ref="AB34:AD34"/>
    <mergeCell ref="AE34:AG34"/>
    <mergeCell ref="AH34:AJ34"/>
    <mergeCell ref="BL36:CB36"/>
    <mergeCell ref="CC36:CN36"/>
    <mergeCell ref="CO36:CZ36"/>
    <mergeCell ref="DA36:DF36"/>
    <mergeCell ref="DG36:DS36"/>
    <mergeCell ref="DT36:EF36"/>
    <mergeCell ref="DT35:EF35"/>
    <mergeCell ref="AO35:BK35"/>
    <mergeCell ref="BL35:CB35"/>
    <mergeCell ref="CC35:CN35"/>
    <mergeCell ref="CO35:CZ35"/>
    <mergeCell ref="DA35:DF35"/>
    <mergeCell ref="DG35:DS35"/>
    <mergeCell ref="H36:I36"/>
    <mergeCell ref="J36:R36"/>
    <mergeCell ref="S36:U36"/>
    <mergeCell ref="V36:AA36"/>
    <mergeCell ref="AB36:AD36"/>
    <mergeCell ref="AE36:AG36"/>
    <mergeCell ref="AH36:AJ36"/>
    <mergeCell ref="AK36:AN36"/>
    <mergeCell ref="AO36:BK36"/>
    <mergeCell ref="H38:I38"/>
    <mergeCell ref="J38:R38"/>
    <mergeCell ref="S38:U38"/>
    <mergeCell ref="V38:AA38"/>
    <mergeCell ref="AB38:AD38"/>
    <mergeCell ref="AE38:AG38"/>
    <mergeCell ref="AH38:AJ38"/>
    <mergeCell ref="AH37:AJ37"/>
    <mergeCell ref="AK37:AN37"/>
    <mergeCell ref="H37:I37"/>
    <mergeCell ref="J37:R37"/>
    <mergeCell ref="S37:U37"/>
    <mergeCell ref="V37:AA37"/>
    <mergeCell ref="AB37:AD37"/>
    <mergeCell ref="AE37:AG37"/>
    <mergeCell ref="V39:AA39"/>
    <mergeCell ref="AB39:AD39"/>
    <mergeCell ref="AE39:AG39"/>
    <mergeCell ref="AH39:AJ39"/>
    <mergeCell ref="AK39:AN39"/>
    <mergeCell ref="AK38:AN38"/>
    <mergeCell ref="DA37:DF37"/>
    <mergeCell ref="DG37:DS37"/>
    <mergeCell ref="DT37:EF37"/>
    <mergeCell ref="AO37:BK37"/>
    <mergeCell ref="BL37:CB37"/>
    <mergeCell ref="CC37:CN37"/>
    <mergeCell ref="CO37:CZ37"/>
    <mergeCell ref="DG38:DS38"/>
    <mergeCell ref="DT38:EF38"/>
    <mergeCell ref="AO38:BK38"/>
    <mergeCell ref="BL38:CB38"/>
    <mergeCell ref="CC38:CN38"/>
    <mergeCell ref="CO38:CZ38"/>
    <mergeCell ref="DA38:DF38"/>
    <mergeCell ref="DT39:EF39"/>
    <mergeCell ref="AO39:BK39"/>
    <mergeCell ref="BL39:CB39"/>
    <mergeCell ref="CC39:CN39"/>
    <mergeCell ref="BL40:CB40"/>
    <mergeCell ref="CC40:CN40"/>
    <mergeCell ref="CO40:CZ40"/>
    <mergeCell ref="DA40:DF40"/>
    <mergeCell ref="AE41:AG41"/>
    <mergeCell ref="DG42:DS42"/>
    <mergeCell ref="DT42:EF42"/>
    <mergeCell ref="DG40:DS40"/>
    <mergeCell ref="DT40:EF40"/>
    <mergeCell ref="DT41:EF41"/>
    <mergeCell ref="DA42:DF42"/>
    <mergeCell ref="H40:I40"/>
    <mergeCell ref="J40:R40"/>
    <mergeCell ref="S40:U40"/>
    <mergeCell ref="V40:AA40"/>
    <mergeCell ref="AB40:AD40"/>
    <mergeCell ref="AE40:AG40"/>
    <mergeCell ref="AH40:AJ40"/>
    <mergeCell ref="AK40:AN40"/>
    <mergeCell ref="AO40:BK40"/>
    <mergeCell ref="CO39:CZ39"/>
    <mergeCell ref="DA39:DF39"/>
    <mergeCell ref="DG39:DS39"/>
    <mergeCell ref="H39:I39"/>
    <mergeCell ref="J39:R39"/>
    <mergeCell ref="S39:U39"/>
    <mergeCell ref="AH43:AJ43"/>
    <mergeCell ref="AK43:AN43"/>
    <mergeCell ref="AK42:AN42"/>
    <mergeCell ref="DA41:DF41"/>
    <mergeCell ref="DG41:DS41"/>
    <mergeCell ref="H42:I42"/>
    <mergeCell ref="J42:R42"/>
    <mergeCell ref="S42:U42"/>
    <mergeCell ref="V42:AA42"/>
    <mergeCell ref="AB42:AD42"/>
    <mergeCell ref="AE42:AG42"/>
    <mergeCell ref="AH42:AJ42"/>
    <mergeCell ref="AH41:AJ41"/>
    <mergeCell ref="AK41:AN41"/>
    <mergeCell ref="AO41:BK41"/>
    <mergeCell ref="BL41:CB41"/>
    <mergeCell ref="CC41:CN41"/>
    <mergeCell ref="CO41:CZ41"/>
    <mergeCell ref="H41:I41"/>
    <mergeCell ref="J41:R41"/>
    <mergeCell ref="S41:U41"/>
    <mergeCell ref="V41:AA41"/>
    <mergeCell ref="AB41:AD41"/>
    <mergeCell ref="AO42:BK42"/>
    <mergeCell ref="BL42:CB42"/>
    <mergeCell ref="CC42:CN42"/>
    <mergeCell ref="CO42:CZ42"/>
    <mergeCell ref="BL44:CB44"/>
    <mergeCell ref="CC44:CN44"/>
    <mergeCell ref="CO44:CZ44"/>
    <mergeCell ref="DA44:DF44"/>
    <mergeCell ref="DG44:DS44"/>
    <mergeCell ref="DT44:EF44"/>
    <mergeCell ref="DT43:EF43"/>
    <mergeCell ref="H44:I44"/>
    <mergeCell ref="J44:R44"/>
    <mergeCell ref="S44:U44"/>
    <mergeCell ref="V44:AA44"/>
    <mergeCell ref="AB44:AD44"/>
    <mergeCell ref="AE44:AG44"/>
    <mergeCell ref="AH44:AJ44"/>
    <mergeCell ref="AK44:AN44"/>
    <mergeCell ref="AO44:BK44"/>
    <mergeCell ref="AO43:BK43"/>
    <mergeCell ref="BL43:CB43"/>
    <mergeCell ref="CC43:CN43"/>
    <mergeCell ref="CO43:CZ43"/>
    <mergeCell ref="DA43:DF43"/>
    <mergeCell ref="DG43:DS43"/>
    <mergeCell ref="H43:I43"/>
    <mergeCell ref="J43:R43"/>
    <mergeCell ref="S43:U43"/>
    <mergeCell ref="V43:AA43"/>
    <mergeCell ref="AB43:AD43"/>
    <mergeCell ref="AE43:AG43"/>
    <mergeCell ref="DA45:DF45"/>
    <mergeCell ref="DG45:DS45"/>
    <mergeCell ref="DT45:EF45"/>
    <mergeCell ref="A46:G52"/>
    <mergeCell ref="H46:I46"/>
    <mergeCell ref="J46:R46"/>
    <mergeCell ref="S46:U46"/>
    <mergeCell ref="V46:AA46"/>
    <mergeCell ref="AB46:AD46"/>
    <mergeCell ref="AE46:AG46"/>
    <mergeCell ref="AH45:AJ45"/>
    <mergeCell ref="AK45:AN45"/>
    <mergeCell ref="AO45:BK45"/>
    <mergeCell ref="BL45:CB45"/>
    <mergeCell ref="CC45:CN45"/>
    <mergeCell ref="CO45:CZ45"/>
    <mergeCell ref="H45:I45"/>
    <mergeCell ref="J45:R45"/>
    <mergeCell ref="S45:U45"/>
    <mergeCell ref="V45:AA45"/>
    <mergeCell ref="AB45:AD45"/>
    <mergeCell ref="AE45:AG45"/>
    <mergeCell ref="DA46:DF46"/>
    <mergeCell ref="DG46:DS46"/>
    <mergeCell ref="AH48:AJ48"/>
    <mergeCell ref="AK48:AN48"/>
    <mergeCell ref="AK47:AN47"/>
    <mergeCell ref="DT46:EF46"/>
    <mergeCell ref="H47:I47"/>
    <mergeCell ref="J47:R47"/>
    <mergeCell ref="S47:U47"/>
    <mergeCell ref="V47:AA47"/>
    <mergeCell ref="AB47:AD47"/>
    <mergeCell ref="AE47:AG47"/>
    <mergeCell ref="AH47:AJ47"/>
    <mergeCell ref="AH46:AJ46"/>
    <mergeCell ref="AK46:AN46"/>
    <mergeCell ref="AO46:BK46"/>
    <mergeCell ref="BL46:CB46"/>
    <mergeCell ref="CC46:CN46"/>
    <mergeCell ref="CO46:CZ46"/>
    <mergeCell ref="DG47:DS47"/>
    <mergeCell ref="DT47:EF47"/>
    <mergeCell ref="AO47:BK47"/>
    <mergeCell ref="BL47:CB47"/>
    <mergeCell ref="CC47:CN47"/>
    <mergeCell ref="CO47:CZ47"/>
    <mergeCell ref="DA47:DF47"/>
    <mergeCell ref="DG49:DS49"/>
    <mergeCell ref="DT49:EF49"/>
    <mergeCell ref="DT48:EF48"/>
    <mergeCell ref="H49:I49"/>
    <mergeCell ref="J49:R49"/>
    <mergeCell ref="S49:U49"/>
    <mergeCell ref="V49:AA49"/>
    <mergeCell ref="AB49:AD49"/>
    <mergeCell ref="AE49:AG49"/>
    <mergeCell ref="AH49:AJ49"/>
    <mergeCell ref="AK49:AN49"/>
    <mergeCell ref="AO49:BK49"/>
    <mergeCell ref="AO48:BK48"/>
    <mergeCell ref="BL48:CB48"/>
    <mergeCell ref="CC48:CN48"/>
    <mergeCell ref="CO48:CZ48"/>
    <mergeCell ref="DA48:DF48"/>
    <mergeCell ref="DG48:DS48"/>
    <mergeCell ref="H48:I48"/>
    <mergeCell ref="J48:R48"/>
    <mergeCell ref="S48:U48"/>
    <mergeCell ref="V48:AA48"/>
    <mergeCell ref="AB48:AD48"/>
    <mergeCell ref="AE48:AG48"/>
    <mergeCell ref="AH50:AJ50"/>
    <mergeCell ref="AK50:AN50"/>
    <mergeCell ref="AO50:BK50"/>
    <mergeCell ref="BL50:CB50"/>
    <mergeCell ref="CC50:CN50"/>
    <mergeCell ref="CO50:CZ50"/>
    <mergeCell ref="H50:I50"/>
    <mergeCell ref="J50:R50"/>
    <mergeCell ref="S50:U50"/>
    <mergeCell ref="V50:AA50"/>
    <mergeCell ref="AB50:AD50"/>
    <mergeCell ref="AE50:AG50"/>
    <mergeCell ref="H52:I52"/>
    <mergeCell ref="J52:R52"/>
    <mergeCell ref="S52:U52"/>
    <mergeCell ref="V52:AA52"/>
    <mergeCell ref="AB52:AD52"/>
    <mergeCell ref="AE52:AG52"/>
    <mergeCell ref="AH52:AJ52"/>
    <mergeCell ref="AK52:AN52"/>
    <mergeCell ref="AK51:AN51"/>
    <mergeCell ref="H51:I51"/>
    <mergeCell ref="J51:R51"/>
    <mergeCell ref="S51:U51"/>
    <mergeCell ref="V51:AA51"/>
    <mergeCell ref="AB51:AD51"/>
    <mergeCell ref="AE51:AG51"/>
    <mergeCell ref="AH51:AJ51"/>
    <mergeCell ref="DT52:EF52"/>
    <mergeCell ref="BB1:BI1"/>
    <mergeCell ref="BB2:BI2"/>
    <mergeCell ref="BB3:BI3"/>
    <mergeCell ref="AO52:BK52"/>
    <mergeCell ref="BL52:CB52"/>
    <mergeCell ref="CC52:CN52"/>
    <mergeCell ref="CO52:CZ52"/>
    <mergeCell ref="DA52:DF52"/>
    <mergeCell ref="DG52:DS52"/>
    <mergeCell ref="DG51:DS51"/>
    <mergeCell ref="DT51:EF51"/>
    <mergeCell ref="AO51:BK51"/>
    <mergeCell ref="BL51:CB51"/>
    <mergeCell ref="CC51:CN51"/>
    <mergeCell ref="CO51:CZ51"/>
    <mergeCell ref="DA51:DF51"/>
    <mergeCell ref="DA50:DF50"/>
    <mergeCell ref="DG50:DS50"/>
    <mergeCell ref="DT50:EF50"/>
    <mergeCell ref="BL49:CB49"/>
    <mergeCell ref="CC49:CN49"/>
    <mergeCell ref="CO49:CZ49"/>
    <mergeCell ref="DA49:DF49"/>
  </mergeCells>
  <phoneticPr fontId="2"/>
  <dataValidations count="4">
    <dataValidation type="list" allowBlank="1" showInputMessage="1" showErrorMessage="1" sqref="AE8:AG52" xr:uid="{A267838C-8EA3-4348-8987-E9B3DD6C7001}">
      <formula1>縦位置</formula1>
    </dataValidation>
    <dataValidation type="list" allowBlank="1" showInputMessage="1" showErrorMessage="1" sqref="AB8:AD52" xr:uid="{5632503E-9F06-4FD9-BAB9-532302DB35CD}">
      <formula1>横位置</formula1>
    </dataValidation>
    <dataValidation type="list" allowBlank="1" showInputMessage="1" showErrorMessage="1" sqref="DA8:DF52" xr:uid="{406EF784-C32E-40D9-B134-129E10ADC932}">
      <formula1>折り返して全体を表示する</formula1>
    </dataValidation>
    <dataValidation type="list" allowBlank="1" showInputMessage="1" showErrorMessage="1" sqref="S8:U8" xr:uid="{0A89A789-123B-4B8C-AEAF-F4D028CDE481}">
      <formula1>書式</formula1>
    </dataValidation>
  </dataValidations>
  <pageMargins left="0.23622047244094491" right="0.23622047244094491" top="0.74803149606299213" bottom="0.74803149606299213" header="0.31496062992125984" footer="0.31496062992125984"/>
  <pageSetup paperSize="9" scale="63" orientation="landscape" r:id="rId1"/>
  <colBreaks count="1" manualBreakCount="1">
    <brk id="80" max="1048575" man="1"/>
  </colBreaks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B154D5-2841-4175-B78A-F422ACBE0BE8}">
  <sheetPr>
    <tabColor theme="2" tint="-0.249977111117893"/>
  </sheetPr>
  <dimension ref="A1:CC38"/>
  <sheetViews>
    <sheetView showGridLines="0" zoomScaleNormal="100" workbookViewId="0">
      <pane ySplit="8" topLeftCell="A9" activePane="bottomLeft" state="frozen"/>
      <selection activeCell="M9" sqref="M9:V12"/>
      <selection pane="bottomLeft" activeCell="M9" sqref="M9:V12"/>
    </sheetView>
  </sheetViews>
  <sheetFormatPr defaultColWidth="2.33203125" defaultRowHeight="15" customHeight="1"/>
  <cols>
    <col min="1" max="79" width="2.33203125" style="92"/>
    <col min="80" max="80" width="3.08203125" style="93" bestFit="1" customWidth="1"/>
    <col min="81" max="81" width="2.33203125" style="93"/>
    <col min="82" max="16384" width="2.33203125" style="92"/>
  </cols>
  <sheetData>
    <row r="1" spans="1:81" s="1" customFormat="1" ht="15" customHeight="1" thickBot="1">
      <c r="A1" s="245" t="s">
        <v>32</v>
      </c>
      <c r="B1" s="246"/>
      <c r="C1" s="246"/>
      <c r="D1" s="246"/>
      <c r="E1" s="247"/>
      <c r="F1" s="254" t="str">
        <f>変更履歴!F1</f>
        <v>システム名</v>
      </c>
      <c r="G1" s="255"/>
      <c r="H1" s="255"/>
      <c r="I1" s="255"/>
      <c r="J1" s="255"/>
      <c r="K1" s="255"/>
      <c r="L1" s="255"/>
      <c r="M1" s="255"/>
      <c r="N1" s="255"/>
      <c r="O1" s="255"/>
      <c r="P1" s="256"/>
      <c r="Q1" s="257" t="str">
        <f>変更履歴!Q1</f>
        <v>機能分類</v>
      </c>
      <c r="R1" s="258"/>
      <c r="S1" s="258"/>
      <c r="T1" s="258"/>
      <c r="U1" s="258"/>
      <c r="V1" s="259"/>
      <c r="W1" s="254" t="str">
        <f>変更履歴!W1</f>
        <v>機能ＩＤ</v>
      </c>
      <c r="X1" s="255"/>
      <c r="Y1" s="255"/>
      <c r="Z1" s="255"/>
      <c r="AA1" s="255"/>
      <c r="AB1" s="255"/>
      <c r="AC1" s="255"/>
      <c r="AD1" s="256"/>
      <c r="AE1" s="254" t="str">
        <f>変更履歴!AE1</f>
        <v>機能名称</v>
      </c>
      <c r="AF1" s="255"/>
      <c r="AG1" s="255"/>
      <c r="AH1" s="255"/>
      <c r="AI1" s="255"/>
      <c r="AJ1" s="255"/>
      <c r="AK1" s="255"/>
      <c r="AL1" s="255"/>
      <c r="AM1" s="255"/>
      <c r="AN1" s="255"/>
      <c r="AO1" s="255"/>
      <c r="AP1" s="255"/>
      <c r="AQ1" s="255"/>
      <c r="AR1" s="255"/>
      <c r="AS1" s="256"/>
      <c r="AT1" s="260" t="str">
        <f>変更履歴!AT1</f>
        <v>日付</v>
      </c>
      <c r="AU1" s="261"/>
      <c r="AV1" s="261"/>
      <c r="AW1" s="261"/>
      <c r="AX1" s="261"/>
      <c r="AY1" s="261"/>
      <c r="AZ1" s="261"/>
      <c r="BA1" s="262"/>
      <c r="BB1" s="217" t="str">
        <f>変更履歴!BB1</f>
        <v>更新者</v>
      </c>
      <c r="BC1" s="219"/>
      <c r="BD1" s="219"/>
      <c r="BE1" s="219"/>
      <c r="BF1" s="219"/>
      <c r="BG1" s="219"/>
      <c r="BH1" s="219"/>
      <c r="BI1" s="220"/>
    </row>
    <row r="2" spans="1:81" s="1" customFormat="1" ht="15" customHeight="1">
      <c r="A2" s="248"/>
      <c r="B2" s="249"/>
      <c r="C2" s="249"/>
      <c r="D2" s="249"/>
      <c r="E2" s="250"/>
      <c r="F2" s="221" t="str">
        <f>変更履歴!F2</f>
        <v>Dynamics365 for Finance and Operations</v>
      </c>
      <c r="G2" s="222"/>
      <c r="H2" s="222"/>
      <c r="I2" s="222"/>
      <c r="J2" s="222"/>
      <c r="K2" s="222"/>
      <c r="L2" s="222"/>
      <c r="M2" s="222"/>
      <c r="N2" s="222"/>
      <c r="O2" s="222"/>
      <c r="P2" s="223"/>
      <c r="Q2" s="221" t="str">
        <f>変更履歴!Q2</f>
        <v>債権・債務</v>
      </c>
      <c r="R2" s="222"/>
      <c r="S2" s="222"/>
      <c r="T2" s="222"/>
      <c r="U2" s="222"/>
      <c r="V2" s="223"/>
      <c r="W2" s="227" t="str">
        <f>変更履歴!W2</f>
        <v>FO-006</v>
      </c>
      <c r="X2" s="228"/>
      <c r="Y2" s="228"/>
      <c r="Z2" s="228"/>
      <c r="AA2" s="228"/>
      <c r="AB2" s="228"/>
      <c r="AC2" s="228"/>
      <c r="AD2" s="229"/>
      <c r="AE2" s="221" t="str">
        <f>変更履歴!AE2</f>
        <v>支払方法・支払サイトマスタ画面</v>
      </c>
      <c r="AF2" s="222"/>
      <c r="AG2" s="222"/>
      <c r="AH2" s="222"/>
      <c r="AI2" s="222"/>
      <c r="AJ2" s="222"/>
      <c r="AK2" s="222"/>
      <c r="AL2" s="222"/>
      <c r="AM2" s="222"/>
      <c r="AN2" s="222"/>
      <c r="AO2" s="222"/>
      <c r="AP2" s="222"/>
      <c r="AQ2" s="222"/>
      <c r="AR2" s="222"/>
      <c r="AS2" s="223"/>
      <c r="AT2" s="233" t="str">
        <f>変更履歴!AT2</f>
        <v>作成</v>
      </c>
      <c r="AU2" s="234"/>
      <c r="AV2" s="235">
        <f>変更履歴!AV2</f>
        <v>45448</v>
      </c>
      <c r="AW2" s="235"/>
      <c r="AX2" s="235"/>
      <c r="AY2" s="235"/>
      <c r="AZ2" s="235"/>
      <c r="BA2" s="236"/>
      <c r="BB2" s="237" t="str">
        <f>変更履歴!BB2</f>
        <v>JBS井田</v>
      </c>
      <c r="BC2" s="239"/>
      <c r="BD2" s="239"/>
      <c r="BE2" s="239"/>
      <c r="BF2" s="239"/>
      <c r="BG2" s="239"/>
      <c r="BH2" s="239"/>
      <c r="BI2" s="240"/>
    </row>
    <row r="3" spans="1:81" s="1" customFormat="1" ht="15" customHeight="1" thickBot="1">
      <c r="A3" s="251"/>
      <c r="B3" s="252"/>
      <c r="C3" s="252"/>
      <c r="D3" s="252"/>
      <c r="E3" s="253"/>
      <c r="F3" s="224"/>
      <c r="G3" s="225"/>
      <c r="H3" s="225"/>
      <c r="I3" s="225"/>
      <c r="J3" s="225"/>
      <c r="K3" s="225"/>
      <c r="L3" s="225"/>
      <c r="M3" s="225"/>
      <c r="N3" s="225"/>
      <c r="O3" s="225"/>
      <c r="P3" s="226"/>
      <c r="Q3" s="224"/>
      <c r="R3" s="225"/>
      <c r="S3" s="225"/>
      <c r="T3" s="225"/>
      <c r="U3" s="225"/>
      <c r="V3" s="226"/>
      <c r="W3" s="230"/>
      <c r="X3" s="231"/>
      <c r="Y3" s="231"/>
      <c r="Z3" s="231"/>
      <c r="AA3" s="231"/>
      <c r="AB3" s="231"/>
      <c r="AC3" s="231"/>
      <c r="AD3" s="232"/>
      <c r="AE3" s="224"/>
      <c r="AF3" s="225"/>
      <c r="AG3" s="225"/>
      <c r="AH3" s="225"/>
      <c r="AI3" s="225"/>
      <c r="AJ3" s="225"/>
      <c r="AK3" s="225"/>
      <c r="AL3" s="225"/>
      <c r="AM3" s="225"/>
      <c r="AN3" s="225"/>
      <c r="AO3" s="225"/>
      <c r="AP3" s="225"/>
      <c r="AQ3" s="225"/>
      <c r="AR3" s="225"/>
      <c r="AS3" s="226"/>
      <c r="AT3" s="241" t="str">
        <f>変更履歴!AT3</f>
        <v>更新</v>
      </c>
      <c r="AU3" s="242"/>
      <c r="AV3" s="290">
        <f ca="1">変更履歴!AV3</f>
        <v>45589</v>
      </c>
      <c r="AW3" s="291"/>
      <c r="AX3" s="291"/>
      <c r="AY3" s="291"/>
      <c r="AZ3" s="291"/>
      <c r="BA3" s="292"/>
      <c r="BB3" s="294" t="str">
        <f ca="1">変更履歴!BB3</f>
        <v>JBS井田</v>
      </c>
      <c r="BC3" s="295"/>
      <c r="BD3" s="295"/>
      <c r="BE3" s="295"/>
      <c r="BF3" s="295"/>
      <c r="BG3" s="295"/>
      <c r="BH3" s="295"/>
      <c r="BI3" s="296"/>
    </row>
    <row r="4" spans="1:81" s="113" customFormat="1" ht="15" customHeight="1" thickBot="1">
      <c r="CB4" s="119"/>
      <c r="CC4" s="119"/>
    </row>
    <row r="5" spans="1:81" s="113" customFormat="1" ht="15" customHeight="1">
      <c r="A5" s="131" t="s">
        <v>173</v>
      </c>
      <c r="B5" s="130"/>
      <c r="C5" s="130"/>
      <c r="D5" s="130"/>
      <c r="E5" s="130"/>
      <c r="F5" s="130"/>
      <c r="G5" s="130"/>
      <c r="H5" s="130"/>
      <c r="I5" s="129" t="s">
        <v>174</v>
      </c>
      <c r="J5" s="128"/>
      <c r="K5" s="128"/>
      <c r="L5" s="128"/>
      <c r="M5" s="128"/>
      <c r="N5" s="128"/>
      <c r="O5" s="128"/>
      <c r="P5" s="128"/>
      <c r="Q5" s="128"/>
      <c r="R5" s="128"/>
      <c r="S5" s="128"/>
      <c r="T5" s="128"/>
      <c r="U5" s="128"/>
      <c r="V5" s="128"/>
      <c r="W5" s="128"/>
      <c r="X5" s="128"/>
      <c r="Y5" s="128"/>
      <c r="Z5" s="128"/>
      <c r="AA5" s="128"/>
      <c r="AB5" s="128"/>
      <c r="AC5" s="128"/>
      <c r="AD5" s="128"/>
      <c r="AE5" s="128"/>
      <c r="AF5" s="128"/>
      <c r="AG5" s="128"/>
      <c r="AH5" s="128"/>
      <c r="AI5" s="128"/>
      <c r="AJ5" s="128"/>
      <c r="AK5" s="128"/>
      <c r="AL5" s="128"/>
      <c r="AM5" s="128"/>
      <c r="AN5" s="128"/>
      <c r="AO5" s="128"/>
      <c r="AP5" s="128"/>
      <c r="AQ5" s="128"/>
      <c r="AR5" s="128"/>
      <c r="AS5" s="127"/>
      <c r="AX5" s="119"/>
      <c r="AY5" s="119"/>
    </row>
    <row r="6" spans="1:81" s="113" customFormat="1" ht="15" customHeight="1" thickBot="1">
      <c r="A6" s="126" t="s">
        <v>175</v>
      </c>
      <c r="B6" s="125"/>
      <c r="C6" s="125"/>
      <c r="D6" s="125"/>
      <c r="E6" s="125"/>
      <c r="F6" s="125"/>
      <c r="G6" s="125"/>
      <c r="H6" s="125"/>
      <c r="I6" s="124" t="s">
        <v>176</v>
      </c>
      <c r="J6" s="123"/>
      <c r="K6" s="123"/>
      <c r="L6" s="123"/>
      <c r="M6" s="123"/>
      <c r="N6" s="123"/>
      <c r="O6" s="123"/>
      <c r="P6" s="123"/>
      <c r="Q6" s="123"/>
      <c r="R6" s="123"/>
      <c r="S6" s="123"/>
      <c r="T6" s="123"/>
      <c r="U6" s="123"/>
      <c r="V6" s="123"/>
      <c r="W6" s="123"/>
      <c r="X6" s="123"/>
      <c r="Y6" s="123"/>
      <c r="Z6" s="123"/>
      <c r="AA6" s="123"/>
      <c r="AB6" s="123"/>
      <c r="AC6" s="123"/>
      <c r="AD6" s="123"/>
      <c r="AE6" s="123"/>
      <c r="AF6" s="123"/>
      <c r="AG6" s="123"/>
      <c r="AH6" s="123"/>
      <c r="AI6" s="123"/>
      <c r="AJ6" s="123"/>
      <c r="AK6" s="123"/>
      <c r="AL6" s="123"/>
      <c r="AM6" s="123"/>
      <c r="AN6" s="123"/>
      <c r="AO6" s="123"/>
      <c r="AP6" s="123"/>
      <c r="AQ6" s="123"/>
      <c r="AR6" s="123"/>
      <c r="AS6" s="122"/>
      <c r="AT6" s="121"/>
      <c r="AU6" s="120"/>
      <c r="AV6" s="120"/>
      <c r="AW6" s="120"/>
      <c r="AX6" s="119"/>
      <c r="AY6" s="119"/>
    </row>
    <row r="7" spans="1:81" s="113" customFormat="1" ht="15" customHeight="1" thickBot="1">
      <c r="A7" s="118" t="s">
        <v>177</v>
      </c>
      <c r="B7" s="117"/>
      <c r="C7" s="117"/>
      <c r="D7" s="117"/>
      <c r="E7" s="117"/>
      <c r="F7" s="117"/>
      <c r="G7" s="117"/>
      <c r="H7" s="117"/>
      <c r="I7" s="116" t="s">
        <v>178</v>
      </c>
      <c r="J7" s="115"/>
      <c r="K7" s="115"/>
      <c r="L7" s="115"/>
      <c r="M7" s="115"/>
      <c r="N7" s="115"/>
      <c r="O7" s="115"/>
      <c r="P7" s="115"/>
      <c r="Q7" s="115"/>
      <c r="R7" s="115"/>
      <c r="S7" s="115"/>
      <c r="T7" s="115"/>
      <c r="U7" s="115"/>
      <c r="V7" s="115"/>
      <c r="W7" s="115"/>
      <c r="X7" s="115"/>
      <c r="Y7" s="115"/>
      <c r="Z7" s="115"/>
      <c r="AA7" s="115"/>
      <c r="AB7" s="115"/>
      <c r="AC7" s="115"/>
      <c r="AD7" s="115"/>
      <c r="AE7" s="115"/>
      <c r="AF7" s="115"/>
      <c r="AG7" s="115"/>
      <c r="AH7" s="115"/>
      <c r="AI7" s="115"/>
      <c r="AJ7" s="115"/>
      <c r="AK7" s="115"/>
      <c r="AL7" s="115"/>
      <c r="AM7" s="115"/>
      <c r="AN7" s="115"/>
      <c r="AO7" s="115"/>
      <c r="AP7" s="115"/>
      <c r="AQ7" s="115"/>
      <c r="AR7" s="115"/>
      <c r="AS7" s="114"/>
      <c r="AT7" s="492" t="s">
        <v>179</v>
      </c>
      <c r="AU7" s="492"/>
      <c r="AV7" s="492"/>
      <c r="AW7" s="492"/>
      <c r="AX7" s="492"/>
      <c r="AY7" s="492"/>
      <c r="AZ7" s="492"/>
      <c r="BA7" s="492"/>
      <c r="BB7" s="492"/>
      <c r="BC7" s="492"/>
      <c r="BD7" s="492"/>
      <c r="BE7" s="492"/>
      <c r="BF7" s="492"/>
      <c r="BG7" s="492"/>
      <c r="BH7" s="492"/>
      <c r="BI7" s="493"/>
    </row>
    <row r="8" spans="1:81" s="94" customFormat="1" ht="15" customHeight="1" thickBot="1">
      <c r="A8" s="494" t="s">
        <v>52</v>
      </c>
      <c r="B8" s="495"/>
      <c r="C8" s="486" t="s">
        <v>180</v>
      </c>
      <c r="D8" s="487"/>
      <c r="E8" s="487"/>
      <c r="F8" s="487"/>
      <c r="G8" s="487"/>
      <c r="H8" s="487"/>
      <c r="I8" s="487"/>
      <c r="J8" s="487"/>
      <c r="K8" s="487"/>
      <c r="L8" s="487"/>
      <c r="M8" s="487"/>
      <c r="N8" s="487"/>
      <c r="O8" s="487"/>
      <c r="P8" s="488"/>
      <c r="Q8" s="486" t="s">
        <v>181</v>
      </c>
      <c r="R8" s="487"/>
      <c r="S8" s="487"/>
      <c r="T8" s="487"/>
      <c r="U8" s="487"/>
      <c r="V8" s="487"/>
      <c r="W8" s="487"/>
      <c r="X8" s="487"/>
      <c r="Y8" s="487"/>
      <c r="Z8" s="487"/>
      <c r="AA8" s="487"/>
      <c r="AB8" s="487"/>
      <c r="AC8" s="487"/>
      <c r="AD8" s="487"/>
      <c r="AE8" s="487"/>
      <c r="AF8" s="487"/>
      <c r="AG8" s="487"/>
      <c r="AH8" s="487"/>
      <c r="AI8" s="487"/>
      <c r="AJ8" s="487"/>
      <c r="AK8" s="487"/>
      <c r="AL8" s="487"/>
      <c r="AM8" s="487"/>
      <c r="AN8" s="487"/>
      <c r="AO8" s="487"/>
      <c r="AP8" s="487"/>
      <c r="AQ8" s="487"/>
      <c r="AR8" s="487"/>
      <c r="AS8" s="488"/>
      <c r="AT8" s="486" t="s">
        <v>182</v>
      </c>
      <c r="AU8" s="487"/>
      <c r="AV8" s="487"/>
      <c r="AW8" s="488"/>
      <c r="AX8" s="487" t="s">
        <v>183</v>
      </c>
      <c r="AY8" s="487"/>
      <c r="AZ8" s="486" t="s">
        <v>57</v>
      </c>
      <c r="BA8" s="487"/>
      <c r="BB8" s="487"/>
      <c r="BC8" s="487"/>
      <c r="BD8" s="487"/>
      <c r="BE8" s="487"/>
      <c r="BF8" s="487"/>
      <c r="BG8" s="487"/>
      <c r="BH8" s="487"/>
      <c r="BI8" s="488"/>
    </row>
    <row r="9" spans="1:81" s="94" customFormat="1" ht="15" customHeight="1">
      <c r="A9" s="476">
        <f t="shared" ref="A9:A38" si="0">ROW()-8</f>
        <v>1</v>
      </c>
      <c r="B9" s="477"/>
      <c r="C9" s="112"/>
      <c r="D9" s="111"/>
      <c r="E9" s="111"/>
      <c r="F9" s="111"/>
      <c r="G9" s="111"/>
      <c r="H9" s="111"/>
      <c r="I9" s="111"/>
      <c r="J9" s="111"/>
      <c r="K9" s="111"/>
      <c r="L9" s="111"/>
      <c r="M9" s="111"/>
      <c r="N9" s="111"/>
      <c r="O9" s="111"/>
      <c r="P9" s="110"/>
      <c r="Q9" s="109"/>
      <c r="R9" s="108"/>
      <c r="S9" s="108"/>
      <c r="T9" s="108"/>
      <c r="U9" s="108"/>
      <c r="V9" s="108"/>
      <c r="W9" s="108"/>
      <c r="X9" s="108"/>
      <c r="Y9" s="108"/>
      <c r="Z9" s="108"/>
      <c r="AA9" s="108"/>
      <c r="AB9" s="108"/>
      <c r="AC9" s="108"/>
      <c r="AD9" s="108"/>
      <c r="AE9" s="108"/>
      <c r="AF9" s="108"/>
      <c r="AG9" s="108"/>
      <c r="AH9" s="108"/>
      <c r="AI9" s="108"/>
      <c r="AJ9" s="108"/>
      <c r="AK9" s="108"/>
      <c r="AL9" s="108"/>
      <c r="AM9" s="108"/>
      <c r="AN9" s="108"/>
      <c r="AO9" s="108"/>
      <c r="AP9" s="108"/>
      <c r="AQ9" s="108"/>
      <c r="AR9" s="108"/>
      <c r="AS9" s="108"/>
      <c r="AT9" s="496"/>
      <c r="AU9" s="497"/>
      <c r="AV9" s="497"/>
      <c r="AW9" s="498"/>
      <c r="AX9" s="499"/>
      <c r="AY9" s="500"/>
      <c r="AZ9" s="489"/>
      <c r="BA9" s="490"/>
      <c r="BB9" s="490"/>
      <c r="BC9" s="490"/>
      <c r="BD9" s="490"/>
      <c r="BE9" s="490"/>
      <c r="BF9" s="490"/>
      <c r="BG9" s="490"/>
      <c r="BH9" s="490"/>
      <c r="BI9" s="491"/>
      <c r="BL9" s="95"/>
    </row>
    <row r="10" spans="1:81" s="94" customFormat="1" ht="15" customHeight="1">
      <c r="A10" s="476">
        <f t="shared" si="0"/>
        <v>2</v>
      </c>
      <c r="B10" s="477"/>
      <c r="C10" s="107"/>
      <c r="D10" s="106"/>
      <c r="E10" s="106"/>
      <c r="F10" s="106"/>
      <c r="G10" s="106"/>
      <c r="H10" s="106"/>
      <c r="I10" s="106"/>
      <c r="J10" s="106"/>
      <c r="K10" s="106"/>
      <c r="L10" s="106"/>
      <c r="M10" s="106"/>
      <c r="N10" s="106"/>
      <c r="O10" s="106"/>
      <c r="P10" s="105"/>
      <c r="Q10" s="104"/>
      <c r="R10" s="102"/>
      <c r="S10" s="102"/>
      <c r="T10" s="102"/>
      <c r="U10" s="102"/>
      <c r="V10" s="102"/>
      <c r="W10" s="102"/>
      <c r="X10" s="102"/>
      <c r="Y10" s="103"/>
      <c r="Z10" s="102"/>
      <c r="AA10" s="102"/>
      <c r="AB10" s="102"/>
      <c r="AC10" s="103"/>
      <c r="AD10" s="102"/>
      <c r="AE10" s="102"/>
      <c r="AF10" s="102"/>
      <c r="AG10" s="102"/>
      <c r="AH10" s="102"/>
      <c r="AI10" s="102"/>
      <c r="AJ10" s="102"/>
      <c r="AK10" s="102"/>
      <c r="AL10" s="102"/>
      <c r="AM10" s="102"/>
      <c r="AN10" s="102"/>
      <c r="AO10" s="102"/>
      <c r="AP10" s="102"/>
      <c r="AQ10" s="102"/>
      <c r="AR10" s="102"/>
      <c r="AS10" s="102"/>
      <c r="AT10" s="483"/>
      <c r="AU10" s="484"/>
      <c r="AV10" s="484"/>
      <c r="AW10" s="485"/>
      <c r="AX10" s="478"/>
      <c r="AY10" s="479"/>
      <c r="AZ10" s="480"/>
      <c r="BA10" s="481"/>
      <c r="BB10" s="481"/>
      <c r="BC10" s="481"/>
      <c r="BD10" s="481"/>
      <c r="BE10" s="481"/>
      <c r="BF10" s="481"/>
      <c r="BG10" s="481"/>
      <c r="BH10" s="481"/>
      <c r="BI10" s="482"/>
      <c r="BL10" s="95"/>
    </row>
    <row r="11" spans="1:81" s="94" customFormat="1" ht="15" customHeight="1">
      <c r="A11" s="476">
        <f t="shared" si="0"/>
        <v>3</v>
      </c>
      <c r="B11" s="477"/>
      <c r="C11" s="107"/>
      <c r="D11" s="106"/>
      <c r="E11" s="106"/>
      <c r="F11" s="106"/>
      <c r="G11" s="106"/>
      <c r="H11" s="106"/>
      <c r="I11" s="106"/>
      <c r="J11" s="106"/>
      <c r="K11" s="106"/>
      <c r="L11" s="106"/>
      <c r="M11" s="106"/>
      <c r="N11" s="106"/>
      <c r="O11" s="106"/>
      <c r="P11" s="105"/>
      <c r="Q11" s="104"/>
      <c r="R11" s="102"/>
      <c r="S11" s="102"/>
      <c r="T11" s="102"/>
      <c r="U11" s="102"/>
      <c r="V11" s="102"/>
      <c r="W11" s="102"/>
      <c r="X11" s="102"/>
      <c r="Y11" s="103"/>
      <c r="Z11" s="102"/>
      <c r="AA11" s="102"/>
      <c r="AB11" s="102"/>
      <c r="AC11" s="103"/>
      <c r="AD11" s="102"/>
      <c r="AE11" s="102"/>
      <c r="AF11" s="102"/>
      <c r="AG11" s="102"/>
      <c r="AH11" s="102"/>
      <c r="AI11" s="102"/>
      <c r="AJ11" s="102"/>
      <c r="AK11" s="102"/>
      <c r="AL11" s="102"/>
      <c r="AM11" s="102"/>
      <c r="AN11" s="102"/>
      <c r="AO11" s="102"/>
      <c r="AP11" s="102"/>
      <c r="AQ11" s="102"/>
      <c r="AR11" s="102"/>
      <c r="AS11" s="102"/>
      <c r="AT11" s="483"/>
      <c r="AU11" s="484"/>
      <c r="AV11" s="484"/>
      <c r="AW11" s="485"/>
      <c r="AX11" s="478"/>
      <c r="AY11" s="479"/>
      <c r="AZ11" s="480"/>
      <c r="BA11" s="481"/>
      <c r="BB11" s="481"/>
      <c r="BC11" s="481"/>
      <c r="BD11" s="481"/>
      <c r="BE11" s="481"/>
      <c r="BF11" s="481"/>
      <c r="BG11" s="481"/>
      <c r="BH11" s="481"/>
      <c r="BI11" s="482"/>
      <c r="BL11" s="95"/>
    </row>
    <row r="12" spans="1:81" s="94" customFormat="1" ht="15" customHeight="1">
      <c r="A12" s="476">
        <f t="shared" si="0"/>
        <v>4</v>
      </c>
      <c r="B12" s="477"/>
      <c r="C12" s="107"/>
      <c r="D12" s="106"/>
      <c r="E12" s="106"/>
      <c r="F12" s="106"/>
      <c r="G12" s="106"/>
      <c r="H12" s="106"/>
      <c r="I12" s="106"/>
      <c r="J12" s="106"/>
      <c r="K12" s="106"/>
      <c r="L12" s="106"/>
      <c r="M12" s="106"/>
      <c r="N12" s="106"/>
      <c r="O12" s="106"/>
      <c r="P12" s="105"/>
      <c r="Q12" s="104"/>
      <c r="R12" s="102"/>
      <c r="S12" s="102"/>
      <c r="T12" s="102"/>
      <c r="U12" s="102"/>
      <c r="V12" s="102"/>
      <c r="W12" s="102"/>
      <c r="X12" s="102"/>
      <c r="Y12" s="103"/>
      <c r="Z12" s="102"/>
      <c r="AA12" s="102"/>
      <c r="AB12" s="102"/>
      <c r="AC12" s="103"/>
      <c r="AD12" s="102"/>
      <c r="AE12" s="102"/>
      <c r="AF12" s="102"/>
      <c r="AG12" s="102"/>
      <c r="AH12" s="102"/>
      <c r="AI12" s="102"/>
      <c r="AJ12" s="102"/>
      <c r="AK12" s="102"/>
      <c r="AL12" s="102"/>
      <c r="AM12" s="102"/>
      <c r="AN12" s="102"/>
      <c r="AO12" s="102"/>
      <c r="AP12" s="102"/>
      <c r="AQ12" s="102"/>
      <c r="AR12" s="102"/>
      <c r="AS12" s="102"/>
      <c r="AT12" s="483"/>
      <c r="AU12" s="484"/>
      <c r="AV12" s="484"/>
      <c r="AW12" s="485"/>
      <c r="AX12" s="478"/>
      <c r="AY12" s="479"/>
      <c r="AZ12" s="480"/>
      <c r="BA12" s="481"/>
      <c r="BB12" s="481"/>
      <c r="BC12" s="481"/>
      <c r="BD12" s="481"/>
      <c r="BE12" s="481"/>
      <c r="BF12" s="481"/>
      <c r="BG12" s="481"/>
      <c r="BH12" s="481"/>
      <c r="BI12" s="482"/>
      <c r="BL12" s="95"/>
    </row>
    <row r="13" spans="1:81" s="94" customFormat="1" ht="15" customHeight="1">
      <c r="A13" s="476">
        <f t="shared" si="0"/>
        <v>5</v>
      </c>
      <c r="B13" s="477"/>
      <c r="C13" s="107"/>
      <c r="D13" s="106"/>
      <c r="E13" s="106"/>
      <c r="F13" s="106"/>
      <c r="G13" s="106"/>
      <c r="H13" s="106"/>
      <c r="I13" s="106"/>
      <c r="J13" s="106"/>
      <c r="K13" s="106"/>
      <c r="L13" s="106"/>
      <c r="M13" s="106"/>
      <c r="N13" s="106"/>
      <c r="O13" s="106"/>
      <c r="P13" s="105"/>
      <c r="Q13" s="104"/>
      <c r="R13" s="102"/>
      <c r="S13" s="102"/>
      <c r="T13" s="102"/>
      <c r="U13" s="102"/>
      <c r="V13" s="102"/>
      <c r="W13" s="102"/>
      <c r="X13" s="102"/>
      <c r="Y13" s="103"/>
      <c r="Z13" s="102"/>
      <c r="AA13" s="102"/>
      <c r="AB13" s="102"/>
      <c r="AC13" s="103"/>
      <c r="AD13" s="102"/>
      <c r="AE13" s="102"/>
      <c r="AF13" s="102"/>
      <c r="AG13" s="102"/>
      <c r="AH13" s="102"/>
      <c r="AI13" s="102"/>
      <c r="AJ13" s="102"/>
      <c r="AK13" s="102"/>
      <c r="AL13" s="102"/>
      <c r="AM13" s="102"/>
      <c r="AN13" s="102"/>
      <c r="AO13" s="102"/>
      <c r="AP13" s="102"/>
      <c r="AQ13" s="102"/>
      <c r="AR13" s="102"/>
      <c r="AS13" s="102"/>
      <c r="AT13" s="483"/>
      <c r="AU13" s="484"/>
      <c r="AV13" s="484"/>
      <c r="AW13" s="485"/>
      <c r="AX13" s="478"/>
      <c r="AY13" s="479"/>
      <c r="AZ13" s="480"/>
      <c r="BA13" s="481"/>
      <c r="BB13" s="481"/>
      <c r="BC13" s="481"/>
      <c r="BD13" s="481"/>
      <c r="BE13" s="481"/>
      <c r="BF13" s="481"/>
      <c r="BG13" s="481"/>
      <c r="BH13" s="481"/>
      <c r="BI13" s="482"/>
      <c r="BL13" s="95"/>
    </row>
    <row r="14" spans="1:81" s="94" customFormat="1" ht="15" customHeight="1">
      <c r="A14" s="476">
        <f t="shared" si="0"/>
        <v>6</v>
      </c>
      <c r="B14" s="477"/>
      <c r="C14" s="107"/>
      <c r="D14" s="106"/>
      <c r="E14" s="106"/>
      <c r="F14" s="106"/>
      <c r="G14" s="106"/>
      <c r="H14" s="106"/>
      <c r="I14" s="106"/>
      <c r="J14" s="106"/>
      <c r="K14" s="106"/>
      <c r="L14" s="106"/>
      <c r="M14" s="106"/>
      <c r="N14" s="106"/>
      <c r="O14" s="106"/>
      <c r="P14" s="105"/>
      <c r="Q14" s="104"/>
      <c r="R14" s="102"/>
      <c r="S14" s="102"/>
      <c r="T14" s="102"/>
      <c r="U14" s="102"/>
      <c r="V14" s="102"/>
      <c r="W14" s="102"/>
      <c r="X14" s="102"/>
      <c r="Y14" s="103"/>
      <c r="Z14" s="102"/>
      <c r="AA14" s="102"/>
      <c r="AB14" s="102"/>
      <c r="AC14" s="103"/>
      <c r="AD14" s="102"/>
      <c r="AE14" s="102"/>
      <c r="AF14" s="102"/>
      <c r="AG14" s="102"/>
      <c r="AH14" s="102"/>
      <c r="AI14" s="102"/>
      <c r="AJ14" s="102"/>
      <c r="AK14" s="102"/>
      <c r="AL14" s="102"/>
      <c r="AM14" s="102"/>
      <c r="AN14" s="102"/>
      <c r="AO14" s="102"/>
      <c r="AP14" s="102"/>
      <c r="AQ14" s="102"/>
      <c r="AR14" s="102"/>
      <c r="AS14" s="102"/>
      <c r="AT14" s="483"/>
      <c r="AU14" s="484"/>
      <c r="AV14" s="484"/>
      <c r="AW14" s="485"/>
      <c r="AX14" s="478"/>
      <c r="AY14" s="479"/>
      <c r="AZ14" s="480"/>
      <c r="BA14" s="481"/>
      <c r="BB14" s="481"/>
      <c r="BC14" s="481"/>
      <c r="BD14" s="481"/>
      <c r="BE14" s="481"/>
      <c r="BF14" s="481"/>
      <c r="BG14" s="481"/>
      <c r="BH14" s="481"/>
      <c r="BI14" s="482"/>
      <c r="BL14" s="95"/>
    </row>
    <row r="15" spans="1:81" s="94" customFormat="1" ht="15" customHeight="1">
      <c r="A15" s="476">
        <f t="shared" si="0"/>
        <v>7</v>
      </c>
      <c r="B15" s="477"/>
      <c r="C15" s="107"/>
      <c r="D15" s="106"/>
      <c r="E15" s="106"/>
      <c r="F15" s="106"/>
      <c r="G15" s="106"/>
      <c r="H15" s="106"/>
      <c r="I15" s="106"/>
      <c r="J15" s="106"/>
      <c r="K15" s="106"/>
      <c r="L15" s="106"/>
      <c r="M15" s="106"/>
      <c r="N15" s="106"/>
      <c r="O15" s="106"/>
      <c r="P15" s="105"/>
      <c r="Q15" s="104"/>
      <c r="R15" s="102"/>
      <c r="S15" s="102"/>
      <c r="T15" s="102"/>
      <c r="U15" s="102"/>
      <c r="V15" s="102"/>
      <c r="W15" s="102"/>
      <c r="X15" s="102"/>
      <c r="Y15" s="103"/>
      <c r="Z15" s="102"/>
      <c r="AA15" s="102"/>
      <c r="AB15" s="102"/>
      <c r="AC15" s="103"/>
      <c r="AD15" s="102"/>
      <c r="AE15" s="102"/>
      <c r="AF15" s="102"/>
      <c r="AG15" s="102"/>
      <c r="AH15" s="102"/>
      <c r="AI15" s="102"/>
      <c r="AJ15" s="102"/>
      <c r="AK15" s="102"/>
      <c r="AL15" s="102"/>
      <c r="AM15" s="102"/>
      <c r="AN15" s="102"/>
      <c r="AO15" s="102"/>
      <c r="AP15" s="102"/>
      <c r="AQ15" s="102"/>
      <c r="AR15" s="102"/>
      <c r="AS15" s="102"/>
      <c r="AT15" s="483"/>
      <c r="AU15" s="484"/>
      <c r="AV15" s="484"/>
      <c r="AW15" s="485"/>
      <c r="AX15" s="478"/>
      <c r="AY15" s="479"/>
      <c r="AZ15" s="480"/>
      <c r="BA15" s="481"/>
      <c r="BB15" s="481"/>
      <c r="BC15" s="481"/>
      <c r="BD15" s="481"/>
      <c r="BE15" s="481"/>
      <c r="BF15" s="481"/>
      <c r="BG15" s="481"/>
      <c r="BH15" s="481"/>
      <c r="BI15" s="482"/>
      <c r="BL15" s="95"/>
    </row>
    <row r="16" spans="1:81" s="94" customFormat="1" ht="15" customHeight="1">
      <c r="A16" s="476">
        <f t="shared" si="0"/>
        <v>8</v>
      </c>
      <c r="B16" s="477"/>
      <c r="C16" s="107"/>
      <c r="D16" s="106"/>
      <c r="E16" s="106"/>
      <c r="F16" s="106"/>
      <c r="G16" s="106"/>
      <c r="H16" s="106"/>
      <c r="I16" s="106"/>
      <c r="J16" s="106"/>
      <c r="K16" s="106"/>
      <c r="L16" s="106"/>
      <c r="M16" s="106"/>
      <c r="N16" s="106"/>
      <c r="O16" s="106"/>
      <c r="P16" s="105"/>
      <c r="Q16" s="104"/>
      <c r="R16" s="102"/>
      <c r="S16" s="102"/>
      <c r="T16" s="102"/>
      <c r="U16" s="102"/>
      <c r="V16" s="102"/>
      <c r="W16" s="102"/>
      <c r="X16" s="102"/>
      <c r="Y16" s="103"/>
      <c r="Z16" s="102"/>
      <c r="AA16" s="102"/>
      <c r="AB16" s="102"/>
      <c r="AC16" s="103"/>
      <c r="AD16" s="102"/>
      <c r="AE16" s="102"/>
      <c r="AF16" s="102"/>
      <c r="AG16" s="102"/>
      <c r="AH16" s="102"/>
      <c r="AI16" s="102"/>
      <c r="AJ16" s="102"/>
      <c r="AK16" s="102"/>
      <c r="AL16" s="102"/>
      <c r="AM16" s="102"/>
      <c r="AN16" s="102"/>
      <c r="AO16" s="102"/>
      <c r="AP16" s="102"/>
      <c r="AQ16" s="102"/>
      <c r="AR16" s="102"/>
      <c r="AS16" s="102"/>
      <c r="AT16" s="483"/>
      <c r="AU16" s="484"/>
      <c r="AV16" s="484"/>
      <c r="AW16" s="485"/>
      <c r="AX16" s="478"/>
      <c r="AY16" s="479"/>
      <c r="AZ16" s="480"/>
      <c r="BA16" s="481"/>
      <c r="BB16" s="481"/>
      <c r="BC16" s="481"/>
      <c r="BD16" s="481"/>
      <c r="BE16" s="481"/>
      <c r="BF16" s="481"/>
      <c r="BG16" s="481"/>
      <c r="BH16" s="481"/>
      <c r="BI16" s="482"/>
      <c r="BL16" s="95"/>
    </row>
    <row r="17" spans="1:64" s="94" customFormat="1" ht="15" customHeight="1">
      <c r="A17" s="476">
        <f t="shared" si="0"/>
        <v>9</v>
      </c>
      <c r="B17" s="477"/>
      <c r="C17" s="107"/>
      <c r="D17" s="106"/>
      <c r="E17" s="106"/>
      <c r="F17" s="106"/>
      <c r="G17" s="106"/>
      <c r="H17" s="106"/>
      <c r="I17" s="106"/>
      <c r="J17" s="106"/>
      <c r="K17" s="106"/>
      <c r="L17" s="106"/>
      <c r="M17" s="106"/>
      <c r="N17" s="106"/>
      <c r="O17" s="106"/>
      <c r="P17" s="105"/>
      <c r="Q17" s="104"/>
      <c r="R17" s="102"/>
      <c r="S17" s="102"/>
      <c r="T17" s="102"/>
      <c r="U17" s="102"/>
      <c r="V17" s="102"/>
      <c r="W17" s="102"/>
      <c r="X17" s="102"/>
      <c r="Y17" s="103"/>
      <c r="Z17" s="102"/>
      <c r="AA17" s="102"/>
      <c r="AB17" s="102"/>
      <c r="AC17" s="103"/>
      <c r="AD17" s="102"/>
      <c r="AE17" s="102"/>
      <c r="AF17" s="102"/>
      <c r="AG17" s="102"/>
      <c r="AH17" s="102"/>
      <c r="AI17" s="102"/>
      <c r="AJ17" s="102"/>
      <c r="AK17" s="102"/>
      <c r="AL17" s="102"/>
      <c r="AM17" s="102"/>
      <c r="AN17" s="102"/>
      <c r="AO17" s="102"/>
      <c r="AP17" s="102"/>
      <c r="AQ17" s="102"/>
      <c r="AR17" s="102"/>
      <c r="AS17" s="102"/>
      <c r="AT17" s="483"/>
      <c r="AU17" s="484"/>
      <c r="AV17" s="484"/>
      <c r="AW17" s="485"/>
      <c r="AX17" s="478"/>
      <c r="AY17" s="479"/>
      <c r="AZ17" s="480"/>
      <c r="BA17" s="481"/>
      <c r="BB17" s="481"/>
      <c r="BC17" s="481"/>
      <c r="BD17" s="481"/>
      <c r="BE17" s="481"/>
      <c r="BF17" s="481"/>
      <c r="BG17" s="481"/>
      <c r="BH17" s="481"/>
      <c r="BI17" s="482"/>
      <c r="BL17" s="95"/>
    </row>
    <row r="18" spans="1:64" s="94" customFormat="1" ht="15" customHeight="1">
      <c r="A18" s="476">
        <f t="shared" si="0"/>
        <v>10</v>
      </c>
      <c r="B18" s="477"/>
      <c r="C18" s="107"/>
      <c r="D18" s="106"/>
      <c r="E18" s="106"/>
      <c r="F18" s="106"/>
      <c r="G18" s="106"/>
      <c r="H18" s="106"/>
      <c r="I18" s="106"/>
      <c r="J18" s="106"/>
      <c r="K18" s="106"/>
      <c r="L18" s="106"/>
      <c r="M18" s="106"/>
      <c r="N18" s="106"/>
      <c r="O18" s="106"/>
      <c r="P18" s="105"/>
      <c r="Q18" s="104"/>
      <c r="R18" s="102"/>
      <c r="S18" s="102"/>
      <c r="T18" s="102"/>
      <c r="U18" s="102"/>
      <c r="V18" s="102"/>
      <c r="W18" s="102"/>
      <c r="X18" s="102"/>
      <c r="Y18" s="103"/>
      <c r="Z18" s="102"/>
      <c r="AA18" s="102"/>
      <c r="AB18" s="102"/>
      <c r="AC18" s="103"/>
      <c r="AD18" s="102"/>
      <c r="AE18" s="102"/>
      <c r="AF18" s="102"/>
      <c r="AG18" s="102"/>
      <c r="AH18" s="102"/>
      <c r="AI18" s="102"/>
      <c r="AJ18" s="102"/>
      <c r="AK18" s="102"/>
      <c r="AL18" s="102"/>
      <c r="AM18" s="102"/>
      <c r="AN18" s="102"/>
      <c r="AO18" s="102"/>
      <c r="AP18" s="102"/>
      <c r="AQ18" s="102"/>
      <c r="AR18" s="102"/>
      <c r="AS18" s="102"/>
      <c r="AT18" s="483"/>
      <c r="AU18" s="484"/>
      <c r="AV18" s="484"/>
      <c r="AW18" s="485"/>
      <c r="AX18" s="478"/>
      <c r="AY18" s="479"/>
      <c r="AZ18" s="480"/>
      <c r="BA18" s="481"/>
      <c r="BB18" s="481"/>
      <c r="BC18" s="481"/>
      <c r="BD18" s="481"/>
      <c r="BE18" s="481"/>
      <c r="BF18" s="481"/>
      <c r="BG18" s="481"/>
      <c r="BH18" s="481"/>
      <c r="BI18" s="482"/>
      <c r="BL18" s="95"/>
    </row>
    <row r="19" spans="1:64" s="94" customFormat="1" ht="15" customHeight="1">
      <c r="A19" s="476">
        <f t="shared" si="0"/>
        <v>11</v>
      </c>
      <c r="B19" s="477"/>
      <c r="C19" s="107"/>
      <c r="D19" s="106"/>
      <c r="E19" s="106"/>
      <c r="F19" s="106"/>
      <c r="G19" s="106"/>
      <c r="H19" s="106"/>
      <c r="I19" s="106"/>
      <c r="J19" s="106"/>
      <c r="K19" s="106"/>
      <c r="L19" s="106"/>
      <c r="M19" s="106"/>
      <c r="N19" s="106"/>
      <c r="O19" s="106"/>
      <c r="P19" s="105"/>
      <c r="Q19" s="104"/>
      <c r="R19" s="102"/>
      <c r="S19" s="102"/>
      <c r="T19" s="102"/>
      <c r="U19" s="102"/>
      <c r="V19" s="102"/>
      <c r="W19" s="102"/>
      <c r="X19" s="102"/>
      <c r="Y19" s="103"/>
      <c r="Z19" s="102"/>
      <c r="AA19" s="102"/>
      <c r="AB19" s="102"/>
      <c r="AC19" s="103"/>
      <c r="AD19" s="102"/>
      <c r="AE19" s="102"/>
      <c r="AF19" s="102"/>
      <c r="AG19" s="102"/>
      <c r="AH19" s="102"/>
      <c r="AI19" s="102"/>
      <c r="AJ19" s="102"/>
      <c r="AK19" s="102"/>
      <c r="AL19" s="102"/>
      <c r="AM19" s="102"/>
      <c r="AN19" s="102"/>
      <c r="AO19" s="102"/>
      <c r="AP19" s="102"/>
      <c r="AQ19" s="102"/>
      <c r="AR19" s="102"/>
      <c r="AS19" s="102"/>
      <c r="AT19" s="483"/>
      <c r="AU19" s="484"/>
      <c r="AV19" s="484"/>
      <c r="AW19" s="485"/>
      <c r="AX19" s="478"/>
      <c r="AY19" s="479"/>
      <c r="AZ19" s="480"/>
      <c r="BA19" s="481"/>
      <c r="BB19" s="481"/>
      <c r="BC19" s="481"/>
      <c r="BD19" s="481"/>
      <c r="BE19" s="481"/>
      <c r="BF19" s="481"/>
      <c r="BG19" s="481"/>
      <c r="BH19" s="481"/>
      <c r="BI19" s="482"/>
      <c r="BL19" s="95"/>
    </row>
    <row r="20" spans="1:64" s="94" customFormat="1" ht="15" customHeight="1">
      <c r="A20" s="476">
        <f t="shared" si="0"/>
        <v>12</v>
      </c>
      <c r="B20" s="477"/>
      <c r="C20" s="107"/>
      <c r="D20" s="106"/>
      <c r="E20" s="106"/>
      <c r="F20" s="106"/>
      <c r="G20" s="106"/>
      <c r="H20" s="106"/>
      <c r="I20" s="106"/>
      <c r="J20" s="106"/>
      <c r="K20" s="106"/>
      <c r="L20" s="106"/>
      <c r="M20" s="106"/>
      <c r="N20" s="106"/>
      <c r="O20" s="106"/>
      <c r="P20" s="105"/>
      <c r="Q20" s="104"/>
      <c r="R20" s="102"/>
      <c r="S20" s="102"/>
      <c r="T20" s="102"/>
      <c r="U20" s="102"/>
      <c r="V20" s="102"/>
      <c r="W20" s="102"/>
      <c r="X20" s="102"/>
      <c r="Y20" s="103"/>
      <c r="Z20" s="102"/>
      <c r="AA20" s="102"/>
      <c r="AB20" s="102"/>
      <c r="AC20" s="103"/>
      <c r="AD20" s="102"/>
      <c r="AE20" s="102"/>
      <c r="AF20" s="102"/>
      <c r="AG20" s="102"/>
      <c r="AH20" s="102"/>
      <c r="AI20" s="102"/>
      <c r="AJ20" s="102"/>
      <c r="AK20" s="102"/>
      <c r="AL20" s="102"/>
      <c r="AM20" s="102"/>
      <c r="AN20" s="102"/>
      <c r="AO20" s="102"/>
      <c r="AP20" s="102"/>
      <c r="AQ20" s="102"/>
      <c r="AR20" s="102"/>
      <c r="AS20" s="102"/>
      <c r="AT20" s="483"/>
      <c r="AU20" s="484"/>
      <c r="AV20" s="484"/>
      <c r="AW20" s="485"/>
      <c r="AX20" s="478"/>
      <c r="AY20" s="479"/>
      <c r="AZ20" s="480"/>
      <c r="BA20" s="481"/>
      <c r="BB20" s="481"/>
      <c r="BC20" s="481"/>
      <c r="BD20" s="481"/>
      <c r="BE20" s="481"/>
      <c r="BF20" s="481"/>
      <c r="BG20" s="481"/>
      <c r="BH20" s="481"/>
      <c r="BI20" s="482"/>
      <c r="BL20" s="95"/>
    </row>
    <row r="21" spans="1:64" s="94" customFormat="1" ht="15" customHeight="1">
      <c r="A21" s="476">
        <f t="shared" si="0"/>
        <v>13</v>
      </c>
      <c r="B21" s="477"/>
      <c r="C21" s="107"/>
      <c r="D21" s="106"/>
      <c r="E21" s="106"/>
      <c r="F21" s="106"/>
      <c r="G21" s="106"/>
      <c r="H21" s="106"/>
      <c r="I21" s="106"/>
      <c r="J21" s="106"/>
      <c r="K21" s="106"/>
      <c r="L21" s="106"/>
      <c r="M21" s="106"/>
      <c r="N21" s="106"/>
      <c r="O21" s="106"/>
      <c r="P21" s="105"/>
      <c r="Q21" s="104"/>
      <c r="R21" s="102"/>
      <c r="S21" s="102"/>
      <c r="T21" s="102"/>
      <c r="U21" s="102"/>
      <c r="V21" s="102"/>
      <c r="W21" s="102"/>
      <c r="X21" s="102"/>
      <c r="Y21" s="103"/>
      <c r="Z21" s="102"/>
      <c r="AA21" s="102"/>
      <c r="AB21" s="102"/>
      <c r="AC21" s="103"/>
      <c r="AD21" s="102"/>
      <c r="AE21" s="102"/>
      <c r="AF21" s="102"/>
      <c r="AG21" s="102"/>
      <c r="AH21" s="102"/>
      <c r="AI21" s="102"/>
      <c r="AJ21" s="102"/>
      <c r="AK21" s="102"/>
      <c r="AL21" s="102"/>
      <c r="AM21" s="102"/>
      <c r="AN21" s="102"/>
      <c r="AO21" s="102"/>
      <c r="AP21" s="102"/>
      <c r="AQ21" s="102"/>
      <c r="AR21" s="102"/>
      <c r="AS21" s="102"/>
      <c r="AT21" s="483"/>
      <c r="AU21" s="484"/>
      <c r="AV21" s="484"/>
      <c r="AW21" s="485"/>
      <c r="AX21" s="478"/>
      <c r="AY21" s="479"/>
      <c r="AZ21" s="480"/>
      <c r="BA21" s="481"/>
      <c r="BB21" s="481"/>
      <c r="BC21" s="481"/>
      <c r="BD21" s="481"/>
      <c r="BE21" s="481"/>
      <c r="BF21" s="481"/>
      <c r="BG21" s="481"/>
      <c r="BH21" s="481"/>
      <c r="BI21" s="482"/>
      <c r="BL21" s="95"/>
    </row>
    <row r="22" spans="1:64" s="94" customFormat="1" ht="15" customHeight="1">
      <c r="A22" s="476">
        <f t="shared" si="0"/>
        <v>14</v>
      </c>
      <c r="B22" s="477"/>
      <c r="C22" s="107"/>
      <c r="D22" s="106"/>
      <c r="E22" s="106"/>
      <c r="F22" s="106"/>
      <c r="G22" s="106"/>
      <c r="H22" s="106"/>
      <c r="I22" s="106"/>
      <c r="J22" s="106"/>
      <c r="K22" s="106"/>
      <c r="L22" s="106"/>
      <c r="M22" s="106"/>
      <c r="N22" s="106"/>
      <c r="O22" s="106"/>
      <c r="P22" s="105"/>
      <c r="Q22" s="104"/>
      <c r="R22" s="102"/>
      <c r="S22" s="102"/>
      <c r="T22" s="102"/>
      <c r="U22" s="102"/>
      <c r="V22" s="102"/>
      <c r="W22" s="102"/>
      <c r="X22" s="102"/>
      <c r="Y22" s="103"/>
      <c r="Z22" s="102"/>
      <c r="AA22" s="102"/>
      <c r="AB22" s="102"/>
      <c r="AC22" s="103"/>
      <c r="AD22" s="102"/>
      <c r="AE22" s="102"/>
      <c r="AF22" s="102"/>
      <c r="AG22" s="102"/>
      <c r="AH22" s="102"/>
      <c r="AI22" s="102"/>
      <c r="AJ22" s="102"/>
      <c r="AK22" s="102"/>
      <c r="AL22" s="102"/>
      <c r="AM22" s="102"/>
      <c r="AN22" s="102"/>
      <c r="AO22" s="102"/>
      <c r="AP22" s="102"/>
      <c r="AQ22" s="102"/>
      <c r="AR22" s="102"/>
      <c r="AS22" s="102"/>
      <c r="AT22" s="483"/>
      <c r="AU22" s="484"/>
      <c r="AV22" s="484"/>
      <c r="AW22" s="485"/>
      <c r="AX22" s="478"/>
      <c r="AY22" s="479"/>
      <c r="AZ22" s="480"/>
      <c r="BA22" s="481"/>
      <c r="BB22" s="481"/>
      <c r="BC22" s="481"/>
      <c r="BD22" s="481"/>
      <c r="BE22" s="481"/>
      <c r="BF22" s="481"/>
      <c r="BG22" s="481"/>
      <c r="BH22" s="481"/>
      <c r="BI22" s="482"/>
      <c r="BL22" s="95"/>
    </row>
    <row r="23" spans="1:64" s="94" customFormat="1" ht="15" customHeight="1">
      <c r="A23" s="476">
        <f t="shared" si="0"/>
        <v>15</v>
      </c>
      <c r="B23" s="477"/>
      <c r="C23" s="107"/>
      <c r="D23" s="106"/>
      <c r="E23" s="106"/>
      <c r="F23" s="106"/>
      <c r="G23" s="106"/>
      <c r="H23" s="106"/>
      <c r="I23" s="106"/>
      <c r="J23" s="106"/>
      <c r="K23" s="106"/>
      <c r="L23" s="106"/>
      <c r="M23" s="106"/>
      <c r="N23" s="106"/>
      <c r="O23" s="106"/>
      <c r="P23" s="105"/>
      <c r="Q23" s="104"/>
      <c r="R23" s="102"/>
      <c r="S23" s="102"/>
      <c r="T23" s="102"/>
      <c r="U23" s="102"/>
      <c r="V23" s="102"/>
      <c r="W23" s="102"/>
      <c r="X23" s="102"/>
      <c r="Y23" s="103"/>
      <c r="Z23" s="102"/>
      <c r="AA23" s="102"/>
      <c r="AB23" s="102"/>
      <c r="AC23" s="103"/>
      <c r="AD23" s="102"/>
      <c r="AE23" s="102"/>
      <c r="AF23" s="102"/>
      <c r="AG23" s="102"/>
      <c r="AH23" s="102"/>
      <c r="AI23" s="102"/>
      <c r="AJ23" s="102"/>
      <c r="AK23" s="102"/>
      <c r="AL23" s="102"/>
      <c r="AM23" s="102"/>
      <c r="AN23" s="102"/>
      <c r="AO23" s="102"/>
      <c r="AP23" s="102"/>
      <c r="AQ23" s="102"/>
      <c r="AR23" s="102"/>
      <c r="AS23" s="102"/>
      <c r="AT23" s="483"/>
      <c r="AU23" s="484"/>
      <c r="AV23" s="484"/>
      <c r="AW23" s="485"/>
      <c r="AX23" s="478"/>
      <c r="AY23" s="479"/>
      <c r="AZ23" s="480"/>
      <c r="BA23" s="481"/>
      <c r="BB23" s="481"/>
      <c r="BC23" s="481"/>
      <c r="BD23" s="481"/>
      <c r="BE23" s="481"/>
      <c r="BF23" s="481"/>
      <c r="BG23" s="481"/>
      <c r="BH23" s="481"/>
      <c r="BI23" s="482"/>
      <c r="BL23" s="95"/>
    </row>
    <row r="24" spans="1:64" s="94" customFormat="1" ht="15" customHeight="1">
      <c r="A24" s="476">
        <f t="shared" si="0"/>
        <v>16</v>
      </c>
      <c r="B24" s="477"/>
      <c r="C24" s="107"/>
      <c r="D24" s="106"/>
      <c r="E24" s="106"/>
      <c r="F24" s="106"/>
      <c r="G24" s="106"/>
      <c r="H24" s="106"/>
      <c r="I24" s="106"/>
      <c r="J24" s="106"/>
      <c r="K24" s="106"/>
      <c r="L24" s="106"/>
      <c r="M24" s="106"/>
      <c r="N24" s="106"/>
      <c r="O24" s="106"/>
      <c r="P24" s="105"/>
      <c r="Q24" s="104"/>
      <c r="R24" s="102"/>
      <c r="S24" s="102"/>
      <c r="T24" s="102"/>
      <c r="U24" s="102"/>
      <c r="V24" s="102"/>
      <c r="W24" s="102"/>
      <c r="X24" s="102"/>
      <c r="Y24" s="103"/>
      <c r="Z24" s="102"/>
      <c r="AA24" s="102"/>
      <c r="AB24" s="102"/>
      <c r="AC24" s="103"/>
      <c r="AD24" s="102"/>
      <c r="AE24" s="102"/>
      <c r="AF24" s="102"/>
      <c r="AG24" s="102"/>
      <c r="AH24" s="102"/>
      <c r="AI24" s="102"/>
      <c r="AJ24" s="102"/>
      <c r="AK24" s="102"/>
      <c r="AL24" s="102"/>
      <c r="AM24" s="102"/>
      <c r="AN24" s="102"/>
      <c r="AO24" s="102"/>
      <c r="AP24" s="102"/>
      <c r="AQ24" s="102"/>
      <c r="AR24" s="102"/>
      <c r="AS24" s="102"/>
      <c r="AT24" s="483"/>
      <c r="AU24" s="484"/>
      <c r="AV24" s="484"/>
      <c r="AW24" s="485"/>
      <c r="AX24" s="478"/>
      <c r="AY24" s="479"/>
      <c r="AZ24" s="480"/>
      <c r="BA24" s="481"/>
      <c r="BB24" s="481"/>
      <c r="BC24" s="481"/>
      <c r="BD24" s="481"/>
      <c r="BE24" s="481"/>
      <c r="BF24" s="481"/>
      <c r="BG24" s="481"/>
      <c r="BH24" s="481"/>
      <c r="BI24" s="482"/>
      <c r="BL24" s="95"/>
    </row>
    <row r="25" spans="1:64" s="94" customFormat="1" ht="15" customHeight="1">
      <c r="A25" s="476">
        <f t="shared" si="0"/>
        <v>17</v>
      </c>
      <c r="B25" s="477"/>
      <c r="C25" s="107"/>
      <c r="D25" s="106"/>
      <c r="E25" s="106"/>
      <c r="F25" s="106"/>
      <c r="G25" s="106"/>
      <c r="H25" s="106"/>
      <c r="I25" s="106"/>
      <c r="J25" s="106"/>
      <c r="K25" s="106"/>
      <c r="L25" s="106"/>
      <c r="M25" s="106"/>
      <c r="N25" s="106"/>
      <c r="O25" s="106"/>
      <c r="P25" s="105"/>
      <c r="Q25" s="104"/>
      <c r="R25" s="102"/>
      <c r="S25" s="102"/>
      <c r="T25" s="102"/>
      <c r="U25" s="102"/>
      <c r="V25" s="102"/>
      <c r="W25" s="102"/>
      <c r="X25" s="102"/>
      <c r="Y25" s="103"/>
      <c r="Z25" s="102"/>
      <c r="AA25" s="102"/>
      <c r="AB25" s="102"/>
      <c r="AC25" s="103"/>
      <c r="AD25" s="102"/>
      <c r="AE25" s="102"/>
      <c r="AF25" s="102"/>
      <c r="AG25" s="102"/>
      <c r="AH25" s="102"/>
      <c r="AI25" s="102"/>
      <c r="AJ25" s="102"/>
      <c r="AK25" s="102"/>
      <c r="AL25" s="102"/>
      <c r="AM25" s="102"/>
      <c r="AN25" s="102"/>
      <c r="AO25" s="102"/>
      <c r="AP25" s="102"/>
      <c r="AQ25" s="102"/>
      <c r="AR25" s="102"/>
      <c r="AS25" s="102"/>
      <c r="AT25" s="483"/>
      <c r="AU25" s="484"/>
      <c r="AV25" s="484"/>
      <c r="AW25" s="485"/>
      <c r="AX25" s="478"/>
      <c r="AY25" s="479"/>
      <c r="AZ25" s="480"/>
      <c r="BA25" s="481"/>
      <c r="BB25" s="481"/>
      <c r="BC25" s="481"/>
      <c r="BD25" s="481"/>
      <c r="BE25" s="481"/>
      <c r="BF25" s="481"/>
      <c r="BG25" s="481"/>
      <c r="BH25" s="481"/>
      <c r="BI25" s="482"/>
      <c r="BL25" s="95"/>
    </row>
    <row r="26" spans="1:64" s="94" customFormat="1" ht="15" customHeight="1">
      <c r="A26" s="476">
        <f t="shared" si="0"/>
        <v>18</v>
      </c>
      <c r="B26" s="477"/>
      <c r="C26" s="107"/>
      <c r="D26" s="106"/>
      <c r="E26" s="106"/>
      <c r="F26" s="106"/>
      <c r="G26" s="106"/>
      <c r="H26" s="106"/>
      <c r="I26" s="106"/>
      <c r="J26" s="106"/>
      <c r="K26" s="106"/>
      <c r="L26" s="106"/>
      <c r="M26" s="106"/>
      <c r="N26" s="106"/>
      <c r="O26" s="106"/>
      <c r="P26" s="105"/>
      <c r="Q26" s="104"/>
      <c r="R26" s="102"/>
      <c r="S26" s="102"/>
      <c r="T26" s="102"/>
      <c r="U26" s="102"/>
      <c r="V26" s="102"/>
      <c r="W26" s="102"/>
      <c r="X26" s="102"/>
      <c r="Y26" s="103"/>
      <c r="Z26" s="102"/>
      <c r="AA26" s="102"/>
      <c r="AB26" s="102"/>
      <c r="AC26" s="103"/>
      <c r="AD26" s="102"/>
      <c r="AE26" s="102"/>
      <c r="AF26" s="102"/>
      <c r="AG26" s="102"/>
      <c r="AH26" s="102"/>
      <c r="AI26" s="102"/>
      <c r="AJ26" s="102"/>
      <c r="AK26" s="102"/>
      <c r="AL26" s="102"/>
      <c r="AM26" s="102"/>
      <c r="AN26" s="102"/>
      <c r="AO26" s="102"/>
      <c r="AP26" s="102"/>
      <c r="AQ26" s="102"/>
      <c r="AR26" s="102"/>
      <c r="AS26" s="102"/>
      <c r="AT26" s="483"/>
      <c r="AU26" s="484"/>
      <c r="AV26" s="484"/>
      <c r="AW26" s="485"/>
      <c r="AX26" s="478"/>
      <c r="AY26" s="479"/>
      <c r="AZ26" s="480"/>
      <c r="BA26" s="481"/>
      <c r="BB26" s="481"/>
      <c r="BC26" s="481"/>
      <c r="BD26" s="481"/>
      <c r="BE26" s="481"/>
      <c r="BF26" s="481"/>
      <c r="BG26" s="481"/>
      <c r="BH26" s="481"/>
      <c r="BI26" s="482"/>
      <c r="BL26" s="95"/>
    </row>
    <row r="27" spans="1:64" s="94" customFormat="1" ht="15" customHeight="1">
      <c r="A27" s="476">
        <f t="shared" si="0"/>
        <v>19</v>
      </c>
      <c r="B27" s="477"/>
      <c r="C27" s="107"/>
      <c r="D27" s="106"/>
      <c r="E27" s="106"/>
      <c r="F27" s="106"/>
      <c r="G27" s="106"/>
      <c r="H27" s="106"/>
      <c r="I27" s="106"/>
      <c r="J27" s="106"/>
      <c r="K27" s="106"/>
      <c r="L27" s="106"/>
      <c r="M27" s="106"/>
      <c r="N27" s="106"/>
      <c r="O27" s="106"/>
      <c r="P27" s="105"/>
      <c r="Q27" s="104"/>
      <c r="R27" s="102"/>
      <c r="S27" s="102"/>
      <c r="T27" s="102"/>
      <c r="U27" s="102"/>
      <c r="V27" s="102"/>
      <c r="W27" s="102"/>
      <c r="X27" s="102"/>
      <c r="Y27" s="103"/>
      <c r="Z27" s="102"/>
      <c r="AA27" s="102"/>
      <c r="AB27" s="102"/>
      <c r="AC27" s="103"/>
      <c r="AD27" s="102"/>
      <c r="AE27" s="102"/>
      <c r="AF27" s="102"/>
      <c r="AG27" s="102"/>
      <c r="AH27" s="102"/>
      <c r="AI27" s="102"/>
      <c r="AJ27" s="102"/>
      <c r="AK27" s="102"/>
      <c r="AL27" s="102"/>
      <c r="AM27" s="102"/>
      <c r="AN27" s="102"/>
      <c r="AO27" s="102"/>
      <c r="AP27" s="102"/>
      <c r="AQ27" s="102"/>
      <c r="AR27" s="102"/>
      <c r="AS27" s="102"/>
      <c r="AT27" s="483"/>
      <c r="AU27" s="484"/>
      <c r="AV27" s="484"/>
      <c r="AW27" s="485"/>
      <c r="AX27" s="478"/>
      <c r="AY27" s="479"/>
      <c r="AZ27" s="480"/>
      <c r="BA27" s="481"/>
      <c r="BB27" s="481"/>
      <c r="BC27" s="481"/>
      <c r="BD27" s="481"/>
      <c r="BE27" s="481"/>
      <c r="BF27" s="481"/>
      <c r="BG27" s="481"/>
      <c r="BH27" s="481"/>
      <c r="BI27" s="482"/>
      <c r="BL27" s="95"/>
    </row>
    <row r="28" spans="1:64" s="94" customFormat="1" ht="15" customHeight="1">
      <c r="A28" s="476">
        <f t="shared" si="0"/>
        <v>20</v>
      </c>
      <c r="B28" s="477"/>
      <c r="C28" s="107"/>
      <c r="D28" s="106"/>
      <c r="E28" s="106"/>
      <c r="F28" s="106"/>
      <c r="G28" s="106"/>
      <c r="H28" s="106"/>
      <c r="I28" s="106"/>
      <c r="J28" s="106"/>
      <c r="K28" s="106"/>
      <c r="L28" s="106"/>
      <c r="M28" s="106"/>
      <c r="N28" s="106"/>
      <c r="O28" s="106"/>
      <c r="P28" s="105"/>
      <c r="Q28" s="104"/>
      <c r="R28" s="102"/>
      <c r="S28" s="102"/>
      <c r="T28" s="102"/>
      <c r="U28" s="102"/>
      <c r="V28" s="102"/>
      <c r="W28" s="102"/>
      <c r="X28" s="102"/>
      <c r="Y28" s="103"/>
      <c r="Z28" s="102"/>
      <c r="AA28" s="102"/>
      <c r="AB28" s="102"/>
      <c r="AC28" s="103"/>
      <c r="AD28" s="102"/>
      <c r="AE28" s="102"/>
      <c r="AF28" s="102"/>
      <c r="AG28" s="102"/>
      <c r="AH28" s="102"/>
      <c r="AI28" s="102"/>
      <c r="AJ28" s="102"/>
      <c r="AK28" s="102"/>
      <c r="AL28" s="102"/>
      <c r="AM28" s="102"/>
      <c r="AN28" s="102"/>
      <c r="AO28" s="102"/>
      <c r="AP28" s="102"/>
      <c r="AQ28" s="102"/>
      <c r="AR28" s="102"/>
      <c r="AS28" s="102"/>
      <c r="AT28" s="483"/>
      <c r="AU28" s="484"/>
      <c r="AV28" s="484"/>
      <c r="AW28" s="485"/>
      <c r="AX28" s="478"/>
      <c r="AY28" s="479"/>
      <c r="AZ28" s="480"/>
      <c r="BA28" s="481"/>
      <c r="BB28" s="481"/>
      <c r="BC28" s="481"/>
      <c r="BD28" s="481"/>
      <c r="BE28" s="481"/>
      <c r="BF28" s="481"/>
      <c r="BG28" s="481"/>
      <c r="BH28" s="481"/>
      <c r="BI28" s="482"/>
      <c r="BL28" s="95"/>
    </row>
    <row r="29" spans="1:64" s="94" customFormat="1" ht="15" customHeight="1">
      <c r="A29" s="476">
        <f t="shared" si="0"/>
        <v>21</v>
      </c>
      <c r="B29" s="477"/>
      <c r="C29" s="107"/>
      <c r="D29" s="106"/>
      <c r="E29" s="106"/>
      <c r="F29" s="106"/>
      <c r="G29" s="106"/>
      <c r="H29" s="106"/>
      <c r="I29" s="106"/>
      <c r="J29" s="106"/>
      <c r="K29" s="106"/>
      <c r="L29" s="106"/>
      <c r="M29" s="106"/>
      <c r="N29" s="106"/>
      <c r="O29" s="106"/>
      <c r="P29" s="105"/>
      <c r="Q29" s="104"/>
      <c r="R29" s="102"/>
      <c r="S29" s="102"/>
      <c r="T29" s="102"/>
      <c r="U29" s="102"/>
      <c r="V29" s="102"/>
      <c r="W29" s="102"/>
      <c r="X29" s="102"/>
      <c r="Y29" s="103"/>
      <c r="Z29" s="102"/>
      <c r="AA29" s="102"/>
      <c r="AB29" s="102"/>
      <c r="AC29" s="103"/>
      <c r="AD29" s="102"/>
      <c r="AE29" s="102"/>
      <c r="AF29" s="102"/>
      <c r="AG29" s="102"/>
      <c r="AH29" s="102"/>
      <c r="AI29" s="102"/>
      <c r="AJ29" s="102"/>
      <c r="AK29" s="102"/>
      <c r="AL29" s="102"/>
      <c r="AM29" s="102"/>
      <c r="AN29" s="102"/>
      <c r="AO29" s="102"/>
      <c r="AP29" s="102"/>
      <c r="AQ29" s="102"/>
      <c r="AR29" s="102"/>
      <c r="AS29" s="102"/>
      <c r="AT29" s="483"/>
      <c r="AU29" s="484"/>
      <c r="AV29" s="484"/>
      <c r="AW29" s="485"/>
      <c r="AX29" s="478"/>
      <c r="AY29" s="479"/>
      <c r="AZ29" s="480"/>
      <c r="BA29" s="481"/>
      <c r="BB29" s="481"/>
      <c r="BC29" s="481"/>
      <c r="BD29" s="481"/>
      <c r="BE29" s="481"/>
      <c r="BF29" s="481"/>
      <c r="BG29" s="481"/>
      <c r="BH29" s="481"/>
      <c r="BI29" s="482"/>
      <c r="BL29" s="95"/>
    </row>
    <row r="30" spans="1:64" s="94" customFormat="1" ht="15" customHeight="1">
      <c r="A30" s="476">
        <f t="shared" si="0"/>
        <v>22</v>
      </c>
      <c r="B30" s="477"/>
      <c r="C30" s="107"/>
      <c r="D30" s="106"/>
      <c r="E30" s="106"/>
      <c r="F30" s="106"/>
      <c r="G30" s="106"/>
      <c r="H30" s="106"/>
      <c r="I30" s="106"/>
      <c r="J30" s="106"/>
      <c r="K30" s="106"/>
      <c r="L30" s="106"/>
      <c r="M30" s="106"/>
      <c r="N30" s="106"/>
      <c r="O30" s="106"/>
      <c r="P30" s="105"/>
      <c r="Q30" s="104"/>
      <c r="R30" s="102"/>
      <c r="S30" s="102"/>
      <c r="T30" s="102"/>
      <c r="U30" s="102"/>
      <c r="V30" s="102"/>
      <c r="W30" s="102"/>
      <c r="X30" s="102"/>
      <c r="Y30" s="103"/>
      <c r="Z30" s="102"/>
      <c r="AA30" s="102"/>
      <c r="AB30" s="102"/>
      <c r="AC30" s="103"/>
      <c r="AD30" s="102"/>
      <c r="AE30" s="102"/>
      <c r="AF30" s="102"/>
      <c r="AG30" s="102"/>
      <c r="AH30" s="102"/>
      <c r="AI30" s="102"/>
      <c r="AJ30" s="102"/>
      <c r="AK30" s="102"/>
      <c r="AL30" s="102"/>
      <c r="AM30" s="102"/>
      <c r="AN30" s="102"/>
      <c r="AO30" s="102"/>
      <c r="AP30" s="102"/>
      <c r="AQ30" s="102"/>
      <c r="AR30" s="102"/>
      <c r="AS30" s="102"/>
      <c r="AT30" s="483"/>
      <c r="AU30" s="484"/>
      <c r="AV30" s="484"/>
      <c r="AW30" s="485"/>
      <c r="AX30" s="478"/>
      <c r="AY30" s="479"/>
      <c r="AZ30" s="480"/>
      <c r="BA30" s="481"/>
      <c r="BB30" s="481"/>
      <c r="BC30" s="481"/>
      <c r="BD30" s="481"/>
      <c r="BE30" s="481"/>
      <c r="BF30" s="481"/>
      <c r="BG30" s="481"/>
      <c r="BH30" s="481"/>
      <c r="BI30" s="482"/>
      <c r="BL30" s="95"/>
    </row>
    <row r="31" spans="1:64" s="94" customFormat="1" ht="15" customHeight="1">
      <c r="A31" s="476">
        <f t="shared" si="0"/>
        <v>23</v>
      </c>
      <c r="B31" s="477"/>
      <c r="C31" s="107"/>
      <c r="D31" s="106"/>
      <c r="E31" s="106"/>
      <c r="F31" s="106"/>
      <c r="G31" s="106"/>
      <c r="H31" s="106"/>
      <c r="I31" s="106"/>
      <c r="J31" s="106"/>
      <c r="K31" s="106"/>
      <c r="L31" s="106"/>
      <c r="M31" s="106"/>
      <c r="N31" s="106"/>
      <c r="O31" s="106"/>
      <c r="P31" s="105"/>
      <c r="Q31" s="104"/>
      <c r="R31" s="102"/>
      <c r="S31" s="102"/>
      <c r="T31" s="102"/>
      <c r="U31" s="102"/>
      <c r="V31" s="102"/>
      <c r="W31" s="102"/>
      <c r="X31" s="102"/>
      <c r="Y31" s="103"/>
      <c r="Z31" s="102"/>
      <c r="AA31" s="102"/>
      <c r="AB31" s="102"/>
      <c r="AC31" s="103"/>
      <c r="AD31" s="102"/>
      <c r="AE31" s="102"/>
      <c r="AF31" s="102"/>
      <c r="AG31" s="102"/>
      <c r="AH31" s="102"/>
      <c r="AI31" s="102"/>
      <c r="AJ31" s="102"/>
      <c r="AK31" s="102"/>
      <c r="AL31" s="102"/>
      <c r="AM31" s="102"/>
      <c r="AN31" s="102"/>
      <c r="AO31" s="102"/>
      <c r="AP31" s="102"/>
      <c r="AQ31" s="102"/>
      <c r="AR31" s="102"/>
      <c r="AS31" s="102"/>
      <c r="AT31" s="483"/>
      <c r="AU31" s="484"/>
      <c r="AV31" s="484"/>
      <c r="AW31" s="485"/>
      <c r="AX31" s="478"/>
      <c r="AY31" s="479"/>
      <c r="AZ31" s="480"/>
      <c r="BA31" s="481"/>
      <c r="BB31" s="481"/>
      <c r="BC31" s="481"/>
      <c r="BD31" s="481"/>
      <c r="BE31" s="481"/>
      <c r="BF31" s="481"/>
      <c r="BG31" s="481"/>
      <c r="BH31" s="481"/>
      <c r="BI31" s="482"/>
      <c r="BL31" s="95"/>
    </row>
    <row r="32" spans="1:64" s="94" customFormat="1" ht="15" customHeight="1">
      <c r="A32" s="476">
        <f t="shared" si="0"/>
        <v>24</v>
      </c>
      <c r="B32" s="477"/>
      <c r="C32" s="107"/>
      <c r="D32" s="106"/>
      <c r="E32" s="106"/>
      <c r="F32" s="106"/>
      <c r="G32" s="106"/>
      <c r="H32" s="106"/>
      <c r="I32" s="106"/>
      <c r="J32" s="106"/>
      <c r="K32" s="106"/>
      <c r="L32" s="106"/>
      <c r="M32" s="106"/>
      <c r="N32" s="106"/>
      <c r="O32" s="106"/>
      <c r="P32" s="105"/>
      <c r="Q32" s="104"/>
      <c r="R32" s="102"/>
      <c r="S32" s="102"/>
      <c r="T32" s="102"/>
      <c r="U32" s="102"/>
      <c r="V32" s="102"/>
      <c r="W32" s="102"/>
      <c r="X32" s="102"/>
      <c r="Y32" s="103"/>
      <c r="Z32" s="102"/>
      <c r="AA32" s="102"/>
      <c r="AB32" s="102"/>
      <c r="AC32" s="103"/>
      <c r="AD32" s="102"/>
      <c r="AE32" s="102"/>
      <c r="AF32" s="102"/>
      <c r="AG32" s="102"/>
      <c r="AH32" s="102"/>
      <c r="AI32" s="102"/>
      <c r="AJ32" s="102"/>
      <c r="AK32" s="102"/>
      <c r="AL32" s="102"/>
      <c r="AM32" s="102"/>
      <c r="AN32" s="102"/>
      <c r="AO32" s="102"/>
      <c r="AP32" s="102"/>
      <c r="AQ32" s="102"/>
      <c r="AR32" s="102"/>
      <c r="AS32" s="102"/>
      <c r="AT32" s="483"/>
      <c r="AU32" s="484"/>
      <c r="AV32" s="484"/>
      <c r="AW32" s="485"/>
      <c r="AX32" s="478"/>
      <c r="AY32" s="479"/>
      <c r="AZ32" s="480"/>
      <c r="BA32" s="481"/>
      <c r="BB32" s="481"/>
      <c r="BC32" s="481"/>
      <c r="BD32" s="481"/>
      <c r="BE32" s="481"/>
      <c r="BF32" s="481"/>
      <c r="BG32" s="481"/>
      <c r="BH32" s="481"/>
      <c r="BI32" s="482"/>
      <c r="BL32" s="95"/>
    </row>
    <row r="33" spans="1:64" s="94" customFormat="1" ht="15" customHeight="1">
      <c r="A33" s="476">
        <f t="shared" si="0"/>
        <v>25</v>
      </c>
      <c r="B33" s="477"/>
      <c r="C33" s="107"/>
      <c r="D33" s="106"/>
      <c r="E33" s="106"/>
      <c r="F33" s="106"/>
      <c r="G33" s="106"/>
      <c r="H33" s="106"/>
      <c r="I33" s="106"/>
      <c r="J33" s="106"/>
      <c r="K33" s="106"/>
      <c r="L33" s="106"/>
      <c r="M33" s="106"/>
      <c r="N33" s="106"/>
      <c r="O33" s="106"/>
      <c r="P33" s="105"/>
      <c r="Q33" s="104"/>
      <c r="R33" s="102"/>
      <c r="S33" s="102"/>
      <c r="T33" s="102"/>
      <c r="U33" s="102"/>
      <c r="V33" s="102"/>
      <c r="W33" s="102"/>
      <c r="X33" s="102"/>
      <c r="Y33" s="103"/>
      <c r="Z33" s="102"/>
      <c r="AA33" s="102"/>
      <c r="AB33" s="102"/>
      <c r="AC33" s="103"/>
      <c r="AD33" s="102"/>
      <c r="AE33" s="102"/>
      <c r="AF33" s="102"/>
      <c r="AG33" s="102"/>
      <c r="AH33" s="102"/>
      <c r="AI33" s="102"/>
      <c r="AJ33" s="102"/>
      <c r="AK33" s="102"/>
      <c r="AL33" s="102"/>
      <c r="AM33" s="102"/>
      <c r="AN33" s="102"/>
      <c r="AO33" s="102"/>
      <c r="AP33" s="102"/>
      <c r="AQ33" s="102"/>
      <c r="AR33" s="102"/>
      <c r="AS33" s="102"/>
      <c r="AT33" s="483"/>
      <c r="AU33" s="484"/>
      <c r="AV33" s="484"/>
      <c r="AW33" s="485"/>
      <c r="AX33" s="478"/>
      <c r="AY33" s="479"/>
      <c r="AZ33" s="480"/>
      <c r="BA33" s="481"/>
      <c r="BB33" s="481"/>
      <c r="BC33" s="481"/>
      <c r="BD33" s="481"/>
      <c r="BE33" s="481"/>
      <c r="BF33" s="481"/>
      <c r="BG33" s="481"/>
      <c r="BH33" s="481"/>
      <c r="BI33" s="482"/>
      <c r="BL33" s="95"/>
    </row>
    <row r="34" spans="1:64" s="94" customFormat="1" ht="15" customHeight="1">
      <c r="A34" s="476">
        <f t="shared" si="0"/>
        <v>26</v>
      </c>
      <c r="B34" s="477"/>
      <c r="C34" s="107"/>
      <c r="D34" s="106"/>
      <c r="E34" s="106"/>
      <c r="F34" s="106"/>
      <c r="G34" s="106"/>
      <c r="H34" s="106"/>
      <c r="I34" s="106"/>
      <c r="J34" s="106"/>
      <c r="K34" s="106"/>
      <c r="L34" s="106"/>
      <c r="M34" s="106"/>
      <c r="N34" s="106"/>
      <c r="O34" s="106"/>
      <c r="P34" s="105"/>
      <c r="Q34" s="104"/>
      <c r="R34" s="102"/>
      <c r="S34" s="102"/>
      <c r="T34" s="102"/>
      <c r="U34" s="102"/>
      <c r="V34" s="102"/>
      <c r="W34" s="102"/>
      <c r="X34" s="102"/>
      <c r="Y34" s="103"/>
      <c r="Z34" s="102"/>
      <c r="AA34" s="102"/>
      <c r="AB34" s="102"/>
      <c r="AC34" s="103"/>
      <c r="AD34" s="102"/>
      <c r="AE34" s="102"/>
      <c r="AF34" s="102"/>
      <c r="AG34" s="102"/>
      <c r="AH34" s="102"/>
      <c r="AI34" s="102"/>
      <c r="AJ34" s="102"/>
      <c r="AK34" s="102"/>
      <c r="AL34" s="102"/>
      <c r="AM34" s="102"/>
      <c r="AN34" s="102"/>
      <c r="AO34" s="102"/>
      <c r="AP34" s="102"/>
      <c r="AQ34" s="102"/>
      <c r="AR34" s="102"/>
      <c r="AS34" s="102"/>
      <c r="AT34" s="483"/>
      <c r="AU34" s="484"/>
      <c r="AV34" s="484"/>
      <c r="AW34" s="485"/>
      <c r="AX34" s="478"/>
      <c r="AY34" s="479"/>
      <c r="AZ34" s="480"/>
      <c r="BA34" s="481"/>
      <c r="BB34" s="481"/>
      <c r="BC34" s="481"/>
      <c r="BD34" s="481"/>
      <c r="BE34" s="481"/>
      <c r="BF34" s="481"/>
      <c r="BG34" s="481"/>
      <c r="BH34" s="481"/>
      <c r="BI34" s="482"/>
      <c r="BL34" s="95"/>
    </row>
    <row r="35" spans="1:64" s="94" customFormat="1" ht="15" customHeight="1">
      <c r="A35" s="476">
        <f t="shared" si="0"/>
        <v>27</v>
      </c>
      <c r="B35" s="477"/>
      <c r="C35" s="107"/>
      <c r="D35" s="106"/>
      <c r="E35" s="106"/>
      <c r="F35" s="106"/>
      <c r="G35" s="106"/>
      <c r="H35" s="106"/>
      <c r="I35" s="106"/>
      <c r="J35" s="106"/>
      <c r="K35" s="106"/>
      <c r="L35" s="106"/>
      <c r="M35" s="106"/>
      <c r="N35" s="106"/>
      <c r="O35" s="106"/>
      <c r="P35" s="105"/>
      <c r="Q35" s="104"/>
      <c r="R35" s="102"/>
      <c r="S35" s="102"/>
      <c r="T35" s="102"/>
      <c r="U35" s="102"/>
      <c r="V35" s="102"/>
      <c r="W35" s="102"/>
      <c r="X35" s="102"/>
      <c r="Y35" s="103"/>
      <c r="Z35" s="102"/>
      <c r="AA35" s="102"/>
      <c r="AB35" s="102"/>
      <c r="AC35" s="103"/>
      <c r="AD35" s="102"/>
      <c r="AE35" s="102"/>
      <c r="AF35" s="102"/>
      <c r="AG35" s="102"/>
      <c r="AH35" s="102"/>
      <c r="AI35" s="102"/>
      <c r="AJ35" s="102"/>
      <c r="AK35" s="102"/>
      <c r="AL35" s="102"/>
      <c r="AM35" s="102"/>
      <c r="AN35" s="102"/>
      <c r="AO35" s="102"/>
      <c r="AP35" s="102"/>
      <c r="AQ35" s="102"/>
      <c r="AR35" s="102"/>
      <c r="AS35" s="102"/>
      <c r="AT35" s="483"/>
      <c r="AU35" s="484"/>
      <c r="AV35" s="484"/>
      <c r="AW35" s="485"/>
      <c r="AX35" s="478"/>
      <c r="AY35" s="479"/>
      <c r="AZ35" s="480"/>
      <c r="BA35" s="481"/>
      <c r="BB35" s="481"/>
      <c r="BC35" s="481"/>
      <c r="BD35" s="481"/>
      <c r="BE35" s="481"/>
      <c r="BF35" s="481"/>
      <c r="BG35" s="481"/>
      <c r="BH35" s="481"/>
      <c r="BI35" s="482"/>
      <c r="BL35" s="95"/>
    </row>
    <row r="36" spans="1:64" s="94" customFormat="1" ht="15" customHeight="1">
      <c r="A36" s="476">
        <f t="shared" si="0"/>
        <v>28</v>
      </c>
      <c r="B36" s="477"/>
      <c r="C36" s="107"/>
      <c r="D36" s="106"/>
      <c r="E36" s="106"/>
      <c r="F36" s="106"/>
      <c r="G36" s="106"/>
      <c r="H36" s="106"/>
      <c r="I36" s="106"/>
      <c r="J36" s="106"/>
      <c r="K36" s="106"/>
      <c r="L36" s="106"/>
      <c r="M36" s="106"/>
      <c r="N36" s="106"/>
      <c r="O36" s="106"/>
      <c r="P36" s="105"/>
      <c r="Q36" s="104"/>
      <c r="R36" s="102"/>
      <c r="S36" s="102"/>
      <c r="T36" s="102"/>
      <c r="U36" s="102"/>
      <c r="V36" s="102"/>
      <c r="W36" s="102"/>
      <c r="X36" s="102"/>
      <c r="Y36" s="103"/>
      <c r="Z36" s="102"/>
      <c r="AA36" s="102"/>
      <c r="AB36" s="102"/>
      <c r="AC36" s="103"/>
      <c r="AD36" s="102"/>
      <c r="AE36" s="102"/>
      <c r="AF36" s="102"/>
      <c r="AG36" s="102"/>
      <c r="AH36" s="102"/>
      <c r="AI36" s="102"/>
      <c r="AJ36" s="102"/>
      <c r="AK36" s="102"/>
      <c r="AL36" s="102"/>
      <c r="AM36" s="102"/>
      <c r="AN36" s="102"/>
      <c r="AO36" s="102"/>
      <c r="AP36" s="102"/>
      <c r="AQ36" s="102"/>
      <c r="AR36" s="102"/>
      <c r="AS36" s="102"/>
      <c r="AT36" s="483"/>
      <c r="AU36" s="484"/>
      <c r="AV36" s="484"/>
      <c r="AW36" s="485"/>
      <c r="AX36" s="478"/>
      <c r="AY36" s="479"/>
      <c r="AZ36" s="480"/>
      <c r="BA36" s="481"/>
      <c r="BB36" s="481"/>
      <c r="BC36" s="481"/>
      <c r="BD36" s="481"/>
      <c r="BE36" s="481"/>
      <c r="BF36" s="481"/>
      <c r="BG36" s="481"/>
      <c r="BH36" s="481"/>
      <c r="BI36" s="482"/>
      <c r="BL36" s="95"/>
    </row>
    <row r="37" spans="1:64" s="94" customFormat="1" ht="15" customHeight="1">
      <c r="A37" s="476">
        <f t="shared" si="0"/>
        <v>29</v>
      </c>
      <c r="B37" s="477"/>
      <c r="C37" s="107"/>
      <c r="D37" s="106"/>
      <c r="E37" s="106"/>
      <c r="F37" s="106"/>
      <c r="G37" s="106"/>
      <c r="H37" s="106"/>
      <c r="I37" s="106"/>
      <c r="J37" s="106"/>
      <c r="K37" s="106"/>
      <c r="L37" s="106"/>
      <c r="M37" s="106"/>
      <c r="N37" s="106"/>
      <c r="O37" s="106"/>
      <c r="P37" s="105"/>
      <c r="Q37" s="104"/>
      <c r="R37" s="102"/>
      <c r="S37" s="102"/>
      <c r="T37" s="102"/>
      <c r="U37" s="102"/>
      <c r="V37" s="102"/>
      <c r="W37" s="102"/>
      <c r="X37" s="102"/>
      <c r="Y37" s="103"/>
      <c r="Z37" s="102"/>
      <c r="AA37" s="102"/>
      <c r="AB37" s="102"/>
      <c r="AC37" s="103"/>
      <c r="AD37" s="102"/>
      <c r="AE37" s="102"/>
      <c r="AF37" s="102"/>
      <c r="AG37" s="102"/>
      <c r="AH37" s="102"/>
      <c r="AI37" s="102"/>
      <c r="AJ37" s="102"/>
      <c r="AK37" s="102"/>
      <c r="AL37" s="102"/>
      <c r="AM37" s="102"/>
      <c r="AN37" s="102"/>
      <c r="AO37" s="102"/>
      <c r="AP37" s="102"/>
      <c r="AQ37" s="102"/>
      <c r="AR37" s="102"/>
      <c r="AS37" s="102"/>
      <c r="AT37" s="483"/>
      <c r="AU37" s="484"/>
      <c r="AV37" s="484"/>
      <c r="AW37" s="485"/>
      <c r="AX37" s="478"/>
      <c r="AY37" s="479"/>
      <c r="AZ37" s="480"/>
      <c r="BA37" s="481"/>
      <c r="BB37" s="481"/>
      <c r="BC37" s="481"/>
      <c r="BD37" s="481"/>
      <c r="BE37" s="481"/>
      <c r="BF37" s="481"/>
      <c r="BG37" s="481"/>
      <c r="BH37" s="481"/>
      <c r="BI37" s="482"/>
      <c r="BL37" s="95"/>
    </row>
    <row r="38" spans="1:64" s="94" customFormat="1" ht="15" customHeight="1" thickBot="1">
      <c r="A38" s="501">
        <f t="shared" si="0"/>
        <v>30</v>
      </c>
      <c r="B38" s="502"/>
      <c r="C38" s="101"/>
      <c r="D38" s="100"/>
      <c r="E38" s="100"/>
      <c r="F38" s="100"/>
      <c r="G38" s="100"/>
      <c r="H38" s="100"/>
      <c r="I38" s="100"/>
      <c r="J38" s="100"/>
      <c r="K38" s="100"/>
      <c r="L38" s="100"/>
      <c r="M38" s="100"/>
      <c r="N38" s="100"/>
      <c r="O38" s="100"/>
      <c r="P38" s="99"/>
      <c r="Q38" s="98"/>
      <c r="R38" s="96"/>
      <c r="S38" s="96"/>
      <c r="T38" s="96"/>
      <c r="U38" s="96"/>
      <c r="V38" s="96"/>
      <c r="W38" s="96"/>
      <c r="X38" s="96"/>
      <c r="Y38" s="97"/>
      <c r="Z38" s="96"/>
      <c r="AA38" s="96"/>
      <c r="AB38" s="96"/>
      <c r="AC38" s="97"/>
      <c r="AD38" s="96"/>
      <c r="AE38" s="96"/>
      <c r="AF38" s="96"/>
      <c r="AG38" s="96"/>
      <c r="AH38" s="96"/>
      <c r="AI38" s="96"/>
      <c r="AJ38" s="96"/>
      <c r="AK38" s="96"/>
      <c r="AL38" s="96"/>
      <c r="AM38" s="96"/>
      <c r="AN38" s="96"/>
      <c r="AO38" s="96"/>
      <c r="AP38" s="96"/>
      <c r="AQ38" s="96"/>
      <c r="AR38" s="96"/>
      <c r="AS38" s="96"/>
      <c r="AT38" s="503"/>
      <c r="AU38" s="504"/>
      <c r="AV38" s="504"/>
      <c r="AW38" s="505"/>
      <c r="AX38" s="506"/>
      <c r="AY38" s="507"/>
      <c r="AZ38" s="508"/>
      <c r="BA38" s="509"/>
      <c r="BB38" s="509"/>
      <c r="BC38" s="509"/>
      <c r="BD38" s="509"/>
      <c r="BE38" s="509"/>
      <c r="BF38" s="509"/>
      <c r="BG38" s="509"/>
      <c r="BH38" s="509"/>
      <c r="BI38" s="510"/>
      <c r="BL38" s="95"/>
    </row>
  </sheetData>
  <mergeCells count="144">
    <mergeCell ref="A37:B37"/>
    <mergeCell ref="AT37:AW37"/>
    <mergeCell ref="AX37:AY37"/>
    <mergeCell ref="AZ37:BI37"/>
    <mergeCell ref="A38:B38"/>
    <mergeCell ref="AT38:AW38"/>
    <mergeCell ref="AX38:AY38"/>
    <mergeCell ref="AZ38:BI38"/>
    <mergeCell ref="A31:B31"/>
    <mergeCell ref="AT31:AW31"/>
    <mergeCell ref="AX31:AY31"/>
    <mergeCell ref="AZ31:BI31"/>
    <mergeCell ref="A32:B32"/>
    <mergeCell ref="AT32:AW32"/>
    <mergeCell ref="A34:B34"/>
    <mergeCell ref="AT34:AW34"/>
    <mergeCell ref="AX34:AY34"/>
    <mergeCell ref="AZ34:BI34"/>
    <mergeCell ref="AX32:AY32"/>
    <mergeCell ref="AZ32:BI32"/>
    <mergeCell ref="A33:B33"/>
    <mergeCell ref="AT33:AW33"/>
    <mergeCell ref="AX33:AY33"/>
    <mergeCell ref="AZ33:BI33"/>
    <mergeCell ref="A36:B36"/>
    <mergeCell ref="AT36:AW36"/>
    <mergeCell ref="AX36:AY36"/>
    <mergeCell ref="AZ36:BI36"/>
    <mergeCell ref="A35:B35"/>
    <mergeCell ref="AT35:AW35"/>
    <mergeCell ref="AX35:AY35"/>
    <mergeCell ref="AZ35:BI35"/>
    <mergeCell ref="A30:B30"/>
    <mergeCell ref="AT30:AW30"/>
    <mergeCell ref="AX30:AY30"/>
    <mergeCell ref="AZ30:BI30"/>
    <mergeCell ref="AZ11:BI11"/>
    <mergeCell ref="AZ12:BI12"/>
    <mergeCell ref="AZ13:BI13"/>
    <mergeCell ref="AZ14:BI14"/>
    <mergeCell ref="AZ15:BI15"/>
    <mergeCell ref="AZ16:BI16"/>
    <mergeCell ref="A28:B28"/>
    <mergeCell ref="AT28:AW28"/>
    <mergeCell ref="AX28:AY28"/>
    <mergeCell ref="AZ28:BI28"/>
    <mergeCell ref="AZ17:BI17"/>
    <mergeCell ref="AZ18:BI18"/>
    <mergeCell ref="AZ20:BI20"/>
    <mergeCell ref="AZ21:BI21"/>
    <mergeCell ref="AX25:AY25"/>
    <mergeCell ref="A21:B21"/>
    <mergeCell ref="AT21:AW21"/>
    <mergeCell ref="A18:B18"/>
    <mergeCell ref="A19:B19"/>
    <mergeCell ref="AX26:AY26"/>
    <mergeCell ref="AZ24:BI24"/>
    <mergeCell ref="AX21:AY21"/>
    <mergeCell ref="AZ22:BI22"/>
    <mergeCell ref="AZ19:BI19"/>
    <mergeCell ref="A29:B29"/>
    <mergeCell ref="AT29:AW29"/>
    <mergeCell ref="AX29:AY29"/>
    <mergeCell ref="AZ29:BI29"/>
    <mergeCell ref="AZ27:BI27"/>
    <mergeCell ref="A22:B22"/>
    <mergeCell ref="AT22:AW22"/>
    <mergeCell ref="AX22:AY22"/>
    <mergeCell ref="A26:B26"/>
    <mergeCell ref="AT26:AW26"/>
    <mergeCell ref="AZ25:BI25"/>
    <mergeCell ref="AZ26:BI26"/>
    <mergeCell ref="A27:B27"/>
    <mergeCell ref="AT27:AW27"/>
    <mergeCell ref="AX27:AY27"/>
    <mergeCell ref="A23:B23"/>
    <mergeCell ref="AT23:AW23"/>
    <mergeCell ref="AX23:AY23"/>
    <mergeCell ref="A24:B24"/>
    <mergeCell ref="AT24:AW24"/>
    <mergeCell ref="AZ23:BI23"/>
    <mergeCell ref="AX24:AY24"/>
    <mergeCell ref="A25:B25"/>
    <mergeCell ref="AT25:AW25"/>
    <mergeCell ref="AT20:AW20"/>
    <mergeCell ref="A9:B9"/>
    <mergeCell ref="C8:P8"/>
    <mergeCell ref="AT9:AW9"/>
    <mergeCell ref="Q8:AS8"/>
    <mergeCell ref="AX9:AY9"/>
    <mergeCell ref="AT12:AW12"/>
    <mergeCell ref="AT14:AW14"/>
    <mergeCell ref="AT15:AW15"/>
    <mergeCell ref="AT16:AW16"/>
    <mergeCell ref="AT13:AW13"/>
    <mergeCell ref="AX17:AY17"/>
    <mergeCell ref="AX20:AY20"/>
    <mergeCell ref="AX16:AY16"/>
    <mergeCell ref="AT18:AW18"/>
    <mergeCell ref="AX18:AY18"/>
    <mergeCell ref="AT19:AW19"/>
    <mergeCell ref="AX13:AY13"/>
    <mergeCell ref="AX14:AY14"/>
    <mergeCell ref="AT17:AW17"/>
    <mergeCell ref="AX19:AY19"/>
    <mergeCell ref="A17:B17"/>
    <mergeCell ref="A20:B20"/>
    <mergeCell ref="A16:B16"/>
    <mergeCell ref="A1:E3"/>
    <mergeCell ref="A10:B10"/>
    <mergeCell ref="AX10:AY10"/>
    <mergeCell ref="AZ10:BI10"/>
    <mergeCell ref="AT10:AW10"/>
    <mergeCell ref="AX12:AY12"/>
    <mergeCell ref="A14:B14"/>
    <mergeCell ref="A15:B15"/>
    <mergeCell ref="BB1:BI1"/>
    <mergeCell ref="AT2:AU2"/>
    <mergeCell ref="AV2:BA2"/>
    <mergeCell ref="BB2:BI2"/>
    <mergeCell ref="AZ8:BI8"/>
    <mergeCell ref="AT8:AW8"/>
    <mergeCell ref="AX8:AY8"/>
    <mergeCell ref="AX15:AY15"/>
    <mergeCell ref="AZ9:BI9"/>
    <mergeCell ref="A13:B13"/>
    <mergeCell ref="A11:B11"/>
    <mergeCell ref="AT11:AW11"/>
    <mergeCell ref="AX11:AY11"/>
    <mergeCell ref="A12:B12"/>
    <mergeCell ref="AT7:BI7"/>
    <mergeCell ref="A8:B8"/>
    <mergeCell ref="AT3:AU3"/>
    <mergeCell ref="AV3:BA3"/>
    <mergeCell ref="BB3:BI3"/>
    <mergeCell ref="AT1:BA1"/>
    <mergeCell ref="AE1:AS1"/>
    <mergeCell ref="F2:P3"/>
    <mergeCell ref="Q2:V3"/>
    <mergeCell ref="W2:AD3"/>
    <mergeCell ref="AE2:AS3"/>
    <mergeCell ref="W1:AD1"/>
    <mergeCell ref="F1:P1"/>
    <mergeCell ref="Q1:V1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scale="85" orientation="landscape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15EAE9-123A-437F-A008-5B5A529C1E78}">
  <dimension ref="A1:BI40"/>
  <sheetViews>
    <sheetView showGridLines="0" zoomScaleNormal="100" workbookViewId="0">
      <selection sqref="A1:E3"/>
    </sheetView>
  </sheetViews>
  <sheetFormatPr defaultColWidth="2.33203125" defaultRowHeight="15" customHeight="1"/>
  <cols>
    <col min="1" max="16384" width="2.33203125" style="43"/>
  </cols>
  <sheetData>
    <row r="1" spans="1:61" s="1" customFormat="1" ht="15" customHeight="1" thickBot="1">
      <c r="A1" s="245" t="s">
        <v>32</v>
      </c>
      <c r="B1" s="246"/>
      <c r="C1" s="246"/>
      <c r="D1" s="246"/>
      <c r="E1" s="247"/>
      <c r="F1" s="254" t="str">
        <f>変更履歴!F1</f>
        <v>システム名</v>
      </c>
      <c r="G1" s="255"/>
      <c r="H1" s="255"/>
      <c r="I1" s="255"/>
      <c r="J1" s="255"/>
      <c r="K1" s="255"/>
      <c r="L1" s="255"/>
      <c r="M1" s="255"/>
      <c r="N1" s="255"/>
      <c r="O1" s="255"/>
      <c r="P1" s="256"/>
      <c r="Q1" s="257" t="str">
        <f>変更履歴!Q1</f>
        <v>機能分類</v>
      </c>
      <c r="R1" s="258"/>
      <c r="S1" s="258"/>
      <c r="T1" s="258"/>
      <c r="U1" s="258"/>
      <c r="V1" s="259"/>
      <c r="W1" s="254" t="str">
        <f>変更履歴!W1</f>
        <v>機能ＩＤ</v>
      </c>
      <c r="X1" s="255"/>
      <c r="Y1" s="255"/>
      <c r="Z1" s="255"/>
      <c r="AA1" s="255"/>
      <c r="AB1" s="255"/>
      <c r="AC1" s="255"/>
      <c r="AD1" s="256"/>
      <c r="AE1" s="254" t="str">
        <f>変更履歴!AE1</f>
        <v>機能名称</v>
      </c>
      <c r="AF1" s="255"/>
      <c r="AG1" s="255"/>
      <c r="AH1" s="255"/>
      <c r="AI1" s="255"/>
      <c r="AJ1" s="255"/>
      <c r="AK1" s="255"/>
      <c r="AL1" s="255"/>
      <c r="AM1" s="255"/>
      <c r="AN1" s="255"/>
      <c r="AO1" s="255"/>
      <c r="AP1" s="255"/>
      <c r="AQ1" s="255"/>
      <c r="AR1" s="255"/>
      <c r="AS1" s="256"/>
      <c r="AT1" s="260" t="str">
        <f>変更履歴!AT1</f>
        <v>日付</v>
      </c>
      <c r="AU1" s="261"/>
      <c r="AV1" s="261"/>
      <c r="AW1" s="261"/>
      <c r="AX1" s="261"/>
      <c r="AY1" s="261"/>
      <c r="AZ1" s="261"/>
      <c r="BA1" s="262"/>
      <c r="BB1" s="217" t="str">
        <f>変更履歴!BB1</f>
        <v>更新者</v>
      </c>
      <c r="BC1" s="219"/>
      <c r="BD1" s="219"/>
      <c r="BE1" s="219"/>
      <c r="BF1" s="219"/>
      <c r="BG1" s="219"/>
      <c r="BH1" s="219"/>
      <c r="BI1" s="220"/>
    </row>
    <row r="2" spans="1:61" s="1" customFormat="1" ht="15" customHeight="1">
      <c r="A2" s="248"/>
      <c r="B2" s="249"/>
      <c r="C2" s="249"/>
      <c r="D2" s="249"/>
      <c r="E2" s="250"/>
      <c r="F2" s="221" t="str">
        <f>変更履歴!F2</f>
        <v>Dynamics365 for Finance and Operations</v>
      </c>
      <c r="G2" s="222"/>
      <c r="H2" s="222"/>
      <c r="I2" s="222"/>
      <c r="J2" s="222"/>
      <c r="K2" s="222"/>
      <c r="L2" s="222"/>
      <c r="M2" s="222"/>
      <c r="N2" s="222"/>
      <c r="O2" s="222"/>
      <c r="P2" s="223"/>
      <c r="Q2" s="221" t="str">
        <f>変更履歴!Q2</f>
        <v>債権・債務</v>
      </c>
      <c r="R2" s="222"/>
      <c r="S2" s="222"/>
      <c r="T2" s="222"/>
      <c r="U2" s="222"/>
      <c r="V2" s="223"/>
      <c r="W2" s="227" t="str">
        <f>変更履歴!W2</f>
        <v>FO-006</v>
      </c>
      <c r="X2" s="228"/>
      <c r="Y2" s="228"/>
      <c r="Z2" s="228"/>
      <c r="AA2" s="228"/>
      <c r="AB2" s="228"/>
      <c r="AC2" s="228"/>
      <c r="AD2" s="229"/>
      <c r="AE2" s="221" t="str">
        <f>変更履歴!AE2</f>
        <v>支払方法・支払サイトマスタ画面</v>
      </c>
      <c r="AF2" s="222"/>
      <c r="AG2" s="222"/>
      <c r="AH2" s="222"/>
      <c r="AI2" s="222"/>
      <c r="AJ2" s="222"/>
      <c r="AK2" s="222"/>
      <c r="AL2" s="222"/>
      <c r="AM2" s="222"/>
      <c r="AN2" s="222"/>
      <c r="AO2" s="222"/>
      <c r="AP2" s="222"/>
      <c r="AQ2" s="222"/>
      <c r="AR2" s="222"/>
      <c r="AS2" s="223"/>
      <c r="AT2" s="233" t="str">
        <f>変更履歴!AT2</f>
        <v>作成</v>
      </c>
      <c r="AU2" s="234"/>
      <c r="AV2" s="235">
        <f>変更履歴!AV2</f>
        <v>45448</v>
      </c>
      <c r="AW2" s="235"/>
      <c r="AX2" s="235"/>
      <c r="AY2" s="235"/>
      <c r="AZ2" s="235"/>
      <c r="BA2" s="236"/>
      <c r="BB2" s="237" t="str">
        <f>変更履歴!BB2</f>
        <v>JBS井田</v>
      </c>
      <c r="BC2" s="239"/>
      <c r="BD2" s="239"/>
      <c r="BE2" s="239"/>
      <c r="BF2" s="239"/>
      <c r="BG2" s="239"/>
      <c r="BH2" s="239"/>
      <c r="BI2" s="240"/>
    </row>
    <row r="3" spans="1:61" s="1" customFormat="1" ht="15" customHeight="1" thickBot="1">
      <c r="A3" s="251"/>
      <c r="B3" s="252"/>
      <c r="C3" s="252"/>
      <c r="D3" s="252"/>
      <c r="E3" s="253"/>
      <c r="F3" s="224"/>
      <c r="G3" s="225"/>
      <c r="H3" s="225"/>
      <c r="I3" s="225"/>
      <c r="J3" s="225"/>
      <c r="K3" s="225"/>
      <c r="L3" s="225"/>
      <c r="M3" s="225"/>
      <c r="N3" s="225"/>
      <c r="O3" s="225"/>
      <c r="P3" s="226"/>
      <c r="Q3" s="224"/>
      <c r="R3" s="225"/>
      <c r="S3" s="225"/>
      <c r="T3" s="225"/>
      <c r="U3" s="225"/>
      <c r="V3" s="226"/>
      <c r="W3" s="230"/>
      <c r="X3" s="231"/>
      <c r="Y3" s="231"/>
      <c r="Z3" s="231"/>
      <c r="AA3" s="231"/>
      <c r="AB3" s="231"/>
      <c r="AC3" s="231"/>
      <c r="AD3" s="232"/>
      <c r="AE3" s="224"/>
      <c r="AF3" s="225"/>
      <c r="AG3" s="225"/>
      <c r="AH3" s="225"/>
      <c r="AI3" s="225"/>
      <c r="AJ3" s="225"/>
      <c r="AK3" s="225"/>
      <c r="AL3" s="225"/>
      <c r="AM3" s="225"/>
      <c r="AN3" s="225"/>
      <c r="AO3" s="225"/>
      <c r="AP3" s="225"/>
      <c r="AQ3" s="225"/>
      <c r="AR3" s="225"/>
      <c r="AS3" s="226"/>
      <c r="AT3" s="241" t="str">
        <f>変更履歴!AT3</f>
        <v>更新</v>
      </c>
      <c r="AU3" s="242"/>
      <c r="AV3" s="290">
        <f ca="1">変更履歴!AV3</f>
        <v>45589</v>
      </c>
      <c r="AW3" s="291"/>
      <c r="AX3" s="291"/>
      <c r="AY3" s="291"/>
      <c r="AZ3" s="291"/>
      <c r="BA3" s="292"/>
      <c r="BB3" s="294" t="str">
        <f ca="1">変更履歴!BB3</f>
        <v>JBS井田</v>
      </c>
      <c r="BC3" s="295"/>
      <c r="BD3" s="295"/>
      <c r="BE3" s="295"/>
      <c r="BF3" s="295"/>
      <c r="BG3" s="295"/>
      <c r="BH3" s="295"/>
      <c r="BI3" s="296"/>
    </row>
    <row r="4" spans="1:61" s="20" customFormat="1" ht="15" customHeight="1" thickBot="1">
      <c r="A4" s="339"/>
      <c r="B4" s="339"/>
      <c r="C4" s="339"/>
      <c r="D4" s="339"/>
      <c r="E4" s="339"/>
      <c r="F4" s="339"/>
      <c r="G4" s="339"/>
      <c r="H4" s="339"/>
      <c r="I4" s="339"/>
    </row>
    <row r="5" spans="1:61" s="1" customFormat="1" ht="15" customHeight="1">
      <c r="A5" s="74" t="s">
        <v>184</v>
      </c>
      <c r="B5" s="75"/>
      <c r="C5" s="75"/>
      <c r="D5" s="75"/>
      <c r="E5" s="75"/>
      <c r="F5" s="75"/>
      <c r="G5" s="75"/>
      <c r="H5" s="75"/>
      <c r="I5" s="75"/>
      <c r="J5" s="75"/>
      <c r="K5" s="75"/>
      <c r="L5" s="76"/>
      <c r="M5" s="39" t="s">
        <v>60</v>
      </c>
      <c r="N5" s="39"/>
      <c r="O5" s="39"/>
      <c r="P5" s="39"/>
      <c r="Q5" s="39"/>
      <c r="R5" s="39"/>
      <c r="S5" s="39"/>
      <c r="T5" s="39"/>
      <c r="U5" s="39"/>
      <c r="V5" s="39"/>
      <c r="W5" s="39"/>
      <c r="X5" s="39"/>
      <c r="Y5" s="39"/>
      <c r="Z5" s="39"/>
      <c r="AA5" s="39"/>
      <c r="AB5" s="39"/>
      <c r="AC5" s="39"/>
      <c r="AD5" s="39"/>
      <c r="AE5" s="39"/>
      <c r="AF5" s="39"/>
      <c r="AG5" s="39"/>
      <c r="AH5" s="39"/>
      <c r="AI5" s="39"/>
      <c r="AJ5" s="39"/>
      <c r="AK5" s="39"/>
      <c r="AL5" s="39"/>
      <c r="AM5" s="39"/>
      <c r="AN5" s="39"/>
      <c r="AO5" s="39"/>
      <c r="AP5" s="39"/>
      <c r="AQ5" s="39"/>
      <c r="AR5" s="39"/>
      <c r="AS5" s="39"/>
      <c r="AT5" s="39"/>
      <c r="AU5" s="39"/>
      <c r="AV5" s="39"/>
      <c r="AW5" s="39"/>
      <c r="AX5" s="39"/>
      <c r="AY5" s="39"/>
      <c r="AZ5" s="39"/>
      <c r="BA5" s="39"/>
      <c r="BB5" s="39"/>
      <c r="BC5" s="39"/>
      <c r="BD5" s="39"/>
      <c r="BE5" s="39"/>
      <c r="BF5" s="39"/>
      <c r="BG5" s="39"/>
      <c r="BH5" s="39"/>
      <c r="BI5" s="40"/>
    </row>
    <row r="6" spans="1:61" s="1" customFormat="1" ht="15" customHeight="1">
      <c r="A6" s="77" t="s">
        <v>185</v>
      </c>
      <c r="B6" s="78"/>
      <c r="C6" s="78"/>
      <c r="D6" s="78"/>
      <c r="E6" s="78"/>
      <c r="F6" s="78"/>
      <c r="G6" s="78"/>
      <c r="H6" s="78"/>
      <c r="I6" s="78"/>
      <c r="J6" s="78"/>
      <c r="K6" s="78"/>
      <c r="L6" s="79"/>
      <c r="M6" s="37" t="s">
        <v>59</v>
      </c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8"/>
    </row>
    <row r="7" spans="1:61" s="1" customFormat="1" ht="15" customHeight="1" thickBot="1">
      <c r="A7" s="80" t="s">
        <v>186</v>
      </c>
      <c r="B7" s="81"/>
      <c r="C7" s="81"/>
      <c r="D7" s="81"/>
      <c r="E7" s="81"/>
      <c r="F7" s="81"/>
      <c r="G7" s="81"/>
      <c r="H7" s="81"/>
      <c r="I7" s="81"/>
      <c r="J7" s="81"/>
      <c r="K7" s="81"/>
      <c r="L7" s="82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1"/>
      <c r="AG7" s="21"/>
      <c r="AH7" s="21"/>
      <c r="AI7" s="21"/>
      <c r="AJ7" s="21"/>
      <c r="AK7" s="21"/>
      <c r="AL7" s="21"/>
      <c r="AM7" s="21"/>
      <c r="AN7" s="21"/>
      <c r="AO7" s="21"/>
      <c r="AP7" s="21"/>
      <c r="AQ7" s="21"/>
      <c r="AR7" s="21"/>
      <c r="AS7" s="21"/>
      <c r="AT7" s="21"/>
      <c r="AU7" s="21"/>
      <c r="AV7" s="21"/>
      <c r="AW7" s="21"/>
      <c r="AX7" s="21"/>
      <c r="AY7" s="21"/>
      <c r="AZ7" s="21"/>
      <c r="BA7" s="21"/>
      <c r="BB7" s="21"/>
      <c r="BC7" s="21"/>
      <c r="BD7" s="21"/>
      <c r="BE7" s="21"/>
      <c r="BF7" s="21"/>
      <c r="BG7" s="21"/>
      <c r="BH7" s="21"/>
      <c r="BI7" s="22"/>
    </row>
    <row r="8" spans="1:61" s="1" customFormat="1" ht="15" customHeight="1" thickBot="1">
      <c r="A8" s="317" t="s">
        <v>52</v>
      </c>
      <c r="B8" s="318"/>
      <c r="C8" s="317" t="s">
        <v>54</v>
      </c>
      <c r="D8" s="326"/>
      <c r="E8" s="326"/>
      <c r="F8" s="326"/>
      <c r="G8" s="326"/>
      <c r="H8" s="326"/>
      <c r="I8" s="326"/>
      <c r="J8" s="326"/>
      <c r="K8" s="326"/>
      <c r="L8" s="318"/>
      <c r="M8" s="317" t="s">
        <v>55</v>
      </c>
      <c r="N8" s="326"/>
      <c r="O8" s="326"/>
      <c r="P8" s="326"/>
      <c r="Q8" s="326"/>
      <c r="R8" s="326"/>
      <c r="S8" s="326"/>
      <c r="T8" s="326"/>
      <c r="U8" s="326"/>
      <c r="V8" s="318"/>
      <c r="W8" s="317" t="s">
        <v>181</v>
      </c>
      <c r="X8" s="326"/>
      <c r="Y8" s="326"/>
      <c r="Z8" s="326"/>
      <c r="AA8" s="326"/>
      <c r="AB8" s="326"/>
      <c r="AC8" s="326"/>
      <c r="AD8" s="326"/>
      <c r="AE8" s="326"/>
      <c r="AF8" s="326"/>
      <c r="AG8" s="326"/>
      <c r="AH8" s="326"/>
      <c r="AI8" s="326"/>
      <c r="AJ8" s="326"/>
      <c r="AK8" s="326"/>
      <c r="AL8" s="326"/>
      <c r="AM8" s="326"/>
      <c r="AN8" s="326"/>
      <c r="AO8" s="326"/>
      <c r="AP8" s="326"/>
      <c r="AQ8" s="326"/>
      <c r="AR8" s="326"/>
      <c r="AS8" s="326"/>
      <c r="AT8" s="326"/>
      <c r="AU8" s="326"/>
      <c r="AV8" s="326"/>
      <c r="AW8" s="326"/>
      <c r="AX8" s="326"/>
      <c r="AY8" s="318"/>
      <c r="AZ8" s="317" t="s">
        <v>57</v>
      </c>
      <c r="BA8" s="326"/>
      <c r="BB8" s="326"/>
      <c r="BC8" s="326"/>
      <c r="BD8" s="326"/>
      <c r="BE8" s="326"/>
      <c r="BF8" s="326"/>
      <c r="BG8" s="326"/>
      <c r="BH8" s="326"/>
      <c r="BI8" s="318"/>
    </row>
    <row r="9" spans="1:61" s="1" customFormat="1" ht="15" customHeight="1">
      <c r="A9" s="519">
        <f>ROW()-8</f>
        <v>1</v>
      </c>
      <c r="B9" s="520"/>
      <c r="C9" s="310" t="s">
        <v>111</v>
      </c>
      <c r="D9" s="311"/>
      <c r="E9" s="311"/>
      <c r="F9" s="311"/>
      <c r="G9" s="311"/>
      <c r="H9" s="311"/>
      <c r="I9" s="311"/>
      <c r="J9" s="311"/>
      <c r="K9" s="311"/>
      <c r="L9" s="312"/>
      <c r="M9" s="310" t="s">
        <v>187</v>
      </c>
      <c r="N9" s="311"/>
      <c r="O9" s="311"/>
      <c r="P9" s="311"/>
      <c r="Q9" s="311"/>
      <c r="R9" s="311"/>
      <c r="S9" s="311"/>
      <c r="T9" s="311"/>
      <c r="U9" s="311"/>
      <c r="V9" s="312"/>
      <c r="W9" s="396" t="s">
        <v>188</v>
      </c>
      <c r="X9" s="293"/>
      <c r="Y9" s="293"/>
      <c r="Z9" s="293"/>
      <c r="AA9" s="293"/>
      <c r="AB9" s="293"/>
      <c r="AC9" s="293"/>
      <c r="AD9" s="293"/>
      <c r="AE9" s="293"/>
      <c r="AF9" s="293"/>
      <c r="AG9" s="293"/>
      <c r="AH9" s="293"/>
      <c r="AI9" s="293"/>
      <c r="AJ9" s="293"/>
      <c r="AK9" s="293"/>
      <c r="AL9" s="293"/>
      <c r="AM9" s="293"/>
      <c r="AN9" s="293"/>
      <c r="AO9" s="293"/>
      <c r="AP9" s="293"/>
      <c r="AQ9" s="293"/>
      <c r="AR9" s="293"/>
      <c r="AS9" s="293"/>
      <c r="AT9" s="293"/>
      <c r="AU9" s="293"/>
      <c r="AV9" s="293"/>
      <c r="AW9" s="293"/>
      <c r="AX9" s="293"/>
      <c r="AY9" s="518"/>
      <c r="AZ9" s="310"/>
      <c r="BA9" s="311"/>
      <c r="BB9" s="311"/>
      <c r="BC9" s="311"/>
      <c r="BD9" s="311"/>
      <c r="BE9" s="311"/>
      <c r="BF9" s="311"/>
      <c r="BG9" s="311"/>
      <c r="BH9" s="311"/>
      <c r="BI9" s="312"/>
    </row>
    <row r="10" spans="1:61" s="1" customFormat="1" ht="13.5">
      <c r="A10" s="313">
        <f>ROW()-8</f>
        <v>2</v>
      </c>
      <c r="B10" s="314"/>
      <c r="C10" s="297" t="s">
        <v>189</v>
      </c>
      <c r="D10" s="298"/>
      <c r="E10" s="298"/>
      <c r="F10" s="298"/>
      <c r="G10" s="298"/>
      <c r="H10" s="298"/>
      <c r="I10" s="298"/>
      <c r="J10" s="298"/>
      <c r="K10" s="298"/>
      <c r="L10" s="299"/>
      <c r="M10" s="297" t="s">
        <v>190</v>
      </c>
      <c r="N10" s="298"/>
      <c r="O10" s="298"/>
      <c r="P10" s="298"/>
      <c r="Q10" s="298"/>
      <c r="R10" s="298"/>
      <c r="S10" s="298"/>
      <c r="T10" s="298"/>
      <c r="U10" s="298"/>
      <c r="V10" s="298"/>
      <c r="W10" s="297" t="s">
        <v>191</v>
      </c>
      <c r="X10" s="298"/>
      <c r="Y10" s="298"/>
      <c r="Z10" s="298"/>
      <c r="AA10" s="298"/>
      <c r="AB10" s="298"/>
      <c r="AC10" s="298"/>
      <c r="AD10" s="298"/>
      <c r="AE10" s="298"/>
      <c r="AF10" s="298"/>
      <c r="AG10" s="298"/>
      <c r="AH10" s="298"/>
      <c r="AI10" s="298"/>
      <c r="AJ10" s="298"/>
      <c r="AK10" s="298"/>
      <c r="AL10" s="298"/>
      <c r="AM10" s="298"/>
      <c r="AN10" s="298"/>
      <c r="AO10" s="298"/>
      <c r="AP10" s="298"/>
      <c r="AQ10" s="298"/>
      <c r="AR10" s="298"/>
      <c r="AS10" s="298"/>
      <c r="AT10" s="298"/>
      <c r="AU10" s="298"/>
      <c r="AV10" s="298"/>
      <c r="AW10" s="298"/>
      <c r="AX10" s="298"/>
      <c r="AY10" s="299"/>
      <c r="AZ10" s="298"/>
      <c r="BA10" s="298"/>
      <c r="BB10" s="298"/>
      <c r="BC10" s="298"/>
      <c r="BD10" s="298"/>
      <c r="BE10" s="298"/>
      <c r="BF10" s="298"/>
      <c r="BG10" s="298"/>
      <c r="BH10" s="298"/>
      <c r="BI10" s="299"/>
    </row>
    <row r="11" spans="1:61" s="1" customFormat="1" ht="13.5">
      <c r="A11" s="313">
        <f t="shared" ref="A11:A40" si="0">ROW()-8</f>
        <v>3</v>
      </c>
      <c r="B11" s="314"/>
      <c r="C11" s="297" t="s">
        <v>192</v>
      </c>
      <c r="D11" s="298"/>
      <c r="E11" s="298"/>
      <c r="F11" s="298"/>
      <c r="G11" s="298"/>
      <c r="H11" s="298"/>
      <c r="I11" s="298"/>
      <c r="J11" s="298"/>
      <c r="K11" s="298"/>
      <c r="L11" s="299"/>
      <c r="M11" s="297" t="s">
        <v>193</v>
      </c>
      <c r="N11" s="298"/>
      <c r="O11" s="298"/>
      <c r="P11" s="298"/>
      <c r="Q11" s="298"/>
      <c r="R11" s="298"/>
      <c r="S11" s="298"/>
      <c r="T11" s="298"/>
      <c r="U11" s="298"/>
      <c r="V11" s="299"/>
      <c r="W11" s="514" t="s">
        <v>194</v>
      </c>
      <c r="X11" s="465"/>
      <c r="Y11" s="465"/>
      <c r="Z11" s="465"/>
      <c r="AA11" s="465"/>
      <c r="AB11" s="465"/>
      <c r="AC11" s="465"/>
      <c r="AD11" s="465"/>
      <c r="AE11" s="465"/>
      <c r="AF11" s="465"/>
      <c r="AG11" s="465"/>
      <c r="AH11" s="465"/>
      <c r="AI11" s="465"/>
      <c r="AJ11" s="465"/>
      <c r="AK11" s="465"/>
      <c r="AL11" s="465"/>
      <c r="AM11" s="465"/>
      <c r="AN11" s="465"/>
      <c r="AO11" s="465"/>
      <c r="AP11" s="465"/>
      <c r="AQ11" s="465"/>
      <c r="AR11" s="465"/>
      <c r="AS11" s="465"/>
      <c r="AT11" s="465"/>
      <c r="AU11" s="465"/>
      <c r="AV11" s="465"/>
      <c r="AW11" s="465"/>
      <c r="AX11" s="465"/>
      <c r="AY11" s="515"/>
      <c r="AZ11" s="297"/>
      <c r="BA11" s="298"/>
      <c r="BB11" s="298"/>
      <c r="BC11" s="298"/>
      <c r="BD11" s="298"/>
      <c r="BE11" s="298"/>
      <c r="BF11" s="298"/>
      <c r="BG11" s="298"/>
      <c r="BH11" s="298"/>
      <c r="BI11" s="299"/>
    </row>
    <row r="12" spans="1:61" s="1" customFormat="1" ht="13.5">
      <c r="A12" s="313">
        <f t="shared" si="0"/>
        <v>4</v>
      </c>
      <c r="B12" s="314"/>
      <c r="C12" s="297" t="s">
        <v>129</v>
      </c>
      <c r="D12" s="298"/>
      <c r="E12" s="298"/>
      <c r="F12" s="298"/>
      <c r="G12" s="298"/>
      <c r="H12" s="298"/>
      <c r="I12" s="298"/>
      <c r="J12" s="298"/>
      <c r="K12" s="298"/>
      <c r="L12" s="299"/>
      <c r="M12" s="297" t="s">
        <v>195</v>
      </c>
      <c r="N12" s="298"/>
      <c r="O12" s="298"/>
      <c r="P12" s="298"/>
      <c r="Q12" s="298"/>
      <c r="R12" s="298"/>
      <c r="S12" s="298"/>
      <c r="T12" s="298"/>
      <c r="U12" s="298"/>
      <c r="V12" s="299"/>
      <c r="W12" s="511" t="s">
        <v>196</v>
      </c>
      <c r="X12" s="512"/>
      <c r="Y12" s="512"/>
      <c r="Z12" s="512"/>
      <c r="AA12" s="512"/>
      <c r="AB12" s="512"/>
      <c r="AC12" s="512"/>
      <c r="AD12" s="512"/>
      <c r="AE12" s="512"/>
      <c r="AF12" s="512"/>
      <c r="AG12" s="512"/>
      <c r="AH12" s="512"/>
      <c r="AI12" s="512"/>
      <c r="AJ12" s="512"/>
      <c r="AK12" s="512"/>
      <c r="AL12" s="512"/>
      <c r="AM12" s="512"/>
      <c r="AN12" s="512"/>
      <c r="AO12" s="512"/>
      <c r="AP12" s="512"/>
      <c r="AQ12" s="512"/>
      <c r="AR12" s="512"/>
      <c r="AS12" s="512"/>
      <c r="AT12" s="512"/>
      <c r="AU12" s="512"/>
      <c r="AV12" s="512"/>
      <c r="AW12" s="512"/>
      <c r="AX12" s="512"/>
      <c r="AY12" s="513"/>
      <c r="AZ12" s="297"/>
      <c r="BA12" s="298"/>
      <c r="BB12" s="298"/>
      <c r="BC12" s="298"/>
      <c r="BD12" s="298"/>
      <c r="BE12" s="298"/>
      <c r="BF12" s="298"/>
      <c r="BG12" s="298"/>
      <c r="BH12" s="298"/>
      <c r="BI12" s="299"/>
    </row>
    <row r="13" spans="1:61" s="1" customFormat="1" ht="13.5">
      <c r="A13" s="313">
        <f t="shared" si="0"/>
        <v>5</v>
      </c>
      <c r="B13" s="314"/>
      <c r="C13" s="297" t="s">
        <v>132</v>
      </c>
      <c r="D13" s="298"/>
      <c r="E13" s="298"/>
      <c r="F13" s="298"/>
      <c r="G13" s="298"/>
      <c r="H13" s="298"/>
      <c r="I13" s="298"/>
      <c r="J13" s="298"/>
      <c r="K13" s="298"/>
      <c r="L13" s="299"/>
      <c r="M13" s="297" t="s">
        <v>197</v>
      </c>
      <c r="N13" s="298"/>
      <c r="O13" s="298"/>
      <c r="P13" s="298"/>
      <c r="Q13" s="298"/>
      <c r="R13" s="298"/>
      <c r="S13" s="298"/>
      <c r="T13" s="298"/>
      <c r="U13" s="298"/>
      <c r="V13" s="299"/>
      <c r="W13" s="511" t="s">
        <v>198</v>
      </c>
      <c r="X13" s="512"/>
      <c r="Y13" s="512"/>
      <c r="Z13" s="512"/>
      <c r="AA13" s="512"/>
      <c r="AB13" s="512"/>
      <c r="AC13" s="512"/>
      <c r="AD13" s="512"/>
      <c r="AE13" s="512"/>
      <c r="AF13" s="512"/>
      <c r="AG13" s="512"/>
      <c r="AH13" s="512"/>
      <c r="AI13" s="512"/>
      <c r="AJ13" s="512"/>
      <c r="AK13" s="512"/>
      <c r="AL13" s="512"/>
      <c r="AM13" s="512"/>
      <c r="AN13" s="512"/>
      <c r="AO13" s="512"/>
      <c r="AP13" s="512"/>
      <c r="AQ13" s="512"/>
      <c r="AR13" s="512"/>
      <c r="AS13" s="512"/>
      <c r="AT13" s="512"/>
      <c r="AU13" s="512"/>
      <c r="AV13" s="512"/>
      <c r="AW13" s="512"/>
      <c r="AX13" s="512"/>
      <c r="AY13" s="513"/>
      <c r="AZ13" s="297"/>
      <c r="BA13" s="298"/>
      <c r="BB13" s="298"/>
      <c r="BC13" s="298"/>
      <c r="BD13" s="298"/>
      <c r="BE13" s="298"/>
      <c r="BF13" s="298"/>
      <c r="BG13" s="298"/>
      <c r="BH13" s="298"/>
      <c r="BI13" s="299"/>
    </row>
    <row r="14" spans="1:61" s="1" customFormat="1" ht="13.5">
      <c r="A14" s="313">
        <f t="shared" si="0"/>
        <v>6</v>
      </c>
      <c r="B14" s="314"/>
      <c r="C14" s="297"/>
      <c r="D14" s="298"/>
      <c r="E14" s="298"/>
      <c r="F14" s="298"/>
      <c r="G14" s="298"/>
      <c r="H14" s="298"/>
      <c r="I14" s="298"/>
      <c r="J14" s="298"/>
      <c r="K14" s="298"/>
      <c r="L14" s="299"/>
      <c r="M14" s="297"/>
      <c r="N14" s="298"/>
      <c r="O14" s="298"/>
      <c r="P14" s="298"/>
      <c r="Q14" s="298"/>
      <c r="R14" s="298"/>
      <c r="S14" s="298"/>
      <c r="T14" s="298"/>
      <c r="U14" s="298"/>
      <c r="V14" s="299"/>
      <c r="W14" s="297"/>
      <c r="X14" s="298"/>
      <c r="Y14" s="298"/>
      <c r="Z14" s="298"/>
      <c r="AA14" s="298"/>
      <c r="AB14" s="298"/>
      <c r="AC14" s="298"/>
      <c r="AD14" s="298"/>
      <c r="AE14" s="298"/>
      <c r="AF14" s="298"/>
      <c r="AG14" s="298"/>
      <c r="AH14" s="298"/>
      <c r="AI14" s="298"/>
      <c r="AJ14" s="298"/>
      <c r="AK14" s="298"/>
      <c r="AL14" s="298"/>
      <c r="AM14" s="298"/>
      <c r="AN14" s="298"/>
      <c r="AO14" s="298"/>
      <c r="AP14" s="298"/>
      <c r="AQ14" s="298"/>
      <c r="AR14" s="298"/>
      <c r="AS14" s="298"/>
      <c r="AT14" s="298"/>
      <c r="AU14" s="298"/>
      <c r="AV14" s="298"/>
      <c r="AW14" s="298"/>
      <c r="AX14" s="298"/>
      <c r="AY14" s="299"/>
      <c r="AZ14" s="297"/>
      <c r="BA14" s="298"/>
      <c r="BB14" s="298"/>
      <c r="BC14" s="298"/>
      <c r="BD14" s="298"/>
      <c r="BE14" s="298"/>
      <c r="BF14" s="298"/>
      <c r="BG14" s="298"/>
      <c r="BH14" s="298"/>
      <c r="BI14" s="299"/>
    </row>
    <row r="15" spans="1:61" s="1" customFormat="1" ht="13.5">
      <c r="A15" s="313">
        <f t="shared" si="0"/>
        <v>7</v>
      </c>
      <c r="B15" s="314"/>
      <c r="C15" s="297"/>
      <c r="D15" s="298"/>
      <c r="E15" s="298"/>
      <c r="F15" s="298"/>
      <c r="G15" s="298"/>
      <c r="H15" s="298"/>
      <c r="I15" s="298"/>
      <c r="J15" s="298"/>
      <c r="K15" s="298"/>
      <c r="L15" s="299"/>
      <c r="M15" s="297"/>
      <c r="N15" s="298"/>
      <c r="O15" s="298"/>
      <c r="P15" s="298"/>
      <c r="Q15" s="298"/>
      <c r="R15" s="298"/>
      <c r="S15" s="298"/>
      <c r="T15" s="298"/>
      <c r="U15" s="298"/>
      <c r="V15" s="299"/>
      <c r="W15" s="297"/>
      <c r="X15" s="298"/>
      <c r="Y15" s="298"/>
      <c r="Z15" s="298"/>
      <c r="AA15" s="298"/>
      <c r="AB15" s="298"/>
      <c r="AC15" s="298"/>
      <c r="AD15" s="298"/>
      <c r="AE15" s="298"/>
      <c r="AF15" s="298"/>
      <c r="AG15" s="298"/>
      <c r="AH15" s="298"/>
      <c r="AI15" s="298"/>
      <c r="AJ15" s="298"/>
      <c r="AK15" s="298"/>
      <c r="AL15" s="298"/>
      <c r="AM15" s="298"/>
      <c r="AN15" s="298"/>
      <c r="AO15" s="298"/>
      <c r="AP15" s="298"/>
      <c r="AQ15" s="298"/>
      <c r="AR15" s="298"/>
      <c r="AS15" s="298"/>
      <c r="AT15" s="298"/>
      <c r="AU15" s="298"/>
      <c r="AV15" s="298"/>
      <c r="AW15" s="298"/>
      <c r="AX15" s="298"/>
      <c r="AY15" s="299"/>
      <c r="AZ15" s="297"/>
      <c r="BA15" s="298"/>
      <c r="BB15" s="298"/>
      <c r="BC15" s="298"/>
      <c r="BD15" s="298"/>
      <c r="BE15" s="298"/>
      <c r="BF15" s="298"/>
      <c r="BG15" s="298"/>
      <c r="BH15" s="298"/>
      <c r="BI15" s="299"/>
    </row>
    <row r="16" spans="1:61" s="1" customFormat="1" ht="13.5">
      <c r="A16" s="313">
        <f t="shared" si="0"/>
        <v>8</v>
      </c>
      <c r="B16" s="314"/>
      <c r="C16" s="297"/>
      <c r="D16" s="298"/>
      <c r="E16" s="298"/>
      <c r="F16" s="298"/>
      <c r="G16" s="298"/>
      <c r="H16" s="298"/>
      <c r="I16" s="298"/>
      <c r="J16" s="298"/>
      <c r="K16" s="298"/>
      <c r="L16" s="299"/>
      <c r="M16" s="297"/>
      <c r="N16" s="298"/>
      <c r="O16" s="298"/>
      <c r="P16" s="298"/>
      <c r="Q16" s="298"/>
      <c r="R16" s="298"/>
      <c r="S16" s="298"/>
      <c r="T16" s="298"/>
      <c r="U16" s="298"/>
      <c r="V16" s="299"/>
      <c r="W16" s="297"/>
      <c r="X16" s="298"/>
      <c r="Y16" s="298"/>
      <c r="Z16" s="298"/>
      <c r="AA16" s="298"/>
      <c r="AB16" s="298"/>
      <c r="AC16" s="298"/>
      <c r="AD16" s="298"/>
      <c r="AE16" s="298"/>
      <c r="AF16" s="298"/>
      <c r="AG16" s="298"/>
      <c r="AH16" s="298"/>
      <c r="AI16" s="298"/>
      <c r="AJ16" s="298"/>
      <c r="AK16" s="298"/>
      <c r="AL16" s="298"/>
      <c r="AM16" s="298"/>
      <c r="AN16" s="298"/>
      <c r="AO16" s="298"/>
      <c r="AP16" s="298"/>
      <c r="AQ16" s="298"/>
      <c r="AR16" s="298"/>
      <c r="AS16" s="298"/>
      <c r="AT16" s="298"/>
      <c r="AU16" s="298"/>
      <c r="AV16" s="298"/>
      <c r="AW16" s="298"/>
      <c r="AX16" s="298"/>
      <c r="AY16" s="299"/>
      <c r="AZ16" s="297"/>
      <c r="BA16" s="298"/>
      <c r="BB16" s="298"/>
      <c r="BC16" s="298"/>
      <c r="BD16" s="298"/>
      <c r="BE16" s="298"/>
      <c r="BF16" s="298"/>
      <c r="BG16" s="298"/>
      <c r="BH16" s="298"/>
      <c r="BI16" s="299"/>
    </row>
    <row r="17" spans="1:61" s="1" customFormat="1" ht="13.5">
      <c r="A17" s="313">
        <f t="shared" si="0"/>
        <v>9</v>
      </c>
      <c r="B17" s="314"/>
      <c r="C17" s="297"/>
      <c r="D17" s="298"/>
      <c r="E17" s="298"/>
      <c r="F17" s="298"/>
      <c r="G17" s="298"/>
      <c r="H17" s="298"/>
      <c r="I17" s="298"/>
      <c r="J17" s="298"/>
      <c r="K17" s="298"/>
      <c r="L17" s="299"/>
      <c r="M17" s="297"/>
      <c r="N17" s="298"/>
      <c r="O17" s="298"/>
      <c r="P17" s="298"/>
      <c r="Q17" s="298"/>
      <c r="R17" s="298"/>
      <c r="S17" s="298"/>
      <c r="T17" s="298"/>
      <c r="U17" s="298"/>
      <c r="V17" s="299"/>
      <c r="W17" s="297"/>
      <c r="X17" s="298"/>
      <c r="Y17" s="298"/>
      <c r="Z17" s="298"/>
      <c r="AA17" s="298"/>
      <c r="AB17" s="298"/>
      <c r="AC17" s="298"/>
      <c r="AD17" s="298"/>
      <c r="AE17" s="298"/>
      <c r="AF17" s="298"/>
      <c r="AG17" s="298"/>
      <c r="AH17" s="298"/>
      <c r="AI17" s="298"/>
      <c r="AJ17" s="298"/>
      <c r="AK17" s="298"/>
      <c r="AL17" s="298"/>
      <c r="AM17" s="298"/>
      <c r="AN17" s="298"/>
      <c r="AO17" s="298"/>
      <c r="AP17" s="298"/>
      <c r="AQ17" s="298"/>
      <c r="AR17" s="298"/>
      <c r="AS17" s="298"/>
      <c r="AT17" s="298"/>
      <c r="AU17" s="298"/>
      <c r="AV17" s="298"/>
      <c r="AW17" s="298"/>
      <c r="AX17" s="298"/>
      <c r="AY17" s="299"/>
      <c r="AZ17" s="297"/>
      <c r="BA17" s="298"/>
      <c r="BB17" s="298"/>
      <c r="BC17" s="298"/>
      <c r="BD17" s="298"/>
      <c r="BE17" s="298"/>
      <c r="BF17" s="298"/>
      <c r="BG17" s="298"/>
      <c r="BH17" s="298"/>
      <c r="BI17" s="299"/>
    </row>
    <row r="18" spans="1:61" s="1" customFormat="1" ht="13.5">
      <c r="A18" s="313">
        <f t="shared" si="0"/>
        <v>10</v>
      </c>
      <c r="B18" s="314"/>
      <c r="C18" s="297"/>
      <c r="D18" s="298"/>
      <c r="E18" s="298"/>
      <c r="F18" s="298"/>
      <c r="G18" s="298"/>
      <c r="H18" s="298"/>
      <c r="I18" s="298"/>
      <c r="J18" s="298"/>
      <c r="K18" s="298"/>
      <c r="L18" s="299"/>
      <c r="M18" s="297"/>
      <c r="N18" s="298"/>
      <c r="O18" s="298"/>
      <c r="P18" s="298"/>
      <c r="Q18" s="298"/>
      <c r="R18" s="298"/>
      <c r="S18" s="298"/>
      <c r="T18" s="298"/>
      <c r="U18" s="298"/>
      <c r="V18" s="299"/>
      <c r="W18" s="297"/>
      <c r="X18" s="298"/>
      <c r="Y18" s="298"/>
      <c r="Z18" s="298"/>
      <c r="AA18" s="298"/>
      <c r="AB18" s="298"/>
      <c r="AC18" s="298"/>
      <c r="AD18" s="298"/>
      <c r="AE18" s="298"/>
      <c r="AF18" s="298"/>
      <c r="AG18" s="298"/>
      <c r="AH18" s="298"/>
      <c r="AI18" s="298"/>
      <c r="AJ18" s="298"/>
      <c r="AK18" s="298"/>
      <c r="AL18" s="298"/>
      <c r="AM18" s="298"/>
      <c r="AN18" s="298"/>
      <c r="AO18" s="298"/>
      <c r="AP18" s="298"/>
      <c r="AQ18" s="298"/>
      <c r="AR18" s="298"/>
      <c r="AS18" s="298"/>
      <c r="AT18" s="298"/>
      <c r="AU18" s="298"/>
      <c r="AV18" s="298"/>
      <c r="AW18" s="298"/>
      <c r="AX18" s="298"/>
      <c r="AY18" s="299"/>
      <c r="AZ18" s="297"/>
      <c r="BA18" s="298"/>
      <c r="BB18" s="298"/>
      <c r="BC18" s="298"/>
      <c r="BD18" s="298"/>
      <c r="BE18" s="298"/>
      <c r="BF18" s="298"/>
      <c r="BG18" s="298"/>
      <c r="BH18" s="298"/>
      <c r="BI18" s="299"/>
    </row>
    <row r="19" spans="1:61" s="1" customFormat="1" ht="13.5">
      <c r="A19" s="313">
        <f t="shared" si="0"/>
        <v>11</v>
      </c>
      <c r="B19" s="314"/>
      <c r="C19" s="297"/>
      <c r="D19" s="298"/>
      <c r="E19" s="298"/>
      <c r="F19" s="298"/>
      <c r="G19" s="298"/>
      <c r="H19" s="298"/>
      <c r="I19" s="298"/>
      <c r="J19" s="298"/>
      <c r="K19" s="298"/>
      <c r="L19" s="299"/>
      <c r="M19" s="297"/>
      <c r="N19" s="298"/>
      <c r="O19" s="298"/>
      <c r="P19" s="298"/>
      <c r="Q19" s="298"/>
      <c r="R19" s="298"/>
      <c r="S19" s="298"/>
      <c r="T19" s="298"/>
      <c r="U19" s="298"/>
      <c r="V19" s="299"/>
      <c r="W19" s="297"/>
      <c r="X19" s="298"/>
      <c r="Y19" s="298"/>
      <c r="Z19" s="298"/>
      <c r="AA19" s="298"/>
      <c r="AB19" s="298"/>
      <c r="AC19" s="298"/>
      <c r="AD19" s="298"/>
      <c r="AE19" s="298"/>
      <c r="AF19" s="298"/>
      <c r="AG19" s="298"/>
      <c r="AH19" s="298"/>
      <c r="AI19" s="298"/>
      <c r="AJ19" s="298"/>
      <c r="AK19" s="298"/>
      <c r="AL19" s="298"/>
      <c r="AM19" s="298"/>
      <c r="AN19" s="298"/>
      <c r="AO19" s="298"/>
      <c r="AP19" s="298"/>
      <c r="AQ19" s="298"/>
      <c r="AR19" s="298"/>
      <c r="AS19" s="298"/>
      <c r="AT19" s="298"/>
      <c r="AU19" s="298"/>
      <c r="AV19" s="298"/>
      <c r="AW19" s="298"/>
      <c r="AX19" s="298"/>
      <c r="AY19" s="299"/>
      <c r="AZ19" s="297"/>
      <c r="BA19" s="298"/>
      <c r="BB19" s="298"/>
      <c r="BC19" s="298"/>
      <c r="BD19" s="298"/>
      <c r="BE19" s="298"/>
      <c r="BF19" s="298"/>
      <c r="BG19" s="298"/>
      <c r="BH19" s="298"/>
      <c r="BI19" s="299"/>
    </row>
    <row r="20" spans="1:61" s="1" customFormat="1" ht="13.5">
      <c r="A20" s="313">
        <f t="shared" si="0"/>
        <v>12</v>
      </c>
      <c r="B20" s="314"/>
      <c r="C20" s="297"/>
      <c r="D20" s="298"/>
      <c r="E20" s="298"/>
      <c r="F20" s="298"/>
      <c r="G20" s="298"/>
      <c r="H20" s="298"/>
      <c r="I20" s="298"/>
      <c r="J20" s="298"/>
      <c r="K20" s="298"/>
      <c r="L20" s="299"/>
      <c r="M20" s="297"/>
      <c r="N20" s="298"/>
      <c r="O20" s="298"/>
      <c r="P20" s="298"/>
      <c r="Q20" s="298"/>
      <c r="R20" s="298"/>
      <c r="S20" s="298"/>
      <c r="T20" s="298"/>
      <c r="U20" s="298"/>
      <c r="V20" s="299"/>
      <c r="W20" s="297"/>
      <c r="X20" s="298"/>
      <c r="Y20" s="298"/>
      <c r="Z20" s="298"/>
      <c r="AA20" s="298"/>
      <c r="AB20" s="298"/>
      <c r="AC20" s="298"/>
      <c r="AD20" s="298"/>
      <c r="AE20" s="298"/>
      <c r="AF20" s="298"/>
      <c r="AG20" s="298"/>
      <c r="AH20" s="298"/>
      <c r="AI20" s="298"/>
      <c r="AJ20" s="298"/>
      <c r="AK20" s="298"/>
      <c r="AL20" s="298"/>
      <c r="AM20" s="298"/>
      <c r="AN20" s="298"/>
      <c r="AO20" s="298"/>
      <c r="AP20" s="298"/>
      <c r="AQ20" s="298"/>
      <c r="AR20" s="298"/>
      <c r="AS20" s="298"/>
      <c r="AT20" s="298"/>
      <c r="AU20" s="298"/>
      <c r="AV20" s="298"/>
      <c r="AW20" s="298"/>
      <c r="AX20" s="298"/>
      <c r="AY20" s="299"/>
      <c r="AZ20" s="297"/>
      <c r="BA20" s="298"/>
      <c r="BB20" s="298"/>
      <c r="BC20" s="298"/>
      <c r="BD20" s="298"/>
      <c r="BE20" s="298"/>
      <c r="BF20" s="298"/>
      <c r="BG20" s="298"/>
      <c r="BH20" s="298"/>
      <c r="BI20" s="299"/>
    </row>
    <row r="21" spans="1:61" s="1" customFormat="1" ht="13.5">
      <c r="A21" s="313">
        <f t="shared" si="0"/>
        <v>13</v>
      </c>
      <c r="B21" s="314"/>
      <c r="C21" s="297"/>
      <c r="D21" s="298"/>
      <c r="E21" s="298"/>
      <c r="F21" s="298"/>
      <c r="G21" s="298"/>
      <c r="H21" s="298"/>
      <c r="I21" s="298"/>
      <c r="J21" s="298"/>
      <c r="K21" s="298"/>
      <c r="L21" s="299"/>
      <c r="M21" s="297"/>
      <c r="N21" s="298"/>
      <c r="O21" s="298"/>
      <c r="P21" s="298"/>
      <c r="Q21" s="298"/>
      <c r="R21" s="298"/>
      <c r="S21" s="298"/>
      <c r="T21" s="298"/>
      <c r="U21" s="298"/>
      <c r="V21" s="299"/>
      <c r="W21" s="297"/>
      <c r="X21" s="298"/>
      <c r="Y21" s="298"/>
      <c r="Z21" s="298"/>
      <c r="AA21" s="298"/>
      <c r="AB21" s="298"/>
      <c r="AC21" s="298"/>
      <c r="AD21" s="298"/>
      <c r="AE21" s="298"/>
      <c r="AF21" s="298"/>
      <c r="AG21" s="298"/>
      <c r="AH21" s="298"/>
      <c r="AI21" s="298"/>
      <c r="AJ21" s="298"/>
      <c r="AK21" s="298"/>
      <c r="AL21" s="298"/>
      <c r="AM21" s="298"/>
      <c r="AN21" s="298"/>
      <c r="AO21" s="298"/>
      <c r="AP21" s="298"/>
      <c r="AQ21" s="298"/>
      <c r="AR21" s="298"/>
      <c r="AS21" s="298"/>
      <c r="AT21" s="298"/>
      <c r="AU21" s="298"/>
      <c r="AV21" s="298"/>
      <c r="AW21" s="298"/>
      <c r="AX21" s="298"/>
      <c r="AY21" s="299"/>
      <c r="AZ21" s="297"/>
      <c r="BA21" s="298"/>
      <c r="BB21" s="298"/>
      <c r="BC21" s="298"/>
      <c r="BD21" s="298"/>
      <c r="BE21" s="298"/>
      <c r="BF21" s="298"/>
      <c r="BG21" s="298"/>
      <c r="BH21" s="298"/>
      <c r="BI21" s="299"/>
    </row>
    <row r="22" spans="1:61" s="1" customFormat="1" ht="13.5">
      <c r="A22" s="313">
        <f t="shared" si="0"/>
        <v>14</v>
      </c>
      <c r="B22" s="314"/>
      <c r="C22" s="297"/>
      <c r="D22" s="298"/>
      <c r="E22" s="298"/>
      <c r="F22" s="298"/>
      <c r="G22" s="298"/>
      <c r="H22" s="298"/>
      <c r="I22" s="298"/>
      <c r="J22" s="298"/>
      <c r="K22" s="298"/>
      <c r="L22" s="299"/>
      <c r="M22" s="297"/>
      <c r="N22" s="298"/>
      <c r="O22" s="298"/>
      <c r="P22" s="298"/>
      <c r="Q22" s="298"/>
      <c r="R22" s="298"/>
      <c r="S22" s="298"/>
      <c r="T22" s="298"/>
      <c r="U22" s="298"/>
      <c r="V22" s="299"/>
      <c r="W22" s="297"/>
      <c r="X22" s="298"/>
      <c r="Y22" s="298"/>
      <c r="Z22" s="298"/>
      <c r="AA22" s="298"/>
      <c r="AB22" s="298"/>
      <c r="AC22" s="298"/>
      <c r="AD22" s="298"/>
      <c r="AE22" s="298"/>
      <c r="AF22" s="298"/>
      <c r="AG22" s="298"/>
      <c r="AH22" s="298"/>
      <c r="AI22" s="298"/>
      <c r="AJ22" s="298"/>
      <c r="AK22" s="298"/>
      <c r="AL22" s="298"/>
      <c r="AM22" s="298"/>
      <c r="AN22" s="298"/>
      <c r="AO22" s="298"/>
      <c r="AP22" s="298"/>
      <c r="AQ22" s="298"/>
      <c r="AR22" s="298"/>
      <c r="AS22" s="298"/>
      <c r="AT22" s="298"/>
      <c r="AU22" s="298"/>
      <c r="AV22" s="298"/>
      <c r="AW22" s="298"/>
      <c r="AX22" s="298"/>
      <c r="AY22" s="299"/>
      <c r="AZ22" s="297"/>
      <c r="BA22" s="298"/>
      <c r="BB22" s="298"/>
      <c r="BC22" s="298"/>
      <c r="BD22" s="298"/>
      <c r="BE22" s="298"/>
      <c r="BF22" s="298"/>
      <c r="BG22" s="298"/>
      <c r="BH22" s="298"/>
      <c r="BI22" s="299"/>
    </row>
    <row r="23" spans="1:61" s="1" customFormat="1" ht="13.5">
      <c r="A23" s="313">
        <f t="shared" si="0"/>
        <v>15</v>
      </c>
      <c r="B23" s="314"/>
      <c r="C23" s="297"/>
      <c r="D23" s="298"/>
      <c r="E23" s="298"/>
      <c r="F23" s="298"/>
      <c r="G23" s="298"/>
      <c r="H23" s="298"/>
      <c r="I23" s="298"/>
      <c r="J23" s="298"/>
      <c r="K23" s="298"/>
      <c r="L23" s="299"/>
      <c r="M23" s="297"/>
      <c r="N23" s="298"/>
      <c r="O23" s="298"/>
      <c r="P23" s="298"/>
      <c r="Q23" s="298"/>
      <c r="R23" s="298"/>
      <c r="S23" s="298"/>
      <c r="T23" s="298"/>
      <c r="U23" s="298"/>
      <c r="V23" s="299"/>
      <c r="W23" s="297"/>
      <c r="X23" s="298"/>
      <c r="Y23" s="298"/>
      <c r="Z23" s="298"/>
      <c r="AA23" s="298"/>
      <c r="AB23" s="298"/>
      <c r="AC23" s="298"/>
      <c r="AD23" s="298"/>
      <c r="AE23" s="298"/>
      <c r="AF23" s="298"/>
      <c r="AG23" s="298"/>
      <c r="AH23" s="298"/>
      <c r="AI23" s="298"/>
      <c r="AJ23" s="298"/>
      <c r="AK23" s="298"/>
      <c r="AL23" s="298"/>
      <c r="AM23" s="298"/>
      <c r="AN23" s="298"/>
      <c r="AO23" s="298"/>
      <c r="AP23" s="298"/>
      <c r="AQ23" s="298"/>
      <c r="AR23" s="298"/>
      <c r="AS23" s="298"/>
      <c r="AT23" s="298"/>
      <c r="AU23" s="298"/>
      <c r="AV23" s="298"/>
      <c r="AW23" s="298"/>
      <c r="AX23" s="298"/>
      <c r="AY23" s="299"/>
      <c r="AZ23" s="297"/>
      <c r="BA23" s="298"/>
      <c r="BB23" s="298"/>
      <c r="BC23" s="298"/>
      <c r="BD23" s="298"/>
      <c r="BE23" s="298"/>
      <c r="BF23" s="298"/>
      <c r="BG23" s="298"/>
      <c r="BH23" s="298"/>
      <c r="BI23" s="299"/>
    </row>
    <row r="24" spans="1:61" s="1" customFormat="1" ht="13.5">
      <c r="A24" s="313">
        <f t="shared" si="0"/>
        <v>16</v>
      </c>
      <c r="B24" s="314"/>
      <c r="C24" s="297"/>
      <c r="D24" s="298"/>
      <c r="E24" s="298"/>
      <c r="F24" s="298"/>
      <c r="G24" s="298"/>
      <c r="H24" s="298"/>
      <c r="I24" s="298"/>
      <c r="J24" s="298"/>
      <c r="K24" s="298"/>
      <c r="L24" s="299"/>
      <c r="M24" s="297"/>
      <c r="N24" s="298"/>
      <c r="O24" s="298"/>
      <c r="P24" s="298"/>
      <c r="Q24" s="298"/>
      <c r="R24" s="298"/>
      <c r="S24" s="298"/>
      <c r="T24" s="298"/>
      <c r="U24" s="298"/>
      <c r="V24" s="299"/>
      <c r="W24" s="297"/>
      <c r="X24" s="298"/>
      <c r="Y24" s="298"/>
      <c r="Z24" s="298"/>
      <c r="AA24" s="298"/>
      <c r="AB24" s="298"/>
      <c r="AC24" s="298"/>
      <c r="AD24" s="298"/>
      <c r="AE24" s="298"/>
      <c r="AF24" s="298"/>
      <c r="AG24" s="298"/>
      <c r="AH24" s="298"/>
      <c r="AI24" s="298"/>
      <c r="AJ24" s="298"/>
      <c r="AK24" s="298"/>
      <c r="AL24" s="298"/>
      <c r="AM24" s="298"/>
      <c r="AN24" s="298"/>
      <c r="AO24" s="298"/>
      <c r="AP24" s="298"/>
      <c r="AQ24" s="298"/>
      <c r="AR24" s="298"/>
      <c r="AS24" s="298"/>
      <c r="AT24" s="298"/>
      <c r="AU24" s="298"/>
      <c r="AV24" s="298"/>
      <c r="AW24" s="298"/>
      <c r="AX24" s="298"/>
      <c r="AY24" s="299"/>
      <c r="AZ24" s="297"/>
      <c r="BA24" s="298"/>
      <c r="BB24" s="298"/>
      <c r="BC24" s="298"/>
      <c r="BD24" s="298"/>
      <c r="BE24" s="298"/>
      <c r="BF24" s="298"/>
      <c r="BG24" s="298"/>
      <c r="BH24" s="298"/>
      <c r="BI24" s="299"/>
    </row>
    <row r="25" spans="1:61" s="1" customFormat="1" ht="13.5">
      <c r="A25" s="313">
        <f t="shared" si="0"/>
        <v>17</v>
      </c>
      <c r="B25" s="314"/>
      <c r="C25" s="297"/>
      <c r="D25" s="298"/>
      <c r="E25" s="298"/>
      <c r="F25" s="298"/>
      <c r="G25" s="298"/>
      <c r="H25" s="298"/>
      <c r="I25" s="298"/>
      <c r="J25" s="298"/>
      <c r="K25" s="298"/>
      <c r="L25" s="299"/>
      <c r="M25" s="297"/>
      <c r="N25" s="298"/>
      <c r="O25" s="298"/>
      <c r="P25" s="298"/>
      <c r="Q25" s="298"/>
      <c r="R25" s="298"/>
      <c r="S25" s="298"/>
      <c r="T25" s="298"/>
      <c r="U25" s="298"/>
      <c r="V25" s="299"/>
      <c r="W25" s="297"/>
      <c r="X25" s="298"/>
      <c r="Y25" s="298"/>
      <c r="Z25" s="298"/>
      <c r="AA25" s="298"/>
      <c r="AB25" s="298"/>
      <c r="AC25" s="298"/>
      <c r="AD25" s="298"/>
      <c r="AE25" s="298"/>
      <c r="AF25" s="298"/>
      <c r="AG25" s="298"/>
      <c r="AH25" s="298"/>
      <c r="AI25" s="298"/>
      <c r="AJ25" s="298"/>
      <c r="AK25" s="298"/>
      <c r="AL25" s="298"/>
      <c r="AM25" s="298"/>
      <c r="AN25" s="298"/>
      <c r="AO25" s="298"/>
      <c r="AP25" s="298"/>
      <c r="AQ25" s="298"/>
      <c r="AR25" s="298"/>
      <c r="AS25" s="298"/>
      <c r="AT25" s="298"/>
      <c r="AU25" s="298"/>
      <c r="AV25" s="298"/>
      <c r="AW25" s="298"/>
      <c r="AX25" s="298"/>
      <c r="AY25" s="299"/>
      <c r="AZ25" s="297"/>
      <c r="BA25" s="298"/>
      <c r="BB25" s="298"/>
      <c r="BC25" s="298"/>
      <c r="BD25" s="298"/>
      <c r="BE25" s="298"/>
      <c r="BF25" s="298"/>
      <c r="BG25" s="298"/>
      <c r="BH25" s="298"/>
      <c r="BI25" s="299"/>
    </row>
    <row r="26" spans="1:61" s="1" customFormat="1" ht="13.5">
      <c r="A26" s="313">
        <f t="shared" si="0"/>
        <v>18</v>
      </c>
      <c r="B26" s="314"/>
      <c r="C26" s="297"/>
      <c r="D26" s="298"/>
      <c r="E26" s="298"/>
      <c r="F26" s="298"/>
      <c r="G26" s="298"/>
      <c r="H26" s="298"/>
      <c r="I26" s="298"/>
      <c r="J26" s="298"/>
      <c r="K26" s="298"/>
      <c r="L26" s="299"/>
      <c r="M26" s="297"/>
      <c r="N26" s="298"/>
      <c r="O26" s="298"/>
      <c r="P26" s="298"/>
      <c r="Q26" s="298"/>
      <c r="R26" s="298"/>
      <c r="S26" s="298"/>
      <c r="T26" s="298"/>
      <c r="U26" s="298"/>
      <c r="V26" s="299"/>
      <c r="W26" s="297"/>
      <c r="X26" s="298"/>
      <c r="Y26" s="298"/>
      <c r="Z26" s="298"/>
      <c r="AA26" s="298"/>
      <c r="AB26" s="298"/>
      <c r="AC26" s="298"/>
      <c r="AD26" s="298"/>
      <c r="AE26" s="298"/>
      <c r="AF26" s="298"/>
      <c r="AG26" s="298"/>
      <c r="AH26" s="298"/>
      <c r="AI26" s="298"/>
      <c r="AJ26" s="298"/>
      <c r="AK26" s="298"/>
      <c r="AL26" s="298"/>
      <c r="AM26" s="298"/>
      <c r="AN26" s="298"/>
      <c r="AO26" s="298"/>
      <c r="AP26" s="298"/>
      <c r="AQ26" s="298"/>
      <c r="AR26" s="298"/>
      <c r="AS26" s="298"/>
      <c r="AT26" s="298"/>
      <c r="AU26" s="298"/>
      <c r="AV26" s="298"/>
      <c r="AW26" s="298"/>
      <c r="AX26" s="298"/>
      <c r="AY26" s="299"/>
      <c r="AZ26" s="297"/>
      <c r="BA26" s="298"/>
      <c r="BB26" s="298"/>
      <c r="BC26" s="298"/>
      <c r="BD26" s="298"/>
      <c r="BE26" s="298"/>
      <c r="BF26" s="298"/>
      <c r="BG26" s="298"/>
      <c r="BH26" s="298"/>
      <c r="BI26" s="299"/>
    </row>
    <row r="27" spans="1:61" s="1" customFormat="1" ht="13.5">
      <c r="A27" s="313">
        <f t="shared" si="0"/>
        <v>19</v>
      </c>
      <c r="B27" s="314"/>
      <c r="C27" s="297"/>
      <c r="D27" s="298"/>
      <c r="E27" s="298"/>
      <c r="F27" s="298"/>
      <c r="G27" s="298"/>
      <c r="H27" s="298"/>
      <c r="I27" s="298"/>
      <c r="J27" s="298"/>
      <c r="K27" s="298"/>
      <c r="L27" s="299"/>
      <c r="M27" s="297"/>
      <c r="N27" s="298"/>
      <c r="O27" s="298"/>
      <c r="P27" s="298"/>
      <c r="Q27" s="298"/>
      <c r="R27" s="298"/>
      <c r="S27" s="298"/>
      <c r="T27" s="298"/>
      <c r="U27" s="298"/>
      <c r="V27" s="299"/>
      <c r="W27" s="297"/>
      <c r="X27" s="298"/>
      <c r="Y27" s="298"/>
      <c r="Z27" s="298"/>
      <c r="AA27" s="298"/>
      <c r="AB27" s="298"/>
      <c r="AC27" s="298"/>
      <c r="AD27" s="298"/>
      <c r="AE27" s="298"/>
      <c r="AF27" s="298"/>
      <c r="AG27" s="298"/>
      <c r="AH27" s="298"/>
      <c r="AI27" s="298"/>
      <c r="AJ27" s="298"/>
      <c r="AK27" s="298"/>
      <c r="AL27" s="298"/>
      <c r="AM27" s="298"/>
      <c r="AN27" s="298"/>
      <c r="AO27" s="298"/>
      <c r="AP27" s="298"/>
      <c r="AQ27" s="298"/>
      <c r="AR27" s="298"/>
      <c r="AS27" s="298"/>
      <c r="AT27" s="298"/>
      <c r="AU27" s="298"/>
      <c r="AV27" s="298"/>
      <c r="AW27" s="298"/>
      <c r="AX27" s="298"/>
      <c r="AY27" s="299"/>
      <c r="AZ27" s="297"/>
      <c r="BA27" s="298"/>
      <c r="BB27" s="298"/>
      <c r="BC27" s="298"/>
      <c r="BD27" s="298"/>
      <c r="BE27" s="298"/>
      <c r="BF27" s="298"/>
      <c r="BG27" s="298"/>
      <c r="BH27" s="298"/>
      <c r="BI27" s="299"/>
    </row>
    <row r="28" spans="1:61" s="1" customFormat="1" ht="13.5">
      <c r="A28" s="313">
        <f t="shared" si="0"/>
        <v>20</v>
      </c>
      <c r="B28" s="314"/>
      <c r="C28" s="297"/>
      <c r="D28" s="298"/>
      <c r="E28" s="298"/>
      <c r="F28" s="298"/>
      <c r="G28" s="298"/>
      <c r="H28" s="298"/>
      <c r="I28" s="298"/>
      <c r="J28" s="298"/>
      <c r="K28" s="298"/>
      <c r="L28" s="299"/>
      <c r="M28" s="297"/>
      <c r="N28" s="298"/>
      <c r="O28" s="298"/>
      <c r="P28" s="298"/>
      <c r="Q28" s="298"/>
      <c r="R28" s="298"/>
      <c r="S28" s="298"/>
      <c r="T28" s="298"/>
      <c r="U28" s="298"/>
      <c r="V28" s="299"/>
      <c r="W28" s="297"/>
      <c r="X28" s="298"/>
      <c r="Y28" s="298"/>
      <c r="Z28" s="298"/>
      <c r="AA28" s="298"/>
      <c r="AB28" s="298"/>
      <c r="AC28" s="298"/>
      <c r="AD28" s="298"/>
      <c r="AE28" s="298"/>
      <c r="AF28" s="298"/>
      <c r="AG28" s="298"/>
      <c r="AH28" s="298"/>
      <c r="AI28" s="298"/>
      <c r="AJ28" s="298"/>
      <c r="AK28" s="298"/>
      <c r="AL28" s="298"/>
      <c r="AM28" s="298"/>
      <c r="AN28" s="298"/>
      <c r="AO28" s="298"/>
      <c r="AP28" s="298"/>
      <c r="AQ28" s="298"/>
      <c r="AR28" s="298"/>
      <c r="AS28" s="298"/>
      <c r="AT28" s="298"/>
      <c r="AU28" s="298"/>
      <c r="AV28" s="298"/>
      <c r="AW28" s="298"/>
      <c r="AX28" s="298"/>
      <c r="AY28" s="299"/>
      <c r="AZ28" s="297"/>
      <c r="BA28" s="298"/>
      <c r="BB28" s="298"/>
      <c r="BC28" s="298"/>
      <c r="BD28" s="298"/>
      <c r="BE28" s="298"/>
      <c r="BF28" s="298"/>
      <c r="BG28" s="298"/>
      <c r="BH28" s="298"/>
      <c r="BI28" s="299"/>
    </row>
    <row r="29" spans="1:61" s="1" customFormat="1" ht="13.5">
      <c r="A29" s="313">
        <f t="shared" si="0"/>
        <v>21</v>
      </c>
      <c r="B29" s="314"/>
      <c r="C29" s="297"/>
      <c r="D29" s="298"/>
      <c r="E29" s="298"/>
      <c r="F29" s="298"/>
      <c r="G29" s="298"/>
      <c r="H29" s="298"/>
      <c r="I29" s="298"/>
      <c r="J29" s="298"/>
      <c r="K29" s="298"/>
      <c r="L29" s="299"/>
      <c r="M29" s="297"/>
      <c r="N29" s="298"/>
      <c r="O29" s="298"/>
      <c r="P29" s="298"/>
      <c r="Q29" s="298"/>
      <c r="R29" s="298"/>
      <c r="S29" s="298"/>
      <c r="T29" s="298"/>
      <c r="U29" s="298"/>
      <c r="V29" s="299"/>
      <c r="W29" s="297"/>
      <c r="X29" s="298"/>
      <c r="Y29" s="298"/>
      <c r="Z29" s="298"/>
      <c r="AA29" s="298"/>
      <c r="AB29" s="298"/>
      <c r="AC29" s="298"/>
      <c r="AD29" s="298"/>
      <c r="AE29" s="298"/>
      <c r="AF29" s="298"/>
      <c r="AG29" s="298"/>
      <c r="AH29" s="298"/>
      <c r="AI29" s="298"/>
      <c r="AJ29" s="298"/>
      <c r="AK29" s="298"/>
      <c r="AL29" s="298"/>
      <c r="AM29" s="298"/>
      <c r="AN29" s="298"/>
      <c r="AO29" s="298"/>
      <c r="AP29" s="298"/>
      <c r="AQ29" s="298"/>
      <c r="AR29" s="298"/>
      <c r="AS29" s="298"/>
      <c r="AT29" s="298"/>
      <c r="AU29" s="298"/>
      <c r="AV29" s="298"/>
      <c r="AW29" s="298"/>
      <c r="AX29" s="298"/>
      <c r="AY29" s="299"/>
      <c r="AZ29" s="297"/>
      <c r="BA29" s="298"/>
      <c r="BB29" s="298"/>
      <c r="BC29" s="298"/>
      <c r="BD29" s="298"/>
      <c r="BE29" s="298"/>
      <c r="BF29" s="298"/>
      <c r="BG29" s="298"/>
      <c r="BH29" s="298"/>
      <c r="BI29" s="299"/>
    </row>
    <row r="30" spans="1:61" s="1" customFormat="1" ht="13.5">
      <c r="A30" s="313">
        <f t="shared" si="0"/>
        <v>22</v>
      </c>
      <c r="B30" s="314"/>
      <c r="C30" s="297"/>
      <c r="D30" s="298"/>
      <c r="E30" s="298"/>
      <c r="F30" s="298"/>
      <c r="G30" s="298"/>
      <c r="H30" s="298"/>
      <c r="I30" s="298"/>
      <c r="J30" s="298"/>
      <c r="K30" s="298"/>
      <c r="L30" s="299"/>
      <c r="M30" s="297"/>
      <c r="N30" s="298"/>
      <c r="O30" s="298"/>
      <c r="P30" s="298"/>
      <c r="Q30" s="298"/>
      <c r="R30" s="298"/>
      <c r="S30" s="298"/>
      <c r="T30" s="298"/>
      <c r="U30" s="298"/>
      <c r="V30" s="299"/>
      <c r="W30" s="297"/>
      <c r="X30" s="298"/>
      <c r="Y30" s="298"/>
      <c r="Z30" s="298"/>
      <c r="AA30" s="298"/>
      <c r="AB30" s="298"/>
      <c r="AC30" s="298"/>
      <c r="AD30" s="298"/>
      <c r="AE30" s="298"/>
      <c r="AF30" s="298"/>
      <c r="AG30" s="298"/>
      <c r="AH30" s="298"/>
      <c r="AI30" s="298"/>
      <c r="AJ30" s="298"/>
      <c r="AK30" s="298"/>
      <c r="AL30" s="298"/>
      <c r="AM30" s="298"/>
      <c r="AN30" s="298"/>
      <c r="AO30" s="298"/>
      <c r="AP30" s="298"/>
      <c r="AQ30" s="298"/>
      <c r="AR30" s="298"/>
      <c r="AS30" s="298"/>
      <c r="AT30" s="298"/>
      <c r="AU30" s="298"/>
      <c r="AV30" s="298"/>
      <c r="AW30" s="298"/>
      <c r="AX30" s="298"/>
      <c r="AY30" s="299"/>
      <c r="AZ30" s="297"/>
      <c r="BA30" s="298"/>
      <c r="BB30" s="298"/>
      <c r="BC30" s="298"/>
      <c r="BD30" s="298"/>
      <c r="BE30" s="298"/>
      <c r="BF30" s="298"/>
      <c r="BG30" s="298"/>
      <c r="BH30" s="298"/>
      <c r="BI30" s="299"/>
    </row>
    <row r="31" spans="1:61" s="1" customFormat="1" ht="13.5">
      <c r="A31" s="313">
        <f t="shared" si="0"/>
        <v>23</v>
      </c>
      <c r="B31" s="314"/>
      <c r="C31" s="297"/>
      <c r="D31" s="298"/>
      <c r="E31" s="298"/>
      <c r="F31" s="298"/>
      <c r="G31" s="298"/>
      <c r="H31" s="298"/>
      <c r="I31" s="298"/>
      <c r="J31" s="298"/>
      <c r="K31" s="298"/>
      <c r="L31" s="299"/>
      <c r="M31" s="297"/>
      <c r="N31" s="298"/>
      <c r="O31" s="298"/>
      <c r="P31" s="298"/>
      <c r="Q31" s="298"/>
      <c r="R31" s="298"/>
      <c r="S31" s="298"/>
      <c r="T31" s="298"/>
      <c r="U31" s="298"/>
      <c r="V31" s="299"/>
      <c r="W31" s="297"/>
      <c r="X31" s="298"/>
      <c r="Y31" s="298"/>
      <c r="Z31" s="298"/>
      <c r="AA31" s="298"/>
      <c r="AB31" s="298"/>
      <c r="AC31" s="298"/>
      <c r="AD31" s="298"/>
      <c r="AE31" s="298"/>
      <c r="AF31" s="298"/>
      <c r="AG31" s="298"/>
      <c r="AH31" s="298"/>
      <c r="AI31" s="298"/>
      <c r="AJ31" s="298"/>
      <c r="AK31" s="298"/>
      <c r="AL31" s="298"/>
      <c r="AM31" s="298"/>
      <c r="AN31" s="298"/>
      <c r="AO31" s="298"/>
      <c r="AP31" s="298"/>
      <c r="AQ31" s="298"/>
      <c r="AR31" s="298"/>
      <c r="AS31" s="298"/>
      <c r="AT31" s="298"/>
      <c r="AU31" s="298"/>
      <c r="AV31" s="298"/>
      <c r="AW31" s="298"/>
      <c r="AX31" s="298"/>
      <c r="AY31" s="299"/>
      <c r="AZ31" s="297"/>
      <c r="BA31" s="298"/>
      <c r="BB31" s="298"/>
      <c r="BC31" s="298"/>
      <c r="BD31" s="298"/>
      <c r="BE31" s="298"/>
      <c r="BF31" s="298"/>
      <c r="BG31" s="298"/>
      <c r="BH31" s="298"/>
      <c r="BI31" s="299"/>
    </row>
    <row r="32" spans="1:61" s="1" customFormat="1" ht="13.5">
      <c r="A32" s="313">
        <f t="shared" si="0"/>
        <v>24</v>
      </c>
      <c r="B32" s="314"/>
      <c r="C32" s="297"/>
      <c r="D32" s="298"/>
      <c r="E32" s="298"/>
      <c r="F32" s="298"/>
      <c r="G32" s="298"/>
      <c r="H32" s="298"/>
      <c r="I32" s="298"/>
      <c r="J32" s="298"/>
      <c r="K32" s="298"/>
      <c r="L32" s="299"/>
      <c r="M32" s="297"/>
      <c r="N32" s="298"/>
      <c r="O32" s="298"/>
      <c r="P32" s="298"/>
      <c r="Q32" s="298"/>
      <c r="R32" s="298"/>
      <c r="S32" s="298"/>
      <c r="T32" s="298"/>
      <c r="U32" s="298"/>
      <c r="V32" s="299"/>
      <c r="W32" s="297"/>
      <c r="X32" s="298"/>
      <c r="Y32" s="298"/>
      <c r="Z32" s="298"/>
      <c r="AA32" s="298"/>
      <c r="AB32" s="298"/>
      <c r="AC32" s="298"/>
      <c r="AD32" s="298"/>
      <c r="AE32" s="298"/>
      <c r="AF32" s="298"/>
      <c r="AG32" s="298"/>
      <c r="AH32" s="298"/>
      <c r="AI32" s="298"/>
      <c r="AJ32" s="298"/>
      <c r="AK32" s="298"/>
      <c r="AL32" s="298"/>
      <c r="AM32" s="298"/>
      <c r="AN32" s="298"/>
      <c r="AO32" s="298"/>
      <c r="AP32" s="298"/>
      <c r="AQ32" s="298"/>
      <c r="AR32" s="298"/>
      <c r="AS32" s="298"/>
      <c r="AT32" s="298"/>
      <c r="AU32" s="298"/>
      <c r="AV32" s="298"/>
      <c r="AW32" s="298"/>
      <c r="AX32" s="298"/>
      <c r="AY32" s="299"/>
      <c r="AZ32" s="297"/>
      <c r="BA32" s="298"/>
      <c r="BB32" s="298"/>
      <c r="BC32" s="298"/>
      <c r="BD32" s="298"/>
      <c r="BE32" s="298"/>
      <c r="BF32" s="298"/>
      <c r="BG32" s="298"/>
      <c r="BH32" s="298"/>
      <c r="BI32" s="299"/>
    </row>
    <row r="33" spans="1:61" s="1" customFormat="1" ht="13.5">
      <c r="A33" s="313">
        <f t="shared" si="0"/>
        <v>25</v>
      </c>
      <c r="B33" s="314"/>
      <c r="C33" s="297"/>
      <c r="D33" s="298"/>
      <c r="E33" s="298"/>
      <c r="F33" s="298"/>
      <c r="G33" s="298"/>
      <c r="H33" s="298"/>
      <c r="I33" s="298"/>
      <c r="J33" s="298"/>
      <c r="K33" s="298"/>
      <c r="L33" s="299"/>
      <c r="M33" s="297"/>
      <c r="N33" s="298"/>
      <c r="O33" s="298"/>
      <c r="P33" s="298"/>
      <c r="Q33" s="298"/>
      <c r="R33" s="298"/>
      <c r="S33" s="298"/>
      <c r="T33" s="298"/>
      <c r="U33" s="298"/>
      <c r="V33" s="299"/>
      <c r="W33" s="297"/>
      <c r="X33" s="298"/>
      <c r="Y33" s="298"/>
      <c r="Z33" s="298"/>
      <c r="AA33" s="298"/>
      <c r="AB33" s="298"/>
      <c r="AC33" s="298"/>
      <c r="AD33" s="298"/>
      <c r="AE33" s="298"/>
      <c r="AF33" s="298"/>
      <c r="AG33" s="298"/>
      <c r="AH33" s="298"/>
      <c r="AI33" s="298"/>
      <c r="AJ33" s="298"/>
      <c r="AK33" s="298"/>
      <c r="AL33" s="298"/>
      <c r="AM33" s="298"/>
      <c r="AN33" s="298"/>
      <c r="AO33" s="298"/>
      <c r="AP33" s="298"/>
      <c r="AQ33" s="298"/>
      <c r="AR33" s="298"/>
      <c r="AS33" s="298"/>
      <c r="AT33" s="298"/>
      <c r="AU33" s="298"/>
      <c r="AV33" s="298"/>
      <c r="AW33" s="298"/>
      <c r="AX33" s="298"/>
      <c r="AY33" s="299"/>
      <c r="AZ33" s="297"/>
      <c r="BA33" s="298"/>
      <c r="BB33" s="298"/>
      <c r="BC33" s="298"/>
      <c r="BD33" s="298"/>
      <c r="BE33" s="298"/>
      <c r="BF33" s="298"/>
      <c r="BG33" s="298"/>
      <c r="BH33" s="298"/>
      <c r="BI33" s="299"/>
    </row>
    <row r="34" spans="1:61" s="1" customFormat="1" ht="13.5">
      <c r="A34" s="313">
        <f t="shared" si="0"/>
        <v>26</v>
      </c>
      <c r="B34" s="314"/>
      <c r="C34" s="297"/>
      <c r="D34" s="298"/>
      <c r="E34" s="298"/>
      <c r="F34" s="298"/>
      <c r="G34" s="298"/>
      <c r="H34" s="298"/>
      <c r="I34" s="298"/>
      <c r="J34" s="298"/>
      <c r="K34" s="298"/>
      <c r="L34" s="299"/>
      <c r="M34" s="297"/>
      <c r="N34" s="298"/>
      <c r="O34" s="298"/>
      <c r="P34" s="298"/>
      <c r="Q34" s="298"/>
      <c r="R34" s="298"/>
      <c r="S34" s="298"/>
      <c r="T34" s="298"/>
      <c r="U34" s="298"/>
      <c r="V34" s="299"/>
      <c r="W34" s="297"/>
      <c r="X34" s="298"/>
      <c r="Y34" s="298"/>
      <c r="Z34" s="298"/>
      <c r="AA34" s="298"/>
      <c r="AB34" s="298"/>
      <c r="AC34" s="298"/>
      <c r="AD34" s="298"/>
      <c r="AE34" s="298"/>
      <c r="AF34" s="298"/>
      <c r="AG34" s="298"/>
      <c r="AH34" s="298"/>
      <c r="AI34" s="298"/>
      <c r="AJ34" s="298"/>
      <c r="AK34" s="298"/>
      <c r="AL34" s="298"/>
      <c r="AM34" s="298"/>
      <c r="AN34" s="298"/>
      <c r="AO34" s="298"/>
      <c r="AP34" s="298"/>
      <c r="AQ34" s="298"/>
      <c r="AR34" s="298"/>
      <c r="AS34" s="298"/>
      <c r="AT34" s="298"/>
      <c r="AU34" s="298"/>
      <c r="AV34" s="298"/>
      <c r="AW34" s="298"/>
      <c r="AX34" s="298"/>
      <c r="AY34" s="299"/>
      <c r="AZ34" s="297"/>
      <c r="BA34" s="298"/>
      <c r="BB34" s="298"/>
      <c r="BC34" s="298"/>
      <c r="BD34" s="298"/>
      <c r="BE34" s="298"/>
      <c r="BF34" s="298"/>
      <c r="BG34" s="298"/>
      <c r="BH34" s="298"/>
      <c r="BI34" s="299"/>
    </row>
    <row r="35" spans="1:61" s="1" customFormat="1" ht="13.5">
      <c r="A35" s="313">
        <f t="shared" si="0"/>
        <v>27</v>
      </c>
      <c r="B35" s="314"/>
      <c r="C35" s="297"/>
      <c r="D35" s="298"/>
      <c r="E35" s="298"/>
      <c r="F35" s="298"/>
      <c r="G35" s="298"/>
      <c r="H35" s="298"/>
      <c r="I35" s="298"/>
      <c r="J35" s="298"/>
      <c r="K35" s="298"/>
      <c r="L35" s="299"/>
      <c r="M35" s="297"/>
      <c r="N35" s="298"/>
      <c r="O35" s="298"/>
      <c r="P35" s="298"/>
      <c r="Q35" s="298"/>
      <c r="R35" s="298"/>
      <c r="S35" s="298"/>
      <c r="T35" s="298"/>
      <c r="U35" s="298"/>
      <c r="V35" s="299"/>
      <c r="W35" s="297"/>
      <c r="X35" s="298"/>
      <c r="Y35" s="298"/>
      <c r="Z35" s="298"/>
      <c r="AA35" s="298"/>
      <c r="AB35" s="298"/>
      <c r="AC35" s="298"/>
      <c r="AD35" s="298"/>
      <c r="AE35" s="298"/>
      <c r="AF35" s="298"/>
      <c r="AG35" s="298"/>
      <c r="AH35" s="298"/>
      <c r="AI35" s="298"/>
      <c r="AJ35" s="298"/>
      <c r="AK35" s="298"/>
      <c r="AL35" s="298"/>
      <c r="AM35" s="298"/>
      <c r="AN35" s="298"/>
      <c r="AO35" s="298"/>
      <c r="AP35" s="298"/>
      <c r="AQ35" s="298"/>
      <c r="AR35" s="298"/>
      <c r="AS35" s="298"/>
      <c r="AT35" s="298"/>
      <c r="AU35" s="298"/>
      <c r="AV35" s="298"/>
      <c r="AW35" s="298"/>
      <c r="AX35" s="298"/>
      <c r="AY35" s="299"/>
      <c r="AZ35" s="297"/>
      <c r="BA35" s="298"/>
      <c r="BB35" s="298"/>
      <c r="BC35" s="298"/>
      <c r="BD35" s="298"/>
      <c r="BE35" s="298"/>
      <c r="BF35" s="298"/>
      <c r="BG35" s="298"/>
      <c r="BH35" s="298"/>
      <c r="BI35" s="299"/>
    </row>
    <row r="36" spans="1:61" s="1" customFormat="1" ht="13.5">
      <c r="A36" s="313">
        <f t="shared" si="0"/>
        <v>28</v>
      </c>
      <c r="B36" s="314"/>
      <c r="C36" s="297"/>
      <c r="D36" s="298"/>
      <c r="E36" s="298"/>
      <c r="F36" s="298"/>
      <c r="G36" s="298"/>
      <c r="H36" s="298"/>
      <c r="I36" s="298"/>
      <c r="J36" s="298"/>
      <c r="K36" s="298"/>
      <c r="L36" s="299"/>
      <c r="M36" s="297"/>
      <c r="N36" s="298"/>
      <c r="O36" s="298"/>
      <c r="P36" s="298"/>
      <c r="Q36" s="298"/>
      <c r="R36" s="298"/>
      <c r="S36" s="298"/>
      <c r="T36" s="298"/>
      <c r="U36" s="298"/>
      <c r="V36" s="299"/>
      <c r="W36" s="297"/>
      <c r="X36" s="298"/>
      <c r="Y36" s="298"/>
      <c r="Z36" s="298"/>
      <c r="AA36" s="298"/>
      <c r="AB36" s="298"/>
      <c r="AC36" s="298"/>
      <c r="AD36" s="298"/>
      <c r="AE36" s="298"/>
      <c r="AF36" s="298"/>
      <c r="AG36" s="298"/>
      <c r="AH36" s="298"/>
      <c r="AI36" s="298"/>
      <c r="AJ36" s="298"/>
      <c r="AK36" s="298"/>
      <c r="AL36" s="298"/>
      <c r="AM36" s="298"/>
      <c r="AN36" s="298"/>
      <c r="AO36" s="298"/>
      <c r="AP36" s="298"/>
      <c r="AQ36" s="298"/>
      <c r="AR36" s="298"/>
      <c r="AS36" s="298"/>
      <c r="AT36" s="298"/>
      <c r="AU36" s="298"/>
      <c r="AV36" s="298"/>
      <c r="AW36" s="298"/>
      <c r="AX36" s="298"/>
      <c r="AY36" s="299"/>
      <c r="AZ36" s="297"/>
      <c r="BA36" s="298"/>
      <c r="BB36" s="298"/>
      <c r="BC36" s="298"/>
      <c r="BD36" s="298"/>
      <c r="BE36" s="298"/>
      <c r="BF36" s="298"/>
      <c r="BG36" s="298"/>
      <c r="BH36" s="298"/>
      <c r="BI36" s="299"/>
    </row>
    <row r="37" spans="1:61" s="1" customFormat="1" ht="13.5">
      <c r="A37" s="313">
        <f t="shared" si="0"/>
        <v>29</v>
      </c>
      <c r="B37" s="314"/>
      <c r="C37" s="297"/>
      <c r="D37" s="298"/>
      <c r="E37" s="298"/>
      <c r="F37" s="298"/>
      <c r="G37" s="298"/>
      <c r="H37" s="298"/>
      <c r="I37" s="298"/>
      <c r="J37" s="298"/>
      <c r="K37" s="298"/>
      <c r="L37" s="299"/>
      <c r="M37" s="297"/>
      <c r="N37" s="298"/>
      <c r="O37" s="298"/>
      <c r="P37" s="298"/>
      <c r="Q37" s="298"/>
      <c r="R37" s="298"/>
      <c r="S37" s="298"/>
      <c r="T37" s="298"/>
      <c r="U37" s="298"/>
      <c r="V37" s="299"/>
      <c r="W37" s="297"/>
      <c r="X37" s="298"/>
      <c r="Y37" s="298"/>
      <c r="Z37" s="298"/>
      <c r="AA37" s="298"/>
      <c r="AB37" s="298"/>
      <c r="AC37" s="298"/>
      <c r="AD37" s="298"/>
      <c r="AE37" s="298"/>
      <c r="AF37" s="298"/>
      <c r="AG37" s="298"/>
      <c r="AH37" s="298"/>
      <c r="AI37" s="298"/>
      <c r="AJ37" s="298"/>
      <c r="AK37" s="298"/>
      <c r="AL37" s="298"/>
      <c r="AM37" s="298"/>
      <c r="AN37" s="298"/>
      <c r="AO37" s="298"/>
      <c r="AP37" s="298"/>
      <c r="AQ37" s="298"/>
      <c r="AR37" s="298"/>
      <c r="AS37" s="298"/>
      <c r="AT37" s="298"/>
      <c r="AU37" s="298"/>
      <c r="AV37" s="298"/>
      <c r="AW37" s="298"/>
      <c r="AX37" s="298"/>
      <c r="AY37" s="299"/>
      <c r="AZ37" s="297"/>
      <c r="BA37" s="298"/>
      <c r="BB37" s="298"/>
      <c r="BC37" s="298"/>
      <c r="BD37" s="298"/>
      <c r="BE37" s="298"/>
      <c r="BF37" s="298"/>
      <c r="BG37" s="298"/>
      <c r="BH37" s="298"/>
      <c r="BI37" s="299"/>
    </row>
    <row r="38" spans="1:61" s="1" customFormat="1" ht="13.5">
      <c r="A38" s="313">
        <f t="shared" si="0"/>
        <v>30</v>
      </c>
      <c r="B38" s="314"/>
      <c r="C38" s="297"/>
      <c r="D38" s="298"/>
      <c r="E38" s="298"/>
      <c r="F38" s="298"/>
      <c r="G38" s="298"/>
      <c r="H38" s="298"/>
      <c r="I38" s="298"/>
      <c r="J38" s="298"/>
      <c r="K38" s="298"/>
      <c r="L38" s="299"/>
      <c r="M38" s="297"/>
      <c r="N38" s="298"/>
      <c r="O38" s="298"/>
      <c r="P38" s="298"/>
      <c r="Q38" s="298"/>
      <c r="R38" s="298"/>
      <c r="S38" s="298"/>
      <c r="T38" s="298"/>
      <c r="U38" s="298"/>
      <c r="V38" s="299"/>
      <c r="W38" s="297"/>
      <c r="X38" s="298"/>
      <c r="Y38" s="298"/>
      <c r="Z38" s="298"/>
      <c r="AA38" s="298"/>
      <c r="AB38" s="298"/>
      <c r="AC38" s="298"/>
      <c r="AD38" s="298"/>
      <c r="AE38" s="298"/>
      <c r="AF38" s="298"/>
      <c r="AG38" s="298"/>
      <c r="AH38" s="298"/>
      <c r="AI38" s="298"/>
      <c r="AJ38" s="298"/>
      <c r="AK38" s="298"/>
      <c r="AL38" s="298"/>
      <c r="AM38" s="298"/>
      <c r="AN38" s="298"/>
      <c r="AO38" s="298"/>
      <c r="AP38" s="298"/>
      <c r="AQ38" s="298"/>
      <c r="AR38" s="298"/>
      <c r="AS38" s="298"/>
      <c r="AT38" s="298"/>
      <c r="AU38" s="298"/>
      <c r="AV38" s="298"/>
      <c r="AW38" s="298"/>
      <c r="AX38" s="298"/>
      <c r="AY38" s="299"/>
      <c r="AZ38" s="297"/>
      <c r="BA38" s="298"/>
      <c r="BB38" s="298"/>
      <c r="BC38" s="298"/>
      <c r="BD38" s="298"/>
      <c r="BE38" s="298"/>
      <c r="BF38" s="298"/>
      <c r="BG38" s="298"/>
      <c r="BH38" s="298"/>
      <c r="BI38" s="299"/>
    </row>
    <row r="39" spans="1:61" s="1" customFormat="1" ht="13.5">
      <c r="A39" s="313">
        <f t="shared" si="0"/>
        <v>31</v>
      </c>
      <c r="B39" s="314"/>
      <c r="C39" s="297"/>
      <c r="D39" s="298"/>
      <c r="E39" s="298"/>
      <c r="F39" s="298"/>
      <c r="G39" s="298"/>
      <c r="H39" s="298"/>
      <c r="I39" s="298"/>
      <c r="J39" s="298"/>
      <c r="K39" s="298"/>
      <c r="L39" s="299"/>
      <c r="M39" s="297"/>
      <c r="N39" s="298"/>
      <c r="O39" s="298"/>
      <c r="P39" s="298"/>
      <c r="Q39" s="298"/>
      <c r="R39" s="298"/>
      <c r="S39" s="298"/>
      <c r="T39" s="298"/>
      <c r="U39" s="298"/>
      <c r="V39" s="299"/>
      <c r="W39" s="297"/>
      <c r="X39" s="298"/>
      <c r="Y39" s="298"/>
      <c r="Z39" s="298"/>
      <c r="AA39" s="298"/>
      <c r="AB39" s="298"/>
      <c r="AC39" s="298"/>
      <c r="AD39" s="298"/>
      <c r="AE39" s="298"/>
      <c r="AF39" s="298"/>
      <c r="AG39" s="298"/>
      <c r="AH39" s="298"/>
      <c r="AI39" s="298"/>
      <c r="AJ39" s="298"/>
      <c r="AK39" s="298"/>
      <c r="AL39" s="298"/>
      <c r="AM39" s="298"/>
      <c r="AN39" s="298"/>
      <c r="AO39" s="298"/>
      <c r="AP39" s="298"/>
      <c r="AQ39" s="298"/>
      <c r="AR39" s="298"/>
      <c r="AS39" s="298"/>
      <c r="AT39" s="298"/>
      <c r="AU39" s="298"/>
      <c r="AV39" s="298"/>
      <c r="AW39" s="298"/>
      <c r="AX39" s="298"/>
      <c r="AY39" s="299"/>
      <c r="AZ39" s="297"/>
      <c r="BA39" s="298"/>
      <c r="BB39" s="298"/>
      <c r="BC39" s="298"/>
      <c r="BD39" s="298"/>
      <c r="BE39" s="298"/>
      <c r="BF39" s="298"/>
      <c r="BG39" s="298"/>
      <c r="BH39" s="298"/>
      <c r="BI39" s="299"/>
    </row>
    <row r="40" spans="1:61" s="1" customFormat="1" ht="14" thickBot="1">
      <c r="A40" s="516">
        <f t="shared" si="0"/>
        <v>32</v>
      </c>
      <c r="B40" s="517"/>
      <c r="C40" s="300"/>
      <c r="D40" s="301"/>
      <c r="E40" s="301"/>
      <c r="F40" s="301"/>
      <c r="G40" s="301"/>
      <c r="H40" s="301"/>
      <c r="I40" s="301"/>
      <c r="J40" s="301"/>
      <c r="K40" s="301"/>
      <c r="L40" s="302"/>
      <c r="M40" s="300"/>
      <c r="N40" s="301"/>
      <c r="O40" s="301"/>
      <c r="P40" s="301"/>
      <c r="Q40" s="301"/>
      <c r="R40" s="301"/>
      <c r="S40" s="301"/>
      <c r="T40" s="301"/>
      <c r="U40" s="301"/>
      <c r="V40" s="302"/>
      <c r="W40" s="300"/>
      <c r="X40" s="301"/>
      <c r="Y40" s="301"/>
      <c r="Z40" s="301"/>
      <c r="AA40" s="301"/>
      <c r="AB40" s="301"/>
      <c r="AC40" s="301"/>
      <c r="AD40" s="301"/>
      <c r="AE40" s="301"/>
      <c r="AF40" s="301"/>
      <c r="AG40" s="301"/>
      <c r="AH40" s="301"/>
      <c r="AI40" s="301"/>
      <c r="AJ40" s="301"/>
      <c r="AK40" s="301"/>
      <c r="AL40" s="301"/>
      <c r="AM40" s="301"/>
      <c r="AN40" s="301"/>
      <c r="AO40" s="301"/>
      <c r="AP40" s="301"/>
      <c r="AQ40" s="301"/>
      <c r="AR40" s="301"/>
      <c r="AS40" s="301"/>
      <c r="AT40" s="301"/>
      <c r="AU40" s="301"/>
      <c r="AV40" s="301"/>
      <c r="AW40" s="301"/>
      <c r="AX40" s="301"/>
      <c r="AY40" s="302"/>
      <c r="AZ40" s="300"/>
      <c r="BA40" s="301"/>
      <c r="BB40" s="301"/>
      <c r="BC40" s="301"/>
      <c r="BD40" s="301"/>
      <c r="BE40" s="301"/>
      <c r="BF40" s="301"/>
      <c r="BG40" s="301"/>
      <c r="BH40" s="301"/>
      <c r="BI40" s="302"/>
    </row>
  </sheetData>
  <mergeCells count="183">
    <mergeCell ref="BB2:BI2"/>
    <mergeCell ref="AT3:AU3"/>
    <mergeCell ref="AV3:BA3"/>
    <mergeCell ref="BB3:BI3"/>
    <mergeCell ref="A9:B9"/>
    <mergeCell ref="A8:B8"/>
    <mergeCell ref="A4:I4"/>
    <mergeCell ref="C8:L8"/>
    <mergeCell ref="M8:V8"/>
    <mergeCell ref="A1:E3"/>
    <mergeCell ref="AT1:BA1"/>
    <mergeCell ref="BB1:BI1"/>
    <mergeCell ref="AZ8:BI8"/>
    <mergeCell ref="W8:AY8"/>
    <mergeCell ref="W1:AD1"/>
    <mergeCell ref="F1:P1"/>
    <mergeCell ref="Q1:V1"/>
    <mergeCell ref="F2:P3"/>
    <mergeCell ref="Q2:V3"/>
    <mergeCell ref="W2:AD3"/>
    <mergeCell ref="AE2:AS3"/>
    <mergeCell ref="AE1:AS1"/>
    <mergeCell ref="A16:B16"/>
    <mergeCell ref="A17:B17"/>
    <mergeCell ref="A18:B18"/>
    <mergeCell ref="A19:B19"/>
    <mergeCell ref="A20:B20"/>
    <mergeCell ref="A11:B11"/>
    <mergeCell ref="A12:B12"/>
    <mergeCell ref="A13:B13"/>
    <mergeCell ref="A14:B14"/>
    <mergeCell ref="A15:B15"/>
    <mergeCell ref="A10:B10"/>
    <mergeCell ref="AT2:AU2"/>
    <mergeCell ref="AV2:BA2"/>
    <mergeCell ref="A26:B26"/>
    <mergeCell ref="A27:B27"/>
    <mergeCell ref="A28:B28"/>
    <mergeCell ref="A29:B29"/>
    <mergeCell ref="A30:B30"/>
    <mergeCell ref="A21:B21"/>
    <mergeCell ref="A22:B22"/>
    <mergeCell ref="A23:B23"/>
    <mergeCell ref="A24:B24"/>
    <mergeCell ref="A25:B25"/>
    <mergeCell ref="AZ11:BI11"/>
    <mergeCell ref="C12:L12"/>
    <mergeCell ref="M12:V12"/>
    <mergeCell ref="W12:AY12"/>
    <mergeCell ref="AZ12:BI12"/>
    <mergeCell ref="C9:L9"/>
    <mergeCell ref="M9:V9"/>
    <mergeCell ref="W9:AY9"/>
    <mergeCell ref="AZ9:BI9"/>
    <mergeCell ref="C10:L10"/>
    <mergeCell ref="M10:V10"/>
    <mergeCell ref="A36:B36"/>
    <mergeCell ref="A37:B37"/>
    <mergeCell ref="A38:B38"/>
    <mergeCell ref="A40:B40"/>
    <mergeCell ref="A31:B31"/>
    <mergeCell ref="A32:B32"/>
    <mergeCell ref="A33:B33"/>
    <mergeCell ref="A34:B34"/>
    <mergeCell ref="A35:B35"/>
    <mergeCell ref="A39:B39"/>
    <mergeCell ref="W10:AY10"/>
    <mergeCell ref="AZ10:BI10"/>
    <mergeCell ref="AZ15:BI15"/>
    <mergeCell ref="C16:L16"/>
    <mergeCell ref="M16:V16"/>
    <mergeCell ref="W16:AY16"/>
    <mergeCell ref="AZ16:BI16"/>
    <mergeCell ref="C13:L13"/>
    <mergeCell ref="M13:V13"/>
    <mergeCell ref="W13:AY13"/>
    <mergeCell ref="AZ13:BI13"/>
    <mergeCell ref="C14:L14"/>
    <mergeCell ref="M14:V14"/>
    <mergeCell ref="W14:AY14"/>
    <mergeCell ref="AZ14:BI14"/>
    <mergeCell ref="C11:L11"/>
    <mergeCell ref="M11:V11"/>
    <mergeCell ref="W11:AY11"/>
    <mergeCell ref="C15:L15"/>
    <mergeCell ref="M15:V15"/>
    <mergeCell ref="W15:AY15"/>
    <mergeCell ref="AZ19:BI19"/>
    <mergeCell ref="C20:L20"/>
    <mergeCell ref="M20:V20"/>
    <mergeCell ref="W20:AY20"/>
    <mergeCell ref="AZ20:BI20"/>
    <mergeCell ref="C17:L17"/>
    <mergeCell ref="M17:V17"/>
    <mergeCell ref="W17:AY17"/>
    <mergeCell ref="AZ17:BI17"/>
    <mergeCell ref="C18:L18"/>
    <mergeCell ref="M18:V18"/>
    <mergeCell ref="W18:AY18"/>
    <mergeCell ref="AZ18:BI18"/>
    <mergeCell ref="C19:L19"/>
    <mergeCell ref="M19:V19"/>
    <mergeCell ref="W19:AY19"/>
    <mergeCell ref="C23:L23"/>
    <mergeCell ref="M23:V23"/>
    <mergeCell ref="W23:AY23"/>
    <mergeCell ref="AZ23:BI23"/>
    <mergeCell ref="C24:L24"/>
    <mergeCell ref="M24:V24"/>
    <mergeCell ref="W24:AY24"/>
    <mergeCell ref="AZ24:BI24"/>
    <mergeCell ref="C21:L21"/>
    <mergeCell ref="M21:V21"/>
    <mergeCell ref="W21:AY21"/>
    <mergeCell ref="AZ21:BI21"/>
    <mergeCell ref="C22:L22"/>
    <mergeCell ref="M22:V22"/>
    <mergeCell ref="W22:AY22"/>
    <mergeCell ref="AZ22:BI22"/>
    <mergeCell ref="C27:L27"/>
    <mergeCell ref="M27:V27"/>
    <mergeCell ref="W27:AY27"/>
    <mergeCell ref="AZ27:BI27"/>
    <mergeCell ref="C28:L28"/>
    <mergeCell ref="M28:V28"/>
    <mergeCell ref="W28:AY28"/>
    <mergeCell ref="AZ28:BI28"/>
    <mergeCell ref="C25:L25"/>
    <mergeCell ref="M25:V25"/>
    <mergeCell ref="W25:AY25"/>
    <mergeCell ref="AZ25:BI25"/>
    <mergeCell ref="C26:L26"/>
    <mergeCell ref="M26:V26"/>
    <mergeCell ref="W26:AY26"/>
    <mergeCell ref="AZ26:BI26"/>
    <mergeCell ref="C31:L31"/>
    <mergeCell ref="M31:V31"/>
    <mergeCell ref="W31:AY31"/>
    <mergeCell ref="AZ31:BI31"/>
    <mergeCell ref="C32:L32"/>
    <mergeCell ref="M32:V32"/>
    <mergeCell ref="W32:AY32"/>
    <mergeCell ref="AZ32:BI32"/>
    <mergeCell ref="C29:L29"/>
    <mergeCell ref="M29:V29"/>
    <mergeCell ref="W29:AY29"/>
    <mergeCell ref="AZ29:BI29"/>
    <mergeCell ref="C30:L30"/>
    <mergeCell ref="M30:V30"/>
    <mergeCell ref="W30:AY30"/>
    <mergeCell ref="AZ30:BI30"/>
    <mergeCell ref="C35:L35"/>
    <mergeCell ref="M35:V35"/>
    <mergeCell ref="W35:AY35"/>
    <mergeCell ref="AZ35:BI35"/>
    <mergeCell ref="C36:L36"/>
    <mergeCell ref="M36:V36"/>
    <mergeCell ref="W36:AY36"/>
    <mergeCell ref="AZ36:BI36"/>
    <mergeCell ref="C33:L33"/>
    <mergeCell ref="M33:V33"/>
    <mergeCell ref="W33:AY33"/>
    <mergeCell ref="AZ33:BI33"/>
    <mergeCell ref="C34:L34"/>
    <mergeCell ref="M34:V34"/>
    <mergeCell ref="W34:AY34"/>
    <mergeCell ref="AZ34:BI34"/>
    <mergeCell ref="C39:L39"/>
    <mergeCell ref="M39:V39"/>
    <mergeCell ref="W39:AY39"/>
    <mergeCell ref="AZ39:BI39"/>
    <mergeCell ref="C40:L40"/>
    <mergeCell ref="M40:V40"/>
    <mergeCell ref="W40:AY40"/>
    <mergeCell ref="AZ40:BI40"/>
    <mergeCell ref="C37:L37"/>
    <mergeCell ref="M37:V37"/>
    <mergeCell ref="W37:AY37"/>
    <mergeCell ref="AZ37:BI37"/>
    <mergeCell ref="C38:L38"/>
    <mergeCell ref="M38:V38"/>
    <mergeCell ref="W38:AY38"/>
    <mergeCell ref="AZ38:BI38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scale="85" orientation="landscape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B3E1ED-64CF-4296-B779-7F5D0BE63913}">
  <dimension ref="A1:BI39"/>
  <sheetViews>
    <sheetView showGridLines="0" zoomScaleNormal="100" workbookViewId="0">
      <selection sqref="A1:E3"/>
    </sheetView>
  </sheetViews>
  <sheetFormatPr defaultColWidth="2.33203125" defaultRowHeight="15" customHeight="1"/>
  <cols>
    <col min="1" max="16384" width="2.33203125" style="43"/>
  </cols>
  <sheetData>
    <row r="1" spans="1:61" s="1" customFormat="1" ht="15" customHeight="1" thickBot="1">
      <c r="A1" s="245" t="s">
        <v>32</v>
      </c>
      <c r="B1" s="246"/>
      <c r="C1" s="246"/>
      <c r="D1" s="246"/>
      <c r="E1" s="247"/>
      <c r="F1" s="254" t="str">
        <f>変更履歴!F1</f>
        <v>システム名</v>
      </c>
      <c r="G1" s="255"/>
      <c r="H1" s="255"/>
      <c r="I1" s="255"/>
      <c r="J1" s="255"/>
      <c r="K1" s="255"/>
      <c r="L1" s="255"/>
      <c r="M1" s="255"/>
      <c r="N1" s="255"/>
      <c r="O1" s="255"/>
      <c r="P1" s="256"/>
      <c r="Q1" s="257" t="str">
        <f>変更履歴!Q1</f>
        <v>機能分類</v>
      </c>
      <c r="R1" s="258"/>
      <c r="S1" s="258"/>
      <c r="T1" s="258"/>
      <c r="U1" s="258"/>
      <c r="V1" s="259"/>
      <c r="W1" s="254" t="str">
        <f>変更履歴!W1</f>
        <v>機能ＩＤ</v>
      </c>
      <c r="X1" s="255"/>
      <c r="Y1" s="255"/>
      <c r="Z1" s="255"/>
      <c r="AA1" s="255"/>
      <c r="AB1" s="255"/>
      <c r="AC1" s="255"/>
      <c r="AD1" s="256"/>
      <c r="AE1" s="254" t="str">
        <f>変更履歴!AE1</f>
        <v>機能名称</v>
      </c>
      <c r="AF1" s="255"/>
      <c r="AG1" s="255"/>
      <c r="AH1" s="255"/>
      <c r="AI1" s="255"/>
      <c r="AJ1" s="255"/>
      <c r="AK1" s="255"/>
      <c r="AL1" s="255"/>
      <c r="AM1" s="255"/>
      <c r="AN1" s="255"/>
      <c r="AO1" s="255"/>
      <c r="AP1" s="255"/>
      <c r="AQ1" s="255"/>
      <c r="AR1" s="255"/>
      <c r="AS1" s="256"/>
      <c r="AT1" s="260" t="str">
        <f>変更履歴!AT1</f>
        <v>日付</v>
      </c>
      <c r="AU1" s="261"/>
      <c r="AV1" s="261"/>
      <c r="AW1" s="261"/>
      <c r="AX1" s="261"/>
      <c r="AY1" s="261"/>
      <c r="AZ1" s="261"/>
      <c r="BA1" s="262"/>
      <c r="BB1" s="217" t="str">
        <f>変更履歴!BB1</f>
        <v>更新者</v>
      </c>
      <c r="BC1" s="219"/>
      <c r="BD1" s="219"/>
      <c r="BE1" s="219"/>
      <c r="BF1" s="219"/>
      <c r="BG1" s="219"/>
      <c r="BH1" s="219"/>
      <c r="BI1" s="220"/>
    </row>
    <row r="2" spans="1:61" s="1" customFormat="1" ht="15" customHeight="1">
      <c r="A2" s="248"/>
      <c r="B2" s="249"/>
      <c r="C2" s="249"/>
      <c r="D2" s="249"/>
      <c r="E2" s="250"/>
      <c r="F2" s="221" t="str">
        <f>変更履歴!F2</f>
        <v>Dynamics365 for Finance and Operations</v>
      </c>
      <c r="G2" s="222"/>
      <c r="H2" s="222"/>
      <c r="I2" s="222"/>
      <c r="J2" s="222"/>
      <c r="K2" s="222"/>
      <c r="L2" s="222"/>
      <c r="M2" s="222"/>
      <c r="N2" s="222"/>
      <c r="O2" s="222"/>
      <c r="P2" s="223"/>
      <c r="Q2" s="221" t="str">
        <f>変更履歴!Q2</f>
        <v>債権・債務</v>
      </c>
      <c r="R2" s="222"/>
      <c r="S2" s="222"/>
      <c r="T2" s="222"/>
      <c r="U2" s="222"/>
      <c r="V2" s="223"/>
      <c r="W2" s="227" t="str">
        <f>変更履歴!W2</f>
        <v>FO-006</v>
      </c>
      <c r="X2" s="228"/>
      <c r="Y2" s="228"/>
      <c r="Z2" s="228"/>
      <c r="AA2" s="228"/>
      <c r="AB2" s="228"/>
      <c r="AC2" s="228"/>
      <c r="AD2" s="229"/>
      <c r="AE2" s="221" t="str">
        <f>変更履歴!AE2</f>
        <v>支払方法・支払サイトマスタ画面</v>
      </c>
      <c r="AF2" s="222"/>
      <c r="AG2" s="222"/>
      <c r="AH2" s="222"/>
      <c r="AI2" s="222"/>
      <c r="AJ2" s="222"/>
      <c r="AK2" s="222"/>
      <c r="AL2" s="222"/>
      <c r="AM2" s="222"/>
      <c r="AN2" s="222"/>
      <c r="AO2" s="222"/>
      <c r="AP2" s="222"/>
      <c r="AQ2" s="222"/>
      <c r="AR2" s="222"/>
      <c r="AS2" s="223"/>
      <c r="AT2" s="233" t="str">
        <f>変更履歴!AT2</f>
        <v>作成</v>
      </c>
      <c r="AU2" s="234"/>
      <c r="AV2" s="235">
        <f>変更履歴!AV2</f>
        <v>45448</v>
      </c>
      <c r="AW2" s="235"/>
      <c r="AX2" s="235"/>
      <c r="AY2" s="235"/>
      <c r="AZ2" s="235"/>
      <c r="BA2" s="236"/>
      <c r="BB2" s="237" t="str">
        <f>変更履歴!BB2</f>
        <v>JBS井田</v>
      </c>
      <c r="BC2" s="239"/>
      <c r="BD2" s="239"/>
      <c r="BE2" s="239"/>
      <c r="BF2" s="239"/>
      <c r="BG2" s="239"/>
      <c r="BH2" s="239"/>
      <c r="BI2" s="240"/>
    </row>
    <row r="3" spans="1:61" s="1" customFormat="1" ht="15" customHeight="1" thickBot="1">
      <c r="A3" s="251"/>
      <c r="B3" s="252"/>
      <c r="C3" s="252"/>
      <c r="D3" s="252"/>
      <c r="E3" s="253"/>
      <c r="F3" s="224"/>
      <c r="G3" s="225"/>
      <c r="H3" s="225"/>
      <c r="I3" s="225"/>
      <c r="J3" s="225"/>
      <c r="K3" s="225"/>
      <c r="L3" s="225"/>
      <c r="M3" s="225"/>
      <c r="N3" s="225"/>
      <c r="O3" s="225"/>
      <c r="P3" s="226"/>
      <c r="Q3" s="224"/>
      <c r="R3" s="225"/>
      <c r="S3" s="225"/>
      <c r="T3" s="225"/>
      <c r="U3" s="225"/>
      <c r="V3" s="226"/>
      <c r="W3" s="230"/>
      <c r="X3" s="231"/>
      <c r="Y3" s="231"/>
      <c r="Z3" s="231"/>
      <c r="AA3" s="231"/>
      <c r="AB3" s="231"/>
      <c r="AC3" s="231"/>
      <c r="AD3" s="232"/>
      <c r="AE3" s="224"/>
      <c r="AF3" s="225"/>
      <c r="AG3" s="225"/>
      <c r="AH3" s="225"/>
      <c r="AI3" s="225"/>
      <c r="AJ3" s="225"/>
      <c r="AK3" s="225"/>
      <c r="AL3" s="225"/>
      <c r="AM3" s="225"/>
      <c r="AN3" s="225"/>
      <c r="AO3" s="225"/>
      <c r="AP3" s="225"/>
      <c r="AQ3" s="225"/>
      <c r="AR3" s="225"/>
      <c r="AS3" s="226"/>
      <c r="AT3" s="241" t="str">
        <f>変更履歴!AT3</f>
        <v>更新</v>
      </c>
      <c r="AU3" s="242"/>
      <c r="AV3" s="290">
        <f ca="1">変更履歴!AV3</f>
        <v>45589</v>
      </c>
      <c r="AW3" s="291"/>
      <c r="AX3" s="291"/>
      <c r="AY3" s="291"/>
      <c r="AZ3" s="291"/>
      <c r="BA3" s="292"/>
      <c r="BB3" s="294" t="str">
        <f ca="1">変更履歴!BB3</f>
        <v>JBS井田</v>
      </c>
      <c r="BC3" s="295"/>
      <c r="BD3" s="295"/>
      <c r="BE3" s="295"/>
      <c r="BF3" s="295"/>
      <c r="BG3" s="295"/>
      <c r="BH3" s="295"/>
      <c r="BI3" s="296"/>
    </row>
    <row r="4" spans="1:61" s="1" customFormat="1" ht="15" customHeight="1" thickBot="1">
      <c r="A4" s="293"/>
      <c r="B4" s="293"/>
      <c r="C4" s="293"/>
      <c r="D4" s="293"/>
      <c r="E4" s="293"/>
      <c r="F4" s="293"/>
      <c r="G4" s="293"/>
      <c r="H4" s="293"/>
    </row>
    <row r="5" spans="1:61" s="1" customFormat="1" ht="15" customHeight="1" thickBot="1">
      <c r="A5" s="317" t="s">
        <v>199</v>
      </c>
      <c r="B5" s="326"/>
      <c r="C5" s="326"/>
      <c r="D5" s="326"/>
      <c r="E5" s="326"/>
      <c r="F5" s="326"/>
      <c r="G5" s="326"/>
      <c r="H5" s="326"/>
      <c r="I5" s="326"/>
      <c r="J5" s="326"/>
      <c r="K5" s="326"/>
      <c r="L5" s="326"/>
      <c r="M5" s="326"/>
      <c r="N5" s="326"/>
      <c r="O5" s="326"/>
      <c r="P5" s="326"/>
      <c r="Q5" s="326"/>
      <c r="R5" s="326"/>
      <c r="S5" s="326"/>
      <c r="T5" s="326"/>
      <c r="U5" s="326"/>
      <c r="V5" s="326"/>
      <c r="W5" s="326"/>
      <c r="X5" s="326"/>
      <c r="Y5" s="326"/>
      <c r="Z5" s="326"/>
      <c r="AA5" s="326"/>
      <c r="AB5" s="326"/>
      <c r="AC5" s="326"/>
      <c r="AD5" s="326"/>
      <c r="AE5" s="326"/>
      <c r="AF5" s="326"/>
      <c r="AG5" s="326"/>
      <c r="AH5" s="326"/>
      <c r="AI5" s="326"/>
      <c r="AJ5" s="326"/>
      <c r="AK5" s="326"/>
      <c r="AL5" s="326"/>
      <c r="AM5" s="326"/>
      <c r="AN5" s="326"/>
      <c r="AO5" s="326"/>
      <c r="AP5" s="326"/>
      <c r="AQ5" s="326"/>
      <c r="AR5" s="326"/>
      <c r="AS5" s="326"/>
      <c r="AT5" s="326"/>
      <c r="AU5" s="326"/>
      <c r="AV5" s="326"/>
      <c r="AW5" s="326"/>
      <c r="AX5" s="326"/>
      <c r="AY5" s="326"/>
      <c r="AZ5" s="326"/>
      <c r="BA5" s="326"/>
      <c r="BB5" s="326"/>
      <c r="BC5" s="326"/>
      <c r="BD5" s="326"/>
      <c r="BE5" s="326"/>
      <c r="BF5" s="326"/>
      <c r="BG5" s="326"/>
      <c r="BH5" s="326"/>
      <c r="BI5" s="318"/>
    </row>
    <row r="6" spans="1:61" s="1" customFormat="1" ht="15" customHeight="1">
      <c r="A6" s="15"/>
      <c r="BI6" s="24"/>
    </row>
    <row r="7" spans="1:61" s="1" customFormat="1" ht="15" customHeight="1">
      <c r="A7" s="15"/>
      <c r="B7" s="1" t="s">
        <v>200</v>
      </c>
      <c r="BI7" s="24"/>
    </row>
    <row r="8" spans="1:61" s="1" customFormat="1" ht="15" customHeight="1">
      <c r="A8" s="15"/>
      <c r="BI8" s="24"/>
    </row>
    <row r="9" spans="1:61" s="1" customFormat="1" ht="15" customHeight="1">
      <c r="A9" s="15"/>
      <c r="C9" s="156" t="s">
        <v>201</v>
      </c>
      <c r="D9" s="157"/>
      <c r="E9" s="157"/>
      <c r="F9" s="158"/>
      <c r="G9" s="156" t="s">
        <v>122</v>
      </c>
      <c r="H9" s="157"/>
      <c r="I9" s="157"/>
      <c r="J9" s="157"/>
      <c r="K9" s="157"/>
      <c r="L9" s="156" t="s">
        <v>202</v>
      </c>
      <c r="M9" s="157"/>
      <c r="N9" s="157"/>
      <c r="O9" s="157"/>
      <c r="P9" s="157"/>
      <c r="Q9" s="158"/>
      <c r="R9" s="157" t="s">
        <v>129</v>
      </c>
      <c r="S9" s="157"/>
      <c r="T9" s="157"/>
      <c r="U9" s="157"/>
      <c r="V9" s="156" t="s">
        <v>203</v>
      </c>
      <c r="W9" s="157"/>
      <c r="X9" s="157"/>
      <c r="Y9" s="158"/>
      <c r="BI9" s="24"/>
    </row>
    <row r="10" spans="1:61" s="1" customFormat="1" ht="15" customHeight="1">
      <c r="A10" s="15"/>
      <c r="C10" s="23" t="s">
        <v>204</v>
      </c>
      <c r="F10" s="6"/>
      <c r="G10" s="525">
        <v>0</v>
      </c>
      <c r="H10" s="526"/>
      <c r="I10" s="526"/>
      <c r="J10" s="526"/>
      <c r="K10" s="526"/>
      <c r="L10" s="23" t="s">
        <v>205</v>
      </c>
      <c r="Q10" s="6"/>
      <c r="R10" s="523">
        <v>0</v>
      </c>
      <c r="S10" s="524"/>
      <c r="T10" s="524"/>
      <c r="U10" s="524"/>
      <c r="V10" s="23" t="s">
        <v>206</v>
      </c>
      <c r="Y10" s="6"/>
      <c r="BI10" s="24"/>
    </row>
    <row r="11" spans="1:61" s="1" customFormat="1" ht="15" customHeight="1">
      <c r="A11" s="15"/>
      <c r="C11" s="23" t="s">
        <v>204</v>
      </c>
      <c r="F11" s="6"/>
      <c r="G11" s="527">
        <v>500000</v>
      </c>
      <c r="H11" s="528"/>
      <c r="I11" s="528"/>
      <c r="J11" s="528"/>
      <c r="K11" s="528"/>
      <c r="L11" s="23" t="s">
        <v>207</v>
      </c>
      <c r="Q11" s="6"/>
      <c r="R11" s="523">
        <v>95</v>
      </c>
      <c r="S11" s="524"/>
      <c r="T11" s="524"/>
      <c r="U11" s="524"/>
      <c r="V11" s="23" t="s">
        <v>206</v>
      </c>
      <c r="Y11" s="6"/>
      <c r="BI11" s="24"/>
    </row>
    <row r="12" spans="1:61" s="1" customFormat="1" ht="15" customHeight="1">
      <c r="A12" s="15"/>
      <c r="C12" s="159" t="s">
        <v>204</v>
      </c>
      <c r="D12" s="160"/>
      <c r="E12" s="160"/>
      <c r="F12" s="161"/>
      <c r="G12" s="529">
        <v>500000</v>
      </c>
      <c r="H12" s="530"/>
      <c r="I12" s="530"/>
      <c r="J12" s="530"/>
      <c r="K12" s="530"/>
      <c r="L12" s="23"/>
      <c r="Q12" s="6"/>
      <c r="R12" s="523">
        <v>60</v>
      </c>
      <c r="S12" s="524"/>
      <c r="T12" s="524"/>
      <c r="U12" s="524"/>
      <c r="V12" s="23" t="s">
        <v>206</v>
      </c>
      <c r="Y12" s="6"/>
      <c r="BI12" s="24"/>
    </row>
    <row r="13" spans="1:61" s="1" customFormat="1" ht="15" customHeight="1">
      <c r="A13" s="15"/>
      <c r="C13" s="23" t="s">
        <v>208</v>
      </c>
      <c r="F13" s="6"/>
      <c r="G13" s="525">
        <v>0</v>
      </c>
      <c r="H13" s="526"/>
      <c r="I13" s="526"/>
      <c r="J13" s="526"/>
      <c r="K13" s="526"/>
      <c r="L13" s="23" t="s">
        <v>205</v>
      </c>
      <c r="Q13" s="6"/>
      <c r="R13" s="523">
        <v>0</v>
      </c>
      <c r="S13" s="524"/>
      <c r="T13" s="524"/>
      <c r="U13" s="524"/>
      <c r="V13" s="23" t="s">
        <v>206</v>
      </c>
      <c r="Y13" s="6"/>
      <c r="BI13" s="24"/>
    </row>
    <row r="14" spans="1:61" s="1" customFormat="1" ht="15" customHeight="1">
      <c r="A14" s="15"/>
      <c r="C14" s="23" t="s">
        <v>208</v>
      </c>
      <c r="F14" s="6"/>
      <c r="G14" s="527">
        <v>500000</v>
      </c>
      <c r="H14" s="528"/>
      <c r="I14" s="528"/>
      <c r="J14" s="528"/>
      <c r="K14" s="528"/>
      <c r="L14" s="23" t="s">
        <v>207</v>
      </c>
      <c r="Q14" s="6"/>
      <c r="R14" s="523">
        <v>60</v>
      </c>
      <c r="S14" s="524"/>
      <c r="T14" s="524"/>
      <c r="U14" s="524"/>
      <c r="V14" s="23" t="s">
        <v>206</v>
      </c>
      <c r="Y14" s="6"/>
      <c r="BI14" s="24"/>
    </row>
    <row r="15" spans="1:61" s="1" customFormat="1" ht="15" customHeight="1">
      <c r="A15" s="15"/>
      <c r="C15" s="155" t="s">
        <v>209</v>
      </c>
      <c r="D15" s="153"/>
      <c r="E15" s="153"/>
      <c r="F15" s="154"/>
      <c r="G15" s="521">
        <v>0</v>
      </c>
      <c r="H15" s="522"/>
      <c r="I15" s="522"/>
      <c r="J15" s="522"/>
      <c r="K15" s="522"/>
      <c r="L15" s="155" t="s">
        <v>209</v>
      </c>
      <c r="M15" s="153"/>
      <c r="N15" s="153"/>
      <c r="O15" s="153"/>
      <c r="P15" s="153"/>
      <c r="Q15" s="154"/>
      <c r="R15" s="455">
        <v>0</v>
      </c>
      <c r="S15" s="456"/>
      <c r="T15" s="456"/>
      <c r="U15" s="456"/>
      <c r="V15" s="152" t="s">
        <v>206</v>
      </c>
      <c r="W15" s="153"/>
      <c r="X15" s="153"/>
      <c r="Y15" s="154"/>
      <c r="BI15" s="24"/>
    </row>
    <row r="16" spans="1:61" s="1" customFormat="1" ht="15" customHeight="1">
      <c r="A16" s="15"/>
      <c r="BI16" s="24"/>
    </row>
    <row r="17" spans="1:61" s="1" customFormat="1" ht="15" customHeight="1">
      <c r="A17" s="15"/>
      <c r="BI17" s="24"/>
    </row>
    <row r="18" spans="1:61" s="1" customFormat="1" ht="15" customHeight="1">
      <c r="A18" s="15"/>
      <c r="BI18" s="24"/>
    </row>
    <row r="19" spans="1:61" s="1" customFormat="1" ht="15" customHeight="1">
      <c r="A19" s="15"/>
      <c r="BI19" s="24"/>
    </row>
    <row r="20" spans="1:61" s="1" customFormat="1" ht="15" customHeight="1">
      <c r="A20" s="15"/>
      <c r="BI20" s="24"/>
    </row>
    <row r="21" spans="1:61" s="1" customFormat="1" ht="15" customHeight="1">
      <c r="A21" s="15"/>
      <c r="BI21" s="24"/>
    </row>
    <row r="22" spans="1:61" s="1" customFormat="1" ht="15" customHeight="1">
      <c r="A22" s="15"/>
      <c r="BI22" s="24"/>
    </row>
    <row r="23" spans="1:61" s="1" customFormat="1" ht="15" customHeight="1">
      <c r="A23" s="15"/>
      <c r="BI23" s="24"/>
    </row>
    <row r="24" spans="1:61" s="1" customFormat="1" ht="15" customHeight="1">
      <c r="A24" s="15"/>
      <c r="BI24" s="24"/>
    </row>
    <row r="25" spans="1:61" s="1" customFormat="1" ht="15" customHeight="1">
      <c r="A25" s="15"/>
      <c r="BI25" s="24"/>
    </row>
    <row r="26" spans="1:61" s="1" customFormat="1" ht="15" customHeight="1">
      <c r="A26" s="15"/>
      <c r="BI26" s="24"/>
    </row>
    <row r="27" spans="1:61" s="1" customFormat="1" ht="15" customHeight="1">
      <c r="A27" s="15"/>
      <c r="B27" s="1" t="s">
        <v>210</v>
      </c>
      <c r="BI27" s="24"/>
    </row>
    <row r="28" spans="1:61" s="1" customFormat="1" ht="15" customHeight="1">
      <c r="A28" s="15"/>
      <c r="BI28" s="24"/>
    </row>
    <row r="29" spans="1:61" s="1" customFormat="1" ht="15" customHeight="1">
      <c r="A29" s="15"/>
      <c r="BI29" s="24"/>
    </row>
    <row r="30" spans="1:61" s="1" customFormat="1" ht="15" customHeight="1">
      <c r="A30" s="15"/>
      <c r="BI30" s="24"/>
    </row>
    <row r="31" spans="1:61" s="1" customFormat="1" ht="15" customHeight="1">
      <c r="A31" s="15"/>
      <c r="BI31" s="24"/>
    </row>
    <row r="32" spans="1:61" s="1" customFormat="1" ht="15" customHeight="1">
      <c r="A32" s="15"/>
      <c r="BI32" s="24"/>
    </row>
    <row r="33" spans="1:61" s="1" customFormat="1" ht="15" customHeight="1">
      <c r="A33" s="15"/>
      <c r="BI33" s="24"/>
    </row>
    <row r="34" spans="1:61" s="1" customFormat="1" ht="15" customHeight="1">
      <c r="A34" s="15"/>
      <c r="BI34" s="24"/>
    </row>
    <row r="35" spans="1:61" s="1" customFormat="1" ht="15" customHeight="1">
      <c r="A35" s="15"/>
      <c r="BI35" s="24"/>
    </row>
    <row r="36" spans="1:61" s="1" customFormat="1" ht="15" customHeight="1">
      <c r="A36" s="15"/>
      <c r="BI36" s="24"/>
    </row>
    <row r="37" spans="1:61" s="1" customFormat="1" ht="15" customHeight="1">
      <c r="A37" s="15"/>
      <c r="BI37" s="24"/>
    </row>
    <row r="38" spans="1:61" s="1" customFormat="1" ht="15" customHeight="1">
      <c r="A38" s="15"/>
      <c r="BI38" s="24"/>
    </row>
    <row r="39" spans="1:61" s="1" customFormat="1" ht="15" customHeight="1" thickBot="1">
      <c r="A39" s="17"/>
      <c r="B39" s="25"/>
      <c r="C39" s="25"/>
      <c r="D39" s="25"/>
      <c r="E39" s="25"/>
      <c r="F39" s="25"/>
      <c r="G39" s="25"/>
      <c r="H39" s="25"/>
      <c r="I39" s="25"/>
      <c r="J39" s="25"/>
      <c r="K39" s="25"/>
      <c r="L39" s="25"/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  <c r="Z39" s="25"/>
      <c r="AA39" s="25"/>
      <c r="AB39" s="25"/>
      <c r="AC39" s="25"/>
      <c r="AD39" s="25"/>
      <c r="AE39" s="25"/>
      <c r="AF39" s="25"/>
      <c r="AG39" s="25"/>
      <c r="AH39" s="25"/>
      <c r="AI39" s="25"/>
      <c r="AJ39" s="25"/>
      <c r="AK39" s="25"/>
      <c r="AL39" s="25"/>
      <c r="AM39" s="25"/>
      <c r="AN39" s="25"/>
      <c r="AO39" s="25"/>
      <c r="AP39" s="25"/>
      <c r="AQ39" s="25"/>
      <c r="AR39" s="25"/>
      <c r="AS39" s="25"/>
      <c r="AT39" s="25"/>
      <c r="AU39" s="25"/>
      <c r="AV39" s="25"/>
      <c r="AW39" s="25"/>
      <c r="AX39" s="25"/>
      <c r="AY39" s="25"/>
      <c r="AZ39" s="25"/>
      <c r="BA39" s="25"/>
      <c r="BB39" s="25"/>
      <c r="BC39" s="25"/>
      <c r="BD39" s="25"/>
      <c r="BE39" s="25"/>
      <c r="BF39" s="25"/>
      <c r="BG39" s="25"/>
      <c r="BH39" s="25"/>
      <c r="BI39" s="26"/>
    </row>
  </sheetData>
  <mergeCells count="31">
    <mergeCell ref="Q1:V1"/>
    <mergeCell ref="W1:AD1"/>
    <mergeCell ref="AE1:AS1"/>
    <mergeCell ref="G15:K15"/>
    <mergeCell ref="R10:U10"/>
    <mergeCell ref="R11:U11"/>
    <mergeCell ref="R12:U12"/>
    <mergeCell ref="R13:U13"/>
    <mergeCell ref="R14:U14"/>
    <mergeCell ref="R15:U15"/>
    <mergeCell ref="G10:K10"/>
    <mergeCell ref="G11:K11"/>
    <mergeCell ref="G12:K12"/>
    <mergeCell ref="G13:K13"/>
    <mergeCell ref="G14:K14"/>
    <mergeCell ref="AT1:BA1"/>
    <mergeCell ref="BB3:BI3"/>
    <mergeCell ref="A4:H4"/>
    <mergeCell ref="A5:BI5"/>
    <mergeCell ref="BB1:BI1"/>
    <mergeCell ref="F2:P3"/>
    <mergeCell ref="Q2:V3"/>
    <mergeCell ref="W2:AD3"/>
    <mergeCell ref="AE2:AS3"/>
    <mergeCell ref="AT2:AU2"/>
    <mergeCell ref="AV2:BA2"/>
    <mergeCell ref="BB2:BI2"/>
    <mergeCell ref="AT3:AU3"/>
    <mergeCell ref="AV3:BA3"/>
    <mergeCell ref="A1:E3"/>
    <mergeCell ref="F1:P1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scale="85" orientation="landscape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C39FD8-7C26-4A9A-BC6F-574150B39B2D}">
  <dimension ref="A1:BI25"/>
  <sheetViews>
    <sheetView showGridLines="0" zoomScale="90" zoomScaleNormal="100" workbookViewId="0">
      <selection activeCell="T21" sqref="T21"/>
    </sheetView>
  </sheetViews>
  <sheetFormatPr defaultColWidth="2.33203125" defaultRowHeight="15" customHeight="1"/>
  <cols>
    <col min="1" max="16384" width="2.33203125" style="43"/>
  </cols>
  <sheetData>
    <row r="1" spans="1:61" s="1" customFormat="1" ht="15" customHeight="1" thickBot="1">
      <c r="A1" s="245" t="s">
        <v>32</v>
      </c>
      <c r="B1" s="246"/>
      <c r="C1" s="246"/>
      <c r="D1" s="246"/>
      <c r="E1" s="247"/>
      <c r="F1" s="254" t="str">
        <f>変更履歴!F1</f>
        <v>システム名</v>
      </c>
      <c r="G1" s="255"/>
      <c r="H1" s="255"/>
      <c r="I1" s="255"/>
      <c r="J1" s="255"/>
      <c r="K1" s="255"/>
      <c r="L1" s="255"/>
      <c r="M1" s="255"/>
      <c r="N1" s="255"/>
      <c r="O1" s="255"/>
      <c r="P1" s="256"/>
      <c r="Q1" s="257" t="str">
        <f>変更履歴!Q1</f>
        <v>機能分類</v>
      </c>
      <c r="R1" s="258"/>
      <c r="S1" s="258"/>
      <c r="T1" s="258"/>
      <c r="U1" s="258"/>
      <c r="V1" s="259"/>
      <c r="W1" s="254" t="str">
        <f>変更履歴!W1</f>
        <v>機能ＩＤ</v>
      </c>
      <c r="X1" s="255"/>
      <c r="Y1" s="255"/>
      <c r="Z1" s="255"/>
      <c r="AA1" s="255"/>
      <c r="AB1" s="255"/>
      <c r="AC1" s="255"/>
      <c r="AD1" s="256"/>
      <c r="AE1" s="254" t="str">
        <f>変更履歴!AE1</f>
        <v>機能名称</v>
      </c>
      <c r="AF1" s="255"/>
      <c r="AG1" s="255"/>
      <c r="AH1" s="255"/>
      <c r="AI1" s="255"/>
      <c r="AJ1" s="255"/>
      <c r="AK1" s="255"/>
      <c r="AL1" s="255"/>
      <c r="AM1" s="255"/>
      <c r="AN1" s="255"/>
      <c r="AO1" s="255"/>
      <c r="AP1" s="255"/>
      <c r="AQ1" s="255"/>
      <c r="AR1" s="255"/>
      <c r="AS1" s="256"/>
      <c r="AT1" s="260" t="str">
        <f>変更履歴!AT1</f>
        <v>日付</v>
      </c>
      <c r="AU1" s="261"/>
      <c r="AV1" s="261"/>
      <c r="AW1" s="261"/>
      <c r="AX1" s="261"/>
      <c r="AY1" s="261"/>
      <c r="AZ1" s="261"/>
      <c r="BA1" s="262"/>
      <c r="BB1" s="217" t="str">
        <f>変更履歴!BB1</f>
        <v>更新者</v>
      </c>
      <c r="BC1" s="219"/>
      <c r="BD1" s="219"/>
      <c r="BE1" s="219"/>
      <c r="BF1" s="219"/>
      <c r="BG1" s="219"/>
      <c r="BH1" s="219"/>
      <c r="BI1" s="220"/>
    </row>
    <row r="2" spans="1:61" s="1" customFormat="1" ht="15" customHeight="1">
      <c r="A2" s="248"/>
      <c r="B2" s="249"/>
      <c r="C2" s="249"/>
      <c r="D2" s="249"/>
      <c r="E2" s="250"/>
      <c r="F2" s="221" t="str">
        <f>変更履歴!F2</f>
        <v>Dynamics365 for Finance and Operations</v>
      </c>
      <c r="G2" s="222"/>
      <c r="H2" s="222"/>
      <c r="I2" s="222"/>
      <c r="J2" s="222"/>
      <c r="K2" s="222"/>
      <c r="L2" s="222"/>
      <c r="M2" s="222"/>
      <c r="N2" s="222"/>
      <c r="O2" s="222"/>
      <c r="P2" s="223"/>
      <c r="Q2" s="221" t="str">
        <f>変更履歴!Q2</f>
        <v>債権・債務</v>
      </c>
      <c r="R2" s="222"/>
      <c r="S2" s="222"/>
      <c r="T2" s="222"/>
      <c r="U2" s="222"/>
      <c r="V2" s="223"/>
      <c r="W2" s="227" t="str">
        <f>変更履歴!W2</f>
        <v>FO-006</v>
      </c>
      <c r="X2" s="228"/>
      <c r="Y2" s="228"/>
      <c r="Z2" s="228"/>
      <c r="AA2" s="228"/>
      <c r="AB2" s="228"/>
      <c r="AC2" s="228"/>
      <c r="AD2" s="229"/>
      <c r="AE2" s="221" t="str">
        <f>変更履歴!AE2</f>
        <v>支払方法・支払サイトマスタ画面</v>
      </c>
      <c r="AF2" s="222"/>
      <c r="AG2" s="222"/>
      <c r="AH2" s="222"/>
      <c r="AI2" s="222"/>
      <c r="AJ2" s="222"/>
      <c r="AK2" s="222"/>
      <c r="AL2" s="222"/>
      <c r="AM2" s="222"/>
      <c r="AN2" s="222"/>
      <c r="AO2" s="222"/>
      <c r="AP2" s="222"/>
      <c r="AQ2" s="222"/>
      <c r="AR2" s="222"/>
      <c r="AS2" s="223"/>
      <c r="AT2" s="233" t="str">
        <f>変更履歴!AT2</f>
        <v>作成</v>
      </c>
      <c r="AU2" s="234"/>
      <c r="AV2" s="235">
        <f>変更履歴!AV2</f>
        <v>45448</v>
      </c>
      <c r="AW2" s="235"/>
      <c r="AX2" s="235"/>
      <c r="AY2" s="235"/>
      <c r="AZ2" s="235"/>
      <c r="BA2" s="236"/>
      <c r="BB2" s="237" t="str">
        <f>変更履歴!BB2</f>
        <v>JBS井田</v>
      </c>
      <c r="BC2" s="239"/>
      <c r="BD2" s="239"/>
      <c r="BE2" s="239"/>
      <c r="BF2" s="239"/>
      <c r="BG2" s="239"/>
      <c r="BH2" s="239"/>
      <c r="BI2" s="240"/>
    </row>
    <row r="3" spans="1:61" s="1" customFormat="1" ht="15" customHeight="1" thickBot="1">
      <c r="A3" s="251"/>
      <c r="B3" s="252"/>
      <c r="C3" s="252"/>
      <c r="D3" s="252"/>
      <c r="E3" s="253"/>
      <c r="F3" s="224"/>
      <c r="G3" s="225"/>
      <c r="H3" s="225"/>
      <c r="I3" s="225"/>
      <c r="J3" s="225"/>
      <c r="K3" s="225"/>
      <c r="L3" s="225"/>
      <c r="M3" s="225"/>
      <c r="N3" s="225"/>
      <c r="O3" s="225"/>
      <c r="P3" s="226"/>
      <c r="Q3" s="224"/>
      <c r="R3" s="225"/>
      <c r="S3" s="225"/>
      <c r="T3" s="225"/>
      <c r="U3" s="225"/>
      <c r="V3" s="226"/>
      <c r="W3" s="230"/>
      <c r="X3" s="231"/>
      <c r="Y3" s="231"/>
      <c r="Z3" s="231"/>
      <c r="AA3" s="231"/>
      <c r="AB3" s="231"/>
      <c r="AC3" s="231"/>
      <c r="AD3" s="232"/>
      <c r="AE3" s="224"/>
      <c r="AF3" s="225"/>
      <c r="AG3" s="225"/>
      <c r="AH3" s="225"/>
      <c r="AI3" s="225"/>
      <c r="AJ3" s="225"/>
      <c r="AK3" s="225"/>
      <c r="AL3" s="225"/>
      <c r="AM3" s="225"/>
      <c r="AN3" s="225"/>
      <c r="AO3" s="225"/>
      <c r="AP3" s="225"/>
      <c r="AQ3" s="225"/>
      <c r="AR3" s="225"/>
      <c r="AS3" s="226"/>
      <c r="AT3" s="241" t="str">
        <f>変更履歴!AT3</f>
        <v>更新</v>
      </c>
      <c r="AU3" s="242"/>
      <c r="AV3" s="290">
        <f ca="1">変更履歴!AV3</f>
        <v>45589</v>
      </c>
      <c r="AW3" s="291"/>
      <c r="AX3" s="291"/>
      <c r="AY3" s="291"/>
      <c r="AZ3" s="291"/>
      <c r="BA3" s="292"/>
      <c r="BB3" s="294" t="str">
        <f ca="1">変更履歴!BB3</f>
        <v>JBS井田</v>
      </c>
      <c r="BC3" s="295"/>
      <c r="BD3" s="295"/>
      <c r="BE3" s="295"/>
      <c r="BF3" s="295"/>
      <c r="BG3" s="295"/>
      <c r="BH3" s="295"/>
      <c r="BI3" s="296"/>
    </row>
    <row r="4" spans="1:61" s="1" customFormat="1" ht="15" customHeight="1" thickBot="1">
      <c r="A4" s="293"/>
      <c r="B4" s="293"/>
      <c r="C4" s="293"/>
      <c r="D4" s="293"/>
      <c r="E4" s="293"/>
      <c r="F4" s="293"/>
      <c r="G4" s="293"/>
      <c r="H4" s="293"/>
    </row>
    <row r="5" spans="1:61" s="1" customFormat="1" ht="15" customHeight="1" thickBot="1">
      <c r="A5" s="317" t="s">
        <v>199</v>
      </c>
      <c r="B5" s="326"/>
      <c r="C5" s="326"/>
      <c r="D5" s="326"/>
      <c r="E5" s="326"/>
      <c r="F5" s="326"/>
      <c r="G5" s="326"/>
      <c r="H5" s="326"/>
      <c r="I5" s="326"/>
      <c r="J5" s="326"/>
      <c r="K5" s="326"/>
      <c r="L5" s="326"/>
      <c r="M5" s="326"/>
      <c r="N5" s="326"/>
      <c r="O5" s="326"/>
      <c r="P5" s="326"/>
      <c r="Q5" s="326"/>
      <c r="R5" s="326"/>
      <c r="S5" s="326"/>
      <c r="T5" s="326"/>
      <c r="U5" s="326"/>
      <c r="V5" s="326"/>
      <c r="W5" s="326"/>
      <c r="X5" s="326"/>
      <c r="Y5" s="326"/>
      <c r="Z5" s="326"/>
      <c r="AA5" s="326"/>
      <c r="AB5" s="326"/>
      <c r="AC5" s="326"/>
      <c r="AD5" s="326"/>
      <c r="AE5" s="326"/>
      <c r="AF5" s="326"/>
      <c r="AG5" s="326"/>
      <c r="AH5" s="326"/>
      <c r="AI5" s="326"/>
      <c r="AJ5" s="326"/>
      <c r="AK5" s="326"/>
      <c r="AL5" s="326"/>
      <c r="AM5" s="326"/>
      <c r="AN5" s="326"/>
      <c r="AO5" s="326"/>
      <c r="AP5" s="326"/>
      <c r="AQ5" s="326"/>
      <c r="AR5" s="326"/>
      <c r="AS5" s="326"/>
      <c r="AT5" s="326"/>
      <c r="AU5" s="326"/>
      <c r="AV5" s="326"/>
      <c r="AW5" s="326"/>
      <c r="AX5" s="326"/>
      <c r="AY5" s="326"/>
      <c r="AZ5" s="326"/>
      <c r="BA5" s="326"/>
      <c r="BB5" s="326"/>
      <c r="BC5" s="326"/>
      <c r="BD5" s="326"/>
      <c r="BE5" s="326"/>
      <c r="BF5" s="326"/>
      <c r="BG5" s="326"/>
      <c r="BH5" s="326"/>
      <c r="BI5" s="318"/>
    </row>
    <row r="6" spans="1:61" s="1" customFormat="1" ht="15" customHeight="1">
      <c r="A6" s="15"/>
      <c r="BI6" s="24"/>
    </row>
    <row r="7" spans="1:61" s="1" customFormat="1" ht="15" customHeight="1">
      <c r="A7" s="15"/>
      <c r="BI7" s="24"/>
    </row>
    <row r="8" spans="1:61" s="1" customFormat="1" ht="15" customHeight="1">
      <c r="A8" s="15"/>
      <c r="B8" s="1" t="s">
        <v>211</v>
      </c>
      <c r="BI8" s="24"/>
    </row>
    <row r="9" spans="1:61" s="1" customFormat="1" ht="15" customHeight="1">
      <c r="A9" s="15"/>
      <c r="BI9" s="24"/>
    </row>
    <row r="10" spans="1:61" s="1" customFormat="1" ht="15" customHeight="1">
      <c r="A10" s="15"/>
      <c r="BI10" s="24"/>
    </row>
    <row r="11" spans="1:61" s="1" customFormat="1" ht="15" customHeight="1">
      <c r="A11" s="15"/>
      <c r="BI11" s="24"/>
    </row>
    <row r="12" spans="1:61" s="1" customFormat="1" ht="15" customHeight="1">
      <c r="A12" s="15"/>
      <c r="BI12" s="24"/>
    </row>
    <row r="13" spans="1:61" s="1" customFormat="1" ht="15" customHeight="1">
      <c r="A13" s="15"/>
      <c r="BI13" s="24"/>
    </row>
    <row r="14" spans="1:61" s="1" customFormat="1" ht="15" customHeight="1">
      <c r="A14" s="15"/>
      <c r="BI14" s="24"/>
    </row>
    <row r="15" spans="1:61" s="1" customFormat="1" ht="15" customHeight="1">
      <c r="A15" s="15"/>
      <c r="BI15" s="24"/>
    </row>
    <row r="16" spans="1:61" s="1" customFormat="1" ht="15" customHeight="1">
      <c r="A16" s="15"/>
      <c r="BI16" s="24"/>
    </row>
    <row r="17" spans="1:61" s="1" customFormat="1" ht="15" customHeight="1">
      <c r="A17" s="15"/>
      <c r="BI17" s="24"/>
    </row>
    <row r="18" spans="1:61" s="1" customFormat="1" ht="15" customHeight="1">
      <c r="A18" s="15"/>
      <c r="BI18" s="24"/>
    </row>
    <row r="19" spans="1:61" s="1" customFormat="1" ht="15" customHeight="1">
      <c r="A19" s="15"/>
      <c r="BI19" s="24"/>
    </row>
    <row r="20" spans="1:61" s="1" customFormat="1" ht="15" customHeight="1">
      <c r="A20" s="15"/>
      <c r="BI20" s="24"/>
    </row>
    <row r="21" spans="1:61" s="1" customFormat="1" ht="15" customHeight="1">
      <c r="A21" s="15"/>
      <c r="BI21" s="24"/>
    </row>
    <row r="22" spans="1:61" s="1" customFormat="1" ht="15" customHeight="1">
      <c r="A22" s="15"/>
      <c r="BI22" s="24"/>
    </row>
    <row r="23" spans="1:61" s="1" customFormat="1" ht="15" customHeight="1">
      <c r="A23" s="15"/>
      <c r="BI23" s="24"/>
    </row>
    <row r="24" spans="1:61" s="1" customFormat="1" ht="15" customHeight="1">
      <c r="A24" s="15"/>
      <c r="BI24" s="24"/>
    </row>
    <row r="25" spans="1:61" s="1" customFormat="1" ht="15" customHeight="1" thickBot="1">
      <c r="A25" s="17"/>
      <c r="B25" s="25"/>
      <c r="C25" s="25"/>
      <c r="D25" s="25"/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  <c r="AA25" s="25"/>
      <c r="AB25" s="25"/>
      <c r="AC25" s="25"/>
      <c r="AD25" s="25"/>
      <c r="AE25" s="25"/>
      <c r="AF25" s="25"/>
      <c r="AG25" s="25"/>
      <c r="AH25" s="25"/>
      <c r="AI25" s="25"/>
      <c r="AJ25" s="25"/>
      <c r="AK25" s="25"/>
      <c r="AL25" s="25"/>
      <c r="AM25" s="25"/>
      <c r="AN25" s="25"/>
      <c r="AO25" s="25"/>
      <c r="AP25" s="25"/>
      <c r="AQ25" s="25"/>
      <c r="AR25" s="25"/>
      <c r="AS25" s="25"/>
      <c r="AT25" s="25"/>
      <c r="AU25" s="25"/>
      <c r="AV25" s="25"/>
      <c r="AW25" s="25"/>
      <c r="AX25" s="25"/>
      <c r="AY25" s="25"/>
      <c r="AZ25" s="25"/>
      <c r="BA25" s="25"/>
      <c r="BB25" s="25"/>
      <c r="BC25" s="25"/>
      <c r="BD25" s="25"/>
      <c r="BE25" s="25"/>
      <c r="BF25" s="25"/>
      <c r="BG25" s="25"/>
      <c r="BH25" s="25"/>
      <c r="BI25" s="26"/>
    </row>
  </sheetData>
  <mergeCells count="19">
    <mergeCell ref="A4:H4"/>
    <mergeCell ref="A5:BI5"/>
    <mergeCell ref="BB1:BI1"/>
    <mergeCell ref="F2:P3"/>
    <mergeCell ref="Q2:V3"/>
    <mergeCell ref="W2:AD3"/>
    <mergeCell ref="AE2:AS3"/>
    <mergeCell ref="AT2:AU2"/>
    <mergeCell ref="AV2:BA2"/>
    <mergeCell ref="BB2:BI2"/>
    <mergeCell ref="AT3:AU3"/>
    <mergeCell ref="AV3:BA3"/>
    <mergeCell ref="A1:E3"/>
    <mergeCell ref="F1:P1"/>
    <mergeCell ref="Q1:V1"/>
    <mergeCell ref="W1:AD1"/>
    <mergeCell ref="AE1:AS1"/>
    <mergeCell ref="AT1:BA1"/>
    <mergeCell ref="BB3:BI3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scale="85" orientation="landscape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A5C05A-4BF0-4EAE-8896-79D5ABAF56FE}">
  <dimension ref="A1:BI38"/>
  <sheetViews>
    <sheetView showGridLines="0" zoomScaleNormal="100" workbookViewId="0">
      <selection sqref="A1:E3"/>
    </sheetView>
  </sheetViews>
  <sheetFormatPr defaultColWidth="2.33203125" defaultRowHeight="15" customHeight="1"/>
  <cols>
    <col min="1" max="16384" width="2.33203125" style="43"/>
  </cols>
  <sheetData>
    <row r="1" spans="1:61" s="1" customFormat="1" ht="15" customHeight="1" thickBot="1">
      <c r="A1" s="245" t="s">
        <v>32</v>
      </c>
      <c r="B1" s="246"/>
      <c r="C1" s="246"/>
      <c r="D1" s="246"/>
      <c r="E1" s="247"/>
      <c r="F1" s="254" t="str">
        <f>変更履歴!F1</f>
        <v>システム名</v>
      </c>
      <c r="G1" s="255"/>
      <c r="H1" s="255"/>
      <c r="I1" s="255"/>
      <c r="J1" s="255"/>
      <c r="K1" s="255"/>
      <c r="L1" s="255"/>
      <c r="M1" s="255"/>
      <c r="N1" s="255"/>
      <c r="O1" s="255"/>
      <c r="P1" s="256"/>
      <c r="Q1" s="257" t="str">
        <f>変更履歴!Q1</f>
        <v>機能分類</v>
      </c>
      <c r="R1" s="258"/>
      <c r="S1" s="258"/>
      <c r="T1" s="258"/>
      <c r="U1" s="258"/>
      <c r="V1" s="259"/>
      <c r="W1" s="254" t="str">
        <f>変更履歴!W1</f>
        <v>機能ＩＤ</v>
      </c>
      <c r="X1" s="255"/>
      <c r="Y1" s="255"/>
      <c r="Z1" s="255"/>
      <c r="AA1" s="255"/>
      <c r="AB1" s="255"/>
      <c r="AC1" s="255"/>
      <c r="AD1" s="256"/>
      <c r="AE1" s="254" t="str">
        <f>変更履歴!AE1</f>
        <v>機能名称</v>
      </c>
      <c r="AF1" s="255"/>
      <c r="AG1" s="255"/>
      <c r="AH1" s="255"/>
      <c r="AI1" s="255"/>
      <c r="AJ1" s="255"/>
      <c r="AK1" s="255"/>
      <c r="AL1" s="255"/>
      <c r="AM1" s="255"/>
      <c r="AN1" s="255"/>
      <c r="AO1" s="255"/>
      <c r="AP1" s="255"/>
      <c r="AQ1" s="255"/>
      <c r="AR1" s="255"/>
      <c r="AS1" s="256"/>
      <c r="AT1" s="260" t="str">
        <f>変更履歴!AT1</f>
        <v>日付</v>
      </c>
      <c r="AU1" s="261"/>
      <c r="AV1" s="261"/>
      <c r="AW1" s="261"/>
      <c r="AX1" s="261"/>
      <c r="AY1" s="261"/>
      <c r="AZ1" s="261"/>
      <c r="BA1" s="262"/>
      <c r="BB1" s="217" t="str">
        <f>変更履歴!BB1</f>
        <v>更新者</v>
      </c>
      <c r="BC1" s="219"/>
      <c r="BD1" s="219"/>
      <c r="BE1" s="219"/>
      <c r="BF1" s="219"/>
      <c r="BG1" s="219"/>
      <c r="BH1" s="219"/>
      <c r="BI1" s="220"/>
    </row>
    <row r="2" spans="1:61" s="1" customFormat="1" ht="15" customHeight="1">
      <c r="A2" s="248"/>
      <c r="B2" s="249"/>
      <c r="C2" s="249"/>
      <c r="D2" s="249"/>
      <c r="E2" s="250"/>
      <c r="F2" s="221" t="str">
        <f>変更履歴!F2</f>
        <v>Dynamics365 for Finance and Operations</v>
      </c>
      <c r="G2" s="222"/>
      <c r="H2" s="222"/>
      <c r="I2" s="222"/>
      <c r="J2" s="222"/>
      <c r="K2" s="222"/>
      <c r="L2" s="222"/>
      <c r="M2" s="222"/>
      <c r="N2" s="222"/>
      <c r="O2" s="222"/>
      <c r="P2" s="223"/>
      <c r="Q2" s="221" t="str">
        <f>変更履歴!Q2</f>
        <v>債権・債務</v>
      </c>
      <c r="R2" s="222"/>
      <c r="S2" s="222"/>
      <c r="T2" s="222"/>
      <c r="U2" s="222"/>
      <c r="V2" s="223"/>
      <c r="W2" s="227" t="str">
        <f>変更履歴!W2</f>
        <v>FO-006</v>
      </c>
      <c r="X2" s="228"/>
      <c r="Y2" s="228"/>
      <c r="Z2" s="228"/>
      <c r="AA2" s="228"/>
      <c r="AB2" s="228"/>
      <c r="AC2" s="228"/>
      <c r="AD2" s="229"/>
      <c r="AE2" s="221" t="str">
        <f>変更履歴!AE2</f>
        <v>支払方法・支払サイトマスタ画面</v>
      </c>
      <c r="AF2" s="222"/>
      <c r="AG2" s="222"/>
      <c r="AH2" s="222"/>
      <c r="AI2" s="222"/>
      <c r="AJ2" s="222"/>
      <c r="AK2" s="222"/>
      <c r="AL2" s="222"/>
      <c r="AM2" s="222"/>
      <c r="AN2" s="222"/>
      <c r="AO2" s="222"/>
      <c r="AP2" s="222"/>
      <c r="AQ2" s="222"/>
      <c r="AR2" s="222"/>
      <c r="AS2" s="223"/>
      <c r="AT2" s="233" t="str">
        <f>変更履歴!AT2</f>
        <v>作成</v>
      </c>
      <c r="AU2" s="234"/>
      <c r="AV2" s="235">
        <f>変更履歴!AV2</f>
        <v>45448</v>
      </c>
      <c r="AW2" s="235"/>
      <c r="AX2" s="235"/>
      <c r="AY2" s="235"/>
      <c r="AZ2" s="235"/>
      <c r="BA2" s="236"/>
      <c r="BB2" s="237" t="str">
        <f>変更履歴!BB2</f>
        <v>JBS井田</v>
      </c>
      <c r="BC2" s="239"/>
      <c r="BD2" s="239"/>
      <c r="BE2" s="239"/>
      <c r="BF2" s="239"/>
      <c r="BG2" s="239"/>
      <c r="BH2" s="239"/>
      <c r="BI2" s="240"/>
    </row>
    <row r="3" spans="1:61" s="1" customFormat="1" ht="15" customHeight="1" thickBot="1">
      <c r="A3" s="251"/>
      <c r="B3" s="252"/>
      <c r="C3" s="252"/>
      <c r="D3" s="252"/>
      <c r="E3" s="253"/>
      <c r="F3" s="224"/>
      <c r="G3" s="225"/>
      <c r="H3" s="225"/>
      <c r="I3" s="225"/>
      <c r="J3" s="225"/>
      <c r="K3" s="225"/>
      <c r="L3" s="225"/>
      <c r="M3" s="225"/>
      <c r="N3" s="225"/>
      <c r="O3" s="225"/>
      <c r="P3" s="226"/>
      <c r="Q3" s="224"/>
      <c r="R3" s="225"/>
      <c r="S3" s="225"/>
      <c r="T3" s="225"/>
      <c r="U3" s="225"/>
      <c r="V3" s="226"/>
      <c r="W3" s="230"/>
      <c r="X3" s="231"/>
      <c r="Y3" s="231"/>
      <c r="Z3" s="231"/>
      <c r="AA3" s="231"/>
      <c r="AB3" s="231"/>
      <c r="AC3" s="231"/>
      <c r="AD3" s="232"/>
      <c r="AE3" s="224"/>
      <c r="AF3" s="225"/>
      <c r="AG3" s="225"/>
      <c r="AH3" s="225"/>
      <c r="AI3" s="225"/>
      <c r="AJ3" s="225"/>
      <c r="AK3" s="225"/>
      <c r="AL3" s="225"/>
      <c r="AM3" s="225"/>
      <c r="AN3" s="225"/>
      <c r="AO3" s="225"/>
      <c r="AP3" s="225"/>
      <c r="AQ3" s="225"/>
      <c r="AR3" s="225"/>
      <c r="AS3" s="226"/>
      <c r="AT3" s="241" t="str">
        <f>変更履歴!AT3</f>
        <v>更新</v>
      </c>
      <c r="AU3" s="242"/>
      <c r="AV3" s="290">
        <f ca="1">変更履歴!AV3</f>
        <v>45589</v>
      </c>
      <c r="AW3" s="291"/>
      <c r="AX3" s="291"/>
      <c r="AY3" s="291"/>
      <c r="AZ3" s="291"/>
      <c r="BA3" s="292"/>
      <c r="BB3" s="294" t="str">
        <f ca="1">変更履歴!BB3</f>
        <v>JBS井田</v>
      </c>
      <c r="BC3" s="295"/>
      <c r="BD3" s="295"/>
      <c r="BE3" s="295"/>
      <c r="BF3" s="295"/>
      <c r="BG3" s="295"/>
      <c r="BH3" s="295"/>
      <c r="BI3" s="296"/>
    </row>
    <row r="4" spans="1:61" s="1" customFormat="1" ht="15" customHeight="1" thickBot="1">
      <c r="A4" s="293"/>
      <c r="B4" s="293"/>
      <c r="C4" s="293"/>
      <c r="D4" s="293"/>
      <c r="E4" s="293"/>
      <c r="F4" s="293"/>
      <c r="G4" s="293"/>
      <c r="H4" s="293"/>
    </row>
    <row r="5" spans="1:61" s="1" customFormat="1" ht="15" customHeight="1" thickBot="1">
      <c r="A5" s="317" t="s">
        <v>199</v>
      </c>
      <c r="B5" s="326"/>
      <c r="C5" s="326"/>
      <c r="D5" s="326"/>
      <c r="E5" s="326"/>
      <c r="F5" s="326"/>
      <c r="G5" s="326"/>
      <c r="H5" s="326"/>
      <c r="I5" s="326"/>
      <c r="J5" s="326"/>
      <c r="K5" s="326"/>
      <c r="L5" s="326"/>
      <c r="M5" s="326"/>
      <c r="N5" s="326"/>
      <c r="O5" s="326"/>
      <c r="P5" s="326"/>
      <c r="Q5" s="326"/>
      <c r="R5" s="326"/>
      <c r="S5" s="326"/>
      <c r="T5" s="326"/>
      <c r="U5" s="326"/>
      <c r="V5" s="326"/>
      <c r="W5" s="326"/>
      <c r="X5" s="326"/>
      <c r="Y5" s="326"/>
      <c r="Z5" s="326"/>
      <c r="AA5" s="326"/>
      <c r="AB5" s="326"/>
      <c r="AC5" s="326"/>
      <c r="AD5" s="326"/>
      <c r="AE5" s="326"/>
      <c r="AF5" s="326"/>
      <c r="AG5" s="326"/>
      <c r="AH5" s="326"/>
      <c r="AI5" s="326"/>
      <c r="AJ5" s="326"/>
      <c r="AK5" s="326"/>
      <c r="AL5" s="326"/>
      <c r="AM5" s="326"/>
      <c r="AN5" s="326"/>
      <c r="AO5" s="326"/>
      <c r="AP5" s="326"/>
      <c r="AQ5" s="326"/>
      <c r="AR5" s="326"/>
      <c r="AS5" s="326"/>
      <c r="AT5" s="326"/>
      <c r="AU5" s="326"/>
      <c r="AV5" s="326"/>
      <c r="AW5" s="326"/>
      <c r="AX5" s="326"/>
      <c r="AY5" s="326"/>
      <c r="AZ5" s="326"/>
      <c r="BA5" s="326"/>
      <c r="BB5" s="326"/>
      <c r="BC5" s="326"/>
      <c r="BD5" s="326"/>
      <c r="BE5" s="326"/>
      <c r="BF5" s="326"/>
      <c r="BG5" s="326"/>
      <c r="BH5" s="326"/>
      <c r="BI5" s="318"/>
    </row>
    <row r="6" spans="1:61" s="1" customFormat="1" ht="15" customHeight="1">
      <c r="A6" s="15"/>
      <c r="BI6" s="24"/>
    </row>
    <row r="7" spans="1:61" s="1" customFormat="1" ht="15" customHeight="1">
      <c r="A7" s="15"/>
      <c r="B7" s="144" t="s">
        <v>212</v>
      </c>
      <c r="BI7" s="24"/>
    </row>
    <row r="8" spans="1:61" s="1" customFormat="1" ht="15" customHeight="1">
      <c r="A8" s="15"/>
      <c r="BI8" s="24"/>
    </row>
    <row r="9" spans="1:61" s="1" customFormat="1" ht="15" customHeight="1">
      <c r="A9" s="15"/>
      <c r="BI9" s="24"/>
    </row>
    <row r="10" spans="1:61" s="1" customFormat="1" ht="15" customHeight="1">
      <c r="A10" s="15"/>
      <c r="BI10" s="24"/>
    </row>
    <row r="11" spans="1:61" s="1" customFormat="1" ht="15" customHeight="1">
      <c r="A11" s="15"/>
      <c r="BI11" s="24"/>
    </row>
    <row r="12" spans="1:61" s="1" customFormat="1" ht="15" customHeight="1">
      <c r="A12" s="15"/>
      <c r="BI12" s="24"/>
    </row>
    <row r="13" spans="1:61" s="1" customFormat="1" ht="15" customHeight="1">
      <c r="A13" s="15"/>
      <c r="BI13" s="24"/>
    </row>
    <row r="14" spans="1:61" s="1" customFormat="1" ht="15" customHeight="1">
      <c r="A14" s="15"/>
      <c r="BI14" s="24"/>
    </row>
    <row r="15" spans="1:61" s="1" customFormat="1" ht="15" customHeight="1">
      <c r="A15" s="15"/>
      <c r="BI15" s="24"/>
    </row>
    <row r="16" spans="1:61" s="1" customFormat="1" ht="15" customHeight="1">
      <c r="A16" s="15"/>
      <c r="BI16" s="24"/>
    </row>
    <row r="17" spans="1:61" s="1" customFormat="1" ht="15" customHeight="1">
      <c r="A17" s="15"/>
      <c r="BI17" s="24"/>
    </row>
    <row r="18" spans="1:61" s="1" customFormat="1" ht="15" customHeight="1">
      <c r="A18" s="15"/>
      <c r="BI18" s="24"/>
    </row>
    <row r="19" spans="1:61" s="1" customFormat="1" ht="15" customHeight="1">
      <c r="A19" s="15"/>
      <c r="BI19" s="24"/>
    </row>
    <row r="20" spans="1:61" s="1" customFormat="1" ht="15" customHeight="1">
      <c r="A20" s="15"/>
      <c r="BI20" s="24"/>
    </row>
    <row r="21" spans="1:61" s="1" customFormat="1" ht="15" customHeight="1">
      <c r="A21" s="15"/>
      <c r="BI21" s="24"/>
    </row>
    <row r="22" spans="1:61" s="1" customFormat="1" ht="15" customHeight="1">
      <c r="A22" s="15"/>
      <c r="BI22" s="24"/>
    </row>
    <row r="23" spans="1:61" s="1" customFormat="1" ht="15" customHeight="1">
      <c r="A23" s="15"/>
      <c r="BI23" s="24"/>
    </row>
    <row r="24" spans="1:61" s="1" customFormat="1" ht="15" customHeight="1">
      <c r="A24" s="15"/>
      <c r="BI24" s="24"/>
    </row>
    <row r="25" spans="1:61" s="1" customFormat="1" ht="15" customHeight="1">
      <c r="A25" s="15"/>
      <c r="BI25" s="24"/>
    </row>
    <row r="26" spans="1:61" s="1" customFormat="1" ht="15" customHeight="1">
      <c r="A26" s="15"/>
      <c r="BI26" s="24"/>
    </row>
    <row r="27" spans="1:61" s="1" customFormat="1" ht="15" customHeight="1">
      <c r="A27" s="15"/>
      <c r="BI27" s="24"/>
    </row>
    <row r="28" spans="1:61" s="1" customFormat="1" ht="15" customHeight="1">
      <c r="A28" s="15"/>
      <c r="BI28" s="24"/>
    </row>
    <row r="29" spans="1:61" s="1" customFormat="1" ht="15" customHeight="1">
      <c r="A29" s="15"/>
      <c r="BI29" s="24"/>
    </row>
    <row r="30" spans="1:61" s="1" customFormat="1" ht="15" customHeight="1">
      <c r="A30" s="15"/>
      <c r="BI30" s="24"/>
    </row>
    <row r="31" spans="1:61" s="1" customFormat="1" ht="15" customHeight="1">
      <c r="A31" s="15"/>
      <c r="BI31" s="24"/>
    </row>
    <row r="32" spans="1:61" s="1" customFormat="1" ht="15" customHeight="1">
      <c r="A32" s="15"/>
      <c r="BI32" s="24"/>
    </row>
    <row r="33" spans="1:61" s="1" customFormat="1" ht="15" customHeight="1">
      <c r="A33" s="15"/>
      <c r="BI33" s="24"/>
    </row>
    <row r="34" spans="1:61" s="1" customFormat="1" ht="15" customHeight="1">
      <c r="A34" s="15"/>
      <c r="BI34" s="24"/>
    </row>
    <row r="35" spans="1:61" s="1" customFormat="1" ht="15" customHeight="1">
      <c r="A35" s="15"/>
      <c r="BI35" s="24"/>
    </row>
    <row r="36" spans="1:61" s="1" customFormat="1" ht="15" customHeight="1">
      <c r="A36" s="15"/>
      <c r="BI36" s="24"/>
    </row>
    <row r="37" spans="1:61" s="1" customFormat="1" ht="15" customHeight="1">
      <c r="A37" s="15"/>
      <c r="BI37" s="24"/>
    </row>
    <row r="38" spans="1:61" s="1" customFormat="1" ht="15" customHeight="1" thickBot="1">
      <c r="A38" s="17"/>
      <c r="B38" s="25"/>
      <c r="C38" s="25"/>
      <c r="D38" s="25"/>
      <c r="E38" s="25"/>
      <c r="F38" s="25"/>
      <c r="G38" s="25"/>
      <c r="H38" s="25"/>
      <c r="I38" s="25"/>
      <c r="J38" s="25"/>
      <c r="K38" s="25"/>
      <c r="L38" s="25"/>
      <c r="M38" s="25"/>
      <c r="N38" s="25"/>
      <c r="O38" s="25"/>
      <c r="P38" s="25"/>
      <c r="Q38" s="25"/>
      <c r="R38" s="25"/>
      <c r="S38" s="25"/>
      <c r="T38" s="25"/>
      <c r="U38" s="25"/>
      <c r="V38" s="25"/>
      <c r="W38" s="25"/>
      <c r="X38" s="25"/>
      <c r="Y38" s="25"/>
      <c r="Z38" s="25"/>
      <c r="AA38" s="25"/>
      <c r="AB38" s="25"/>
      <c r="AC38" s="25"/>
      <c r="AD38" s="25"/>
      <c r="AE38" s="25"/>
      <c r="AF38" s="25"/>
      <c r="AG38" s="25"/>
      <c r="AH38" s="25"/>
      <c r="AI38" s="25"/>
      <c r="AJ38" s="25"/>
      <c r="AK38" s="25"/>
      <c r="AL38" s="25"/>
      <c r="AM38" s="25"/>
      <c r="AN38" s="25"/>
      <c r="AO38" s="25"/>
      <c r="AP38" s="25"/>
      <c r="AQ38" s="25"/>
      <c r="AR38" s="25"/>
      <c r="AS38" s="25"/>
      <c r="AT38" s="25"/>
      <c r="AU38" s="25"/>
      <c r="AV38" s="25"/>
      <c r="AW38" s="25"/>
      <c r="AX38" s="25"/>
      <c r="AY38" s="25"/>
      <c r="AZ38" s="25"/>
      <c r="BA38" s="25"/>
      <c r="BB38" s="25"/>
      <c r="BC38" s="25"/>
      <c r="BD38" s="25"/>
      <c r="BE38" s="25"/>
      <c r="BF38" s="25"/>
      <c r="BG38" s="25"/>
      <c r="BH38" s="25"/>
      <c r="BI38" s="26"/>
    </row>
  </sheetData>
  <mergeCells count="19">
    <mergeCell ref="Q1:V1"/>
    <mergeCell ref="W1:AD1"/>
    <mergeCell ref="AE1:AS1"/>
    <mergeCell ref="AT1:BA1"/>
    <mergeCell ref="BB3:BI3"/>
    <mergeCell ref="A4:H4"/>
    <mergeCell ref="A5:BI5"/>
    <mergeCell ref="BB1:BI1"/>
    <mergeCell ref="F2:P3"/>
    <mergeCell ref="Q2:V3"/>
    <mergeCell ref="W2:AD3"/>
    <mergeCell ref="AE2:AS3"/>
    <mergeCell ref="AT2:AU2"/>
    <mergeCell ref="AV2:BA2"/>
    <mergeCell ref="BB2:BI2"/>
    <mergeCell ref="AT3:AU3"/>
    <mergeCell ref="AV3:BA3"/>
    <mergeCell ref="A1:E3"/>
    <mergeCell ref="F1:P1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scale="85" orientation="landscape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5C4142-7323-4A20-B3E7-0593764C537D}">
  <dimension ref="A1:BI38"/>
  <sheetViews>
    <sheetView showGridLines="0" zoomScaleNormal="100" workbookViewId="0">
      <selection sqref="A1:E3"/>
    </sheetView>
  </sheetViews>
  <sheetFormatPr defaultColWidth="2.33203125" defaultRowHeight="15" customHeight="1"/>
  <cols>
    <col min="1" max="16384" width="2.33203125" style="43"/>
  </cols>
  <sheetData>
    <row r="1" spans="1:61" s="1" customFormat="1" ht="15" customHeight="1" thickBot="1">
      <c r="A1" s="245" t="s">
        <v>32</v>
      </c>
      <c r="B1" s="246"/>
      <c r="C1" s="246"/>
      <c r="D1" s="246"/>
      <c r="E1" s="247"/>
      <c r="F1" s="254" t="str">
        <f>変更履歴!F1</f>
        <v>システム名</v>
      </c>
      <c r="G1" s="255"/>
      <c r="H1" s="255"/>
      <c r="I1" s="255"/>
      <c r="J1" s="255"/>
      <c r="K1" s="255"/>
      <c r="L1" s="255"/>
      <c r="M1" s="255"/>
      <c r="N1" s="255"/>
      <c r="O1" s="255"/>
      <c r="P1" s="256"/>
      <c r="Q1" s="257" t="str">
        <f>変更履歴!Q1</f>
        <v>機能分類</v>
      </c>
      <c r="R1" s="258"/>
      <c r="S1" s="258"/>
      <c r="T1" s="258"/>
      <c r="U1" s="258"/>
      <c r="V1" s="259"/>
      <c r="W1" s="254" t="str">
        <f>変更履歴!W1</f>
        <v>機能ＩＤ</v>
      </c>
      <c r="X1" s="255"/>
      <c r="Y1" s="255"/>
      <c r="Z1" s="255"/>
      <c r="AA1" s="255"/>
      <c r="AB1" s="255"/>
      <c r="AC1" s="255"/>
      <c r="AD1" s="256"/>
      <c r="AE1" s="254" t="str">
        <f>変更履歴!AE1</f>
        <v>機能名称</v>
      </c>
      <c r="AF1" s="255"/>
      <c r="AG1" s="255"/>
      <c r="AH1" s="255"/>
      <c r="AI1" s="255"/>
      <c r="AJ1" s="255"/>
      <c r="AK1" s="255"/>
      <c r="AL1" s="255"/>
      <c r="AM1" s="255"/>
      <c r="AN1" s="255"/>
      <c r="AO1" s="255"/>
      <c r="AP1" s="255"/>
      <c r="AQ1" s="255"/>
      <c r="AR1" s="255"/>
      <c r="AS1" s="256"/>
      <c r="AT1" s="260" t="str">
        <f>変更履歴!AT1</f>
        <v>日付</v>
      </c>
      <c r="AU1" s="261"/>
      <c r="AV1" s="261"/>
      <c r="AW1" s="261"/>
      <c r="AX1" s="261"/>
      <c r="AY1" s="261"/>
      <c r="AZ1" s="261"/>
      <c r="BA1" s="262"/>
      <c r="BB1" s="217" t="str">
        <f>変更履歴!BB1</f>
        <v>更新者</v>
      </c>
      <c r="BC1" s="219"/>
      <c r="BD1" s="219"/>
      <c r="BE1" s="219"/>
      <c r="BF1" s="219"/>
      <c r="BG1" s="219"/>
      <c r="BH1" s="219"/>
      <c r="BI1" s="220"/>
    </row>
    <row r="2" spans="1:61" s="1" customFormat="1" ht="15" customHeight="1">
      <c r="A2" s="248"/>
      <c r="B2" s="249"/>
      <c r="C2" s="249"/>
      <c r="D2" s="249"/>
      <c r="E2" s="250"/>
      <c r="F2" s="221" t="str">
        <f>変更履歴!F2</f>
        <v>Dynamics365 for Finance and Operations</v>
      </c>
      <c r="G2" s="222"/>
      <c r="H2" s="222"/>
      <c r="I2" s="222"/>
      <c r="J2" s="222"/>
      <c r="K2" s="222"/>
      <c r="L2" s="222"/>
      <c r="M2" s="222"/>
      <c r="N2" s="222"/>
      <c r="O2" s="222"/>
      <c r="P2" s="223"/>
      <c r="Q2" s="221" t="str">
        <f>変更履歴!Q2</f>
        <v>債権・債務</v>
      </c>
      <c r="R2" s="222"/>
      <c r="S2" s="222"/>
      <c r="T2" s="222"/>
      <c r="U2" s="222"/>
      <c r="V2" s="223"/>
      <c r="W2" s="227" t="str">
        <f>変更履歴!W2</f>
        <v>FO-006</v>
      </c>
      <c r="X2" s="228"/>
      <c r="Y2" s="228"/>
      <c r="Z2" s="228"/>
      <c r="AA2" s="228"/>
      <c r="AB2" s="228"/>
      <c r="AC2" s="228"/>
      <c r="AD2" s="229"/>
      <c r="AE2" s="221" t="str">
        <f>変更履歴!AE2</f>
        <v>支払方法・支払サイトマスタ画面</v>
      </c>
      <c r="AF2" s="222"/>
      <c r="AG2" s="222"/>
      <c r="AH2" s="222"/>
      <c r="AI2" s="222"/>
      <c r="AJ2" s="222"/>
      <c r="AK2" s="222"/>
      <c r="AL2" s="222"/>
      <c r="AM2" s="222"/>
      <c r="AN2" s="222"/>
      <c r="AO2" s="222"/>
      <c r="AP2" s="222"/>
      <c r="AQ2" s="222"/>
      <c r="AR2" s="222"/>
      <c r="AS2" s="223"/>
      <c r="AT2" s="233" t="str">
        <f>変更履歴!AT2</f>
        <v>作成</v>
      </c>
      <c r="AU2" s="234"/>
      <c r="AV2" s="235">
        <f>変更履歴!AV2</f>
        <v>45448</v>
      </c>
      <c r="AW2" s="235"/>
      <c r="AX2" s="235"/>
      <c r="AY2" s="235"/>
      <c r="AZ2" s="235"/>
      <c r="BA2" s="236"/>
      <c r="BB2" s="237" t="str">
        <f>変更履歴!BB2</f>
        <v>JBS井田</v>
      </c>
      <c r="BC2" s="239"/>
      <c r="BD2" s="239"/>
      <c r="BE2" s="239"/>
      <c r="BF2" s="239"/>
      <c r="BG2" s="239"/>
      <c r="BH2" s="239"/>
      <c r="BI2" s="240"/>
    </row>
    <row r="3" spans="1:61" s="1" customFormat="1" ht="15" customHeight="1" thickBot="1">
      <c r="A3" s="251"/>
      <c r="B3" s="252"/>
      <c r="C3" s="252"/>
      <c r="D3" s="252"/>
      <c r="E3" s="253"/>
      <c r="F3" s="224"/>
      <c r="G3" s="225"/>
      <c r="H3" s="225"/>
      <c r="I3" s="225"/>
      <c r="J3" s="225"/>
      <c r="K3" s="225"/>
      <c r="L3" s="225"/>
      <c r="M3" s="225"/>
      <c r="N3" s="225"/>
      <c r="O3" s="225"/>
      <c r="P3" s="226"/>
      <c r="Q3" s="224"/>
      <c r="R3" s="225"/>
      <c r="S3" s="225"/>
      <c r="T3" s="225"/>
      <c r="U3" s="225"/>
      <c r="V3" s="226"/>
      <c r="W3" s="230"/>
      <c r="X3" s="231"/>
      <c r="Y3" s="231"/>
      <c r="Z3" s="231"/>
      <c r="AA3" s="231"/>
      <c r="AB3" s="231"/>
      <c r="AC3" s="231"/>
      <c r="AD3" s="232"/>
      <c r="AE3" s="224"/>
      <c r="AF3" s="225"/>
      <c r="AG3" s="225"/>
      <c r="AH3" s="225"/>
      <c r="AI3" s="225"/>
      <c r="AJ3" s="225"/>
      <c r="AK3" s="225"/>
      <c r="AL3" s="225"/>
      <c r="AM3" s="225"/>
      <c r="AN3" s="225"/>
      <c r="AO3" s="225"/>
      <c r="AP3" s="225"/>
      <c r="AQ3" s="225"/>
      <c r="AR3" s="225"/>
      <c r="AS3" s="226"/>
      <c r="AT3" s="241" t="str">
        <f>変更履歴!AT3</f>
        <v>更新</v>
      </c>
      <c r="AU3" s="242"/>
      <c r="AV3" s="290">
        <f ca="1">変更履歴!AV3</f>
        <v>45589</v>
      </c>
      <c r="AW3" s="291"/>
      <c r="AX3" s="291"/>
      <c r="AY3" s="291"/>
      <c r="AZ3" s="291"/>
      <c r="BA3" s="292"/>
      <c r="BB3" s="294" t="str">
        <f ca="1">変更履歴!BB3</f>
        <v>JBS井田</v>
      </c>
      <c r="BC3" s="295"/>
      <c r="BD3" s="295"/>
      <c r="BE3" s="295"/>
      <c r="BF3" s="295"/>
      <c r="BG3" s="295"/>
      <c r="BH3" s="295"/>
      <c r="BI3" s="296"/>
    </row>
    <row r="4" spans="1:61" s="1" customFormat="1" ht="15" customHeight="1" thickBot="1">
      <c r="A4" s="293"/>
      <c r="B4" s="293"/>
      <c r="C4" s="293"/>
      <c r="D4" s="293"/>
      <c r="E4" s="293"/>
      <c r="F4" s="293"/>
      <c r="G4" s="293"/>
      <c r="H4" s="293"/>
    </row>
    <row r="5" spans="1:61" s="1" customFormat="1" ht="15" customHeight="1" thickBot="1">
      <c r="A5" s="317" t="s">
        <v>199</v>
      </c>
      <c r="B5" s="326"/>
      <c r="C5" s="326"/>
      <c r="D5" s="326"/>
      <c r="E5" s="326"/>
      <c r="F5" s="326"/>
      <c r="G5" s="326"/>
      <c r="H5" s="326"/>
      <c r="I5" s="326"/>
      <c r="J5" s="326"/>
      <c r="K5" s="326"/>
      <c r="L5" s="326"/>
      <c r="M5" s="326"/>
      <c r="N5" s="326"/>
      <c r="O5" s="326"/>
      <c r="P5" s="326"/>
      <c r="Q5" s="326"/>
      <c r="R5" s="326"/>
      <c r="S5" s="326"/>
      <c r="T5" s="326"/>
      <c r="U5" s="326"/>
      <c r="V5" s="326"/>
      <c r="W5" s="326"/>
      <c r="X5" s="326"/>
      <c r="Y5" s="326"/>
      <c r="Z5" s="326"/>
      <c r="AA5" s="326"/>
      <c r="AB5" s="326"/>
      <c r="AC5" s="326"/>
      <c r="AD5" s="326"/>
      <c r="AE5" s="326"/>
      <c r="AF5" s="326"/>
      <c r="AG5" s="326"/>
      <c r="AH5" s="326"/>
      <c r="AI5" s="326"/>
      <c r="AJ5" s="326"/>
      <c r="AK5" s="326"/>
      <c r="AL5" s="326"/>
      <c r="AM5" s="326"/>
      <c r="AN5" s="326"/>
      <c r="AO5" s="326"/>
      <c r="AP5" s="326"/>
      <c r="AQ5" s="326"/>
      <c r="AR5" s="326"/>
      <c r="AS5" s="326"/>
      <c r="AT5" s="326"/>
      <c r="AU5" s="326"/>
      <c r="AV5" s="326"/>
      <c r="AW5" s="326"/>
      <c r="AX5" s="326"/>
      <c r="AY5" s="326"/>
      <c r="AZ5" s="326"/>
      <c r="BA5" s="326"/>
      <c r="BB5" s="326"/>
      <c r="BC5" s="326"/>
      <c r="BD5" s="326"/>
      <c r="BE5" s="326"/>
      <c r="BF5" s="326"/>
      <c r="BG5" s="326"/>
      <c r="BH5" s="326"/>
      <c r="BI5" s="318"/>
    </row>
    <row r="6" spans="1:61" s="1" customFormat="1" ht="15" customHeight="1">
      <c r="A6" s="15"/>
      <c r="BI6" s="24"/>
    </row>
    <row r="7" spans="1:61" s="1" customFormat="1" ht="15" customHeight="1">
      <c r="A7" s="15"/>
      <c r="BI7" s="24"/>
    </row>
    <row r="8" spans="1:61" s="1" customFormat="1" ht="15" customHeight="1">
      <c r="A8" s="15"/>
      <c r="BI8" s="24"/>
    </row>
    <row r="9" spans="1:61" s="1" customFormat="1" ht="15" customHeight="1">
      <c r="A9" s="15"/>
      <c r="BI9" s="24"/>
    </row>
    <row r="10" spans="1:61" s="1" customFormat="1" ht="15" customHeight="1">
      <c r="A10" s="15"/>
      <c r="BI10" s="24"/>
    </row>
    <row r="11" spans="1:61" s="1" customFormat="1" ht="15" customHeight="1">
      <c r="A11" s="15"/>
      <c r="BI11" s="24"/>
    </row>
    <row r="12" spans="1:61" s="1" customFormat="1" ht="15" customHeight="1">
      <c r="A12" s="15"/>
      <c r="BI12" s="24"/>
    </row>
    <row r="13" spans="1:61" s="1" customFormat="1" ht="15" customHeight="1">
      <c r="A13" s="15"/>
      <c r="BI13" s="24"/>
    </row>
    <row r="14" spans="1:61" s="1" customFormat="1" ht="15" customHeight="1">
      <c r="A14" s="15"/>
      <c r="BI14" s="24"/>
    </row>
    <row r="15" spans="1:61" s="1" customFormat="1" ht="15" customHeight="1">
      <c r="A15" s="15"/>
      <c r="BI15" s="24"/>
    </row>
    <row r="16" spans="1:61" s="1" customFormat="1" ht="15" customHeight="1">
      <c r="A16" s="15"/>
      <c r="BI16" s="24"/>
    </row>
    <row r="17" spans="1:61" s="1" customFormat="1" ht="15" customHeight="1">
      <c r="A17" s="15"/>
      <c r="BI17" s="24"/>
    </row>
    <row r="18" spans="1:61" s="1" customFormat="1" ht="15" customHeight="1">
      <c r="A18" s="15"/>
      <c r="BI18" s="24"/>
    </row>
    <row r="19" spans="1:61" s="1" customFormat="1" ht="15" customHeight="1">
      <c r="A19" s="15"/>
      <c r="BI19" s="24"/>
    </row>
    <row r="20" spans="1:61" s="1" customFormat="1" ht="15" customHeight="1">
      <c r="A20" s="15"/>
      <c r="BI20" s="24"/>
    </row>
    <row r="21" spans="1:61" s="1" customFormat="1" ht="15" customHeight="1">
      <c r="A21" s="15"/>
      <c r="BI21" s="24"/>
    </row>
    <row r="22" spans="1:61" s="1" customFormat="1" ht="15" customHeight="1">
      <c r="A22" s="15"/>
      <c r="BI22" s="24"/>
    </row>
    <row r="23" spans="1:61" s="1" customFormat="1" ht="15" customHeight="1">
      <c r="A23" s="15"/>
      <c r="BI23" s="24"/>
    </row>
    <row r="24" spans="1:61" s="1" customFormat="1" ht="15" customHeight="1">
      <c r="A24" s="15"/>
      <c r="BI24" s="24"/>
    </row>
    <row r="25" spans="1:61" s="1" customFormat="1" ht="15" customHeight="1">
      <c r="A25" s="15"/>
      <c r="BI25" s="24"/>
    </row>
    <row r="26" spans="1:61" s="1" customFormat="1" ht="15" customHeight="1">
      <c r="A26" s="15"/>
      <c r="BI26" s="24"/>
    </row>
    <row r="27" spans="1:61" s="1" customFormat="1" ht="15" customHeight="1">
      <c r="A27" s="15"/>
      <c r="BI27" s="24"/>
    </row>
    <row r="28" spans="1:61" s="1" customFormat="1" ht="15" customHeight="1">
      <c r="A28" s="15"/>
      <c r="BI28" s="24"/>
    </row>
    <row r="29" spans="1:61" s="1" customFormat="1" ht="15" customHeight="1">
      <c r="A29" s="15"/>
      <c r="BI29" s="24"/>
    </row>
    <row r="30" spans="1:61" s="1" customFormat="1" ht="15" customHeight="1">
      <c r="A30" s="15"/>
      <c r="BI30" s="24"/>
    </row>
    <row r="31" spans="1:61" s="1" customFormat="1" ht="15" customHeight="1">
      <c r="A31" s="15"/>
      <c r="BI31" s="24"/>
    </row>
    <row r="32" spans="1:61" s="1" customFormat="1" ht="15" customHeight="1">
      <c r="A32" s="15"/>
      <c r="BI32" s="24"/>
    </row>
    <row r="33" spans="1:61" s="1" customFormat="1" ht="15" customHeight="1">
      <c r="A33" s="15"/>
      <c r="BI33" s="24"/>
    </row>
    <row r="34" spans="1:61" s="1" customFormat="1" ht="15" customHeight="1">
      <c r="A34" s="15"/>
      <c r="BI34" s="24"/>
    </row>
    <row r="35" spans="1:61" s="1" customFormat="1" ht="15" customHeight="1">
      <c r="A35" s="15"/>
      <c r="BI35" s="24"/>
    </row>
    <row r="36" spans="1:61" s="1" customFormat="1" ht="15" customHeight="1">
      <c r="A36" s="15"/>
      <c r="BI36" s="24"/>
    </row>
    <row r="37" spans="1:61" s="1" customFormat="1" ht="15" customHeight="1">
      <c r="A37" s="15"/>
      <c r="BI37" s="24"/>
    </row>
    <row r="38" spans="1:61" s="1" customFormat="1" ht="15" customHeight="1" thickBot="1">
      <c r="A38" s="17"/>
      <c r="B38" s="25"/>
      <c r="C38" s="25"/>
      <c r="D38" s="25"/>
      <c r="E38" s="25"/>
      <c r="F38" s="25"/>
      <c r="G38" s="25"/>
      <c r="H38" s="25"/>
      <c r="I38" s="25"/>
      <c r="J38" s="25"/>
      <c r="K38" s="25"/>
      <c r="L38" s="25"/>
      <c r="M38" s="25"/>
      <c r="N38" s="25"/>
      <c r="O38" s="25"/>
      <c r="P38" s="25"/>
      <c r="Q38" s="25"/>
      <c r="R38" s="25"/>
      <c r="S38" s="25"/>
      <c r="T38" s="25"/>
      <c r="U38" s="25"/>
      <c r="V38" s="25"/>
      <c r="W38" s="25"/>
      <c r="X38" s="25"/>
      <c r="Y38" s="25"/>
      <c r="Z38" s="25"/>
      <c r="AA38" s="25"/>
      <c r="AB38" s="25"/>
      <c r="AC38" s="25"/>
      <c r="AD38" s="25"/>
      <c r="AE38" s="25"/>
      <c r="AF38" s="25"/>
      <c r="AG38" s="25"/>
      <c r="AH38" s="25"/>
      <c r="AI38" s="25"/>
      <c r="AJ38" s="25"/>
      <c r="AK38" s="25"/>
      <c r="AL38" s="25"/>
      <c r="AM38" s="25"/>
      <c r="AN38" s="25"/>
      <c r="AO38" s="25"/>
      <c r="AP38" s="25"/>
      <c r="AQ38" s="25"/>
      <c r="AR38" s="25"/>
      <c r="AS38" s="25"/>
      <c r="AT38" s="25"/>
      <c r="AU38" s="25"/>
      <c r="AV38" s="25"/>
      <c r="AW38" s="25"/>
      <c r="AX38" s="25"/>
      <c r="AY38" s="25"/>
      <c r="AZ38" s="25"/>
      <c r="BA38" s="25"/>
      <c r="BB38" s="25"/>
      <c r="BC38" s="25"/>
      <c r="BD38" s="25"/>
      <c r="BE38" s="25"/>
      <c r="BF38" s="25"/>
      <c r="BG38" s="25"/>
      <c r="BH38" s="25"/>
      <c r="BI38" s="26"/>
    </row>
  </sheetData>
  <mergeCells count="19">
    <mergeCell ref="A5:BI5"/>
    <mergeCell ref="A4:H4"/>
    <mergeCell ref="AT1:BA1"/>
    <mergeCell ref="BB1:BI1"/>
    <mergeCell ref="F2:P3"/>
    <mergeCell ref="Q2:V3"/>
    <mergeCell ref="W2:AD3"/>
    <mergeCell ref="AE2:AS3"/>
    <mergeCell ref="AT2:AU2"/>
    <mergeCell ref="AV2:BA2"/>
    <mergeCell ref="BB2:BI2"/>
    <mergeCell ref="AT3:AU3"/>
    <mergeCell ref="AV3:BA3"/>
    <mergeCell ref="BB3:BI3"/>
    <mergeCell ref="A1:E3"/>
    <mergeCell ref="F1:P1"/>
    <mergeCell ref="Q1:V1"/>
    <mergeCell ref="W1:AD1"/>
    <mergeCell ref="AE1:AS1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scale="85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6C1AAE-0EAC-4224-9BBB-EAA67AA8D42A}">
  <dimension ref="A1:BI40"/>
  <sheetViews>
    <sheetView showGridLines="0" zoomScaleNormal="100" workbookViewId="0">
      <pane ySplit="5" topLeftCell="A7" activePane="bottomLeft" state="frozen"/>
      <selection pane="bottomLeft" activeCell="BE9" sqref="BE9:BI9"/>
    </sheetView>
  </sheetViews>
  <sheetFormatPr defaultColWidth="2.33203125" defaultRowHeight="15" customHeight="1"/>
  <cols>
    <col min="1" max="57" width="2.33203125" style="1"/>
    <col min="58" max="59" width="2.33203125" style="1" customWidth="1"/>
    <col min="60" max="16384" width="2.33203125" style="1"/>
  </cols>
  <sheetData>
    <row r="1" spans="1:61" ht="15" customHeight="1" thickBot="1">
      <c r="A1" s="245" t="s">
        <v>32</v>
      </c>
      <c r="B1" s="246"/>
      <c r="C1" s="246"/>
      <c r="D1" s="246"/>
      <c r="E1" s="247"/>
      <c r="F1" s="254" t="str">
        <f>変更履歴!F1</f>
        <v>システム名</v>
      </c>
      <c r="G1" s="255"/>
      <c r="H1" s="255"/>
      <c r="I1" s="255"/>
      <c r="J1" s="255"/>
      <c r="K1" s="255"/>
      <c r="L1" s="255"/>
      <c r="M1" s="255"/>
      <c r="N1" s="255"/>
      <c r="O1" s="255"/>
      <c r="P1" s="256"/>
      <c r="Q1" s="257" t="str">
        <f>変更履歴!Q1</f>
        <v>機能分類</v>
      </c>
      <c r="R1" s="258"/>
      <c r="S1" s="258"/>
      <c r="T1" s="258"/>
      <c r="U1" s="258"/>
      <c r="V1" s="259"/>
      <c r="W1" s="254" t="str">
        <f>変更履歴!W1</f>
        <v>機能ＩＤ</v>
      </c>
      <c r="X1" s="255"/>
      <c r="Y1" s="255"/>
      <c r="Z1" s="255"/>
      <c r="AA1" s="255"/>
      <c r="AB1" s="255"/>
      <c r="AC1" s="255"/>
      <c r="AD1" s="256"/>
      <c r="AE1" s="254" t="str">
        <f>変更履歴!AE1</f>
        <v>機能名称</v>
      </c>
      <c r="AF1" s="255"/>
      <c r="AG1" s="255"/>
      <c r="AH1" s="255"/>
      <c r="AI1" s="255"/>
      <c r="AJ1" s="255"/>
      <c r="AK1" s="255"/>
      <c r="AL1" s="255"/>
      <c r="AM1" s="255"/>
      <c r="AN1" s="255"/>
      <c r="AO1" s="255"/>
      <c r="AP1" s="255"/>
      <c r="AQ1" s="255"/>
      <c r="AR1" s="255"/>
      <c r="AS1" s="256"/>
      <c r="AT1" s="260" t="str">
        <f>変更履歴!AT1</f>
        <v>日付</v>
      </c>
      <c r="AU1" s="261"/>
      <c r="AV1" s="261"/>
      <c r="AW1" s="261"/>
      <c r="AX1" s="261"/>
      <c r="AY1" s="261"/>
      <c r="AZ1" s="261"/>
      <c r="BA1" s="262"/>
      <c r="BB1" s="217" t="str">
        <f>変更履歴!BB1</f>
        <v>更新者</v>
      </c>
      <c r="BC1" s="219"/>
      <c r="BD1" s="219"/>
      <c r="BE1" s="219"/>
      <c r="BF1" s="219"/>
      <c r="BG1" s="219"/>
      <c r="BH1" s="219"/>
      <c r="BI1" s="220"/>
    </row>
    <row r="2" spans="1:61" ht="15" customHeight="1">
      <c r="A2" s="248"/>
      <c r="B2" s="249"/>
      <c r="C2" s="249"/>
      <c r="D2" s="249"/>
      <c r="E2" s="250"/>
      <c r="F2" s="221" t="str">
        <f>変更履歴!F2</f>
        <v>Dynamics365 for Finance and Operations</v>
      </c>
      <c r="G2" s="222"/>
      <c r="H2" s="222"/>
      <c r="I2" s="222"/>
      <c r="J2" s="222"/>
      <c r="K2" s="222"/>
      <c r="L2" s="222"/>
      <c r="M2" s="222"/>
      <c r="N2" s="222"/>
      <c r="O2" s="222"/>
      <c r="P2" s="223"/>
      <c r="Q2" s="221" t="str">
        <f>変更履歴!Q2</f>
        <v>債権・債務</v>
      </c>
      <c r="R2" s="222"/>
      <c r="S2" s="222"/>
      <c r="T2" s="222"/>
      <c r="U2" s="222"/>
      <c r="V2" s="223"/>
      <c r="W2" s="227" t="str">
        <f>変更履歴!W2</f>
        <v>FO-006</v>
      </c>
      <c r="X2" s="228"/>
      <c r="Y2" s="228"/>
      <c r="Z2" s="228"/>
      <c r="AA2" s="228"/>
      <c r="AB2" s="228"/>
      <c r="AC2" s="228"/>
      <c r="AD2" s="229"/>
      <c r="AE2" s="221" t="str">
        <f>変更履歴!AE2</f>
        <v>支払方法・支払サイトマスタ画面</v>
      </c>
      <c r="AF2" s="222"/>
      <c r="AG2" s="222"/>
      <c r="AH2" s="222"/>
      <c r="AI2" s="222"/>
      <c r="AJ2" s="222"/>
      <c r="AK2" s="222"/>
      <c r="AL2" s="222"/>
      <c r="AM2" s="222"/>
      <c r="AN2" s="222"/>
      <c r="AO2" s="222"/>
      <c r="AP2" s="222"/>
      <c r="AQ2" s="222"/>
      <c r="AR2" s="222"/>
      <c r="AS2" s="223"/>
      <c r="AT2" s="233" t="str">
        <f>変更履歴!AT2</f>
        <v>作成</v>
      </c>
      <c r="AU2" s="234"/>
      <c r="AV2" s="235">
        <f>変更履歴!AV2</f>
        <v>45448</v>
      </c>
      <c r="AW2" s="235"/>
      <c r="AX2" s="235"/>
      <c r="AY2" s="235"/>
      <c r="AZ2" s="235"/>
      <c r="BA2" s="236"/>
      <c r="BB2" s="237" t="str">
        <f>変更履歴!BB2</f>
        <v>JBS井田</v>
      </c>
      <c r="BC2" s="239"/>
      <c r="BD2" s="239"/>
      <c r="BE2" s="239"/>
      <c r="BF2" s="239"/>
      <c r="BG2" s="239"/>
      <c r="BH2" s="239"/>
      <c r="BI2" s="240"/>
    </row>
    <row r="3" spans="1:61" ht="15" customHeight="1" thickBot="1">
      <c r="A3" s="251"/>
      <c r="B3" s="252"/>
      <c r="C3" s="252"/>
      <c r="D3" s="252"/>
      <c r="E3" s="253"/>
      <c r="F3" s="224"/>
      <c r="G3" s="225"/>
      <c r="H3" s="225"/>
      <c r="I3" s="225"/>
      <c r="J3" s="225"/>
      <c r="K3" s="225"/>
      <c r="L3" s="225"/>
      <c r="M3" s="225"/>
      <c r="N3" s="225"/>
      <c r="O3" s="225"/>
      <c r="P3" s="226"/>
      <c r="Q3" s="224"/>
      <c r="R3" s="225"/>
      <c r="S3" s="225"/>
      <c r="T3" s="225"/>
      <c r="U3" s="225"/>
      <c r="V3" s="226"/>
      <c r="W3" s="230"/>
      <c r="X3" s="231"/>
      <c r="Y3" s="231"/>
      <c r="Z3" s="231"/>
      <c r="AA3" s="231"/>
      <c r="AB3" s="231"/>
      <c r="AC3" s="231"/>
      <c r="AD3" s="232"/>
      <c r="AE3" s="224"/>
      <c r="AF3" s="225"/>
      <c r="AG3" s="225"/>
      <c r="AH3" s="225"/>
      <c r="AI3" s="225"/>
      <c r="AJ3" s="225"/>
      <c r="AK3" s="225"/>
      <c r="AL3" s="225"/>
      <c r="AM3" s="225"/>
      <c r="AN3" s="225"/>
      <c r="AO3" s="225"/>
      <c r="AP3" s="225"/>
      <c r="AQ3" s="225"/>
      <c r="AR3" s="225"/>
      <c r="AS3" s="226"/>
      <c r="AT3" s="241" t="str">
        <f>変更履歴!AT3</f>
        <v>更新</v>
      </c>
      <c r="AU3" s="242"/>
      <c r="AV3" s="290">
        <f ca="1">変更履歴!AV3</f>
        <v>45589</v>
      </c>
      <c r="AW3" s="291"/>
      <c r="AX3" s="291"/>
      <c r="AY3" s="291"/>
      <c r="AZ3" s="291"/>
      <c r="BA3" s="292"/>
      <c r="BB3" s="294" t="str">
        <f ca="1">変更履歴!BB3</f>
        <v>JBS井田</v>
      </c>
      <c r="BC3" s="295"/>
      <c r="BD3" s="295"/>
      <c r="BE3" s="295"/>
      <c r="BF3" s="295"/>
      <c r="BG3" s="295"/>
      <c r="BH3" s="295"/>
      <c r="BI3" s="296"/>
    </row>
    <row r="4" spans="1:61" ht="15" customHeight="1" thickBot="1"/>
    <row r="5" spans="1:61" ht="15" customHeight="1">
      <c r="A5" s="550" t="s">
        <v>52</v>
      </c>
      <c r="B5" s="551"/>
      <c r="C5" s="544" t="s">
        <v>213</v>
      </c>
      <c r="D5" s="545"/>
      <c r="E5" s="545"/>
      <c r="F5" s="545"/>
      <c r="G5" s="545"/>
      <c r="H5" s="545"/>
      <c r="I5" s="545"/>
      <c r="J5" s="545"/>
      <c r="K5" s="545"/>
      <c r="L5" s="545"/>
      <c r="M5" s="545"/>
      <c r="N5" s="545"/>
      <c r="O5" s="545"/>
      <c r="P5" s="546"/>
      <c r="Q5" s="544" t="s">
        <v>214</v>
      </c>
      <c r="R5" s="545"/>
      <c r="S5" s="545"/>
      <c r="T5" s="545"/>
      <c r="U5" s="545"/>
      <c r="V5" s="545"/>
      <c r="W5" s="545"/>
      <c r="X5" s="545"/>
      <c r="Y5" s="545"/>
      <c r="Z5" s="545"/>
      <c r="AA5" s="545"/>
      <c r="AB5" s="545"/>
      <c r="AC5" s="545"/>
      <c r="AD5" s="545"/>
      <c r="AE5" s="546"/>
      <c r="AF5" s="552" t="s">
        <v>215</v>
      </c>
      <c r="AG5" s="552"/>
      <c r="AH5" s="552"/>
      <c r="AI5" s="552"/>
      <c r="AJ5" s="552"/>
      <c r="AK5" s="552" t="s">
        <v>216</v>
      </c>
      <c r="AL5" s="552"/>
      <c r="AM5" s="552"/>
      <c r="AN5" s="552"/>
      <c r="AO5" s="552"/>
      <c r="AP5" s="552" t="s">
        <v>217</v>
      </c>
      <c r="AQ5" s="552"/>
      <c r="AR5" s="552"/>
      <c r="AS5" s="552"/>
      <c r="AT5" s="552"/>
      <c r="AU5" s="552" t="s">
        <v>218</v>
      </c>
      <c r="AV5" s="552"/>
      <c r="AW5" s="552"/>
      <c r="AX5" s="552"/>
      <c r="AY5" s="552"/>
      <c r="AZ5" s="544" t="s">
        <v>219</v>
      </c>
      <c r="BA5" s="545"/>
      <c r="BB5" s="545"/>
      <c r="BC5" s="545"/>
      <c r="BD5" s="546"/>
      <c r="BE5" s="544" t="s">
        <v>220</v>
      </c>
      <c r="BF5" s="545"/>
      <c r="BG5" s="545"/>
      <c r="BH5" s="545"/>
      <c r="BI5" s="547"/>
    </row>
    <row r="6" spans="1:61" ht="43.75" customHeight="1">
      <c r="A6" s="324">
        <f xml:space="preserve"> ROW()-5</f>
        <v>1</v>
      </c>
      <c r="B6" s="427"/>
      <c r="C6" s="535" t="s">
        <v>221</v>
      </c>
      <c r="D6" s="536"/>
      <c r="E6" s="536"/>
      <c r="F6" s="536"/>
      <c r="G6" s="536"/>
      <c r="H6" s="536"/>
      <c r="I6" s="536"/>
      <c r="J6" s="536"/>
      <c r="K6" s="536"/>
      <c r="L6" s="536"/>
      <c r="M6" s="536"/>
      <c r="N6" s="536"/>
      <c r="O6" s="536"/>
      <c r="P6" s="537"/>
      <c r="Q6" s="535" t="s">
        <v>222</v>
      </c>
      <c r="R6" s="536"/>
      <c r="S6" s="536"/>
      <c r="T6" s="536"/>
      <c r="U6" s="536"/>
      <c r="V6" s="536"/>
      <c r="W6" s="536"/>
      <c r="X6" s="536"/>
      <c r="Y6" s="536"/>
      <c r="Z6" s="536"/>
      <c r="AA6" s="536"/>
      <c r="AB6" s="536"/>
      <c r="AC6" s="536"/>
      <c r="AD6" s="536"/>
      <c r="AE6" s="537"/>
      <c r="AF6" s="531">
        <v>45517</v>
      </c>
      <c r="AG6" s="418"/>
      <c r="AH6" s="418"/>
      <c r="AI6" s="418"/>
      <c r="AJ6" s="418"/>
      <c r="AK6" s="418" t="s">
        <v>223</v>
      </c>
      <c r="AL6" s="418"/>
      <c r="AM6" s="418"/>
      <c r="AN6" s="418"/>
      <c r="AO6" s="418"/>
      <c r="AP6" s="531">
        <v>45517</v>
      </c>
      <c r="AQ6" s="418"/>
      <c r="AR6" s="418"/>
      <c r="AS6" s="418"/>
      <c r="AT6" s="418"/>
      <c r="AU6" s="418" t="s">
        <v>30</v>
      </c>
      <c r="AV6" s="418"/>
      <c r="AW6" s="418"/>
      <c r="AX6" s="418"/>
      <c r="AY6" s="418"/>
      <c r="AZ6" s="548">
        <v>45523</v>
      </c>
      <c r="BA6" s="549"/>
      <c r="BB6" s="549"/>
      <c r="BC6" s="549"/>
      <c r="BD6" s="549"/>
      <c r="BE6" s="532" t="s">
        <v>8</v>
      </c>
      <c r="BF6" s="533"/>
      <c r="BG6" s="533"/>
      <c r="BH6" s="533"/>
      <c r="BI6" s="534"/>
    </row>
    <row r="7" spans="1:61" ht="113.15" customHeight="1">
      <c r="A7" s="324">
        <f t="shared" ref="A7:A40" si="0" xml:space="preserve"> ROW()-5</f>
        <v>2</v>
      </c>
      <c r="B7" s="427"/>
      <c r="C7" s="535" t="s">
        <v>224</v>
      </c>
      <c r="D7" s="536"/>
      <c r="E7" s="536"/>
      <c r="F7" s="536"/>
      <c r="G7" s="536"/>
      <c r="H7" s="536"/>
      <c r="I7" s="536"/>
      <c r="J7" s="536"/>
      <c r="K7" s="536"/>
      <c r="L7" s="536"/>
      <c r="M7" s="536"/>
      <c r="N7" s="536"/>
      <c r="O7" s="536"/>
      <c r="P7" s="537"/>
      <c r="Q7" s="535" t="s">
        <v>225</v>
      </c>
      <c r="R7" s="536"/>
      <c r="S7" s="536"/>
      <c r="T7" s="536"/>
      <c r="U7" s="536"/>
      <c r="V7" s="536"/>
      <c r="W7" s="536"/>
      <c r="X7" s="536"/>
      <c r="Y7" s="536"/>
      <c r="Z7" s="536"/>
      <c r="AA7" s="536"/>
      <c r="AB7" s="536"/>
      <c r="AC7" s="536"/>
      <c r="AD7" s="536"/>
      <c r="AE7" s="537"/>
      <c r="AF7" s="531">
        <v>45531</v>
      </c>
      <c r="AG7" s="418"/>
      <c r="AH7" s="418"/>
      <c r="AI7" s="418"/>
      <c r="AJ7" s="418"/>
      <c r="AK7" s="418" t="s">
        <v>226</v>
      </c>
      <c r="AL7" s="418"/>
      <c r="AM7" s="418"/>
      <c r="AN7" s="418"/>
      <c r="AO7" s="418"/>
      <c r="AP7" s="531">
        <v>45532</v>
      </c>
      <c r="AQ7" s="418"/>
      <c r="AR7" s="418"/>
      <c r="AS7" s="418"/>
      <c r="AT7" s="418"/>
      <c r="AU7" s="418" t="s">
        <v>30</v>
      </c>
      <c r="AV7" s="418"/>
      <c r="AW7" s="418"/>
      <c r="AX7" s="418"/>
      <c r="AY7" s="418"/>
      <c r="AZ7" s="548">
        <v>45532</v>
      </c>
      <c r="BA7" s="549"/>
      <c r="BB7" s="549"/>
      <c r="BC7" s="549"/>
      <c r="BD7" s="549"/>
      <c r="BE7" s="532" t="s">
        <v>8</v>
      </c>
      <c r="BF7" s="533"/>
      <c r="BG7" s="533"/>
      <c r="BH7" s="533"/>
      <c r="BI7" s="534"/>
    </row>
    <row r="8" spans="1:61" ht="349.4" customHeight="1">
      <c r="A8" s="324">
        <f t="shared" si="0"/>
        <v>3</v>
      </c>
      <c r="B8" s="427"/>
      <c r="C8" s="535" t="s">
        <v>227</v>
      </c>
      <c r="D8" s="536"/>
      <c r="E8" s="536"/>
      <c r="F8" s="536"/>
      <c r="G8" s="536"/>
      <c r="H8" s="536"/>
      <c r="I8" s="536"/>
      <c r="J8" s="536"/>
      <c r="K8" s="536"/>
      <c r="L8" s="536"/>
      <c r="M8" s="536"/>
      <c r="N8" s="536"/>
      <c r="O8" s="536"/>
      <c r="P8" s="537"/>
      <c r="Q8" s="538" t="s">
        <v>228</v>
      </c>
      <c r="R8" s="539"/>
      <c r="S8" s="539"/>
      <c r="T8" s="539"/>
      <c r="U8" s="539"/>
      <c r="V8" s="539"/>
      <c r="W8" s="539"/>
      <c r="X8" s="539"/>
      <c r="Y8" s="539"/>
      <c r="Z8" s="539"/>
      <c r="AA8" s="539"/>
      <c r="AB8" s="539"/>
      <c r="AC8" s="539"/>
      <c r="AD8" s="539"/>
      <c r="AE8" s="540"/>
      <c r="AF8" s="531">
        <v>45553</v>
      </c>
      <c r="AG8" s="418"/>
      <c r="AH8" s="418"/>
      <c r="AI8" s="418"/>
      <c r="AJ8" s="418"/>
      <c r="AK8" s="418" t="s">
        <v>226</v>
      </c>
      <c r="AL8" s="418"/>
      <c r="AM8" s="418"/>
      <c r="AN8" s="418"/>
      <c r="AO8" s="418"/>
      <c r="AP8" s="531">
        <v>45561</v>
      </c>
      <c r="AQ8" s="418"/>
      <c r="AR8" s="418"/>
      <c r="AS8" s="418"/>
      <c r="AT8" s="418"/>
      <c r="AU8" s="418" t="s">
        <v>226</v>
      </c>
      <c r="AV8" s="418"/>
      <c r="AW8" s="418"/>
      <c r="AX8" s="418"/>
      <c r="AY8" s="418"/>
      <c r="AZ8" s="548">
        <v>45568</v>
      </c>
      <c r="BA8" s="549"/>
      <c r="BB8" s="549"/>
      <c r="BC8" s="549"/>
      <c r="BD8" s="549"/>
      <c r="BE8" s="532" t="s">
        <v>8</v>
      </c>
      <c r="BF8" s="533"/>
      <c r="BG8" s="533"/>
      <c r="BH8" s="533"/>
      <c r="BI8" s="534"/>
    </row>
    <row r="9" spans="1:61" ht="13.5">
      <c r="A9" s="324">
        <f t="shared" si="0"/>
        <v>4</v>
      </c>
      <c r="B9" s="427"/>
      <c r="C9" s="535"/>
      <c r="D9" s="536"/>
      <c r="E9" s="536"/>
      <c r="F9" s="536"/>
      <c r="G9" s="536"/>
      <c r="H9" s="536"/>
      <c r="I9" s="536"/>
      <c r="J9" s="536"/>
      <c r="K9" s="536"/>
      <c r="L9" s="536"/>
      <c r="M9" s="536"/>
      <c r="N9" s="536"/>
      <c r="O9" s="536"/>
      <c r="P9" s="537"/>
      <c r="Q9" s="535"/>
      <c r="R9" s="536"/>
      <c r="S9" s="536"/>
      <c r="T9" s="536"/>
      <c r="U9" s="536"/>
      <c r="V9" s="536"/>
      <c r="W9" s="536"/>
      <c r="X9" s="536"/>
      <c r="Y9" s="536"/>
      <c r="Z9" s="536"/>
      <c r="AA9" s="536"/>
      <c r="AB9" s="536"/>
      <c r="AC9" s="536"/>
      <c r="AD9" s="536"/>
      <c r="AE9" s="537"/>
      <c r="AF9" s="531"/>
      <c r="AG9" s="418"/>
      <c r="AH9" s="418"/>
      <c r="AI9" s="418"/>
      <c r="AJ9" s="418"/>
      <c r="AK9" s="418"/>
      <c r="AL9" s="418"/>
      <c r="AM9" s="418"/>
      <c r="AN9" s="418"/>
      <c r="AO9" s="418"/>
      <c r="AP9" s="531"/>
      <c r="AQ9" s="418"/>
      <c r="AR9" s="418"/>
      <c r="AS9" s="418"/>
      <c r="AT9" s="418"/>
      <c r="AU9" s="418"/>
      <c r="AV9" s="418"/>
      <c r="AW9" s="418"/>
      <c r="AX9" s="418"/>
      <c r="AY9" s="418"/>
      <c r="AZ9" s="548"/>
      <c r="BA9" s="549"/>
      <c r="BB9" s="549"/>
      <c r="BC9" s="549"/>
      <c r="BD9" s="549"/>
      <c r="BE9" s="532"/>
      <c r="BF9" s="533"/>
      <c r="BG9" s="533"/>
      <c r="BH9" s="533"/>
      <c r="BI9" s="534"/>
    </row>
    <row r="10" spans="1:61" ht="13.5">
      <c r="A10" s="324">
        <f t="shared" si="0"/>
        <v>5</v>
      </c>
      <c r="B10" s="427"/>
      <c r="C10" s="535"/>
      <c r="D10" s="536"/>
      <c r="E10" s="536"/>
      <c r="F10" s="536"/>
      <c r="G10" s="536"/>
      <c r="H10" s="536"/>
      <c r="I10" s="536"/>
      <c r="J10" s="536"/>
      <c r="K10" s="536"/>
      <c r="L10" s="536"/>
      <c r="M10" s="536"/>
      <c r="N10" s="536"/>
      <c r="O10" s="536"/>
      <c r="P10" s="537"/>
      <c r="Q10" s="535"/>
      <c r="R10" s="536"/>
      <c r="S10" s="536"/>
      <c r="T10" s="536"/>
      <c r="U10" s="536"/>
      <c r="V10" s="536"/>
      <c r="W10" s="536"/>
      <c r="X10" s="536"/>
      <c r="Y10" s="536"/>
      <c r="Z10" s="536"/>
      <c r="AA10" s="536"/>
      <c r="AB10" s="536"/>
      <c r="AC10" s="536"/>
      <c r="AD10" s="536"/>
      <c r="AE10" s="537"/>
      <c r="AF10" s="531"/>
      <c r="AG10" s="418"/>
      <c r="AH10" s="418"/>
      <c r="AI10" s="418"/>
      <c r="AJ10" s="418"/>
      <c r="AK10" s="418"/>
      <c r="AL10" s="418"/>
      <c r="AM10" s="418"/>
      <c r="AN10" s="418"/>
      <c r="AO10" s="418"/>
      <c r="AP10" s="531"/>
      <c r="AQ10" s="418"/>
      <c r="AR10" s="418"/>
      <c r="AS10" s="418"/>
      <c r="AT10" s="418"/>
      <c r="AU10" s="418"/>
      <c r="AV10" s="418"/>
      <c r="AW10" s="418"/>
      <c r="AX10" s="418"/>
      <c r="AY10" s="418"/>
      <c r="AZ10" s="531"/>
      <c r="BA10" s="418"/>
      <c r="BB10" s="418"/>
      <c r="BC10" s="418"/>
      <c r="BD10" s="418"/>
      <c r="BE10" s="532"/>
      <c r="BF10" s="533"/>
      <c r="BG10" s="533"/>
      <c r="BH10" s="533"/>
      <c r="BI10" s="534"/>
    </row>
    <row r="11" spans="1:61" ht="13.5">
      <c r="A11" s="324">
        <f t="shared" si="0"/>
        <v>6</v>
      </c>
      <c r="B11" s="427"/>
      <c r="C11" s="535"/>
      <c r="D11" s="536"/>
      <c r="E11" s="536"/>
      <c r="F11" s="536"/>
      <c r="G11" s="536"/>
      <c r="H11" s="536"/>
      <c r="I11" s="536"/>
      <c r="J11" s="536"/>
      <c r="K11" s="536"/>
      <c r="L11" s="536"/>
      <c r="M11" s="536"/>
      <c r="N11" s="536"/>
      <c r="O11" s="536"/>
      <c r="P11" s="537"/>
      <c r="Q11" s="535"/>
      <c r="R11" s="536"/>
      <c r="S11" s="536"/>
      <c r="T11" s="536"/>
      <c r="U11" s="536"/>
      <c r="V11" s="536"/>
      <c r="W11" s="536"/>
      <c r="X11" s="536"/>
      <c r="Y11" s="536"/>
      <c r="Z11" s="536"/>
      <c r="AA11" s="536"/>
      <c r="AB11" s="536"/>
      <c r="AC11" s="536"/>
      <c r="AD11" s="536"/>
      <c r="AE11" s="537"/>
      <c r="AF11" s="531"/>
      <c r="AG11" s="418"/>
      <c r="AH11" s="418"/>
      <c r="AI11" s="418"/>
      <c r="AJ11" s="418"/>
      <c r="AK11" s="418"/>
      <c r="AL11" s="418"/>
      <c r="AM11" s="418"/>
      <c r="AN11" s="418"/>
      <c r="AO11" s="418"/>
      <c r="AP11" s="531"/>
      <c r="AQ11" s="418"/>
      <c r="AR11" s="418"/>
      <c r="AS11" s="418"/>
      <c r="AT11" s="418"/>
      <c r="AU11" s="418"/>
      <c r="AV11" s="418"/>
      <c r="AW11" s="418"/>
      <c r="AX11" s="418"/>
      <c r="AY11" s="418"/>
      <c r="AZ11" s="531"/>
      <c r="BA11" s="418"/>
      <c r="BB11" s="418"/>
      <c r="BC11" s="418"/>
      <c r="BD11" s="418"/>
      <c r="BE11" s="532"/>
      <c r="BF11" s="533"/>
      <c r="BG11" s="533"/>
      <c r="BH11" s="533"/>
      <c r="BI11" s="534"/>
    </row>
    <row r="12" spans="1:61" ht="13.5">
      <c r="A12" s="324">
        <f t="shared" si="0"/>
        <v>7</v>
      </c>
      <c r="B12" s="427"/>
      <c r="C12" s="535"/>
      <c r="D12" s="536"/>
      <c r="E12" s="536"/>
      <c r="F12" s="536"/>
      <c r="G12" s="536"/>
      <c r="H12" s="536"/>
      <c r="I12" s="536"/>
      <c r="J12" s="536"/>
      <c r="K12" s="536"/>
      <c r="L12" s="536"/>
      <c r="M12" s="536"/>
      <c r="N12" s="536"/>
      <c r="O12" s="536"/>
      <c r="P12" s="537"/>
      <c r="Q12" s="535"/>
      <c r="R12" s="536"/>
      <c r="S12" s="536"/>
      <c r="T12" s="536"/>
      <c r="U12" s="536"/>
      <c r="V12" s="536"/>
      <c r="W12" s="536"/>
      <c r="X12" s="536"/>
      <c r="Y12" s="536"/>
      <c r="Z12" s="536"/>
      <c r="AA12" s="536"/>
      <c r="AB12" s="536"/>
      <c r="AC12" s="536"/>
      <c r="AD12" s="536"/>
      <c r="AE12" s="537"/>
      <c r="AF12" s="531"/>
      <c r="AG12" s="418"/>
      <c r="AH12" s="418"/>
      <c r="AI12" s="418"/>
      <c r="AJ12" s="418"/>
      <c r="AK12" s="418"/>
      <c r="AL12" s="418"/>
      <c r="AM12" s="418"/>
      <c r="AN12" s="418"/>
      <c r="AO12" s="418"/>
      <c r="AP12" s="531"/>
      <c r="AQ12" s="418"/>
      <c r="AR12" s="418"/>
      <c r="AS12" s="418"/>
      <c r="AT12" s="418"/>
      <c r="AU12" s="418"/>
      <c r="AV12" s="418"/>
      <c r="AW12" s="418"/>
      <c r="AX12" s="418"/>
      <c r="AY12" s="418"/>
      <c r="AZ12" s="531"/>
      <c r="BA12" s="418"/>
      <c r="BB12" s="418"/>
      <c r="BC12" s="418"/>
      <c r="BD12" s="418"/>
      <c r="BE12" s="532"/>
      <c r="BF12" s="533"/>
      <c r="BG12" s="533"/>
      <c r="BH12" s="533"/>
      <c r="BI12" s="534"/>
    </row>
    <row r="13" spans="1:61" ht="13.5">
      <c r="A13" s="324">
        <f t="shared" si="0"/>
        <v>8</v>
      </c>
      <c r="B13" s="427"/>
      <c r="C13" s="535"/>
      <c r="D13" s="536"/>
      <c r="E13" s="536"/>
      <c r="F13" s="536"/>
      <c r="G13" s="536"/>
      <c r="H13" s="536"/>
      <c r="I13" s="536"/>
      <c r="J13" s="536"/>
      <c r="K13" s="536"/>
      <c r="L13" s="536"/>
      <c r="M13" s="536"/>
      <c r="N13" s="536"/>
      <c r="O13" s="536"/>
      <c r="P13" s="537"/>
      <c r="Q13" s="535"/>
      <c r="R13" s="536"/>
      <c r="S13" s="536"/>
      <c r="T13" s="536"/>
      <c r="U13" s="536"/>
      <c r="V13" s="536"/>
      <c r="W13" s="536"/>
      <c r="X13" s="536"/>
      <c r="Y13" s="536"/>
      <c r="Z13" s="536"/>
      <c r="AA13" s="536"/>
      <c r="AB13" s="536"/>
      <c r="AC13" s="536"/>
      <c r="AD13" s="536"/>
      <c r="AE13" s="537"/>
      <c r="AF13" s="531"/>
      <c r="AG13" s="418"/>
      <c r="AH13" s="418"/>
      <c r="AI13" s="418"/>
      <c r="AJ13" s="418"/>
      <c r="AK13" s="418"/>
      <c r="AL13" s="418"/>
      <c r="AM13" s="418"/>
      <c r="AN13" s="418"/>
      <c r="AO13" s="418"/>
      <c r="AP13" s="531"/>
      <c r="AQ13" s="418"/>
      <c r="AR13" s="418"/>
      <c r="AS13" s="418"/>
      <c r="AT13" s="418"/>
      <c r="AU13" s="418"/>
      <c r="AV13" s="418"/>
      <c r="AW13" s="418"/>
      <c r="AX13" s="418"/>
      <c r="AY13" s="418"/>
      <c r="AZ13" s="531"/>
      <c r="BA13" s="418"/>
      <c r="BB13" s="418"/>
      <c r="BC13" s="418"/>
      <c r="BD13" s="418"/>
      <c r="BE13" s="532"/>
      <c r="BF13" s="533"/>
      <c r="BG13" s="533"/>
      <c r="BH13" s="533"/>
      <c r="BI13" s="534"/>
    </row>
    <row r="14" spans="1:61" ht="13.5">
      <c r="A14" s="324">
        <f t="shared" si="0"/>
        <v>9</v>
      </c>
      <c r="B14" s="427"/>
      <c r="C14" s="535"/>
      <c r="D14" s="536"/>
      <c r="E14" s="536"/>
      <c r="F14" s="536"/>
      <c r="G14" s="536"/>
      <c r="H14" s="536"/>
      <c r="I14" s="536"/>
      <c r="J14" s="536"/>
      <c r="K14" s="536"/>
      <c r="L14" s="536"/>
      <c r="M14" s="536"/>
      <c r="N14" s="536"/>
      <c r="O14" s="536"/>
      <c r="P14" s="537"/>
      <c r="Q14" s="535"/>
      <c r="R14" s="536"/>
      <c r="S14" s="536"/>
      <c r="T14" s="536"/>
      <c r="U14" s="536"/>
      <c r="V14" s="536"/>
      <c r="W14" s="536"/>
      <c r="X14" s="536"/>
      <c r="Y14" s="536"/>
      <c r="Z14" s="536"/>
      <c r="AA14" s="536"/>
      <c r="AB14" s="536"/>
      <c r="AC14" s="536"/>
      <c r="AD14" s="536"/>
      <c r="AE14" s="537"/>
      <c r="AF14" s="531"/>
      <c r="AG14" s="418"/>
      <c r="AH14" s="418"/>
      <c r="AI14" s="418"/>
      <c r="AJ14" s="418"/>
      <c r="AK14" s="418"/>
      <c r="AL14" s="418"/>
      <c r="AM14" s="418"/>
      <c r="AN14" s="418"/>
      <c r="AO14" s="418"/>
      <c r="AP14" s="531"/>
      <c r="AQ14" s="418"/>
      <c r="AR14" s="418"/>
      <c r="AS14" s="418"/>
      <c r="AT14" s="418"/>
      <c r="AU14" s="418"/>
      <c r="AV14" s="418"/>
      <c r="AW14" s="418"/>
      <c r="AX14" s="418"/>
      <c r="AY14" s="418"/>
      <c r="AZ14" s="548"/>
      <c r="BA14" s="549"/>
      <c r="BB14" s="549"/>
      <c r="BC14" s="549"/>
      <c r="BD14" s="549"/>
      <c r="BE14" s="532"/>
      <c r="BF14" s="533"/>
      <c r="BG14" s="533"/>
      <c r="BH14" s="533"/>
      <c r="BI14" s="534"/>
    </row>
    <row r="15" spans="1:61" ht="13.5">
      <c r="A15" s="324">
        <f t="shared" si="0"/>
        <v>10</v>
      </c>
      <c r="B15" s="427"/>
      <c r="C15" s="535"/>
      <c r="D15" s="536"/>
      <c r="E15" s="536"/>
      <c r="F15" s="536"/>
      <c r="G15" s="536"/>
      <c r="H15" s="536"/>
      <c r="I15" s="536"/>
      <c r="J15" s="536"/>
      <c r="K15" s="536"/>
      <c r="L15" s="536"/>
      <c r="M15" s="536"/>
      <c r="N15" s="536"/>
      <c r="O15" s="536"/>
      <c r="P15" s="537"/>
      <c r="Q15" s="535"/>
      <c r="R15" s="536"/>
      <c r="S15" s="536"/>
      <c r="T15" s="536"/>
      <c r="U15" s="536"/>
      <c r="V15" s="536"/>
      <c r="W15" s="536"/>
      <c r="X15" s="536"/>
      <c r="Y15" s="536"/>
      <c r="Z15" s="536"/>
      <c r="AA15" s="536"/>
      <c r="AB15" s="536"/>
      <c r="AC15" s="536"/>
      <c r="AD15" s="536"/>
      <c r="AE15" s="537"/>
      <c r="AF15" s="531"/>
      <c r="AG15" s="418"/>
      <c r="AH15" s="418"/>
      <c r="AI15" s="418"/>
      <c r="AJ15" s="418"/>
      <c r="AK15" s="418"/>
      <c r="AL15" s="418"/>
      <c r="AM15" s="418"/>
      <c r="AN15" s="418"/>
      <c r="AO15" s="418"/>
      <c r="AP15" s="531"/>
      <c r="AQ15" s="418"/>
      <c r="AR15" s="418"/>
      <c r="AS15" s="418"/>
      <c r="AT15" s="418"/>
      <c r="AU15" s="418"/>
      <c r="AV15" s="418"/>
      <c r="AW15" s="418"/>
      <c r="AX15" s="418"/>
      <c r="AY15" s="418"/>
      <c r="AZ15" s="531"/>
      <c r="BA15" s="418"/>
      <c r="BB15" s="418"/>
      <c r="BC15" s="418"/>
      <c r="BD15" s="418"/>
      <c r="BE15" s="532"/>
      <c r="BF15" s="533"/>
      <c r="BG15" s="533"/>
      <c r="BH15" s="533"/>
      <c r="BI15" s="534"/>
    </row>
    <row r="16" spans="1:61" ht="13.5">
      <c r="A16" s="324">
        <f t="shared" si="0"/>
        <v>11</v>
      </c>
      <c r="B16" s="427"/>
      <c r="C16" s="535"/>
      <c r="D16" s="536"/>
      <c r="E16" s="536"/>
      <c r="F16" s="536"/>
      <c r="G16" s="536"/>
      <c r="H16" s="536"/>
      <c r="I16" s="536"/>
      <c r="J16" s="536"/>
      <c r="K16" s="536"/>
      <c r="L16" s="536"/>
      <c r="M16" s="536"/>
      <c r="N16" s="536"/>
      <c r="O16" s="536"/>
      <c r="P16" s="537"/>
      <c r="Q16" s="535"/>
      <c r="R16" s="536"/>
      <c r="S16" s="536"/>
      <c r="T16" s="536"/>
      <c r="U16" s="536"/>
      <c r="V16" s="536"/>
      <c r="W16" s="536"/>
      <c r="X16" s="536"/>
      <c r="Y16" s="536"/>
      <c r="Z16" s="536"/>
      <c r="AA16" s="536"/>
      <c r="AB16" s="536"/>
      <c r="AC16" s="536"/>
      <c r="AD16" s="536"/>
      <c r="AE16" s="537"/>
      <c r="AF16" s="531"/>
      <c r="AG16" s="418"/>
      <c r="AH16" s="418"/>
      <c r="AI16" s="418"/>
      <c r="AJ16" s="418"/>
      <c r="AK16" s="418"/>
      <c r="AL16" s="418"/>
      <c r="AM16" s="418"/>
      <c r="AN16" s="418"/>
      <c r="AO16" s="418"/>
      <c r="AP16" s="531"/>
      <c r="AQ16" s="418"/>
      <c r="AR16" s="418"/>
      <c r="AS16" s="418"/>
      <c r="AT16" s="418"/>
      <c r="AU16" s="418"/>
      <c r="AV16" s="418"/>
      <c r="AW16" s="418"/>
      <c r="AX16" s="418"/>
      <c r="AY16" s="418"/>
      <c r="AZ16" s="531"/>
      <c r="BA16" s="418"/>
      <c r="BB16" s="418"/>
      <c r="BC16" s="418"/>
      <c r="BD16" s="418"/>
      <c r="BE16" s="532"/>
      <c r="BF16" s="533"/>
      <c r="BG16" s="533"/>
      <c r="BH16" s="533"/>
      <c r="BI16" s="534"/>
    </row>
    <row r="17" spans="1:61" ht="13.5">
      <c r="A17" s="324">
        <f t="shared" si="0"/>
        <v>12</v>
      </c>
      <c r="B17" s="427"/>
      <c r="C17" s="535"/>
      <c r="D17" s="536"/>
      <c r="E17" s="536"/>
      <c r="F17" s="536"/>
      <c r="G17" s="536"/>
      <c r="H17" s="536"/>
      <c r="I17" s="536"/>
      <c r="J17" s="536"/>
      <c r="K17" s="536"/>
      <c r="L17" s="536"/>
      <c r="M17" s="536"/>
      <c r="N17" s="536"/>
      <c r="O17" s="536"/>
      <c r="P17" s="537"/>
      <c r="Q17" s="535"/>
      <c r="R17" s="536"/>
      <c r="S17" s="536"/>
      <c r="T17" s="536"/>
      <c r="U17" s="536"/>
      <c r="V17" s="536"/>
      <c r="W17" s="536"/>
      <c r="X17" s="536"/>
      <c r="Y17" s="536"/>
      <c r="Z17" s="536"/>
      <c r="AA17" s="536"/>
      <c r="AB17" s="536"/>
      <c r="AC17" s="536"/>
      <c r="AD17" s="536"/>
      <c r="AE17" s="537"/>
      <c r="AF17" s="531"/>
      <c r="AG17" s="418"/>
      <c r="AH17" s="418"/>
      <c r="AI17" s="418"/>
      <c r="AJ17" s="418"/>
      <c r="AK17" s="418"/>
      <c r="AL17" s="418"/>
      <c r="AM17" s="418"/>
      <c r="AN17" s="418"/>
      <c r="AO17" s="418"/>
      <c r="AP17" s="531"/>
      <c r="AQ17" s="418"/>
      <c r="AR17" s="418"/>
      <c r="AS17" s="418"/>
      <c r="AT17" s="418"/>
      <c r="AU17" s="418"/>
      <c r="AV17" s="418"/>
      <c r="AW17" s="418"/>
      <c r="AX17" s="418"/>
      <c r="AY17" s="418"/>
      <c r="AZ17" s="548"/>
      <c r="BA17" s="549"/>
      <c r="BB17" s="549"/>
      <c r="BC17" s="549"/>
      <c r="BD17" s="549"/>
      <c r="BE17" s="532"/>
      <c r="BF17" s="533"/>
      <c r="BG17" s="533"/>
      <c r="BH17" s="533"/>
      <c r="BI17" s="534"/>
    </row>
    <row r="18" spans="1:61" ht="13.5">
      <c r="A18" s="324">
        <f t="shared" si="0"/>
        <v>13</v>
      </c>
      <c r="B18" s="427"/>
      <c r="C18" s="535"/>
      <c r="D18" s="536"/>
      <c r="E18" s="536"/>
      <c r="F18" s="536"/>
      <c r="G18" s="536"/>
      <c r="H18" s="536"/>
      <c r="I18" s="536"/>
      <c r="J18" s="536"/>
      <c r="K18" s="536"/>
      <c r="L18" s="536"/>
      <c r="M18" s="536"/>
      <c r="N18" s="536"/>
      <c r="O18" s="536"/>
      <c r="P18" s="537"/>
      <c r="Q18" s="535"/>
      <c r="R18" s="536"/>
      <c r="S18" s="536"/>
      <c r="T18" s="536"/>
      <c r="U18" s="536"/>
      <c r="V18" s="536"/>
      <c r="W18" s="536"/>
      <c r="X18" s="536"/>
      <c r="Y18" s="536"/>
      <c r="Z18" s="536"/>
      <c r="AA18" s="536"/>
      <c r="AB18" s="536"/>
      <c r="AC18" s="536"/>
      <c r="AD18" s="536"/>
      <c r="AE18" s="537"/>
      <c r="AF18" s="548"/>
      <c r="AG18" s="549"/>
      <c r="AH18" s="549"/>
      <c r="AI18" s="549"/>
      <c r="AJ18" s="549"/>
      <c r="AK18" s="549"/>
      <c r="AL18" s="549"/>
      <c r="AM18" s="549"/>
      <c r="AN18" s="549"/>
      <c r="AO18" s="549"/>
      <c r="AP18" s="531"/>
      <c r="AQ18" s="418"/>
      <c r="AR18" s="418"/>
      <c r="AS18" s="418"/>
      <c r="AT18" s="418"/>
      <c r="AU18" s="418"/>
      <c r="AV18" s="418"/>
      <c r="AW18" s="418"/>
      <c r="AX18" s="418"/>
      <c r="AY18" s="418"/>
      <c r="AZ18" s="548"/>
      <c r="BA18" s="549"/>
      <c r="BB18" s="549"/>
      <c r="BC18" s="549"/>
      <c r="BD18" s="549"/>
      <c r="BE18" s="532"/>
      <c r="BF18" s="533"/>
      <c r="BG18" s="533"/>
      <c r="BH18" s="533"/>
      <c r="BI18" s="534"/>
    </row>
    <row r="19" spans="1:61" ht="13.5">
      <c r="A19" s="324">
        <f t="shared" si="0"/>
        <v>14</v>
      </c>
      <c r="B19" s="427"/>
      <c r="C19" s="535"/>
      <c r="D19" s="536"/>
      <c r="E19" s="536"/>
      <c r="F19" s="536"/>
      <c r="G19" s="536"/>
      <c r="H19" s="536"/>
      <c r="I19" s="536"/>
      <c r="J19" s="536"/>
      <c r="K19" s="536"/>
      <c r="L19" s="536"/>
      <c r="M19" s="536"/>
      <c r="N19" s="536"/>
      <c r="O19" s="536"/>
      <c r="P19" s="537"/>
      <c r="Q19" s="535"/>
      <c r="R19" s="536"/>
      <c r="S19" s="536"/>
      <c r="T19" s="536"/>
      <c r="U19" s="536"/>
      <c r="V19" s="536"/>
      <c r="W19" s="536"/>
      <c r="X19" s="536"/>
      <c r="Y19" s="536"/>
      <c r="Z19" s="536"/>
      <c r="AA19" s="536"/>
      <c r="AB19" s="536"/>
      <c r="AC19" s="536"/>
      <c r="AD19" s="536"/>
      <c r="AE19" s="537"/>
      <c r="AF19" s="548"/>
      <c r="AG19" s="549"/>
      <c r="AH19" s="549"/>
      <c r="AI19" s="549"/>
      <c r="AJ19" s="549"/>
      <c r="AK19" s="549"/>
      <c r="AL19" s="549"/>
      <c r="AM19" s="549"/>
      <c r="AN19" s="549"/>
      <c r="AO19" s="549"/>
      <c r="AP19" s="531"/>
      <c r="AQ19" s="418"/>
      <c r="AR19" s="418"/>
      <c r="AS19" s="418"/>
      <c r="AT19" s="418"/>
      <c r="AU19" s="418"/>
      <c r="AV19" s="418"/>
      <c r="AW19" s="418"/>
      <c r="AX19" s="418"/>
      <c r="AY19" s="418"/>
      <c r="AZ19" s="548"/>
      <c r="BA19" s="549"/>
      <c r="BB19" s="549"/>
      <c r="BC19" s="549"/>
      <c r="BD19" s="549"/>
      <c r="BE19" s="532"/>
      <c r="BF19" s="533"/>
      <c r="BG19" s="533"/>
      <c r="BH19" s="533"/>
      <c r="BI19" s="534"/>
    </row>
    <row r="20" spans="1:61" ht="13.5">
      <c r="A20" s="324">
        <f t="shared" si="0"/>
        <v>15</v>
      </c>
      <c r="B20" s="427"/>
      <c r="C20" s="535"/>
      <c r="D20" s="536"/>
      <c r="E20" s="536"/>
      <c r="F20" s="536"/>
      <c r="G20" s="536"/>
      <c r="H20" s="536"/>
      <c r="I20" s="536"/>
      <c r="J20" s="536"/>
      <c r="K20" s="536"/>
      <c r="L20" s="536"/>
      <c r="M20" s="536"/>
      <c r="N20" s="536"/>
      <c r="O20" s="536"/>
      <c r="P20" s="537"/>
      <c r="Q20" s="535"/>
      <c r="R20" s="536"/>
      <c r="S20" s="536"/>
      <c r="T20" s="536"/>
      <c r="U20" s="536"/>
      <c r="V20" s="536"/>
      <c r="W20" s="536"/>
      <c r="X20" s="536"/>
      <c r="Y20" s="536"/>
      <c r="Z20" s="536"/>
      <c r="AA20" s="536"/>
      <c r="AB20" s="536"/>
      <c r="AC20" s="536"/>
      <c r="AD20" s="536"/>
      <c r="AE20" s="537"/>
      <c r="AF20" s="548"/>
      <c r="AG20" s="549"/>
      <c r="AH20" s="549"/>
      <c r="AI20" s="549"/>
      <c r="AJ20" s="549"/>
      <c r="AK20" s="549"/>
      <c r="AL20" s="549"/>
      <c r="AM20" s="549"/>
      <c r="AN20" s="549"/>
      <c r="AO20" s="549"/>
      <c r="AP20" s="531"/>
      <c r="AQ20" s="418"/>
      <c r="AR20" s="418"/>
      <c r="AS20" s="418"/>
      <c r="AT20" s="418"/>
      <c r="AU20" s="418"/>
      <c r="AV20" s="418"/>
      <c r="AW20" s="418"/>
      <c r="AX20" s="418"/>
      <c r="AY20" s="418"/>
      <c r="AZ20" s="548"/>
      <c r="BA20" s="549"/>
      <c r="BB20" s="549"/>
      <c r="BC20" s="549"/>
      <c r="BD20" s="549"/>
      <c r="BE20" s="532"/>
      <c r="BF20" s="533"/>
      <c r="BG20" s="533"/>
      <c r="BH20" s="533"/>
      <c r="BI20" s="534"/>
    </row>
    <row r="21" spans="1:61" ht="13.5">
      <c r="A21" s="324">
        <f t="shared" si="0"/>
        <v>16</v>
      </c>
      <c r="B21" s="427"/>
      <c r="C21" s="535"/>
      <c r="D21" s="536"/>
      <c r="E21" s="536"/>
      <c r="F21" s="536"/>
      <c r="G21" s="536"/>
      <c r="H21" s="536"/>
      <c r="I21" s="536"/>
      <c r="J21" s="536"/>
      <c r="K21" s="536"/>
      <c r="L21" s="536"/>
      <c r="M21" s="536"/>
      <c r="N21" s="536"/>
      <c r="O21" s="536"/>
      <c r="P21" s="537"/>
      <c r="Q21" s="535"/>
      <c r="R21" s="536"/>
      <c r="S21" s="536"/>
      <c r="T21" s="536"/>
      <c r="U21" s="536"/>
      <c r="V21" s="536"/>
      <c r="W21" s="536"/>
      <c r="X21" s="536"/>
      <c r="Y21" s="536"/>
      <c r="Z21" s="536"/>
      <c r="AA21" s="536"/>
      <c r="AB21" s="536"/>
      <c r="AC21" s="536"/>
      <c r="AD21" s="536"/>
      <c r="AE21" s="537"/>
      <c r="AF21" s="531"/>
      <c r="AG21" s="418"/>
      <c r="AH21" s="418"/>
      <c r="AI21" s="418"/>
      <c r="AJ21" s="418"/>
      <c r="AK21" s="549"/>
      <c r="AL21" s="549"/>
      <c r="AM21" s="549"/>
      <c r="AN21" s="549"/>
      <c r="AO21" s="549"/>
      <c r="AP21" s="531"/>
      <c r="AQ21" s="418"/>
      <c r="AR21" s="418"/>
      <c r="AS21" s="418"/>
      <c r="AT21" s="418"/>
      <c r="AU21" s="418"/>
      <c r="AV21" s="418"/>
      <c r="AW21" s="418"/>
      <c r="AX21" s="418"/>
      <c r="AY21" s="418"/>
      <c r="AZ21" s="531"/>
      <c r="BA21" s="418"/>
      <c r="BB21" s="418"/>
      <c r="BC21" s="418"/>
      <c r="BD21" s="418"/>
      <c r="BE21" s="532"/>
      <c r="BF21" s="533"/>
      <c r="BG21" s="533"/>
      <c r="BH21" s="533"/>
      <c r="BI21" s="534"/>
    </row>
    <row r="22" spans="1:61" ht="13.5">
      <c r="A22" s="324">
        <f t="shared" si="0"/>
        <v>17</v>
      </c>
      <c r="B22" s="427"/>
      <c r="C22" s="535"/>
      <c r="D22" s="536"/>
      <c r="E22" s="536"/>
      <c r="F22" s="536"/>
      <c r="G22" s="536"/>
      <c r="H22" s="536"/>
      <c r="I22" s="536"/>
      <c r="J22" s="536"/>
      <c r="K22" s="536"/>
      <c r="L22" s="536"/>
      <c r="M22" s="536"/>
      <c r="N22" s="536"/>
      <c r="O22" s="536"/>
      <c r="P22" s="537"/>
      <c r="Q22" s="535"/>
      <c r="R22" s="536"/>
      <c r="S22" s="536"/>
      <c r="T22" s="536"/>
      <c r="U22" s="536"/>
      <c r="V22" s="536"/>
      <c r="W22" s="536"/>
      <c r="X22" s="536"/>
      <c r="Y22" s="536"/>
      <c r="Z22" s="536"/>
      <c r="AA22" s="536"/>
      <c r="AB22" s="536"/>
      <c r="AC22" s="536"/>
      <c r="AD22" s="536"/>
      <c r="AE22" s="537"/>
      <c r="AF22" s="531"/>
      <c r="AG22" s="418"/>
      <c r="AH22" s="418"/>
      <c r="AI22" s="418"/>
      <c r="AJ22" s="418"/>
      <c r="AK22" s="549"/>
      <c r="AL22" s="549"/>
      <c r="AM22" s="549"/>
      <c r="AN22" s="549"/>
      <c r="AO22" s="549"/>
      <c r="AP22" s="531"/>
      <c r="AQ22" s="418"/>
      <c r="AR22" s="418"/>
      <c r="AS22" s="418"/>
      <c r="AT22" s="418"/>
      <c r="AU22" s="418"/>
      <c r="AV22" s="418"/>
      <c r="AW22" s="418"/>
      <c r="AX22" s="418"/>
      <c r="AY22" s="418"/>
      <c r="AZ22" s="531"/>
      <c r="BA22" s="418"/>
      <c r="BB22" s="418"/>
      <c r="BC22" s="418"/>
      <c r="BD22" s="418"/>
      <c r="BE22" s="532"/>
      <c r="BF22" s="533"/>
      <c r="BG22" s="533"/>
      <c r="BH22" s="533"/>
      <c r="BI22" s="534"/>
    </row>
    <row r="23" spans="1:61" ht="13.5">
      <c r="A23" s="324">
        <f t="shared" si="0"/>
        <v>18</v>
      </c>
      <c r="B23" s="427"/>
      <c r="C23" s="535"/>
      <c r="D23" s="536"/>
      <c r="E23" s="536"/>
      <c r="F23" s="536"/>
      <c r="G23" s="536"/>
      <c r="H23" s="536"/>
      <c r="I23" s="536"/>
      <c r="J23" s="536"/>
      <c r="K23" s="536"/>
      <c r="L23" s="536"/>
      <c r="M23" s="536"/>
      <c r="N23" s="536"/>
      <c r="O23" s="536"/>
      <c r="P23" s="537"/>
      <c r="Q23" s="535"/>
      <c r="R23" s="536"/>
      <c r="S23" s="536"/>
      <c r="T23" s="536"/>
      <c r="U23" s="536"/>
      <c r="V23" s="536"/>
      <c r="W23" s="536"/>
      <c r="X23" s="536"/>
      <c r="Y23" s="536"/>
      <c r="Z23" s="536"/>
      <c r="AA23" s="536"/>
      <c r="AB23" s="536"/>
      <c r="AC23" s="536"/>
      <c r="AD23" s="536"/>
      <c r="AE23" s="537"/>
      <c r="AF23" s="531"/>
      <c r="AG23" s="418"/>
      <c r="AH23" s="418"/>
      <c r="AI23" s="418"/>
      <c r="AJ23" s="418"/>
      <c r="AK23" s="549"/>
      <c r="AL23" s="549"/>
      <c r="AM23" s="549"/>
      <c r="AN23" s="549"/>
      <c r="AO23" s="549"/>
      <c r="AP23" s="531"/>
      <c r="AQ23" s="418"/>
      <c r="AR23" s="418"/>
      <c r="AS23" s="418"/>
      <c r="AT23" s="418"/>
      <c r="AU23" s="418"/>
      <c r="AV23" s="418"/>
      <c r="AW23" s="418"/>
      <c r="AX23" s="418"/>
      <c r="AY23" s="418"/>
      <c r="AZ23" s="531"/>
      <c r="BA23" s="418"/>
      <c r="BB23" s="418"/>
      <c r="BC23" s="418"/>
      <c r="BD23" s="418"/>
      <c r="BE23" s="532"/>
      <c r="BF23" s="533"/>
      <c r="BG23" s="533"/>
      <c r="BH23" s="533"/>
      <c r="BI23" s="534"/>
    </row>
    <row r="24" spans="1:61" ht="13.5">
      <c r="A24" s="324">
        <f t="shared" si="0"/>
        <v>19</v>
      </c>
      <c r="B24" s="427"/>
      <c r="C24" s="535"/>
      <c r="D24" s="536"/>
      <c r="E24" s="536"/>
      <c r="F24" s="536"/>
      <c r="G24" s="536"/>
      <c r="H24" s="536"/>
      <c r="I24" s="536"/>
      <c r="J24" s="536"/>
      <c r="K24" s="536"/>
      <c r="L24" s="536"/>
      <c r="M24" s="536"/>
      <c r="N24" s="536"/>
      <c r="O24" s="536"/>
      <c r="P24" s="537"/>
      <c r="Q24" s="535"/>
      <c r="R24" s="536"/>
      <c r="S24" s="536"/>
      <c r="T24" s="536"/>
      <c r="U24" s="536"/>
      <c r="V24" s="536"/>
      <c r="W24" s="536"/>
      <c r="X24" s="536"/>
      <c r="Y24" s="536"/>
      <c r="Z24" s="536"/>
      <c r="AA24" s="536"/>
      <c r="AB24" s="536"/>
      <c r="AC24" s="536"/>
      <c r="AD24" s="536"/>
      <c r="AE24" s="537"/>
      <c r="AF24" s="531"/>
      <c r="AG24" s="418"/>
      <c r="AH24" s="418"/>
      <c r="AI24" s="418"/>
      <c r="AJ24" s="418"/>
      <c r="AK24" s="549"/>
      <c r="AL24" s="549"/>
      <c r="AM24" s="549"/>
      <c r="AN24" s="549"/>
      <c r="AO24" s="549"/>
      <c r="AP24" s="531"/>
      <c r="AQ24" s="418"/>
      <c r="AR24" s="418"/>
      <c r="AS24" s="418"/>
      <c r="AT24" s="418"/>
      <c r="AU24" s="418"/>
      <c r="AV24" s="418"/>
      <c r="AW24" s="418"/>
      <c r="AX24" s="418"/>
      <c r="AY24" s="418"/>
      <c r="AZ24" s="531"/>
      <c r="BA24" s="418"/>
      <c r="BB24" s="418"/>
      <c r="BC24" s="418"/>
      <c r="BD24" s="418"/>
      <c r="BE24" s="532"/>
      <c r="BF24" s="533"/>
      <c r="BG24" s="533"/>
      <c r="BH24" s="533"/>
      <c r="BI24" s="534"/>
    </row>
    <row r="25" spans="1:61" ht="13.5">
      <c r="A25" s="324">
        <f t="shared" si="0"/>
        <v>20</v>
      </c>
      <c r="B25" s="427"/>
      <c r="C25" s="535"/>
      <c r="D25" s="536"/>
      <c r="E25" s="536"/>
      <c r="F25" s="536"/>
      <c r="G25" s="536"/>
      <c r="H25" s="536"/>
      <c r="I25" s="536"/>
      <c r="J25" s="536"/>
      <c r="K25" s="536"/>
      <c r="L25" s="536"/>
      <c r="M25" s="536"/>
      <c r="N25" s="536"/>
      <c r="O25" s="536"/>
      <c r="P25" s="537"/>
      <c r="Q25" s="535"/>
      <c r="R25" s="536"/>
      <c r="S25" s="536"/>
      <c r="T25" s="536"/>
      <c r="U25" s="536"/>
      <c r="V25" s="536"/>
      <c r="W25" s="536"/>
      <c r="X25" s="536"/>
      <c r="Y25" s="536"/>
      <c r="Z25" s="536"/>
      <c r="AA25" s="536"/>
      <c r="AB25" s="536"/>
      <c r="AC25" s="536"/>
      <c r="AD25" s="536"/>
      <c r="AE25" s="537"/>
      <c r="AF25" s="531"/>
      <c r="AG25" s="418"/>
      <c r="AH25" s="418"/>
      <c r="AI25" s="418"/>
      <c r="AJ25" s="418"/>
      <c r="AK25" s="549"/>
      <c r="AL25" s="549"/>
      <c r="AM25" s="549"/>
      <c r="AN25" s="549"/>
      <c r="AO25" s="549"/>
      <c r="AP25" s="531"/>
      <c r="AQ25" s="418"/>
      <c r="AR25" s="418"/>
      <c r="AS25" s="418"/>
      <c r="AT25" s="418"/>
      <c r="AU25" s="418"/>
      <c r="AV25" s="418"/>
      <c r="AW25" s="418"/>
      <c r="AX25" s="418"/>
      <c r="AY25" s="418"/>
      <c r="AZ25" s="531"/>
      <c r="BA25" s="418"/>
      <c r="BB25" s="418"/>
      <c r="BC25" s="418"/>
      <c r="BD25" s="418"/>
      <c r="BE25" s="532"/>
      <c r="BF25" s="533"/>
      <c r="BG25" s="533"/>
      <c r="BH25" s="533"/>
      <c r="BI25" s="534"/>
    </row>
    <row r="26" spans="1:61" ht="13.5">
      <c r="A26" s="324">
        <f t="shared" si="0"/>
        <v>21</v>
      </c>
      <c r="B26" s="427"/>
      <c r="C26" s="535"/>
      <c r="D26" s="536"/>
      <c r="E26" s="536"/>
      <c r="F26" s="536"/>
      <c r="G26" s="536"/>
      <c r="H26" s="536"/>
      <c r="I26" s="536"/>
      <c r="J26" s="536"/>
      <c r="K26" s="536"/>
      <c r="L26" s="536"/>
      <c r="M26" s="536"/>
      <c r="N26" s="536"/>
      <c r="O26" s="536"/>
      <c r="P26" s="537"/>
      <c r="Q26" s="535"/>
      <c r="R26" s="536"/>
      <c r="S26" s="536"/>
      <c r="T26" s="536"/>
      <c r="U26" s="536"/>
      <c r="V26" s="536"/>
      <c r="W26" s="536"/>
      <c r="X26" s="536"/>
      <c r="Y26" s="536"/>
      <c r="Z26" s="536"/>
      <c r="AA26" s="536"/>
      <c r="AB26" s="536"/>
      <c r="AC26" s="536"/>
      <c r="AD26" s="536"/>
      <c r="AE26" s="537"/>
      <c r="AF26" s="531"/>
      <c r="AG26" s="418"/>
      <c r="AH26" s="418"/>
      <c r="AI26" s="418"/>
      <c r="AJ26" s="418"/>
      <c r="AK26" s="416"/>
      <c r="AL26" s="298"/>
      <c r="AM26" s="298"/>
      <c r="AN26" s="298"/>
      <c r="AO26" s="417"/>
      <c r="AP26" s="531"/>
      <c r="AQ26" s="418"/>
      <c r="AR26" s="418"/>
      <c r="AS26" s="418"/>
      <c r="AT26" s="418"/>
      <c r="AU26" s="418"/>
      <c r="AV26" s="418"/>
      <c r="AW26" s="418"/>
      <c r="AX26" s="418"/>
      <c r="AY26" s="418"/>
      <c r="AZ26" s="531"/>
      <c r="BA26" s="418"/>
      <c r="BB26" s="418"/>
      <c r="BC26" s="418"/>
      <c r="BD26" s="418"/>
      <c r="BE26" s="532"/>
      <c r="BF26" s="533"/>
      <c r="BG26" s="533"/>
      <c r="BH26" s="533"/>
      <c r="BI26" s="534"/>
    </row>
    <row r="27" spans="1:61" ht="13.5">
      <c r="A27" s="324">
        <f t="shared" si="0"/>
        <v>22</v>
      </c>
      <c r="B27" s="427"/>
      <c r="C27" s="535"/>
      <c r="D27" s="536"/>
      <c r="E27" s="536"/>
      <c r="F27" s="536"/>
      <c r="G27" s="536"/>
      <c r="H27" s="536"/>
      <c r="I27" s="536"/>
      <c r="J27" s="536"/>
      <c r="K27" s="536"/>
      <c r="L27" s="536"/>
      <c r="M27" s="536"/>
      <c r="N27" s="536"/>
      <c r="O27" s="536"/>
      <c r="P27" s="537"/>
      <c r="Q27" s="535"/>
      <c r="R27" s="536"/>
      <c r="S27" s="536"/>
      <c r="T27" s="536"/>
      <c r="U27" s="536"/>
      <c r="V27" s="536"/>
      <c r="W27" s="536"/>
      <c r="X27" s="536"/>
      <c r="Y27" s="536"/>
      <c r="Z27" s="536"/>
      <c r="AA27" s="536"/>
      <c r="AB27" s="536"/>
      <c r="AC27" s="536"/>
      <c r="AD27" s="536"/>
      <c r="AE27" s="537"/>
      <c r="AF27" s="531"/>
      <c r="AG27" s="418"/>
      <c r="AH27" s="418"/>
      <c r="AI27" s="418"/>
      <c r="AJ27" s="418"/>
      <c r="AK27" s="416"/>
      <c r="AL27" s="298"/>
      <c r="AM27" s="298"/>
      <c r="AN27" s="298"/>
      <c r="AO27" s="417"/>
      <c r="AP27" s="531"/>
      <c r="AQ27" s="418"/>
      <c r="AR27" s="418"/>
      <c r="AS27" s="418"/>
      <c r="AT27" s="418"/>
      <c r="AU27" s="418"/>
      <c r="AV27" s="418"/>
      <c r="AW27" s="418"/>
      <c r="AX27" s="418"/>
      <c r="AY27" s="418"/>
      <c r="AZ27" s="531"/>
      <c r="BA27" s="418"/>
      <c r="BB27" s="418"/>
      <c r="BC27" s="418"/>
      <c r="BD27" s="418"/>
      <c r="BE27" s="532"/>
      <c r="BF27" s="533"/>
      <c r="BG27" s="533"/>
      <c r="BH27" s="533"/>
      <c r="BI27" s="534"/>
    </row>
    <row r="28" spans="1:61" ht="13.5">
      <c r="A28" s="324">
        <f t="shared" si="0"/>
        <v>23</v>
      </c>
      <c r="B28" s="427"/>
      <c r="C28" s="535"/>
      <c r="D28" s="536"/>
      <c r="E28" s="536"/>
      <c r="F28" s="536"/>
      <c r="G28" s="536"/>
      <c r="H28" s="536"/>
      <c r="I28" s="536"/>
      <c r="J28" s="536"/>
      <c r="K28" s="536"/>
      <c r="L28" s="536"/>
      <c r="M28" s="536"/>
      <c r="N28" s="536"/>
      <c r="O28" s="536"/>
      <c r="P28" s="537"/>
      <c r="Q28" s="535"/>
      <c r="R28" s="536"/>
      <c r="S28" s="536"/>
      <c r="T28" s="536"/>
      <c r="U28" s="536"/>
      <c r="V28" s="536"/>
      <c r="W28" s="536"/>
      <c r="X28" s="536"/>
      <c r="Y28" s="536"/>
      <c r="Z28" s="536"/>
      <c r="AA28" s="536"/>
      <c r="AB28" s="536"/>
      <c r="AC28" s="536"/>
      <c r="AD28" s="536"/>
      <c r="AE28" s="537"/>
      <c r="AF28" s="531"/>
      <c r="AG28" s="418"/>
      <c r="AH28" s="418"/>
      <c r="AI28" s="418"/>
      <c r="AJ28" s="418"/>
      <c r="AK28" s="416"/>
      <c r="AL28" s="298"/>
      <c r="AM28" s="298"/>
      <c r="AN28" s="298"/>
      <c r="AO28" s="417"/>
      <c r="AP28" s="531"/>
      <c r="AQ28" s="418"/>
      <c r="AR28" s="418"/>
      <c r="AS28" s="418"/>
      <c r="AT28" s="418"/>
      <c r="AU28" s="418"/>
      <c r="AV28" s="418"/>
      <c r="AW28" s="418"/>
      <c r="AX28" s="418"/>
      <c r="AY28" s="418"/>
      <c r="AZ28" s="531"/>
      <c r="BA28" s="418"/>
      <c r="BB28" s="418"/>
      <c r="BC28" s="418"/>
      <c r="BD28" s="418"/>
      <c r="BE28" s="532"/>
      <c r="BF28" s="533"/>
      <c r="BG28" s="533"/>
      <c r="BH28" s="533"/>
      <c r="BI28" s="534"/>
    </row>
    <row r="29" spans="1:61" ht="13.5">
      <c r="A29" s="324">
        <f t="shared" si="0"/>
        <v>24</v>
      </c>
      <c r="B29" s="427"/>
      <c r="C29" s="535"/>
      <c r="D29" s="536"/>
      <c r="E29" s="536"/>
      <c r="F29" s="536"/>
      <c r="G29" s="536"/>
      <c r="H29" s="536"/>
      <c r="I29" s="536"/>
      <c r="J29" s="536"/>
      <c r="K29" s="536"/>
      <c r="L29" s="536"/>
      <c r="M29" s="536"/>
      <c r="N29" s="536"/>
      <c r="O29" s="536"/>
      <c r="P29" s="537"/>
      <c r="Q29" s="535"/>
      <c r="R29" s="536"/>
      <c r="S29" s="536"/>
      <c r="T29" s="536"/>
      <c r="U29" s="536"/>
      <c r="V29" s="536"/>
      <c r="W29" s="536"/>
      <c r="X29" s="536"/>
      <c r="Y29" s="536"/>
      <c r="Z29" s="536"/>
      <c r="AA29" s="536"/>
      <c r="AB29" s="536"/>
      <c r="AC29" s="536"/>
      <c r="AD29" s="536"/>
      <c r="AE29" s="537"/>
      <c r="AF29" s="531"/>
      <c r="AG29" s="418"/>
      <c r="AH29" s="418"/>
      <c r="AI29" s="418"/>
      <c r="AJ29" s="418"/>
      <c r="AK29" s="416"/>
      <c r="AL29" s="298"/>
      <c r="AM29" s="298"/>
      <c r="AN29" s="298"/>
      <c r="AO29" s="417"/>
      <c r="AP29" s="531"/>
      <c r="AQ29" s="418"/>
      <c r="AR29" s="418"/>
      <c r="AS29" s="418"/>
      <c r="AT29" s="418"/>
      <c r="AU29" s="418"/>
      <c r="AV29" s="418"/>
      <c r="AW29" s="418"/>
      <c r="AX29" s="418"/>
      <c r="AY29" s="418"/>
      <c r="AZ29" s="531"/>
      <c r="BA29" s="418"/>
      <c r="BB29" s="418"/>
      <c r="BC29" s="418"/>
      <c r="BD29" s="418"/>
      <c r="BE29" s="532"/>
      <c r="BF29" s="533"/>
      <c r="BG29" s="533"/>
      <c r="BH29" s="533"/>
      <c r="BI29" s="534"/>
    </row>
    <row r="30" spans="1:61" ht="13.5">
      <c r="A30" s="324">
        <f t="shared" si="0"/>
        <v>25</v>
      </c>
      <c r="B30" s="427"/>
      <c r="C30" s="535"/>
      <c r="D30" s="536"/>
      <c r="E30" s="536"/>
      <c r="F30" s="536"/>
      <c r="G30" s="536"/>
      <c r="H30" s="536"/>
      <c r="I30" s="536"/>
      <c r="J30" s="536"/>
      <c r="K30" s="536"/>
      <c r="L30" s="536"/>
      <c r="M30" s="536"/>
      <c r="N30" s="536"/>
      <c r="O30" s="536"/>
      <c r="P30" s="537"/>
      <c r="Q30" s="535"/>
      <c r="R30" s="536"/>
      <c r="S30" s="536"/>
      <c r="T30" s="536"/>
      <c r="U30" s="536"/>
      <c r="V30" s="536"/>
      <c r="W30" s="536"/>
      <c r="X30" s="536"/>
      <c r="Y30" s="536"/>
      <c r="Z30" s="536"/>
      <c r="AA30" s="536"/>
      <c r="AB30" s="536"/>
      <c r="AC30" s="536"/>
      <c r="AD30" s="536"/>
      <c r="AE30" s="537"/>
      <c r="AF30" s="531"/>
      <c r="AG30" s="418"/>
      <c r="AH30" s="418"/>
      <c r="AI30" s="418"/>
      <c r="AJ30" s="418"/>
      <c r="AK30" s="416"/>
      <c r="AL30" s="298"/>
      <c r="AM30" s="298"/>
      <c r="AN30" s="298"/>
      <c r="AO30" s="417"/>
      <c r="AP30" s="531"/>
      <c r="AQ30" s="418"/>
      <c r="AR30" s="418"/>
      <c r="AS30" s="418"/>
      <c r="AT30" s="418"/>
      <c r="AU30" s="418"/>
      <c r="AV30" s="418"/>
      <c r="AW30" s="418"/>
      <c r="AX30" s="418"/>
      <c r="AY30" s="418"/>
      <c r="AZ30" s="531"/>
      <c r="BA30" s="418"/>
      <c r="BB30" s="418"/>
      <c r="BC30" s="418"/>
      <c r="BD30" s="418"/>
      <c r="BE30" s="532"/>
      <c r="BF30" s="533"/>
      <c r="BG30" s="533"/>
      <c r="BH30" s="533"/>
      <c r="BI30" s="534"/>
    </row>
    <row r="31" spans="1:61" ht="13.5">
      <c r="A31" s="324">
        <f t="shared" si="0"/>
        <v>26</v>
      </c>
      <c r="B31" s="427"/>
      <c r="C31" s="535"/>
      <c r="D31" s="536"/>
      <c r="E31" s="536"/>
      <c r="F31" s="536"/>
      <c r="G31" s="536"/>
      <c r="H31" s="536"/>
      <c r="I31" s="536"/>
      <c r="J31" s="536"/>
      <c r="K31" s="536"/>
      <c r="L31" s="536"/>
      <c r="M31" s="536"/>
      <c r="N31" s="536"/>
      <c r="O31" s="536"/>
      <c r="P31" s="537"/>
      <c r="Q31" s="535"/>
      <c r="R31" s="536"/>
      <c r="S31" s="536"/>
      <c r="T31" s="536"/>
      <c r="U31" s="536"/>
      <c r="V31" s="536"/>
      <c r="W31" s="536"/>
      <c r="X31" s="536"/>
      <c r="Y31" s="536"/>
      <c r="Z31" s="536"/>
      <c r="AA31" s="536"/>
      <c r="AB31" s="536"/>
      <c r="AC31" s="536"/>
      <c r="AD31" s="536"/>
      <c r="AE31" s="537"/>
      <c r="AF31" s="531"/>
      <c r="AG31" s="418"/>
      <c r="AH31" s="418"/>
      <c r="AI31" s="418"/>
      <c r="AJ31" s="418"/>
      <c r="AK31" s="416"/>
      <c r="AL31" s="298"/>
      <c r="AM31" s="298"/>
      <c r="AN31" s="298"/>
      <c r="AO31" s="417"/>
      <c r="AP31" s="531"/>
      <c r="AQ31" s="418"/>
      <c r="AR31" s="418"/>
      <c r="AS31" s="418"/>
      <c r="AT31" s="418"/>
      <c r="AU31" s="418"/>
      <c r="AV31" s="418"/>
      <c r="AW31" s="418"/>
      <c r="AX31" s="418"/>
      <c r="AY31" s="418"/>
      <c r="AZ31" s="531"/>
      <c r="BA31" s="418"/>
      <c r="BB31" s="418"/>
      <c r="BC31" s="418"/>
      <c r="BD31" s="418"/>
      <c r="BE31" s="532"/>
      <c r="BF31" s="533"/>
      <c r="BG31" s="533"/>
      <c r="BH31" s="533"/>
      <c r="BI31" s="534"/>
    </row>
    <row r="32" spans="1:61" ht="13.5">
      <c r="A32" s="324">
        <f t="shared" si="0"/>
        <v>27</v>
      </c>
      <c r="B32" s="427"/>
      <c r="C32" s="535"/>
      <c r="D32" s="536"/>
      <c r="E32" s="536"/>
      <c r="F32" s="536"/>
      <c r="G32" s="536"/>
      <c r="H32" s="536"/>
      <c r="I32" s="536"/>
      <c r="J32" s="536"/>
      <c r="K32" s="536"/>
      <c r="L32" s="536"/>
      <c r="M32" s="536"/>
      <c r="N32" s="536"/>
      <c r="O32" s="536"/>
      <c r="P32" s="537"/>
      <c r="Q32" s="535"/>
      <c r="R32" s="536"/>
      <c r="S32" s="536"/>
      <c r="T32" s="536"/>
      <c r="U32" s="536"/>
      <c r="V32" s="536"/>
      <c r="W32" s="536"/>
      <c r="X32" s="536"/>
      <c r="Y32" s="536"/>
      <c r="Z32" s="536"/>
      <c r="AA32" s="536"/>
      <c r="AB32" s="536"/>
      <c r="AC32" s="536"/>
      <c r="AD32" s="536"/>
      <c r="AE32" s="537"/>
      <c r="AF32" s="531"/>
      <c r="AG32" s="418"/>
      <c r="AH32" s="418"/>
      <c r="AI32" s="418"/>
      <c r="AJ32" s="418"/>
      <c r="AK32" s="416"/>
      <c r="AL32" s="298"/>
      <c r="AM32" s="298"/>
      <c r="AN32" s="298"/>
      <c r="AO32" s="417"/>
      <c r="AP32" s="531"/>
      <c r="AQ32" s="418"/>
      <c r="AR32" s="418"/>
      <c r="AS32" s="418"/>
      <c r="AT32" s="418"/>
      <c r="AU32" s="418"/>
      <c r="AV32" s="418"/>
      <c r="AW32" s="418"/>
      <c r="AX32" s="418"/>
      <c r="AY32" s="418"/>
      <c r="AZ32" s="531"/>
      <c r="BA32" s="418"/>
      <c r="BB32" s="418"/>
      <c r="BC32" s="418"/>
      <c r="BD32" s="418"/>
      <c r="BE32" s="532"/>
      <c r="BF32" s="533"/>
      <c r="BG32" s="533"/>
      <c r="BH32" s="533"/>
      <c r="BI32" s="534"/>
    </row>
    <row r="33" spans="1:61" ht="13.5">
      <c r="A33" s="324">
        <f t="shared" si="0"/>
        <v>28</v>
      </c>
      <c r="B33" s="427"/>
      <c r="C33" s="535"/>
      <c r="D33" s="536"/>
      <c r="E33" s="536"/>
      <c r="F33" s="536"/>
      <c r="G33" s="536"/>
      <c r="H33" s="536"/>
      <c r="I33" s="536"/>
      <c r="J33" s="536"/>
      <c r="K33" s="536"/>
      <c r="L33" s="536"/>
      <c r="M33" s="536"/>
      <c r="N33" s="536"/>
      <c r="O33" s="536"/>
      <c r="P33" s="537"/>
      <c r="Q33" s="535"/>
      <c r="R33" s="536"/>
      <c r="S33" s="536"/>
      <c r="T33" s="536"/>
      <c r="U33" s="536"/>
      <c r="V33" s="536"/>
      <c r="W33" s="536"/>
      <c r="X33" s="536"/>
      <c r="Y33" s="536"/>
      <c r="Z33" s="536"/>
      <c r="AA33" s="536"/>
      <c r="AB33" s="536"/>
      <c r="AC33" s="536"/>
      <c r="AD33" s="536"/>
      <c r="AE33" s="537"/>
      <c r="AF33" s="531"/>
      <c r="AG33" s="418"/>
      <c r="AH33" s="418"/>
      <c r="AI33" s="418"/>
      <c r="AJ33" s="418"/>
      <c r="AK33" s="553"/>
      <c r="AL33" s="553"/>
      <c r="AM33" s="553"/>
      <c r="AN33" s="553"/>
      <c r="AO33" s="553"/>
      <c r="AP33" s="531"/>
      <c r="AQ33" s="418"/>
      <c r="AR33" s="418"/>
      <c r="AS33" s="418"/>
      <c r="AT33" s="418"/>
      <c r="AU33" s="418"/>
      <c r="AV33" s="418"/>
      <c r="AW33" s="418"/>
      <c r="AX33" s="418"/>
      <c r="AY33" s="418"/>
      <c r="AZ33" s="531"/>
      <c r="BA33" s="418"/>
      <c r="BB33" s="418"/>
      <c r="BC33" s="418"/>
      <c r="BD33" s="418"/>
      <c r="BE33" s="532"/>
      <c r="BF33" s="533"/>
      <c r="BG33" s="533"/>
      <c r="BH33" s="533"/>
      <c r="BI33" s="534"/>
    </row>
    <row r="34" spans="1:61" ht="13.5">
      <c r="A34" s="324">
        <f t="shared" si="0"/>
        <v>29</v>
      </c>
      <c r="B34" s="427"/>
      <c r="C34" s="535"/>
      <c r="D34" s="536"/>
      <c r="E34" s="536"/>
      <c r="F34" s="536"/>
      <c r="G34" s="536"/>
      <c r="H34" s="536"/>
      <c r="I34" s="536"/>
      <c r="J34" s="536"/>
      <c r="K34" s="536"/>
      <c r="L34" s="536"/>
      <c r="M34" s="536"/>
      <c r="N34" s="536"/>
      <c r="O34" s="536"/>
      <c r="P34" s="537"/>
      <c r="Q34" s="535"/>
      <c r="R34" s="536"/>
      <c r="S34" s="536"/>
      <c r="T34" s="536"/>
      <c r="U34" s="536"/>
      <c r="V34" s="536"/>
      <c r="W34" s="536"/>
      <c r="X34" s="536"/>
      <c r="Y34" s="536"/>
      <c r="Z34" s="536"/>
      <c r="AA34" s="536"/>
      <c r="AB34" s="536"/>
      <c r="AC34" s="536"/>
      <c r="AD34" s="536"/>
      <c r="AE34" s="537"/>
      <c r="AF34" s="531"/>
      <c r="AG34" s="418"/>
      <c r="AH34" s="418"/>
      <c r="AI34" s="418"/>
      <c r="AJ34" s="418"/>
      <c r="AK34" s="418"/>
      <c r="AL34" s="418"/>
      <c r="AM34" s="418"/>
      <c r="AN34" s="418"/>
      <c r="AO34" s="418"/>
      <c r="AP34" s="531"/>
      <c r="AQ34" s="418"/>
      <c r="AR34" s="418"/>
      <c r="AS34" s="418"/>
      <c r="AT34" s="418"/>
      <c r="AU34" s="418"/>
      <c r="AV34" s="418"/>
      <c r="AW34" s="418"/>
      <c r="AX34" s="418"/>
      <c r="AY34" s="418"/>
      <c r="AZ34" s="531"/>
      <c r="BA34" s="418"/>
      <c r="BB34" s="418"/>
      <c r="BC34" s="418"/>
      <c r="BD34" s="418"/>
      <c r="BE34" s="532"/>
      <c r="BF34" s="533"/>
      <c r="BG34" s="533"/>
      <c r="BH34" s="533"/>
      <c r="BI34" s="534"/>
    </row>
    <row r="35" spans="1:61" ht="13.5">
      <c r="A35" s="324">
        <f t="shared" si="0"/>
        <v>30</v>
      </c>
      <c r="B35" s="427"/>
      <c r="C35" s="535"/>
      <c r="D35" s="536"/>
      <c r="E35" s="536"/>
      <c r="F35" s="536"/>
      <c r="G35" s="536"/>
      <c r="H35" s="536"/>
      <c r="I35" s="536"/>
      <c r="J35" s="536"/>
      <c r="K35" s="536"/>
      <c r="L35" s="536"/>
      <c r="M35" s="536"/>
      <c r="N35" s="536"/>
      <c r="O35" s="536"/>
      <c r="P35" s="537"/>
      <c r="Q35" s="535"/>
      <c r="R35" s="536"/>
      <c r="S35" s="536"/>
      <c r="T35" s="536"/>
      <c r="U35" s="536"/>
      <c r="V35" s="536"/>
      <c r="W35" s="536"/>
      <c r="X35" s="536"/>
      <c r="Y35" s="536"/>
      <c r="Z35" s="536"/>
      <c r="AA35" s="536"/>
      <c r="AB35" s="536"/>
      <c r="AC35" s="536"/>
      <c r="AD35" s="536"/>
      <c r="AE35" s="537"/>
      <c r="AF35" s="531"/>
      <c r="AG35" s="418"/>
      <c r="AH35" s="418"/>
      <c r="AI35" s="418"/>
      <c r="AJ35" s="418"/>
      <c r="AK35" s="418"/>
      <c r="AL35" s="418"/>
      <c r="AM35" s="418"/>
      <c r="AN35" s="418"/>
      <c r="AO35" s="418"/>
      <c r="AP35" s="531"/>
      <c r="AQ35" s="418"/>
      <c r="AR35" s="418"/>
      <c r="AS35" s="418"/>
      <c r="AT35" s="418"/>
      <c r="AU35" s="418"/>
      <c r="AV35" s="418"/>
      <c r="AW35" s="418"/>
      <c r="AX35" s="418"/>
      <c r="AY35" s="418"/>
      <c r="AZ35" s="531"/>
      <c r="BA35" s="418"/>
      <c r="BB35" s="418"/>
      <c r="BC35" s="418"/>
      <c r="BD35" s="418"/>
      <c r="BE35" s="532"/>
      <c r="BF35" s="533"/>
      <c r="BG35" s="533"/>
      <c r="BH35" s="533"/>
      <c r="BI35" s="534"/>
    </row>
    <row r="36" spans="1:61" ht="13.5">
      <c r="A36" s="324">
        <f t="shared" si="0"/>
        <v>31</v>
      </c>
      <c r="B36" s="427"/>
      <c r="C36" s="535"/>
      <c r="D36" s="536"/>
      <c r="E36" s="536"/>
      <c r="F36" s="536"/>
      <c r="G36" s="536"/>
      <c r="H36" s="536"/>
      <c r="I36" s="536"/>
      <c r="J36" s="536"/>
      <c r="K36" s="536"/>
      <c r="L36" s="536"/>
      <c r="M36" s="536"/>
      <c r="N36" s="536"/>
      <c r="O36" s="536"/>
      <c r="P36" s="537"/>
      <c r="Q36" s="535"/>
      <c r="R36" s="536"/>
      <c r="S36" s="536"/>
      <c r="T36" s="536"/>
      <c r="U36" s="536"/>
      <c r="V36" s="536"/>
      <c r="W36" s="536"/>
      <c r="X36" s="536"/>
      <c r="Y36" s="536"/>
      <c r="Z36" s="536"/>
      <c r="AA36" s="536"/>
      <c r="AB36" s="536"/>
      <c r="AC36" s="536"/>
      <c r="AD36" s="536"/>
      <c r="AE36" s="537"/>
      <c r="AF36" s="531"/>
      <c r="AG36" s="418"/>
      <c r="AH36" s="418"/>
      <c r="AI36" s="418"/>
      <c r="AJ36" s="418"/>
      <c r="AK36" s="418"/>
      <c r="AL36" s="418"/>
      <c r="AM36" s="418"/>
      <c r="AN36" s="418"/>
      <c r="AO36" s="418"/>
      <c r="AP36" s="531"/>
      <c r="AQ36" s="418"/>
      <c r="AR36" s="418"/>
      <c r="AS36" s="418"/>
      <c r="AT36" s="418"/>
      <c r="AU36" s="418"/>
      <c r="AV36" s="418"/>
      <c r="AW36" s="418"/>
      <c r="AX36" s="418"/>
      <c r="AY36" s="418"/>
      <c r="AZ36" s="531"/>
      <c r="BA36" s="418"/>
      <c r="BB36" s="418"/>
      <c r="BC36" s="418"/>
      <c r="BD36" s="418"/>
      <c r="BE36" s="532"/>
      <c r="BF36" s="533"/>
      <c r="BG36" s="533"/>
      <c r="BH36" s="533"/>
      <c r="BI36" s="534"/>
    </row>
    <row r="37" spans="1:61" ht="13.5">
      <c r="A37" s="324">
        <f t="shared" si="0"/>
        <v>32</v>
      </c>
      <c r="B37" s="427"/>
      <c r="C37" s="535"/>
      <c r="D37" s="536"/>
      <c r="E37" s="536"/>
      <c r="F37" s="536"/>
      <c r="G37" s="536"/>
      <c r="H37" s="536"/>
      <c r="I37" s="536"/>
      <c r="J37" s="536"/>
      <c r="K37" s="536"/>
      <c r="L37" s="536"/>
      <c r="M37" s="536"/>
      <c r="N37" s="536"/>
      <c r="O37" s="536"/>
      <c r="P37" s="537"/>
      <c r="Q37" s="535"/>
      <c r="R37" s="536"/>
      <c r="S37" s="536"/>
      <c r="T37" s="536"/>
      <c r="U37" s="536"/>
      <c r="V37" s="536"/>
      <c r="W37" s="536"/>
      <c r="X37" s="536"/>
      <c r="Y37" s="536"/>
      <c r="Z37" s="536"/>
      <c r="AA37" s="536"/>
      <c r="AB37" s="536"/>
      <c r="AC37" s="536"/>
      <c r="AD37" s="536"/>
      <c r="AE37" s="537"/>
      <c r="AF37" s="531"/>
      <c r="AG37" s="418"/>
      <c r="AH37" s="418"/>
      <c r="AI37" s="418"/>
      <c r="AJ37" s="418"/>
      <c r="AK37" s="418"/>
      <c r="AL37" s="418"/>
      <c r="AM37" s="418"/>
      <c r="AN37" s="418"/>
      <c r="AO37" s="418"/>
      <c r="AP37" s="531"/>
      <c r="AQ37" s="418"/>
      <c r="AR37" s="418"/>
      <c r="AS37" s="418"/>
      <c r="AT37" s="418"/>
      <c r="AU37" s="418"/>
      <c r="AV37" s="418"/>
      <c r="AW37" s="418"/>
      <c r="AX37" s="418"/>
      <c r="AY37" s="418"/>
      <c r="AZ37" s="531"/>
      <c r="BA37" s="418"/>
      <c r="BB37" s="418"/>
      <c r="BC37" s="418"/>
      <c r="BD37" s="418"/>
      <c r="BE37" s="532"/>
      <c r="BF37" s="533"/>
      <c r="BG37" s="533"/>
      <c r="BH37" s="533"/>
      <c r="BI37" s="534"/>
    </row>
    <row r="38" spans="1:61" ht="13.5">
      <c r="A38" s="324">
        <f t="shared" si="0"/>
        <v>33</v>
      </c>
      <c r="B38" s="427"/>
      <c r="C38" s="535"/>
      <c r="D38" s="536"/>
      <c r="E38" s="536"/>
      <c r="F38" s="536"/>
      <c r="G38" s="536"/>
      <c r="H38" s="536"/>
      <c r="I38" s="536"/>
      <c r="J38" s="536"/>
      <c r="K38" s="536"/>
      <c r="L38" s="536"/>
      <c r="M38" s="536"/>
      <c r="N38" s="536"/>
      <c r="O38" s="536"/>
      <c r="P38" s="537"/>
      <c r="Q38" s="535"/>
      <c r="R38" s="536"/>
      <c r="S38" s="536"/>
      <c r="T38" s="536"/>
      <c r="U38" s="536"/>
      <c r="V38" s="536"/>
      <c r="W38" s="536"/>
      <c r="X38" s="536"/>
      <c r="Y38" s="536"/>
      <c r="Z38" s="536"/>
      <c r="AA38" s="536"/>
      <c r="AB38" s="536"/>
      <c r="AC38" s="536"/>
      <c r="AD38" s="536"/>
      <c r="AE38" s="537"/>
      <c r="AF38" s="531"/>
      <c r="AG38" s="418"/>
      <c r="AH38" s="418"/>
      <c r="AI38" s="418"/>
      <c r="AJ38" s="418"/>
      <c r="AK38" s="418"/>
      <c r="AL38" s="418"/>
      <c r="AM38" s="418"/>
      <c r="AN38" s="418"/>
      <c r="AO38" s="418"/>
      <c r="AP38" s="531"/>
      <c r="AQ38" s="418"/>
      <c r="AR38" s="418"/>
      <c r="AS38" s="418"/>
      <c r="AT38" s="418"/>
      <c r="AU38" s="418"/>
      <c r="AV38" s="418"/>
      <c r="AW38" s="418"/>
      <c r="AX38" s="418"/>
      <c r="AY38" s="418"/>
      <c r="AZ38" s="531"/>
      <c r="BA38" s="418"/>
      <c r="BB38" s="418"/>
      <c r="BC38" s="418"/>
      <c r="BD38" s="418"/>
      <c r="BE38" s="532"/>
      <c r="BF38" s="533"/>
      <c r="BG38" s="533"/>
      <c r="BH38" s="533"/>
      <c r="BI38" s="534"/>
    </row>
    <row r="39" spans="1:61" ht="13.5">
      <c r="A39" s="324">
        <f t="shared" si="0"/>
        <v>34</v>
      </c>
      <c r="B39" s="427"/>
      <c r="C39" s="535"/>
      <c r="D39" s="536"/>
      <c r="E39" s="536"/>
      <c r="F39" s="536"/>
      <c r="G39" s="536"/>
      <c r="H39" s="536"/>
      <c r="I39" s="536"/>
      <c r="J39" s="536"/>
      <c r="K39" s="536"/>
      <c r="L39" s="536"/>
      <c r="M39" s="536"/>
      <c r="N39" s="536"/>
      <c r="O39" s="536"/>
      <c r="P39" s="537"/>
      <c r="Q39" s="535"/>
      <c r="R39" s="536"/>
      <c r="S39" s="536"/>
      <c r="T39" s="536"/>
      <c r="U39" s="536"/>
      <c r="V39" s="536"/>
      <c r="W39" s="536"/>
      <c r="X39" s="536"/>
      <c r="Y39" s="536"/>
      <c r="Z39" s="536"/>
      <c r="AA39" s="536"/>
      <c r="AB39" s="536"/>
      <c r="AC39" s="536"/>
      <c r="AD39" s="536"/>
      <c r="AE39" s="537"/>
      <c r="AF39" s="531"/>
      <c r="AG39" s="418"/>
      <c r="AH39" s="418"/>
      <c r="AI39" s="418"/>
      <c r="AJ39" s="418"/>
      <c r="AK39" s="418"/>
      <c r="AL39" s="418"/>
      <c r="AM39" s="418"/>
      <c r="AN39" s="418"/>
      <c r="AO39" s="418"/>
      <c r="AP39" s="531"/>
      <c r="AQ39" s="418"/>
      <c r="AR39" s="418"/>
      <c r="AS39" s="418"/>
      <c r="AT39" s="418"/>
      <c r="AU39" s="418"/>
      <c r="AV39" s="418"/>
      <c r="AW39" s="418"/>
      <c r="AX39" s="418"/>
      <c r="AY39" s="418"/>
      <c r="AZ39" s="531"/>
      <c r="BA39" s="418"/>
      <c r="BB39" s="418"/>
      <c r="BC39" s="418"/>
      <c r="BD39" s="418"/>
      <c r="BE39" s="532"/>
      <c r="BF39" s="533"/>
      <c r="BG39" s="533"/>
      <c r="BH39" s="533"/>
      <c r="BI39" s="534"/>
    </row>
    <row r="40" spans="1:61" ht="14" thickBot="1">
      <c r="A40" s="315">
        <f t="shared" si="0"/>
        <v>35</v>
      </c>
      <c r="B40" s="420"/>
      <c r="C40" s="555"/>
      <c r="D40" s="556"/>
      <c r="E40" s="556"/>
      <c r="F40" s="556"/>
      <c r="G40" s="556"/>
      <c r="H40" s="556"/>
      <c r="I40" s="556"/>
      <c r="J40" s="556"/>
      <c r="K40" s="556"/>
      <c r="L40" s="556"/>
      <c r="M40" s="556"/>
      <c r="N40" s="556"/>
      <c r="O40" s="556"/>
      <c r="P40" s="557"/>
      <c r="Q40" s="555"/>
      <c r="R40" s="556"/>
      <c r="S40" s="556"/>
      <c r="T40" s="556"/>
      <c r="U40" s="556"/>
      <c r="V40" s="556"/>
      <c r="W40" s="556"/>
      <c r="X40" s="556"/>
      <c r="Y40" s="556"/>
      <c r="Z40" s="556"/>
      <c r="AA40" s="556"/>
      <c r="AB40" s="556"/>
      <c r="AC40" s="556"/>
      <c r="AD40" s="556"/>
      <c r="AE40" s="557"/>
      <c r="AF40" s="554"/>
      <c r="AG40" s="423"/>
      <c r="AH40" s="423"/>
      <c r="AI40" s="423"/>
      <c r="AJ40" s="423"/>
      <c r="AK40" s="423"/>
      <c r="AL40" s="423"/>
      <c r="AM40" s="423"/>
      <c r="AN40" s="423"/>
      <c r="AO40" s="423"/>
      <c r="AP40" s="554"/>
      <c r="AQ40" s="423"/>
      <c r="AR40" s="423"/>
      <c r="AS40" s="423"/>
      <c r="AT40" s="423"/>
      <c r="AU40" s="423"/>
      <c r="AV40" s="423"/>
      <c r="AW40" s="423"/>
      <c r="AX40" s="423"/>
      <c r="AY40" s="423"/>
      <c r="AZ40" s="554"/>
      <c r="BA40" s="423"/>
      <c r="BB40" s="423"/>
      <c r="BC40" s="423"/>
      <c r="BD40" s="423"/>
      <c r="BE40" s="541"/>
      <c r="BF40" s="542"/>
      <c r="BG40" s="542"/>
      <c r="BH40" s="542"/>
      <c r="BI40" s="543"/>
    </row>
  </sheetData>
  <mergeCells count="341">
    <mergeCell ref="AZ40:BD40"/>
    <mergeCell ref="A40:B40"/>
    <mergeCell ref="C40:P40"/>
    <mergeCell ref="AF40:AJ40"/>
    <mergeCell ref="AK40:AO40"/>
    <mergeCell ref="AP40:AT40"/>
    <mergeCell ref="AU40:AY40"/>
    <mergeCell ref="Q40:AE40"/>
    <mergeCell ref="A38:B38"/>
    <mergeCell ref="C38:P38"/>
    <mergeCell ref="AF38:AJ38"/>
    <mergeCell ref="AK38:AO38"/>
    <mergeCell ref="AP38:AT38"/>
    <mergeCell ref="AU38:AY38"/>
    <mergeCell ref="AZ38:BD38"/>
    <mergeCell ref="Q38:AE38"/>
    <mergeCell ref="A39:B39"/>
    <mergeCell ref="C39:P39"/>
    <mergeCell ref="AF39:AJ39"/>
    <mergeCell ref="AK39:AO39"/>
    <mergeCell ref="AP39:AT39"/>
    <mergeCell ref="AU39:AY39"/>
    <mergeCell ref="AZ39:BD39"/>
    <mergeCell ref="Q39:AE39"/>
    <mergeCell ref="AU35:AY35"/>
    <mergeCell ref="AZ35:BD35"/>
    <mergeCell ref="A36:B36"/>
    <mergeCell ref="C36:P36"/>
    <mergeCell ref="AF36:AJ36"/>
    <mergeCell ref="AK36:AO36"/>
    <mergeCell ref="AP36:AT36"/>
    <mergeCell ref="AU36:AY36"/>
    <mergeCell ref="A35:B35"/>
    <mergeCell ref="C35:P35"/>
    <mergeCell ref="AF35:AJ35"/>
    <mergeCell ref="AK35:AO35"/>
    <mergeCell ref="AP35:AT35"/>
    <mergeCell ref="AZ36:BD36"/>
    <mergeCell ref="Q35:AE35"/>
    <mergeCell ref="Q36:AE36"/>
    <mergeCell ref="A33:B33"/>
    <mergeCell ref="C33:P33"/>
    <mergeCell ref="AF33:AJ33"/>
    <mergeCell ref="AK33:AO33"/>
    <mergeCell ref="AP33:AT33"/>
    <mergeCell ref="AU33:AY33"/>
    <mergeCell ref="AZ33:BD33"/>
    <mergeCell ref="A34:B34"/>
    <mergeCell ref="C34:P34"/>
    <mergeCell ref="AF34:AJ34"/>
    <mergeCell ref="AK34:AO34"/>
    <mergeCell ref="AP34:AT34"/>
    <mergeCell ref="AU34:AY34"/>
    <mergeCell ref="AZ34:BD34"/>
    <mergeCell ref="Q34:AE34"/>
    <mergeCell ref="AU25:AY25"/>
    <mergeCell ref="AZ25:BD25"/>
    <mergeCell ref="A32:B32"/>
    <mergeCell ref="C32:P32"/>
    <mergeCell ref="AF32:AJ32"/>
    <mergeCell ref="AK32:AO32"/>
    <mergeCell ref="AP32:AT32"/>
    <mergeCell ref="AU32:AY32"/>
    <mergeCell ref="A25:B25"/>
    <mergeCell ref="C25:P25"/>
    <mergeCell ref="AF25:AJ25"/>
    <mergeCell ref="AK25:AO25"/>
    <mergeCell ref="AP25:AT25"/>
    <mergeCell ref="AZ32:BD32"/>
    <mergeCell ref="A26:B26"/>
    <mergeCell ref="C26:P26"/>
    <mergeCell ref="AF26:AJ26"/>
    <mergeCell ref="AK26:AO26"/>
    <mergeCell ref="AP26:AT26"/>
    <mergeCell ref="A29:B29"/>
    <mergeCell ref="C29:P29"/>
    <mergeCell ref="AF29:AJ29"/>
    <mergeCell ref="AK29:AO29"/>
    <mergeCell ref="AP29:AT29"/>
    <mergeCell ref="A23:B23"/>
    <mergeCell ref="C23:P23"/>
    <mergeCell ref="AF23:AJ23"/>
    <mergeCell ref="AK23:AO23"/>
    <mergeCell ref="AP23:AT23"/>
    <mergeCell ref="AU23:AY23"/>
    <mergeCell ref="AZ23:BD23"/>
    <mergeCell ref="Q23:AE23"/>
    <mergeCell ref="A24:B24"/>
    <mergeCell ref="C24:P24"/>
    <mergeCell ref="AF24:AJ24"/>
    <mergeCell ref="AK24:AO24"/>
    <mergeCell ref="AP24:AT24"/>
    <mergeCell ref="AU24:AY24"/>
    <mergeCell ref="AZ24:BD24"/>
    <mergeCell ref="Q24:AE24"/>
    <mergeCell ref="AU21:AY21"/>
    <mergeCell ref="AZ21:BD21"/>
    <mergeCell ref="A22:B22"/>
    <mergeCell ref="C22:P22"/>
    <mergeCell ref="AF22:AJ22"/>
    <mergeCell ref="AK22:AO22"/>
    <mergeCell ref="AP22:AT22"/>
    <mergeCell ref="AU22:AY22"/>
    <mergeCell ref="A21:B21"/>
    <mergeCell ref="C21:P21"/>
    <mergeCell ref="AF21:AJ21"/>
    <mergeCell ref="AK21:AO21"/>
    <mergeCell ref="AP21:AT21"/>
    <mergeCell ref="AZ22:BD22"/>
    <mergeCell ref="Q21:AE21"/>
    <mergeCell ref="Q22:AE22"/>
    <mergeCell ref="AF19:AJ19"/>
    <mergeCell ref="AK19:AO19"/>
    <mergeCell ref="AP19:AT19"/>
    <mergeCell ref="AU19:AY19"/>
    <mergeCell ref="AZ19:BD19"/>
    <mergeCell ref="Q19:AE19"/>
    <mergeCell ref="A20:B20"/>
    <mergeCell ref="C20:P20"/>
    <mergeCell ref="AF20:AJ20"/>
    <mergeCell ref="AK20:AO20"/>
    <mergeCell ref="AP20:AT20"/>
    <mergeCell ref="AU20:AY20"/>
    <mergeCell ref="AZ20:BD20"/>
    <mergeCell ref="Q20:AE20"/>
    <mergeCell ref="AU17:AY17"/>
    <mergeCell ref="AZ17:BD17"/>
    <mergeCell ref="A18:B18"/>
    <mergeCell ref="C18:P18"/>
    <mergeCell ref="AF18:AJ18"/>
    <mergeCell ref="AK18:AO18"/>
    <mergeCell ref="AP18:AT18"/>
    <mergeCell ref="AU18:AY18"/>
    <mergeCell ref="A17:B17"/>
    <mergeCell ref="C17:P17"/>
    <mergeCell ref="AF17:AJ17"/>
    <mergeCell ref="AK17:AO17"/>
    <mergeCell ref="AP17:AT17"/>
    <mergeCell ref="AZ18:BD18"/>
    <mergeCell ref="Q17:AE17"/>
    <mergeCell ref="Q18:AE18"/>
    <mergeCell ref="AF15:AJ15"/>
    <mergeCell ref="AK15:AO15"/>
    <mergeCell ref="AP15:AT15"/>
    <mergeCell ref="AU15:AY15"/>
    <mergeCell ref="AZ15:BD15"/>
    <mergeCell ref="Q15:AE15"/>
    <mergeCell ref="A16:B16"/>
    <mergeCell ref="C16:P16"/>
    <mergeCell ref="AF16:AJ16"/>
    <mergeCell ref="AK16:AO16"/>
    <mergeCell ref="AP16:AT16"/>
    <mergeCell ref="AU16:AY16"/>
    <mergeCell ref="AZ16:BD16"/>
    <mergeCell ref="Q16:AE16"/>
    <mergeCell ref="AF14:AJ14"/>
    <mergeCell ref="AK14:AO14"/>
    <mergeCell ref="AP14:AT14"/>
    <mergeCell ref="AU14:AY14"/>
    <mergeCell ref="AZ14:BD14"/>
    <mergeCell ref="Q14:AE14"/>
    <mergeCell ref="A12:B12"/>
    <mergeCell ref="C12:P12"/>
    <mergeCell ref="AF12:AJ12"/>
    <mergeCell ref="AK12:AO12"/>
    <mergeCell ref="AP12:AT12"/>
    <mergeCell ref="AU12:AY12"/>
    <mergeCell ref="AZ12:BD12"/>
    <mergeCell ref="A13:B13"/>
    <mergeCell ref="C13:P13"/>
    <mergeCell ref="AF13:AJ13"/>
    <mergeCell ref="AK13:AO13"/>
    <mergeCell ref="AP13:AT13"/>
    <mergeCell ref="AU13:AY13"/>
    <mergeCell ref="AZ13:BD13"/>
    <mergeCell ref="AU10:AY10"/>
    <mergeCell ref="AZ10:BD10"/>
    <mergeCell ref="A11:B11"/>
    <mergeCell ref="C11:P11"/>
    <mergeCell ref="AF11:AJ11"/>
    <mergeCell ref="AK11:AO11"/>
    <mergeCell ref="AP11:AT11"/>
    <mergeCell ref="AU11:AY11"/>
    <mergeCell ref="A10:B10"/>
    <mergeCell ref="C10:P10"/>
    <mergeCell ref="AF10:AJ10"/>
    <mergeCell ref="AK10:AO10"/>
    <mergeCell ref="AP10:AT10"/>
    <mergeCell ref="AZ11:BD11"/>
    <mergeCell ref="AF8:AJ8"/>
    <mergeCell ref="AK8:AO8"/>
    <mergeCell ref="AP8:AT8"/>
    <mergeCell ref="AU8:AY8"/>
    <mergeCell ref="AZ8:BD8"/>
    <mergeCell ref="A9:B9"/>
    <mergeCell ref="C9:P9"/>
    <mergeCell ref="AF9:AJ9"/>
    <mergeCell ref="AK9:AO9"/>
    <mergeCell ref="AP9:AT9"/>
    <mergeCell ref="AU9:AY9"/>
    <mergeCell ref="AZ9:BD9"/>
    <mergeCell ref="A1:E3"/>
    <mergeCell ref="AU6:AY6"/>
    <mergeCell ref="AZ6:BD6"/>
    <mergeCell ref="A7:B7"/>
    <mergeCell ref="C7:P7"/>
    <mergeCell ref="AF7:AJ7"/>
    <mergeCell ref="AK7:AO7"/>
    <mergeCell ref="AP7:AT7"/>
    <mergeCell ref="AU7:AY7"/>
    <mergeCell ref="A6:B6"/>
    <mergeCell ref="C6:P6"/>
    <mergeCell ref="AF6:AJ6"/>
    <mergeCell ref="AK6:AO6"/>
    <mergeCell ref="AP6:AT6"/>
    <mergeCell ref="AZ7:BD7"/>
    <mergeCell ref="A5:B5"/>
    <mergeCell ref="C5:P5"/>
    <mergeCell ref="AF5:AJ5"/>
    <mergeCell ref="AK5:AO5"/>
    <mergeCell ref="AP5:AT5"/>
    <mergeCell ref="AU5:AY5"/>
    <mergeCell ref="AZ5:BD5"/>
    <mergeCell ref="BB1:BI1"/>
    <mergeCell ref="F2:P3"/>
    <mergeCell ref="Q2:V3"/>
    <mergeCell ref="W2:AD3"/>
    <mergeCell ref="AE2:AS3"/>
    <mergeCell ref="AT2:AU2"/>
    <mergeCell ref="AV2:BA2"/>
    <mergeCell ref="BB2:BI2"/>
    <mergeCell ref="AT3:AU3"/>
    <mergeCell ref="AV3:BA3"/>
    <mergeCell ref="F1:P1"/>
    <mergeCell ref="Q1:V1"/>
    <mergeCell ref="W1:AD1"/>
    <mergeCell ref="AE1:AS1"/>
    <mergeCell ref="AT1:BA1"/>
    <mergeCell ref="BB3:BI3"/>
    <mergeCell ref="Q5:AE5"/>
    <mergeCell ref="BE5:BI5"/>
    <mergeCell ref="AU26:AY26"/>
    <mergeCell ref="AZ26:BD26"/>
    <mergeCell ref="A27:B27"/>
    <mergeCell ref="C27:P27"/>
    <mergeCell ref="AF27:AJ27"/>
    <mergeCell ref="AK27:AO27"/>
    <mergeCell ref="AP27:AT27"/>
    <mergeCell ref="AU27:AY27"/>
    <mergeCell ref="AZ27:BD27"/>
    <mergeCell ref="BE6:BI6"/>
    <mergeCell ref="BE7:BI7"/>
    <mergeCell ref="BE8:BI8"/>
    <mergeCell ref="BE9:BI9"/>
    <mergeCell ref="BE10:BI10"/>
    <mergeCell ref="BE11:BI11"/>
    <mergeCell ref="BE12:BI12"/>
    <mergeCell ref="BE13:BI13"/>
    <mergeCell ref="BE14:BI14"/>
    <mergeCell ref="BE15:BI15"/>
    <mergeCell ref="BE16:BI16"/>
    <mergeCell ref="BE17:BI17"/>
    <mergeCell ref="BE18:BI18"/>
    <mergeCell ref="AU29:AY29"/>
    <mergeCell ref="AZ29:BD29"/>
    <mergeCell ref="A28:B28"/>
    <mergeCell ref="C28:P28"/>
    <mergeCell ref="AF28:AJ28"/>
    <mergeCell ref="AK28:AO28"/>
    <mergeCell ref="AP28:AT28"/>
    <mergeCell ref="AU28:AY28"/>
    <mergeCell ref="AZ28:BD28"/>
    <mergeCell ref="BE19:BI19"/>
    <mergeCell ref="BE20:BI20"/>
    <mergeCell ref="BE21:BI21"/>
    <mergeCell ref="BE22:BI22"/>
    <mergeCell ref="BE32:BI32"/>
    <mergeCell ref="BE33:BI33"/>
    <mergeCell ref="BE34:BI34"/>
    <mergeCell ref="BE35:BI35"/>
    <mergeCell ref="BE36:BI36"/>
    <mergeCell ref="BE38:BI38"/>
    <mergeCell ref="BE39:BI39"/>
    <mergeCell ref="BE40:BI40"/>
    <mergeCell ref="BE23:BI23"/>
    <mergeCell ref="BE24:BI24"/>
    <mergeCell ref="BE25:BI25"/>
    <mergeCell ref="BE26:BI26"/>
    <mergeCell ref="BE27:BI27"/>
    <mergeCell ref="BE28:BI28"/>
    <mergeCell ref="BE29:BI29"/>
    <mergeCell ref="BE30:BI30"/>
    <mergeCell ref="BE31:BI31"/>
    <mergeCell ref="A37:B37"/>
    <mergeCell ref="C37:P37"/>
    <mergeCell ref="Q37:AE37"/>
    <mergeCell ref="Q6:AE6"/>
    <mergeCell ref="Q7:AE7"/>
    <mergeCell ref="Q8:AE8"/>
    <mergeCell ref="Q9:AE9"/>
    <mergeCell ref="Q10:AE10"/>
    <mergeCell ref="Q11:AE11"/>
    <mergeCell ref="Q12:AE12"/>
    <mergeCell ref="Q13:AE13"/>
    <mergeCell ref="Q25:AE25"/>
    <mergeCell ref="A31:B31"/>
    <mergeCell ref="C31:P31"/>
    <mergeCell ref="A30:B30"/>
    <mergeCell ref="C30:P30"/>
    <mergeCell ref="A8:B8"/>
    <mergeCell ref="C8:P8"/>
    <mergeCell ref="A14:B14"/>
    <mergeCell ref="C14:P14"/>
    <mergeCell ref="A15:B15"/>
    <mergeCell ref="C15:P15"/>
    <mergeCell ref="A19:B19"/>
    <mergeCell ref="C19:P19"/>
    <mergeCell ref="AF37:AJ37"/>
    <mergeCell ref="AK37:AO37"/>
    <mergeCell ref="AP37:AT37"/>
    <mergeCell ref="AU37:AY37"/>
    <mergeCell ref="AZ37:BD37"/>
    <mergeCell ref="BE37:BI37"/>
    <mergeCell ref="Q26:AE26"/>
    <mergeCell ref="Q27:AE27"/>
    <mergeCell ref="Q28:AE28"/>
    <mergeCell ref="Q29:AE29"/>
    <mergeCell ref="Q30:AE30"/>
    <mergeCell ref="Q31:AE31"/>
    <mergeCell ref="Q32:AE32"/>
    <mergeCell ref="Q33:AE33"/>
    <mergeCell ref="AF31:AJ31"/>
    <mergeCell ref="AK31:AO31"/>
    <mergeCell ref="AP31:AT31"/>
    <mergeCell ref="AU31:AY31"/>
    <mergeCell ref="AZ31:BD31"/>
    <mergeCell ref="AF30:AJ30"/>
    <mergeCell ref="AK30:AO30"/>
    <mergeCell ref="AP30:AT30"/>
    <mergeCell ref="AU30:AY30"/>
    <mergeCell ref="AZ30:BD30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scale="85" orientation="landscape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4E20B9-1C53-4702-A840-5DF44434728F}">
  <dimension ref="A1:BJ39"/>
  <sheetViews>
    <sheetView showGridLines="0" zoomScaleNormal="100" workbookViewId="0">
      <pane ySplit="5" topLeftCell="A6" activePane="bottomLeft" state="frozen"/>
      <selection pane="bottomLeft" sqref="A1:E3"/>
    </sheetView>
  </sheetViews>
  <sheetFormatPr defaultColWidth="2.33203125" defaultRowHeight="15" customHeight="1"/>
  <cols>
    <col min="1" max="16384" width="2.33203125" style="43"/>
  </cols>
  <sheetData>
    <row r="1" spans="1:61" s="1" customFormat="1" ht="15" customHeight="1" thickBot="1">
      <c r="A1" s="245" t="s">
        <v>229</v>
      </c>
      <c r="B1" s="246"/>
      <c r="C1" s="246"/>
      <c r="D1" s="246"/>
      <c r="E1" s="247"/>
      <c r="F1" s="254" t="str">
        <f>変更履歴!F1</f>
        <v>システム名</v>
      </c>
      <c r="G1" s="255"/>
      <c r="H1" s="255"/>
      <c r="I1" s="255"/>
      <c r="J1" s="255"/>
      <c r="K1" s="255"/>
      <c r="L1" s="255"/>
      <c r="M1" s="255"/>
      <c r="N1" s="255"/>
      <c r="O1" s="255"/>
      <c r="P1" s="256"/>
      <c r="Q1" s="257" t="str">
        <f>変更履歴!Q1</f>
        <v>機能分類</v>
      </c>
      <c r="R1" s="258"/>
      <c r="S1" s="258"/>
      <c r="T1" s="258"/>
      <c r="U1" s="258"/>
      <c r="V1" s="259"/>
      <c r="W1" s="254" t="str">
        <f>変更履歴!W1</f>
        <v>機能ＩＤ</v>
      </c>
      <c r="X1" s="255"/>
      <c r="Y1" s="255"/>
      <c r="Z1" s="255"/>
      <c r="AA1" s="255"/>
      <c r="AB1" s="255"/>
      <c r="AC1" s="255"/>
      <c r="AD1" s="256"/>
      <c r="AE1" s="254" t="str">
        <f>変更履歴!AE1</f>
        <v>機能名称</v>
      </c>
      <c r="AF1" s="255"/>
      <c r="AG1" s="255"/>
      <c r="AH1" s="255"/>
      <c r="AI1" s="255"/>
      <c r="AJ1" s="255"/>
      <c r="AK1" s="255"/>
      <c r="AL1" s="255"/>
      <c r="AM1" s="255"/>
      <c r="AN1" s="255"/>
      <c r="AO1" s="255"/>
      <c r="AP1" s="255"/>
      <c r="AQ1" s="255"/>
      <c r="AR1" s="255"/>
      <c r="AS1" s="256"/>
      <c r="AT1" s="260" t="str">
        <f>変更履歴!AT1</f>
        <v>日付</v>
      </c>
      <c r="AU1" s="261"/>
      <c r="AV1" s="261"/>
      <c r="AW1" s="261"/>
      <c r="AX1" s="261"/>
      <c r="AY1" s="261"/>
      <c r="AZ1" s="261"/>
      <c r="BA1" s="262"/>
      <c r="BB1" s="217" t="str">
        <f>変更履歴!BB1</f>
        <v>更新者</v>
      </c>
      <c r="BC1" s="219"/>
      <c r="BD1" s="219"/>
      <c r="BE1" s="219"/>
      <c r="BF1" s="219"/>
      <c r="BG1" s="219"/>
      <c r="BH1" s="219"/>
      <c r="BI1" s="220"/>
    </row>
    <row r="2" spans="1:61" s="1" customFormat="1" ht="15" customHeight="1">
      <c r="A2" s="248"/>
      <c r="B2" s="249"/>
      <c r="C2" s="249"/>
      <c r="D2" s="249"/>
      <c r="E2" s="250"/>
      <c r="F2" s="221" t="str">
        <f>変更履歴!F2</f>
        <v>Dynamics365 for Finance and Operations</v>
      </c>
      <c r="G2" s="222"/>
      <c r="H2" s="222"/>
      <c r="I2" s="222"/>
      <c r="J2" s="222"/>
      <c r="K2" s="222"/>
      <c r="L2" s="222"/>
      <c r="M2" s="222"/>
      <c r="N2" s="222"/>
      <c r="O2" s="222"/>
      <c r="P2" s="223"/>
      <c r="Q2" s="221" t="str">
        <f>変更履歴!Q2</f>
        <v>債権・債務</v>
      </c>
      <c r="R2" s="222"/>
      <c r="S2" s="222"/>
      <c r="T2" s="222"/>
      <c r="U2" s="222"/>
      <c r="V2" s="223"/>
      <c r="W2" s="227" t="str">
        <f>変更履歴!W2</f>
        <v>FO-006</v>
      </c>
      <c r="X2" s="228"/>
      <c r="Y2" s="228"/>
      <c r="Z2" s="228"/>
      <c r="AA2" s="228"/>
      <c r="AB2" s="228"/>
      <c r="AC2" s="228"/>
      <c r="AD2" s="229"/>
      <c r="AE2" s="221" t="str">
        <f>変更履歴!AE2</f>
        <v>支払方法・支払サイトマスタ画面</v>
      </c>
      <c r="AF2" s="222"/>
      <c r="AG2" s="222"/>
      <c r="AH2" s="222"/>
      <c r="AI2" s="222"/>
      <c r="AJ2" s="222"/>
      <c r="AK2" s="222"/>
      <c r="AL2" s="222"/>
      <c r="AM2" s="222"/>
      <c r="AN2" s="222"/>
      <c r="AO2" s="222"/>
      <c r="AP2" s="222"/>
      <c r="AQ2" s="222"/>
      <c r="AR2" s="222"/>
      <c r="AS2" s="223"/>
      <c r="AT2" s="233" t="str">
        <f>変更履歴!AT2</f>
        <v>作成</v>
      </c>
      <c r="AU2" s="234"/>
      <c r="AV2" s="235">
        <f>変更履歴!AV2</f>
        <v>45448</v>
      </c>
      <c r="AW2" s="235"/>
      <c r="AX2" s="235"/>
      <c r="AY2" s="235"/>
      <c r="AZ2" s="235"/>
      <c r="BA2" s="236"/>
      <c r="BB2" s="237" t="str">
        <f>変更履歴!BB2</f>
        <v>JBS井田</v>
      </c>
      <c r="BC2" s="239"/>
      <c r="BD2" s="239"/>
      <c r="BE2" s="239"/>
      <c r="BF2" s="239"/>
      <c r="BG2" s="239"/>
      <c r="BH2" s="239"/>
      <c r="BI2" s="240"/>
    </row>
    <row r="3" spans="1:61" s="1" customFormat="1" ht="15" customHeight="1" thickBot="1">
      <c r="A3" s="251"/>
      <c r="B3" s="252"/>
      <c r="C3" s="252"/>
      <c r="D3" s="252"/>
      <c r="E3" s="253"/>
      <c r="F3" s="224"/>
      <c r="G3" s="225"/>
      <c r="H3" s="225"/>
      <c r="I3" s="225"/>
      <c r="J3" s="225"/>
      <c r="K3" s="225"/>
      <c r="L3" s="225"/>
      <c r="M3" s="225"/>
      <c r="N3" s="225"/>
      <c r="O3" s="225"/>
      <c r="P3" s="226"/>
      <c r="Q3" s="224"/>
      <c r="R3" s="225"/>
      <c r="S3" s="225"/>
      <c r="T3" s="225"/>
      <c r="U3" s="225"/>
      <c r="V3" s="226"/>
      <c r="W3" s="230"/>
      <c r="X3" s="231"/>
      <c r="Y3" s="231"/>
      <c r="Z3" s="231"/>
      <c r="AA3" s="231"/>
      <c r="AB3" s="231"/>
      <c r="AC3" s="231"/>
      <c r="AD3" s="232"/>
      <c r="AE3" s="224"/>
      <c r="AF3" s="225"/>
      <c r="AG3" s="225"/>
      <c r="AH3" s="225"/>
      <c r="AI3" s="225"/>
      <c r="AJ3" s="225"/>
      <c r="AK3" s="225"/>
      <c r="AL3" s="225"/>
      <c r="AM3" s="225"/>
      <c r="AN3" s="225"/>
      <c r="AO3" s="225"/>
      <c r="AP3" s="225"/>
      <c r="AQ3" s="225"/>
      <c r="AR3" s="225"/>
      <c r="AS3" s="226"/>
      <c r="AT3" s="241" t="str">
        <f>変更履歴!AT3</f>
        <v>更新</v>
      </c>
      <c r="AU3" s="242"/>
      <c r="AV3" s="290">
        <f ca="1">変更履歴!AV3</f>
        <v>45589</v>
      </c>
      <c r="AW3" s="291"/>
      <c r="AX3" s="291"/>
      <c r="AY3" s="291"/>
      <c r="AZ3" s="291"/>
      <c r="BA3" s="292"/>
      <c r="BB3" s="294" t="str">
        <f ca="1">変更履歴!BB3</f>
        <v>JBS井田</v>
      </c>
      <c r="BC3" s="295"/>
      <c r="BD3" s="295"/>
      <c r="BE3" s="295"/>
      <c r="BF3" s="295"/>
      <c r="BG3" s="295"/>
      <c r="BH3" s="295"/>
      <c r="BI3" s="296"/>
    </row>
    <row r="4" spans="1:61" s="1" customFormat="1" ht="15" customHeight="1" thickBot="1"/>
    <row r="5" spans="1:61" s="1" customFormat="1" ht="15" customHeight="1">
      <c r="A5" s="565" t="s">
        <v>52</v>
      </c>
      <c r="B5" s="345"/>
      <c r="C5" s="566" t="s">
        <v>230</v>
      </c>
      <c r="D5" s="567"/>
      <c r="E5" s="567"/>
      <c r="F5" s="567"/>
      <c r="G5" s="567"/>
      <c r="H5" s="567"/>
      <c r="I5" s="567"/>
      <c r="J5" s="567"/>
      <c r="K5" s="567"/>
      <c r="L5" s="567"/>
      <c r="M5" s="567"/>
      <c r="N5" s="567"/>
      <c r="O5" s="567"/>
      <c r="P5" s="567"/>
      <c r="Q5" s="567"/>
      <c r="R5" s="568"/>
      <c r="S5" s="566" t="s">
        <v>182</v>
      </c>
      <c r="T5" s="567"/>
      <c r="U5" s="567"/>
      <c r="V5" s="567"/>
      <c r="W5" s="567"/>
      <c r="X5" s="567"/>
      <c r="Y5" s="567"/>
      <c r="Z5" s="567"/>
      <c r="AA5" s="566" t="s">
        <v>231</v>
      </c>
      <c r="AB5" s="567"/>
      <c r="AC5" s="567"/>
      <c r="AD5" s="567"/>
      <c r="AE5" s="567"/>
      <c r="AF5" s="567"/>
      <c r="AG5" s="567"/>
      <c r="AH5" s="567"/>
      <c r="AI5" s="567"/>
      <c r="AJ5" s="567"/>
      <c r="AK5" s="567"/>
      <c r="AL5" s="567"/>
      <c r="AM5" s="567"/>
      <c r="AN5" s="567"/>
      <c r="AO5" s="567"/>
      <c r="AP5" s="567"/>
      <c r="AQ5" s="567"/>
      <c r="AR5" s="567"/>
      <c r="AS5" s="567"/>
      <c r="AT5" s="567"/>
      <c r="AU5" s="567"/>
      <c r="AV5" s="567"/>
      <c r="AW5" s="567"/>
      <c r="AX5" s="567"/>
      <c r="AY5" s="567"/>
      <c r="AZ5" s="567"/>
      <c r="BA5" s="567"/>
      <c r="BB5" s="567"/>
      <c r="BC5" s="568"/>
      <c r="BD5" s="566" t="s">
        <v>57</v>
      </c>
      <c r="BE5" s="567"/>
      <c r="BF5" s="567"/>
      <c r="BG5" s="567"/>
      <c r="BH5" s="567"/>
      <c r="BI5" s="569"/>
    </row>
    <row r="6" spans="1:61" s="1" customFormat="1" ht="15" customHeight="1">
      <c r="A6" s="558">
        <f>ROW()-5</f>
        <v>1</v>
      </c>
      <c r="B6" s="559"/>
      <c r="C6" s="416"/>
      <c r="D6" s="298"/>
      <c r="E6" s="298"/>
      <c r="F6" s="298"/>
      <c r="G6" s="298"/>
      <c r="H6" s="298"/>
      <c r="I6" s="298"/>
      <c r="J6" s="298"/>
      <c r="K6" s="298"/>
      <c r="L6" s="298"/>
      <c r="M6" s="298"/>
      <c r="N6" s="298"/>
      <c r="O6" s="298"/>
      <c r="P6" s="298"/>
      <c r="Q6" s="298"/>
      <c r="R6" s="417"/>
      <c r="S6" s="411"/>
      <c r="T6" s="412"/>
      <c r="U6" s="412"/>
      <c r="V6" s="412"/>
      <c r="W6" s="412"/>
      <c r="X6" s="412"/>
      <c r="Y6" s="412"/>
      <c r="Z6" s="413"/>
      <c r="AA6" s="464"/>
      <c r="AB6" s="465"/>
      <c r="AC6" s="465"/>
      <c r="AD6" s="465"/>
      <c r="AE6" s="465"/>
      <c r="AF6" s="465"/>
      <c r="AG6" s="465"/>
      <c r="AH6" s="465"/>
      <c r="AI6" s="465"/>
      <c r="AJ6" s="465"/>
      <c r="AK6" s="465"/>
      <c r="AL6" s="465"/>
      <c r="AM6" s="465"/>
      <c r="AN6" s="465"/>
      <c r="AO6" s="465"/>
      <c r="AP6" s="465"/>
      <c r="AQ6" s="465"/>
      <c r="AR6" s="465"/>
      <c r="AS6" s="465"/>
      <c r="AT6" s="465"/>
      <c r="AU6" s="465"/>
      <c r="AV6" s="465"/>
      <c r="AW6" s="465"/>
      <c r="AX6" s="465"/>
      <c r="AY6" s="465"/>
      <c r="AZ6" s="465"/>
      <c r="BA6" s="465"/>
      <c r="BB6" s="465"/>
      <c r="BC6" s="466"/>
      <c r="BD6" s="416"/>
      <c r="BE6" s="298"/>
      <c r="BF6" s="298"/>
      <c r="BG6" s="298"/>
      <c r="BH6" s="298"/>
      <c r="BI6" s="299"/>
    </row>
    <row r="7" spans="1:61" s="1" customFormat="1" ht="15" customHeight="1">
      <c r="A7" s="558">
        <f t="shared" ref="A7:A38" si="0">ROW()-5</f>
        <v>2</v>
      </c>
      <c r="B7" s="559"/>
      <c r="C7" s="416"/>
      <c r="D7" s="298"/>
      <c r="E7" s="298"/>
      <c r="F7" s="298"/>
      <c r="G7" s="298"/>
      <c r="H7" s="298"/>
      <c r="I7" s="298"/>
      <c r="J7" s="298"/>
      <c r="K7" s="298"/>
      <c r="L7" s="298"/>
      <c r="M7" s="298"/>
      <c r="N7" s="298"/>
      <c r="O7" s="298"/>
      <c r="P7" s="298"/>
      <c r="Q7" s="298"/>
      <c r="R7" s="417"/>
      <c r="S7" s="411"/>
      <c r="T7" s="412"/>
      <c r="U7" s="412"/>
      <c r="V7" s="412"/>
      <c r="W7" s="412"/>
      <c r="X7" s="412"/>
      <c r="Y7" s="412"/>
      <c r="Z7" s="413"/>
      <c r="AA7" s="416"/>
      <c r="AB7" s="298"/>
      <c r="AC7" s="298"/>
      <c r="AD7" s="298"/>
      <c r="AE7" s="298"/>
      <c r="AF7" s="298"/>
      <c r="AG7" s="298"/>
      <c r="AH7" s="298"/>
      <c r="AI7" s="298"/>
      <c r="AJ7" s="298"/>
      <c r="AK7" s="298"/>
      <c r="AL7" s="298"/>
      <c r="AM7" s="298"/>
      <c r="AN7" s="298"/>
      <c r="AO7" s="298"/>
      <c r="AP7" s="298"/>
      <c r="AQ7" s="298"/>
      <c r="AR7" s="298"/>
      <c r="AS7" s="298"/>
      <c r="AT7" s="298"/>
      <c r="AU7" s="298"/>
      <c r="AV7" s="298"/>
      <c r="AW7" s="298"/>
      <c r="AX7" s="298"/>
      <c r="AY7" s="298"/>
      <c r="AZ7" s="298"/>
      <c r="BA7" s="298"/>
      <c r="BB7" s="298"/>
      <c r="BC7" s="417"/>
      <c r="BD7" s="416"/>
      <c r="BE7" s="298"/>
      <c r="BF7" s="298"/>
      <c r="BG7" s="298"/>
      <c r="BH7" s="298"/>
      <c r="BI7" s="299"/>
    </row>
    <row r="8" spans="1:61" s="1" customFormat="1" ht="15" customHeight="1">
      <c r="A8" s="558">
        <f t="shared" si="0"/>
        <v>3</v>
      </c>
      <c r="B8" s="559"/>
      <c r="C8" s="416"/>
      <c r="D8" s="298"/>
      <c r="E8" s="298"/>
      <c r="F8" s="298"/>
      <c r="G8" s="298"/>
      <c r="H8" s="298"/>
      <c r="I8" s="298"/>
      <c r="J8" s="298"/>
      <c r="K8" s="298"/>
      <c r="L8" s="298"/>
      <c r="M8" s="298"/>
      <c r="N8" s="298"/>
      <c r="O8" s="298"/>
      <c r="P8" s="298"/>
      <c r="Q8" s="298"/>
      <c r="R8" s="417"/>
      <c r="S8" s="411"/>
      <c r="T8" s="412"/>
      <c r="U8" s="412"/>
      <c r="V8" s="412"/>
      <c r="W8" s="412"/>
      <c r="X8" s="412"/>
      <c r="Y8" s="412"/>
      <c r="Z8" s="413"/>
      <c r="AA8" s="416"/>
      <c r="AB8" s="298"/>
      <c r="AC8" s="298"/>
      <c r="AD8" s="298"/>
      <c r="AE8" s="298"/>
      <c r="AF8" s="298"/>
      <c r="AG8" s="298"/>
      <c r="AH8" s="298"/>
      <c r="AI8" s="298"/>
      <c r="AJ8" s="298"/>
      <c r="AK8" s="298"/>
      <c r="AL8" s="298"/>
      <c r="AM8" s="298"/>
      <c r="AN8" s="298"/>
      <c r="AO8" s="298"/>
      <c r="AP8" s="298"/>
      <c r="AQ8" s="298"/>
      <c r="AR8" s="298"/>
      <c r="AS8" s="298"/>
      <c r="AT8" s="298"/>
      <c r="AU8" s="298"/>
      <c r="AV8" s="298"/>
      <c r="AW8" s="298"/>
      <c r="AX8" s="298"/>
      <c r="AY8" s="298"/>
      <c r="AZ8" s="298"/>
      <c r="BA8" s="298"/>
      <c r="BB8" s="298"/>
      <c r="BC8" s="417"/>
      <c r="BD8" s="416"/>
      <c r="BE8" s="298"/>
      <c r="BF8" s="298"/>
      <c r="BG8" s="298"/>
      <c r="BH8" s="298"/>
      <c r="BI8" s="299"/>
    </row>
    <row r="9" spans="1:61" s="1" customFormat="1" ht="15" customHeight="1">
      <c r="A9" s="558">
        <f t="shared" si="0"/>
        <v>4</v>
      </c>
      <c r="B9" s="559"/>
      <c r="C9" s="416"/>
      <c r="D9" s="298"/>
      <c r="E9" s="298"/>
      <c r="F9" s="298"/>
      <c r="G9" s="298"/>
      <c r="H9" s="298"/>
      <c r="I9" s="298"/>
      <c r="J9" s="298"/>
      <c r="K9" s="298"/>
      <c r="L9" s="298"/>
      <c r="M9" s="298"/>
      <c r="N9" s="298"/>
      <c r="O9" s="298"/>
      <c r="P9" s="298"/>
      <c r="Q9" s="298"/>
      <c r="R9" s="417"/>
      <c r="S9" s="411"/>
      <c r="T9" s="412"/>
      <c r="U9" s="412"/>
      <c r="V9" s="412"/>
      <c r="W9" s="412"/>
      <c r="X9" s="412"/>
      <c r="Y9" s="412"/>
      <c r="Z9" s="413"/>
      <c r="AA9" s="416"/>
      <c r="AB9" s="298"/>
      <c r="AC9" s="298"/>
      <c r="AD9" s="298"/>
      <c r="AE9" s="298"/>
      <c r="AF9" s="298"/>
      <c r="AG9" s="298"/>
      <c r="AH9" s="298"/>
      <c r="AI9" s="298"/>
      <c r="AJ9" s="298"/>
      <c r="AK9" s="298"/>
      <c r="AL9" s="298"/>
      <c r="AM9" s="298"/>
      <c r="AN9" s="298"/>
      <c r="AO9" s="298"/>
      <c r="AP9" s="298"/>
      <c r="AQ9" s="298"/>
      <c r="AR9" s="298"/>
      <c r="AS9" s="298"/>
      <c r="AT9" s="298"/>
      <c r="AU9" s="298"/>
      <c r="AV9" s="298"/>
      <c r="AW9" s="298"/>
      <c r="AX9" s="298"/>
      <c r="AY9" s="298"/>
      <c r="AZ9" s="298"/>
      <c r="BA9" s="298"/>
      <c r="BB9" s="298"/>
      <c r="BC9" s="417"/>
      <c r="BD9" s="416"/>
      <c r="BE9" s="298"/>
      <c r="BF9" s="298"/>
      <c r="BG9" s="298"/>
      <c r="BH9" s="298"/>
      <c r="BI9" s="299"/>
    </row>
    <row r="10" spans="1:61" s="1" customFormat="1" ht="15" customHeight="1">
      <c r="A10" s="558">
        <f t="shared" si="0"/>
        <v>5</v>
      </c>
      <c r="B10" s="559"/>
      <c r="C10" s="416"/>
      <c r="D10" s="298"/>
      <c r="E10" s="298"/>
      <c r="F10" s="298"/>
      <c r="G10" s="298"/>
      <c r="H10" s="298"/>
      <c r="I10" s="298"/>
      <c r="J10" s="298"/>
      <c r="K10" s="298"/>
      <c r="L10" s="298"/>
      <c r="M10" s="298"/>
      <c r="N10" s="298"/>
      <c r="O10" s="298"/>
      <c r="P10" s="298"/>
      <c r="Q10" s="298"/>
      <c r="R10" s="417"/>
      <c r="S10" s="411"/>
      <c r="T10" s="412"/>
      <c r="U10" s="412"/>
      <c r="V10" s="412"/>
      <c r="W10" s="412"/>
      <c r="X10" s="412"/>
      <c r="Y10" s="412"/>
      <c r="Z10" s="413"/>
      <c r="AA10" s="560"/>
      <c r="AB10" s="561"/>
      <c r="AC10" s="561"/>
      <c r="AD10" s="561"/>
      <c r="AE10" s="561"/>
      <c r="AF10" s="561"/>
      <c r="AG10" s="561"/>
      <c r="AH10" s="561"/>
      <c r="AI10" s="561"/>
      <c r="AJ10" s="561"/>
      <c r="AK10" s="561"/>
      <c r="AL10" s="561"/>
      <c r="AM10" s="561"/>
      <c r="AN10" s="561"/>
      <c r="AO10" s="561"/>
      <c r="AP10" s="561"/>
      <c r="AQ10" s="561"/>
      <c r="AR10" s="561"/>
      <c r="AS10" s="561"/>
      <c r="AT10" s="561"/>
      <c r="AU10" s="561"/>
      <c r="AV10" s="561"/>
      <c r="AW10" s="561"/>
      <c r="AX10" s="561"/>
      <c r="AY10" s="561"/>
      <c r="AZ10" s="561"/>
      <c r="BA10" s="561"/>
      <c r="BB10" s="561"/>
      <c r="BC10" s="562"/>
      <c r="BD10" s="416"/>
      <c r="BE10" s="298"/>
      <c r="BF10" s="298"/>
      <c r="BG10" s="298"/>
      <c r="BH10" s="298"/>
      <c r="BI10" s="299"/>
    </row>
    <row r="11" spans="1:61" s="1" customFormat="1" ht="15" customHeight="1">
      <c r="A11" s="558">
        <f t="shared" si="0"/>
        <v>6</v>
      </c>
      <c r="B11" s="559"/>
      <c r="C11" s="416"/>
      <c r="D11" s="298"/>
      <c r="E11" s="298"/>
      <c r="F11" s="298"/>
      <c r="G11" s="298"/>
      <c r="H11" s="298"/>
      <c r="I11" s="298"/>
      <c r="J11" s="298"/>
      <c r="K11" s="298"/>
      <c r="L11" s="298"/>
      <c r="M11" s="298"/>
      <c r="N11" s="298"/>
      <c r="O11" s="298"/>
      <c r="P11" s="298"/>
      <c r="Q11" s="298"/>
      <c r="R11" s="417"/>
      <c r="S11" s="411"/>
      <c r="T11" s="412"/>
      <c r="U11" s="412"/>
      <c r="V11" s="412"/>
      <c r="W11" s="412"/>
      <c r="X11" s="412"/>
      <c r="Y11" s="412"/>
      <c r="Z11" s="413"/>
      <c r="AA11" s="416"/>
      <c r="AB11" s="298"/>
      <c r="AC11" s="298"/>
      <c r="AD11" s="298"/>
      <c r="AE11" s="298"/>
      <c r="AF11" s="298"/>
      <c r="AG11" s="298"/>
      <c r="AH11" s="298"/>
      <c r="AI11" s="298"/>
      <c r="AJ11" s="298"/>
      <c r="AK11" s="298"/>
      <c r="AL11" s="298"/>
      <c r="AM11" s="298"/>
      <c r="AN11" s="298"/>
      <c r="AO11" s="298"/>
      <c r="AP11" s="298"/>
      <c r="AQ11" s="298"/>
      <c r="AR11" s="298"/>
      <c r="AS11" s="298"/>
      <c r="AT11" s="298"/>
      <c r="AU11" s="298"/>
      <c r="AV11" s="298"/>
      <c r="AW11" s="298"/>
      <c r="AX11" s="298"/>
      <c r="AY11" s="298"/>
      <c r="AZ11" s="298"/>
      <c r="BA11" s="298"/>
      <c r="BB11" s="298"/>
      <c r="BC11" s="417"/>
      <c r="BD11" s="416"/>
      <c r="BE11" s="298"/>
      <c r="BF11" s="298"/>
      <c r="BG11" s="298"/>
      <c r="BH11" s="298"/>
      <c r="BI11" s="299"/>
    </row>
    <row r="12" spans="1:61" s="1" customFormat="1" ht="15" customHeight="1">
      <c r="A12" s="558">
        <f t="shared" si="0"/>
        <v>7</v>
      </c>
      <c r="B12" s="559"/>
      <c r="C12" s="416"/>
      <c r="D12" s="298"/>
      <c r="E12" s="298"/>
      <c r="F12" s="298"/>
      <c r="G12" s="298"/>
      <c r="H12" s="298"/>
      <c r="I12" s="298"/>
      <c r="J12" s="298"/>
      <c r="K12" s="298"/>
      <c r="L12" s="298"/>
      <c r="M12" s="298"/>
      <c r="N12" s="298"/>
      <c r="O12" s="298"/>
      <c r="P12" s="298"/>
      <c r="Q12" s="298"/>
      <c r="R12" s="417"/>
      <c r="S12" s="411"/>
      <c r="T12" s="412"/>
      <c r="U12" s="412"/>
      <c r="V12" s="412"/>
      <c r="W12" s="412"/>
      <c r="X12" s="412"/>
      <c r="Y12" s="412"/>
      <c r="Z12" s="413"/>
      <c r="AA12" s="416"/>
      <c r="AB12" s="298"/>
      <c r="AC12" s="298"/>
      <c r="AD12" s="298"/>
      <c r="AE12" s="298"/>
      <c r="AF12" s="298"/>
      <c r="AG12" s="298"/>
      <c r="AH12" s="298"/>
      <c r="AI12" s="298"/>
      <c r="AJ12" s="298"/>
      <c r="AK12" s="298"/>
      <c r="AL12" s="298"/>
      <c r="AM12" s="298"/>
      <c r="AN12" s="298"/>
      <c r="AO12" s="298"/>
      <c r="AP12" s="298"/>
      <c r="AQ12" s="298"/>
      <c r="AR12" s="298"/>
      <c r="AS12" s="298"/>
      <c r="AT12" s="298"/>
      <c r="AU12" s="298"/>
      <c r="AV12" s="298"/>
      <c r="AW12" s="298"/>
      <c r="AX12" s="298"/>
      <c r="AY12" s="298"/>
      <c r="AZ12" s="298"/>
      <c r="BA12" s="298"/>
      <c r="BB12" s="298"/>
      <c r="BC12" s="417"/>
      <c r="BD12" s="416"/>
      <c r="BE12" s="298"/>
      <c r="BF12" s="298"/>
      <c r="BG12" s="298"/>
      <c r="BH12" s="298"/>
      <c r="BI12" s="299"/>
    </row>
    <row r="13" spans="1:61" s="1" customFormat="1" ht="15" customHeight="1">
      <c r="A13" s="558">
        <f t="shared" si="0"/>
        <v>8</v>
      </c>
      <c r="B13" s="559"/>
      <c r="C13" s="416"/>
      <c r="D13" s="298"/>
      <c r="E13" s="298"/>
      <c r="F13" s="298"/>
      <c r="G13" s="298"/>
      <c r="H13" s="298"/>
      <c r="I13" s="298"/>
      <c r="J13" s="298"/>
      <c r="K13" s="298"/>
      <c r="L13" s="298"/>
      <c r="M13" s="298"/>
      <c r="N13" s="298"/>
      <c r="O13" s="298"/>
      <c r="P13" s="298"/>
      <c r="Q13" s="298"/>
      <c r="R13" s="417"/>
      <c r="S13" s="411"/>
      <c r="T13" s="412"/>
      <c r="U13" s="412"/>
      <c r="V13" s="412"/>
      <c r="W13" s="412"/>
      <c r="X13" s="412"/>
      <c r="Y13" s="412"/>
      <c r="Z13" s="413"/>
      <c r="AA13" s="416"/>
      <c r="AB13" s="298"/>
      <c r="AC13" s="298"/>
      <c r="AD13" s="298"/>
      <c r="AE13" s="298"/>
      <c r="AF13" s="298"/>
      <c r="AG13" s="298"/>
      <c r="AH13" s="298"/>
      <c r="AI13" s="298"/>
      <c r="AJ13" s="298"/>
      <c r="AK13" s="298"/>
      <c r="AL13" s="298"/>
      <c r="AM13" s="298"/>
      <c r="AN13" s="298"/>
      <c r="AO13" s="298"/>
      <c r="AP13" s="298"/>
      <c r="AQ13" s="298"/>
      <c r="AR13" s="298"/>
      <c r="AS13" s="298"/>
      <c r="AT13" s="298"/>
      <c r="AU13" s="298"/>
      <c r="AV13" s="298"/>
      <c r="AW13" s="298"/>
      <c r="AX13" s="298"/>
      <c r="AY13" s="298"/>
      <c r="AZ13" s="298"/>
      <c r="BA13" s="298"/>
      <c r="BB13" s="298"/>
      <c r="BC13" s="417"/>
      <c r="BD13" s="416"/>
      <c r="BE13" s="298"/>
      <c r="BF13" s="298"/>
      <c r="BG13" s="298"/>
      <c r="BH13" s="298"/>
      <c r="BI13" s="299"/>
    </row>
    <row r="14" spans="1:61" s="1" customFormat="1" ht="15" customHeight="1">
      <c r="A14" s="558">
        <f t="shared" si="0"/>
        <v>9</v>
      </c>
      <c r="B14" s="559"/>
      <c r="C14" s="416"/>
      <c r="D14" s="298"/>
      <c r="E14" s="298"/>
      <c r="F14" s="298"/>
      <c r="G14" s="298"/>
      <c r="H14" s="298"/>
      <c r="I14" s="298"/>
      <c r="J14" s="298"/>
      <c r="K14" s="298"/>
      <c r="L14" s="298"/>
      <c r="M14" s="298"/>
      <c r="N14" s="298"/>
      <c r="O14" s="298"/>
      <c r="P14" s="298"/>
      <c r="Q14" s="298"/>
      <c r="R14" s="417"/>
      <c r="S14" s="411"/>
      <c r="T14" s="412"/>
      <c r="U14" s="412"/>
      <c r="V14" s="412"/>
      <c r="W14" s="412"/>
      <c r="X14" s="412"/>
      <c r="Y14" s="412"/>
      <c r="Z14" s="413"/>
      <c r="AA14" s="416"/>
      <c r="AB14" s="298"/>
      <c r="AC14" s="298"/>
      <c r="AD14" s="298"/>
      <c r="AE14" s="298"/>
      <c r="AF14" s="298"/>
      <c r="AG14" s="298"/>
      <c r="AH14" s="298"/>
      <c r="AI14" s="298"/>
      <c r="AJ14" s="298"/>
      <c r="AK14" s="298"/>
      <c r="AL14" s="298"/>
      <c r="AM14" s="298"/>
      <c r="AN14" s="298"/>
      <c r="AO14" s="298"/>
      <c r="AP14" s="298"/>
      <c r="AQ14" s="298"/>
      <c r="AR14" s="298"/>
      <c r="AS14" s="298"/>
      <c r="AT14" s="298"/>
      <c r="AU14" s="298"/>
      <c r="AV14" s="298"/>
      <c r="AW14" s="298"/>
      <c r="AX14" s="298"/>
      <c r="AY14" s="298"/>
      <c r="AZ14" s="298"/>
      <c r="BA14" s="298"/>
      <c r="BB14" s="298"/>
      <c r="BC14" s="417"/>
      <c r="BD14" s="416"/>
      <c r="BE14" s="298"/>
      <c r="BF14" s="298"/>
      <c r="BG14" s="298"/>
      <c r="BH14" s="298"/>
      <c r="BI14" s="299"/>
    </row>
    <row r="15" spans="1:61" s="1" customFormat="1" ht="15" customHeight="1">
      <c r="A15" s="558">
        <f t="shared" si="0"/>
        <v>10</v>
      </c>
      <c r="B15" s="559"/>
      <c r="C15" s="416"/>
      <c r="D15" s="298"/>
      <c r="E15" s="298"/>
      <c r="F15" s="298"/>
      <c r="G15" s="298"/>
      <c r="H15" s="298"/>
      <c r="I15" s="298"/>
      <c r="J15" s="298"/>
      <c r="K15" s="298"/>
      <c r="L15" s="298"/>
      <c r="M15" s="298"/>
      <c r="N15" s="298"/>
      <c r="O15" s="298"/>
      <c r="P15" s="298"/>
      <c r="Q15" s="298"/>
      <c r="R15" s="417"/>
      <c r="S15" s="411"/>
      <c r="T15" s="412"/>
      <c r="U15" s="412"/>
      <c r="V15" s="412"/>
      <c r="W15" s="412"/>
      <c r="X15" s="412"/>
      <c r="Y15" s="412"/>
      <c r="Z15" s="413"/>
      <c r="AA15" s="416"/>
      <c r="AB15" s="298"/>
      <c r="AC15" s="298"/>
      <c r="AD15" s="298"/>
      <c r="AE15" s="298"/>
      <c r="AF15" s="298"/>
      <c r="AG15" s="298"/>
      <c r="AH15" s="298"/>
      <c r="AI15" s="298"/>
      <c r="AJ15" s="298"/>
      <c r="AK15" s="298"/>
      <c r="AL15" s="298"/>
      <c r="AM15" s="298"/>
      <c r="AN15" s="298"/>
      <c r="AO15" s="298"/>
      <c r="AP15" s="298"/>
      <c r="AQ15" s="298"/>
      <c r="AR15" s="298"/>
      <c r="AS15" s="298"/>
      <c r="AT15" s="298"/>
      <c r="AU15" s="298"/>
      <c r="AV15" s="298"/>
      <c r="AW15" s="298"/>
      <c r="AX15" s="298"/>
      <c r="AY15" s="298"/>
      <c r="AZ15" s="298"/>
      <c r="BA15" s="298"/>
      <c r="BB15" s="298"/>
      <c r="BC15" s="417"/>
      <c r="BD15" s="416"/>
      <c r="BE15" s="298"/>
      <c r="BF15" s="298"/>
      <c r="BG15" s="298"/>
      <c r="BH15" s="298"/>
      <c r="BI15" s="299"/>
    </row>
    <row r="16" spans="1:61" s="1" customFormat="1" ht="15" customHeight="1">
      <c r="A16" s="558">
        <f t="shared" si="0"/>
        <v>11</v>
      </c>
      <c r="B16" s="559"/>
      <c r="C16" s="416"/>
      <c r="D16" s="298"/>
      <c r="E16" s="298"/>
      <c r="F16" s="298"/>
      <c r="G16" s="298"/>
      <c r="H16" s="298"/>
      <c r="I16" s="298"/>
      <c r="J16" s="298"/>
      <c r="K16" s="298"/>
      <c r="L16" s="298"/>
      <c r="M16" s="298"/>
      <c r="N16" s="298"/>
      <c r="O16" s="298"/>
      <c r="P16" s="298"/>
      <c r="Q16" s="298"/>
      <c r="R16" s="417"/>
      <c r="S16" s="411"/>
      <c r="T16" s="412"/>
      <c r="U16" s="412"/>
      <c r="V16" s="412"/>
      <c r="W16" s="412"/>
      <c r="X16" s="412"/>
      <c r="Y16" s="412"/>
      <c r="Z16" s="413"/>
      <c r="AA16" s="416"/>
      <c r="AB16" s="298"/>
      <c r="AC16" s="298"/>
      <c r="AD16" s="298"/>
      <c r="AE16" s="298"/>
      <c r="AF16" s="298"/>
      <c r="AG16" s="298"/>
      <c r="AH16" s="298"/>
      <c r="AI16" s="298"/>
      <c r="AJ16" s="298"/>
      <c r="AK16" s="298"/>
      <c r="AL16" s="298"/>
      <c r="AM16" s="298"/>
      <c r="AN16" s="298"/>
      <c r="AO16" s="298"/>
      <c r="AP16" s="298"/>
      <c r="AQ16" s="298"/>
      <c r="AR16" s="298"/>
      <c r="AS16" s="298"/>
      <c r="AT16" s="298"/>
      <c r="AU16" s="298"/>
      <c r="AV16" s="298"/>
      <c r="AW16" s="298"/>
      <c r="AX16" s="298"/>
      <c r="AY16" s="298"/>
      <c r="AZ16" s="298"/>
      <c r="BA16" s="298"/>
      <c r="BB16" s="298"/>
      <c r="BC16" s="417"/>
      <c r="BD16" s="416"/>
      <c r="BE16" s="298"/>
      <c r="BF16" s="298"/>
      <c r="BG16" s="298"/>
      <c r="BH16" s="298"/>
      <c r="BI16" s="299"/>
    </row>
    <row r="17" spans="1:61" s="1" customFormat="1" ht="15" customHeight="1">
      <c r="A17" s="558">
        <f t="shared" si="0"/>
        <v>12</v>
      </c>
      <c r="B17" s="559"/>
      <c r="C17" s="416"/>
      <c r="D17" s="298"/>
      <c r="E17" s="298"/>
      <c r="F17" s="298"/>
      <c r="G17" s="298"/>
      <c r="H17" s="298"/>
      <c r="I17" s="298"/>
      <c r="J17" s="298"/>
      <c r="K17" s="298"/>
      <c r="L17" s="298"/>
      <c r="M17" s="298"/>
      <c r="N17" s="298"/>
      <c r="O17" s="298"/>
      <c r="P17" s="298"/>
      <c r="Q17" s="298"/>
      <c r="R17" s="417"/>
      <c r="S17" s="411"/>
      <c r="T17" s="412"/>
      <c r="U17" s="412"/>
      <c r="V17" s="412"/>
      <c r="W17" s="412"/>
      <c r="X17" s="412"/>
      <c r="Y17" s="412"/>
      <c r="Z17" s="413"/>
      <c r="AA17" s="416"/>
      <c r="AB17" s="298"/>
      <c r="AC17" s="298"/>
      <c r="AD17" s="298"/>
      <c r="AE17" s="298"/>
      <c r="AF17" s="298"/>
      <c r="AG17" s="298"/>
      <c r="AH17" s="298"/>
      <c r="AI17" s="298"/>
      <c r="AJ17" s="298"/>
      <c r="AK17" s="298"/>
      <c r="AL17" s="298"/>
      <c r="AM17" s="298"/>
      <c r="AN17" s="298"/>
      <c r="AO17" s="298"/>
      <c r="AP17" s="298"/>
      <c r="AQ17" s="298"/>
      <c r="AR17" s="298"/>
      <c r="AS17" s="298"/>
      <c r="AT17" s="298"/>
      <c r="AU17" s="298"/>
      <c r="AV17" s="298"/>
      <c r="AW17" s="298"/>
      <c r="AX17" s="298"/>
      <c r="AY17" s="298"/>
      <c r="AZ17" s="298"/>
      <c r="BA17" s="298"/>
      <c r="BB17" s="298"/>
      <c r="BC17" s="417"/>
      <c r="BD17" s="416"/>
      <c r="BE17" s="298"/>
      <c r="BF17" s="298"/>
      <c r="BG17" s="298"/>
      <c r="BH17" s="298"/>
      <c r="BI17" s="299"/>
    </row>
    <row r="18" spans="1:61" s="1" customFormat="1" ht="15" customHeight="1">
      <c r="A18" s="558">
        <f t="shared" si="0"/>
        <v>13</v>
      </c>
      <c r="B18" s="559"/>
      <c r="C18" s="416"/>
      <c r="D18" s="298"/>
      <c r="E18" s="298"/>
      <c r="F18" s="298"/>
      <c r="G18" s="298"/>
      <c r="H18" s="298"/>
      <c r="I18" s="298"/>
      <c r="J18" s="298"/>
      <c r="K18" s="298"/>
      <c r="L18" s="298"/>
      <c r="M18" s="298"/>
      <c r="N18" s="298"/>
      <c r="O18" s="298"/>
      <c r="P18" s="298"/>
      <c r="Q18" s="298"/>
      <c r="R18" s="417"/>
      <c r="S18" s="411"/>
      <c r="T18" s="412"/>
      <c r="U18" s="412"/>
      <c r="V18" s="412"/>
      <c r="W18" s="412"/>
      <c r="X18" s="412"/>
      <c r="Y18" s="412"/>
      <c r="Z18" s="413"/>
      <c r="AA18" s="416"/>
      <c r="AB18" s="298"/>
      <c r="AC18" s="298"/>
      <c r="AD18" s="298"/>
      <c r="AE18" s="298"/>
      <c r="AF18" s="298"/>
      <c r="AG18" s="298"/>
      <c r="AH18" s="298"/>
      <c r="AI18" s="298"/>
      <c r="AJ18" s="298"/>
      <c r="AK18" s="298"/>
      <c r="AL18" s="298"/>
      <c r="AM18" s="298"/>
      <c r="AN18" s="298"/>
      <c r="AO18" s="298"/>
      <c r="AP18" s="298"/>
      <c r="AQ18" s="298"/>
      <c r="AR18" s="298"/>
      <c r="AS18" s="298"/>
      <c r="AT18" s="298"/>
      <c r="AU18" s="298"/>
      <c r="AV18" s="298"/>
      <c r="AW18" s="298"/>
      <c r="AX18" s="298"/>
      <c r="AY18" s="298"/>
      <c r="AZ18" s="298"/>
      <c r="BA18" s="298"/>
      <c r="BB18" s="298"/>
      <c r="BC18" s="417"/>
      <c r="BD18" s="416"/>
      <c r="BE18" s="298"/>
      <c r="BF18" s="298"/>
      <c r="BG18" s="298"/>
      <c r="BH18" s="298"/>
      <c r="BI18" s="299"/>
    </row>
    <row r="19" spans="1:61" s="1" customFormat="1" ht="15" customHeight="1">
      <c r="A19" s="558">
        <f t="shared" si="0"/>
        <v>14</v>
      </c>
      <c r="B19" s="559"/>
      <c r="C19" s="416"/>
      <c r="D19" s="298"/>
      <c r="E19" s="298"/>
      <c r="F19" s="298"/>
      <c r="G19" s="298"/>
      <c r="H19" s="298"/>
      <c r="I19" s="298"/>
      <c r="J19" s="298"/>
      <c r="K19" s="298"/>
      <c r="L19" s="298"/>
      <c r="M19" s="298"/>
      <c r="N19" s="298"/>
      <c r="O19" s="298"/>
      <c r="P19" s="298"/>
      <c r="Q19" s="298"/>
      <c r="R19" s="417"/>
      <c r="S19" s="411"/>
      <c r="T19" s="412"/>
      <c r="U19" s="412"/>
      <c r="V19" s="412"/>
      <c r="W19" s="412"/>
      <c r="X19" s="412"/>
      <c r="Y19" s="412"/>
      <c r="Z19" s="413"/>
      <c r="AA19" s="416"/>
      <c r="AB19" s="298"/>
      <c r="AC19" s="298"/>
      <c r="AD19" s="298"/>
      <c r="AE19" s="298"/>
      <c r="AF19" s="298"/>
      <c r="AG19" s="298"/>
      <c r="AH19" s="298"/>
      <c r="AI19" s="298"/>
      <c r="AJ19" s="298"/>
      <c r="AK19" s="298"/>
      <c r="AL19" s="298"/>
      <c r="AM19" s="298"/>
      <c r="AN19" s="298"/>
      <c r="AO19" s="298"/>
      <c r="AP19" s="298"/>
      <c r="AQ19" s="298"/>
      <c r="AR19" s="298"/>
      <c r="AS19" s="298"/>
      <c r="AT19" s="298"/>
      <c r="AU19" s="298"/>
      <c r="AV19" s="298"/>
      <c r="AW19" s="298"/>
      <c r="AX19" s="298"/>
      <c r="AY19" s="298"/>
      <c r="AZ19" s="298"/>
      <c r="BA19" s="298"/>
      <c r="BB19" s="298"/>
      <c r="BC19" s="417"/>
      <c r="BD19" s="416"/>
      <c r="BE19" s="298"/>
      <c r="BF19" s="298"/>
      <c r="BG19" s="298"/>
      <c r="BH19" s="298"/>
      <c r="BI19" s="299"/>
    </row>
    <row r="20" spans="1:61" s="1" customFormat="1" ht="15" customHeight="1">
      <c r="A20" s="558">
        <f t="shared" si="0"/>
        <v>15</v>
      </c>
      <c r="B20" s="559"/>
      <c r="C20" s="416"/>
      <c r="D20" s="298"/>
      <c r="E20" s="298"/>
      <c r="F20" s="298"/>
      <c r="G20" s="298"/>
      <c r="H20" s="298"/>
      <c r="I20" s="298"/>
      <c r="J20" s="298"/>
      <c r="K20" s="298"/>
      <c r="L20" s="298"/>
      <c r="M20" s="298"/>
      <c r="N20" s="298"/>
      <c r="O20" s="298"/>
      <c r="P20" s="298"/>
      <c r="Q20" s="298"/>
      <c r="R20" s="417"/>
      <c r="S20" s="411"/>
      <c r="T20" s="412"/>
      <c r="U20" s="412"/>
      <c r="V20" s="412"/>
      <c r="W20" s="412"/>
      <c r="X20" s="412"/>
      <c r="Y20" s="412"/>
      <c r="Z20" s="413"/>
      <c r="AA20" s="416"/>
      <c r="AB20" s="298"/>
      <c r="AC20" s="298"/>
      <c r="AD20" s="298"/>
      <c r="AE20" s="298"/>
      <c r="AF20" s="298"/>
      <c r="AG20" s="298"/>
      <c r="AH20" s="298"/>
      <c r="AI20" s="298"/>
      <c r="AJ20" s="298"/>
      <c r="AK20" s="298"/>
      <c r="AL20" s="298"/>
      <c r="AM20" s="298"/>
      <c r="AN20" s="298"/>
      <c r="AO20" s="298"/>
      <c r="AP20" s="298"/>
      <c r="AQ20" s="298"/>
      <c r="AR20" s="298"/>
      <c r="AS20" s="298"/>
      <c r="AT20" s="298"/>
      <c r="AU20" s="298"/>
      <c r="AV20" s="298"/>
      <c r="AW20" s="298"/>
      <c r="AX20" s="298"/>
      <c r="AY20" s="298"/>
      <c r="AZ20" s="298"/>
      <c r="BA20" s="298"/>
      <c r="BB20" s="298"/>
      <c r="BC20" s="417"/>
      <c r="BD20" s="416"/>
      <c r="BE20" s="298"/>
      <c r="BF20" s="298"/>
      <c r="BG20" s="298"/>
      <c r="BH20" s="298"/>
      <c r="BI20" s="299"/>
    </row>
    <row r="21" spans="1:61" s="1" customFormat="1" ht="15" customHeight="1">
      <c r="A21" s="558">
        <f t="shared" si="0"/>
        <v>16</v>
      </c>
      <c r="B21" s="559"/>
      <c r="C21" s="416"/>
      <c r="D21" s="298"/>
      <c r="E21" s="298"/>
      <c r="F21" s="298"/>
      <c r="G21" s="298"/>
      <c r="H21" s="298"/>
      <c r="I21" s="298"/>
      <c r="J21" s="298"/>
      <c r="K21" s="298"/>
      <c r="L21" s="298"/>
      <c r="M21" s="298"/>
      <c r="N21" s="298"/>
      <c r="O21" s="298"/>
      <c r="P21" s="298"/>
      <c r="Q21" s="298"/>
      <c r="R21" s="417"/>
      <c r="S21" s="411"/>
      <c r="T21" s="412"/>
      <c r="U21" s="412"/>
      <c r="V21" s="412"/>
      <c r="W21" s="412"/>
      <c r="X21" s="412"/>
      <c r="Y21" s="412"/>
      <c r="Z21" s="413"/>
      <c r="AA21" s="416"/>
      <c r="AB21" s="298"/>
      <c r="AC21" s="298"/>
      <c r="AD21" s="298"/>
      <c r="AE21" s="298"/>
      <c r="AF21" s="298"/>
      <c r="AG21" s="298"/>
      <c r="AH21" s="298"/>
      <c r="AI21" s="298"/>
      <c r="AJ21" s="298"/>
      <c r="AK21" s="298"/>
      <c r="AL21" s="298"/>
      <c r="AM21" s="298"/>
      <c r="AN21" s="298"/>
      <c r="AO21" s="298"/>
      <c r="AP21" s="298"/>
      <c r="AQ21" s="298"/>
      <c r="AR21" s="298"/>
      <c r="AS21" s="298"/>
      <c r="AT21" s="298"/>
      <c r="AU21" s="298"/>
      <c r="AV21" s="298"/>
      <c r="AW21" s="298"/>
      <c r="AX21" s="298"/>
      <c r="AY21" s="298"/>
      <c r="AZ21" s="298"/>
      <c r="BA21" s="298"/>
      <c r="BB21" s="298"/>
      <c r="BC21" s="417"/>
      <c r="BD21" s="416"/>
      <c r="BE21" s="298"/>
      <c r="BF21" s="298"/>
      <c r="BG21" s="298"/>
      <c r="BH21" s="298"/>
      <c r="BI21" s="299"/>
    </row>
    <row r="22" spans="1:61" s="1" customFormat="1" ht="15" customHeight="1">
      <c r="A22" s="558">
        <f t="shared" si="0"/>
        <v>17</v>
      </c>
      <c r="B22" s="559"/>
      <c r="C22" s="416"/>
      <c r="D22" s="298"/>
      <c r="E22" s="298"/>
      <c r="F22" s="298"/>
      <c r="G22" s="298"/>
      <c r="H22" s="298"/>
      <c r="I22" s="298"/>
      <c r="J22" s="298"/>
      <c r="K22" s="298"/>
      <c r="L22" s="298"/>
      <c r="M22" s="298"/>
      <c r="N22" s="298"/>
      <c r="O22" s="298"/>
      <c r="P22" s="298"/>
      <c r="Q22" s="298"/>
      <c r="R22" s="417"/>
      <c r="S22" s="411"/>
      <c r="T22" s="412"/>
      <c r="U22" s="412"/>
      <c r="V22" s="412"/>
      <c r="W22" s="412"/>
      <c r="X22" s="412"/>
      <c r="Y22" s="412"/>
      <c r="Z22" s="413"/>
      <c r="AA22" s="416"/>
      <c r="AB22" s="298"/>
      <c r="AC22" s="298"/>
      <c r="AD22" s="298"/>
      <c r="AE22" s="298"/>
      <c r="AF22" s="298"/>
      <c r="AG22" s="298"/>
      <c r="AH22" s="298"/>
      <c r="AI22" s="298"/>
      <c r="AJ22" s="298"/>
      <c r="AK22" s="298"/>
      <c r="AL22" s="298"/>
      <c r="AM22" s="298"/>
      <c r="AN22" s="298"/>
      <c r="AO22" s="298"/>
      <c r="AP22" s="298"/>
      <c r="AQ22" s="298"/>
      <c r="AR22" s="298"/>
      <c r="AS22" s="298"/>
      <c r="AT22" s="298"/>
      <c r="AU22" s="298"/>
      <c r="AV22" s="298"/>
      <c r="AW22" s="298"/>
      <c r="AX22" s="298"/>
      <c r="AY22" s="298"/>
      <c r="AZ22" s="298"/>
      <c r="BA22" s="298"/>
      <c r="BB22" s="298"/>
      <c r="BC22" s="417"/>
      <c r="BD22" s="416"/>
      <c r="BE22" s="298"/>
      <c r="BF22" s="298"/>
      <c r="BG22" s="298"/>
      <c r="BH22" s="298"/>
      <c r="BI22" s="299"/>
    </row>
    <row r="23" spans="1:61" s="1" customFormat="1" ht="15" customHeight="1">
      <c r="A23" s="558">
        <f t="shared" si="0"/>
        <v>18</v>
      </c>
      <c r="B23" s="559"/>
      <c r="C23" s="416"/>
      <c r="D23" s="298"/>
      <c r="E23" s="298"/>
      <c r="F23" s="298"/>
      <c r="G23" s="298"/>
      <c r="H23" s="298"/>
      <c r="I23" s="298"/>
      <c r="J23" s="298"/>
      <c r="K23" s="298"/>
      <c r="L23" s="298"/>
      <c r="M23" s="298"/>
      <c r="N23" s="298"/>
      <c r="O23" s="298"/>
      <c r="P23" s="298"/>
      <c r="Q23" s="298"/>
      <c r="R23" s="417"/>
      <c r="S23" s="411"/>
      <c r="T23" s="412"/>
      <c r="U23" s="412"/>
      <c r="V23" s="412"/>
      <c r="W23" s="412"/>
      <c r="X23" s="412"/>
      <c r="Y23" s="412"/>
      <c r="Z23" s="413"/>
      <c r="AA23" s="416"/>
      <c r="AB23" s="298"/>
      <c r="AC23" s="298"/>
      <c r="AD23" s="298"/>
      <c r="AE23" s="298"/>
      <c r="AF23" s="298"/>
      <c r="AG23" s="298"/>
      <c r="AH23" s="298"/>
      <c r="AI23" s="298"/>
      <c r="AJ23" s="298"/>
      <c r="AK23" s="298"/>
      <c r="AL23" s="298"/>
      <c r="AM23" s="298"/>
      <c r="AN23" s="298"/>
      <c r="AO23" s="298"/>
      <c r="AP23" s="298"/>
      <c r="AQ23" s="298"/>
      <c r="AR23" s="298"/>
      <c r="AS23" s="298"/>
      <c r="AT23" s="298"/>
      <c r="AU23" s="298"/>
      <c r="AV23" s="298"/>
      <c r="AW23" s="298"/>
      <c r="AX23" s="298"/>
      <c r="AY23" s="298"/>
      <c r="AZ23" s="298"/>
      <c r="BA23" s="298"/>
      <c r="BB23" s="298"/>
      <c r="BC23" s="417"/>
      <c r="BD23" s="416"/>
      <c r="BE23" s="298"/>
      <c r="BF23" s="298"/>
      <c r="BG23" s="298"/>
      <c r="BH23" s="298"/>
      <c r="BI23" s="299"/>
    </row>
    <row r="24" spans="1:61" s="1" customFormat="1" ht="15" customHeight="1">
      <c r="A24" s="558">
        <f t="shared" si="0"/>
        <v>19</v>
      </c>
      <c r="B24" s="559"/>
      <c r="C24" s="416"/>
      <c r="D24" s="298"/>
      <c r="E24" s="298"/>
      <c r="F24" s="298"/>
      <c r="G24" s="298"/>
      <c r="H24" s="298"/>
      <c r="I24" s="298"/>
      <c r="J24" s="298"/>
      <c r="K24" s="298"/>
      <c r="L24" s="298"/>
      <c r="M24" s="298"/>
      <c r="N24" s="298"/>
      <c r="O24" s="298"/>
      <c r="P24" s="298"/>
      <c r="Q24" s="298"/>
      <c r="R24" s="417"/>
      <c r="S24" s="411"/>
      <c r="T24" s="412"/>
      <c r="U24" s="412"/>
      <c r="V24" s="412"/>
      <c r="W24" s="412"/>
      <c r="X24" s="412"/>
      <c r="Y24" s="412"/>
      <c r="Z24" s="413"/>
      <c r="AA24" s="416"/>
      <c r="AB24" s="298"/>
      <c r="AC24" s="298"/>
      <c r="AD24" s="298"/>
      <c r="AE24" s="298"/>
      <c r="AF24" s="298"/>
      <c r="AG24" s="298"/>
      <c r="AH24" s="298"/>
      <c r="AI24" s="298"/>
      <c r="AJ24" s="298"/>
      <c r="AK24" s="298"/>
      <c r="AL24" s="298"/>
      <c r="AM24" s="298"/>
      <c r="AN24" s="298"/>
      <c r="AO24" s="298"/>
      <c r="AP24" s="298"/>
      <c r="AQ24" s="298"/>
      <c r="AR24" s="298"/>
      <c r="AS24" s="298"/>
      <c r="AT24" s="298"/>
      <c r="AU24" s="298"/>
      <c r="AV24" s="298"/>
      <c r="AW24" s="298"/>
      <c r="AX24" s="298"/>
      <c r="AY24" s="298"/>
      <c r="AZ24" s="298"/>
      <c r="BA24" s="298"/>
      <c r="BB24" s="298"/>
      <c r="BC24" s="417"/>
      <c r="BD24" s="416"/>
      <c r="BE24" s="298"/>
      <c r="BF24" s="298"/>
      <c r="BG24" s="298"/>
      <c r="BH24" s="298"/>
      <c r="BI24" s="299"/>
    </row>
    <row r="25" spans="1:61" s="1" customFormat="1" ht="15" customHeight="1">
      <c r="A25" s="558">
        <f t="shared" si="0"/>
        <v>20</v>
      </c>
      <c r="B25" s="559"/>
      <c r="C25" s="416"/>
      <c r="D25" s="298"/>
      <c r="E25" s="298"/>
      <c r="F25" s="298"/>
      <c r="G25" s="298"/>
      <c r="H25" s="298"/>
      <c r="I25" s="298"/>
      <c r="J25" s="298"/>
      <c r="K25" s="298"/>
      <c r="L25" s="298"/>
      <c r="M25" s="298"/>
      <c r="N25" s="298"/>
      <c r="O25" s="298"/>
      <c r="P25" s="298"/>
      <c r="Q25" s="298"/>
      <c r="R25" s="417"/>
      <c r="S25" s="411"/>
      <c r="T25" s="412"/>
      <c r="U25" s="412"/>
      <c r="V25" s="412"/>
      <c r="W25" s="412"/>
      <c r="X25" s="412"/>
      <c r="Y25" s="412"/>
      <c r="Z25" s="413"/>
      <c r="AA25" s="416"/>
      <c r="AB25" s="298"/>
      <c r="AC25" s="298"/>
      <c r="AD25" s="298"/>
      <c r="AE25" s="298"/>
      <c r="AF25" s="298"/>
      <c r="AG25" s="298"/>
      <c r="AH25" s="298"/>
      <c r="AI25" s="298"/>
      <c r="AJ25" s="298"/>
      <c r="AK25" s="298"/>
      <c r="AL25" s="298"/>
      <c r="AM25" s="298"/>
      <c r="AN25" s="298"/>
      <c r="AO25" s="298"/>
      <c r="AP25" s="298"/>
      <c r="AQ25" s="298"/>
      <c r="AR25" s="298"/>
      <c r="AS25" s="298"/>
      <c r="AT25" s="298"/>
      <c r="AU25" s="298"/>
      <c r="AV25" s="298"/>
      <c r="AW25" s="298"/>
      <c r="AX25" s="298"/>
      <c r="AY25" s="298"/>
      <c r="AZ25" s="298"/>
      <c r="BA25" s="298"/>
      <c r="BB25" s="298"/>
      <c r="BC25" s="417"/>
      <c r="BD25" s="416"/>
      <c r="BE25" s="298"/>
      <c r="BF25" s="298"/>
      <c r="BG25" s="298"/>
      <c r="BH25" s="298"/>
      <c r="BI25" s="299"/>
    </row>
    <row r="26" spans="1:61" s="1" customFormat="1" ht="15" customHeight="1">
      <c r="A26" s="558">
        <f t="shared" si="0"/>
        <v>21</v>
      </c>
      <c r="B26" s="559"/>
      <c r="C26" s="416"/>
      <c r="D26" s="298"/>
      <c r="E26" s="298"/>
      <c r="F26" s="298"/>
      <c r="G26" s="298"/>
      <c r="H26" s="298"/>
      <c r="I26" s="298"/>
      <c r="J26" s="298"/>
      <c r="K26" s="298"/>
      <c r="L26" s="298"/>
      <c r="M26" s="298"/>
      <c r="N26" s="298"/>
      <c r="O26" s="298"/>
      <c r="P26" s="298"/>
      <c r="Q26" s="298"/>
      <c r="R26" s="417"/>
      <c r="S26" s="411"/>
      <c r="T26" s="412"/>
      <c r="U26" s="412"/>
      <c r="V26" s="412"/>
      <c r="W26" s="412"/>
      <c r="X26" s="412"/>
      <c r="Y26" s="412"/>
      <c r="Z26" s="413"/>
      <c r="AA26" s="416"/>
      <c r="AB26" s="298"/>
      <c r="AC26" s="298"/>
      <c r="AD26" s="298"/>
      <c r="AE26" s="298"/>
      <c r="AF26" s="298"/>
      <c r="AG26" s="298"/>
      <c r="AH26" s="298"/>
      <c r="AI26" s="298"/>
      <c r="AJ26" s="298"/>
      <c r="AK26" s="298"/>
      <c r="AL26" s="298"/>
      <c r="AM26" s="298"/>
      <c r="AN26" s="298"/>
      <c r="AO26" s="298"/>
      <c r="AP26" s="298"/>
      <c r="AQ26" s="298"/>
      <c r="AR26" s="298"/>
      <c r="AS26" s="298"/>
      <c r="AT26" s="298"/>
      <c r="AU26" s="298"/>
      <c r="AV26" s="298"/>
      <c r="AW26" s="298"/>
      <c r="AX26" s="298"/>
      <c r="AY26" s="298"/>
      <c r="AZ26" s="298"/>
      <c r="BA26" s="298"/>
      <c r="BB26" s="298"/>
      <c r="BC26" s="417"/>
      <c r="BD26" s="416"/>
      <c r="BE26" s="298"/>
      <c r="BF26" s="298"/>
      <c r="BG26" s="298"/>
      <c r="BH26" s="298"/>
      <c r="BI26" s="299"/>
    </row>
    <row r="27" spans="1:61" s="1" customFormat="1" ht="15" customHeight="1">
      <c r="A27" s="558">
        <f t="shared" si="0"/>
        <v>22</v>
      </c>
      <c r="B27" s="559"/>
      <c r="C27" s="416"/>
      <c r="D27" s="298"/>
      <c r="E27" s="298"/>
      <c r="F27" s="298"/>
      <c r="G27" s="298"/>
      <c r="H27" s="298"/>
      <c r="I27" s="298"/>
      <c r="J27" s="298"/>
      <c r="K27" s="298"/>
      <c r="L27" s="298"/>
      <c r="M27" s="298"/>
      <c r="N27" s="298"/>
      <c r="O27" s="298"/>
      <c r="P27" s="298"/>
      <c r="Q27" s="298"/>
      <c r="R27" s="417"/>
      <c r="S27" s="411"/>
      <c r="T27" s="412"/>
      <c r="U27" s="412"/>
      <c r="V27" s="412"/>
      <c r="W27" s="412"/>
      <c r="X27" s="412"/>
      <c r="Y27" s="412"/>
      <c r="Z27" s="413"/>
      <c r="AA27" s="416"/>
      <c r="AB27" s="298"/>
      <c r="AC27" s="298"/>
      <c r="AD27" s="298"/>
      <c r="AE27" s="298"/>
      <c r="AF27" s="298"/>
      <c r="AG27" s="298"/>
      <c r="AH27" s="298"/>
      <c r="AI27" s="298"/>
      <c r="AJ27" s="298"/>
      <c r="AK27" s="298"/>
      <c r="AL27" s="298"/>
      <c r="AM27" s="298"/>
      <c r="AN27" s="298"/>
      <c r="AO27" s="298"/>
      <c r="AP27" s="298"/>
      <c r="AQ27" s="298"/>
      <c r="AR27" s="298"/>
      <c r="AS27" s="298"/>
      <c r="AT27" s="298"/>
      <c r="AU27" s="298"/>
      <c r="AV27" s="298"/>
      <c r="AW27" s="298"/>
      <c r="AX27" s="298"/>
      <c r="AY27" s="298"/>
      <c r="AZ27" s="298"/>
      <c r="BA27" s="298"/>
      <c r="BB27" s="298"/>
      <c r="BC27" s="417"/>
      <c r="BD27" s="416"/>
      <c r="BE27" s="298"/>
      <c r="BF27" s="298"/>
      <c r="BG27" s="298"/>
      <c r="BH27" s="298"/>
      <c r="BI27" s="299"/>
    </row>
    <row r="28" spans="1:61" s="1" customFormat="1" ht="15" customHeight="1">
      <c r="A28" s="558">
        <f t="shared" si="0"/>
        <v>23</v>
      </c>
      <c r="B28" s="559"/>
      <c r="C28" s="416"/>
      <c r="D28" s="298"/>
      <c r="E28" s="298"/>
      <c r="F28" s="298"/>
      <c r="G28" s="298"/>
      <c r="H28" s="298"/>
      <c r="I28" s="298"/>
      <c r="J28" s="298"/>
      <c r="K28" s="298"/>
      <c r="L28" s="298"/>
      <c r="M28" s="298"/>
      <c r="N28" s="298"/>
      <c r="O28" s="298"/>
      <c r="P28" s="298"/>
      <c r="Q28" s="298"/>
      <c r="R28" s="417"/>
      <c r="S28" s="411"/>
      <c r="T28" s="412"/>
      <c r="U28" s="412"/>
      <c r="V28" s="412"/>
      <c r="W28" s="412"/>
      <c r="X28" s="412"/>
      <c r="Y28" s="412"/>
      <c r="Z28" s="413"/>
      <c r="AA28" s="416"/>
      <c r="AB28" s="298"/>
      <c r="AC28" s="298"/>
      <c r="AD28" s="298"/>
      <c r="AE28" s="298"/>
      <c r="AF28" s="298"/>
      <c r="AG28" s="298"/>
      <c r="AH28" s="298"/>
      <c r="AI28" s="298"/>
      <c r="AJ28" s="298"/>
      <c r="AK28" s="298"/>
      <c r="AL28" s="298"/>
      <c r="AM28" s="298"/>
      <c r="AN28" s="298"/>
      <c r="AO28" s="298"/>
      <c r="AP28" s="298"/>
      <c r="AQ28" s="298"/>
      <c r="AR28" s="298"/>
      <c r="AS28" s="298"/>
      <c r="AT28" s="298"/>
      <c r="AU28" s="298"/>
      <c r="AV28" s="298"/>
      <c r="AW28" s="298"/>
      <c r="AX28" s="298"/>
      <c r="AY28" s="298"/>
      <c r="AZ28" s="298"/>
      <c r="BA28" s="298"/>
      <c r="BB28" s="298"/>
      <c r="BC28" s="417"/>
      <c r="BD28" s="416"/>
      <c r="BE28" s="298"/>
      <c r="BF28" s="298"/>
      <c r="BG28" s="298"/>
      <c r="BH28" s="298"/>
      <c r="BI28" s="299"/>
    </row>
    <row r="29" spans="1:61" s="1" customFormat="1" ht="15" customHeight="1">
      <c r="A29" s="558">
        <f t="shared" si="0"/>
        <v>24</v>
      </c>
      <c r="B29" s="559"/>
      <c r="C29" s="416"/>
      <c r="D29" s="298"/>
      <c r="E29" s="298"/>
      <c r="F29" s="298"/>
      <c r="G29" s="298"/>
      <c r="H29" s="298"/>
      <c r="I29" s="298"/>
      <c r="J29" s="298"/>
      <c r="K29" s="298"/>
      <c r="L29" s="298"/>
      <c r="M29" s="298"/>
      <c r="N29" s="298"/>
      <c r="O29" s="298"/>
      <c r="P29" s="298"/>
      <c r="Q29" s="298"/>
      <c r="R29" s="417"/>
      <c r="S29" s="411"/>
      <c r="T29" s="412"/>
      <c r="U29" s="412"/>
      <c r="V29" s="412"/>
      <c r="W29" s="412"/>
      <c r="X29" s="412"/>
      <c r="Y29" s="412"/>
      <c r="Z29" s="413"/>
      <c r="AA29" s="416"/>
      <c r="AB29" s="298"/>
      <c r="AC29" s="298"/>
      <c r="AD29" s="298"/>
      <c r="AE29" s="298"/>
      <c r="AF29" s="298"/>
      <c r="AG29" s="298"/>
      <c r="AH29" s="298"/>
      <c r="AI29" s="298"/>
      <c r="AJ29" s="298"/>
      <c r="AK29" s="298"/>
      <c r="AL29" s="298"/>
      <c r="AM29" s="298"/>
      <c r="AN29" s="298"/>
      <c r="AO29" s="298"/>
      <c r="AP29" s="298"/>
      <c r="AQ29" s="298"/>
      <c r="AR29" s="298"/>
      <c r="AS29" s="298"/>
      <c r="AT29" s="298"/>
      <c r="AU29" s="298"/>
      <c r="AV29" s="298"/>
      <c r="AW29" s="298"/>
      <c r="AX29" s="298"/>
      <c r="AY29" s="298"/>
      <c r="AZ29" s="298"/>
      <c r="BA29" s="298"/>
      <c r="BB29" s="298"/>
      <c r="BC29" s="417"/>
      <c r="BD29" s="416"/>
      <c r="BE29" s="298"/>
      <c r="BF29" s="298"/>
      <c r="BG29" s="298"/>
      <c r="BH29" s="298"/>
      <c r="BI29" s="299"/>
    </row>
    <row r="30" spans="1:61" s="1" customFormat="1" ht="15" customHeight="1">
      <c r="A30" s="558">
        <f t="shared" si="0"/>
        <v>25</v>
      </c>
      <c r="B30" s="559"/>
      <c r="C30" s="416"/>
      <c r="D30" s="298"/>
      <c r="E30" s="298"/>
      <c r="F30" s="298"/>
      <c r="G30" s="298"/>
      <c r="H30" s="298"/>
      <c r="I30" s="298"/>
      <c r="J30" s="298"/>
      <c r="K30" s="298"/>
      <c r="L30" s="298"/>
      <c r="M30" s="298"/>
      <c r="N30" s="298"/>
      <c r="O30" s="298"/>
      <c r="P30" s="298"/>
      <c r="Q30" s="298"/>
      <c r="R30" s="417"/>
      <c r="S30" s="411"/>
      <c r="T30" s="412"/>
      <c r="U30" s="412"/>
      <c r="V30" s="412"/>
      <c r="W30" s="412"/>
      <c r="X30" s="412"/>
      <c r="Y30" s="412"/>
      <c r="Z30" s="413"/>
      <c r="AA30" s="416"/>
      <c r="AB30" s="298"/>
      <c r="AC30" s="298"/>
      <c r="AD30" s="298"/>
      <c r="AE30" s="298"/>
      <c r="AF30" s="298"/>
      <c r="AG30" s="298"/>
      <c r="AH30" s="298"/>
      <c r="AI30" s="298"/>
      <c r="AJ30" s="298"/>
      <c r="AK30" s="298"/>
      <c r="AL30" s="298"/>
      <c r="AM30" s="298"/>
      <c r="AN30" s="298"/>
      <c r="AO30" s="298"/>
      <c r="AP30" s="298"/>
      <c r="AQ30" s="298"/>
      <c r="AR30" s="298"/>
      <c r="AS30" s="298"/>
      <c r="AT30" s="298"/>
      <c r="AU30" s="298"/>
      <c r="AV30" s="298"/>
      <c r="AW30" s="298"/>
      <c r="AX30" s="298"/>
      <c r="AY30" s="298"/>
      <c r="AZ30" s="298"/>
      <c r="BA30" s="298"/>
      <c r="BB30" s="298"/>
      <c r="BC30" s="417"/>
      <c r="BD30" s="416"/>
      <c r="BE30" s="298"/>
      <c r="BF30" s="298"/>
      <c r="BG30" s="298"/>
      <c r="BH30" s="298"/>
      <c r="BI30" s="299"/>
    </row>
    <row r="31" spans="1:61" s="1" customFormat="1" ht="15" customHeight="1">
      <c r="A31" s="558">
        <f t="shared" si="0"/>
        <v>26</v>
      </c>
      <c r="B31" s="559"/>
      <c r="C31" s="416"/>
      <c r="D31" s="298"/>
      <c r="E31" s="298"/>
      <c r="F31" s="298"/>
      <c r="G31" s="298"/>
      <c r="H31" s="298"/>
      <c r="I31" s="298"/>
      <c r="J31" s="298"/>
      <c r="K31" s="298"/>
      <c r="L31" s="298"/>
      <c r="M31" s="298"/>
      <c r="N31" s="298"/>
      <c r="O31" s="298"/>
      <c r="P31" s="298"/>
      <c r="Q31" s="298"/>
      <c r="R31" s="417"/>
      <c r="S31" s="411"/>
      <c r="T31" s="412"/>
      <c r="U31" s="412"/>
      <c r="V31" s="412"/>
      <c r="W31" s="412"/>
      <c r="X31" s="412"/>
      <c r="Y31" s="412"/>
      <c r="Z31" s="413"/>
      <c r="AA31" s="416"/>
      <c r="AB31" s="298"/>
      <c r="AC31" s="298"/>
      <c r="AD31" s="298"/>
      <c r="AE31" s="298"/>
      <c r="AF31" s="298"/>
      <c r="AG31" s="298"/>
      <c r="AH31" s="298"/>
      <c r="AI31" s="298"/>
      <c r="AJ31" s="298"/>
      <c r="AK31" s="298"/>
      <c r="AL31" s="298"/>
      <c r="AM31" s="298"/>
      <c r="AN31" s="298"/>
      <c r="AO31" s="298"/>
      <c r="AP31" s="298"/>
      <c r="AQ31" s="298"/>
      <c r="AR31" s="298"/>
      <c r="AS31" s="298"/>
      <c r="AT31" s="298"/>
      <c r="AU31" s="298"/>
      <c r="AV31" s="298"/>
      <c r="AW31" s="298"/>
      <c r="AX31" s="298"/>
      <c r="AY31" s="298"/>
      <c r="AZ31" s="298"/>
      <c r="BA31" s="298"/>
      <c r="BB31" s="298"/>
      <c r="BC31" s="417"/>
      <c r="BD31" s="416"/>
      <c r="BE31" s="298"/>
      <c r="BF31" s="298"/>
      <c r="BG31" s="298"/>
      <c r="BH31" s="298"/>
      <c r="BI31" s="299"/>
    </row>
    <row r="32" spans="1:61" s="1" customFormat="1" ht="15" customHeight="1">
      <c r="A32" s="558">
        <f t="shared" si="0"/>
        <v>27</v>
      </c>
      <c r="B32" s="559"/>
      <c r="C32" s="416"/>
      <c r="D32" s="298"/>
      <c r="E32" s="298"/>
      <c r="F32" s="298"/>
      <c r="G32" s="298"/>
      <c r="H32" s="298"/>
      <c r="I32" s="298"/>
      <c r="J32" s="298"/>
      <c r="K32" s="298"/>
      <c r="L32" s="298"/>
      <c r="M32" s="298"/>
      <c r="N32" s="298"/>
      <c r="O32" s="298"/>
      <c r="P32" s="298"/>
      <c r="Q32" s="298"/>
      <c r="R32" s="417"/>
      <c r="S32" s="411"/>
      <c r="T32" s="412"/>
      <c r="U32" s="412"/>
      <c r="V32" s="412"/>
      <c r="W32" s="412"/>
      <c r="X32" s="412"/>
      <c r="Y32" s="412"/>
      <c r="Z32" s="413"/>
      <c r="AA32" s="416"/>
      <c r="AB32" s="298"/>
      <c r="AC32" s="298"/>
      <c r="AD32" s="298"/>
      <c r="AE32" s="298"/>
      <c r="AF32" s="298"/>
      <c r="AG32" s="298"/>
      <c r="AH32" s="298"/>
      <c r="AI32" s="298"/>
      <c r="AJ32" s="298"/>
      <c r="AK32" s="298"/>
      <c r="AL32" s="298"/>
      <c r="AM32" s="298"/>
      <c r="AN32" s="298"/>
      <c r="AO32" s="298"/>
      <c r="AP32" s="298"/>
      <c r="AQ32" s="298"/>
      <c r="AR32" s="298"/>
      <c r="AS32" s="298"/>
      <c r="AT32" s="298"/>
      <c r="AU32" s="298"/>
      <c r="AV32" s="298"/>
      <c r="AW32" s="298"/>
      <c r="AX32" s="298"/>
      <c r="AY32" s="298"/>
      <c r="AZ32" s="298"/>
      <c r="BA32" s="298"/>
      <c r="BB32" s="298"/>
      <c r="BC32" s="417"/>
      <c r="BD32" s="416"/>
      <c r="BE32" s="298"/>
      <c r="BF32" s="298"/>
      <c r="BG32" s="298"/>
      <c r="BH32" s="298"/>
      <c r="BI32" s="299"/>
    </row>
    <row r="33" spans="1:62" s="1" customFormat="1" ht="15" customHeight="1">
      <c r="A33" s="558">
        <f t="shared" si="0"/>
        <v>28</v>
      </c>
      <c r="B33" s="559"/>
      <c r="C33" s="416"/>
      <c r="D33" s="298"/>
      <c r="E33" s="298"/>
      <c r="F33" s="298"/>
      <c r="G33" s="298"/>
      <c r="H33" s="298"/>
      <c r="I33" s="298"/>
      <c r="J33" s="298"/>
      <c r="K33" s="298"/>
      <c r="L33" s="298"/>
      <c r="M33" s="298"/>
      <c r="N33" s="298"/>
      <c r="O33" s="298"/>
      <c r="P33" s="298"/>
      <c r="Q33" s="298"/>
      <c r="R33" s="417"/>
      <c r="S33" s="411"/>
      <c r="T33" s="412"/>
      <c r="U33" s="412"/>
      <c r="V33" s="412"/>
      <c r="W33" s="412"/>
      <c r="X33" s="412"/>
      <c r="Y33" s="412"/>
      <c r="Z33" s="413"/>
      <c r="AA33" s="416"/>
      <c r="AB33" s="298"/>
      <c r="AC33" s="298"/>
      <c r="AD33" s="298"/>
      <c r="AE33" s="298"/>
      <c r="AF33" s="298"/>
      <c r="AG33" s="298"/>
      <c r="AH33" s="298"/>
      <c r="AI33" s="298"/>
      <c r="AJ33" s="298"/>
      <c r="AK33" s="298"/>
      <c r="AL33" s="298"/>
      <c r="AM33" s="298"/>
      <c r="AN33" s="298"/>
      <c r="AO33" s="298"/>
      <c r="AP33" s="298"/>
      <c r="AQ33" s="298"/>
      <c r="AR33" s="298"/>
      <c r="AS33" s="298"/>
      <c r="AT33" s="298"/>
      <c r="AU33" s="298"/>
      <c r="AV33" s="298"/>
      <c r="AW33" s="298"/>
      <c r="AX33" s="298"/>
      <c r="AY33" s="298"/>
      <c r="AZ33" s="298"/>
      <c r="BA33" s="298"/>
      <c r="BB33" s="298"/>
      <c r="BC33" s="417"/>
      <c r="BD33" s="416"/>
      <c r="BE33" s="298"/>
      <c r="BF33" s="298"/>
      <c r="BG33" s="298"/>
      <c r="BH33" s="298"/>
      <c r="BI33" s="299"/>
    </row>
    <row r="34" spans="1:62" s="1" customFormat="1" ht="15" customHeight="1">
      <c r="A34" s="558">
        <f t="shared" si="0"/>
        <v>29</v>
      </c>
      <c r="B34" s="559"/>
      <c r="C34" s="416"/>
      <c r="D34" s="298"/>
      <c r="E34" s="298"/>
      <c r="F34" s="298"/>
      <c r="G34" s="298"/>
      <c r="H34" s="298"/>
      <c r="I34" s="298"/>
      <c r="J34" s="298"/>
      <c r="K34" s="298"/>
      <c r="L34" s="298"/>
      <c r="M34" s="298"/>
      <c r="N34" s="298"/>
      <c r="O34" s="298"/>
      <c r="P34" s="298"/>
      <c r="Q34" s="298"/>
      <c r="R34" s="417"/>
      <c r="S34" s="411"/>
      <c r="T34" s="412"/>
      <c r="U34" s="412"/>
      <c r="V34" s="412"/>
      <c r="W34" s="412"/>
      <c r="X34" s="412"/>
      <c r="Y34" s="412"/>
      <c r="Z34" s="413"/>
      <c r="AA34" s="416"/>
      <c r="AB34" s="298"/>
      <c r="AC34" s="298"/>
      <c r="AD34" s="298"/>
      <c r="AE34" s="298"/>
      <c r="AF34" s="298"/>
      <c r="AG34" s="298"/>
      <c r="AH34" s="298"/>
      <c r="AI34" s="298"/>
      <c r="AJ34" s="298"/>
      <c r="AK34" s="298"/>
      <c r="AL34" s="298"/>
      <c r="AM34" s="298"/>
      <c r="AN34" s="298"/>
      <c r="AO34" s="298"/>
      <c r="AP34" s="298"/>
      <c r="AQ34" s="298"/>
      <c r="AR34" s="298"/>
      <c r="AS34" s="298"/>
      <c r="AT34" s="298"/>
      <c r="AU34" s="298"/>
      <c r="AV34" s="298"/>
      <c r="AW34" s="298"/>
      <c r="AX34" s="298"/>
      <c r="AY34" s="298"/>
      <c r="AZ34" s="298"/>
      <c r="BA34" s="298"/>
      <c r="BB34" s="298"/>
      <c r="BC34" s="417"/>
      <c r="BD34" s="416"/>
      <c r="BE34" s="298"/>
      <c r="BF34" s="298"/>
      <c r="BG34" s="298"/>
      <c r="BH34" s="298"/>
      <c r="BI34" s="299"/>
    </row>
    <row r="35" spans="1:62" s="1" customFormat="1" ht="15" customHeight="1">
      <c r="A35" s="558">
        <f t="shared" si="0"/>
        <v>30</v>
      </c>
      <c r="B35" s="559"/>
      <c r="C35" s="416"/>
      <c r="D35" s="298"/>
      <c r="E35" s="298"/>
      <c r="F35" s="298"/>
      <c r="G35" s="298"/>
      <c r="H35" s="298"/>
      <c r="I35" s="298"/>
      <c r="J35" s="298"/>
      <c r="K35" s="298"/>
      <c r="L35" s="298"/>
      <c r="M35" s="298"/>
      <c r="N35" s="298"/>
      <c r="O35" s="298"/>
      <c r="P35" s="298"/>
      <c r="Q35" s="298"/>
      <c r="R35" s="417"/>
      <c r="S35" s="411"/>
      <c r="T35" s="412"/>
      <c r="U35" s="412"/>
      <c r="V35" s="412"/>
      <c r="W35" s="412"/>
      <c r="X35" s="412"/>
      <c r="Y35" s="412"/>
      <c r="Z35" s="413"/>
      <c r="AA35" s="416"/>
      <c r="AB35" s="298"/>
      <c r="AC35" s="298"/>
      <c r="AD35" s="298"/>
      <c r="AE35" s="298"/>
      <c r="AF35" s="298"/>
      <c r="AG35" s="298"/>
      <c r="AH35" s="298"/>
      <c r="AI35" s="298"/>
      <c r="AJ35" s="298"/>
      <c r="AK35" s="298"/>
      <c r="AL35" s="298"/>
      <c r="AM35" s="298"/>
      <c r="AN35" s="298"/>
      <c r="AO35" s="298"/>
      <c r="AP35" s="298"/>
      <c r="AQ35" s="298"/>
      <c r="AR35" s="298"/>
      <c r="AS35" s="298"/>
      <c r="AT35" s="298"/>
      <c r="AU35" s="298"/>
      <c r="AV35" s="298"/>
      <c r="AW35" s="298"/>
      <c r="AX35" s="298"/>
      <c r="AY35" s="298"/>
      <c r="AZ35" s="298"/>
      <c r="BA35" s="298"/>
      <c r="BB35" s="298"/>
      <c r="BC35" s="417"/>
      <c r="BD35" s="416"/>
      <c r="BE35" s="298"/>
      <c r="BF35" s="298"/>
      <c r="BG35" s="298"/>
      <c r="BH35" s="298"/>
      <c r="BI35" s="299"/>
    </row>
    <row r="36" spans="1:62" s="1" customFormat="1" ht="15" customHeight="1">
      <c r="A36" s="558">
        <f t="shared" si="0"/>
        <v>31</v>
      </c>
      <c r="B36" s="559"/>
      <c r="C36" s="416"/>
      <c r="D36" s="298"/>
      <c r="E36" s="298"/>
      <c r="F36" s="298"/>
      <c r="G36" s="298"/>
      <c r="H36" s="298"/>
      <c r="I36" s="298"/>
      <c r="J36" s="298"/>
      <c r="K36" s="298"/>
      <c r="L36" s="298"/>
      <c r="M36" s="298"/>
      <c r="N36" s="298"/>
      <c r="O36" s="298"/>
      <c r="P36" s="298"/>
      <c r="Q36" s="298"/>
      <c r="R36" s="417"/>
      <c r="S36" s="411"/>
      <c r="T36" s="412"/>
      <c r="U36" s="412"/>
      <c r="V36" s="412"/>
      <c r="W36" s="412"/>
      <c r="X36" s="412"/>
      <c r="Y36" s="412"/>
      <c r="Z36" s="413"/>
      <c r="AA36" s="416"/>
      <c r="AB36" s="298"/>
      <c r="AC36" s="298"/>
      <c r="AD36" s="298"/>
      <c r="AE36" s="298"/>
      <c r="AF36" s="298"/>
      <c r="AG36" s="298"/>
      <c r="AH36" s="298"/>
      <c r="AI36" s="298"/>
      <c r="AJ36" s="298"/>
      <c r="AK36" s="298"/>
      <c r="AL36" s="298"/>
      <c r="AM36" s="298"/>
      <c r="AN36" s="298"/>
      <c r="AO36" s="298"/>
      <c r="AP36" s="298"/>
      <c r="AQ36" s="298"/>
      <c r="AR36" s="298"/>
      <c r="AS36" s="298"/>
      <c r="AT36" s="298"/>
      <c r="AU36" s="298"/>
      <c r="AV36" s="298"/>
      <c r="AW36" s="298"/>
      <c r="AX36" s="298"/>
      <c r="AY36" s="298"/>
      <c r="AZ36" s="298"/>
      <c r="BA36" s="298"/>
      <c r="BB36" s="298"/>
      <c r="BC36" s="417"/>
      <c r="BD36" s="416"/>
      <c r="BE36" s="298"/>
      <c r="BF36" s="298"/>
      <c r="BG36" s="298"/>
      <c r="BH36" s="298"/>
      <c r="BI36" s="299"/>
    </row>
    <row r="37" spans="1:62" s="1" customFormat="1" ht="15" customHeight="1">
      <c r="A37" s="558">
        <f t="shared" si="0"/>
        <v>32</v>
      </c>
      <c r="B37" s="559"/>
      <c r="C37" s="416"/>
      <c r="D37" s="298"/>
      <c r="E37" s="298"/>
      <c r="F37" s="298"/>
      <c r="G37" s="298"/>
      <c r="H37" s="298"/>
      <c r="I37" s="298"/>
      <c r="J37" s="298"/>
      <c r="K37" s="298"/>
      <c r="L37" s="298"/>
      <c r="M37" s="298"/>
      <c r="N37" s="298"/>
      <c r="O37" s="298"/>
      <c r="P37" s="298"/>
      <c r="Q37" s="298"/>
      <c r="R37" s="417"/>
      <c r="S37" s="411"/>
      <c r="T37" s="412"/>
      <c r="U37" s="412"/>
      <c r="V37" s="412"/>
      <c r="W37" s="412"/>
      <c r="X37" s="412"/>
      <c r="Y37" s="412"/>
      <c r="Z37" s="413"/>
      <c r="AA37" s="416"/>
      <c r="AB37" s="298"/>
      <c r="AC37" s="298"/>
      <c r="AD37" s="298"/>
      <c r="AE37" s="298"/>
      <c r="AF37" s="298"/>
      <c r="AG37" s="298"/>
      <c r="AH37" s="298"/>
      <c r="AI37" s="298"/>
      <c r="AJ37" s="298"/>
      <c r="AK37" s="298"/>
      <c r="AL37" s="298"/>
      <c r="AM37" s="298"/>
      <c r="AN37" s="298"/>
      <c r="AO37" s="298"/>
      <c r="AP37" s="298"/>
      <c r="AQ37" s="298"/>
      <c r="AR37" s="298"/>
      <c r="AS37" s="298"/>
      <c r="AT37" s="298"/>
      <c r="AU37" s="298"/>
      <c r="AV37" s="298"/>
      <c r="AW37" s="298"/>
      <c r="AX37" s="298"/>
      <c r="AY37" s="298"/>
      <c r="AZ37" s="298"/>
      <c r="BA37" s="298"/>
      <c r="BB37" s="298"/>
      <c r="BC37" s="417"/>
      <c r="BD37" s="416"/>
      <c r="BE37" s="298"/>
      <c r="BF37" s="298"/>
      <c r="BG37" s="298"/>
      <c r="BH37" s="298"/>
      <c r="BI37" s="299"/>
    </row>
    <row r="38" spans="1:62" s="1" customFormat="1" ht="15" customHeight="1" thickBot="1">
      <c r="A38" s="563">
        <f t="shared" si="0"/>
        <v>33</v>
      </c>
      <c r="B38" s="564"/>
      <c r="C38" s="421"/>
      <c r="D38" s="301"/>
      <c r="E38" s="301"/>
      <c r="F38" s="301"/>
      <c r="G38" s="301"/>
      <c r="H38" s="301"/>
      <c r="I38" s="301"/>
      <c r="J38" s="301"/>
      <c r="K38" s="301"/>
      <c r="L38" s="301"/>
      <c r="M38" s="301"/>
      <c r="N38" s="301"/>
      <c r="O38" s="301"/>
      <c r="P38" s="301"/>
      <c r="Q38" s="301"/>
      <c r="R38" s="422"/>
      <c r="S38" s="402"/>
      <c r="T38" s="403"/>
      <c r="U38" s="403"/>
      <c r="V38" s="403"/>
      <c r="W38" s="403"/>
      <c r="X38" s="403"/>
      <c r="Y38" s="403"/>
      <c r="Z38" s="404"/>
      <c r="AA38" s="421"/>
      <c r="AB38" s="301"/>
      <c r="AC38" s="301"/>
      <c r="AD38" s="301"/>
      <c r="AE38" s="301"/>
      <c r="AF38" s="301"/>
      <c r="AG38" s="301"/>
      <c r="AH38" s="301"/>
      <c r="AI38" s="301"/>
      <c r="AJ38" s="301"/>
      <c r="AK38" s="301"/>
      <c r="AL38" s="301"/>
      <c r="AM38" s="301"/>
      <c r="AN38" s="301"/>
      <c r="AO38" s="301"/>
      <c r="AP38" s="301"/>
      <c r="AQ38" s="301"/>
      <c r="AR38" s="301"/>
      <c r="AS38" s="301"/>
      <c r="AT38" s="301"/>
      <c r="AU38" s="301"/>
      <c r="AV38" s="301"/>
      <c r="AW38" s="301"/>
      <c r="AX38" s="301"/>
      <c r="AY38" s="301"/>
      <c r="AZ38" s="301"/>
      <c r="BA38" s="301"/>
      <c r="BB38" s="301"/>
      <c r="BC38" s="422"/>
      <c r="BD38" s="421"/>
      <c r="BE38" s="301"/>
      <c r="BF38" s="301"/>
      <c r="BG38" s="301"/>
      <c r="BH38" s="301"/>
      <c r="BI38" s="302"/>
    </row>
    <row r="39" spans="1:62" s="1" customFormat="1" ht="15" customHeight="1">
      <c r="A39" s="73"/>
      <c r="B39" s="73"/>
      <c r="C39" s="73"/>
      <c r="D39" s="73"/>
      <c r="E39" s="73"/>
      <c r="F39" s="73"/>
      <c r="G39" s="73"/>
      <c r="H39" s="73"/>
      <c r="I39" s="73"/>
      <c r="J39" s="73"/>
      <c r="K39" s="73"/>
      <c r="L39" s="73"/>
      <c r="M39" s="73"/>
      <c r="N39" s="73"/>
      <c r="O39" s="73"/>
      <c r="P39" s="73"/>
      <c r="Q39" s="73"/>
      <c r="R39" s="73"/>
      <c r="S39" s="73"/>
      <c r="T39" s="73"/>
      <c r="U39" s="73"/>
      <c r="V39" s="73"/>
      <c r="W39" s="73"/>
      <c r="X39" s="73"/>
      <c r="Y39" s="73"/>
      <c r="Z39" s="73"/>
      <c r="AA39" s="73"/>
      <c r="AB39" s="73"/>
      <c r="AC39" s="73"/>
      <c r="AD39" s="73"/>
      <c r="AE39" s="73"/>
      <c r="AF39" s="73"/>
      <c r="AG39" s="73"/>
      <c r="AH39" s="73"/>
      <c r="AI39" s="73"/>
      <c r="AJ39" s="73"/>
      <c r="AK39" s="73"/>
      <c r="AL39" s="73"/>
      <c r="AM39" s="73"/>
      <c r="AN39" s="73"/>
      <c r="AO39" s="73"/>
      <c r="AP39" s="73"/>
      <c r="AQ39" s="73"/>
      <c r="AR39" s="73"/>
      <c r="AS39" s="73"/>
      <c r="AT39" s="73"/>
      <c r="AU39" s="73"/>
      <c r="AV39" s="73"/>
      <c r="AW39" s="73"/>
      <c r="AX39" s="73"/>
      <c r="AY39" s="73"/>
      <c r="AZ39" s="73"/>
      <c r="BA39" s="73"/>
      <c r="BB39" s="73"/>
      <c r="BC39" s="73"/>
      <c r="BD39" s="73"/>
      <c r="BE39" s="73"/>
      <c r="BF39" s="73"/>
      <c r="BG39" s="73"/>
      <c r="BH39" s="73"/>
      <c r="BI39" s="73"/>
      <c r="BJ39" s="73"/>
    </row>
  </sheetData>
  <mergeCells count="187">
    <mergeCell ref="A1:E3"/>
    <mergeCell ref="F1:P1"/>
    <mergeCell ref="Q1:V1"/>
    <mergeCell ref="W1:AD1"/>
    <mergeCell ref="AE1:AS1"/>
    <mergeCell ref="AT1:BA1"/>
    <mergeCell ref="BB1:BI1"/>
    <mergeCell ref="F2:P3"/>
    <mergeCell ref="Q2:V3"/>
    <mergeCell ref="W2:AD3"/>
    <mergeCell ref="AE2:AS3"/>
    <mergeCell ref="AT2:AU2"/>
    <mergeCell ref="AV2:BA2"/>
    <mergeCell ref="BB2:BI2"/>
    <mergeCell ref="AT3:AU3"/>
    <mergeCell ref="AV3:BA3"/>
    <mergeCell ref="BB3:BI3"/>
    <mergeCell ref="AA5:BC5"/>
    <mergeCell ref="C5:R5"/>
    <mergeCell ref="BD37:BI37"/>
    <mergeCell ref="BD36:BI36"/>
    <mergeCell ref="BD10:BI10"/>
    <mergeCell ref="S10:Z10"/>
    <mergeCell ref="S30:Z30"/>
    <mergeCell ref="S36:Z36"/>
    <mergeCell ref="S37:Z37"/>
    <mergeCell ref="C6:R6"/>
    <mergeCell ref="S5:Z5"/>
    <mergeCell ref="S6:Z6"/>
    <mergeCell ref="C12:R12"/>
    <mergeCell ref="S12:Z12"/>
    <mergeCell ref="C13:R13"/>
    <mergeCell ref="BD6:BI6"/>
    <mergeCell ref="BD5:BI5"/>
    <mergeCell ref="BD8:BI8"/>
    <mergeCell ref="BD7:BI7"/>
    <mergeCell ref="BD9:BI9"/>
    <mergeCell ref="BD11:BI11"/>
    <mergeCell ref="BD12:BI12"/>
    <mergeCell ref="BD30:BI30"/>
    <mergeCell ref="BD13:BI13"/>
    <mergeCell ref="A5:B5"/>
    <mergeCell ref="A6:B6"/>
    <mergeCell ref="A7:B7"/>
    <mergeCell ref="A8:B8"/>
    <mergeCell ref="A9:B9"/>
    <mergeCell ref="S38:Z38"/>
    <mergeCell ref="S9:Z9"/>
    <mergeCell ref="C7:R7"/>
    <mergeCell ref="C8:R8"/>
    <mergeCell ref="S7:Z7"/>
    <mergeCell ref="S8:Z8"/>
    <mergeCell ref="C9:R9"/>
    <mergeCell ref="C38:R38"/>
    <mergeCell ref="C10:R10"/>
    <mergeCell ref="C30:R30"/>
    <mergeCell ref="C36:R36"/>
    <mergeCell ref="C37:R37"/>
    <mergeCell ref="C11:R11"/>
    <mergeCell ref="S11:Z11"/>
    <mergeCell ref="S13:Z13"/>
    <mergeCell ref="A14:B14"/>
    <mergeCell ref="C14:R14"/>
    <mergeCell ref="S14:Z14"/>
    <mergeCell ref="C19:R19"/>
    <mergeCell ref="BD14:BI14"/>
    <mergeCell ref="A38:B38"/>
    <mergeCell ref="A10:B10"/>
    <mergeCell ref="A30:B30"/>
    <mergeCell ref="A36:B36"/>
    <mergeCell ref="A37:B37"/>
    <mergeCell ref="A11:B11"/>
    <mergeCell ref="A12:B12"/>
    <mergeCell ref="A13:B13"/>
    <mergeCell ref="A15:B15"/>
    <mergeCell ref="A17:B17"/>
    <mergeCell ref="A19:B19"/>
    <mergeCell ref="A21:B21"/>
    <mergeCell ref="A23:B23"/>
    <mergeCell ref="A24:B24"/>
    <mergeCell ref="A26:B26"/>
    <mergeCell ref="BD38:BI38"/>
    <mergeCell ref="BD33:BI33"/>
    <mergeCell ref="C15:R15"/>
    <mergeCell ref="S15:Z15"/>
    <mergeCell ref="BD15:BI15"/>
    <mergeCell ref="A16:B16"/>
    <mergeCell ref="C16:R16"/>
    <mergeCell ref="S16:Z16"/>
    <mergeCell ref="BD16:BI16"/>
    <mergeCell ref="AA15:BC15"/>
    <mergeCell ref="AA16:BC16"/>
    <mergeCell ref="C17:R17"/>
    <mergeCell ref="S17:Z17"/>
    <mergeCell ref="BD17:BI17"/>
    <mergeCell ref="A18:B18"/>
    <mergeCell ref="C18:R18"/>
    <mergeCell ref="S18:Z18"/>
    <mergeCell ref="BD18:BI18"/>
    <mergeCell ref="AA17:BC17"/>
    <mergeCell ref="AA18:BC18"/>
    <mergeCell ref="S19:Z19"/>
    <mergeCell ref="BD19:BI19"/>
    <mergeCell ref="A20:B20"/>
    <mergeCell ref="C20:R20"/>
    <mergeCell ref="S20:Z20"/>
    <mergeCell ref="BD20:BI20"/>
    <mergeCell ref="AA19:BC19"/>
    <mergeCell ref="AA20:BC20"/>
    <mergeCell ref="C23:R23"/>
    <mergeCell ref="S23:Z23"/>
    <mergeCell ref="BD23:BI23"/>
    <mergeCell ref="AA23:BC23"/>
    <mergeCell ref="C21:R21"/>
    <mergeCell ref="S21:Z21"/>
    <mergeCell ref="BD21:BI21"/>
    <mergeCell ref="A22:B22"/>
    <mergeCell ref="C22:R22"/>
    <mergeCell ref="S22:Z22"/>
    <mergeCell ref="BD22:BI22"/>
    <mergeCell ref="AA21:BC21"/>
    <mergeCell ref="AA22:BC22"/>
    <mergeCell ref="C24:R24"/>
    <mergeCell ref="S24:Z24"/>
    <mergeCell ref="BD24:BI24"/>
    <mergeCell ref="A25:B25"/>
    <mergeCell ref="C25:R25"/>
    <mergeCell ref="S25:Z25"/>
    <mergeCell ref="BD25:BI25"/>
    <mergeCell ref="AA24:BC24"/>
    <mergeCell ref="AA25:BC25"/>
    <mergeCell ref="C26:R26"/>
    <mergeCell ref="S26:Z26"/>
    <mergeCell ref="BD26:BI26"/>
    <mergeCell ref="A27:B27"/>
    <mergeCell ref="C27:R27"/>
    <mergeCell ref="S27:Z27"/>
    <mergeCell ref="BD27:BI27"/>
    <mergeCell ref="AA26:BC26"/>
    <mergeCell ref="AA27:BC27"/>
    <mergeCell ref="A28:B28"/>
    <mergeCell ref="C28:R28"/>
    <mergeCell ref="S28:Z28"/>
    <mergeCell ref="BD28:BI28"/>
    <mergeCell ref="A29:B29"/>
    <mergeCell ref="C29:R29"/>
    <mergeCell ref="S29:Z29"/>
    <mergeCell ref="BD29:BI29"/>
    <mergeCell ref="AA28:BC28"/>
    <mergeCell ref="AA29:BC29"/>
    <mergeCell ref="BD34:BI34"/>
    <mergeCell ref="A35:B35"/>
    <mergeCell ref="C35:R35"/>
    <mergeCell ref="S35:Z35"/>
    <mergeCell ref="BD35:BI35"/>
    <mergeCell ref="A31:B31"/>
    <mergeCell ref="C31:R31"/>
    <mergeCell ref="S31:Z31"/>
    <mergeCell ref="BD31:BI31"/>
    <mergeCell ref="A32:B32"/>
    <mergeCell ref="C32:R32"/>
    <mergeCell ref="S32:Z32"/>
    <mergeCell ref="BD32:BI32"/>
    <mergeCell ref="AA10:BC10"/>
    <mergeCell ref="AA11:BC11"/>
    <mergeCell ref="AA12:BC12"/>
    <mergeCell ref="AA13:BC13"/>
    <mergeCell ref="AA14:BC14"/>
    <mergeCell ref="AA6:BC6"/>
    <mergeCell ref="AA7:BC7"/>
    <mergeCell ref="AA8:BC8"/>
    <mergeCell ref="AA9:BC9"/>
    <mergeCell ref="AA36:BC36"/>
    <mergeCell ref="AA37:BC37"/>
    <mergeCell ref="AA38:BC38"/>
    <mergeCell ref="A33:B33"/>
    <mergeCell ref="C33:R33"/>
    <mergeCell ref="S33:Z33"/>
    <mergeCell ref="AA33:BC33"/>
    <mergeCell ref="AA30:BC30"/>
    <mergeCell ref="AA31:BC31"/>
    <mergeCell ref="AA32:BC32"/>
    <mergeCell ref="AA34:BC34"/>
    <mergeCell ref="AA35:BC35"/>
    <mergeCell ref="A34:B34"/>
    <mergeCell ref="C34:R34"/>
    <mergeCell ref="S34:Z34"/>
  </mergeCells>
  <phoneticPr fontId="2"/>
  <dataValidations count="1">
    <dataValidation type="list" allowBlank="1" showInputMessage="1" showErrorMessage="1" sqref="S6:Z38" xr:uid="{F45C40A7-D7F6-4178-B1D9-F244887307E6}">
      <formula1>オブジェクト一覧</formula1>
    </dataValidation>
  </dataValidations>
  <printOptions horizontalCentered="1"/>
  <pageMargins left="0.23622047244094491" right="0.23622047244094491" top="0.74803149606299213" bottom="0.74803149606299213" header="0.31496062992125984" footer="0.31496062992125984"/>
  <pageSetup paperSize="9" scale="85" orientation="landscape" r:id="rId1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BBDFD-A451-4EE7-ACDE-5890AE242007}">
  <dimension ref="A1:BI36"/>
  <sheetViews>
    <sheetView showGridLines="0" zoomScaleNormal="100" workbookViewId="0">
      <pane ySplit="5" topLeftCell="A6" activePane="bottomLeft" state="frozen"/>
      <selection pane="bottomLeft" sqref="A1:E3"/>
    </sheetView>
  </sheetViews>
  <sheetFormatPr defaultColWidth="2.33203125" defaultRowHeight="15" customHeight="1"/>
  <cols>
    <col min="1" max="16384" width="2.33203125" style="1"/>
  </cols>
  <sheetData>
    <row r="1" spans="1:61" ht="15" customHeight="1" thickBot="1">
      <c r="A1" s="245" t="s">
        <v>232</v>
      </c>
      <c r="B1" s="246"/>
      <c r="C1" s="246"/>
      <c r="D1" s="246"/>
      <c r="E1" s="247"/>
      <c r="F1" s="254" t="str">
        <f>変更履歴!F1</f>
        <v>システム名</v>
      </c>
      <c r="G1" s="255"/>
      <c r="H1" s="255"/>
      <c r="I1" s="255"/>
      <c r="J1" s="255"/>
      <c r="K1" s="255"/>
      <c r="L1" s="255"/>
      <c r="M1" s="255"/>
      <c r="N1" s="255"/>
      <c r="O1" s="255"/>
      <c r="P1" s="256"/>
      <c r="Q1" s="257" t="str">
        <f>変更履歴!Q1</f>
        <v>機能分類</v>
      </c>
      <c r="R1" s="258"/>
      <c r="S1" s="258"/>
      <c r="T1" s="258"/>
      <c r="U1" s="258"/>
      <c r="V1" s="259"/>
      <c r="W1" s="254" t="str">
        <f>変更履歴!W1</f>
        <v>機能ＩＤ</v>
      </c>
      <c r="X1" s="255"/>
      <c r="Y1" s="255"/>
      <c r="Z1" s="255"/>
      <c r="AA1" s="255"/>
      <c r="AB1" s="255"/>
      <c r="AC1" s="255"/>
      <c r="AD1" s="256"/>
      <c r="AE1" s="254" t="str">
        <f>変更履歴!AE1</f>
        <v>機能名称</v>
      </c>
      <c r="AF1" s="255"/>
      <c r="AG1" s="255"/>
      <c r="AH1" s="255"/>
      <c r="AI1" s="255"/>
      <c r="AJ1" s="255"/>
      <c r="AK1" s="255"/>
      <c r="AL1" s="255"/>
      <c r="AM1" s="255"/>
      <c r="AN1" s="255"/>
      <c r="AO1" s="255"/>
      <c r="AP1" s="255"/>
      <c r="AQ1" s="255"/>
      <c r="AR1" s="255"/>
      <c r="AS1" s="256"/>
      <c r="AT1" s="260" t="str">
        <f>変更履歴!AT1</f>
        <v>日付</v>
      </c>
      <c r="AU1" s="261"/>
      <c r="AV1" s="261"/>
      <c r="AW1" s="261"/>
      <c r="AX1" s="261"/>
      <c r="AY1" s="261"/>
      <c r="AZ1" s="261"/>
      <c r="BA1" s="262"/>
      <c r="BB1" s="217" t="str">
        <f>変更履歴!BB1</f>
        <v>更新者</v>
      </c>
      <c r="BC1" s="219"/>
      <c r="BD1" s="219"/>
      <c r="BE1" s="219"/>
      <c r="BF1" s="219"/>
      <c r="BG1" s="219"/>
      <c r="BH1" s="219"/>
      <c r="BI1" s="220"/>
    </row>
    <row r="2" spans="1:61" ht="15" customHeight="1">
      <c r="A2" s="248"/>
      <c r="B2" s="249"/>
      <c r="C2" s="249"/>
      <c r="D2" s="249"/>
      <c r="E2" s="250"/>
      <c r="F2" s="221" t="str">
        <f>変更履歴!F2</f>
        <v>Dynamics365 for Finance and Operations</v>
      </c>
      <c r="G2" s="222"/>
      <c r="H2" s="222"/>
      <c r="I2" s="222"/>
      <c r="J2" s="222"/>
      <c r="K2" s="222"/>
      <c r="L2" s="222"/>
      <c r="M2" s="222"/>
      <c r="N2" s="222"/>
      <c r="O2" s="222"/>
      <c r="P2" s="223"/>
      <c r="Q2" s="221" t="str">
        <f>変更履歴!Q2</f>
        <v>債権・債務</v>
      </c>
      <c r="R2" s="222"/>
      <c r="S2" s="222"/>
      <c r="T2" s="222"/>
      <c r="U2" s="222"/>
      <c r="V2" s="223"/>
      <c r="W2" s="227" t="str">
        <f>変更履歴!W2</f>
        <v>FO-006</v>
      </c>
      <c r="X2" s="228"/>
      <c r="Y2" s="228"/>
      <c r="Z2" s="228"/>
      <c r="AA2" s="228"/>
      <c r="AB2" s="228"/>
      <c r="AC2" s="228"/>
      <c r="AD2" s="229"/>
      <c r="AE2" s="221" t="str">
        <f>変更履歴!AE2</f>
        <v>支払方法・支払サイトマスタ画面</v>
      </c>
      <c r="AF2" s="222"/>
      <c r="AG2" s="222"/>
      <c r="AH2" s="222"/>
      <c r="AI2" s="222"/>
      <c r="AJ2" s="222"/>
      <c r="AK2" s="222"/>
      <c r="AL2" s="222"/>
      <c r="AM2" s="222"/>
      <c r="AN2" s="222"/>
      <c r="AO2" s="222"/>
      <c r="AP2" s="222"/>
      <c r="AQ2" s="222"/>
      <c r="AR2" s="222"/>
      <c r="AS2" s="223"/>
      <c r="AT2" s="233" t="str">
        <f>変更履歴!AT2</f>
        <v>作成</v>
      </c>
      <c r="AU2" s="234"/>
      <c r="AV2" s="235">
        <f>変更履歴!AV2</f>
        <v>45448</v>
      </c>
      <c r="AW2" s="235"/>
      <c r="AX2" s="235"/>
      <c r="AY2" s="235"/>
      <c r="AZ2" s="235"/>
      <c r="BA2" s="236"/>
      <c r="BB2" s="237" t="str">
        <f>変更履歴!BB2</f>
        <v>JBS井田</v>
      </c>
      <c r="BC2" s="239"/>
      <c r="BD2" s="239"/>
      <c r="BE2" s="239"/>
      <c r="BF2" s="239"/>
      <c r="BG2" s="239"/>
      <c r="BH2" s="239"/>
      <c r="BI2" s="240"/>
    </row>
    <row r="3" spans="1:61" ht="15" customHeight="1" thickBot="1">
      <c r="A3" s="251"/>
      <c r="B3" s="252"/>
      <c r="C3" s="252"/>
      <c r="D3" s="252"/>
      <c r="E3" s="253"/>
      <c r="F3" s="224"/>
      <c r="G3" s="225"/>
      <c r="H3" s="225"/>
      <c r="I3" s="225"/>
      <c r="J3" s="225"/>
      <c r="K3" s="225"/>
      <c r="L3" s="225"/>
      <c r="M3" s="225"/>
      <c r="N3" s="225"/>
      <c r="O3" s="225"/>
      <c r="P3" s="226"/>
      <c r="Q3" s="224"/>
      <c r="R3" s="225"/>
      <c r="S3" s="225"/>
      <c r="T3" s="225"/>
      <c r="U3" s="225"/>
      <c r="V3" s="226"/>
      <c r="W3" s="230"/>
      <c r="X3" s="231"/>
      <c r="Y3" s="231"/>
      <c r="Z3" s="231"/>
      <c r="AA3" s="231"/>
      <c r="AB3" s="231"/>
      <c r="AC3" s="231"/>
      <c r="AD3" s="232"/>
      <c r="AE3" s="224"/>
      <c r="AF3" s="225"/>
      <c r="AG3" s="225"/>
      <c r="AH3" s="225"/>
      <c r="AI3" s="225"/>
      <c r="AJ3" s="225"/>
      <c r="AK3" s="225"/>
      <c r="AL3" s="225"/>
      <c r="AM3" s="225"/>
      <c r="AN3" s="225"/>
      <c r="AO3" s="225"/>
      <c r="AP3" s="225"/>
      <c r="AQ3" s="225"/>
      <c r="AR3" s="225"/>
      <c r="AS3" s="226"/>
      <c r="AT3" s="241" t="str">
        <f>変更履歴!AT3</f>
        <v>更新</v>
      </c>
      <c r="AU3" s="242"/>
      <c r="AV3" s="290">
        <f ca="1">変更履歴!AV3</f>
        <v>45589</v>
      </c>
      <c r="AW3" s="291"/>
      <c r="AX3" s="291"/>
      <c r="AY3" s="291"/>
      <c r="AZ3" s="291"/>
      <c r="BA3" s="292"/>
      <c r="BB3" s="294" t="str">
        <f ca="1">変更履歴!BB3</f>
        <v>JBS井田</v>
      </c>
      <c r="BC3" s="295"/>
      <c r="BD3" s="295"/>
      <c r="BE3" s="295"/>
      <c r="BF3" s="295"/>
      <c r="BG3" s="295"/>
      <c r="BH3" s="295"/>
      <c r="BI3" s="296"/>
    </row>
    <row r="4" spans="1:61" ht="15" customHeight="1" thickBot="1"/>
    <row r="5" spans="1:61" ht="15" customHeight="1" thickBot="1">
      <c r="A5" s="317" t="s">
        <v>233</v>
      </c>
      <c r="B5" s="326"/>
      <c r="C5" s="326"/>
      <c r="D5" s="326"/>
      <c r="E5" s="326"/>
      <c r="F5" s="326"/>
      <c r="G5" s="326"/>
      <c r="H5" s="326"/>
      <c r="I5" s="326"/>
      <c r="J5" s="326"/>
      <c r="K5" s="326"/>
      <c r="L5" s="326"/>
      <c r="M5" s="326"/>
      <c r="N5" s="326"/>
      <c r="O5" s="326"/>
      <c r="P5" s="326"/>
      <c r="Q5" s="326"/>
      <c r="R5" s="326"/>
      <c r="S5" s="326"/>
      <c r="T5" s="326"/>
      <c r="U5" s="326"/>
      <c r="V5" s="326"/>
      <c r="W5" s="326"/>
      <c r="X5" s="326"/>
      <c r="Y5" s="326"/>
      <c r="Z5" s="326"/>
      <c r="AA5" s="326"/>
      <c r="AB5" s="326"/>
      <c r="AC5" s="326"/>
      <c r="AD5" s="326"/>
      <c r="AE5" s="326"/>
      <c r="AF5" s="326"/>
      <c r="AG5" s="326"/>
      <c r="AH5" s="326"/>
      <c r="AI5" s="326"/>
      <c r="AJ5" s="326"/>
      <c r="AK5" s="326"/>
      <c r="AL5" s="326"/>
      <c r="AM5" s="326"/>
      <c r="AN5" s="326"/>
      <c r="AO5" s="326"/>
      <c r="AP5" s="326"/>
      <c r="AQ5" s="326"/>
      <c r="AR5" s="326"/>
      <c r="AS5" s="326"/>
      <c r="AT5" s="326"/>
      <c r="AU5" s="326"/>
      <c r="AV5" s="326"/>
      <c r="AW5" s="326"/>
      <c r="AX5" s="326"/>
      <c r="AY5" s="326"/>
      <c r="AZ5" s="326"/>
      <c r="BA5" s="326"/>
      <c r="BB5" s="326"/>
      <c r="BC5" s="326"/>
      <c r="BD5" s="326"/>
      <c r="BE5" s="326"/>
      <c r="BF5" s="326"/>
      <c r="BG5" s="326"/>
      <c r="BH5" s="326"/>
      <c r="BI5" s="318"/>
    </row>
    <row r="6" spans="1:61" ht="15" customHeight="1">
      <c r="A6" s="15"/>
      <c r="BI6" s="24"/>
    </row>
    <row r="7" spans="1:61" ht="15" customHeight="1">
      <c r="A7" s="15"/>
      <c r="BI7" s="24"/>
    </row>
    <row r="8" spans="1:61" ht="15" customHeight="1">
      <c r="A8" s="15"/>
      <c r="BI8" s="24"/>
    </row>
    <row r="9" spans="1:61" ht="15" customHeight="1">
      <c r="A9" s="15"/>
      <c r="BI9" s="24"/>
    </row>
    <row r="10" spans="1:61" ht="15" customHeight="1">
      <c r="A10" s="15"/>
      <c r="BI10" s="24"/>
    </row>
    <row r="11" spans="1:61" ht="15" customHeight="1">
      <c r="A11" s="15"/>
      <c r="BI11" s="24"/>
    </row>
    <row r="12" spans="1:61" ht="15" customHeight="1">
      <c r="A12" s="15"/>
      <c r="BI12" s="24"/>
    </row>
    <row r="13" spans="1:61" ht="15" customHeight="1">
      <c r="A13" s="15"/>
      <c r="BI13" s="24"/>
    </row>
    <row r="14" spans="1:61" ht="15" customHeight="1">
      <c r="A14" s="15"/>
      <c r="BI14" s="24"/>
    </row>
    <row r="15" spans="1:61" ht="15" customHeight="1">
      <c r="A15" s="15"/>
      <c r="BI15" s="24"/>
    </row>
    <row r="16" spans="1:61" ht="15" customHeight="1">
      <c r="A16" s="15"/>
      <c r="BI16" s="24"/>
    </row>
    <row r="17" spans="1:61" ht="15" customHeight="1">
      <c r="A17" s="15"/>
      <c r="BI17" s="24"/>
    </row>
    <row r="18" spans="1:61" ht="15" customHeight="1">
      <c r="A18" s="15"/>
      <c r="BI18" s="24"/>
    </row>
    <row r="19" spans="1:61" ht="15" customHeight="1">
      <c r="A19" s="15"/>
      <c r="BI19" s="24"/>
    </row>
    <row r="20" spans="1:61" ht="15" customHeight="1">
      <c r="A20" s="15"/>
      <c r="BI20" s="24"/>
    </row>
    <row r="21" spans="1:61" ht="15" customHeight="1">
      <c r="A21" s="15"/>
      <c r="BI21" s="24"/>
    </row>
    <row r="22" spans="1:61" ht="15" customHeight="1">
      <c r="A22" s="15"/>
      <c r="BI22" s="24"/>
    </row>
    <row r="23" spans="1:61" ht="15" customHeight="1">
      <c r="A23" s="15"/>
      <c r="BI23" s="24"/>
    </row>
    <row r="24" spans="1:61" ht="15" customHeight="1">
      <c r="A24" s="15"/>
      <c r="BI24" s="24"/>
    </row>
    <row r="25" spans="1:61" ht="15" customHeight="1">
      <c r="A25" s="15"/>
      <c r="BI25" s="24"/>
    </row>
    <row r="26" spans="1:61" ht="15" customHeight="1" thickBot="1">
      <c r="A26" s="17"/>
      <c r="B26" s="25"/>
      <c r="C26" s="25"/>
      <c r="D26" s="25"/>
      <c r="E26" s="25"/>
      <c r="F26" s="25"/>
      <c r="G26" s="25"/>
      <c r="H26" s="25"/>
      <c r="I26" s="25"/>
      <c r="J26" s="25"/>
      <c r="K26" s="25"/>
      <c r="L26" s="25"/>
      <c r="M26" s="25"/>
      <c r="N26" s="25"/>
      <c r="O26" s="25"/>
      <c r="P26" s="25"/>
      <c r="Q26" s="25"/>
      <c r="R26" s="25"/>
      <c r="S26" s="25"/>
      <c r="T26" s="25"/>
      <c r="U26" s="25"/>
      <c r="V26" s="25"/>
      <c r="W26" s="25"/>
      <c r="X26" s="25"/>
      <c r="Y26" s="25"/>
      <c r="Z26" s="25"/>
      <c r="AA26" s="25"/>
      <c r="AB26" s="25"/>
      <c r="AC26" s="25"/>
      <c r="AD26" s="25"/>
      <c r="AE26" s="25"/>
      <c r="AF26" s="25"/>
      <c r="AG26" s="25"/>
      <c r="AH26" s="25"/>
      <c r="AI26" s="25"/>
      <c r="AJ26" s="25"/>
      <c r="AK26" s="25"/>
      <c r="AL26" s="25"/>
      <c r="AM26" s="25"/>
      <c r="AN26" s="25"/>
      <c r="AO26" s="25"/>
      <c r="AP26" s="25"/>
      <c r="AQ26" s="25"/>
      <c r="AR26" s="25"/>
      <c r="AS26" s="25"/>
      <c r="AT26" s="25"/>
      <c r="AU26" s="25"/>
      <c r="AV26" s="25"/>
      <c r="AW26" s="25"/>
      <c r="AX26" s="25"/>
      <c r="AY26" s="25"/>
      <c r="AZ26" s="25"/>
      <c r="BA26" s="25"/>
      <c r="BB26" s="25"/>
      <c r="BC26" s="25"/>
      <c r="BD26" s="25"/>
      <c r="BE26" s="25"/>
      <c r="BF26" s="25"/>
      <c r="BG26" s="25"/>
      <c r="BH26" s="25"/>
      <c r="BI26" s="26"/>
    </row>
    <row r="27" spans="1:61" ht="15" customHeight="1" thickBot="1">
      <c r="A27" s="317" t="s">
        <v>67</v>
      </c>
      <c r="B27" s="326"/>
      <c r="C27" s="326"/>
      <c r="D27" s="326"/>
      <c r="E27" s="326"/>
      <c r="F27" s="326"/>
      <c r="G27" s="326"/>
      <c r="H27" s="326"/>
      <c r="I27" s="326"/>
      <c r="J27" s="326"/>
      <c r="K27" s="326"/>
      <c r="L27" s="326"/>
      <c r="M27" s="326"/>
      <c r="N27" s="326"/>
      <c r="O27" s="326"/>
      <c r="P27" s="326"/>
      <c r="Q27" s="326"/>
      <c r="R27" s="326"/>
      <c r="S27" s="326"/>
      <c r="T27" s="326"/>
      <c r="U27" s="326"/>
      <c r="V27" s="326"/>
      <c r="W27" s="326"/>
      <c r="X27" s="326"/>
      <c r="Y27" s="326"/>
      <c r="Z27" s="326"/>
      <c r="AA27" s="326"/>
      <c r="AB27" s="326"/>
      <c r="AC27" s="326"/>
      <c r="AD27" s="326"/>
      <c r="AE27" s="326"/>
      <c r="AF27" s="326"/>
      <c r="AG27" s="326"/>
      <c r="AH27" s="326"/>
      <c r="AI27" s="326"/>
      <c r="AJ27" s="326"/>
      <c r="AK27" s="326"/>
      <c r="AL27" s="326"/>
      <c r="AM27" s="326"/>
      <c r="AN27" s="326"/>
      <c r="AO27" s="326"/>
      <c r="AP27" s="326"/>
      <c r="AQ27" s="326"/>
      <c r="AR27" s="326"/>
      <c r="AS27" s="326"/>
      <c r="AT27" s="326"/>
      <c r="AU27" s="326"/>
      <c r="AV27" s="326"/>
      <c r="AW27" s="326"/>
      <c r="AX27" s="326"/>
      <c r="AY27" s="326"/>
      <c r="AZ27" s="326"/>
      <c r="BA27" s="326"/>
      <c r="BB27" s="326"/>
      <c r="BC27" s="326"/>
      <c r="BD27" s="326"/>
      <c r="BE27" s="326"/>
      <c r="BF27" s="326"/>
      <c r="BG27" s="326"/>
      <c r="BH27" s="326"/>
      <c r="BI27" s="318"/>
    </row>
    <row r="28" spans="1:61" ht="15" customHeight="1">
      <c r="A28" s="319" t="s">
        <v>68</v>
      </c>
      <c r="B28" s="336"/>
      <c r="C28" s="336"/>
      <c r="D28" s="336"/>
      <c r="E28" s="336"/>
      <c r="F28" s="336"/>
      <c r="G28" s="336"/>
      <c r="H28" s="336"/>
      <c r="I28" s="336"/>
      <c r="J28" s="336"/>
      <c r="K28" s="336"/>
      <c r="L28" s="336"/>
      <c r="M28" s="336"/>
      <c r="N28" s="336"/>
      <c r="O28" s="336"/>
      <c r="P28" s="336"/>
      <c r="Q28" s="336"/>
      <c r="R28" s="336"/>
      <c r="S28" s="336"/>
      <c r="T28" s="336"/>
      <c r="U28" s="336"/>
      <c r="V28" s="336"/>
      <c r="W28" s="336"/>
      <c r="X28" s="336"/>
      <c r="Y28" s="336"/>
      <c r="Z28" s="336"/>
      <c r="AA28" s="336"/>
      <c r="AB28" s="336"/>
      <c r="AC28" s="336"/>
      <c r="AD28" s="336"/>
      <c r="AE28" s="336"/>
      <c r="AF28" s="336"/>
      <c r="AG28" s="336"/>
      <c r="AH28" s="336"/>
      <c r="AI28" s="336"/>
      <c r="AJ28" s="336"/>
      <c r="AK28" s="336"/>
      <c r="AL28" s="336"/>
      <c r="AM28" s="336"/>
      <c r="AN28" s="336"/>
      <c r="AO28" s="336"/>
      <c r="AP28" s="336"/>
      <c r="AQ28" s="336"/>
      <c r="AR28" s="336"/>
      <c r="AS28" s="336"/>
      <c r="AT28" s="336"/>
      <c r="AU28" s="336"/>
      <c r="AV28" s="336"/>
      <c r="AW28" s="336"/>
      <c r="AX28" s="336"/>
      <c r="AY28" s="336"/>
      <c r="AZ28" s="336"/>
      <c r="BA28" s="336"/>
      <c r="BB28" s="336"/>
      <c r="BC28" s="336"/>
      <c r="BD28" s="336"/>
      <c r="BE28" s="336"/>
      <c r="BF28" s="336"/>
      <c r="BG28" s="336"/>
      <c r="BH28" s="336"/>
      <c r="BI28" s="320"/>
    </row>
    <row r="29" spans="1:61" ht="15" customHeight="1">
      <c r="A29" s="570"/>
      <c r="B29" s="449"/>
      <c r="C29" s="449"/>
      <c r="D29" s="449"/>
      <c r="E29" s="449"/>
      <c r="F29" s="449"/>
      <c r="G29" s="449"/>
      <c r="H29" s="449"/>
      <c r="I29" s="449"/>
      <c r="J29" s="449"/>
      <c r="K29" s="449"/>
      <c r="L29" s="449"/>
      <c r="M29" s="449"/>
      <c r="N29" s="449"/>
      <c r="O29" s="449"/>
      <c r="P29" s="449"/>
      <c r="Q29" s="449"/>
      <c r="R29" s="449"/>
      <c r="S29" s="449"/>
      <c r="T29" s="449"/>
      <c r="U29" s="449"/>
      <c r="V29" s="449"/>
      <c r="W29" s="449"/>
      <c r="X29" s="449"/>
      <c r="Y29" s="449"/>
      <c r="Z29" s="449"/>
      <c r="AA29" s="449"/>
      <c r="AB29" s="449"/>
      <c r="AC29" s="449"/>
      <c r="AD29" s="449"/>
      <c r="AE29" s="449"/>
      <c r="AF29" s="449"/>
      <c r="AG29" s="449"/>
      <c r="AH29" s="449"/>
      <c r="AI29" s="449"/>
      <c r="AJ29" s="449"/>
      <c r="AK29" s="449"/>
      <c r="AL29" s="449"/>
      <c r="AM29" s="449"/>
      <c r="AN29" s="449"/>
      <c r="AO29" s="449"/>
      <c r="AP29" s="449"/>
      <c r="AQ29" s="449"/>
      <c r="AR29" s="449"/>
      <c r="AS29" s="449"/>
      <c r="AT29" s="449"/>
      <c r="AU29" s="449"/>
      <c r="AV29" s="449"/>
      <c r="AW29" s="449"/>
      <c r="AX29" s="449"/>
      <c r="AY29" s="449"/>
      <c r="AZ29" s="449"/>
      <c r="BA29" s="449"/>
      <c r="BB29" s="449"/>
      <c r="BC29" s="449"/>
      <c r="BD29" s="449"/>
      <c r="BE29" s="449"/>
      <c r="BF29" s="449"/>
      <c r="BG29" s="449"/>
      <c r="BH29" s="449"/>
      <c r="BI29" s="573"/>
    </row>
    <row r="30" spans="1:61" ht="15" customHeight="1">
      <c r="A30" s="570"/>
      <c r="B30" s="449"/>
      <c r="C30" s="449"/>
      <c r="D30" s="449"/>
      <c r="E30" s="449"/>
      <c r="F30" s="449"/>
      <c r="G30" s="449"/>
      <c r="H30" s="449"/>
      <c r="I30" s="449"/>
      <c r="J30" s="449"/>
      <c r="K30" s="449"/>
      <c r="L30" s="449"/>
      <c r="M30" s="449"/>
      <c r="N30" s="449"/>
      <c r="O30" s="449"/>
      <c r="P30" s="449"/>
      <c r="Q30" s="449"/>
      <c r="R30" s="449"/>
      <c r="S30" s="449"/>
      <c r="T30" s="449"/>
      <c r="U30" s="449"/>
      <c r="V30" s="449"/>
      <c r="W30" s="449"/>
      <c r="X30" s="449"/>
      <c r="Y30" s="449"/>
      <c r="Z30" s="449"/>
      <c r="AA30" s="449"/>
      <c r="AB30" s="449"/>
      <c r="AC30" s="449"/>
      <c r="AD30" s="449"/>
      <c r="AE30" s="449"/>
      <c r="AF30" s="449"/>
      <c r="AG30" s="449"/>
      <c r="AH30" s="449"/>
      <c r="AI30" s="449"/>
      <c r="AJ30" s="449"/>
      <c r="AK30" s="449"/>
      <c r="AL30" s="449"/>
      <c r="AM30" s="449"/>
      <c r="AN30" s="449"/>
      <c r="AO30" s="449"/>
      <c r="AP30" s="449"/>
      <c r="AQ30" s="449"/>
      <c r="AR30" s="449"/>
      <c r="AS30" s="449"/>
      <c r="AT30" s="449"/>
      <c r="AU30" s="449"/>
      <c r="AV30" s="449"/>
      <c r="AW30" s="449"/>
      <c r="AX30" s="449"/>
      <c r="AY30" s="449"/>
      <c r="AZ30" s="449"/>
      <c r="BA30" s="449"/>
      <c r="BB30" s="449"/>
      <c r="BC30" s="449"/>
      <c r="BD30" s="449"/>
      <c r="BE30" s="449"/>
      <c r="BF30" s="449"/>
      <c r="BG30" s="449"/>
      <c r="BH30" s="449"/>
      <c r="BI30" s="573"/>
    </row>
    <row r="31" spans="1:61" ht="15" customHeight="1">
      <c r="A31" s="570"/>
      <c r="B31" s="449"/>
      <c r="C31" s="449"/>
      <c r="D31" s="449"/>
      <c r="E31" s="449"/>
      <c r="F31" s="449"/>
      <c r="G31" s="449"/>
      <c r="H31" s="449"/>
      <c r="I31" s="449"/>
      <c r="J31" s="449"/>
      <c r="K31" s="449"/>
      <c r="L31" s="449"/>
      <c r="M31" s="449"/>
      <c r="N31" s="449"/>
      <c r="O31" s="449"/>
      <c r="P31" s="449"/>
      <c r="Q31" s="449"/>
      <c r="R31" s="449"/>
      <c r="S31" s="449"/>
      <c r="T31" s="449"/>
      <c r="U31" s="449"/>
      <c r="V31" s="449"/>
      <c r="W31" s="449"/>
      <c r="X31" s="449"/>
      <c r="Y31" s="449"/>
      <c r="Z31" s="449"/>
      <c r="AA31" s="449"/>
      <c r="AB31" s="449"/>
      <c r="AC31" s="449"/>
      <c r="AD31" s="449"/>
      <c r="AE31" s="449"/>
      <c r="AF31" s="449"/>
      <c r="AG31" s="449"/>
      <c r="AH31" s="449"/>
      <c r="AI31" s="449"/>
      <c r="AJ31" s="449"/>
      <c r="AK31" s="449"/>
      <c r="AL31" s="449"/>
      <c r="AM31" s="449"/>
      <c r="AN31" s="449"/>
      <c r="AO31" s="449"/>
      <c r="AP31" s="449"/>
      <c r="AQ31" s="449"/>
      <c r="AR31" s="449"/>
      <c r="AS31" s="449"/>
      <c r="AT31" s="449"/>
      <c r="AU31" s="449"/>
      <c r="AV31" s="449"/>
      <c r="AW31" s="449"/>
      <c r="AX31" s="449"/>
      <c r="AY31" s="449"/>
      <c r="AZ31" s="449"/>
      <c r="BA31" s="449"/>
      <c r="BB31" s="449"/>
      <c r="BC31" s="449"/>
      <c r="BD31" s="449"/>
      <c r="BE31" s="449"/>
      <c r="BF31" s="449"/>
      <c r="BG31" s="449"/>
      <c r="BH31" s="449"/>
      <c r="BI31" s="573"/>
    </row>
    <row r="32" spans="1:61" ht="15" customHeight="1">
      <c r="A32" s="570"/>
      <c r="B32" s="449"/>
      <c r="C32" s="449"/>
      <c r="D32" s="449"/>
      <c r="E32" s="449"/>
      <c r="F32" s="449"/>
      <c r="G32" s="449"/>
      <c r="H32" s="449"/>
      <c r="I32" s="449"/>
      <c r="J32" s="449"/>
      <c r="K32" s="449"/>
      <c r="L32" s="449"/>
      <c r="M32" s="449"/>
      <c r="N32" s="449"/>
      <c r="O32" s="449"/>
      <c r="P32" s="449"/>
      <c r="Q32" s="449"/>
      <c r="R32" s="449"/>
      <c r="S32" s="449"/>
      <c r="T32" s="449"/>
      <c r="U32" s="449"/>
      <c r="V32" s="449"/>
      <c r="W32" s="449"/>
      <c r="X32" s="449"/>
      <c r="Y32" s="449"/>
      <c r="Z32" s="449"/>
      <c r="AA32" s="449"/>
      <c r="AB32" s="449"/>
      <c r="AC32" s="449"/>
      <c r="AD32" s="449"/>
      <c r="AE32" s="449"/>
      <c r="AF32" s="449"/>
      <c r="AG32" s="449"/>
      <c r="AH32" s="449"/>
      <c r="AI32" s="449"/>
      <c r="AJ32" s="449"/>
      <c r="AK32" s="449"/>
      <c r="AL32" s="449"/>
      <c r="AM32" s="449"/>
      <c r="AN32" s="449"/>
      <c r="AO32" s="449"/>
      <c r="AP32" s="449"/>
      <c r="AQ32" s="449"/>
      <c r="AR32" s="449"/>
      <c r="AS32" s="449"/>
      <c r="AT32" s="449"/>
      <c r="AU32" s="449"/>
      <c r="AV32" s="449"/>
      <c r="AW32" s="449"/>
      <c r="AX32" s="449"/>
      <c r="AY32" s="449"/>
      <c r="AZ32" s="449"/>
      <c r="BA32" s="449"/>
      <c r="BB32" s="449"/>
      <c r="BC32" s="449"/>
      <c r="BD32" s="449"/>
      <c r="BE32" s="449"/>
      <c r="BF32" s="449"/>
      <c r="BG32" s="449"/>
      <c r="BH32" s="449"/>
      <c r="BI32" s="573"/>
    </row>
    <row r="33" spans="1:61" ht="15" customHeight="1">
      <c r="A33" s="570"/>
      <c r="B33" s="449"/>
      <c r="C33" s="449"/>
      <c r="D33" s="449"/>
      <c r="E33" s="449"/>
      <c r="F33" s="449"/>
      <c r="G33" s="449"/>
      <c r="H33" s="449"/>
      <c r="I33" s="449"/>
      <c r="J33" s="449"/>
      <c r="K33" s="449"/>
      <c r="L33" s="449"/>
      <c r="M33" s="449"/>
      <c r="N33" s="449"/>
      <c r="O33" s="449"/>
      <c r="P33" s="449"/>
      <c r="Q33" s="449"/>
      <c r="R33" s="449"/>
      <c r="S33" s="449"/>
      <c r="T33" s="449"/>
      <c r="U33" s="449"/>
      <c r="V33" s="449"/>
      <c r="W33" s="449"/>
      <c r="X33" s="449"/>
      <c r="Y33" s="449"/>
      <c r="Z33" s="449"/>
      <c r="AA33" s="449"/>
      <c r="AB33" s="449"/>
      <c r="AC33" s="449"/>
      <c r="AD33" s="449"/>
      <c r="AE33" s="449"/>
      <c r="AF33" s="449"/>
      <c r="AG33" s="449"/>
      <c r="AH33" s="449"/>
      <c r="AI33" s="449"/>
      <c r="AJ33" s="449"/>
      <c r="AK33" s="449"/>
      <c r="AL33" s="449"/>
      <c r="AM33" s="449"/>
      <c r="AN33" s="449"/>
      <c r="AO33" s="21"/>
      <c r="AP33" s="21"/>
      <c r="AQ33" s="21"/>
      <c r="AR33" s="21"/>
      <c r="AS33" s="21"/>
      <c r="AT33" s="21"/>
      <c r="AU33" s="21"/>
      <c r="AV33" s="21"/>
      <c r="AW33" s="21"/>
      <c r="AX33" s="21"/>
      <c r="AY33" s="21"/>
      <c r="AZ33" s="21"/>
      <c r="BA33" s="21"/>
      <c r="BB33" s="21"/>
      <c r="BC33" s="21"/>
      <c r="BD33" s="21"/>
      <c r="BE33" s="21"/>
      <c r="BF33" s="21"/>
      <c r="BG33" s="21"/>
      <c r="BH33" s="21"/>
      <c r="BI33" s="22"/>
    </row>
    <row r="34" spans="1:61" ht="15" customHeight="1">
      <c r="A34" s="570"/>
      <c r="B34" s="449"/>
      <c r="C34" s="449"/>
      <c r="D34" s="449"/>
      <c r="E34" s="449"/>
      <c r="F34" s="449"/>
      <c r="G34" s="449"/>
      <c r="H34" s="449"/>
      <c r="I34" s="449"/>
      <c r="J34" s="449"/>
      <c r="K34" s="449"/>
      <c r="L34" s="449"/>
      <c r="M34" s="449"/>
      <c r="N34" s="449"/>
      <c r="O34" s="449"/>
      <c r="P34" s="449"/>
      <c r="Q34" s="449"/>
      <c r="R34" s="449"/>
      <c r="S34" s="449"/>
      <c r="T34" s="449"/>
      <c r="U34" s="449"/>
      <c r="V34" s="449"/>
      <c r="W34" s="449"/>
      <c r="X34" s="449"/>
      <c r="Y34" s="449"/>
      <c r="Z34" s="449"/>
      <c r="AA34" s="449"/>
      <c r="AB34" s="449"/>
      <c r="AC34" s="449"/>
      <c r="AD34" s="449"/>
      <c r="AE34" s="449"/>
      <c r="AF34" s="449"/>
      <c r="AG34" s="449"/>
      <c r="AH34" s="449"/>
      <c r="AI34" s="449"/>
      <c r="AJ34" s="449"/>
      <c r="AK34" s="449"/>
      <c r="AL34" s="449"/>
      <c r="AM34" s="449"/>
      <c r="AN34" s="449"/>
      <c r="BI34" s="24"/>
    </row>
    <row r="35" spans="1:61" ht="15" customHeight="1">
      <c r="A35" s="570"/>
      <c r="B35" s="449"/>
      <c r="C35" s="449"/>
      <c r="D35" s="449"/>
      <c r="E35" s="449"/>
      <c r="F35" s="449"/>
      <c r="G35" s="449"/>
      <c r="H35" s="449"/>
      <c r="I35" s="449"/>
      <c r="J35" s="449"/>
      <c r="K35" s="449"/>
      <c r="L35" s="449"/>
      <c r="M35" s="449"/>
      <c r="N35" s="449"/>
      <c r="O35" s="449"/>
      <c r="P35" s="449"/>
      <c r="Q35" s="449"/>
      <c r="R35" s="449"/>
      <c r="S35" s="449"/>
      <c r="T35" s="449"/>
      <c r="U35" s="449"/>
      <c r="V35" s="449"/>
      <c r="W35" s="449"/>
      <c r="X35" s="449"/>
      <c r="Y35" s="449"/>
      <c r="Z35" s="449"/>
      <c r="AA35" s="449"/>
      <c r="AB35" s="449"/>
      <c r="AC35" s="449"/>
      <c r="AD35" s="449"/>
      <c r="AE35" s="449"/>
      <c r="AF35" s="449"/>
      <c r="AG35" s="449"/>
      <c r="AH35" s="449"/>
      <c r="AI35" s="449"/>
      <c r="AJ35" s="449"/>
      <c r="AK35" s="449"/>
      <c r="AL35" s="449"/>
      <c r="AM35" s="449"/>
      <c r="AN35" s="449"/>
      <c r="BI35" s="24"/>
    </row>
    <row r="36" spans="1:61" ht="15" customHeight="1" thickBot="1">
      <c r="A36" s="571"/>
      <c r="B36" s="572"/>
      <c r="C36" s="572"/>
      <c r="D36" s="572"/>
      <c r="E36" s="572"/>
      <c r="F36" s="572"/>
      <c r="G36" s="572"/>
      <c r="H36" s="572"/>
      <c r="I36" s="572"/>
      <c r="J36" s="572"/>
      <c r="K36" s="572"/>
      <c r="L36" s="572"/>
      <c r="M36" s="572"/>
      <c r="N36" s="572"/>
      <c r="O36" s="572"/>
      <c r="P36" s="572"/>
      <c r="Q36" s="572"/>
      <c r="R36" s="572"/>
      <c r="S36" s="572"/>
      <c r="T36" s="572"/>
      <c r="U36" s="572"/>
      <c r="V36" s="572"/>
      <c r="W36" s="572"/>
      <c r="X36" s="572"/>
      <c r="Y36" s="572"/>
      <c r="Z36" s="572"/>
      <c r="AA36" s="572"/>
      <c r="AB36" s="572"/>
      <c r="AC36" s="572"/>
      <c r="AD36" s="572"/>
      <c r="AE36" s="572"/>
      <c r="AF36" s="572"/>
      <c r="AG36" s="572"/>
      <c r="AH36" s="572"/>
      <c r="AI36" s="572"/>
      <c r="AJ36" s="572"/>
      <c r="AK36" s="572"/>
      <c r="AL36" s="572"/>
      <c r="AM36" s="572"/>
      <c r="AN36" s="572"/>
      <c r="AO36" s="25"/>
      <c r="AP36" s="25"/>
      <c r="AQ36" s="25"/>
      <c r="AR36" s="25"/>
      <c r="AS36" s="25"/>
      <c r="AT36" s="25"/>
      <c r="AU36" s="25"/>
      <c r="AV36" s="25"/>
      <c r="AW36" s="25"/>
      <c r="AX36" s="25"/>
      <c r="AY36" s="25"/>
      <c r="AZ36" s="25"/>
      <c r="BA36" s="25"/>
      <c r="BB36" s="25"/>
      <c r="BC36" s="25"/>
      <c r="BD36" s="25"/>
      <c r="BE36" s="25"/>
      <c r="BF36" s="25"/>
      <c r="BG36" s="25"/>
      <c r="BH36" s="25"/>
      <c r="BI36" s="26"/>
    </row>
  </sheetData>
  <mergeCells count="30">
    <mergeCell ref="F1:P1"/>
    <mergeCell ref="Q1:V1"/>
    <mergeCell ref="W1:AD1"/>
    <mergeCell ref="A1:E3"/>
    <mergeCell ref="AE1:AS1"/>
    <mergeCell ref="F2:P3"/>
    <mergeCell ref="Q2:V3"/>
    <mergeCell ref="W2:AD3"/>
    <mergeCell ref="AE2:AS3"/>
    <mergeCell ref="AT1:BA1"/>
    <mergeCell ref="BB1:BI1"/>
    <mergeCell ref="AT2:AU2"/>
    <mergeCell ref="AV2:BA2"/>
    <mergeCell ref="BB2:BI2"/>
    <mergeCell ref="AT3:AU3"/>
    <mergeCell ref="AV3:BA3"/>
    <mergeCell ref="BB3:BI3"/>
    <mergeCell ref="A33:J36"/>
    <mergeCell ref="K33:T36"/>
    <mergeCell ref="U33:AD36"/>
    <mergeCell ref="A5:BI5"/>
    <mergeCell ref="A27:BI27"/>
    <mergeCell ref="A28:BI28"/>
    <mergeCell ref="A29:J32"/>
    <mergeCell ref="K29:T32"/>
    <mergeCell ref="U29:AD32"/>
    <mergeCell ref="AE29:AN32"/>
    <mergeCell ref="AO29:AX32"/>
    <mergeCell ref="AY29:BI32"/>
    <mergeCell ref="AE33:AN36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scale="85" orientation="landscape" r:id="rId1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F84FE2-F1B3-4C60-BC9F-513F726A97F5}">
  <dimension ref="A2:H20"/>
  <sheetViews>
    <sheetView workbookViewId="0"/>
  </sheetViews>
  <sheetFormatPr defaultColWidth="8.83203125" defaultRowHeight="15"/>
  <cols>
    <col min="1" max="4" width="8.83203125" style="18"/>
    <col min="5" max="5" width="25.5" style="18" customWidth="1"/>
    <col min="6" max="6" width="20.5" style="18" customWidth="1"/>
    <col min="7" max="7" width="13.33203125" style="18" bestFit="1" customWidth="1"/>
    <col min="8" max="8" width="20.58203125" style="18" bestFit="1" customWidth="1"/>
    <col min="9" max="16384" width="8.83203125" style="18"/>
  </cols>
  <sheetData>
    <row r="2" spans="1:8" ht="30.5" thickBot="1">
      <c r="A2" s="18" t="s">
        <v>234</v>
      </c>
      <c r="B2" s="18" t="s">
        <v>153</v>
      </c>
      <c r="C2" s="18" t="s">
        <v>155</v>
      </c>
      <c r="D2" s="18" t="s">
        <v>156</v>
      </c>
      <c r="E2" s="28" t="s">
        <v>235</v>
      </c>
      <c r="F2" s="28" t="s">
        <v>236</v>
      </c>
      <c r="G2" s="18" t="s">
        <v>237</v>
      </c>
      <c r="H2" s="18" t="s">
        <v>238</v>
      </c>
    </row>
    <row r="3" spans="1:8">
      <c r="A3" s="12" t="s">
        <v>239</v>
      </c>
      <c r="B3" s="29" t="s">
        <v>240</v>
      </c>
      <c r="C3" s="12" t="s">
        <v>241</v>
      </c>
      <c r="D3" s="30" t="s">
        <v>241</v>
      </c>
      <c r="E3" s="12" t="s">
        <v>113</v>
      </c>
      <c r="F3" s="31" t="s">
        <v>242</v>
      </c>
      <c r="G3" s="12" t="s">
        <v>243</v>
      </c>
      <c r="H3" s="12" t="s">
        <v>244</v>
      </c>
    </row>
    <row r="4" spans="1:8" ht="15.5" thickBot="1">
      <c r="A4" s="13" t="s">
        <v>245</v>
      </c>
      <c r="B4" s="10" t="s">
        <v>246</v>
      </c>
      <c r="C4" s="13" t="s">
        <v>247</v>
      </c>
      <c r="D4" s="7" t="s">
        <v>247</v>
      </c>
      <c r="E4" s="14" t="s">
        <v>166</v>
      </c>
      <c r="F4" s="8" t="s">
        <v>248</v>
      </c>
      <c r="G4" s="14" t="s">
        <v>249</v>
      </c>
      <c r="H4" s="13" t="s">
        <v>250</v>
      </c>
    </row>
    <row r="5" spans="1:8" ht="15.5" thickBot="1">
      <c r="A5" s="14" t="s">
        <v>251</v>
      </c>
      <c r="B5" s="11" t="s">
        <v>123</v>
      </c>
      <c r="C5" s="13" t="s">
        <v>252</v>
      </c>
      <c r="D5" s="7" t="s">
        <v>253</v>
      </c>
      <c r="H5" s="13" t="s">
        <v>254</v>
      </c>
    </row>
    <row r="6" spans="1:8" ht="15.5" thickBot="1">
      <c r="C6" s="14" t="s">
        <v>255</v>
      </c>
      <c r="D6" s="9" t="s">
        <v>256</v>
      </c>
      <c r="H6" s="13" t="s">
        <v>257</v>
      </c>
    </row>
    <row r="7" spans="1:8">
      <c r="H7" s="13" t="s">
        <v>258</v>
      </c>
    </row>
    <row r="8" spans="1:8">
      <c r="H8" s="13" t="s">
        <v>259</v>
      </c>
    </row>
    <row r="9" spans="1:8">
      <c r="H9" s="13" t="s">
        <v>260</v>
      </c>
    </row>
    <row r="10" spans="1:8">
      <c r="H10" s="13" t="s">
        <v>261</v>
      </c>
    </row>
    <row r="11" spans="1:8">
      <c r="H11" s="13" t="s">
        <v>262</v>
      </c>
    </row>
    <row r="12" spans="1:8">
      <c r="H12" s="13" t="s">
        <v>263</v>
      </c>
    </row>
    <row r="13" spans="1:8">
      <c r="H13" s="13" t="s">
        <v>264</v>
      </c>
    </row>
    <row r="14" spans="1:8">
      <c r="H14" s="13" t="s">
        <v>265</v>
      </c>
    </row>
    <row r="15" spans="1:8">
      <c r="H15" s="13" t="s">
        <v>266</v>
      </c>
    </row>
    <row r="16" spans="1:8">
      <c r="H16" s="13" t="s">
        <v>267</v>
      </c>
    </row>
    <row r="17" spans="8:8">
      <c r="H17" s="13" t="s">
        <v>268</v>
      </c>
    </row>
    <row r="18" spans="8:8">
      <c r="H18" s="13" t="s">
        <v>269</v>
      </c>
    </row>
    <row r="19" spans="8:8">
      <c r="H19" s="13" t="s">
        <v>270</v>
      </c>
    </row>
    <row r="20" spans="8:8" ht="15.5" thickBot="1">
      <c r="H20" s="14" t="s">
        <v>271</v>
      </c>
    </row>
  </sheetData>
  <phoneticPr fontId="2"/>
  <pageMargins left="0.7" right="0.7" top="0.75" bottom="0.75" header="0.3" footer="0.3"/>
  <pageSetup paperSize="9" orientation="portrait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2927D8DE12D48B47B0D44EEF0BC44240" ma:contentTypeVersion="7" ma:contentTypeDescription="新しいドキュメントを作成します。" ma:contentTypeScope="" ma:versionID="eb2c6aaa4f11c9ec3f65575caeec9635">
  <xsd:schema xmlns:xsd="http://www.w3.org/2001/XMLSchema" xmlns:xs="http://www.w3.org/2001/XMLSchema" xmlns:p="http://schemas.microsoft.com/office/2006/metadata/properties" xmlns:ns2="cfe21c4c-392e-4d25-9e26-4c8da30b5bfc" targetNamespace="http://schemas.microsoft.com/office/2006/metadata/properties" ma:root="true" ma:fieldsID="9c02081431634b31a602b5209939e0f2" ns2:_="">
    <xsd:import namespace="cfe21c4c-392e-4d25-9e26-4c8da30b5bf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e21c4c-392e-4d25-9e26-4c8da30b5bf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378F893-0B45-4883-A780-766892CBAD8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8C7059D-540D-4E26-AD6F-F571B492AFD0}"/>
</file>

<file path=customXml/itemProps3.xml><?xml version="1.0" encoding="utf-8"?>
<ds:datastoreItem xmlns:ds="http://schemas.openxmlformats.org/officeDocument/2006/customXml" ds:itemID="{CDC09644-FFA4-4F30-A48B-F99A42147C02}">
  <ds:schemaRefs>
    <ds:schemaRef ds:uri="http://schemas.microsoft.com/office/2006/metadata/properties"/>
    <ds:schemaRef ds:uri="http://schemas.microsoft.com/office/infopath/2007/PartnerControls"/>
    <ds:schemaRef ds:uri="11a06735-eb40-4925-8cde-3ab8c03b2281"/>
    <ds:schemaRef ds:uri="337c9669-7545-402d-a50a-1c173d0fc4c6"/>
  </ds:schemaRefs>
</ds:datastoreItem>
</file>

<file path=docMetadata/LabelInfo.xml><?xml version="1.0" encoding="utf-8"?>
<clbl:labelList xmlns:clbl="http://schemas.microsoft.com/office/2020/mipLabelMetadata">
  <clbl:label id="{c19c5025-2d5a-4151-b81a-f8ad855b3a14}" enabled="0" method="" siteId="{c19c5025-2d5a-4151-b81a-f8ad855b3a14}" removed="1"/>
  <clbl:label id="{cc7dee35-16af-4e40-a4d4-2619d7c0024f}" enabled="0" method="" siteId="{cc7dee35-16af-4e40-a4d4-2619d7c0024f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2</DocSecurity>
  <ScaleCrop>false</ScaleCrop>
  <HeadingPairs>
    <vt:vector size="4" baseType="variant">
      <vt:variant>
        <vt:lpstr>ワークシート</vt:lpstr>
      </vt:variant>
      <vt:variant>
        <vt:i4>20</vt:i4>
      </vt:variant>
      <vt:variant>
        <vt:lpstr>名前付き一覧</vt:lpstr>
      </vt:variant>
      <vt:variant>
        <vt:i4>11</vt:i4>
      </vt:variant>
    </vt:vector>
  </HeadingPairs>
  <TitlesOfParts>
    <vt:vector size="31" baseType="lpstr">
      <vt:lpstr>表紙</vt:lpstr>
      <vt:lpstr>変更履歴</vt:lpstr>
      <vt:lpstr>処理概要</vt:lpstr>
      <vt:lpstr>テーブル一覧</vt:lpstr>
      <vt:lpstr>DFD</vt:lpstr>
      <vt:lpstr>イベント説明</vt:lpstr>
      <vt:lpstr>画面レイアウト</vt:lpstr>
      <vt:lpstr>画面項目説明</vt:lpstr>
      <vt:lpstr>帳票レイアウト</vt:lpstr>
      <vt:lpstr>帳票出力仕様</vt:lpstr>
      <vt:lpstr>ファイルレイアウト</vt:lpstr>
      <vt:lpstr>テーブル出力仕様</vt:lpstr>
      <vt:lpstr>補足説明 </vt:lpstr>
      <vt:lpstr>補足説明  (メッセージ)</vt:lpstr>
      <vt:lpstr>補足説明(機能関連図) </vt:lpstr>
      <vt:lpstr>補足説明（２）</vt:lpstr>
      <vt:lpstr>レビュー指摘事項</vt:lpstr>
      <vt:lpstr>オブジェクト一覧</vt:lpstr>
      <vt:lpstr>プログラムフロー図</vt:lpstr>
      <vt:lpstr>マスタ</vt:lpstr>
      <vt:lpstr>io</vt:lpstr>
      <vt:lpstr>DFD!Print_Area</vt:lpstr>
      <vt:lpstr>Visivility</vt:lpstr>
      <vt:lpstr>オブジェクト</vt:lpstr>
      <vt:lpstr>オブジェクト一覧</vt:lpstr>
      <vt:lpstr>テーブル種別</vt:lpstr>
      <vt:lpstr>マスタ</vt:lpstr>
      <vt:lpstr>横位置</vt:lpstr>
      <vt:lpstr>縦位置</vt:lpstr>
      <vt:lpstr>書式</vt:lpstr>
      <vt:lpstr>折り返して全体を表示する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Ishioka, Takumi</dc:creator>
  <cp:keywords/>
  <dc:description/>
  <cp:lastModifiedBy>Yamada, Hiroki</cp:lastModifiedBy>
  <cp:revision/>
  <dcterms:created xsi:type="dcterms:W3CDTF">2015-06-05T18:19:34Z</dcterms:created>
  <dcterms:modified xsi:type="dcterms:W3CDTF">2024-10-24T13:00:19Z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0x0101002927D8DE12D48B47B0D44EEF0BC44240</vt:lpwstr>
  </property>
  <property fmtid="{D5CDD505-2E9C-101B-9397-08002B2CF9AE}" pid="3" name="Workbook id">
    <vt:lpwstr>747cd6ea-0415-4c70-a927-7fcd14e2e863</vt:lpwstr>
  </property>
  <property fmtid="{D5CDD505-2E9C-101B-9397-08002B2CF9AE}" pid="4" name="Workbook type">
    <vt:lpwstr>Custom</vt:lpwstr>
  </property>
  <property fmtid="{D5CDD505-2E9C-101B-9397-08002B2CF9AE}" pid="5" name="Workbook version">
    <vt:lpwstr>Custom</vt:lpwstr>
  </property>
  <property fmtid="{D5CDD505-2E9C-101B-9397-08002B2CF9AE}" pid="6" name="Order">
    <vt:r8>44386100</vt:r8>
  </property>
  <property fmtid="{D5CDD505-2E9C-101B-9397-08002B2CF9AE}" pid="7" name="xd_Signature">
    <vt:bool>false</vt:bool>
  </property>
  <property fmtid="{D5CDD505-2E9C-101B-9397-08002B2CF9AE}" pid="8" name="xd_ProgID">
    <vt:lpwstr/>
  </property>
  <property fmtid="{D5CDD505-2E9C-101B-9397-08002B2CF9AE}" pid="9" name="ComplianceAssetId">
    <vt:lpwstr/>
  </property>
  <property fmtid="{D5CDD505-2E9C-101B-9397-08002B2CF9AE}" pid="10" name="TemplateUrl">
    <vt:lpwstr/>
  </property>
  <property fmtid="{D5CDD505-2E9C-101B-9397-08002B2CF9AE}" pid="11" name="_ExtendedDescription">
    <vt:lpwstr/>
  </property>
  <property fmtid="{D5CDD505-2E9C-101B-9397-08002B2CF9AE}" pid="12" name="TriggerFlowInfo">
    <vt:lpwstr/>
  </property>
  <property fmtid="{D5CDD505-2E9C-101B-9397-08002B2CF9AE}" pid="13" name="MediaServiceImageTags">
    <vt:lpwstr/>
  </property>
</Properties>
</file>