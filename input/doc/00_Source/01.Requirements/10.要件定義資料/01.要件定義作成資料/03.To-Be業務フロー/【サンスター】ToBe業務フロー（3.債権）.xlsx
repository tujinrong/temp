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3_ToBe業務フロー/"/>
    </mc:Choice>
  </mc:AlternateContent>
  <xr:revisionPtr revIDLastSave="580" documentId="120_{C467EA3F-FF21-438E-A4F1-BAEB8FD9E04F}" xr6:coauthVersionLast="47" xr6:coauthVersionMax="47" xr10:uidLastSave="{07408966-841D-4AD1-A304-F3FABA6E26DD}"/>
  <bookViews>
    <workbookView xWindow="28680" yWindow="-120" windowWidth="29040" windowHeight="15720" tabRatio="871" firstSheet="11" activeTab="11" xr2:uid="{00000000-000D-0000-FFFF-FFFF00000000}"/>
  </bookViews>
  <sheets>
    <sheet name="表紙" sheetId="233" r:id="rId1"/>
    <sheet name="変更履歴" sheetId="234" r:id="rId2"/>
    <sheet name="凡例" sheetId="241" r:id="rId3"/>
    <sheet name="1.SSJ・SEJ売上計上・請求処理 (売掛金)" sheetId="280" r:id="rId4"/>
    <sheet name="2.SLJ売上計上・請求処理 (売掛金)" sheetId="300" r:id="rId5"/>
    <sheet name="3.SSJ・SEJ入金 (売掛金)" sheetId="281" r:id="rId6"/>
    <sheet name="4.SLJ入金 (売掛金) " sheetId="291" r:id="rId7"/>
    <sheet name="5.SSJ・SEJ入金消込 (売掛金)" sheetId="288" r:id="rId8"/>
    <sheet name="6.SLJ入金消込 (売掛金) " sheetId="292" r:id="rId9"/>
    <sheet name="7.その他取引計上old" sheetId="305" state="hidden" r:id="rId10"/>
    <sheet name="7.その他取引計上" sheetId="307" r:id="rId11"/>
    <sheet name="8.入金 (未収入金・その他)" sheetId="290" r:id="rId12"/>
    <sheet name="9.入金消込 (未収入金)" sheetId="293" r:id="rId13"/>
    <sheet name="10.債権残高管理" sheetId="295" r:id="rId14"/>
    <sheet name="11.SSJ与信管理" sheetId="287" r:id="rId15"/>
    <sheet name="12.SEJ与信管理" sheetId="302" r:id="rId16"/>
    <sheet name="13.決算処理" sheetId="298" r:id="rId17"/>
    <sheet name="14.手形管理" sheetId="301" r:id="rId18"/>
    <sheet name="【参考】外貨再評価" sheetId="299" r:id="rId19"/>
  </sheets>
  <externalReferences>
    <externalReference r:id="rId20"/>
  </externalReferences>
  <definedNames>
    <definedName name="_xlnm._FilterDatabase" hidden="1">'[1]１．InfoCube (YKCH0010)案１:１．InfoCube (YKCH0010) 案２'!$W$5:$W$5</definedName>
    <definedName name="_Key1" hidden="1">#REF!</definedName>
    <definedName name="_Order1" hidden="1">0</definedName>
    <definedName name="_Sort" hidden="1">#REF!</definedName>
    <definedName name="aaa" hidden="1">{"'その他費用'!$B$3:$J$22"}</definedName>
    <definedName name="AS2DocOpenMode" hidden="1">"AS2DocumentEdit"</definedName>
    <definedName name="asasa" hidden="1">{"'その他費用'!$B$3:$J$22"}</definedName>
    <definedName name="asasasa" hidden="1">{"'その他費用'!$B$3:$J$22"}</definedName>
    <definedName name="asg" hidden="1">{"'その他費用'!$B$3:$J$22"}</definedName>
    <definedName name="asgash" hidden="1">{"'その他費用'!$B$3:$J$22"}</definedName>
    <definedName name="asqqq" hidden="1">{"'その他費用'!$B$3:$J$22"}</definedName>
    <definedName name="cszxz" hidden="1">{"'その他費用'!$B$3:$J$22"}</definedName>
    <definedName name="dsds" hidden="1">{"'その他費用'!$B$3:$J$22"}</definedName>
    <definedName name="dwed" hidden="1">{"'その他費用'!$B$3:$J$22"}</definedName>
    <definedName name="fff" hidden="1">{"'その他費用'!$B$3:$J$22"}</definedName>
    <definedName name="FJKLJFSA" hidden="1">{"'その他費用'!$B$3:$J$22"}</definedName>
    <definedName name="FKDSAJLFA" hidden="1">{"'その他費用'!$B$3:$J$22"}</definedName>
    <definedName name="GGGG" hidden="1">{"'その他費用'!$B$3:$J$22"}</definedName>
    <definedName name="gre" hidden="1">{"'その他費用'!$B$3:$J$22"}</definedName>
    <definedName name="HTML_CodePage" hidden="1">932</definedName>
    <definedName name="HTML_Control" hidden="1">{"'その他費用'!$B$3:$J$22"}</definedName>
    <definedName name="HTML_Control1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sisi" hidden="1">{"'その他費用'!$B$3:$J$22"}</definedName>
    <definedName name="JFLKDSAJ" hidden="1">{"'その他費用'!$B$3:$J$22"}</definedName>
    <definedName name="SAPBEXrevision" hidden="1">1</definedName>
    <definedName name="SAPBEXsysID" hidden="1">"GVA"</definedName>
    <definedName name="SAPBEXwbID" hidden="1">"3LCAU7MCBU5FSHA8VTJRG75ZF"</definedName>
    <definedName name="sasa" hidden="1">{"'その他費用'!$B$3:$J$22"}</definedName>
    <definedName name="sss" hidden="1">{"'その他費用'!$B$3:$J$22"}</definedName>
    <definedName name="wws" hidden="1">{"'その他費用'!$B$3:$J$22"}</definedName>
    <definedName name="xsada" hidden="1">{"'その他費用'!$B$3:$J$22"}</definedName>
    <definedName name="xsaxa" hidden="1">{"'その他費用'!$B$3:$J$22"}</definedName>
    <definedName name="zx" hidden="1">{"'その他費用'!$B$3:$J$22"}</definedName>
    <definedName name="ZZZ" hidden="1">{"'その他費用'!$B$3:$J$22"}</definedName>
    <definedName name="あああ" hidden="1">{"'その他費用'!$B$3:$J$22"}</definedName>
    <definedName name="勘定コード登録" hidden="1">{"'その他費用'!$B$3:$J$22"}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07" l="1"/>
  <c r="V2" i="307"/>
  <c r="AT2" i="234"/>
  <c r="AL2" i="307" s="1"/>
  <c r="AT3" i="234" a="1"/>
  <c r="AT3" i="234" l="1"/>
  <c r="AL3" i="307" l="1"/>
  <c r="A6" i="305"/>
  <c r="AL2" i="305"/>
  <c r="V2" i="305"/>
  <c r="A6" i="302"/>
  <c r="V2" i="302"/>
  <c r="A6" i="301"/>
  <c r="V2" i="301"/>
  <c r="A6" i="300"/>
  <c r="V2" i="300"/>
  <c r="A6" i="298"/>
  <c r="V2" i="298"/>
  <c r="A6" i="295" l="1"/>
  <c r="V2" i="295"/>
  <c r="A6" i="293"/>
  <c r="V2" i="293"/>
  <c r="A6" i="292" l="1"/>
  <c r="V2" i="292"/>
  <c r="A6" i="291" l="1"/>
  <c r="V2" i="291"/>
  <c r="A6" i="290"/>
  <c r="V2" i="290"/>
  <c r="A6" i="288"/>
  <c r="V2" i="288"/>
  <c r="A6" i="287"/>
  <c r="V2" i="287"/>
  <c r="A6" i="281" l="1"/>
  <c r="V2" i="281"/>
  <c r="A6" i="280" l="1"/>
  <c r="V2" i="280"/>
  <c r="V2" i="241" l="1"/>
  <c r="W2" i="234" l="1"/>
  <c r="F2" i="234" l="1"/>
  <c r="F1" i="234"/>
  <c r="B22" i="233"/>
  <c r="B24" i="233" a="1"/>
  <c r="F1" i="305" l="1"/>
  <c r="F1" i="307"/>
  <c r="F2" i="307"/>
  <c r="F2" i="305"/>
  <c r="F1" i="302"/>
  <c r="F1" i="301"/>
  <c r="F1" i="300"/>
  <c r="F1" i="298"/>
  <c r="F1" i="295"/>
  <c r="F1" i="293"/>
  <c r="F1" i="292"/>
  <c r="F1" i="291"/>
  <c r="F1" i="290"/>
  <c r="F1" i="288"/>
  <c r="F1" i="287"/>
  <c r="F1" i="281"/>
  <c r="F1" i="280"/>
  <c r="F2" i="301"/>
  <c r="F2" i="302"/>
  <c r="F2" i="300"/>
  <c r="F2" i="298"/>
  <c r="F2" i="295"/>
  <c r="F2" i="293"/>
  <c r="F2" i="292"/>
  <c r="F2" i="288"/>
  <c r="F2" i="291"/>
  <c r="F2" i="290"/>
  <c r="F2" i="287"/>
  <c r="F2" i="281"/>
  <c r="F2" i="280"/>
  <c r="F1" i="241"/>
  <c r="F2" i="241"/>
  <c r="B24" i="233"/>
  <c r="BA2" i="234" l="1"/>
  <c r="AL2" i="302"/>
  <c r="BA3" i="234" a="1"/>
  <c r="AQ2" i="307" l="1"/>
  <c r="AQ2" i="305"/>
  <c r="AQ2" i="302"/>
  <c r="AQ2" i="301"/>
  <c r="AL2" i="301"/>
  <c r="AL2" i="298"/>
  <c r="AL2" i="300"/>
  <c r="AL2" i="293"/>
  <c r="AL2" i="295"/>
  <c r="AL2" i="292"/>
  <c r="AL2" i="291"/>
  <c r="AL2" i="287"/>
  <c r="AL2" i="290"/>
  <c r="AL2" i="288"/>
  <c r="AL2" i="281"/>
  <c r="AL2" i="280"/>
  <c r="AQ2" i="298"/>
  <c r="AQ2" i="300"/>
  <c r="AQ2" i="295"/>
  <c r="AQ2" i="293"/>
  <c r="AQ2" i="292"/>
  <c r="AQ2" i="291"/>
  <c r="AQ2" i="287"/>
  <c r="AQ2" i="288"/>
  <c r="AQ2" i="290"/>
  <c r="AQ2" i="281"/>
  <c r="AQ2" i="280"/>
  <c r="AL2" i="241"/>
  <c r="AQ2" i="241"/>
  <c r="BA3" i="234"/>
  <c r="AQ3" i="307" l="1"/>
  <c r="AL3" i="305"/>
  <c r="AQ3" i="305"/>
  <c r="AQ3" i="301"/>
  <c r="AQ3" i="302"/>
  <c r="AL3" i="301"/>
  <c r="AL3" i="302"/>
  <c r="AQ3" i="298"/>
  <c r="AQ3" i="300"/>
  <c r="AL3" i="298"/>
  <c r="AL3" i="300"/>
  <c r="AQ3" i="295"/>
  <c r="AL3" i="295"/>
  <c r="AQ3" i="292"/>
  <c r="AQ3" i="293"/>
  <c r="AL3" i="292"/>
  <c r="AL3" i="293"/>
  <c r="AQ3" i="290"/>
  <c r="AQ3" i="291"/>
  <c r="AL3" i="290"/>
  <c r="AL3" i="291"/>
  <c r="AQ3" i="288"/>
  <c r="AL3" i="288"/>
  <c r="AQ3" i="287"/>
  <c r="AL3" i="287"/>
  <c r="AQ3" i="280"/>
  <c r="AQ3" i="281"/>
  <c r="AL3" i="280"/>
  <c r="AL3" i="281"/>
  <c r="AQ3" i="241"/>
  <c r="AL3" i="2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Kato, Tatsuya</author>
  </authors>
  <commentList>
    <comment ref="I8" authorId="0" shapeId="0" xr:uid="{00000000-0006-0000-0300-000001000000}">
      <text>
        <r>
          <rPr>
            <b/>
            <sz val="11"/>
            <color indexed="81"/>
            <rFont val="Meiryo UI"/>
            <family val="3"/>
            <charset val="128"/>
            <scheme val="major"/>
          </rPr>
          <t>＜MC事業部＞
受注から入金処理まで担当　ＭＣ事業本部　ＭＣ技術営業部　ＯＥＭ営業グループ
＜UVIX事業＞
受注から入金処理まで担当　E-サイエンス事業部　営業開発部　U-VIXグループ</t>
        </r>
        <r>
          <rPr>
            <sz val="11"/>
            <color indexed="81"/>
            <rFont val="Meiryo UI"/>
            <family val="3"/>
            <charset val="128"/>
            <scheme val="major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<sst xmlns="http://schemas.openxmlformats.org/spreadsheetml/2006/main" count="1259" uniqueCount="571">
  <si>
    <t>サンスター株式会社　御中</t>
    <phoneticPr fontId="5"/>
  </si>
  <si>
    <t>会計システム刷新プロジェクト（LIBRA）</t>
    <phoneticPr fontId="5"/>
  </si>
  <si>
    <t>ToBe業務フロー（3.債権）</t>
    <rPh sb="4" eb="6">
      <t>ギョウム</t>
    </rPh>
    <rPh sb="12" eb="14">
      <t>サイケン</t>
    </rPh>
    <phoneticPr fontId="4"/>
  </si>
  <si>
    <t>日本ビジネスシステムズ株式会社</t>
    <rPh sb="0" eb="2">
      <t>ニホン</t>
    </rPh>
    <rPh sb="11" eb="15">
      <t>カブシキガイシャ</t>
    </rPh>
    <phoneticPr fontId="5"/>
  </si>
  <si>
    <t>作成者</t>
    <rPh sb="0" eb="3">
      <t>サクセイシャ</t>
    </rPh>
    <phoneticPr fontId="5"/>
  </si>
  <si>
    <t>JBS承認者</t>
    <rPh sb="3" eb="6">
      <t>ショウニンシャ</t>
    </rPh>
    <phoneticPr fontId="5"/>
  </si>
  <si>
    <t>承認者</t>
    <rPh sb="0" eb="3">
      <t>ショウニンシャシャ</t>
    </rPh>
    <phoneticPr fontId="5"/>
  </si>
  <si>
    <t>JBS加藤</t>
    <rPh sb="3" eb="5">
      <t>カトウ</t>
    </rPh>
    <phoneticPr fontId="4"/>
  </si>
  <si>
    <t>JBS入井</t>
    <rPh sb="3" eb="5">
      <t>イリイ</t>
    </rPh>
    <phoneticPr fontId="4"/>
  </si>
  <si>
    <t>システム名</t>
    <rPh sb="4" eb="5">
      <t>メイ</t>
    </rPh>
    <phoneticPr fontId="12"/>
  </si>
  <si>
    <t>タイトル</t>
  </si>
  <si>
    <t>日付</t>
    <rPh sb="0" eb="2">
      <t>ヒヅケ</t>
    </rPh>
    <phoneticPr fontId="25"/>
  </si>
  <si>
    <t>更新者</t>
    <rPh sb="0" eb="2">
      <t>コウシン</t>
    </rPh>
    <rPh sb="2" eb="3">
      <t>シャ</t>
    </rPh>
    <phoneticPr fontId="12"/>
  </si>
  <si>
    <t>文書名</t>
    <rPh sb="0" eb="2">
      <t>ブンショ</t>
    </rPh>
    <rPh sb="2" eb="3">
      <t>メイ</t>
    </rPh>
    <phoneticPr fontId="12"/>
  </si>
  <si>
    <t>作成</t>
    <rPh sb="0" eb="2">
      <t>サクセイ</t>
    </rPh>
    <phoneticPr fontId="12"/>
  </si>
  <si>
    <t>更新</t>
    <rPh sb="0" eb="2">
      <t>コウシン</t>
    </rPh>
    <phoneticPr fontId="12"/>
  </si>
  <si>
    <t>変更年月日</t>
    <rPh sb="0" eb="2">
      <t>ヘンコウ</t>
    </rPh>
    <rPh sb="2" eb="5">
      <t>ネンガッピ</t>
    </rPh>
    <phoneticPr fontId="26"/>
  </si>
  <si>
    <t>変更箇所</t>
    <rPh sb="0" eb="2">
      <t>ヘンコウ</t>
    </rPh>
    <rPh sb="2" eb="4">
      <t>カショ</t>
    </rPh>
    <phoneticPr fontId="26"/>
  </si>
  <si>
    <t>変更内容</t>
    <rPh sb="0" eb="2">
      <t>ヘンコウ</t>
    </rPh>
    <rPh sb="2" eb="4">
      <t>ナイヨウ</t>
    </rPh>
    <phoneticPr fontId="26"/>
  </si>
  <si>
    <t>変更者</t>
    <rPh sb="0" eb="2">
      <t>ヘンコウ</t>
    </rPh>
    <rPh sb="2" eb="3">
      <t>シャ</t>
    </rPh>
    <phoneticPr fontId="26"/>
  </si>
  <si>
    <t>版数</t>
    <rPh sb="0" eb="1">
      <t>ハン</t>
    </rPh>
    <rPh sb="1" eb="2">
      <t>スウ</t>
    </rPh>
    <phoneticPr fontId="26"/>
  </si>
  <si>
    <t>新規作成</t>
    <rPh sb="0" eb="2">
      <t>シンキ</t>
    </rPh>
    <rPh sb="2" eb="4">
      <t>サクセイ</t>
    </rPh>
    <phoneticPr fontId="5"/>
  </si>
  <si>
    <t>新規作成</t>
    <rPh sb="0" eb="4">
      <t>シンキサクセイ</t>
    </rPh>
    <phoneticPr fontId="25"/>
  </si>
  <si>
    <t>JBS加藤</t>
    <rPh sb="3" eb="5">
      <t>カトウ</t>
    </rPh>
    <phoneticPr fontId="5"/>
  </si>
  <si>
    <t>0.1</t>
    <phoneticPr fontId="4"/>
  </si>
  <si>
    <t>初版確定</t>
    <phoneticPr fontId="4"/>
  </si>
  <si>
    <t>初版確定</t>
    <rPh sb="0" eb="2">
      <t>ショハン</t>
    </rPh>
    <rPh sb="2" eb="4">
      <t>カクテイ</t>
    </rPh>
    <phoneticPr fontId="4"/>
  </si>
  <si>
    <t>JBS加藤</t>
    <phoneticPr fontId="4"/>
  </si>
  <si>
    <t>1.0</t>
    <phoneticPr fontId="4"/>
  </si>
  <si>
    <t>シート：1.SSJ・SEJ売上計上・請求処理 (売掛金)
シート：2.SLJ売上計上・請求処理 (売掛金)
シート：3.SSJ・SEJ入金 (売掛金)
シート：5.SSJ・SEJ入金消込 (売掛金)</t>
    <phoneticPr fontId="4"/>
  </si>
  <si>
    <t>外部システムからの連携先から自由書式の請求書を削除（一般仕訳帳に登録する）</t>
    <rPh sb="0" eb="2">
      <t>ガイブ</t>
    </rPh>
    <rPh sb="9" eb="12">
      <t>レンケイサキ</t>
    </rPh>
    <rPh sb="14" eb="18">
      <t>ジユウショシキ</t>
    </rPh>
    <rPh sb="19" eb="22">
      <t>セイキュウショ</t>
    </rPh>
    <rPh sb="23" eb="25">
      <t>サクジョ</t>
    </rPh>
    <rPh sb="26" eb="31">
      <t>イッパンシワケチョウ</t>
    </rPh>
    <rPh sb="32" eb="34">
      <t>トウロク</t>
    </rPh>
    <phoneticPr fontId="4"/>
  </si>
  <si>
    <t>JBS秋信</t>
    <rPh sb="3" eb="5">
      <t>アキノブ</t>
    </rPh>
    <phoneticPr fontId="4"/>
  </si>
  <si>
    <t>1.1</t>
    <phoneticPr fontId="4"/>
  </si>
  <si>
    <t>シート：7.その他取引計上</t>
    <phoneticPr fontId="4"/>
  </si>
  <si>
    <t>1.未収入金計上　3～5のシステムをFO⇒JUST.DBに変更</t>
    <phoneticPr fontId="4"/>
  </si>
  <si>
    <t>シート：11.SSJ与信管理
シート：12.SEJ与信管理</t>
    <phoneticPr fontId="4"/>
  </si>
  <si>
    <t>スイムレーンを「カスタマーサービスG」　⇒　「事務管理G」　に変更</t>
    <rPh sb="31" eb="33">
      <t>ヘンコウ</t>
    </rPh>
    <phoneticPr fontId="4"/>
  </si>
  <si>
    <t>1.2</t>
    <phoneticPr fontId="4"/>
  </si>
  <si>
    <t>シート：13.決算処理</t>
    <phoneticPr fontId="4"/>
  </si>
  <si>
    <t>3.売掛金振替　【SSJ】
外部システムを「楽楽精算」　⇒　「mcframe」　に変更
FOシステム「顧客支払仕訳帳」　⇒　「一般仕訳帳」　に変更</t>
    <rPh sb="41" eb="43">
      <t>ヘンコウ</t>
    </rPh>
    <rPh sb="51" eb="58">
      <t>コキャクシハライシワケチョウ</t>
    </rPh>
    <rPh sb="63" eb="68">
      <t>イッパンシワケチョウ</t>
    </rPh>
    <rPh sb="71" eb="73">
      <t>ヘンコウ</t>
    </rPh>
    <phoneticPr fontId="4"/>
  </si>
  <si>
    <t>3. 預り金処理　返金処理
5.委託費
システムを「JUST D.B.」に変更</t>
    <phoneticPr fontId="4"/>
  </si>
  <si>
    <t>3. 預り金処理　返金処理
FOでの業務を記載</t>
    <rPh sb="18" eb="20">
      <t>ギョウム</t>
    </rPh>
    <rPh sb="21" eb="23">
      <t>キサイ</t>
    </rPh>
    <phoneticPr fontId="4"/>
  </si>
  <si>
    <t>1.3</t>
    <phoneticPr fontId="4"/>
  </si>
  <si>
    <t>シート：8.入金 (未収入金・その他)</t>
    <phoneticPr fontId="4"/>
  </si>
  <si>
    <t>・「2．入金（前受）」から、「2．入金（前受　売掛金）」に変更
・「2．入金（前受　売掛金）」をカスタマーサービスGがJUST D.B.で入力する流れで、後続の業務フローも修正
・「2．入金（前受　売掛金）」の接続先を「9.2.前受消込」から、「終了」に変更</t>
    <rPh sb="29" eb="31">
      <t>ヘンコウ</t>
    </rPh>
    <rPh sb="69" eb="71">
      <t>ニュウリョク</t>
    </rPh>
    <rPh sb="73" eb="74">
      <t>ナガ</t>
    </rPh>
    <rPh sb="77" eb="79">
      <t>コウゾク</t>
    </rPh>
    <rPh sb="80" eb="82">
      <t>ギョウム</t>
    </rPh>
    <rPh sb="86" eb="88">
      <t>シュウセイ</t>
    </rPh>
    <rPh sb="105" eb="108">
      <t>セツゾクサキ</t>
    </rPh>
    <rPh sb="123" eb="125">
      <t>シュウリョウ</t>
    </rPh>
    <rPh sb="127" eb="129">
      <t>ヘンコウ</t>
    </rPh>
    <phoneticPr fontId="4"/>
  </si>
  <si>
    <t>1.4</t>
    <phoneticPr fontId="4"/>
  </si>
  <si>
    <t>シート：9.入金消込 (未収入金)</t>
    <phoneticPr fontId="4"/>
  </si>
  <si>
    <t>「9.2.前受消込」を削除</t>
    <rPh sb="11" eb="13">
      <t>サクジョ</t>
    </rPh>
    <phoneticPr fontId="4"/>
  </si>
  <si>
    <t>「4. 預り金処理　売掛金振替」を削除
上記対応に伴い、番号の見直しを実施</t>
    <rPh sb="17" eb="19">
      <t>サクジョ</t>
    </rPh>
    <rPh sb="20" eb="24">
      <t>ジョウキタイオウ</t>
    </rPh>
    <rPh sb="25" eb="26">
      <t>トモナ</t>
    </rPh>
    <rPh sb="28" eb="30">
      <t>バンゴウ</t>
    </rPh>
    <rPh sb="31" eb="33">
      <t>ミナオ</t>
    </rPh>
    <rPh sb="35" eb="37">
      <t>ジッシ</t>
    </rPh>
    <phoneticPr fontId="4"/>
  </si>
  <si>
    <t>1.未収入金計上　未収入金をFOに登録する業務を追加</t>
    <rPh sb="9" eb="13">
      <t>ミシュウニュウキン</t>
    </rPh>
    <rPh sb="17" eb="19">
      <t>トウロク</t>
    </rPh>
    <rPh sb="21" eb="23">
      <t>ギョウム</t>
    </rPh>
    <rPh sb="24" eb="26">
      <t>ツイカ</t>
    </rPh>
    <phoneticPr fontId="4"/>
  </si>
  <si>
    <t>1.5</t>
    <phoneticPr fontId="4"/>
  </si>
  <si>
    <t>シート：1.SSJ・SEJ売上計上・請求処理 (売掛金)
シート：2.SLJ売上計上・請求処理 (売掛金)
シート：3.SSJ・SEJ入金 (売掛金)
シート：5.SSJ・SEJ入金消込 (売掛金)
シート：13.決算処理
シート：14.手形管理</t>
    <phoneticPr fontId="4"/>
  </si>
  <si>
    <t>取込機能の機能IF・機能名を追記
　FO-001：会計伝票情報取込
　FO-097：会計伝票情報登録</t>
    <rPh sb="5" eb="7">
      <t>キノウ</t>
    </rPh>
    <rPh sb="10" eb="13">
      <t>キノウメイ</t>
    </rPh>
    <rPh sb="14" eb="16">
      <t>ツイキ</t>
    </rPh>
    <phoneticPr fontId="4"/>
  </si>
  <si>
    <t>1.6</t>
    <phoneticPr fontId="4"/>
  </si>
  <si>
    <t>シート：4.SLJ入金 (売掛金) 
シート：8.入金 (未収入金・その他)
シート：11.SSJ与信管理
シート：12.SEJ与信管理
シート：14.手形管理</t>
    <phoneticPr fontId="4"/>
  </si>
  <si>
    <t>承認後の転記プロセスを自動転記バッチに変更</t>
    <rPh sb="0" eb="2">
      <t>ショウニン</t>
    </rPh>
    <rPh sb="2" eb="3">
      <t>ゴ</t>
    </rPh>
    <rPh sb="4" eb="6">
      <t>テンキ</t>
    </rPh>
    <rPh sb="19" eb="21">
      <t>ヘンコウ</t>
    </rPh>
    <phoneticPr fontId="4"/>
  </si>
  <si>
    <t>以下を楽楽精算で登録するように変更
3.売掛金振替　【SSJ】　</t>
    <phoneticPr fontId="4"/>
  </si>
  <si>
    <t>1.7</t>
    <phoneticPr fontId="4"/>
  </si>
  <si>
    <t>以下を楽楽精算で登録するように変更
1. 未収入金計上
3. 預り金処理　返金処理
4.委託費</t>
    <rPh sb="0" eb="2">
      <t>イカ</t>
    </rPh>
    <rPh sb="3" eb="5">
      <t>ラクラク</t>
    </rPh>
    <rPh sb="5" eb="7">
      <t>セイサン</t>
    </rPh>
    <rPh sb="8" eb="10">
      <t>トウロク</t>
    </rPh>
    <rPh sb="15" eb="17">
      <t>ヘンコウ</t>
    </rPh>
    <phoneticPr fontId="4"/>
  </si>
  <si>
    <t>以下を楽楽精算で登録するように変更
2．入金（前受　売掛金）</t>
    <phoneticPr fontId="4"/>
  </si>
  <si>
    <t>以下をmcframeで登録するように変更
3.売掛金振替　【SSJ】　</t>
    <phoneticPr fontId="4"/>
  </si>
  <si>
    <t>1.8</t>
    <phoneticPr fontId="4"/>
  </si>
  <si>
    <t>6.家賃収入　収益計上（SLJ）追加</t>
    <rPh sb="16" eb="18">
      <t>ツイカ</t>
    </rPh>
    <phoneticPr fontId="4"/>
  </si>
  <si>
    <t>1.9</t>
    <phoneticPr fontId="4"/>
  </si>
  <si>
    <t xml:space="preserve">シート：4.SLJ入金 (売掛金) 
</t>
    <phoneticPr fontId="4"/>
  </si>
  <si>
    <t>SLJの売掛金の前受金の業務が現状発生していないため、フロー削除
３．入金（前受）</t>
    <rPh sb="4" eb="7">
      <t>ウリカケキン</t>
    </rPh>
    <rPh sb="8" eb="10">
      <t>マエウケ</t>
    </rPh>
    <rPh sb="10" eb="11">
      <t>キン</t>
    </rPh>
    <rPh sb="12" eb="14">
      <t>ギョウム</t>
    </rPh>
    <rPh sb="15" eb="17">
      <t>ゲンジョウ</t>
    </rPh>
    <rPh sb="17" eb="19">
      <t>ハッセイ</t>
    </rPh>
    <rPh sb="30" eb="32">
      <t>サクジョ</t>
    </rPh>
    <phoneticPr fontId="4"/>
  </si>
  <si>
    <t xml:space="preserve">シート：6.SLJ入金消込 (売掛金) </t>
    <phoneticPr fontId="4"/>
  </si>
  <si>
    <t>SLJの売掛金の前受金の業務が現状発生していないため、フロー削除
２．前受消込</t>
    <rPh sb="4" eb="7">
      <t>ウリカケキン</t>
    </rPh>
    <rPh sb="8" eb="10">
      <t>マエウケ</t>
    </rPh>
    <rPh sb="10" eb="11">
      <t>キン</t>
    </rPh>
    <rPh sb="12" eb="14">
      <t>ギョウム</t>
    </rPh>
    <rPh sb="15" eb="17">
      <t>ゲンジョウ</t>
    </rPh>
    <rPh sb="17" eb="19">
      <t>ハッセイ</t>
    </rPh>
    <rPh sb="30" eb="32">
      <t>サクジョ</t>
    </rPh>
    <phoneticPr fontId="4"/>
  </si>
  <si>
    <t xml:space="preserve">シート：2.SLJ売上計上・請求処理 (売掛金)
シート：4.SLJ入金 (売掛金) 
シート：6.SLJ入金消込 (売掛金) </t>
    <phoneticPr fontId="4"/>
  </si>
  <si>
    <t>・担当者名変更、担当追記
　総務部　→　顧客G・物流</t>
    <rPh sb="1" eb="4">
      <t>タントウシャ</t>
    </rPh>
    <rPh sb="4" eb="5">
      <t>メイ</t>
    </rPh>
    <rPh sb="5" eb="7">
      <t>ヘンコウ</t>
    </rPh>
    <rPh sb="8" eb="10">
      <t>タントウ</t>
    </rPh>
    <rPh sb="10" eb="12">
      <t>ツイキ</t>
    </rPh>
    <rPh sb="14" eb="17">
      <t>ソウムブ</t>
    </rPh>
    <rPh sb="20" eb="22">
      <t>コキャク</t>
    </rPh>
    <rPh sb="24" eb="26">
      <t>ブツリュウ</t>
    </rPh>
    <phoneticPr fontId="4"/>
  </si>
  <si>
    <t>1.10</t>
    <phoneticPr fontId="4"/>
  </si>
  <si>
    <t>シート：2.SLJ売上計上・請求処理 (売掛金)</t>
    <phoneticPr fontId="4"/>
  </si>
  <si>
    <t>FO直接売上計上パターン追加</t>
    <rPh sb="2" eb="4">
      <t>チョクセツ</t>
    </rPh>
    <rPh sb="4" eb="6">
      <t>ウリアゲ</t>
    </rPh>
    <rPh sb="6" eb="8">
      <t>ケイジョウ</t>
    </rPh>
    <rPh sb="12" eb="14">
      <t>ツイカ</t>
    </rPh>
    <phoneticPr fontId="4"/>
  </si>
  <si>
    <t>2. 預り金処理　台帳作成
3. 預り金処理　返金処理
　以下コメントを取り消し。明細の説明、または財務タグ：得意先コードに入力することを記載
　　・※預り金仕訳登録時に、財務分析コード「顧客」に対象顧客をセットする前提</t>
    <rPh sb="29" eb="31">
      <t>イカ</t>
    </rPh>
    <rPh sb="36" eb="37">
      <t>ト</t>
    </rPh>
    <rPh sb="38" eb="39">
      <t>ケ</t>
    </rPh>
    <rPh sb="41" eb="43">
      <t>メイサイ</t>
    </rPh>
    <rPh sb="44" eb="46">
      <t>セツメイ</t>
    </rPh>
    <rPh sb="50" eb="52">
      <t>ザイム</t>
    </rPh>
    <rPh sb="55" eb="58">
      <t>トクイサキ</t>
    </rPh>
    <rPh sb="62" eb="64">
      <t>ニュウリョク</t>
    </rPh>
    <rPh sb="69" eb="71">
      <t>キサイ</t>
    </rPh>
    <phoneticPr fontId="4"/>
  </si>
  <si>
    <t>1.11</t>
    <phoneticPr fontId="4"/>
  </si>
  <si>
    <t>シート：10.債権残高管理</t>
    <phoneticPr fontId="4"/>
  </si>
  <si>
    <t>4．回収予実　預り金
　以下コメントを取り消し。明細の説明、または財務タグ：得意先コードに入力することを記載
　　・※預り金仕訳登録時に、財務分析コード「顧客」に対象顧客をセットする前提</t>
    <phoneticPr fontId="4"/>
  </si>
  <si>
    <t>4．家賃収入　入金計上（SLJ）　を追加</t>
    <rPh sb="18" eb="20">
      <t>ツイカ</t>
    </rPh>
    <phoneticPr fontId="4"/>
  </si>
  <si>
    <t>1.12</t>
    <phoneticPr fontId="4"/>
  </si>
  <si>
    <t>6.家賃収入　収益計上（SLJ）
　楽楽精算ではなく、FOの一般仕訳帳アップロードで計上するように変更</t>
    <rPh sb="18" eb="22">
      <t>ラクラクセイサン</t>
    </rPh>
    <rPh sb="30" eb="35">
      <t>イッパンシワケチョウ</t>
    </rPh>
    <rPh sb="42" eb="44">
      <t>ケイジョウ</t>
    </rPh>
    <rPh sb="49" eb="51">
      <t>ヘンコウ</t>
    </rPh>
    <phoneticPr fontId="4"/>
  </si>
  <si>
    <t>タイトル</t>
    <phoneticPr fontId="5"/>
  </si>
  <si>
    <t>凡例</t>
    <rPh sb="0" eb="2">
      <t>ハンレイ</t>
    </rPh>
    <phoneticPr fontId="12"/>
  </si>
  <si>
    <t>：</t>
    <phoneticPr fontId="4"/>
  </si>
  <si>
    <t>フローの開始</t>
    <rPh sb="4" eb="6">
      <t>カイシ</t>
    </rPh>
    <phoneticPr fontId="4"/>
  </si>
  <si>
    <t>フローの終了</t>
    <rPh sb="4" eb="6">
      <t>シュウリョウ</t>
    </rPh>
    <phoneticPr fontId="4"/>
  </si>
  <si>
    <t>システムを伴わない業務</t>
    <rPh sb="5" eb="6">
      <t>トモナ</t>
    </rPh>
    <rPh sb="9" eb="11">
      <t>ギョウム</t>
    </rPh>
    <phoneticPr fontId="4"/>
  </si>
  <si>
    <t>システム上での業務</t>
    <rPh sb="4" eb="5">
      <t>ジョウ</t>
    </rPh>
    <rPh sb="7" eb="9">
      <t>ギョウム</t>
    </rPh>
    <phoneticPr fontId="4"/>
  </si>
  <si>
    <t>帳票（システムで作成される帳票）</t>
    <rPh sb="0" eb="2">
      <t>チョウヒョウ</t>
    </rPh>
    <rPh sb="8" eb="10">
      <t>サクセイ</t>
    </rPh>
    <rPh sb="13" eb="15">
      <t>チョウヒョウ</t>
    </rPh>
    <phoneticPr fontId="4"/>
  </si>
  <si>
    <t>帳票（システム外で作成される帳票）</t>
    <rPh sb="0" eb="2">
      <t>チョウヒョウ</t>
    </rPh>
    <rPh sb="7" eb="8">
      <t>ガイ</t>
    </rPh>
    <rPh sb="9" eb="11">
      <t>サクセイ</t>
    </rPh>
    <rPh sb="14" eb="16">
      <t>チョウヒョウ</t>
    </rPh>
    <phoneticPr fontId="4"/>
  </si>
  <si>
    <t>業務の流れ</t>
    <rPh sb="0" eb="2">
      <t>ギョウム</t>
    </rPh>
    <rPh sb="3" eb="4">
      <t>ナガ</t>
    </rPh>
    <phoneticPr fontId="4"/>
  </si>
  <si>
    <t>システムへの連携</t>
    <rPh sb="6" eb="8">
      <t>レンケイ</t>
    </rPh>
    <phoneticPr fontId="4"/>
  </si>
  <si>
    <t>分岐</t>
    <rPh sb="0" eb="2">
      <t>ブンキ</t>
    </rPh>
    <phoneticPr fontId="4"/>
  </si>
  <si>
    <t>システム</t>
    <phoneticPr fontId="4"/>
  </si>
  <si>
    <t>フロー間の繋がりを示す</t>
    <rPh sb="3" eb="4">
      <t>カン</t>
    </rPh>
    <rPh sb="5" eb="6">
      <t>ツナ</t>
    </rPh>
    <rPh sb="9" eb="10">
      <t>シメ</t>
    </rPh>
    <phoneticPr fontId="4"/>
  </si>
  <si>
    <t>ファイル（CSVファイル等）</t>
    <rPh sb="12" eb="13">
      <t>トウ</t>
    </rPh>
    <phoneticPr fontId="4"/>
  </si>
  <si>
    <t>社内部署</t>
    <rPh sb="0" eb="2">
      <t>シャナイ</t>
    </rPh>
    <rPh sb="2" eb="4">
      <t>ブショ</t>
    </rPh>
    <phoneticPr fontId="4"/>
  </si>
  <si>
    <t>フローに登場する社内の部署を記載</t>
    <rPh sb="4" eb="6">
      <t>トウジョウ</t>
    </rPh>
    <rPh sb="8" eb="10">
      <t>シャナイ</t>
    </rPh>
    <rPh sb="11" eb="13">
      <t>ブショ</t>
    </rPh>
    <rPh sb="14" eb="16">
      <t>キサイ</t>
    </rPh>
    <phoneticPr fontId="4"/>
  </si>
  <si>
    <t>部署内の担当者が分かれる場合は以下の通りに分ける</t>
    <rPh sb="0" eb="2">
      <t>ブショ</t>
    </rPh>
    <rPh sb="2" eb="3">
      <t>ナイ</t>
    </rPh>
    <rPh sb="4" eb="7">
      <t>タントウシャ</t>
    </rPh>
    <rPh sb="8" eb="9">
      <t>ワ</t>
    </rPh>
    <rPh sb="12" eb="14">
      <t>バアイ</t>
    </rPh>
    <rPh sb="15" eb="17">
      <t>イカ</t>
    </rPh>
    <rPh sb="18" eb="19">
      <t>トオ</t>
    </rPh>
    <rPh sb="21" eb="22">
      <t>ワ</t>
    </rPh>
    <phoneticPr fontId="4"/>
  </si>
  <si>
    <t>担当者</t>
    <rPh sb="0" eb="3">
      <t>タントウシャ</t>
    </rPh>
    <phoneticPr fontId="4"/>
  </si>
  <si>
    <t>責任者</t>
    <rPh sb="0" eb="3">
      <t>セキニンシャ</t>
    </rPh>
    <phoneticPr fontId="4"/>
  </si>
  <si>
    <t>外部担当者</t>
    <rPh sb="0" eb="2">
      <t>ガイブ</t>
    </rPh>
    <rPh sb="2" eb="5">
      <t>タントウシャ</t>
    </rPh>
    <phoneticPr fontId="4"/>
  </si>
  <si>
    <t>フローに登場する社外担当者の部署を記載</t>
    <rPh sb="4" eb="6">
      <t>トウジョウ</t>
    </rPh>
    <rPh sb="8" eb="10">
      <t>シャガイ</t>
    </rPh>
    <rPh sb="10" eb="13">
      <t>タントウシャ</t>
    </rPh>
    <rPh sb="14" eb="16">
      <t>ブショ</t>
    </rPh>
    <rPh sb="17" eb="19">
      <t>キサイ</t>
    </rPh>
    <phoneticPr fontId="4"/>
  </si>
  <si>
    <t>例）得意先、仕入先</t>
    <rPh sb="0" eb="1">
      <t>レイ</t>
    </rPh>
    <rPh sb="2" eb="4">
      <t>トクイ</t>
    </rPh>
    <rPh sb="4" eb="5">
      <t>サキ</t>
    </rPh>
    <rPh sb="6" eb="9">
      <t>シイレサキ</t>
    </rPh>
    <phoneticPr fontId="4"/>
  </si>
  <si>
    <t>フロー上で実施されるシステムの機能を記載する列</t>
    <rPh sb="3" eb="4">
      <t>ジョウ</t>
    </rPh>
    <rPh sb="5" eb="7">
      <t>ジッシ</t>
    </rPh>
    <rPh sb="15" eb="17">
      <t>キノウ</t>
    </rPh>
    <rPh sb="18" eb="20">
      <t>キサイ</t>
    </rPh>
    <rPh sb="22" eb="23">
      <t>レツ</t>
    </rPh>
    <phoneticPr fontId="4"/>
  </si>
  <si>
    <t>XX</t>
    <phoneticPr fontId="4"/>
  </si>
  <si>
    <t>XXの部分にフローで登場するシステム名を記載</t>
    <rPh sb="3" eb="5">
      <t>ブブン</t>
    </rPh>
    <rPh sb="10" eb="12">
      <t>トウジョウ</t>
    </rPh>
    <rPh sb="18" eb="19">
      <t>メイ</t>
    </rPh>
    <rPh sb="20" eb="22">
      <t>キサイ</t>
    </rPh>
    <phoneticPr fontId="4"/>
  </si>
  <si>
    <t>例は以下の通り（JBSで導入するシステム外のものは「外部システム」で統一）</t>
    <rPh sb="0" eb="1">
      <t>レイ</t>
    </rPh>
    <rPh sb="2" eb="4">
      <t>イカ</t>
    </rPh>
    <rPh sb="5" eb="6">
      <t>トオ</t>
    </rPh>
    <rPh sb="12" eb="14">
      <t>ドウニュウ</t>
    </rPh>
    <rPh sb="20" eb="21">
      <t>ガイ</t>
    </rPh>
    <rPh sb="26" eb="28">
      <t>ガイブ</t>
    </rPh>
    <rPh sb="34" eb="36">
      <t>トウイツ</t>
    </rPh>
    <phoneticPr fontId="4"/>
  </si>
  <si>
    <t>FO</t>
    <phoneticPr fontId="4"/>
  </si>
  <si>
    <t>CE</t>
    <phoneticPr fontId="4"/>
  </si>
  <si>
    <t>外部システム</t>
    <rPh sb="0" eb="2">
      <t>ガイブ</t>
    </rPh>
    <phoneticPr fontId="4"/>
  </si>
  <si>
    <t>説明</t>
    <rPh sb="0" eb="2">
      <t>セツメイ</t>
    </rPh>
    <phoneticPr fontId="4"/>
  </si>
  <si>
    <t>フロー内容を説明する列</t>
    <rPh sb="3" eb="5">
      <t>ナイヨウ</t>
    </rPh>
    <rPh sb="6" eb="8">
      <t>セツメイ</t>
    </rPh>
    <rPh sb="10" eb="11">
      <t>レツ</t>
    </rPh>
    <phoneticPr fontId="4"/>
  </si>
  <si>
    <t>Gap
（Add-On）</t>
    <phoneticPr fontId="4"/>
  </si>
  <si>
    <t>フローに対してのGapを記載する列</t>
    <rPh sb="4" eb="5">
      <t>タイ</t>
    </rPh>
    <rPh sb="12" eb="14">
      <t>キサイ</t>
    </rPh>
    <rPh sb="16" eb="17">
      <t>レツ</t>
    </rPh>
    <phoneticPr fontId="4"/>
  </si>
  <si>
    <t>１．パターン１</t>
    <phoneticPr fontId="4"/>
  </si>
  <si>
    <t>フローのパターンごとに記載する</t>
    <rPh sb="11" eb="13">
      <t>キサイ</t>
    </rPh>
    <phoneticPr fontId="4"/>
  </si>
  <si>
    <t>得意先</t>
    <rPh sb="0" eb="3">
      <t>トクイサキ</t>
    </rPh>
    <phoneticPr fontId="4"/>
  </si>
  <si>
    <t>カスタマーサービスG　他</t>
    <rPh sb="11" eb="12">
      <t>ホカ</t>
    </rPh>
    <phoneticPr fontId="4"/>
  </si>
  <si>
    <t>サンスター
担当部署・
担当者</t>
  </si>
  <si>
    <t>サンスターコメント
(現状との違い、補足、その他気になること)</t>
    <rPh sb="11" eb="13">
      <t>ゲンジョウ</t>
    </rPh>
    <rPh sb="15" eb="16">
      <t>チガ</t>
    </rPh>
    <rPh sb="18" eb="20">
      <t>ホソク</t>
    </rPh>
    <rPh sb="23" eb="24">
      <t>タ</t>
    </rPh>
    <rPh sb="24" eb="25">
      <t>キ</t>
    </rPh>
    <phoneticPr fontId="4"/>
  </si>
  <si>
    <t>１．売上</t>
    <rPh sb="2" eb="4">
      <t>ウリアゲ</t>
    </rPh>
    <phoneticPr fontId="4"/>
  </si>
  <si>
    <t>※</t>
    <phoneticPr fontId="4"/>
  </si>
  <si>
    <t>本フローは、売上・債権計上を行い、個別請求・締め請求</t>
    <rPh sb="0" eb="1">
      <t>ホン</t>
    </rPh>
    <rPh sb="6" eb="8">
      <t>ウリアゲ</t>
    </rPh>
    <rPh sb="9" eb="11">
      <t>サイケン</t>
    </rPh>
    <rPh sb="11" eb="13">
      <t>ケイジョウ</t>
    </rPh>
    <rPh sb="14" eb="15">
      <t>オコナ</t>
    </rPh>
    <rPh sb="17" eb="19">
      <t>コベツ</t>
    </rPh>
    <rPh sb="19" eb="21">
      <t>セイキュウ</t>
    </rPh>
    <rPh sb="22" eb="23">
      <t>シ</t>
    </rPh>
    <rPh sb="24" eb="26">
      <t>セイキュウ</t>
    </rPh>
    <phoneticPr fontId="4"/>
  </si>
  <si>
    <t>ｶｽﾀﾏｰｻｰﾋﾞｽ</t>
  </si>
  <si>
    <t>SSJ　mcframeで対応</t>
  </si>
  <si>
    <t>それぞれでの請求書の発行・送付について記載している。</t>
    <rPh sb="6" eb="9">
      <t>セイキュウショ</t>
    </rPh>
    <rPh sb="10" eb="12">
      <t>ハッコウ</t>
    </rPh>
    <rPh sb="13" eb="15">
      <t>ソウフ</t>
    </rPh>
    <rPh sb="19" eb="21">
      <t>キサイ</t>
    </rPh>
    <phoneticPr fontId="4"/>
  </si>
  <si>
    <t>ｸﾞﾙｰﾌﾟ</t>
  </si>
  <si>
    <t>SEJ AS400で対応</t>
  </si>
  <si>
    <t>房</t>
  </si>
  <si>
    <t>１．売上対象伝票の確認</t>
    <rPh sb="2" eb="4">
      <t>ウリアゲ</t>
    </rPh>
    <rPh sb="4" eb="6">
      <t>タイショウ</t>
    </rPh>
    <rPh sb="6" eb="8">
      <t>デンピョウ</t>
    </rPh>
    <rPh sb="9" eb="11">
      <t>カクニン</t>
    </rPh>
    <phoneticPr fontId="4"/>
  </si>
  <si>
    <t>２．売上の計上</t>
    <rPh sb="2" eb="4">
      <t>ウリアゲ</t>
    </rPh>
    <rPh sb="5" eb="7">
      <t>ケイジョウ</t>
    </rPh>
    <phoneticPr fontId="4"/>
  </si>
  <si>
    <t>外部システムより、売上実績データを取り込む</t>
    <rPh sb="0" eb="2">
      <t>ガイブ</t>
    </rPh>
    <rPh sb="9" eb="11">
      <t>ウリアゲ</t>
    </rPh>
    <rPh sb="11" eb="13">
      <t>ジッセキ</t>
    </rPh>
    <rPh sb="17" eb="18">
      <t>ト</t>
    </rPh>
    <rPh sb="19" eb="20">
      <t>コ</t>
    </rPh>
    <phoneticPr fontId="4"/>
  </si>
  <si>
    <t>Gap</t>
    <phoneticPr fontId="4"/>
  </si>
  <si>
    <t>SSJ：mcframeから連携</t>
    <rPh sb="13" eb="15">
      <t>レンケイ</t>
    </rPh>
    <phoneticPr fontId="4"/>
  </si>
  <si>
    <t>取込機能が必要（IF）</t>
    <rPh sb="0" eb="2">
      <t>トリコミ</t>
    </rPh>
    <rPh sb="2" eb="4">
      <t>キノウ</t>
    </rPh>
    <rPh sb="5" eb="7">
      <t>ヒツヨウ</t>
    </rPh>
    <phoneticPr fontId="4"/>
  </si>
  <si>
    <t>SEJ：SEJホスト（AS400）から連携</t>
    <rPh sb="19" eb="21">
      <t>レンケイ</t>
    </rPh>
    <phoneticPr fontId="4"/>
  </si>
  <si>
    <t>FO-001：会計伝票情報取込</t>
    <phoneticPr fontId="4"/>
  </si>
  <si>
    <t>FO-097：会計伝票情報登録</t>
    <phoneticPr fontId="4"/>
  </si>
  <si>
    <t>SSJ/SEJについて、</t>
    <phoneticPr fontId="4"/>
  </si>
  <si>
    <t>受取手形、売掛金勘定はFO上AR管理しない想定。</t>
    <rPh sb="16" eb="18">
      <t>カンリ</t>
    </rPh>
    <rPh sb="21" eb="23">
      <t>ソウテイ</t>
    </rPh>
    <phoneticPr fontId="4"/>
  </si>
  <si>
    <t>未収入金の連携あり</t>
    <rPh sb="0" eb="4">
      <t>ミシュウニュウキン</t>
    </rPh>
    <rPh sb="5" eb="7">
      <t>レンケイ</t>
    </rPh>
    <phoneticPr fontId="4"/>
  </si>
  <si>
    <t>仕訳例：未収入金 / 原材料売買額</t>
    <rPh sb="0" eb="2">
      <t>シワケ</t>
    </rPh>
    <rPh sb="2" eb="3">
      <t>レイ</t>
    </rPh>
    <phoneticPr fontId="4"/>
  </si>
  <si>
    <t>２．都度請求</t>
    <rPh sb="2" eb="4">
      <t>ツド</t>
    </rPh>
    <rPh sb="4" eb="6">
      <t>セイキュウ</t>
    </rPh>
    <phoneticPr fontId="4"/>
  </si>
  <si>
    <t>１．請求書の発行</t>
    <rPh sb="2" eb="5">
      <t>セイキュウショ</t>
    </rPh>
    <rPh sb="6" eb="8">
      <t>ハッコウ</t>
    </rPh>
    <phoneticPr fontId="4"/>
  </si>
  <si>
    <t>２．請求書の送付</t>
    <rPh sb="2" eb="5">
      <t>セイキュウショ</t>
    </rPh>
    <rPh sb="6" eb="8">
      <t>ソウフ</t>
    </rPh>
    <phoneticPr fontId="4"/>
  </si>
  <si>
    <t>得意先へ請求書を送付する。</t>
    <rPh sb="0" eb="3">
      <t>トクイサキ</t>
    </rPh>
    <rPh sb="4" eb="7">
      <t>セイキュウショ</t>
    </rPh>
    <rPh sb="8" eb="10">
      <t>ソウフ</t>
    </rPh>
    <phoneticPr fontId="4"/>
  </si>
  <si>
    <t>３．請求書の受領</t>
    <rPh sb="2" eb="5">
      <t>セイキュウショ</t>
    </rPh>
    <rPh sb="6" eb="8">
      <t>ジュリョウ</t>
    </rPh>
    <phoneticPr fontId="4"/>
  </si>
  <si>
    <t>得意先が請求書を受領する。</t>
    <rPh sb="0" eb="3">
      <t>トクイサキ</t>
    </rPh>
    <rPh sb="4" eb="7">
      <t>セイキュウショ</t>
    </rPh>
    <rPh sb="8" eb="10">
      <t>ジュリョウ</t>
    </rPh>
    <phoneticPr fontId="4"/>
  </si>
  <si>
    <t>３．締め請求</t>
    <rPh sb="2" eb="3">
      <t>シ</t>
    </rPh>
    <rPh sb="4" eb="6">
      <t>セイキュウ</t>
    </rPh>
    <phoneticPr fontId="4"/>
  </si>
  <si>
    <t>１．請求の締め処理</t>
    <rPh sb="2" eb="4">
      <t>セイキュウ</t>
    </rPh>
    <rPh sb="5" eb="6">
      <t>シ</t>
    </rPh>
    <rPh sb="7" eb="9">
      <t>ショリ</t>
    </rPh>
    <phoneticPr fontId="4"/>
  </si>
  <si>
    <t>請求締め処理を行う。</t>
    <rPh sb="0" eb="3">
      <t>セイキュウシ</t>
    </rPh>
    <rPh sb="4" eb="6">
      <t>ショリ</t>
    </rPh>
    <rPh sb="7" eb="8">
      <t>オコナ</t>
    </rPh>
    <phoneticPr fontId="4"/>
  </si>
  <si>
    <t>２．締め処理の確定</t>
    <rPh sb="2" eb="3">
      <t>シ</t>
    </rPh>
    <rPh sb="4" eb="6">
      <t>ショリ</t>
    </rPh>
    <rPh sb="7" eb="9">
      <t>カクテイ</t>
    </rPh>
    <phoneticPr fontId="4"/>
  </si>
  <si>
    <t>作成された月次締め請求データの内容を確認し、</t>
    <rPh sb="0" eb="2">
      <t>サクセイ</t>
    </rPh>
    <rPh sb="5" eb="8">
      <t>ゲツジシ</t>
    </rPh>
    <rPh sb="9" eb="11">
      <t>セイキュウ</t>
    </rPh>
    <rPh sb="15" eb="17">
      <t>ナイヨウ</t>
    </rPh>
    <rPh sb="18" eb="20">
      <t>カクニン</t>
    </rPh>
    <phoneticPr fontId="4"/>
  </si>
  <si>
    <t>確定処理を行う。</t>
    <rPh sb="0" eb="2">
      <t>カクテイ</t>
    </rPh>
    <rPh sb="2" eb="4">
      <t>ショリ</t>
    </rPh>
    <rPh sb="5" eb="6">
      <t>オコナ</t>
    </rPh>
    <phoneticPr fontId="4"/>
  </si>
  <si>
    <t>３．請求書の発行</t>
    <rPh sb="2" eb="5">
      <t>セイキュウショ</t>
    </rPh>
    <rPh sb="6" eb="8">
      <t>ハッコウ</t>
    </rPh>
    <phoneticPr fontId="4"/>
  </si>
  <si>
    <t>月次締め請求書画面より請求書を発行する。</t>
    <rPh sb="0" eb="2">
      <t>ゲツジ</t>
    </rPh>
    <rPh sb="2" eb="3">
      <t>シ</t>
    </rPh>
    <rPh sb="4" eb="7">
      <t>セイキュウショ</t>
    </rPh>
    <rPh sb="7" eb="9">
      <t>ガメン</t>
    </rPh>
    <rPh sb="11" eb="14">
      <t>セイキュウショ</t>
    </rPh>
    <rPh sb="15" eb="17">
      <t>ハッコウ</t>
    </rPh>
    <phoneticPr fontId="4"/>
  </si>
  <si>
    <t>４．請求書の送付</t>
    <rPh sb="2" eb="5">
      <t>セイキュウショ</t>
    </rPh>
    <rPh sb="6" eb="8">
      <t>ソウフ</t>
    </rPh>
    <phoneticPr fontId="4"/>
  </si>
  <si>
    <t>５．請求書の受領</t>
    <rPh sb="2" eb="5">
      <t>セイキュウショ</t>
    </rPh>
    <rPh sb="6" eb="8">
      <t>ジュリョウ</t>
    </rPh>
    <phoneticPr fontId="4"/>
  </si>
  <si>
    <t>顧客G・物流</t>
    <rPh sb="0" eb="2">
      <t>コキャク</t>
    </rPh>
    <rPh sb="4" eb="6">
      <t>ブツリュウ</t>
    </rPh>
    <phoneticPr fontId="4"/>
  </si>
  <si>
    <t>ITDX</t>
  </si>
  <si>
    <t>担当者</t>
    <phoneticPr fontId="4"/>
  </si>
  <si>
    <t>SLJ商品売上：SLJ顧客</t>
    <rPh sb="3" eb="5">
      <t>ショウヒン</t>
    </rPh>
    <rPh sb="5" eb="7">
      <t>ウリアゲ</t>
    </rPh>
    <rPh sb="11" eb="13">
      <t>コキャク</t>
    </rPh>
    <phoneticPr fontId="4"/>
  </si>
  <si>
    <t>SLJ物流売上：物流</t>
    <rPh sb="3" eb="7">
      <t>ブツリュウウリアゲ</t>
    </rPh>
    <rPh sb="8" eb="10">
      <t>ブツリュウ</t>
    </rPh>
    <phoneticPr fontId="4"/>
  </si>
  <si>
    <t>SLJ：販売管理システムから連携</t>
    <rPh sb="4" eb="6">
      <t>ハンバイ</t>
    </rPh>
    <rPh sb="6" eb="8">
      <t>カンリ</t>
    </rPh>
    <rPh sb="14" eb="16">
      <t>レンケイ</t>
    </rPh>
    <phoneticPr fontId="4"/>
  </si>
  <si>
    <t>2．売上（FO直接計上）</t>
    <rPh sb="2" eb="4">
      <t>ウリアゲ</t>
    </rPh>
    <rPh sb="7" eb="9">
      <t>チョクセツ</t>
    </rPh>
    <rPh sb="9" eb="11">
      <t>ケイジョウ</t>
    </rPh>
    <phoneticPr fontId="4"/>
  </si>
  <si>
    <t>1．売上データ登録</t>
    <rPh sb="2" eb="4">
      <t>ウリアゲ</t>
    </rPh>
    <rPh sb="7" eb="9">
      <t>トウロク</t>
    </rPh>
    <phoneticPr fontId="4"/>
  </si>
  <si>
    <t>売上データの登録を行う。</t>
    <rPh sb="0" eb="2">
      <t>ウリアゲ</t>
    </rPh>
    <rPh sb="6" eb="8">
      <t>トウロク</t>
    </rPh>
    <rPh sb="9" eb="10">
      <t>オコナ</t>
    </rPh>
    <phoneticPr fontId="4"/>
  </si>
  <si>
    <t>仕訳例：売掛金（得意先）／　配送収入</t>
    <rPh sb="0" eb="2">
      <t>シワケ</t>
    </rPh>
    <rPh sb="2" eb="3">
      <t>レイ</t>
    </rPh>
    <rPh sb="4" eb="7">
      <t>ウリカケキン</t>
    </rPh>
    <rPh sb="8" eb="11">
      <t>トクイサキ</t>
    </rPh>
    <rPh sb="14" eb="16">
      <t>ハイソウ</t>
    </rPh>
    <rPh sb="16" eb="18">
      <t>シュウニュウ</t>
    </rPh>
    <phoneticPr fontId="4"/>
  </si>
  <si>
    <t>2．伝票承認申請</t>
    <rPh sb="2" eb="4">
      <t>デンピョウ</t>
    </rPh>
    <rPh sb="4" eb="6">
      <t>ショウニン</t>
    </rPh>
    <rPh sb="6" eb="8">
      <t>シンセイ</t>
    </rPh>
    <phoneticPr fontId="4"/>
  </si>
  <si>
    <t>仕訳帳の承認申請を行う。</t>
    <rPh sb="0" eb="3">
      <t>シワケチョウ</t>
    </rPh>
    <rPh sb="4" eb="6">
      <t>ショウニン</t>
    </rPh>
    <rPh sb="6" eb="8">
      <t>シンセイ</t>
    </rPh>
    <rPh sb="9" eb="10">
      <t>オコナ</t>
    </rPh>
    <phoneticPr fontId="4"/>
  </si>
  <si>
    <t>3．伝票承認</t>
    <rPh sb="2" eb="4">
      <t>デンピョウ</t>
    </rPh>
    <rPh sb="4" eb="6">
      <t>ショウニン</t>
    </rPh>
    <phoneticPr fontId="4"/>
  </si>
  <si>
    <t>申請された仕訳帳を確認し、承認を行う。</t>
    <rPh sb="0" eb="2">
      <t>シンセイ</t>
    </rPh>
    <rPh sb="5" eb="8">
      <t>シワケチョウ</t>
    </rPh>
    <rPh sb="9" eb="11">
      <t>カクニン</t>
    </rPh>
    <rPh sb="13" eb="15">
      <t>ショウニン</t>
    </rPh>
    <rPh sb="16" eb="17">
      <t>オコナ</t>
    </rPh>
    <phoneticPr fontId="4"/>
  </si>
  <si>
    <t>4．自動転記バッチ</t>
    <phoneticPr fontId="4"/>
  </si>
  <si>
    <t>スケジュールされたバッチ処理により</t>
    <rPh sb="12" eb="14">
      <t>ショリ</t>
    </rPh>
    <phoneticPr fontId="4"/>
  </si>
  <si>
    <t>承認済仕訳帳が自動転記処理される</t>
    <rPh sb="0" eb="3">
      <t>ショウニンスミ</t>
    </rPh>
    <rPh sb="3" eb="6">
      <t>シワケチョウ</t>
    </rPh>
    <rPh sb="7" eb="9">
      <t>ジドウ</t>
    </rPh>
    <rPh sb="9" eb="13">
      <t>テンキショリ</t>
    </rPh>
    <phoneticPr fontId="4"/>
  </si>
  <si>
    <t>3．都度請求</t>
    <rPh sb="2" eb="4">
      <t>ツド</t>
    </rPh>
    <rPh sb="4" eb="6">
      <t>セイキュウ</t>
    </rPh>
    <phoneticPr fontId="4"/>
  </si>
  <si>
    <t>4．締め請求</t>
    <rPh sb="2" eb="3">
      <t>シ</t>
    </rPh>
    <rPh sb="4" eb="6">
      <t>セイキュウ</t>
    </rPh>
    <phoneticPr fontId="4"/>
  </si>
  <si>
    <t>銀行</t>
    <rPh sb="0" eb="2">
      <t>ギンコウ</t>
    </rPh>
    <phoneticPr fontId="4"/>
  </si>
  <si>
    <t>カスタマーサービスG</t>
    <phoneticPr fontId="4"/>
  </si>
  <si>
    <t>事務管理G</t>
    <rPh sb="0" eb="2">
      <t>ジム</t>
    </rPh>
    <rPh sb="2" eb="4">
      <t>カンリ</t>
    </rPh>
    <phoneticPr fontId="4"/>
  </si>
  <si>
    <t>１．入金（EB取り込み）  売上回収専用口座への入金</t>
    <rPh sb="2" eb="4">
      <t>ニュウキン</t>
    </rPh>
    <rPh sb="7" eb="8">
      <t>ト</t>
    </rPh>
    <rPh sb="9" eb="10">
      <t>コ</t>
    </rPh>
    <rPh sb="14" eb="16">
      <t>ウリアゲ</t>
    </rPh>
    <rPh sb="16" eb="18">
      <t>カイシュウ</t>
    </rPh>
    <rPh sb="18" eb="20">
      <t>センヨウ</t>
    </rPh>
    <rPh sb="20" eb="22">
      <t>コウザ</t>
    </rPh>
    <rPh sb="24" eb="26">
      <t>ニュウキン</t>
    </rPh>
    <phoneticPr fontId="4"/>
  </si>
  <si>
    <t>1．入金情報提示</t>
    <rPh sb="2" eb="4">
      <t>ニュウキン</t>
    </rPh>
    <rPh sb="4" eb="6">
      <t>ジョウホウ</t>
    </rPh>
    <rPh sb="6" eb="8">
      <t>テイジ</t>
    </rPh>
    <phoneticPr fontId="4"/>
  </si>
  <si>
    <t>売上回収用の口座に入金された場合、</t>
    <rPh sb="0" eb="4">
      <t>ウリアゲカイシュウ</t>
    </rPh>
    <rPh sb="4" eb="5">
      <t>ヨウ</t>
    </rPh>
    <rPh sb="6" eb="8">
      <t>コウザ</t>
    </rPh>
    <rPh sb="9" eb="11">
      <t>ニュウキン</t>
    </rPh>
    <rPh sb="14" eb="16">
      <t>バアイ</t>
    </rPh>
    <phoneticPr fontId="4"/>
  </si>
  <si>
    <t>業務推進部？SCM部？→売上請求についてはホストで自動入金。</t>
    <rPh sb="12" eb="14">
      <t>ウリアゲ</t>
    </rPh>
    <rPh sb="14" eb="16">
      <t>セイキュウ</t>
    </rPh>
    <rPh sb="25" eb="29">
      <t>ジドウニュウキン</t>
    </rPh>
    <phoneticPr fontId="4"/>
  </si>
  <si>
    <t>銀行から入金情報が提示される。</t>
    <rPh sb="0" eb="2">
      <t>ギンコウ</t>
    </rPh>
    <rPh sb="4" eb="6">
      <t>ニュウキン</t>
    </rPh>
    <rPh sb="6" eb="8">
      <t>ジョウホウ</t>
    </rPh>
    <rPh sb="9" eb="11">
      <t>テイジ</t>
    </rPh>
    <phoneticPr fontId="4"/>
  </si>
  <si>
    <t>自動入金処理がされる。自動処理しきれない場合は</t>
    <rPh sb="0" eb="2">
      <t>ジドウ</t>
    </rPh>
    <rPh sb="2" eb="4">
      <t>ニュウキン</t>
    </rPh>
    <rPh sb="4" eb="6">
      <t>ショリ</t>
    </rPh>
    <rPh sb="11" eb="13">
      <t>ジドウ</t>
    </rPh>
    <rPh sb="13" eb="15">
      <t>ショリ</t>
    </rPh>
    <rPh sb="20" eb="22">
      <t>バアイ</t>
    </rPh>
    <phoneticPr fontId="4"/>
  </si>
  <si>
    <t>ホスト側で受注管理Gが入金入力をする</t>
    <rPh sb="3" eb="4">
      <t>ガワ</t>
    </rPh>
    <rPh sb="5" eb="7">
      <t>ジュチュウ</t>
    </rPh>
    <rPh sb="7" eb="9">
      <t>カンリ</t>
    </rPh>
    <rPh sb="11" eb="13">
      <t>ニュウキン</t>
    </rPh>
    <rPh sb="13" eb="15">
      <t>ニュウリョク</t>
    </rPh>
    <phoneticPr fontId="4"/>
  </si>
  <si>
    <t>売上回収専用口座以外で入金がされた場合、</t>
    <rPh sb="0" eb="4">
      <t>ウリアゲカイシュウ</t>
    </rPh>
    <rPh sb="4" eb="8">
      <t>センヨウコウザ</t>
    </rPh>
    <rPh sb="8" eb="10">
      <t>イガイ</t>
    </rPh>
    <rPh sb="11" eb="13">
      <t>ニュウキン</t>
    </rPh>
    <rPh sb="17" eb="19">
      <t>バアイ</t>
    </rPh>
    <phoneticPr fontId="4"/>
  </si>
  <si>
    <t>2．EBデータダウンロード</t>
    <phoneticPr fontId="4"/>
  </si>
  <si>
    <t>例えば海外からの入金</t>
    <rPh sb="0" eb="1">
      <t>タト</t>
    </rPh>
    <rPh sb="3" eb="5">
      <t>カイガイ</t>
    </rPh>
    <rPh sb="8" eb="10">
      <t>ニュウキン</t>
    </rPh>
    <phoneticPr fontId="4"/>
  </si>
  <si>
    <t>銀行システムよりEB取り込みデータをダウンロードする。</t>
    <rPh sb="0" eb="2">
      <t>ギンコウ</t>
    </rPh>
    <rPh sb="10" eb="11">
      <t>ト</t>
    </rPh>
    <rPh sb="12" eb="13">
      <t>コ</t>
    </rPh>
    <phoneticPr fontId="4"/>
  </si>
  <si>
    <t>事務管理Gから受注管理Gに連絡がされ、</t>
    <rPh sb="0" eb="4">
      <t>ジムカンリ</t>
    </rPh>
    <rPh sb="7" eb="11">
      <t>ジュチュウカンリ</t>
    </rPh>
    <rPh sb="13" eb="15">
      <t>レンラク</t>
    </rPh>
    <phoneticPr fontId="4"/>
  </si>
  <si>
    <t>3．EBデータ取り込み</t>
    <rPh sb="7" eb="8">
      <t>ト</t>
    </rPh>
    <rPh sb="9" eb="10">
      <t>コ</t>
    </rPh>
    <phoneticPr fontId="4"/>
  </si>
  <si>
    <t>ダウンロードしたEBデータの取り込み実施する。</t>
    <rPh sb="14" eb="15">
      <t>ト</t>
    </rPh>
    <rPh sb="16" eb="17">
      <t>コ</t>
    </rPh>
    <rPh sb="18" eb="20">
      <t>ジッシ</t>
    </rPh>
    <phoneticPr fontId="4"/>
  </si>
  <si>
    <t>自動で入金伝票登録が行われる。</t>
    <rPh sb="5" eb="7">
      <t>デンピョウ</t>
    </rPh>
    <rPh sb="7" eb="9">
      <t>トウロク</t>
    </rPh>
    <rPh sb="10" eb="11">
      <t>オコナ</t>
    </rPh>
    <phoneticPr fontId="4"/>
  </si>
  <si>
    <t>4．EBデータ取込結果確認</t>
    <rPh sb="7" eb="9">
      <t>トリコミ</t>
    </rPh>
    <rPh sb="9" eb="11">
      <t>ケッカ</t>
    </rPh>
    <rPh sb="11" eb="13">
      <t>カクニン</t>
    </rPh>
    <phoneticPr fontId="4"/>
  </si>
  <si>
    <t>EB取り込みを行った結果を確認する。</t>
    <rPh sb="2" eb="3">
      <t>ト</t>
    </rPh>
    <rPh sb="4" eb="5">
      <t>コ</t>
    </rPh>
    <rPh sb="7" eb="8">
      <t>オコナ</t>
    </rPh>
    <rPh sb="10" eb="12">
      <t>ケッカ</t>
    </rPh>
    <rPh sb="13" eb="15">
      <t>カクニン</t>
    </rPh>
    <phoneticPr fontId="4"/>
  </si>
  <si>
    <t>※入金元が特定できない場合を想定</t>
    <phoneticPr fontId="4"/>
  </si>
  <si>
    <t>6．不明入金調査</t>
    <rPh sb="2" eb="4">
      <t>フメイ</t>
    </rPh>
    <rPh sb="4" eb="8">
      <t>ニュウキンチョウサ</t>
    </rPh>
    <phoneticPr fontId="4"/>
  </si>
  <si>
    <t>不明入金の調査を行う。</t>
    <rPh sb="0" eb="2">
      <t>フメイ</t>
    </rPh>
    <rPh sb="2" eb="4">
      <t>ニュウキン</t>
    </rPh>
    <rPh sb="5" eb="7">
      <t>チョウサ</t>
    </rPh>
    <rPh sb="8" eb="9">
      <t>オコナ</t>
    </rPh>
    <phoneticPr fontId="4"/>
  </si>
  <si>
    <t>5．入金入力</t>
    <rPh sb="2" eb="4">
      <t>ニュウキン</t>
    </rPh>
    <rPh sb="4" eb="6">
      <t>ニュウリョク</t>
    </rPh>
    <phoneticPr fontId="4"/>
  </si>
  <si>
    <t>特定した入金の登録を行う。</t>
    <rPh sb="0" eb="2">
      <t>トクテイ</t>
    </rPh>
    <rPh sb="4" eb="6">
      <t>ニュウキン</t>
    </rPh>
    <rPh sb="7" eb="9">
      <t>トウロク</t>
    </rPh>
    <rPh sb="10" eb="11">
      <t>オコナ</t>
    </rPh>
    <phoneticPr fontId="4"/>
  </si>
  <si>
    <t>2．入金（EB取り込み）  売上回収専用口座以外への入金</t>
    <rPh sb="2" eb="4">
      <t>ニュウキン</t>
    </rPh>
    <rPh sb="7" eb="8">
      <t>ト</t>
    </rPh>
    <rPh sb="9" eb="10">
      <t>コ</t>
    </rPh>
    <rPh sb="14" eb="16">
      <t>ウリアゲ</t>
    </rPh>
    <rPh sb="16" eb="18">
      <t>カイシュウ</t>
    </rPh>
    <rPh sb="18" eb="20">
      <t>センヨウ</t>
    </rPh>
    <rPh sb="20" eb="22">
      <t>コウザ</t>
    </rPh>
    <rPh sb="22" eb="24">
      <t>イガイ</t>
    </rPh>
    <rPh sb="26" eb="28">
      <t>ニュウキン</t>
    </rPh>
    <phoneticPr fontId="4"/>
  </si>
  <si>
    <t>2．入金確認</t>
    <rPh sb="2" eb="4">
      <t>ニュウキン</t>
    </rPh>
    <rPh sb="4" eb="6">
      <t>カクニン</t>
    </rPh>
    <phoneticPr fontId="4"/>
  </si>
  <si>
    <t>入金を確認する。</t>
    <rPh sb="0" eb="2">
      <t>ニュウキン</t>
    </rPh>
    <rPh sb="3" eb="5">
      <t>カクニン</t>
    </rPh>
    <phoneticPr fontId="4"/>
  </si>
  <si>
    <t>3．入金連絡</t>
    <rPh sb="2" eb="4">
      <t>ニュウキン</t>
    </rPh>
    <rPh sb="4" eb="6">
      <t>レンラク</t>
    </rPh>
    <phoneticPr fontId="4"/>
  </si>
  <si>
    <t>売上回収専用口座以外で入金がされた場合、</t>
    <phoneticPr fontId="4"/>
  </si>
  <si>
    <t>受注管理Gへ入金の連絡を行う</t>
    <rPh sb="0" eb="2">
      <t>ジュチュウ</t>
    </rPh>
    <rPh sb="2" eb="4">
      <t>カンリ</t>
    </rPh>
    <rPh sb="6" eb="8">
      <t>ニュウキン</t>
    </rPh>
    <rPh sb="9" eb="11">
      <t>レンラク</t>
    </rPh>
    <rPh sb="12" eb="13">
      <t>オコナ</t>
    </rPh>
    <phoneticPr fontId="4"/>
  </si>
  <si>
    <t>4．入金入力</t>
    <rPh sb="2" eb="4">
      <t>ニュウキン</t>
    </rPh>
    <rPh sb="4" eb="6">
      <t>ニュウリョク</t>
    </rPh>
    <phoneticPr fontId="4"/>
  </si>
  <si>
    <t>ホスト側で入金入力を実施する</t>
    <rPh sb="3" eb="4">
      <t>ガワ</t>
    </rPh>
    <rPh sb="5" eb="7">
      <t>ニュウキン</t>
    </rPh>
    <rPh sb="7" eb="9">
      <t>ニュウリョク</t>
    </rPh>
    <rPh sb="10" eb="12">
      <t>ジッシ</t>
    </rPh>
    <phoneticPr fontId="4"/>
  </si>
  <si>
    <t>3．入金（EB取り込み以外）</t>
    <rPh sb="2" eb="4">
      <t>ニュウキン</t>
    </rPh>
    <rPh sb="7" eb="8">
      <t>ト</t>
    </rPh>
    <rPh sb="9" eb="10">
      <t>コ</t>
    </rPh>
    <rPh sb="11" eb="13">
      <t>イガイ</t>
    </rPh>
    <phoneticPr fontId="4"/>
  </si>
  <si>
    <t>１．銀行振込確認</t>
    <rPh sb="2" eb="6">
      <t>ギンコウフリコミ</t>
    </rPh>
    <rPh sb="6" eb="8">
      <t>カクニン</t>
    </rPh>
    <phoneticPr fontId="4"/>
  </si>
  <si>
    <t>債権に対する入金がされているかどうかを確認する。</t>
    <rPh sb="0" eb="2">
      <t>サイケン</t>
    </rPh>
    <rPh sb="3" eb="4">
      <t>タイ</t>
    </rPh>
    <rPh sb="6" eb="8">
      <t>ニュウキン</t>
    </rPh>
    <rPh sb="19" eb="21">
      <t>カクニン</t>
    </rPh>
    <phoneticPr fontId="4"/>
  </si>
  <si>
    <t>業務推進部？SCM部？</t>
  </si>
  <si>
    <t>２．未回収データ確認</t>
    <rPh sb="2" eb="4">
      <t>ギンコウ</t>
    </rPh>
    <rPh sb="4" eb="6">
      <t>フリコミ</t>
    </rPh>
    <rPh sb="6" eb="8">
      <t>カクニン</t>
    </rPh>
    <phoneticPr fontId="4"/>
  </si>
  <si>
    <t>未回収データを確認する。</t>
    <rPh sb="0" eb="3">
      <t>ミカイシュウ</t>
    </rPh>
    <rPh sb="7" eb="9">
      <t>カクニン</t>
    </rPh>
    <phoneticPr fontId="4"/>
  </si>
  <si>
    <t>3．入金データ登録</t>
    <rPh sb="2" eb="4">
      <t>ニュウキン</t>
    </rPh>
    <rPh sb="7" eb="9">
      <t>トウロク</t>
    </rPh>
    <phoneticPr fontId="4"/>
  </si>
  <si>
    <t>入金データを登録する。</t>
    <rPh sb="0" eb="2">
      <t>ニュウキン</t>
    </rPh>
    <rPh sb="6" eb="8">
      <t>トウロク</t>
    </rPh>
    <phoneticPr fontId="4"/>
  </si>
  <si>
    <t>４．修正連絡</t>
    <rPh sb="2" eb="4">
      <t>シュウセイ</t>
    </rPh>
    <rPh sb="4" eb="6">
      <t>レンラク</t>
    </rPh>
    <phoneticPr fontId="4"/>
  </si>
  <si>
    <t>入金内容に誤りがある場合は、その旨顧客に連絡する。</t>
    <rPh sb="0" eb="2">
      <t>ニュウキン</t>
    </rPh>
    <rPh sb="2" eb="4">
      <t>ナイヨウ</t>
    </rPh>
    <rPh sb="5" eb="6">
      <t>アヤマ</t>
    </rPh>
    <rPh sb="10" eb="12">
      <t>バアイ</t>
    </rPh>
    <rPh sb="16" eb="17">
      <t>ムネ</t>
    </rPh>
    <rPh sb="17" eb="19">
      <t>コキャク</t>
    </rPh>
    <rPh sb="20" eb="22">
      <t>レンラク</t>
    </rPh>
    <phoneticPr fontId="4"/>
  </si>
  <si>
    <t>入金予定(予定日)とのチェックは無いのか？</t>
  </si>
  <si>
    <t>・過入金</t>
    <rPh sb="1" eb="4">
      <t>カニュウキン</t>
    </rPh>
    <phoneticPr fontId="4"/>
  </si>
  <si>
    <t>顧客了承の元、翌請求分を消し込むor前受け金として処理</t>
    <rPh sb="0" eb="2">
      <t>コキャク</t>
    </rPh>
    <rPh sb="2" eb="4">
      <t>リョウショウ</t>
    </rPh>
    <rPh sb="5" eb="6">
      <t>モト</t>
    </rPh>
    <rPh sb="7" eb="11">
      <t>ヨクセイキュウブン</t>
    </rPh>
    <rPh sb="12" eb="13">
      <t>ケ</t>
    </rPh>
    <rPh sb="14" eb="15">
      <t>コ</t>
    </rPh>
    <rPh sb="18" eb="20">
      <t>マエウ</t>
    </rPh>
    <rPh sb="21" eb="22">
      <t>キン</t>
    </rPh>
    <rPh sb="25" eb="27">
      <t>ショリ</t>
    </rPh>
    <phoneticPr fontId="4"/>
  </si>
  <si>
    <t>・入金不足</t>
    <rPh sb="1" eb="3">
      <t>ニュウキン</t>
    </rPh>
    <rPh sb="3" eb="5">
      <t>フソク</t>
    </rPh>
    <phoneticPr fontId="4"/>
  </si>
  <si>
    <t>顧客と交渉し、翌請求分にて不足分を請求</t>
    <rPh sb="0" eb="2">
      <t>コキャク</t>
    </rPh>
    <rPh sb="3" eb="5">
      <t>コウショウ</t>
    </rPh>
    <rPh sb="7" eb="11">
      <t>ヨクセイキュウブン</t>
    </rPh>
    <rPh sb="13" eb="16">
      <t>フソクブン</t>
    </rPh>
    <rPh sb="17" eb="19">
      <t>セイキュウ</t>
    </rPh>
    <phoneticPr fontId="4"/>
  </si>
  <si>
    <t>・(参考)債権が間違い</t>
    <rPh sb="2" eb="4">
      <t>サンコウ</t>
    </rPh>
    <phoneticPr fontId="4"/>
  </si>
  <si>
    <t>自社情報を修正する（販売系フロー内での処理）</t>
    <rPh sb="0" eb="2">
      <t>ジシャ</t>
    </rPh>
    <rPh sb="2" eb="4">
      <t>ジョウホウ</t>
    </rPh>
    <rPh sb="5" eb="7">
      <t>シュウセイ</t>
    </rPh>
    <rPh sb="10" eb="12">
      <t>ハンバイ</t>
    </rPh>
    <rPh sb="12" eb="13">
      <t>ケイ</t>
    </rPh>
    <rPh sb="16" eb="17">
      <t>ナイ</t>
    </rPh>
    <rPh sb="19" eb="21">
      <t>ショリ</t>
    </rPh>
    <phoneticPr fontId="4"/>
  </si>
  <si>
    <t>５．再入金</t>
    <rPh sb="2" eb="3">
      <t>サイ</t>
    </rPh>
    <rPh sb="3" eb="5">
      <t>ニュウキン</t>
    </rPh>
    <phoneticPr fontId="4"/>
  </si>
  <si>
    <t>正しい入金金額で、再度入金する。</t>
    <rPh sb="0" eb="1">
      <t>タダ</t>
    </rPh>
    <rPh sb="3" eb="5">
      <t>ニュウキン</t>
    </rPh>
    <rPh sb="5" eb="7">
      <t>キンガク</t>
    </rPh>
    <rPh sb="9" eb="11">
      <t>サイド</t>
    </rPh>
    <rPh sb="11" eb="13">
      <t>ニュウキン</t>
    </rPh>
    <phoneticPr fontId="4"/>
  </si>
  <si>
    <t>６．入金データ転記</t>
    <rPh sb="2" eb="4">
      <t>ニュウキン</t>
    </rPh>
    <rPh sb="7" eb="9">
      <t>テンキ</t>
    </rPh>
    <phoneticPr fontId="4"/>
  </si>
  <si>
    <t>手順３で作成した仕訳帳を転記する。</t>
    <rPh sb="0" eb="2">
      <t>テジュン</t>
    </rPh>
    <rPh sb="4" eb="6">
      <t>サクセイ</t>
    </rPh>
    <phoneticPr fontId="4"/>
  </si>
  <si>
    <t>「得意先別に入金」？「JGR別得意先別に入金」？「部課別得意先別に入金」？</t>
  </si>
  <si>
    <t>4．入金（前受）</t>
    <rPh sb="2" eb="4">
      <t>ニュウキン</t>
    </rPh>
    <rPh sb="5" eb="7">
      <t>マエウケ</t>
    </rPh>
    <phoneticPr fontId="4"/>
  </si>
  <si>
    <t>※前受請求した場合の入金処理</t>
    <rPh sb="1" eb="3">
      <t>マエウケ</t>
    </rPh>
    <rPh sb="3" eb="5">
      <t>セイキュウ</t>
    </rPh>
    <rPh sb="7" eb="9">
      <t>バアイ</t>
    </rPh>
    <rPh sb="10" eb="12">
      <t>ニュウキン</t>
    </rPh>
    <rPh sb="12" eb="14">
      <t>ショリ</t>
    </rPh>
    <phoneticPr fontId="4"/>
  </si>
  <si>
    <t>EB取り込み以外でもあるのでは？</t>
  </si>
  <si>
    <t>※前受入金は、EB取込で行うことを想定。</t>
    <rPh sb="1" eb="5">
      <t>マエウケニュウキン</t>
    </rPh>
    <rPh sb="9" eb="11">
      <t>トリコミ</t>
    </rPh>
    <rPh sb="12" eb="13">
      <t>オコナ</t>
    </rPh>
    <rPh sb="17" eb="19">
      <t>ソウテイ</t>
    </rPh>
    <phoneticPr fontId="4"/>
  </si>
  <si>
    <t>前受入金がされているかどうかを確認する</t>
    <rPh sb="0" eb="2">
      <t>マエウ</t>
    </rPh>
    <rPh sb="2" eb="4">
      <t>ニュウキン</t>
    </rPh>
    <rPh sb="15" eb="17">
      <t>カクニン</t>
    </rPh>
    <phoneticPr fontId="4"/>
  </si>
  <si>
    <t>２．入金データ登録</t>
    <rPh sb="2" eb="4">
      <t>ニュウキン</t>
    </rPh>
    <rPh sb="7" eb="9">
      <t>トウロク</t>
    </rPh>
    <phoneticPr fontId="4"/>
  </si>
  <si>
    <t>入金仕訳を登録する</t>
    <rPh sb="0" eb="2">
      <t>ニュウキン</t>
    </rPh>
    <rPh sb="2" eb="4">
      <t>シワケ</t>
    </rPh>
    <rPh sb="5" eb="7">
      <t>トウロク</t>
    </rPh>
    <phoneticPr fontId="4"/>
  </si>
  <si>
    <t>３．入金データ転記</t>
    <rPh sb="2" eb="4">
      <t>ニュウキン</t>
    </rPh>
    <rPh sb="7" eb="9">
      <t>テンキ</t>
    </rPh>
    <phoneticPr fontId="4"/>
  </si>
  <si>
    <t>手順２で作成した仕訳を転記する</t>
    <rPh sb="0" eb="2">
      <t>テジュン</t>
    </rPh>
    <rPh sb="4" eb="6">
      <t>サクセイ</t>
    </rPh>
    <phoneticPr fontId="4"/>
  </si>
  <si>
    <t>5．入金管理表作成</t>
    <phoneticPr fontId="4"/>
  </si>
  <si>
    <t>1.入金情報抽出</t>
    <phoneticPr fontId="4"/>
  </si>
  <si>
    <t>直営店の入金情報を抽出する。</t>
    <rPh sb="0" eb="2">
      <t>チョクエイ</t>
    </rPh>
    <rPh sb="2" eb="3">
      <t>テン</t>
    </rPh>
    <rPh sb="4" eb="6">
      <t>ニュウキン</t>
    </rPh>
    <rPh sb="6" eb="8">
      <t>ジョウホウ</t>
    </rPh>
    <rPh sb="9" eb="11">
      <t>チュウシュツ</t>
    </rPh>
    <phoneticPr fontId="4"/>
  </si>
  <si>
    <t>２.入金管理表作成</t>
    <rPh sb="2" eb="4">
      <t>ニュウキン</t>
    </rPh>
    <rPh sb="4" eb="7">
      <t>カンリヒョウ</t>
    </rPh>
    <rPh sb="7" eb="9">
      <t>サクセイ</t>
    </rPh>
    <phoneticPr fontId="4"/>
  </si>
  <si>
    <t>1.で抽出した情報を基に入金管理表を作成する。</t>
    <rPh sb="3" eb="5">
      <t>チュウシュツ</t>
    </rPh>
    <rPh sb="7" eb="9">
      <t>ジョウホウ</t>
    </rPh>
    <rPh sb="10" eb="11">
      <t>モト</t>
    </rPh>
    <rPh sb="12" eb="14">
      <t>ニュウキン</t>
    </rPh>
    <rPh sb="14" eb="16">
      <t>カンリ</t>
    </rPh>
    <rPh sb="16" eb="17">
      <t>ヒョウ</t>
    </rPh>
    <rPh sb="18" eb="20">
      <t>サクセイ</t>
    </rPh>
    <phoneticPr fontId="4"/>
  </si>
  <si>
    <t>１．入金（EB取り込み）</t>
    <rPh sb="2" eb="4">
      <t>ニュウキン</t>
    </rPh>
    <rPh sb="7" eb="8">
      <t>ト</t>
    </rPh>
    <rPh sb="9" eb="10">
      <t>コ</t>
    </rPh>
    <phoneticPr fontId="4"/>
  </si>
  <si>
    <t>FOの顧客支払仕訳帳画面にて仕訳帳を作成し、</t>
    <rPh sb="3" eb="5">
      <t>コキャク</t>
    </rPh>
    <rPh sb="5" eb="7">
      <t>シハライ</t>
    </rPh>
    <rPh sb="7" eb="10">
      <t>シワケチョウ</t>
    </rPh>
    <rPh sb="10" eb="12">
      <t>ガメン</t>
    </rPh>
    <rPh sb="14" eb="17">
      <t>シワケチョウ</t>
    </rPh>
    <rPh sb="18" eb="20">
      <t>サクセイ</t>
    </rPh>
    <phoneticPr fontId="4"/>
  </si>
  <si>
    <t>手順2でダウンロードしたEBデータの取り込み実施する。</t>
    <rPh sb="0" eb="2">
      <t>テジュン</t>
    </rPh>
    <rPh sb="18" eb="19">
      <t>ト</t>
    </rPh>
    <rPh sb="20" eb="21">
      <t>コ</t>
    </rPh>
    <rPh sb="22" eb="24">
      <t>ジッシ</t>
    </rPh>
    <phoneticPr fontId="4"/>
  </si>
  <si>
    <t>4．伝票承認申請</t>
    <rPh sb="2" eb="4">
      <t>デンピョウ</t>
    </rPh>
    <rPh sb="4" eb="6">
      <t>ショウニン</t>
    </rPh>
    <rPh sb="6" eb="8">
      <t>シンセイ</t>
    </rPh>
    <phoneticPr fontId="4"/>
  </si>
  <si>
    <t>EBデータを取り込んだ仕訳帳の承認申請を行う。</t>
    <rPh sb="6" eb="7">
      <t>ト</t>
    </rPh>
    <rPh sb="8" eb="9">
      <t>コ</t>
    </rPh>
    <rPh sb="11" eb="14">
      <t>シワケチョウ</t>
    </rPh>
    <rPh sb="15" eb="17">
      <t>ショウニン</t>
    </rPh>
    <rPh sb="17" eb="19">
      <t>シンセイ</t>
    </rPh>
    <rPh sb="20" eb="21">
      <t>オコナ</t>
    </rPh>
    <phoneticPr fontId="4"/>
  </si>
  <si>
    <t>5．伝票承認</t>
    <rPh sb="2" eb="4">
      <t>デンピョウ</t>
    </rPh>
    <rPh sb="4" eb="6">
      <t>ショウニン</t>
    </rPh>
    <phoneticPr fontId="4"/>
  </si>
  <si>
    <t>6．自動転記バッチ</t>
    <phoneticPr fontId="4"/>
  </si>
  <si>
    <t>アドオン機能</t>
    <rPh sb="4" eb="6">
      <t>キノウ</t>
    </rPh>
    <phoneticPr fontId="4"/>
  </si>
  <si>
    <t>Req377　</t>
    <phoneticPr fontId="4"/>
  </si>
  <si>
    <t>FO-034：自動転記バッチ</t>
    <phoneticPr fontId="4"/>
  </si>
  <si>
    <t>２．入金（EB取り込み以外）</t>
    <rPh sb="2" eb="4">
      <t>ニュウキン</t>
    </rPh>
    <rPh sb="7" eb="8">
      <t>ト</t>
    </rPh>
    <rPh sb="9" eb="10">
      <t>コ</t>
    </rPh>
    <rPh sb="11" eb="13">
      <t>イガイ</t>
    </rPh>
    <phoneticPr fontId="4"/>
  </si>
  <si>
    <t>経理が債権に対する入金がされているかどうかを確認する。</t>
    <rPh sb="0" eb="2">
      <t>ケイリ</t>
    </rPh>
    <rPh sb="3" eb="5">
      <t>サイケン</t>
    </rPh>
    <rPh sb="6" eb="7">
      <t>タイ</t>
    </rPh>
    <rPh sb="9" eb="11">
      <t>ニュウキン</t>
    </rPh>
    <rPh sb="22" eb="24">
      <t>カクニン</t>
    </rPh>
    <phoneticPr fontId="4"/>
  </si>
  <si>
    <t>経理がFOの期日が超過した顧客請求書画面から</t>
    <rPh sb="0" eb="2">
      <t>ケイリ</t>
    </rPh>
    <rPh sb="6" eb="8">
      <t>キジツ</t>
    </rPh>
    <rPh sb="9" eb="11">
      <t>チョウカ</t>
    </rPh>
    <rPh sb="13" eb="15">
      <t>コキャク</t>
    </rPh>
    <rPh sb="15" eb="18">
      <t>セイキュウショ</t>
    </rPh>
    <rPh sb="18" eb="20">
      <t>ガメン</t>
    </rPh>
    <phoneticPr fontId="4"/>
  </si>
  <si>
    <t>３．債権データの紐づけ</t>
    <rPh sb="2" eb="4">
      <t>サイケン</t>
    </rPh>
    <rPh sb="8" eb="9">
      <t>ヒモ</t>
    </rPh>
    <phoneticPr fontId="4"/>
  </si>
  <si>
    <t>支払提案の機能から入金対象のデータを選択する。</t>
    <rPh sb="0" eb="2">
      <t>シハライ</t>
    </rPh>
    <rPh sb="2" eb="4">
      <t>テイアン</t>
    </rPh>
    <rPh sb="5" eb="7">
      <t>キノウ</t>
    </rPh>
    <rPh sb="9" eb="11">
      <t>ニュウキン</t>
    </rPh>
    <rPh sb="11" eb="13">
      <t>タイショウ</t>
    </rPh>
    <rPh sb="18" eb="20">
      <t>センタク</t>
    </rPh>
    <phoneticPr fontId="4"/>
  </si>
  <si>
    <t>入金手段ごと（銀行振込の場合は、銀行口座ごと）</t>
    <rPh sb="0" eb="2">
      <t>ニュウキン</t>
    </rPh>
    <rPh sb="2" eb="4">
      <t>シュダン</t>
    </rPh>
    <rPh sb="7" eb="9">
      <t>ギンコウ</t>
    </rPh>
    <rPh sb="9" eb="11">
      <t>フリコミ</t>
    </rPh>
    <rPh sb="12" eb="14">
      <t>バアイ</t>
    </rPh>
    <rPh sb="16" eb="20">
      <t>ギンコウコウザ</t>
    </rPh>
    <phoneticPr fontId="4"/>
  </si>
  <si>
    <t>に仕訳帳名を用意しておき、適切な相手勘定を</t>
    <phoneticPr fontId="4"/>
  </si>
  <si>
    <t>初期値として設定しておけば入力ミスの予防となる。</t>
    <phoneticPr fontId="4"/>
  </si>
  <si>
    <t>6．伝票承認申請</t>
    <rPh sb="2" eb="4">
      <t>デンピョウ</t>
    </rPh>
    <rPh sb="4" eb="6">
      <t>ショウニン</t>
    </rPh>
    <rPh sb="6" eb="8">
      <t>シンセイ</t>
    </rPh>
    <phoneticPr fontId="4"/>
  </si>
  <si>
    <t>7．伝票承認</t>
    <rPh sb="2" eb="4">
      <t>デンピョウ</t>
    </rPh>
    <rPh sb="4" eb="6">
      <t>ショウニン</t>
    </rPh>
    <phoneticPr fontId="4"/>
  </si>
  <si>
    <t>8．自動転記バッチ</t>
    <phoneticPr fontId="4"/>
  </si>
  <si>
    <t>１．入金消込</t>
    <rPh sb="2" eb="4">
      <t>ニュウキン</t>
    </rPh>
    <rPh sb="4" eb="6">
      <t>ケシコミ</t>
    </rPh>
    <phoneticPr fontId="4"/>
  </si>
  <si>
    <t>事務管理グループでは売掛金以外の未収入金の消込を行っております。このフローは売掛金の消込でしょうか？未収入金の消込でしょうか？
売掛金は現在消込を行っておりませんが、今後発生するフローでしょうか？
（事務管理：藤田、安東）</t>
  </si>
  <si>
    <t>事務管理？</t>
  </si>
  <si>
    <t>カスタマー？</t>
  </si>
  <si>
    <t>請求データ（債権）と入金データの消込を実施</t>
    <rPh sb="0" eb="2">
      <t>セイキュウ</t>
    </rPh>
    <rPh sb="6" eb="8">
      <t>サイケン</t>
    </rPh>
    <rPh sb="10" eb="12">
      <t>ニュウキン</t>
    </rPh>
    <rPh sb="16" eb="18">
      <t>ケシコミ</t>
    </rPh>
    <rPh sb="19" eb="21">
      <t>ジッシ</t>
    </rPh>
    <phoneticPr fontId="4"/>
  </si>
  <si>
    <t>売掛金の消込</t>
  </si>
  <si>
    <t>２．前受消込</t>
    <rPh sb="2" eb="4">
      <t>マエウケ</t>
    </rPh>
    <rPh sb="4" eb="6">
      <t>ケシコミ</t>
    </rPh>
    <phoneticPr fontId="4"/>
  </si>
  <si>
    <t>１．前受金データ確認</t>
    <rPh sb="2" eb="5">
      <t>マエウケキン</t>
    </rPh>
    <rPh sb="8" eb="10">
      <t>カクニン</t>
    </rPh>
    <phoneticPr fontId="4"/>
  </si>
  <si>
    <t>前受金データを確認する</t>
    <rPh sb="0" eb="2">
      <t>マエウケ</t>
    </rPh>
    <rPh sb="2" eb="3">
      <t>キン</t>
    </rPh>
    <rPh sb="7" eb="9">
      <t>カクニン</t>
    </rPh>
    <phoneticPr fontId="4"/>
  </si>
  <si>
    <t>前受金の定義は？入金過多？事前に取引先から連絡？</t>
  </si>
  <si>
    <t>2．前受入金と受注データの紐づけ</t>
    <rPh sb="2" eb="4">
      <t>マエウケ</t>
    </rPh>
    <rPh sb="4" eb="6">
      <t>ニュウキン</t>
    </rPh>
    <rPh sb="7" eb="9">
      <t>ジュチュウ</t>
    </rPh>
    <rPh sb="13" eb="14">
      <t>ヒモ</t>
    </rPh>
    <phoneticPr fontId="4"/>
  </si>
  <si>
    <t>前受け入金と受注データを紐づける</t>
    <rPh sb="0" eb="2">
      <t>マエウ</t>
    </rPh>
    <rPh sb="3" eb="5">
      <t>ニュウキン</t>
    </rPh>
    <rPh sb="6" eb="8">
      <t>ジュチュウ</t>
    </rPh>
    <rPh sb="12" eb="13">
      <t>ヒモ</t>
    </rPh>
    <phoneticPr fontId="4"/>
  </si>
  <si>
    <t>FOのトランザクションの決済画面より</t>
    <rPh sb="12" eb="14">
      <t>ケッサイ</t>
    </rPh>
    <rPh sb="14" eb="16">
      <t>ガメン</t>
    </rPh>
    <phoneticPr fontId="4"/>
  </si>
  <si>
    <t>入金登録時に債権を紐づけていないものが対象となる。</t>
    <rPh sb="0" eb="2">
      <t>ニュウキン</t>
    </rPh>
    <rPh sb="2" eb="4">
      <t>トウロク</t>
    </rPh>
    <rPh sb="4" eb="5">
      <t>ジ</t>
    </rPh>
    <rPh sb="6" eb="8">
      <t>サイケン</t>
    </rPh>
    <rPh sb="9" eb="10">
      <t>ヒモ</t>
    </rPh>
    <rPh sb="19" eb="21">
      <t>タイショウ</t>
    </rPh>
    <phoneticPr fontId="4"/>
  </si>
  <si>
    <t>2．前受入金と受注データの紐づけ・消込</t>
    <rPh sb="2" eb="4">
      <t>マエウケ</t>
    </rPh>
    <rPh sb="4" eb="6">
      <t>ニュウキン</t>
    </rPh>
    <rPh sb="7" eb="9">
      <t>ジュチュウ</t>
    </rPh>
    <rPh sb="13" eb="14">
      <t>ヒモ</t>
    </rPh>
    <rPh sb="17" eb="19">
      <t>ケシコミ</t>
    </rPh>
    <phoneticPr fontId="4"/>
  </si>
  <si>
    <t>前受け入金と受注データを紐づけて消込を実施する</t>
    <rPh sb="0" eb="2">
      <t>マエウ</t>
    </rPh>
    <rPh sb="3" eb="5">
      <t>ニュウキン</t>
    </rPh>
    <rPh sb="6" eb="8">
      <t>ジュチュウ</t>
    </rPh>
    <rPh sb="12" eb="13">
      <t>ヒモ</t>
    </rPh>
    <rPh sb="16" eb="18">
      <t>ケシコミ</t>
    </rPh>
    <rPh sb="19" eb="21">
      <t>ジッシ</t>
    </rPh>
    <phoneticPr fontId="4"/>
  </si>
  <si>
    <t>各部門</t>
    <rPh sb="0" eb="3">
      <t>カクブモン</t>
    </rPh>
    <phoneticPr fontId="4"/>
  </si>
  <si>
    <t>経営計画G</t>
    <phoneticPr fontId="4"/>
  </si>
  <si>
    <t>事務管理G</t>
    <rPh sb="0" eb="4">
      <t>ジムカンリ</t>
    </rPh>
    <phoneticPr fontId="4"/>
  </si>
  <si>
    <t>1. 未収入金計上</t>
    <rPh sb="3" eb="7">
      <t>ミシュウニュウキン</t>
    </rPh>
    <rPh sb="7" eb="9">
      <t>ケイジョウ</t>
    </rPh>
    <phoneticPr fontId="4"/>
  </si>
  <si>
    <t>1．請求書発行依頼書作成</t>
    <rPh sb="2" eb="5">
      <t>セイキュウショ</t>
    </rPh>
    <rPh sb="5" eb="7">
      <t>ハッコウ</t>
    </rPh>
    <rPh sb="7" eb="10">
      <t>イライショ</t>
    </rPh>
    <rPh sb="10" eb="12">
      <t>サクセイ</t>
    </rPh>
    <phoneticPr fontId="4"/>
  </si>
  <si>
    <t>未収入金に伴う発行依頼書、及び</t>
    <rPh sb="0" eb="2">
      <t>ミシュウ</t>
    </rPh>
    <rPh sb="2" eb="4">
      <t>ニュウキン</t>
    </rPh>
    <rPh sb="5" eb="6">
      <t>トモナ</t>
    </rPh>
    <rPh sb="7" eb="9">
      <t>ハッコウ</t>
    </rPh>
    <rPh sb="9" eb="12">
      <t>イライショ</t>
    </rPh>
    <rPh sb="13" eb="14">
      <t>オヨ</t>
    </rPh>
    <phoneticPr fontId="4"/>
  </si>
  <si>
    <t>経費明細の作成を行う。</t>
    <rPh sb="0" eb="4">
      <t>ケイヒメイサイ</t>
    </rPh>
    <rPh sb="5" eb="7">
      <t>サクセイ</t>
    </rPh>
    <rPh sb="8" eb="9">
      <t>オコナ</t>
    </rPh>
    <phoneticPr fontId="4"/>
  </si>
  <si>
    <t>作成後、上長の確認・押印をもらう。</t>
    <rPh sb="0" eb="3">
      <t>サクセイゴ</t>
    </rPh>
    <rPh sb="4" eb="6">
      <t>ジョウチョウ</t>
    </rPh>
    <rPh sb="7" eb="9">
      <t>カクニン</t>
    </rPh>
    <rPh sb="10" eb="12">
      <t>オウイン</t>
    </rPh>
    <phoneticPr fontId="4"/>
  </si>
  <si>
    <t>2．請求書発行依頼</t>
    <rPh sb="2" eb="5">
      <t>セイキュウショ</t>
    </rPh>
    <rPh sb="5" eb="7">
      <t>ハッコウ</t>
    </rPh>
    <rPh sb="7" eb="9">
      <t>イライ</t>
    </rPh>
    <phoneticPr fontId="4"/>
  </si>
  <si>
    <t>メールにて、事務管理Gに請求書発行依頼を行う。</t>
    <rPh sb="6" eb="10">
      <t>ジムカンリ</t>
    </rPh>
    <rPh sb="12" eb="15">
      <t>セイキュウショ</t>
    </rPh>
    <rPh sb="15" eb="17">
      <t>ハッコウ</t>
    </rPh>
    <rPh sb="17" eb="19">
      <t>イライ</t>
    </rPh>
    <rPh sb="20" eb="21">
      <t>オコナ</t>
    </rPh>
    <phoneticPr fontId="4"/>
  </si>
  <si>
    <t>3．債権登録・承認申請</t>
    <rPh sb="2" eb="4">
      <t>サイケン</t>
    </rPh>
    <rPh sb="4" eb="6">
      <t>トウロク</t>
    </rPh>
    <rPh sb="7" eb="9">
      <t>ショウニン</t>
    </rPh>
    <rPh sb="9" eb="11">
      <t>シンセイ</t>
    </rPh>
    <phoneticPr fontId="4"/>
  </si>
  <si>
    <t>請求書発行依頼書の内容を基に</t>
    <rPh sb="0" eb="3">
      <t>セイキュウショ</t>
    </rPh>
    <rPh sb="3" eb="5">
      <t>ハッコウ</t>
    </rPh>
    <rPh sb="5" eb="8">
      <t>イライショ</t>
    </rPh>
    <rPh sb="9" eb="11">
      <t>ナイヨウ</t>
    </rPh>
    <rPh sb="12" eb="13">
      <t>モト</t>
    </rPh>
    <phoneticPr fontId="4"/>
  </si>
  <si>
    <t>債権（未収入金）の登録を行う。</t>
    <rPh sb="0" eb="2">
      <t>サイケン</t>
    </rPh>
    <rPh sb="3" eb="7">
      <t>ミシュウニュウキン</t>
    </rPh>
    <rPh sb="9" eb="11">
      <t>トウロク</t>
    </rPh>
    <rPh sb="12" eb="13">
      <t>オコナ</t>
    </rPh>
    <phoneticPr fontId="4"/>
  </si>
  <si>
    <t>※グループ間の業務委受託契約に基づく請求も含む</t>
    <rPh sb="21" eb="22">
      <t>フク</t>
    </rPh>
    <phoneticPr fontId="4"/>
  </si>
  <si>
    <t>4．登録内容確認・承認</t>
    <rPh sb="2" eb="4">
      <t>トウロク</t>
    </rPh>
    <rPh sb="4" eb="6">
      <t>ナイヨウ</t>
    </rPh>
    <rPh sb="6" eb="8">
      <t>カクニン</t>
    </rPh>
    <rPh sb="9" eb="11">
      <t>ショウニン</t>
    </rPh>
    <phoneticPr fontId="4"/>
  </si>
  <si>
    <t>登録された内容を確認・承認を実施する。</t>
    <rPh sb="0" eb="2">
      <t>トウロク</t>
    </rPh>
    <rPh sb="5" eb="7">
      <t>ナイヨウ</t>
    </rPh>
    <rPh sb="8" eb="10">
      <t>カクニン</t>
    </rPh>
    <rPh sb="11" eb="13">
      <t>ショウニン</t>
    </rPh>
    <rPh sb="14" eb="16">
      <t>ジッシ</t>
    </rPh>
    <phoneticPr fontId="4"/>
  </si>
  <si>
    <t>5．請求書データ転記</t>
    <rPh sb="2" eb="5">
      <t>セイキュウショ</t>
    </rPh>
    <rPh sb="8" eb="10">
      <t>テンキ</t>
    </rPh>
    <phoneticPr fontId="4"/>
  </si>
  <si>
    <t>承認された請求書データを転記する。</t>
    <rPh sb="0" eb="2">
      <t>ショウニン</t>
    </rPh>
    <rPh sb="5" eb="8">
      <t>セイキュウショ</t>
    </rPh>
    <rPh sb="12" eb="14">
      <t>テンキ</t>
    </rPh>
    <phoneticPr fontId="4"/>
  </si>
  <si>
    <t>6．請求書の発行</t>
    <rPh sb="2" eb="5">
      <t>セイキュウショ</t>
    </rPh>
    <rPh sb="6" eb="8">
      <t>ハッコウ</t>
    </rPh>
    <phoneticPr fontId="4"/>
  </si>
  <si>
    <t>BtoBアップロード用のcsvファイルをBtoBにアップロードし、</t>
    <rPh sb="10" eb="11">
      <t>ヨウ</t>
    </rPh>
    <phoneticPr fontId="4"/>
  </si>
  <si>
    <t>請求書を発行する</t>
    <rPh sb="4" eb="6">
      <t>ハッコウ</t>
    </rPh>
    <phoneticPr fontId="4"/>
  </si>
  <si>
    <t>※アップロードファイルは請求書発行依頼書より作成想定</t>
    <rPh sb="22" eb="24">
      <t>サクセイ</t>
    </rPh>
    <rPh sb="24" eb="26">
      <t>ソウテイ</t>
    </rPh>
    <phoneticPr fontId="4"/>
  </si>
  <si>
    <t>7．請求書の保存</t>
    <rPh sb="2" eb="5">
      <t>セイキュウショ</t>
    </rPh>
    <rPh sb="6" eb="8">
      <t>ホゾン</t>
    </rPh>
    <phoneticPr fontId="4"/>
  </si>
  <si>
    <t>8．請求書の送付</t>
    <rPh sb="2" eb="5">
      <t>セイキュウショ</t>
    </rPh>
    <rPh sb="6" eb="8">
      <t>ソウフ</t>
    </rPh>
    <phoneticPr fontId="4"/>
  </si>
  <si>
    <t>9．請求書の受領</t>
    <rPh sb="2" eb="5">
      <t>セイキュウショ</t>
    </rPh>
    <rPh sb="6" eb="8">
      <t>ジュリョウ</t>
    </rPh>
    <phoneticPr fontId="4"/>
  </si>
  <si>
    <t>2. 預り金処理　台帳作成</t>
    <rPh sb="3" eb="4">
      <t>アズカ</t>
    </rPh>
    <rPh sb="5" eb="6">
      <t>キン</t>
    </rPh>
    <rPh sb="6" eb="8">
      <t>ショリ</t>
    </rPh>
    <rPh sb="9" eb="11">
      <t>ダイチョウ</t>
    </rPh>
    <rPh sb="11" eb="13">
      <t>サクセイ</t>
    </rPh>
    <phoneticPr fontId="4"/>
  </si>
  <si>
    <t>１．預り金情報抽出</t>
    <rPh sb="2" eb="3">
      <t>アズカ</t>
    </rPh>
    <rPh sb="4" eb="7">
      <t>キンジョウホウ</t>
    </rPh>
    <rPh sb="7" eb="9">
      <t>チュウシュツ</t>
    </rPh>
    <phoneticPr fontId="4"/>
  </si>
  <si>
    <t>預り金の情報を出力する</t>
    <rPh sb="0" eb="1">
      <t>アズカ</t>
    </rPh>
    <rPh sb="2" eb="3">
      <t>キン</t>
    </rPh>
    <rPh sb="4" eb="6">
      <t>ジョウホウ</t>
    </rPh>
    <rPh sb="7" eb="9">
      <t>シュツリョク</t>
    </rPh>
    <phoneticPr fontId="4"/>
  </si>
  <si>
    <t>※預り金仕訳登録時に、財務分析コード「顧客」に対象顧客をセットする前提</t>
  </si>
  <si>
    <t>2．預り金台帳作成</t>
    <rPh sb="2" eb="3">
      <t>アズカ</t>
    </rPh>
    <rPh sb="5" eb="7">
      <t>ダイチョウ</t>
    </rPh>
    <rPh sb="7" eb="9">
      <t>サクセイ</t>
    </rPh>
    <phoneticPr fontId="4"/>
  </si>
  <si>
    <t>１．で抽出した情報を基に預り金台帳を作成する。</t>
    <rPh sb="3" eb="5">
      <t>チュウシュツ</t>
    </rPh>
    <rPh sb="7" eb="9">
      <t>ジョウホウ</t>
    </rPh>
    <rPh sb="10" eb="11">
      <t>モト</t>
    </rPh>
    <rPh sb="12" eb="13">
      <t>アズカ</t>
    </rPh>
    <rPh sb="14" eb="15">
      <t>キン</t>
    </rPh>
    <rPh sb="15" eb="17">
      <t>ダイチョウ</t>
    </rPh>
    <rPh sb="18" eb="20">
      <t>サクセイ</t>
    </rPh>
    <phoneticPr fontId="4"/>
  </si>
  <si>
    <t>顧客毎に処理方法（返金、翌月支払いへの振替）を記載する。</t>
    <rPh sb="23" eb="25">
      <t>キサイ</t>
    </rPh>
    <phoneticPr fontId="4"/>
  </si>
  <si>
    <t>3. 預り金処理　返金処理</t>
    <rPh sb="3" eb="4">
      <t>アズカ</t>
    </rPh>
    <rPh sb="5" eb="6">
      <t>キン</t>
    </rPh>
    <rPh sb="6" eb="8">
      <t>ショリ</t>
    </rPh>
    <rPh sb="9" eb="11">
      <t>ヘンキン</t>
    </rPh>
    <rPh sb="11" eb="13">
      <t>ショリ</t>
    </rPh>
    <phoneticPr fontId="4"/>
  </si>
  <si>
    <t>2024/11/1ｶｽﾀﾏｰ確認</t>
    <rPh sb="14" eb="16">
      <t>カクニン</t>
    </rPh>
    <phoneticPr fontId="4"/>
  </si>
  <si>
    <t>１．預り金返金</t>
    <rPh sb="2" eb="3">
      <t>アズカ</t>
    </rPh>
    <rPh sb="5" eb="7">
      <t>ヘンキン</t>
    </rPh>
    <phoneticPr fontId="4"/>
  </si>
  <si>
    <t>預り金の返金登録を行う。</t>
    <rPh sb="0" eb="1">
      <t>アズカ</t>
    </rPh>
    <rPh sb="2" eb="3">
      <t>キン</t>
    </rPh>
    <rPh sb="4" eb="6">
      <t>ヘンキン</t>
    </rPh>
    <rPh sb="6" eb="8">
      <t>トウロク</t>
    </rPh>
    <rPh sb="9" eb="10">
      <t>オコナ</t>
    </rPh>
    <phoneticPr fontId="4"/>
  </si>
  <si>
    <t>返金処理について</t>
    <rPh sb="0" eb="2">
      <t>ヘンキン</t>
    </rPh>
    <rPh sb="2" eb="4">
      <t>ショリ</t>
    </rPh>
    <phoneticPr fontId="4"/>
  </si>
  <si>
    <t>仕訳例：　仮払金 / 現預金</t>
    <rPh sb="0" eb="2">
      <t>シワケ</t>
    </rPh>
    <rPh sb="2" eb="3">
      <t>レイ</t>
    </rPh>
    <rPh sb="5" eb="7">
      <t>カリバラ</t>
    </rPh>
    <rPh sb="7" eb="8">
      <t>キン</t>
    </rPh>
    <rPh sb="11" eb="14">
      <t>ゲンヨキン</t>
    </rPh>
    <phoneticPr fontId="4"/>
  </si>
  <si>
    <t>売掛金　／預り売掛金　・・・現在　業務くん（→mcframe）</t>
    <rPh sb="0" eb="3">
      <t>ウリカケキン</t>
    </rPh>
    <rPh sb="5" eb="6">
      <t>アズカ</t>
    </rPh>
    <rPh sb="7" eb="10">
      <t>ウリカケキン</t>
    </rPh>
    <rPh sb="14" eb="16">
      <t>ゲンザイ</t>
    </rPh>
    <rPh sb="17" eb="19">
      <t>ギョウム</t>
    </rPh>
    <phoneticPr fontId="4"/>
  </si>
  <si>
    <t>※AP</t>
    <phoneticPr fontId="4"/>
  </si>
  <si>
    <t>店コード</t>
    <rPh sb="0" eb="1">
      <t>ミセ</t>
    </rPh>
    <phoneticPr fontId="4"/>
  </si>
  <si>
    <t>預り売掛金　/当座三井住友　　・・・現在　楽楽精算　</t>
    <rPh sb="18" eb="20">
      <t>ゲンザイ</t>
    </rPh>
    <rPh sb="21" eb="25">
      <t>ラクラクセイサン</t>
    </rPh>
    <phoneticPr fontId="4"/>
  </si>
  <si>
    <t>2．預り金消込</t>
    <rPh sb="2" eb="3">
      <t>アズカ</t>
    </rPh>
    <rPh sb="5" eb="7">
      <t>ケシコミ</t>
    </rPh>
    <phoneticPr fontId="4"/>
  </si>
  <si>
    <t>（→ＪＵＳＴＤＢ）</t>
    <phoneticPr fontId="4"/>
  </si>
  <si>
    <t>預り金の消込仕訳登録を行う。</t>
    <rPh sb="0" eb="1">
      <t>アズカ</t>
    </rPh>
    <rPh sb="2" eb="3">
      <t>キン</t>
    </rPh>
    <rPh sb="4" eb="6">
      <t>ケシコミ</t>
    </rPh>
    <rPh sb="6" eb="8">
      <t>シワケ</t>
    </rPh>
    <rPh sb="8" eb="10">
      <t>トウロク</t>
    </rPh>
    <rPh sb="11" eb="12">
      <t>オコナ</t>
    </rPh>
    <phoneticPr fontId="4"/>
  </si>
  <si>
    <t>仕訳例：　預り金 / 仮払金</t>
    <rPh sb="0" eb="2">
      <t>シワケ</t>
    </rPh>
    <rPh sb="2" eb="3">
      <t>レイ</t>
    </rPh>
    <rPh sb="5" eb="6">
      <t>アズカ</t>
    </rPh>
    <rPh sb="7" eb="8">
      <t>キン</t>
    </rPh>
    <rPh sb="11" eb="13">
      <t>カリバラ</t>
    </rPh>
    <rPh sb="13" eb="14">
      <t>キン</t>
    </rPh>
    <phoneticPr fontId="4"/>
  </si>
  <si>
    <t>3．預り金台帳作成</t>
    <rPh sb="2" eb="3">
      <t>アズカ</t>
    </rPh>
    <rPh sb="5" eb="7">
      <t>ダイチョウ</t>
    </rPh>
    <rPh sb="7" eb="9">
      <t>サクセイ</t>
    </rPh>
    <phoneticPr fontId="4"/>
  </si>
  <si>
    <t>預り金台帳に更新する。</t>
    <rPh sb="0" eb="1">
      <t>アズカ</t>
    </rPh>
    <rPh sb="2" eb="3">
      <t>キン</t>
    </rPh>
    <rPh sb="3" eb="5">
      <t>ダイチョウ</t>
    </rPh>
    <rPh sb="6" eb="8">
      <t>コウシン</t>
    </rPh>
    <phoneticPr fontId="4"/>
  </si>
  <si>
    <t>4. 預り金処理　売掛金振替</t>
    <rPh sb="3" eb="4">
      <t>アズカ</t>
    </rPh>
    <rPh sb="5" eb="6">
      <t>キン</t>
    </rPh>
    <rPh sb="6" eb="8">
      <t>ショリ</t>
    </rPh>
    <rPh sb="9" eb="12">
      <t>ウリカケキン</t>
    </rPh>
    <rPh sb="12" eb="14">
      <t>フリカエ</t>
    </rPh>
    <phoneticPr fontId="4"/>
  </si>
  <si>
    <t>１．預り金振替</t>
    <rPh sb="2" eb="3">
      <t>アズカ</t>
    </rPh>
    <rPh sb="5" eb="7">
      <t>フリカエ</t>
    </rPh>
    <phoneticPr fontId="4"/>
  </si>
  <si>
    <t>預り金を翌月以降の支払に充てる場合、預り金を売掛金に振り替える。</t>
    <rPh sb="26" eb="27">
      <t>フ</t>
    </rPh>
    <rPh sb="28" eb="29">
      <t>カ</t>
    </rPh>
    <phoneticPr fontId="4"/>
  </si>
  <si>
    <t>ダイレクト</t>
    <phoneticPr fontId="4"/>
  </si>
  <si>
    <t>今はなし</t>
    <rPh sb="0" eb="1">
      <t>イマ</t>
    </rPh>
    <phoneticPr fontId="4"/>
  </si>
  <si>
    <t>5.委託費</t>
    <phoneticPr fontId="4"/>
  </si>
  <si>
    <t>1. 業務委託情報抽出</t>
    <rPh sb="3" eb="5">
      <t>ギョウム</t>
    </rPh>
    <rPh sb="5" eb="7">
      <t>イタク</t>
    </rPh>
    <rPh sb="7" eb="9">
      <t>ジョウホウ</t>
    </rPh>
    <rPh sb="9" eb="11">
      <t>チュウシュツ</t>
    </rPh>
    <phoneticPr fontId="4"/>
  </si>
  <si>
    <t>SSJの費用のうち、SEJの業務委託費に該当する費用を</t>
    <phoneticPr fontId="4"/>
  </si>
  <si>
    <t>抽出する。</t>
    <rPh sb="0" eb="2">
      <t>チュウシュツ</t>
    </rPh>
    <phoneticPr fontId="4"/>
  </si>
  <si>
    <t>2. 台帳更新</t>
    <rPh sb="3" eb="5">
      <t>ダイチョウ</t>
    </rPh>
    <rPh sb="5" eb="7">
      <t>コウシン</t>
    </rPh>
    <phoneticPr fontId="4"/>
  </si>
  <si>
    <t>1.で抽出した情報を基に台帳を更新する。</t>
    <rPh sb="3" eb="5">
      <t>チュウシュツ</t>
    </rPh>
    <rPh sb="7" eb="9">
      <t>ジョウホウ</t>
    </rPh>
    <rPh sb="10" eb="11">
      <t>モト</t>
    </rPh>
    <rPh sb="12" eb="14">
      <t>ダイチョウ</t>
    </rPh>
    <rPh sb="15" eb="17">
      <t>コウシン</t>
    </rPh>
    <phoneticPr fontId="4"/>
  </si>
  <si>
    <t>グループ間の立替金請求と同様</t>
    <rPh sb="4" eb="5">
      <t>カン</t>
    </rPh>
    <rPh sb="6" eb="9">
      <t>タテカエキン</t>
    </rPh>
    <rPh sb="9" eb="11">
      <t>セイキュウ</t>
    </rPh>
    <rPh sb="12" eb="14">
      <t>ドウヨウ</t>
    </rPh>
    <phoneticPr fontId="4"/>
  </si>
  <si>
    <t>３. 振替処理</t>
    <rPh sb="3" eb="5">
      <t>フリカエ</t>
    </rPh>
    <rPh sb="5" eb="7">
      <t>ショリ</t>
    </rPh>
    <phoneticPr fontId="4"/>
  </si>
  <si>
    <t>SEJの業務委託費用をSSJからSEJの人件費に振替を行う。</t>
    <rPh sb="27" eb="28">
      <t>オコナ</t>
    </rPh>
    <phoneticPr fontId="4"/>
  </si>
  <si>
    <t>※会社間を跨いでの費用振替</t>
    <phoneticPr fontId="4"/>
  </si>
  <si>
    <t>6.グループ間の立替金請求 　</t>
  </si>
  <si>
    <t>※グループ分担金の請求も同様のフローとなる</t>
    <rPh sb="12" eb="14">
      <t>ドウヨウ</t>
    </rPh>
    <phoneticPr fontId="4"/>
  </si>
  <si>
    <t>①SSJが立て替えた金額をSEJ, SLJ,他国内グループ会社に請求</t>
    <phoneticPr fontId="4"/>
  </si>
  <si>
    <t>②SLJが立て替えた金額をSSJ, SEJ,他国内グループ会社に請求</t>
    <phoneticPr fontId="4"/>
  </si>
  <si>
    <t>1．立替金登録依頼情報作成</t>
    <rPh sb="2" eb="5">
      <t>タテカエキン</t>
    </rPh>
    <rPh sb="5" eb="7">
      <t>トウロク</t>
    </rPh>
    <rPh sb="7" eb="9">
      <t>イライ</t>
    </rPh>
    <rPh sb="9" eb="11">
      <t>ジョウホウ</t>
    </rPh>
    <rPh sb="11" eb="13">
      <t>サクセイ</t>
    </rPh>
    <phoneticPr fontId="4"/>
  </si>
  <si>
    <t>2．立替金登録依頼</t>
    <rPh sb="2" eb="5">
      <t>タテカエキン</t>
    </rPh>
    <rPh sb="5" eb="7">
      <t>トウロク</t>
    </rPh>
    <rPh sb="7" eb="9">
      <t>イライ</t>
    </rPh>
    <phoneticPr fontId="4"/>
  </si>
  <si>
    <t>3．立替金登録・申請</t>
    <rPh sb="2" eb="7">
      <t>タテカエキントウロク</t>
    </rPh>
    <rPh sb="8" eb="10">
      <t>シンセイ</t>
    </rPh>
    <phoneticPr fontId="4"/>
  </si>
  <si>
    <t>立替金の登録依頼内容を基に</t>
    <rPh sb="0" eb="3">
      <t>タテカエキン</t>
    </rPh>
    <rPh sb="4" eb="6">
      <t>トウロク</t>
    </rPh>
    <rPh sb="6" eb="8">
      <t>イライ</t>
    </rPh>
    <rPh sb="8" eb="10">
      <t>ナイヨウ</t>
    </rPh>
    <rPh sb="11" eb="12">
      <t>モト</t>
    </rPh>
    <phoneticPr fontId="4"/>
  </si>
  <si>
    <t>立替金の登録を行う。</t>
    <rPh sb="0" eb="3">
      <t>タテカエキン</t>
    </rPh>
    <rPh sb="4" eb="6">
      <t>トウロク</t>
    </rPh>
    <rPh sb="7" eb="8">
      <t>オコナ</t>
    </rPh>
    <phoneticPr fontId="4"/>
  </si>
  <si>
    <t>※会社間会計機能を使用</t>
    <rPh sb="1" eb="4">
      <t>カイシャカン</t>
    </rPh>
    <rPh sb="4" eb="6">
      <t>カイケイ</t>
    </rPh>
    <rPh sb="6" eb="8">
      <t>キノウ</t>
    </rPh>
    <rPh sb="9" eb="11">
      <t>シヨウ</t>
    </rPh>
    <phoneticPr fontId="4"/>
  </si>
  <si>
    <t>※Req003の仕訳インポート機能を使用想定。</t>
    <rPh sb="20" eb="22">
      <t>ソウテイ</t>
    </rPh>
    <phoneticPr fontId="4"/>
  </si>
  <si>
    <t>5．立替金データ転記</t>
    <rPh sb="2" eb="5">
      <t>タテカエキン</t>
    </rPh>
    <rPh sb="8" eb="10">
      <t>テンキ</t>
    </rPh>
    <phoneticPr fontId="4"/>
  </si>
  <si>
    <t>承認された立替金データを転記する。</t>
    <rPh sb="0" eb="2">
      <t>ショウニン</t>
    </rPh>
    <rPh sb="5" eb="8">
      <t>タテカエキン</t>
    </rPh>
    <rPh sb="12" eb="14">
      <t>テンキ</t>
    </rPh>
    <phoneticPr fontId="4"/>
  </si>
  <si>
    <t>～月末作業～</t>
    <rPh sb="1" eb="3">
      <t>ゲツマツ</t>
    </rPh>
    <rPh sb="3" eb="5">
      <t>サギョウ</t>
    </rPh>
    <phoneticPr fontId="4"/>
  </si>
  <si>
    <t>6．立替金情報抽出</t>
    <rPh sb="2" eb="5">
      <t>タテカエキン</t>
    </rPh>
    <rPh sb="5" eb="7">
      <t>ジョウホウ</t>
    </rPh>
    <rPh sb="7" eb="9">
      <t>チュウシュツ</t>
    </rPh>
    <phoneticPr fontId="4"/>
  </si>
  <si>
    <t>月末に立替金情報を抽出し、</t>
    <rPh sb="0" eb="2">
      <t>ゲツマツ</t>
    </rPh>
    <rPh sb="3" eb="5">
      <t>タテカエ</t>
    </rPh>
    <rPh sb="5" eb="6">
      <t>キン</t>
    </rPh>
    <rPh sb="6" eb="8">
      <t>ジョウホウ</t>
    </rPh>
    <rPh sb="9" eb="11">
      <t>チュウシュツ</t>
    </rPh>
    <phoneticPr fontId="4"/>
  </si>
  <si>
    <t>請求金額を決定する。</t>
    <rPh sb="0" eb="4">
      <t>セイキュウキンガク</t>
    </rPh>
    <rPh sb="5" eb="7">
      <t>ケッテイ</t>
    </rPh>
    <phoneticPr fontId="4"/>
  </si>
  <si>
    <t>7．立替金請求書作成・請求</t>
    <rPh sb="2" eb="5">
      <t>タテカエキン</t>
    </rPh>
    <rPh sb="5" eb="8">
      <t>セイキュウショ</t>
    </rPh>
    <rPh sb="8" eb="10">
      <t>サクセイ</t>
    </rPh>
    <rPh sb="11" eb="13">
      <t>セイキュウ</t>
    </rPh>
    <phoneticPr fontId="4"/>
  </si>
  <si>
    <t>6で決定した請求金額で</t>
    <rPh sb="2" eb="4">
      <t>ケッテイ</t>
    </rPh>
    <rPh sb="6" eb="10">
      <t>セイキュウキンガク</t>
    </rPh>
    <phoneticPr fontId="4"/>
  </si>
  <si>
    <t>立替金請求書を作成し請求する。</t>
    <rPh sb="0" eb="3">
      <t>タテカエキン</t>
    </rPh>
    <rPh sb="3" eb="6">
      <t>セイキュウショ</t>
    </rPh>
    <rPh sb="7" eb="9">
      <t>サクセイ</t>
    </rPh>
    <rPh sb="10" eb="12">
      <t>セイキュウ</t>
    </rPh>
    <phoneticPr fontId="4"/>
  </si>
  <si>
    <t>ITDX</t>
    <phoneticPr fontId="4"/>
  </si>
  <si>
    <t>事務管理深川</t>
    <rPh sb="0" eb="4">
      <t>ジムカンリ</t>
    </rPh>
    <rPh sb="4" eb="6">
      <t>フカガワ</t>
    </rPh>
    <phoneticPr fontId="4"/>
  </si>
  <si>
    <t>未収入金の伝票計上は楽楽精算ではなく一般仕訳帳で計上予定</t>
    <rPh sb="0" eb="4">
      <t>ミシュウニュウキン</t>
    </rPh>
    <rPh sb="5" eb="7">
      <t>デンピョウ</t>
    </rPh>
    <rPh sb="7" eb="9">
      <t>ケイジョウ</t>
    </rPh>
    <rPh sb="10" eb="14">
      <t>ラクラクセイサン</t>
    </rPh>
    <rPh sb="18" eb="23">
      <t>イッパンシワケチョウ</t>
    </rPh>
    <rPh sb="24" eb="26">
      <t>ケイジョウ</t>
    </rPh>
    <rPh sb="26" eb="28">
      <t>ヨテイ</t>
    </rPh>
    <phoneticPr fontId="4"/>
  </si>
  <si>
    <t>5．請求書の発行</t>
    <rPh sb="2" eb="5">
      <t>セイキュウショ</t>
    </rPh>
    <rPh sb="6" eb="8">
      <t>ハッコウ</t>
    </rPh>
    <phoneticPr fontId="4"/>
  </si>
  <si>
    <t>6．請求書の保存</t>
    <rPh sb="2" eb="5">
      <t>セイキュウショ</t>
    </rPh>
    <rPh sb="6" eb="8">
      <t>ホゾン</t>
    </rPh>
    <phoneticPr fontId="4"/>
  </si>
  <si>
    <t>7．請求書の送付</t>
    <rPh sb="2" eb="5">
      <t>セイキュウショ</t>
    </rPh>
    <rPh sb="6" eb="8">
      <t>ソウフ</t>
    </rPh>
    <phoneticPr fontId="4"/>
  </si>
  <si>
    <t>8．請求書の受領</t>
    <rPh sb="2" eb="5">
      <t>セイキュウショ</t>
    </rPh>
    <rPh sb="6" eb="8">
      <t>ジュリョウ</t>
    </rPh>
    <phoneticPr fontId="4"/>
  </si>
  <si>
    <t>※預り金仕訳登録時に、財務分析コード「顧客」に対象顧客をセットする前提</t>
    <phoneticPr fontId="4"/>
  </si>
  <si>
    <t>※預り金仕訳登録時に、対象顧客情報を明細の説明に入力いただく</t>
    <rPh sb="15" eb="17">
      <t>ジョウホウ</t>
    </rPh>
    <rPh sb="18" eb="20">
      <t>メイサイ</t>
    </rPh>
    <rPh sb="21" eb="23">
      <t>セツメイ</t>
    </rPh>
    <rPh sb="24" eb="26">
      <t>ニュウリョク</t>
    </rPh>
    <phoneticPr fontId="4"/>
  </si>
  <si>
    <t xml:space="preserve">  また、財務タグ：得意先コードに設定されるように入力いただく</t>
    <rPh sb="5" eb="7">
      <t>ザイム</t>
    </rPh>
    <rPh sb="10" eb="13">
      <t>トクイサキ</t>
    </rPh>
    <rPh sb="17" eb="19">
      <t>セッテイ</t>
    </rPh>
    <rPh sb="25" eb="27">
      <t>ニュウリョク</t>
    </rPh>
    <phoneticPr fontId="4"/>
  </si>
  <si>
    <t>売掛金 / 預り売掛金</t>
    <rPh sb="0" eb="3">
      <t>ウリカケキン</t>
    </rPh>
    <rPh sb="6" eb="7">
      <t>アズ</t>
    </rPh>
    <rPh sb="8" eb="11">
      <t>ウリカケキン</t>
    </rPh>
    <phoneticPr fontId="4"/>
  </si>
  <si>
    <t>2．返金処理</t>
    <rPh sb="2" eb="6">
      <t>ヘンキンショリ</t>
    </rPh>
    <phoneticPr fontId="4"/>
  </si>
  <si>
    <t>預り金の返金処理を行う。</t>
    <rPh sb="0" eb="1">
      <t>アズカ</t>
    </rPh>
    <rPh sb="2" eb="3">
      <t>キン</t>
    </rPh>
    <rPh sb="4" eb="6">
      <t>ヘンキン</t>
    </rPh>
    <rPh sb="6" eb="8">
      <t>ショリ</t>
    </rPh>
    <rPh sb="9" eb="10">
      <t>オコナ</t>
    </rPh>
    <phoneticPr fontId="4"/>
  </si>
  <si>
    <t>預り売掛金 / 預金勘定</t>
    <rPh sb="0" eb="1">
      <t>アズ</t>
    </rPh>
    <rPh sb="2" eb="5">
      <t>ウリカケキン</t>
    </rPh>
    <rPh sb="8" eb="12">
      <t>ヨキンカンジョウ</t>
    </rPh>
    <phoneticPr fontId="4"/>
  </si>
  <si>
    <t>4.委託費</t>
    <phoneticPr fontId="4"/>
  </si>
  <si>
    <t>5.グループ間の立替金請求 　</t>
    <phoneticPr fontId="4"/>
  </si>
  <si>
    <t>FO-030：一般仕訳帳アップロード</t>
    <rPh sb="7" eb="9">
      <t>イッパン</t>
    </rPh>
    <rPh sb="9" eb="12">
      <t>シワケチョウ</t>
    </rPh>
    <phoneticPr fontId="4"/>
  </si>
  <si>
    <t>6.家賃収入　収益計上（SLJ）</t>
    <rPh sb="7" eb="11">
      <t>シュウエキケイジョウ</t>
    </rPh>
    <phoneticPr fontId="4"/>
  </si>
  <si>
    <t>2025/4/23　加藤　追加</t>
    <rPh sb="10" eb="12">
      <t>カトウ</t>
    </rPh>
    <rPh sb="13" eb="15">
      <t>ツイカ</t>
    </rPh>
    <phoneticPr fontId="4"/>
  </si>
  <si>
    <t>１．収益計上の振替伝票登録</t>
    <rPh sb="2" eb="4">
      <t>シュウエキ</t>
    </rPh>
    <rPh sb="4" eb="6">
      <t>ケイジョウ</t>
    </rPh>
    <rPh sb="7" eb="9">
      <t>フリカエ</t>
    </rPh>
    <rPh sb="9" eb="11">
      <t>デンピョウ</t>
    </rPh>
    <rPh sb="11" eb="13">
      <t>トウロク</t>
    </rPh>
    <phoneticPr fontId="4"/>
  </si>
  <si>
    <t>一般仕訳帳アップロードで収益計上の振替伝票の登録を行う。</t>
    <rPh sb="0" eb="2">
      <t>イッパン</t>
    </rPh>
    <rPh sb="2" eb="5">
      <t>シワケチョウ</t>
    </rPh>
    <rPh sb="12" eb="14">
      <t>シュウエキ</t>
    </rPh>
    <rPh sb="14" eb="16">
      <t>ケイジョウ</t>
    </rPh>
    <rPh sb="17" eb="19">
      <t>フリカエ</t>
    </rPh>
    <rPh sb="19" eb="21">
      <t>デンピョウ</t>
    </rPh>
    <rPh sb="22" eb="24">
      <t>トウロク</t>
    </rPh>
    <rPh sb="25" eb="26">
      <t>オコナ</t>
    </rPh>
    <phoneticPr fontId="4"/>
  </si>
  <si>
    <t>（前受収益/不動産収益）</t>
    <phoneticPr fontId="4"/>
  </si>
  <si>
    <t>２．承認依頼</t>
    <rPh sb="2" eb="6">
      <t>ショウニンイライ</t>
    </rPh>
    <phoneticPr fontId="4"/>
  </si>
  <si>
    <t>担当者は、登録した仕訳帳の承認依頼を行う。</t>
    <rPh sb="0" eb="3">
      <t>タントウシャ</t>
    </rPh>
    <rPh sb="5" eb="7">
      <t>トウロク</t>
    </rPh>
    <rPh sb="9" eb="12">
      <t>シワケチョウ</t>
    </rPh>
    <rPh sb="13" eb="17">
      <t>ショウニンイライ</t>
    </rPh>
    <rPh sb="18" eb="19">
      <t>オコナ</t>
    </rPh>
    <phoneticPr fontId="4"/>
  </si>
  <si>
    <t>３．承認</t>
    <rPh sb="2" eb="4">
      <t>ショウニン</t>
    </rPh>
    <phoneticPr fontId="4"/>
  </si>
  <si>
    <t>責任者は、申請された伝票の内容を確認し、</t>
    <rPh sb="0" eb="3">
      <t>セキニンシャ</t>
    </rPh>
    <rPh sb="5" eb="7">
      <t>シンセイ</t>
    </rPh>
    <rPh sb="10" eb="12">
      <t>デンピョウ</t>
    </rPh>
    <rPh sb="13" eb="15">
      <t>ナイヨウ</t>
    </rPh>
    <rPh sb="16" eb="18">
      <t>カクニン</t>
    </rPh>
    <phoneticPr fontId="4"/>
  </si>
  <si>
    <t>承認を行う。</t>
    <rPh sb="0" eb="2">
      <t>ショウニン</t>
    </rPh>
    <rPh sb="3" eb="4">
      <t>オコナ</t>
    </rPh>
    <phoneticPr fontId="4"/>
  </si>
  <si>
    <t>仕訳帳承認対象一覧でも承認可能</t>
    <phoneticPr fontId="4"/>
  </si>
  <si>
    <t>4．自動転記バッチ</t>
    <rPh sb="2" eb="4">
      <t>ジドウ</t>
    </rPh>
    <rPh sb="4" eb="6">
      <t>テンキ</t>
    </rPh>
    <phoneticPr fontId="4"/>
  </si>
  <si>
    <t>各部署</t>
    <rPh sb="0" eb="3">
      <t>カクブショ</t>
    </rPh>
    <phoneticPr fontId="4"/>
  </si>
  <si>
    <t>カスタマーG</t>
    <phoneticPr fontId="4"/>
  </si>
  <si>
    <t>1．入金（未収入金）</t>
  </si>
  <si>
    <t>※取引先毎の未収入金残高確認は</t>
    <rPh sb="1" eb="4">
      <t>トリヒキサキ</t>
    </rPh>
    <rPh sb="4" eb="5">
      <t>ゴト</t>
    </rPh>
    <rPh sb="6" eb="10">
      <t>ミシュウニュウキン</t>
    </rPh>
    <rPh sb="10" eb="12">
      <t>ザンダカ</t>
    </rPh>
    <rPh sb="12" eb="14">
      <t>カクニン</t>
    </rPh>
    <phoneticPr fontId="4"/>
  </si>
  <si>
    <t>　「顧客残高リストレポート」「顧客トランザクション」を使用する</t>
    <rPh sb="2" eb="4">
      <t>コキャク</t>
    </rPh>
    <rPh sb="4" eb="6">
      <t>ザンダカ</t>
    </rPh>
    <rPh sb="15" eb="17">
      <t>コキャク</t>
    </rPh>
    <rPh sb="27" eb="29">
      <t>シヨウ</t>
    </rPh>
    <phoneticPr fontId="4"/>
  </si>
  <si>
    <t>2．入金（前受　売掛金）</t>
    <rPh sb="2" eb="4">
      <t>ニュウキン</t>
    </rPh>
    <rPh sb="5" eb="7">
      <t>マエウケ</t>
    </rPh>
    <rPh sb="8" eb="11">
      <t>ウリカケキン</t>
    </rPh>
    <phoneticPr fontId="4"/>
  </si>
  <si>
    <t>3．入金（その他）</t>
    <rPh sb="2" eb="4">
      <t>ニュウキン</t>
    </rPh>
    <rPh sb="7" eb="8">
      <t>タ</t>
    </rPh>
    <phoneticPr fontId="4"/>
  </si>
  <si>
    <t>Req363～Req365</t>
    <phoneticPr fontId="4"/>
  </si>
  <si>
    <t>2．入金入力</t>
    <rPh sb="2" eb="4">
      <t>ニュウキン</t>
    </rPh>
    <rPh sb="4" eb="6">
      <t>ニュウリョク</t>
    </rPh>
    <phoneticPr fontId="4"/>
  </si>
  <si>
    <t>入金登録を行う。</t>
    <rPh sb="0" eb="2">
      <t>ニュウキン</t>
    </rPh>
    <rPh sb="2" eb="4">
      <t>トウロク</t>
    </rPh>
    <rPh sb="5" eb="6">
      <t>オコナ</t>
    </rPh>
    <phoneticPr fontId="4"/>
  </si>
  <si>
    <t>※説明欄に顧客情報等を入力する。</t>
    <rPh sb="1" eb="3">
      <t>セツメイ</t>
    </rPh>
    <rPh sb="3" eb="4">
      <t>ラン</t>
    </rPh>
    <rPh sb="5" eb="7">
      <t>コキャク</t>
    </rPh>
    <rPh sb="7" eb="9">
      <t>ジョウホウ</t>
    </rPh>
    <rPh sb="9" eb="10">
      <t>ナド</t>
    </rPh>
    <rPh sb="11" eb="13">
      <t>ニュウリョク</t>
    </rPh>
    <phoneticPr fontId="4"/>
  </si>
  <si>
    <t>※入金予定は受手くんにて確認（でんさい、ファクタリング、期日、手形）</t>
    <rPh sb="1" eb="3">
      <t>ニュウキン</t>
    </rPh>
    <rPh sb="3" eb="5">
      <t>ヨテイ</t>
    </rPh>
    <rPh sb="6" eb="7">
      <t>ウ</t>
    </rPh>
    <rPh sb="7" eb="8">
      <t>テ</t>
    </rPh>
    <rPh sb="12" eb="14">
      <t>カクニン</t>
    </rPh>
    <rPh sb="28" eb="30">
      <t>キジツ</t>
    </rPh>
    <rPh sb="31" eb="33">
      <t>テガタ</t>
    </rPh>
    <phoneticPr fontId="4"/>
  </si>
  <si>
    <t>仕訳例：</t>
    <rPh sb="0" eb="2">
      <t>シワケ</t>
    </rPh>
    <rPh sb="2" eb="3">
      <t>レイ</t>
    </rPh>
    <phoneticPr fontId="4"/>
  </si>
  <si>
    <t>当座預金／売掛金（一括ファクタリング）</t>
    <phoneticPr fontId="4"/>
  </si>
  <si>
    <t>当座預金／電子記録債権</t>
  </si>
  <si>
    <t>当座預金／売掛金（期日）</t>
  </si>
  <si>
    <t>3．伝票承認申請</t>
    <rPh sb="2" eb="4">
      <t>デンピョウ</t>
    </rPh>
    <rPh sb="4" eb="6">
      <t>ショウニン</t>
    </rPh>
    <rPh sb="6" eb="8">
      <t>シンセイ</t>
    </rPh>
    <phoneticPr fontId="4"/>
  </si>
  <si>
    <t>4．伝票承認</t>
    <rPh sb="2" eb="4">
      <t>デンピョウ</t>
    </rPh>
    <rPh sb="4" eb="6">
      <t>ショウニン</t>
    </rPh>
    <phoneticPr fontId="4"/>
  </si>
  <si>
    <t>5．自動転記バッチ</t>
    <phoneticPr fontId="4"/>
  </si>
  <si>
    <t>4．家賃収入　入金計上（SLJ）</t>
    <rPh sb="7" eb="9">
      <t>ニュウキン</t>
    </rPh>
    <rPh sb="9" eb="11">
      <t>ケイジョウ</t>
    </rPh>
    <phoneticPr fontId="4"/>
  </si>
  <si>
    <t>入金がされているかどうかを確認する</t>
    <rPh sb="0" eb="2">
      <t>ニュウキン</t>
    </rPh>
    <rPh sb="1" eb="2">
      <t>ウケイレ</t>
    </rPh>
    <rPh sb="13" eb="15">
      <t>カクニン</t>
    </rPh>
    <phoneticPr fontId="4"/>
  </si>
  <si>
    <t>（当座/前受収益）</t>
    <phoneticPr fontId="4"/>
  </si>
  <si>
    <t>決算G</t>
    <rPh sb="0" eb="2">
      <t>ケッサン</t>
    </rPh>
    <phoneticPr fontId="4"/>
  </si>
  <si>
    <t>営業部</t>
    <rPh sb="0" eb="2">
      <t>エイギョウ</t>
    </rPh>
    <rPh sb="2" eb="3">
      <t>ブ</t>
    </rPh>
    <phoneticPr fontId="4"/>
  </si>
  <si>
    <t>１．売掛金管理</t>
    <phoneticPr fontId="4"/>
  </si>
  <si>
    <t>１．通販入金予定抽出</t>
    <rPh sb="2" eb="4">
      <t>ツウハン</t>
    </rPh>
    <rPh sb="4" eb="6">
      <t>ニュウキン</t>
    </rPh>
    <rPh sb="6" eb="8">
      <t>ヨテイ</t>
    </rPh>
    <rPh sb="8" eb="10">
      <t>チュウシュツ</t>
    </rPh>
    <phoneticPr fontId="4"/>
  </si>
  <si>
    <t>台帳に記入するため、通販の入金予定を抽出する</t>
    <rPh sb="0" eb="2">
      <t>ダイチョウ</t>
    </rPh>
    <rPh sb="3" eb="5">
      <t>キニュウ</t>
    </rPh>
    <rPh sb="10" eb="12">
      <t>ツウハン</t>
    </rPh>
    <rPh sb="13" eb="15">
      <t>ニュウキン</t>
    </rPh>
    <rPh sb="15" eb="17">
      <t>ヨテイ</t>
    </rPh>
    <rPh sb="18" eb="20">
      <t>チュウシュツ</t>
    </rPh>
    <phoneticPr fontId="4"/>
  </si>
  <si>
    <t>２．通販入金予定記入</t>
    <rPh sb="2" eb="4">
      <t>ツウハン</t>
    </rPh>
    <rPh sb="4" eb="6">
      <t>ニュウキン</t>
    </rPh>
    <rPh sb="6" eb="8">
      <t>ヨテイ</t>
    </rPh>
    <rPh sb="8" eb="10">
      <t>キニュウ</t>
    </rPh>
    <phoneticPr fontId="4"/>
  </si>
  <si>
    <t>1.で抽出した入金予定情報を台帳に記入する</t>
    <rPh sb="3" eb="5">
      <t>チュウシュツ</t>
    </rPh>
    <rPh sb="7" eb="9">
      <t>ニュウキン</t>
    </rPh>
    <rPh sb="9" eb="11">
      <t>ヨテイ</t>
    </rPh>
    <rPh sb="11" eb="12">
      <t>ジョウ</t>
    </rPh>
    <rPh sb="13" eb="15">
      <t>ダイチョウ</t>
    </rPh>
    <rPh sb="16" eb="18">
      <t>キニュウ</t>
    </rPh>
    <phoneticPr fontId="4"/>
  </si>
  <si>
    <t>３．通販入金実績抽出</t>
    <rPh sb="2" eb="4">
      <t>ツウハン</t>
    </rPh>
    <rPh sb="4" eb="6">
      <t>ニュウキン</t>
    </rPh>
    <rPh sb="6" eb="8">
      <t>ジッセキ</t>
    </rPh>
    <rPh sb="8" eb="10">
      <t>チュウシュツ</t>
    </rPh>
    <phoneticPr fontId="4"/>
  </si>
  <si>
    <t>通販の入金実績情報を伝票トランザクションより抽出する</t>
    <rPh sb="0" eb="2">
      <t>ツウハン</t>
    </rPh>
    <rPh sb="3" eb="5">
      <t>ニュウキン</t>
    </rPh>
    <rPh sb="5" eb="7">
      <t>ジッセキ</t>
    </rPh>
    <rPh sb="7" eb="9">
      <t>ジョウホウ</t>
    </rPh>
    <rPh sb="10" eb="12">
      <t>デンピョウ</t>
    </rPh>
    <rPh sb="22" eb="24">
      <t>チュウシュツ</t>
    </rPh>
    <phoneticPr fontId="4"/>
  </si>
  <si>
    <t>4．入金実績記入・差異確認</t>
    <rPh sb="2" eb="4">
      <t>ニュウキン</t>
    </rPh>
    <rPh sb="4" eb="6">
      <t>ジッセキ</t>
    </rPh>
    <rPh sb="6" eb="8">
      <t>キニュウ</t>
    </rPh>
    <rPh sb="9" eb="11">
      <t>サイ</t>
    </rPh>
    <rPh sb="11" eb="13">
      <t>カクニン</t>
    </rPh>
    <phoneticPr fontId="4"/>
  </si>
  <si>
    <t>3.で抽出した入金実績情報を台帳に記入する</t>
    <rPh sb="3" eb="5">
      <t>チュウシュツ</t>
    </rPh>
    <rPh sb="7" eb="9">
      <t>ニュウキン</t>
    </rPh>
    <rPh sb="9" eb="11">
      <t>ジッセキ</t>
    </rPh>
    <rPh sb="11" eb="13">
      <t>ジョウホウ</t>
    </rPh>
    <rPh sb="14" eb="16">
      <t>ダイチョウ</t>
    </rPh>
    <rPh sb="17" eb="19">
      <t>キニュウ</t>
    </rPh>
    <phoneticPr fontId="4"/>
  </si>
  <si>
    <t>記入後、入金の予実を確認する。</t>
    <rPh sb="0" eb="3">
      <t>キニュウゴ</t>
    </rPh>
    <rPh sb="4" eb="6">
      <t>ニュウキン</t>
    </rPh>
    <rPh sb="7" eb="9">
      <t>ヨジツ</t>
    </rPh>
    <rPh sb="10" eb="12">
      <t>カクニン</t>
    </rPh>
    <phoneticPr fontId="4"/>
  </si>
  <si>
    <t>５．必要帳票出力</t>
    <rPh sb="2" eb="4">
      <t>ヒツヨウ</t>
    </rPh>
    <rPh sb="4" eb="6">
      <t>チョウヒョウ</t>
    </rPh>
    <rPh sb="6" eb="8">
      <t>シュツリョク</t>
    </rPh>
    <phoneticPr fontId="4"/>
  </si>
  <si>
    <t>通販ダイレクトより以下帳票を出力する。</t>
    <rPh sb="0" eb="2">
      <t>ツウハン</t>
    </rPh>
    <rPh sb="9" eb="11">
      <t>イカ</t>
    </rPh>
    <rPh sb="11" eb="13">
      <t>チョウヒョウ</t>
    </rPh>
    <rPh sb="14" eb="16">
      <t>シュツリョク</t>
    </rPh>
    <phoneticPr fontId="4"/>
  </si>
  <si>
    <t>・入金照合リスト</t>
  </si>
  <si>
    <t>・クレジット売上表</t>
  </si>
  <si>
    <t>・クレジット経理仕訳伝票</t>
  </si>
  <si>
    <t>　他</t>
  </si>
  <si>
    <t>２．未収入金管理（クレジット精算金額）</t>
    <rPh sb="2" eb="6">
      <t>ミシュウニュウキン</t>
    </rPh>
    <rPh sb="6" eb="8">
      <t>カンリ</t>
    </rPh>
    <rPh sb="14" eb="18">
      <t>セイサンキンガク</t>
    </rPh>
    <phoneticPr fontId="4"/>
  </si>
  <si>
    <t>１．クレジット精算金額明細情報抽出</t>
    <rPh sb="7" eb="9">
      <t>セイサン</t>
    </rPh>
    <rPh sb="9" eb="11">
      <t>キンガク</t>
    </rPh>
    <rPh sb="11" eb="13">
      <t>メイサイ</t>
    </rPh>
    <rPh sb="13" eb="15">
      <t>ジョウホウ</t>
    </rPh>
    <rPh sb="15" eb="17">
      <t>チュウシュツ</t>
    </rPh>
    <phoneticPr fontId="4"/>
  </si>
  <si>
    <t>伝票トランザクションを使用し、</t>
    <rPh sb="0" eb="2">
      <t>デンピョウ</t>
    </rPh>
    <rPh sb="11" eb="13">
      <t>シヨウ</t>
    </rPh>
    <phoneticPr fontId="4"/>
  </si>
  <si>
    <t>クレジット精算金額明細を確認する。</t>
    <rPh sb="5" eb="7">
      <t>セイサン</t>
    </rPh>
    <rPh sb="7" eb="9">
      <t>キンガク</t>
    </rPh>
    <rPh sb="9" eb="11">
      <t>メイサイ</t>
    </rPh>
    <rPh sb="12" eb="14">
      <t>カクニン</t>
    </rPh>
    <phoneticPr fontId="4"/>
  </si>
  <si>
    <t>２．クレジット精算金額明細確認</t>
    <rPh sb="7" eb="9">
      <t>セイサン</t>
    </rPh>
    <rPh sb="9" eb="11">
      <t>キンガク</t>
    </rPh>
    <rPh sb="11" eb="13">
      <t>メイサイ</t>
    </rPh>
    <rPh sb="13" eb="15">
      <t>カクニン</t>
    </rPh>
    <phoneticPr fontId="4"/>
  </si>
  <si>
    <t>１．で抽出した情報とExcelで管理している情報と</t>
    <rPh sb="3" eb="5">
      <t>チュウシュツ</t>
    </rPh>
    <rPh sb="7" eb="9">
      <t>ジョウホウ</t>
    </rPh>
    <rPh sb="16" eb="18">
      <t>カンリ</t>
    </rPh>
    <rPh sb="22" eb="24">
      <t>ジョウホウ</t>
    </rPh>
    <phoneticPr fontId="4"/>
  </si>
  <si>
    <t>照合を行う。</t>
    <rPh sb="0" eb="2">
      <t>ショウゴウ</t>
    </rPh>
    <rPh sb="3" eb="4">
      <t>オコナ</t>
    </rPh>
    <phoneticPr fontId="4"/>
  </si>
  <si>
    <t>3．未収入金管理（売掛金以外の債権残高）</t>
    <rPh sb="2" eb="6">
      <t>ミシュウニュウキン</t>
    </rPh>
    <rPh sb="6" eb="8">
      <t>カンリ</t>
    </rPh>
    <rPh sb="9" eb="12">
      <t>ウリカケキン</t>
    </rPh>
    <rPh sb="12" eb="14">
      <t>イガイ</t>
    </rPh>
    <rPh sb="15" eb="17">
      <t>サイケン</t>
    </rPh>
    <rPh sb="17" eb="19">
      <t>ザンダカ</t>
    </rPh>
    <phoneticPr fontId="4"/>
  </si>
  <si>
    <t>１．取引先毎の債権残高明細情報抽出</t>
    <rPh sb="2" eb="5">
      <t>トリヒキサキ</t>
    </rPh>
    <rPh sb="5" eb="6">
      <t>ゴト</t>
    </rPh>
    <rPh sb="7" eb="9">
      <t>サイケン</t>
    </rPh>
    <rPh sb="9" eb="11">
      <t>ザンダカ</t>
    </rPh>
    <rPh sb="11" eb="13">
      <t>メイサイ</t>
    </rPh>
    <rPh sb="13" eb="15">
      <t>ジョウホウ</t>
    </rPh>
    <rPh sb="15" eb="17">
      <t>チュウシュツ</t>
    </rPh>
    <phoneticPr fontId="4"/>
  </si>
  <si>
    <t>月次の取引先毎の債権残高明細情報を抽出する。（SSJ)</t>
    <rPh sb="0" eb="2">
      <t>ゲツジ</t>
    </rPh>
    <rPh sb="3" eb="6">
      <t>トリヒキサキ</t>
    </rPh>
    <rPh sb="6" eb="7">
      <t>ゴト</t>
    </rPh>
    <rPh sb="8" eb="10">
      <t>サイケン</t>
    </rPh>
    <rPh sb="10" eb="12">
      <t>ザンダカ</t>
    </rPh>
    <rPh sb="12" eb="14">
      <t>メイサイ</t>
    </rPh>
    <rPh sb="14" eb="16">
      <t>ジョウホウ</t>
    </rPh>
    <rPh sb="17" eb="19">
      <t>チュウシュツ</t>
    </rPh>
    <phoneticPr fontId="4"/>
  </si>
  <si>
    <t>２．債権残高明細情報確認</t>
    <rPh sb="2" eb="4">
      <t>サイケン</t>
    </rPh>
    <rPh sb="4" eb="6">
      <t>ザンダカ</t>
    </rPh>
    <rPh sb="6" eb="8">
      <t>メイサイ</t>
    </rPh>
    <rPh sb="8" eb="10">
      <t>ジョウホウ</t>
    </rPh>
    <rPh sb="10" eb="12">
      <t>カクニン</t>
    </rPh>
    <phoneticPr fontId="4"/>
  </si>
  <si>
    <t>1.で抽出した情報を確認する</t>
    <rPh sb="3" eb="5">
      <t>チュウシュツ</t>
    </rPh>
    <rPh sb="7" eb="9">
      <t>ジョウホウ</t>
    </rPh>
    <rPh sb="10" eb="12">
      <t>カクニン</t>
    </rPh>
    <phoneticPr fontId="4"/>
  </si>
  <si>
    <t>3．決算G報告資料作成</t>
    <rPh sb="2" eb="4">
      <t>ケッサン</t>
    </rPh>
    <rPh sb="5" eb="9">
      <t>ホウコクシリョウ</t>
    </rPh>
    <rPh sb="9" eb="11">
      <t>サクセイ</t>
    </rPh>
    <phoneticPr fontId="4"/>
  </si>
  <si>
    <t>1.で抽出した情報を基に決算Gへの報告資料を作成する。</t>
    <rPh sb="3" eb="5">
      <t>チュウシュツ</t>
    </rPh>
    <rPh sb="7" eb="9">
      <t>ジョウホウ</t>
    </rPh>
    <rPh sb="10" eb="11">
      <t>モト</t>
    </rPh>
    <rPh sb="12" eb="14">
      <t>ケッサン</t>
    </rPh>
    <rPh sb="17" eb="19">
      <t>ホウコク</t>
    </rPh>
    <rPh sb="19" eb="21">
      <t>シリョウ</t>
    </rPh>
    <rPh sb="22" eb="24">
      <t>サクセイ</t>
    </rPh>
    <phoneticPr fontId="4"/>
  </si>
  <si>
    <t>4．決算G報告資料提出</t>
    <rPh sb="2" eb="4">
      <t>ケッサン</t>
    </rPh>
    <rPh sb="5" eb="7">
      <t>ホウコク</t>
    </rPh>
    <rPh sb="7" eb="9">
      <t>シリョウ</t>
    </rPh>
    <rPh sb="9" eb="11">
      <t>テイシュツ</t>
    </rPh>
    <phoneticPr fontId="4"/>
  </si>
  <si>
    <t>作成した報告用資料を提出する。</t>
    <rPh sb="0" eb="2">
      <t>サクセイ</t>
    </rPh>
    <rPh sb="4" eb="6">
      <t>ホウコク</t>
    </rPh>
    <rPh sb="6" eb="7">
      <t>ヨウ</t>
    </rPh>
    <rPh sb="7" eb="9">
      <t>シリョウ</t>
    </rPh>
    <rPh sb="10" eb="12">
      <t>テイシュツ</t>
    </rPh>
    <phoneticPr fontId="4"/>
  </si>
  <si>
    <t>5．決算G報告用資料受領</t>
    <rPh sb="2" eb="4">
      <t>ケッサン</t>
    </rPh>
    <rPh sb="5" eb="7">
      <t>ホウコク</t>
    </rPh>
    <rPh sb="7" eb="8">
      <t>ヨウ</t>
    </rPh>
    <rPh sb="8" eb="10">
      <t>シリョウ</t>
    </rPh>
    <rPh sb="10" eb="12">
      <t>ジュリョウ</t>
    </rPh>
    <phoneticPr fontId="4"/>
  </si>
  <si>
    <t>報告用資料を受領する。</t>
    <rPh sb="0" eb="2">
      <t>ホウコク</t>
    </rPh>
    <rPh sb="2" eb="3">
      <t>ヨウ</t>
    </rPh>
    <rPh sb="3" eb="5">
      <t>シリョウ</t>
    </rPh>
    <rPh sb="6" eb="8">
      <t>ジュリョウ</t>
    </rPh>
    <phoneticPr fontId="4"/>
  </si>
  <si>
    <t>4．回収予実　預り金</t>
    <rPh sb="7" eb="8">
      <t>アズカ</t>
    </rPh>
    <rPh sb="9" eb="10">
      <t>キン</t>
    </rPh>
    <phoneticPr fontId="4"/>
  </si>
  <si>
    <t>返金処理・売掛金振替がされていない預り金の情報を出力する</t>
    <rPh sb="0" eb="2">
      <t>ヘンキン</t>
    </rPh>
    <rPh sb="2" eb="4">
      <t>ショリ</t>
    </rPh>
    <rPh sb="5" eb="7">
      <t>ウリカケ</t>
    </rPh>
    <rPh sb="7" eb="8">
      <t>キン</t>
    </rPh>
    <rPh sb="8" eb="10">
      <t>フリカエ</t>
    </rPh>
    <rPh sb="17" eb="18">
      <t>アズカ</t>
    </rPh>
    <rPh sb="19" eb="20">
      <t>キン</t>
    </rPh>
    <rPh sb="21" eb="23">
      <t>ジョウホウ</t>
    </rPh>
    <rPh sb="24" eb="26">
      <t>シュツリョク</t>
    </rPh>
    <phoneticPr fontId="4"/>
  </si>
  <si>
    <t>2．預り金台帳更新</t>
    <rPh sb="2" eb="3">
      <t>アズカ</t>
    </rPh>
    <rPh sb="5" eb="7">
      <t>ダイチョウ</t>
    </rPh>
    <rPh sb="7" eb="9">
      <t>コウシン</t>
    </rPh>
    <phoneticPr fontId="4"/>
  </si>
  <si>
    <t>１．で抽出した情報を基に預り金台帳を更新する。</t>
    <rPh sb="3" eb="5">
      <t>チュウシュツ</t>
    </rPh>
    <rPh sb="7" eb="9">
      <t>ジョウホウ</t>
    </rPh>
    <rPh sb="10" eb="11">
      <t>モト</t>
    </rPh>
    <rPh sb="12" eb="13">
      <t>アズカ</t>
    </rPh>
    <rPh sb="14" eb="15">
      <t>キン</t>
    </rPh>
    <rPh sb="15" eb="17">
      <t>ダイチョウ</t>
    </rPh>
    <rPh sb="18" eb="20">
      <t>コウシン</t>
    </rPh>
    <phoneticPr fontId="4"/>
  </si>
  <si>
    <t>5．回収予実　売掛金回収状況</t>
    <rPh sb="7" eb="10">
      <t>ウリカケキン</t>
    </rPh>
    <rPh sb="10" eb="12">
      <t>カイシュウ</t>
    </rPh>
    <rPh sb="12" eb="14">
      <t>ジョウキョウ</t>
    </rPh>
    <phoneticPr fontId="4"/>
  </si>
  <si>
    <t>１．未消込・消込済情報抽出</t>
    <rPh sb="2" eb="5">
      <t>ミケシコミ</t>
    </rPh>
    <rPh sb="6" eb="9">
      <t>ケシコミズ</t>
    </rPh>
    <rPh sb="9" eb="11">
      <t>ジョウホウ</t>
    </rPh>
    <rPh sb="11" eb="13">
      <t>チュウシュツ</t>
    </rPh>
    <phoneticPr fontId="4"/>
  </si>
  <si>
    <t>未消込・消込済情報を抽出する。</t>
    <rPh sb="0" eb="3">
      <t>ミケシコミ</t>
    </rPh>
    <rPh sb="4" eb="6">
      <t>ケシコミ</t>
    </rPh>
    <rPh sb="6" eb="7">
      <t>ズ</t>
    </rPh>
    <rPh sb="7" eb="9">
      <t>ジョウホウ</t>
    </rPh>
    <rPh sb="10" eb="12">
      <t>チュウシュツ</t>
    </rPh>
    <phoneticPr fontId="4"/>
  </si>
  <si>
    <t>2．営業報告用資料作成</t>
    <rPh sb="2" eb="4">
      <t>エイギョウ</t>
    </rPh>
    <rPh sb="4" eb="6">
      <t>ホウコク</t>
    </rPh>
    <rPh sb="6" eb="7">
      <t>ヨウ</t>
    </rPh>
    <rPh sb="7" eb="9">
      <t>シリョウ</t>
    </rPh>
    <rPh sb="9" eb="11">
      <t>サクセイ</t>
    </rPh>
    <phoneticPr fontId="4"/>
  </si>
  <si>
    <t>１．で抽出した情報を基に営業報告用の資料を作成する。</t>
    <rPh sb="3" eb="5">
      <t>チュウシュツ</t>
    </rPh>
    <rPh sb="7" eb="9">
      <t>ジョウホウ</t>
    </rPh>
    <rPh sb="10" eb="11">
      <t>モト</t>
    </rPh>
    <rPh sb="12" eb="14">
      <t>エイギョウ</t>
    </rPh>
    <rPh sb="14" eb="17">
      <t>ホウコクヨウ</t>
    </rPh>
    <rPh sb="18" eb="20">
      <t>シリョウ</t>
    </rPh>
    <rPh sb="21" eb="23">
      <t>サクセイ</t>
    </rPh>
    <phoneticPr fontId="4"/>
  </si>
  <si>
    <t>・</t>
    <phoneticPr fontId="4"/>
  </si>
  <si>
    <t>未回収過入金ﾘｽﾄ.pdf</t>
    <rPh sb="0" eb="3">
      <t>ミカイシュウ</t>
    </rPh>
    <rPh sb="3" eb="6">
      <t>カニュウキン</t>
    </rPh>
    <phoneticPr fontId="4"/>
  </si>
  <si>
    <t>回収報告(SSJ).xlsx</t>
    <rPh sb="0" eb="2">
      <t>カイシュウ</t>
    </rPh>
    <rPh sb="2" eb="4">
      <t>ホウコク</t>
    </rPh>
    <phoneticPr fontId="4"/>
  </si>
  <si>
    <t>回収報告(SEJ).xlsx</t>
    <rPh sb="0" eb="2">
      <t>カイシュウ</t>
    </rPh>
    <rPh sb="2" eb="4">
      <t>ホウコク</t>
    </rPh>
    <phoneticPr fontId="4"/>
  </si>
  <si>
    <t>3．営業報告用資料提出</t>
    <rPh sb="2" eb="4">
      <t>エイギョウ</t>
    </rPh>
    <rPh sb="4" eb="6">
      <t>ホウコク</t>
    </rPh>
    <rPh sb="6" eb="7">
      <t>ヨウ</t>
    </rPh>
    <rPh sb="7" eb="9">
      <t>シリョウ</t>
    </rPh>
    <rPh sb="9" eb="11">
      <t>テイシュツ</t>
    </rPh>
    <phoneticPr fontId="4"/>
  </si>
  <si>
    <t>4．営業報告用資料受領</t>
    <rPh sb="2" eb="4">
      <t>エイギョウ</t>
    </rPh>
    <rPh sb="4" eb="6">
      <t>ホウコク</t>
    </rPh>
    <rPh sb="6" eb="7">
      <t>ヨウ</t>
    </rPh>
    <rPh sb="7" eb="9">
      <t>シリョウ</t>
    </rPh>
    <rPh sb="9" eb="11">
      <t>ジュリョウ</t>
    </rPh>
    <phoneticPr fontId="4"/>
  </si>
  <si>
    <t>6．回収予実　報告書作成（売掛金合計表の売掛金額、基本手数料、売掛金赤算、前受金、預り売掛金）【SSJ/SEJ】　　　　月初第2から5営業日</t>
    <rPh sb="7" eb="10">
      <t>ホウコクショ</t>
    </rPh>
    <rPh sb="10" eb="12">
      <t>サクセイ</t>
    </rPh>
    <phoneticPr fontId="4"/>
  </si>
  <si>
    <t>１．売掛金等の情報抽出（FO以外）</t>
    <rPh sb="2" eb="4">
      <t>ウリカケ</t>
    </rPh>
    <rPh sb="4" eb="6">
      <t>キンナド</t>
    </rPh>
    <rPh sb="7" eb="9">
      <t>ジョウホウ</t>
    </rPh>
    <rPh sb="9" eb="11">
      <t>チュウシュツ</t>
    </rPh>
    <rPh sb="14" eb="16">
      <t>イガイ</t>
    </rPh>
    <phoneticPr fontId="4"/>
  </si>
  <si>
    <t>mcframe、SEJホストより</t>
    <phoneticPr fontId="4"/>
  </si>
  <si>
    <t>売掛金合計表の売掛金額、基本手数料、売掛金赤算、前受金、預り売掛金</t>
    <phoneticPr fontId="4"/>
  </si>
  <si>
    <t>情報を抽出する。</t>
    <rPh sb="0" eb="2">
      <t>ジョウホウ</t>
    </rPh>
    <rPh sb="3" eb="5">
      <t>チュウシュツ</t>
    </rPh>
    <phoneticPr fontId="4"/>
  </si>
  <si>
    <t>2．売掛金等の情報抽出（FO）</t>
    <rPh sb="2" eb="4">
      <t>ウリカケ</t>
    </rPh>
    <rPh sb="4" eb="6">
      <t>キンナド</t>
    </rPh>
    <rPh sb="7" eb="9">
      <t>ジョウホウ</t>
    </rPh>
    <rPh sb="9" eb="11">
      <t>チュウシュツ</t>
    </rPh>
    <phoneticPr fontId="4"/>
  </si>
  <si>
    <t>FOより</t>
    <phoneticPr fontId="4"/>
  </si>
  <si>
    <t>3．報告用資料作成</t>
    <rPh sb="2" eb="4">
      <t>ホウコク</t>
    </rPh>
    <rPh sb="4" eb="5">
      <t>ヨウ</t>
    </rPh>
    <rPh sb="5" eb="7">
      <t>シリョウ</t>
    </rPh>
    <rPh sb="7" eb="9">
      <t>サクセイ</t>
    </rPh>
    <phoneticPr fontId="4"/>
  </si>
  <si>
    <t>ホストとFOから抽出した情報を基に</t>
    <rPh sb="8" eb="10">
      <t>チュウシュツ</t>
    </rPh>
    <rPh sb="12" eb="14">
      <t>ジョウホウ</t>
    </rPh>
    <rPh sb="15" eb="16">
      <t>モト</t>
    </rPh>
    <phoneticPr fontId="4"/>
  </si>
  <si>
    <t>報告書資料（Excel）を作成する。</t>
    <rPh sb="0" eb="3">
      <t>ホウコクショ</t>
    </rPh>
    <rPh sb="3" eb="5">
      <t>シリョウ</t>
    </rPh>
    <rPh sb="13" eb="15">
      <t>サクセイ</t>
    </rPh>
    <phoneticPr fontId="4"/>
  </si>
  <si>
    <t>4．報告用資料提出</t>
    <rPh sb="2" eb="4">
      <t>ホウコク</t>
    </rPh>
    <rPh sb="4" eb="5">
      <t>ヨウ</t>
    </rPh>
    <rPh sb="5" eb="7">
      <t>シリョウ</t>
    </rPh>
    <rPh sb="7" eb="9">
      <t>テイシュツ</t>
    </rPh>
    <phoneticPr fontId="4"/>
  </si>
  <si>
    <t>報告資料を提出する。</t>
    <rPh sb="0" eb="2">
      <t>ホウコク</t>
    </rPh>
    <rPh sb="2" eb="4">
      <t>シリョウ</t>
    </rPh>
    <rPh sb="5" eb="7">
      <t>テイシュツ</t>
    </rPh>
    <phoneticPr fontId="4"/>
  </si>
  <si>
    <t>5．報告用資料受領</t>
    <rPh sb="2" eb="4">
      <t>ホウコク</t>
    </rPh>
    <rPh sb="4" eb="5">
      <t>ヨウ</t>
    </rPh>
    <rPh sb="5" eb="7">
      <t>シリョウ</t>
    </rPh>
    <rPh sb="7" eb="9">
      <t>ジュリョウ</t>
    </rPh>
    <phoneticPr fontId="4"/>
  </si>
  <si>
    <t>報告資料を受領する。</t>
    <rPh sb="0" eb="2">
      <t>ホウコク</t>
    </rPh>
    <rPh sb="2" eb="4">
      <t>シリョウ</t>
    </rPh>
    <rPh sb="5" eb="7">
      <t>ジュリョウ</t>
    </rPh>
    <phoneticPr fontId="4"/>
  </si>
  <si>
    <t>営業企画部　営業推進G</t>
    <rPh sb="0" eb="2">
      <t>エイギョウ</t>
    </rPh>
    <rPh sb="2" eb="5">
      <t>キカクブ</t>
    </rPh>
    <rPh sb="6" eb="10">
      <t>エイギョウスイシン</t>
    </rPh>
    <phoneticPr fontId="4"/>
  </si>
  <si>
    <t>責任者</t>
    <phoneticPr fontId="4"/>
  </si>
  <si>
    <t>1.滞留債権管理</t>
    <rPh sb="2" eb="4">
      <t>タイリュウ</t>
    </rPh>
    <rPh sb="4" eb="6">
      <t>サイケン</t>
    </rPh>
    <rPh sb="6" eb="8">
      <t>カンリ</t>
    </rPh>
    <phoneticPr fontId="4"/>
  </si>
  <si>
    <t>１．未回収データ確認</t>
    <rPh sb="2" eb="5">
      <t>ミカイシュウ</t>
    </rPh>
    <rPh sb="8" eb="10">
      <t>カクニン</t>
    </rPh>
    <phoneticPr fontId="4"/>
  </si>
  <si>
    <t>期日が超過している未回収データを確認する。</t>
    <rPh sb="0" eb="2">
      <t>キジツ</t>
    </rPh>
    <rPh sb="3" eb="5">
      <t>チョウカ</t>
    </rPh>
    <rPh sb="9" eb="12">
      <t>ミカイシュウ</t>
    </rPh>
    <rPh sb="16" eb="18">
      <t>カクニン</t>
    </rPh>
    <phoneticPr fontId="4"/>
  </si>
  <si>
    <t>2．期日超過債権原因調査指示</t>
    <rPh sb="12" eb="14">
      <t>シジ</t>
    </rPh>
    <phoneticPr fontId="4"/>
  </si>
  <si>
    <t>SEJ 顧客窓口支援システムで対応</t>
  </si>
  <si>
    <t>期日超過債権の調査をする。</t>
    <rPh sb="0" eb="2">
      <t>キジツ</t>
    </rPh>
    <rPh sb="2" eb="4">
      <t>チョウカ</t>
    </rPh>
    <rPh sb="4" eb="6">
      <t>サイケン</t>
    </rPh>
    <rPh sb="7" eb="9">
      <t>チョウサ</t>
    </rPh>
    <phoneticPr fontId="4"/>
  </si>
  <si>
    <t>3．期日超過債権原因調査指示</t>
    <rPh sb="12" eb="14">
      <t>シジ</t>
    </rPh>
    <phoneticPr fontId="4"/>
  </si>
  <si>
    <t>期日超過債権の調査結果を報告する。</t>
    <rPh sb="0" eb="2">
      <t>キジツ</t>
    </rPh>
    <rPh sb="2" eb="4">
      <t>チョウカ</t>
    </rPh>
    <rPh sb="4" eb="6">
      <t>サイケン</t>
    </rPh>
    <rPh sb="7" eb="9">
      <t>チョウサ</t>
    </rPh>
    <rPh sb="9" eb="11">
      <t>ケッカ</t>
    </rPh>
    <rPh sb="12" eb="14">
      <t>ホウコク</t>
    </rPh>
    <phoneticPr fontId="4"/>
  </si>
  <si>
    <t>4．期日超過債権原因の結果確認・承認</t>
    <rPh sb="11" eb="13">
      <t>ケッカ</t>
    </rPh>
    <rPh sb="13" eb="15">
      <t>カクニン</t>
    </rPh>
    <rPh sb="16" eb="18">
      <t>ショウニン</t>
    </rPh>
    <phoneticPr fontId="4"/>
  </si>
  <si>
    <t>期日超過債権の調査結果を確認し、承認する。</t>
    <rPh sb="0" eb="2">
      <t>キジツ</t>
    </rPh>
    <rPh sb="2" eb="4">
      <t>チョウカ</t>
    </rPh>
    <rPh sb="4" eb="6">
      <t>サイケン</t>
    </rPh>
    <rPh sb="7" eb="9">
      <t>チョウサ</t>
    </rPh>
    <rPh sb="9" eb="11">
      <t>ケッカ</t>
    </rPh>
    <rPh sb="12" eb="14">
      <t>カクニン</t>
    </rPh>
    <rPh sb="16" eb="18">
      <t>ショウニン</t>
    </rPh>
    <phoneticPr fontId="4"/>
  </si>
  <si>
    <t>5．与信額変更申請書作成/申請</t>
    <rPh sb="2" eb="4">
      <t>ヨシン</t>
    </rPh>
    <rPh sb="4" eb="5">
      <t>ガク</t>
    </rPh>
    <rPh sb="5" eb="7">
      <t>ヘンコウ</t>
    </rPh>
    <rPh sb="7" eb="9">
      <t>シンセイ</t>
    </rPh>
    <rPh sb="9" eb="10">
      <t>ショ</t>
    </rPh>
    <rPh sb="10" eb="12">
      <t>サクセイ</t>
    </rPh>
    <rPh sb="13" eb="15">
      <t>シンセイ</t>
    </rPh>
    <phoneticPr fontId="4"/>
  </si>
  <si>
    <t>与信額変更の申請書を作成し、申請する。</t>
    <rPh sb="0" eb="3">
      <t>ヨシンガク</t>
    </rPh>
    <rPh sb="3" eb="5">
      <t>ヘンコウ</t>
    </rPh>
    <rPh sb="6" eb="9">
      <t>シンセイショ</t>
    </rPh>
    <rPh sb="10" eb="12">
      <t>サクセイ</t>
    </rPh>
    <rPh sb="14" eb="16">
      <t>シンセイ</t>
    </rPh>
    <phoneticPr fontId="4"/>
  </si>
  <si>
    <t>6．与信額変更申請書承認</t>
    <rPh sb="2" eb="4">
      <t>ヨシン</t>
    </rPh>
    <rPh sb="4" eb="5">
      <t>ガク</t>
    </rPh>
    <rPh sb="5" eb="7">
      <t>ヘンコウ</t>
    </rPh>
    <rPh sb="7" eb="10">
      <t>シンセイショ</t>
    </rPh>
    <rPh sb="10" eb="12">
      <t>ショウニン</t>
    </rPh>
    <phoneticPr fontId="4"/>
  </si>
  <si>
    <t>与信額変更の申請書を承認する。</t>
    <rPh sb="0" eb="3">
      <t>ヨシンガク</t>
    </rPh>
    <rPh sb="3" eb="5">
      <t>ヘンコウ</t>
    </rPh>
    <rPh sb="6" eb="9">
      <t>シンセイショ</t>
    </rPh>
    <rPh sb="10" eb="12">
      <t>ショウニン</t>
    </rPh>
    <phoneticPr fontId="4"/>
  </si>
  <si>
    <t>7．与信限度額変更</t>
  </si>
  <si>
    <t>当該顧客の与信限度額を変更する。</t>
    <rPh sb="0" eb="2">
      <t>トウガイ</t>
    </rPh>
    <rPh sb="2" eb="4">
      <t>コキャク</t>
    </rPh>
    <rPh sb="5" eb="10">
      <t>ヨシンゲンドガク</t>
    </rPh>
    <rPh sb="11" eb="13">
      <t>ヘンコウ</t>
    </rPh>
    <phoneticPr fontId="4"/>
  </si>
  <si>
    <t>8．貸倒引当額算定</t>
    <rPh sb="2" eb="4">
      <t>カシダオレ</t>
    </rPh>
    <rPh sb="4" eb="6">
      <t>ヒキアテ</t>
    </rPh>
    <rPh sb="6" eb="7">
      <t>ガク</t>
    </rPh>
    <rPh sb="7" eb="9">
      <t>サンテイ</t>
    </rPh>
    <phoneticPr fontId="4"/>
  </si>
  <si>
    <t>当該顧客へ引き当てる貸倒引当金の金額を算定する。</t>
    <rPh sb="0" eb="2">
      <t>トウガイ</t>
    </rPh>
    <rPh sb="2" eb="4">
      <t>コキャク</t>
    </rPh>
    <rPh sb="5" eb="6">
      <t>ヒ</t>
    </rPh>
    <rPh sb="7" eb="8">
      <t>ア</t>
    </rPh>
    <rPh sb="10" eb="12">
      <t>カシダオレ</t>
    </rPh>
    <rPh sb="12" eb="15">
      <t>ヒキアテキン</t>
    </rPh>
    <rPh sb="16" eb="18">
      <t>キンガク</t>
    </rPh>
    <rPh sb="19" eb="21">
      <t>サンテイ</t>
    </rPh>
    <phoneticPr fontId="4"/>
  </si>
  <si>
    <t>9．貸倒引当金登録依頼</t>
    <rPh sb="2" eb="4">
      <t>カシダオレ</t>
    </rPh>
    <rPh sb="4" eb="7">
      <t>ヒキアテキン</t>
    </rPh>
    <rPh sb="7" eb="9">
      <t>トウロク</t>
    </rPh>
    <rPh sb="9" eb="11">
      <t>イライ</t>
    </rPh>
    <phoneticPr fontId="4"/>
  </si>
  <si>
    <t>算定した金額で貸倒引当金の登録依頼を行う。</t>
    <rPh sb="0" eb="2">
      <t>サンテイ</t>
    </rPh>
    <rPh sb="4" eb="6">
      <t>キンガク</t>
    </rPh>
    <rPh sb="7" eb="9">
      <t>カシダオレ</t>
    </rPh>
    <rPh sb="9" eb="12">
      <t>ヒキアテキン</t>
    </rPh>
    <rPh sb="13" eb="15">
      <t>トウロク</t>
    </rPh>
    <rPh sb="15" eb="17">
      <t>イライ</t>
    </rPh>
    <rPh sb="18" eb="19">
      <t>オコナ</t>
    </rPh>
    <phoneticPr fontId="4"/>
  </si>
  <si>
    <t>10．引当額登録/承認申請</t>
    <rPh sb="3" eb="5">
      <t>ヒキアテ</t>
    </rPh>
    <rPh sb="5" eb="6">
      <t>ガク</t>
    </rPh>
    <rPh sb="6" eb="8">
      <t>トウロク</t>
    </rPh>
    <rPh sb="9" eb="11">
      <t>ショウニン</t>
    </rPh>
    <rPh sb="11" eb="13">
      <t>シンセイ</t>
    </rPh>
    <phoneticPr fontId="4"/>
  </si>
  <si>
    <t>貸倒引当金を登録し、承認申請する。</t>
    <rPh sb="0" eb="2">
      <t>カシダオレ</t>
    </rPh>
    <rPh sb="2" eb="5">
      <t>ヒキアテキン</t>
    </rPh>
    <rPh sb="6" eb="8">
      <t>トウロク</t>
    </rPh>
    <rPh sb="10" eb="12">
      <t>ショウニン</t>
    </rPh>
    <rPh sb="12" eb="14">
      <t>シンセイ</t>
    </rPh>
    <phoneticPr fontId="4"/>
  </si>
  <si>
    <t>2024/11/1カスタマー確認</t>
    <rPh sb="14" eb="16">
      <t>カクニン</t>
    </rPh>
    <phoneticPr fontId="4"/>
  </si>
  <si>
    <t>ｶｽﾀﾏｰでは仕訳計上していない</t>
    <rPh sb="7" eb="9">
      <t>シワケ</t>
    </rPh>
    <rPh sb="9" eb="11">
      <t>ケイジョウ</t>
    </rPh>
    <phoneticPr fontId="4"/>
  </si>
  <si>
    <t>11．貸倒引当の承認</t>
    <phoneticPr fontId="4"/>
  </si>
  <si>
    <t>登録された貸倒引当金を承認する。</t>
    <rPh sb="0" eb="2">
      <t>トウロク</t>
    </rPh>
    <rPh sb="5" eb="7">
      <t>カシダオレ</t>
    </rPh>
    <rPh sb="7" eb="10">
      <t>ヒキアテキン</t>
    </rPh>
    <rPh sb="11" eb="13">
      <t>ショウニン</t>
    </rPh>
    <phoneticPr fontId="4"/>
  </si>
  <si>
    <t>12．自動転記バッチ</t>
    <phoneticPr fontId="4"/>
  </si>
  <si>
    <t>各営業部</t>
    <rPh sb="0" eb="1">
      <t>カク</t>
    </rPh>
    <rPh sb="1" eb="4">
      <t>エイギョウブ</t>
    </rPh>
    <phoneticPr fontId="4"/>
  </si>
  <si>
    <t>7．与信限度額変更</t>
    <rPh sb="2" eb="4">
      <t>ヨシン</t>
    </rPh>
    <rPh sb="4" eb="6">
      <t>ゲンド</t>
    </rPh>
    <rPh sb="6" eb="7">
      <t>ガク</t>
    </rPh>
    <rPh sb="7" eb="9">
      <t>ヘンコウ</t>
    </rPh>
    <phoneticPr fontId="4"/>
  </si>
  <si>
    <t>財務部</t>
    <rPh sb="0" eb="3">
      <t>ザイムブ</t>
    </rPh>
    <phoneticPr fontId="4"/>
  </si>
  <si>
    <t>1. 現物管理</t>
    <phoneticPr fontId="4"/>
  </si>
  <si>
    <t>1．仮払現金残高確認</t>
    <phoneticPr fontId="4"/>
  </si>
  <si>
    <t>仮払現金の残高を確認する。</t>
    <rPh sb="0" eb="2">
      <t>カリバラ</t>
    </rPh>
    <rPh sb="2" eb="4">
      <t>ゲンキン</t>
    </rPh>
    <rPh sb="5" eb="7">
      <t>ザンダカ</t>
    </rPh>
    <rPh sb="8" eb="10">
      <t>カクニン</t>
    </rPh>
    <phoneticPr fontId="4"/>
  </si>
  <si>
    <t>2.報告資料作成</t>
  </si>
  <si>
    <t>１．で確認した情報を基に財務部への報告資料を作成する。</t>
    <rPh sb="3" eb="5">
      <t>カクニン</t>
    </rPh>
    <rPh sb="7" eb="9">
      <t>ジョウホウ</t>
    </rPh>
    <rPh sb="10" eb="11">
      <t>モト</t>
    </rPh>
    <rPh sb="12" eb="15">
      <t>ザイムブ</t>
    </rPh>
    <rPh sb="17" eb="19">
      <t>ホウコク</t>
    </rPh>
    <rPh sb="19" eb="21">
      <t>シリョウ</t>
    </rPh>
    <rPh sb="22" eb="24">
      <t>サクセイ</t>
    </rPh>
    <phoneticPr fontId="4"/>
  </si>
  <si>
    <t>※所定の書式に記入する</t>
    <phoneticPr fontId="4"/>
  </si>
  <si>
    <t>3．報告用資料提出</t>
    <rPh sb="2" eb="4">
      <t>ホウコク</t>
    </rPh>
    <rPh sb="4" eb="5">
      <t>ヨウ</t>
    </rPh>
    <rPh sb="5" eb="7">
      <t>シリョウ</t>
    </rPh>
    <rPh sb="7" eb="9">
      <t>テイシュツ</t>
    </rPh>
    <phoneticPr fontId="4"/>
  </si>
  <si>
    <t>作成した報告用資料を財務部へ提出する。</t>
    <rPh sb="0" eb="2">
      <t>サクセイ</t>
    </rPh>
    <rPh sb="4" eb="6">
      <t>ホウコク</t>
    </rPh>
    <rPh sb="6" eb="7">
      <t>ヨウ</t>
    </rPh>
    <rPh sb="7" eb="9">
      <t>シリョウ</t>
    </rPh>
    <rPh sb="10" eb="13">
      <t>ザイムブ</t>
    </rPh>
    <rPh sb="14" eb="16">
      <t>テイシュツ</t>
    </rPh>
    <phoneticPr fontId="4"/>
  </si>
  <si>
    <t>4．報告用資料受領</t>
    <rPh sb="2" eb="4">
      <t>ホウコク</t>
    </rPh>
    <rPh sb="4" eb="5">
      <t>ヨウ</t>
    </rPh>
    <rPh sb="5" eb="7">
      <t>シリョウ</t>
    </rPh>
    <rPh sb="7" eb="9">
      <t>ジュリョウ</t>
    </rPh>
    <phoneticPr fontId="4"/>
  </si>
  <si>
    <t>2. 外貨取引管理</t>
    <phoneticPr fontId="4"/>
  </si>
  <si>
    <t>１．外貨別売掛金明細抽出</t>
    <phoneticPr fontId="4"/>
  </si>
  <si>
    <t>外貨別売掛金明細情報を抽出する。</t>
    <rPh sb="0" eb="3">
      <t>ガイカベツ</t>
    </rPh>
    <rPh sb="3" eb="6">
      <t>ウリカケキン</t>
    </rPh>
    <rPh sb="6" eb="8">
      <t>メイサイ</t>
    </rPh>
    <rPh sb="8" eb="10">
      <t>ジョウホウ</t>
    </rPh>
    <rPh sb="11" eb="13">
      <t>チュウシュツ</t>
    </rPh>
    <phoneticPr fontId="4"/>
  </si>
  <si>
    <t>2．外貨再評価（シミュレーション）</t>
    <rPh sb="2" eb="4">
      <t>ガイカ</t>
    </rPh>
    <rPh sb="4" eb="7">
      <t>サイヒョウカ</t>
    </rPh>
    <phoneticPr fontId="4"/>
  </si>
  <si>
    <t>外貨再評価のシミュレーション機能を使用して、</t>
    <rPh sb="0" eb="5">
      <t>ガイカサイヒョウカ</t>
    </rPh>
    <rPh sb="14" eb="16">
      <t>キノウ</t>
    </rPh>
    <rPh sb="17" eb="19">
      <t>シヨウ</t>
    </rPh>
    <phoneticPr fontId="4"/>
  </si>
  <si>
    <t>再評価結果を確認する。</t>
    <rPh sb="0" eb="3">
      <t>サイヒョウカ</t>
    </rPh>
    <rPh sb="3" eb="5">
      <t>ケッカ</t>
    </rPh>
    <rPh sb="6" eb="8">
      <t>カクニン</t>
    </rPh>
    <phoneticPr fontId="4"/>
  </si>
  <si>
    <t>3．外貨再評価</t>
    <rPh sb="2" eb="4">
      <t>ガイカ</t>
    </rPh>
    <rPh sb="4" eb="5">
      <t>サイ</t>
    </rPh>
    <rPh sb="5" eb="7">
      <t>ヒョウカ</t>
    </rPh>
    <phoneticPr fontId="4"/>
  </si>
  <si>
    <t>外貨再評価のシミュレーションが問題ない場合、</t>
    <rPh sb="0" eb="5">
      <t>ガイカサイヒョウカ</t>
    </rPh>
    <rPh sb="15" eb="17">
      <t>モンダイ</t>
    </rPh>
    <rPh sb="19" eb="21">
      <t>バアイ</t>
    </rPh>
    <phoneticPr fontId="4"/>
  </si>
  <si>
    <t>外貨再評価を実施する。</t>
    <rPh sb="0" eb="5">
      <t>ガイカサイヒョウカ</t>
    </rPh>
    <rPh sb="6" eb="8">
      <t>ジッシ</t>
    </rPh>
    <phoneticPr fontId="4"/>
  </si>
  <si>
    <t>3.売掛金振替　【SSJ】</t>
    <phoneticPr fontId="4"/>
  </si>
  <si>
    <t>2024/11/1　ｶｽﾀﾏ　房さんに確認</t>
    <rPh sb="15" eb="16">
      <t>ボウ</t>
    </rPh>
    <rPh sb="19" eb="21">
      <t>カクニン</t>
    </rPh>
    <phoneticPr fontId="4"/>
  </si>
  <si>
    <t>mcframeにて未収入金計上</t>
    <rPh sb="9" eb="10">
      <t>ミ</t>
    </rPh>
    <rPh sb="10" eb="13">
      <t>シュウニュウキン</t>
    </rPh>
    <rPh sb="13" eb="15">
      <t>ケイジョウ</t>
    </rPh>
    <phoneticPr fontId="4"/>
  </si>
  <si>
    <t>mcframeにて入金計上</t>
    <rPh sb="9" eb="11">
      <t>ニュウキン</t>
    </rPh>
    <rPh sb="11" eb="13">
      <t>ケイジョウ</t>
    </rPh>
    <phoneticPr fontId="4"/>
  </si>
  <si>
    <t>１．売掛金振替</t>
    <rPh sb="2" eb="5">
      <t>ウリカケキン</t>
    </rPh>
    <rPh sb="5" eb="7">
      <t>フリカエ</t>
    </rPh>
    <phoneticPr fontId="4"/>
  </si>
  <si>
    <t>売掛金から未収入金へ振替を行う。</t>
    <rPh sb="0" eb="3">
      <t>ウリカケキン</t>
    </rPh>
    <rPh sb="5" eb="9">
      <t>ミシュウニュウキン</t>
    </rPh>
    <rPh sb="10" eb="12">
      <t>フリカエ</t>
    </rPh>
    <rPh sb="13" eb="14">
      <t>オコナ</t>
    </rPh>
    <phoneticPr fontId="4"/>
  </si>
  <si>
    <t>2．登録内容確認・承認</t>
    <rPh sb="2" eb="4">
      <t>トウロク</t>
    </rPh>
    <rPh sb="4" eb="6">
      <t>ナイヨウ</t>
    </rPh>
    <rPh sb="6" eb="8">
      <t>カクニン</t>
    </rPh>
    <rPh sb="9" eb="11">
      <t>ショウニン</t>
    </rPh>
    <phoneticPr fontId="4"/>
  </si>
  <si>
    <t>4.未払費用計上【SEJ】</t>
    <phoneticPr fontId="4"/>
  </si>
  <si>
    <t>１．未払費用情報抽出</t>
    <rPh sb="2" eb="4">
      <t>ミバラ</t>
    </rPh>
    <rPh sb="4" eb="6">
      <t>ヒヨウ</t>
    </rPh>
    <rPh sb="6" eb="8">
      <t>ジョウホウ</t>
    </rPh>
    <rPh sb="8" eb="10">
      <t>チュウシュツ</t>
    </rPh>
    <phoneticPr fontId="4"/>
  </si>
  <si>
    <t>伝票トランザクションより未払費用情報を抽出する。</t>
    <rPh sb="0" eb="2">
      <t>デンピョウ</t>
    </rPh>
    <rPh sb="12" eb="14">
      <t>ミバラ</t>
    </rPh>
    <rPh sb="14" eb="16">
      <t>ヒヨウ</t>
    </rPh>
    <rPh sb="16" eb="18">
      <t>ジョウホウ</t>
    </rPh>
    <rPh sb="19" eb="21">
      <t>チュウシュツ</t>
    </rPh>
    <phoneticPr fontId="4"/>
  </si>
  <si>
    <t>2．請求金額表作成</t>
    <rPh sb="2" eb="4">
      <t>セイキュウ</t>
    </rPh>
    <rPh sb="4" eb="6">
      <t>キンガク</t>
    </rPh>
    <rPh sb="6" eb="7">
      <t>ヒョウ</t>
    </rPh>
    <rPh sb="7" eb="9">
      <t>サクセイ</t>
    </rPh>
    <phoneticPr fontId="4"/>
  </si>
  <si>
    <t>大阪・四国・広島・九州の販売手数料の未払費用の得意先に資料、</t>
    <rPh sb="0" eb="2">
      <t>オオサカ</t>
    </rPh>
    <rPh sb="3" eb="5">
      <t>シコク</t>
    </rPh>
    <rPh sb="6" eb="8">
      <t>ヒロシマ</t>
    </rPh>
    <rPh sb="9" eb="11">
      <t>キュウシュウ</t>
    </rPh>
    <rPh sb="12" eb="14">
      <t>ハンバイ</t>
    </rPh>
    <rPh sb="14" eb="17">
      <t>テスウリョウ</t>
    </rPh>
    <rPh sb="18" eb="20">
      <t>ミバライ</t>
    </rPh>
    <rPh sb="20" eb="22">
      <t>ヒヨウ</t>
    </rPh>
    <rPh sb="23" eb="26">
      <t>トクイサキ</t>
    </rPh>
    <rPh sb="27" eb="29">
      <t>シリョウ</t>
    </rPh>
    <phoneticPr fontId="4"/>
  </si>
  <si>
    <t>名古屋営業所のMBPとSMB建材の月末の請求金額表を作成する。</t>
    <phoneticPr fontId="4"/>
  </si>
  <si>
    <t>1.手形受領処理</t>
    <rPh sb="2" eb="4">
      <t>テガタ</t>
    </rPh>
    <rPh sb="4" eb="6">
      <t>ジュリョウ</t>
    </rPh>
    <rPh sb="6" eb="8">
      <t>ショリ</t>
    </rPh>
    <phoneticPr fontId="4"/>
  </si>
  <si>
    <t>１．手形受け渡し</t>
    <rPh sb="2" eb="4">
      <t>テガタ</t>
    </rPh>
    <rPh sb="4" eb="5">
      <t>ウ</t>
    </rPh>
    <rPh sb="6" eb="7">
      <t>ワタ</t>
    </rPh>
    <phoneticPr fontId="4"/>
  </si>
  <si>
    <t>2．手形受領</t>
    <rPh sb="2" eb="4">
      <t>テガタ</t>
    </rPh>
    <rPh sb="4" eb="6">
      <t>ジュリョウ</t>
    </rPh>
    <phoneticPr fontId="4"/>
  </si>
  <si>
    <t>得意先から手形を受領する。</t>
    <rPh sb="0" eb="3">
      <t>トクイサキ</t>
    </rPh>
    <rPh sb="5" eb="7">
      <t>テガタ</t>
    </rPh>
    <rPh sb="8" eb="10">
      <t>ジュリョウ</t>
    </rPh>
    <phoneticPr fontId="4"/>
  </si>
  <si>
    <t>3．手形受取処理</t>
    <rPh sb="2" eb="4">
      <t>テガタ</t>
    </rPh>
    <rPh sb="4" eb="6">
      <t>ウケトリ</t>
    </rPh>
    <rPh sb="6" eb="8">
      <t>ショリ</t>
    </rPh>
    <phoneticPr fontId="4"/>
  </si>
  <si>
    <t>受領した受取手形について、会計処理を行う。</t>
    <rPh sb="0" eb="2">
      <t>ジュリョウ</t>
    </rPh>
    <rPh sb="4" eb="6">
      <t>ウケトリ</t>
    </rPh>
    <rPh sb="6" eb="8">
      <t>テガタ</t>
    </rPh>
    <rPh sb="13" eb="15">
      <t>カイケイ</t>
    </rPh>
    <rPh sb="15" eb="17">
      <t>ショリ</t>
    </rPh>
    <rPh sb="18" eb="19">
      <t>オコナ</t>
    </rPh>
    <phoneticPr fontId="4"/>
  </si>
  <si>
    <t>仕訳例：受取手形 / 売掛金</t>
    <rPh sb="0" eb="2">
      <t>シワケ</t>
    </rPh>
    <rPh sb="2" eb="3">
      <t>レイ</t>
    </rPh>
    <rPh sb="4" eb="8">
      <t>ウケトリテガタ</t>
    </rPh>
    <rPh sb="11" eb="14">
      <t>ウリカケキン</t>
    </rPh>
    <phoneticPr fontId="4"/>
  </si>
  <si>
    <t>受取手形、売掛金勘定はFO上</t>
    <rPh sb="0" eb="2">
      <t>ウケトリ</t>
    </rPh>
    <rPh sb="2" eb="4">
      <t>テガタ</t>
    </rPh>
    <rPh sb="5" eb="8">
      <t>ウリカケキン</t>
    </rPh>
    <rPh sb="8" eb="10">
      <t>カンジョウ</t>
    </rPh>
    <rPh sb="13" eb="14">
      <t>ジョウ</t>
    </rPh>
    <phoneticPr fontId="4"/>
  </si>
  <si>
    <t>AR管理しない想定。</t>
    <rPh sb="2" eb="4">
      <t>カンリ</t>
    </rPh>
    <rPh sb="7" eb="9">
      <t>ソウテイ</t>
    </rPh>
    <phoneticPr fontId="4"/>
  </si>
  <si>
    <t>手形については別システム「受手くん」で管理</t>
    <rPh sb="0" eb="2">
      <t>テガタ</t>
    </rPh>
    <rPh sb="7" eb="8">
      <t>ベツ</t>
    </rPh>
    <rPh sb="13" eb="14">
      <t>ウケ</t>
    </rPh>
    <rPh sb="14" eb="15">
      <t>テ</t>
    </rPh>
    <rPh sb="19" eb="21">
      <t>カンリ</t>
    </rPh>
    <phoneticPr fontId="4"/>
  </si>
  <si>
    <t>4．手形受け渡し</t>
    <rPh sb="2" eb="4">
      <t>テガタ</t>
    </rPh>
    <rPh sb="4" eb="5">
      <t>ウ</t>
    </rPh>
    <rPh sb="6" eb="7">
      <t>ワタ</t>
    </rPh>
    <phoneticPr fontId="4"/>
  </si>
  <si>
    <t>会計処理後の手形を事務管理Gへ連携する。</t>
    <rPh sb="0" eb="4">
      <t>カイケイショリ</t>
    </rPh>
    <rPh sb="4" eb="5">
      <t>ゴ</t>
    </rPh>
    <rPh sb="6" eb="8">
      <t>テガタ</t>
    </rPh>
    <rPh sb="9" eb="13">
      <t>ジムカンリ</t>
    </rPh>
    <rPh sb="15" eb="17">
      <t>レンケイ</t>
    </rPh>
    <phoneticPr fontId="4"/>
  </si>
  <si>
    <t>5．手形受領・保管</t>
    <rPh sb="2" eb="4">
      <t>テガタ</t>
    </rPh>
    <rPh sb="4" eb="6">
      <t>ジュリョウ</t>
    </rPh>
    <rPh sb="7" eb="9">
      <t>ホカン</t>
    </rPh>
    <phoneticPr fontId="4"/>
  </si>
  <si>
    <t>カスタマーサービスGより手形を受領・保管する。</t>
    <rPh sb="12" eb="14">
      <t>テガタ</t>
    </rPh>
    <rPh sb="15" eb="17">
      <t>ジュリョウ</t>
    </rPh>
    <rPh sb="18" eb="20">
      <t>ホカン</t>
    </rPh>
    <phoneticPr fontId="4"/>
  </si>
  <si>
    <t>2.手形取立依頼</t>
    <rPh sb="2" eb="4">
      <t>テガタ</t>
    </rPh>
    <rPh sb="4" eb="6">
      <t>トリタテ</t>
    </rPh>
    <rPh sb="6" eb="8">
      <t>イライ</t>
    </rPh>
    <phoneticPr fontId="4"/>
  </si>
  <si>
    <t>2．取立依頼受付</t>
    <rPh sb="2" eb="4">
      <t>トリタテ</t>
    </rPh>
    <rPh sb="4" eb="6">
      <t>イライ</t>
    </rPh>
    <rPh sb="6" eb="8">
      <t>ウケツケ</t>
    </rPh>
    <phoneticPr fontId="4"/>
  </si>
  <si>
    <t>3．手形取立依頼処理</t>
    <rPh sb="2" eb="4">
      <t>テガタ</t>
    </rPh>
    <rPh sb="4" eb="6">
      <t>トリタテ</t>
    </rPh>
    <rPh sb="6" eb="8">
      <t>イライ</t>
    </rPh>
    <rPh sb="8" eb="10">
      <t>ショリ</t>
    </rPh>
    <phoneticPr fontId="4"/>
  </si>
  <si>
    <t>取立依頼の会計処理を行う。</t>
    <rPh sb="0" eb="2">
      <t>トリタテ</t>
    </rPh>
    <rPh sb="2" eb="4">
      <t>イライ</t>
    </rPh>
    <rPh sb="5" eb="7">
      <t>カイケイ</t>
    </rPh>
    <rPh sb="7" eb="9">
      <t>ショリ</t>
    </rPh>
    <rPh sb="10" eb="11">
      <t>オコナ</t>
    </rPh>
    <phoneticPr fontId="4"/>
  </si>
  <si>
    <t>仕訳例：取立手形 / 受取手形</t>
    <rPh sb="0" eb="2">
      <t>シワケ</t>
    </rPh>
    <rPh sb="2" eb="3">
      <t>レイ</t>
    </rPh>
    <rPh sb="4" eb="6">
      <t>トリタテ</t>
    </rPh>
    <rPh sb="6" eb="8">
      <t>テガタ</t>
    </rPh>
    <rPh sb="11" eb="15">
      <t>ウケトリテガタ</t>
    </rPh>
    <phoneticPr fontId="4"/>
  </si>
  <si>
    <t>4．手形取立依頼　承認</t>
    <rPh sb="2" eb="4">
      <t>テガタ</t>
    </rPh>
    <rPh sb="4" eb="6">
      <t>トリタテ</t>
    </rPh>
    <rPh sb="6" eb="8">
      <t>イライ</t>
    </rPh>
    <rPh sb="9" eb="11">
      <t>ショウニン</t>
    </rPh>
    <phoneticPr fontId="4"/>
  </si>
  <si>
    <t>3.手形決済時</t>
    <rPh sb="2" eb="4">
      <t>テガタ</t>
    </rPh>
    <rPh sb="4" eb="6">
      <t>ケッサイ</t>
    </rPh>
    <rPh sb="6" eb="7">
      <t>ジ</t>
    </rPh>
    <phoneticPr fontId="4"/>
  </si>
  <si>
    <t>入金がされているかどうかを確認する。</t>
    <rPh sb="0" eb="2">
      <t>ニュウキン</t>
    </rPh>
    <rPh sb="13" eb="15">
      <t>カクニン</t>
    </rPh>
    <phoneticPr fontId="4"/>
  </si>
  <si>
    <t>2．手形決済処理</t>
    <rPh sb="2" eb="4">
      <t>テガタ</t>
    </rPh>
    <rPh sb="4" eb="6">
      <t>ケッサイ</t>
    </rPh>
    <rPh sb="6" eb="8">
      <t>ショリ</t>
    </rPh>
    <phoneticPr fontId="4"/>
  </si>
  <si>
    <t>手形の決済処理を行う。</t>
    <rPh sb="0" eb="2">
      <t>テガタ</t>
    </rPh>
    <rPh sb="3" eb="5">
      <t>ケッサイ</t>
    </rPh>
    <rPh sb="5" eb="7">
      <t>ショリ</t>
    </rPh>
    <rPh sb="8" eb="9">
      <t>オコナ</t>
    </rPh>
    <phoneticPr fontId="4"/>
  </si>
  <si>
    <t>仕訳例：現預金 / 取立手形</t>
    <rPh sb="0" eb="2">
      <t>シワケ</t>
    </rPh>
    <rPh sb="2" eb="3">
      <t>レイ</t>
    </rPh>
    <rPh sb="4" eb="7">
      <t>ゲンヨキン</t>
    </rPh>
    <rPh sb="10" eb="12">
      <t>トリタテ</t>
    </rPh>
    <rPh sb="12" eb="14">
      <t>テガタ</t>
    </rPh>
    <phoneticPr fontId="4"/>
  </si>
  <si>
    <t>3．手形決済 承認</t>
    <rPh sb="2" eb="4">
      <t>テガタ</t>
    </rPh>
    <rPh sb="4" eb="6">
      <t>ケッサイ</t>
    </rPh>
    <rPh sb="7" eb="9">
      <t>ショウニン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</si>
</sst>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8" x14ac:knownFonts="1">
    <font>
      <sz val="10"/>
      <color theme="1"/>
      <name val="Meiryo UI"/>
      <family val="2"/>
      <charset val="128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8"/>
      <color theme="3"/>
      <name val="Meiryo UI"/>
      <family val="2"/>
      <charset val="128"/>
      <scheme val="major"/>
    </font>
    <font>
      <b/>
      <sz val="10"/>
      <color theme="0"/>
      <name val="Meiryo UI"/>
      <family val="2"/>
      <charset val="128"/>
    </font>
    <font>
      <b/>
      <u/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0"/>
      <color theme="1"/>
      <name val="Meiryo UI"/>
      <family val="2"/>
      <charset val="128"/>
    </font>
    <font>
      <b/>
      <sz val="10"/>
      <name val="Meiryo UI"/>
      <family val="3"/>
      <charset val="128"/>
    </font>
    <font>
      <sz val="10"/>
      <name val="Arial"/>
      <family val="2"/>
      <charset val="238"/>
    </font>
    <font>
      <sz val="11"/>
      <color theme="1"/>
      <name val="Meiryo UI"/>
      <family val="2"/>
      <scheme val="minor"/>
    </font>
    <font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メイリオ"/>
      <family val="2"/>
      <charset val="128"/>
    </font>
    <font>
      <sz val="6"/>
      <name val="ＭＳ ゴシック"/>
      <family val="3"/>
      <charset val="128"/>
    </font>
    <font>
      <b/>
      <u/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Arial"/>
      <family val="2"/>
      <charset val="128"/>
    </font>
    <font>
      <b/>
      <sz val="8"/>
      <name val="Meiryo UI"/>
      <family val="3"/>
      <charset val="128"/>
    </font>
    <font>
      <b/>
      <strike/>
      <u/>
      <sz val="10"/>
      <name val="Meiryo UI"/>
      <family val="3"/>
      <charset val="128"/>
    </font>
    <font>
      <strike/>
      <sz val="10"/>
      <name val="Meiryo UI"/>
      <family val="3"/>
      <charset val="128"/>
    </font>
    <font>
      <strike/>
      <sz val="10"/>
      <color theme="1"/>
      <name val="Meiryo UI"/>
      <family val="3"/>
      <charset val="128"/>
    </font>
    <font>
      <b/>
      <strike/>
      <u/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0070C0"/>
      <name val="Meiryo UI"/>
      <family val="3"/>
      <charset val="128"/>
    </font>
    <font>
      <b/>
      <sz val="10"/>
      <color rgb="FF0070C0"/>
      <name val="Meiryo UI"/>
      <family val="3"/>
      <charset val="128"/>
    </font>
    <font>
      <b/>
      <sz val="11"/>
      <color indexed="81"/>
      <name val="Meiryo UI"/>
      <family val="3"/>
      <charset val="128"/>
      <scheme val="major"/>
    </font>
    <font>
      <sz val="11"/>
      <color indexed="81"/>
      <name val="Meiryo UI"/>
      <family val="3"/>
      <charset val="128"/>
      <scheme val="major"/>
    </font>
    <font>
      <b/>
      <sz val="10"/>
      <color theme="4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name val="Meiryo UI"/>
      <family val="3"/>
    </font>
    <font>
      <sz val="10"/>
      <color rgb="FFFF0000"/>
      <name val="Meiryo UI"/>
      <family val="3"/>
    </font>
    <font>
      <sz val="10"/>
      <color theme="1"/>
      <name val="Meiryo UI"/>
      <family val="3"/>
    </font>
    <font>
      <b/>
      <sz val="10"/>
      <color theme="1"/>
      <name val="Meiryo UI"/>
      <family val="3"/>
    </font>
    <font>
      <b/>
      <strike/>
      <sz val="10"/>
      <color rgb="FFFF0000"/>
      <name val="Meiryo UI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Protection="0">
      <alignment horizontal="center" vertical="center"/>
    </xf>
    <xf numFmtId="0" fontId="10" fillId="4" borderId="0" applyNumberFormat="0" applyBorder="0" applyProtection="0">
      <alignment horizontal="center" vertical="center"/>
    </xf>
    <xf numFmtId="0" fontId="10" fillId="5" borderId="0" applyNumberFormat="0" applyBorder="0" applyProtection="0">
      <alignment horizontal="center" vertical="center"/>
    </xf>
    <xf numFmtId="0" fontId="10" fillId="6" borderId="0" applyNumberFormat="0" applyBorder="0" applyProtection="0">
      <alignment horizontal="center" vertical="center"/>
    </xf>
    <xf numFmtId="0" fontId="10" fillId="8" borderId="0" applyNumberFormat="0" applyBorder="0" applyProtection="0">
      <alignment horizontal="center" vertical="center"/>
    </xf>
    <xf numFmtId="0" fontId="10" fillId="7" borderId="0" applyNumberFormat="0" applyBorder="0" applyProtection="0">
      <alignment horizontal="center" vertical="center"/>
    </xf>
    <xf numFmtId="0" fontId="13" fillId="0" borderId="0">
      <alignment vertical="center"/>
    </xf>
    <xf numFmtId="0" fontId="15" fillId="0" borderId="0"/>
    <xf numFmtId="0" fontId="16" fillId="0" borderId="0"/>
    <xf numFmtId="0" fontId="13" fillId="0" borderId="0">
      <alignment vertical="center"/>
    </xf>
    <xf numFmtId="0" fontId="16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73">
    <xf numFmtId="0" fontId="0" fillId="0" borderId="0" xfId="0">
      <alignment vertical="center"/>
    </xf>
    <xf numFmtId="0" fontId="17" fillId="0" borderId="0" xfId="10" applyFont="1"/>
    <xf numFmtId="0" fontId="18" fillId="0" borderId="0" xfId="10" applyFont="1"/>
    <xf numFmtId="0" fontId="19" fillId="0" borderId="0" xfId="10" applyFont="1"/>
    <xf numFmtId="0" fontId="19" fillId="0" borderId="4" xfId="10" applyFont="1" applyBorder="1"/>
    <xf numFmtId="0" fontId="6" fillId="0" borderId="0" xfId="11" applyFont="1" applyAlignment="1"/>
    <xf numFmtId="0" fontId="8" fillId="0" borderId="0" xfId="11" applyFont="1" applyAlignment="1"/>
    <xf numFmtId="0" fontId="6" fillId="0" borderId="6" xfId="11" applyFont="1" applyBorder="1" applyAlignment="1"/>
    <xf numFmtId="0" fontId="6" fillId="0" borderId="0" xfId="10" applyFont="1"/>
    <xf numFmtId="0" fontId="6" fillId="0" borderId="6" xfId="10" applyFont="1" applyBorder="1"/>
    <xf numFmtId="0" fontId="6" fillId="0" borderId="2" xfId="10" applyFont="1" applyBorder="1"/>
    <xf numFmtId="0" fontId="8" fillId="0" borderId="0" xfId="10" applyFont="1"/>
    <xf numFmtId="0" fontId="8" fillId="0" borderId="0" xfId="10" applyFont="1" applyAlignment="1">
      <alignment vertical="center"/>
    </xf>
    <xf numFmtId="0" fontId="8" fillId="0" borderId="1" xfId="10" applyFont="1" applyBorder="1"/>
    <xf numFmtId="0" fontId="6" fillId="0" borderId="1" xfId="10" applyFont="1" applyBorder="1"/>
    <xf numFmtId="0" fontId="6" fillId="0" borderId="3" xfId="10" applyFont="1" applyBorder="1"/>
    <xf numFmtId="0" fontId="11" fillId="0" borderId="0" xfId="10" applyFont="1"/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7" fillId="0" borderId="0" xfId="10" applyFont="1"/>
    <xf numFmtId="0" fontId="7" fillId="9" borderId="0" xfId="0" applyFont="1" applyFill="1" applyAlignment="1">
      <alignment horizontal="center" vertical="center"/>
    </xf>
    <xf numFmtId="0" fontId="6" fillId="0" borderId="43" xfId="10" applyFont="1" applyBorder="1"/>
    <xf numFmtId="0" fontId="14" fillId="0" borderId="43" xfId="10" applyFont="1" applyBorder="1" applyAlignment="1">
      <alignment vertical="center"/>
    </xf>
    <xf numFmtId="0" fontId="7" fillId="9" borderId="43" xfId="0" applyFont="1" applyFill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3" xfId="0" applyFont="1" applyBorder="1" applyAlignment="1">
      <alignment horizontal="center" vertical="center"/>
    </xf>
    <xf numFmtId="0" fontId="8" fillId="0" borderId="43" xfId="10" applyFont="1" applyBorder="1" applyAlignment="1">
      <alignment vertical="center"/>
    </xf>
    <xf numFmtId="0" fontId="0" fillId="0" borderId="43" xfId="0" applyBorder="1">
      <alignment vertical="center"/>
    </xf>
    <xf numFmtId="0" fontId="8" fillId="0" borderId="43" xfId="10" applyFont="1" applyBorder="1"/>
    <xf numFmtId="0" fontId="7" fillId="9" borderId="0" xfId="0" applyFont="1" applyFill="1" applyAlignment="1">
      <alignment horizontal="left" vertical="center"/>
    </xf>
    <xf numFmtId="0" fontId="17" fillId="0" borderId="43" xfId="10" applyFont="1" applyBorder="1"/>
    <xf numFmtId="0" fontId="17" fillId="0" borderId="43" xfId="10" applyFont="1" applyBorder="1" applyAlignment="1">
      <alignment vertical="center"/>
    </xf>
    <xf numFmtId="0" fontId="8" fillId="0" borderId="43" xfId="0" applyFont="1" applyBorder="1">
      <alignment vertical="center"/>
    </xf>
    <xf numFmtId="0" fontId="23" fillId="10" borderId="45" xfId="12" applyFont="1" applyFill="1" applyBorder="1" applyAlignment="1">
      <alignment vertical="center"/>
    </xf>
    <xf numFmtId="0" fontId="23" fillId="10" borderId="48" xfId="12" applyFont="1" applyFill="1" applyBorder="1" applyAlignment="1">
      <alignment vertical="center"/>
    </xf>
    <xf numFmtId="0" fontId="7" fillId="9" borderId="45" xfId="0" applyFont="1" applyFill="1" applyBorder="1" applyAlignment="1">
      <alignment horizontal="left" vertical="center"/>
    </xf>
    <xf numFmtId="0" fontId="14" fillId="14" borderId="45" xfId="0" applyFont="1" applyFill="1" applyBorder="1">
      <alignment vertical="center"/>
    </xf>
    <xf numFmtId="0" fontId="14" fillId="14" borderId="48" xfId="0" applyFont="1" applyFill="1" applyBorder="1">
      <alignment vertical="center"/>
    </xf>
    <xf numFmtId="0" fontId="7" fillId="9" borderId="48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left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8" fillId="0" borderId="49" xfId="0" applyFont="1" applyBorder="1">
      <alignment vertical="center"/>
    </xf>
    <xf numFmtId="0" fontId="8" fillId="0" borderId="46" xfId="0" applyFont="1" applyBorder="1">
      <alignment vertical="center"/>
    </xf>
    <xf numFmtId="0" fontId="6" fillId="0" borderId="49" xfId="10" applyFont="1" applyBorder="1"/>
    <xf numFmtId="0" fontId="6" fillId="0" borderId="46" xfId="10" applyFont="1" applyBorder="1"/>
    <xf numFmtId="0" fontId="6" fillId="0" borderId="47" xfId="10" applyFont="1" applyBorder="1"/>
    <xf numFmtId="0" fontId="6" fillId="0" borderId="51" xfId="10" applyFont="1" applyBorder="1"/>
    <xf numFmtId="0" fontId="23" fillId="10" borderId="50" xfId="12" applyFont="1" applyFill="1" applyBorder="1" applyAlignment="1">
      <alignment vertical="center"/>
    </xf>
    <xf numFmtId="0" fontId="7" fillId="9" borderId="50" xfId="0" applyFont="1" applyFill="1" applyBorder="1" applyAlignment="1">
      <alignment horizontal="center" vertical="center"/>
    </xf>
    <xf numFmtId="0" fontId="14" fillId="14" borderId="50" xfId="0" applyFont="1" applyFill="1" applyBorder="1">
      <alignment vertical="center"/>
    </xf>
    <xf numFmtId="0" fontId="8" fillId="0" borderId="54" xfId="10" applyFont="1" applyBorder="1"/>
    <xf numFmtId="0" fontId="8" fillId="0" borderId="55" xfId="10" applyFont="1" applyBorder="1"/>
    <xf numFmtId="0" fontId="8" fillId="0" borderId="56" xfId="10" applyFont="1" applyBorder="1"/>
    <xf numFmtId="0" fontId="8" fillId="0" borderId="57" xfId="10" applyFont="1" applyBorder="1"/>
    <xf numFmtId="0" fontId="8" fillId="0" borderId="58" xfId="10" applyFont="1" applyBorder="1"/>
    <xf numFmtId="0" fontId="6" fillId="0" borderId="57" xfId="10" applyFont="1" applyBorder="1"/>
    <xf numFmtId="0" fontId="6" fillId="0" borderId="58" xfId="10" applyFont="1" applyBorder="1"/>
    <xf numFmtId="0" fontId="6" fillId="0" borderId="59" xfId="10" applyFont="1" applyBorder="1"/>
    <xf numFmtId="0" fontId="6" fillId="0" borderId="60" xfId="10" applyFont="1" applyBorder="1"/>
    <xf numFmtId="0" fontId="6" fillId="0" borderId="61" xfId="10" applyFont="1" applyBorder="1"/>
    <xf numFmtId="0" fontId="31" fillId="0" borderId="0" xfId="10" applyFont="1"/>
    <xf numFmtId="0" fontId="32" fillId="0" borderId="0" xfId="10" applyFont="1"/>
    <xf numFmtId="0" fontId="33" fillId="0" borderId="0" xfId="10" applyFont="1"/>
    <xf numFmtId="0" fontId="34" fillId="0" borderId="0" xfId="10" applyFont="1"/>
    <xf numFmtId="0" fontId="8" fillId="0" borderId="57" xfId="10" applyFont="1" applyBorder="1" applyAlignment="1">
      <alignment horizontal="left"/>
    </xf>
    <xf numFmtId="0" fontId="8" fillId="0" borderId="0" xfId="10" applyFont="1" applyAlignment="1">
      <alignment horizontal="left"/>
    </xf>
    <xf numFmtId="0" fontId="8" fillId="0" borderId="58" xfId="10" applyFont="1" applyBorder="1" applyAlignment="1">
      <alignment horizontal="left"/>
    </xf>
    <xf numFmtId="0" fontId="6" fillId="0" borderId="0" xfId="10" applyFont="1" applyAlignment="1">
      <alignment horizontal="center"/>
    </xf>
    <xf numFmtId="0" fontId="6" fillId="0" borderId="0" xfId="10" applyFont="1" applyAlignment="1">
      <alignment horizontal="left"/>
    </xf>
    <xf numFmtId="0" fontId="35" fillId="0" borderId="43" xfId="10" applyFont="1" applyBorder="1"/>
    <xf numFmtId="0" fontId="7" fillId="9" borderId="1" xfId="0" applyFont="1" applyFill="1" applyBorder="1" applyAlignment="1">
      <alignment horizontal="center" vertical="center"/>
    </xf>
    <xf numFmtId="0" fontId="35" fillId="0" borderId="0" xfId="10" applyFont="1"/>
    <xf numFmtId="0" fontId="7" fillId="9" borderId="43" xfId="0" applyFont="1" applyFill="1" applyBorder="1" applyAlignment="1">
      <alignment horizontal="center" vertical="center"/>
    </xf>
    <xf numFmtId="0" fontId="14" fillId="0" borderId="0" xfId="10" applyFont="1"/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7" fillId="0" borderId="0" xfId="10" applyFont="1"/>
    <xf numFmtId="0" fontId="40" fillId="0" borderId="0" xfId="10" applyFont="1"/>
    <xf numFmtId="0" fontId="42" fillId="0" borderId="0" xfId="10" applyFont="1"/>
    <xf numFmtId="0" fontId="36" fillId="0" borderId="0" xfId="10" applyFont="1"/>
    <xf numFmtId="0" fontId="14" fillId="0" borderId="43" xfId="0" applyFont="1" applyBorder="1" applyAlignment="1">
      <alignment horizontal="left" vertical="center"/>
    </xf>
    <xf numFmtId="0" fontId="41" fillId="0" borderId="0" xfId="0" applyFont="1">
      <alignment vertical="center"/>
    </xf>
    <xf numFmtId="0" fontId="41" fillId="0" borderId="0" xfId="10" applyFont="1"/>
    <xf numFmtId="0" fontId="43" fillId="17" borderId="57" xfId="10" applyFont="1" applyFill="1" applyBorder="1"/>
    <xf numFmtId="0" fontId="43" fillId="17" borderId="0" xfId="10" applyFont="1" applyFill="1"/>
    <xf numFmtId="0" fontId="43" fillId="17" borderId="58" xfId="10" applyFont="1" applyFill="1" applyBorder="1"/>
    <xf numFmtId="0" fontId="44" fillId="17" borderId="0" xfId="10" applyFont="1" applyFill="1"/>
    <xf numFmtId="0" fontId="45" fillId="17" borderId="0" xfId="10" applyFont="1" applyFill="1"/>
    <xf numFmtId="0" fontId="45" fillId="17" borderId="58" xfId="10" applyFont="1" applyFill="1" applyBorder="1"/>
    <xf numFmtId="0" fontId="45" fillId="17" borderId="57" xfId="10" applyFont="1" applyFill="1" applyBorder="1"/>
    <xf numFmtId="0" fontId="44" fillId="17" borderId="57" xfId="10" applyFont="1" applyFill="1" applyBorder="1"/>
    <xf numFmtId="0" fontId="6" fillId="17" borderId="0" xfId="10" applyFont="1" applyFill="1"/>
    <xf numFmtId="0" fontId="6" fillId="17" borderId="58" xfId="10" applyFont="1" applyFill="1" applyBorder="1"/>
    <xf numFmtId="0" fontId="43" fillId="0" borderId="0" xfId="10" applyFont="1"/>
    <xf numFmtId="0" fontId="7" fillId="9" borderId="45" xfId="0" applyFont="1" applyFill="1" applyBorder="1" applyAlignment="1">
      <alignment horizontal="center" vertical="center"/>
    </xf>
    <xf numFmtId="0" fontId="35" fillId="17" borderId="57" xfId="10" applyFont="1" applyFill="1" applyBorder="1"/>
    <xf numFmtId="0" fontId="46" fillId="17" borderId="57" xfId="10" applyFont="1" applyFill="1" applyBorder="1"/>
    <xf numFmtId="0" fontId="7" fillId="0" borderId="5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8" fillId="0" borderId="51" xfId="0" applyFont="1" applyBorder="1">
      <alignment vertical="center"/>
    </xf>
    <xf numFmtId="0" fontId="8" fillId="0" borderId="2" xfId="10" applyFont="1" applyBorder="1"/>
    <xf numFmtId="0" fontId="8" fillId="0" borderId="2" xfId="0" applyFont="1" applyBorder="1">
      <alignment vertical="center"/>
    </xf>
    <xf numFmtId="0" fontId="8" fillId="0" borderId="68" xfId="10" applyFont="1" applyBorder="1"/>
    <xf numFmtId="0" fontId="8" fillId="0" borderId="69" xfId="10" applyFont="1" applyBorder="1"/>
    <xf numFmtId="0" fontId="42" fillId="0" borderId="0" xfId="0" applyFont="1">
      <alignment vertical="center"/>
    </xf>
    <xf numFmtId="0" fontId="47" fillId="0" borderId="0" xfId="0" applyFont="1">
      <alignment vertical="center"/>
    </xf>
    <xf numFmtId="0" fontId="42" fillId="0" borderId="57" xfId="10" applyFont="1" applyBorder="1"/>
    <xf numFmtId="0" fontId="42" fillId="0" borderId="0" xfId="10" applyFont="1" applyAlignment="1">
      <alignment horizontal="left"/>
    </xf>
    <xf numFmtId="0" fontId="22" fillId="0" borderId="0" xfId="10" applyFont="1" applyAlignment="1">
      <alignment horizontal="center" vertical="center"/>
    </xf>
    <xf numFmtId="0" fontId="20" fillId="0" borderId="0" xfId="10" applyFont="1" applyAlignment="1">
      <alignment horizontal="center"/>
    </xf>
    <xf numFmtId="0" fontId="20" fillId="0" borderId="4" xfId="10" applyFont="1" applyBorder="1" applyAlignment="1">
      <alignment horizontal="center"/>
    </xf>
    <xf numFmtId="0" fontId="21" fillId="0" borderId="49" xfId="10" applyFont="1" applyBorder="1" applyAlignment="1">
      <alignment horizontal="center" vertical="center"/>
    </xf>
    <xf numFmtId="0" fontId="21" fillId="0" borderId="46" xfId="10" applyFont="1" applyBorder="1" applyAlignment="1">
      <alignment horizontal="center" vertical="center"/>
    </xf>
    <xf numFmtId="0" fontId="21" fillId="0" borderId="47" xfId="10" applyFont="1" applyBorder="1" applyAlignment="1">
      <alignment horizontal="center" vertical="center"/>
    </xf>
    <xf numFmtId="0" fontId="21" fillId="0" borderId="43" xfId="10" applyFont="1" applyBorder="1" applyAlignment="1">
      <alignment horizontal="center" vertical="center"/>
    </xf>
    <xf numFmtId="0" fontId="21" fillId="0" borderId="0" xfId="10" applyFont="1" applyAlignment="1">
      <alignment horizontal="center" vertical="center"/>
    </xf>
    <xf numFmtId="0" fontId="21" fillId="0" borderId="1" xfId="10" applyFont="1" applyBorder="1" applyAlignment="1">
      <alignment horizontal="center" vertical="center"/>
    </xf>
    <xf numFmtId="0" fontId="20" fillId="0" borderId="43" xfId="10" applyFont="1" applyBorder="1" applyAlignment="1">
      <alignment horizontal="center" vertical="center"/>
    </xf>
    <xf numFmtId="0" fontId="20" fillId="0" borderId="0" xfId="10" applyFont="1" applyAlignment="1">
      <alignment horizontal="center" vertical="center"/>
    </xf>
    <xf numFmtId="0" fontId="20" fillId="0" borderId="1" xfId="10" applyFont="1" applyBorder="1" applyAlignment="1">
      <alignment horizontal="center" vertical="center"/>
    </xf>
    <xf numFmtId="0" fontId="20" fillId="0" borderId="51" xfId="10" applyFont="1" applyBorder="1" applyAlignment="1">
      <alignment horizontal="center" vertical="center"/>
    </xf>
    <xf numFmtId="0" fontId="20" fillId="0" borderId="2" xfId="10" applyFont="1" applyBorder="1" applyAlignment="1">
      <alignment horizontal="center" vertical="center"/>
    </xf>
    <xf numFmtId="0" fontId="20" fillId="0" borderId="3" xfId="10" applyFont="1" applyBorder="1" applyAlignment="1">
      <alignment horizontal="center" vertical="center"/>
    </xf>
    <xf numFmtId="14" fontId="22" fillId="0" borderId="0" xfId="10" applyNumberFormat="1" applyFont="1" applyAlignment="1">
      <alignment horizontal="center" vertical="center"/>
    </xf>
    <xf numFmtId="0" fontId="17" fillId="0" borderId="49" xfId="10" applyFont="1" applyBorder="1" applyAlignment="1">
      <alignment horizontal="center" vertical="center" wrapText="1"/>
    </xf>
    <xf numFmtId="0" fontId="17" fillId="0" borderId="46" xfId="10" applyFont="1" applyBorder="1" applyAlignment="1">
      <alignment horizontal="center" vertical="center"/>
    </xf>
    <xf numFmtId="0" fontId="17" fillId="0" borderId="43" xfId="10" applyFont="1" applyBorder="1" applyAlignment="1">
      <alignment horizontal="center" vertical="center"/>
    </xf>
    <xf numFmtId="0" fontId="17" fillId="0" borderId="0" xfId="10" applyFont="1" applyAlignment="1">
      <alignment horizontal="center" vertical="center"/>
    </xf>
    <xf numFmtId="0" fontId="17" fillId="0" borderId="51" xfId="10" applyFont="1" applyBorder="1" applyAlignment="1">
      <alignment horizontal="center" vertical="center"/>
    </xf>
    <xf numFmtId="0" fontId="17" fillId="0" borderId="2" xfId="10" applyFont="1" applyBorder="1" applyAlignment="1">
      <alignment horizontal="center" vertical="center"/>
    </xf>
    <xf numFmtId="0" fontId="17" fillId="0" borderId="49" xfId="11" applyFont="1" applyBorder="1" applyAlignment="1">
      <alignment horizontal="center" vertical="center" wrapText="1"/>
    </xf>
    <xf numFmtId="0" fontId="17" fillId="0" borderId="46" xfId="11" applyFont="1" applyBorder="1" applyAlignment="1">
      <alignment horizontal="center" vertical="center"/>
    </xf>
    <xf numFmtId="0" fontId="17" fillId="0" borderId="47" xfId="11" applyFont="1" applyBorder="1" applyAlignment="1">
      <alignment horizontal="center" vertical="center"/>
    </xf>
    <xf numFmtId="0" fontId="17" fillId="0" borderId="43" xfId="11" applyFont="1" applyBorder="1" applyAlignment="1">
      <alignment horizontal="center" vertical="center"/>
    </xf>
    <xf numFmtId="0" fontId="17" fillId="0" borderId="0" xfId="11" applyFont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7" fillId="0" borderId="51" xfId="11" applyFont="1" applyBorder="1" applyAlignment="1">
      <alignment horizontal="center" vertical="center"/>
    </xf>
    <xf numFmtId="0" fontId="17" fillId="0" borderId="2" xfId="11" applyFont="1" applyBorder="1" applyAlignment="1">
      <alignment horizontal="center" vertical="center"/>
    </xf>
    <xf numFmtId="0" fontId="17" fillId="0" borderId="3" xfId="11" applyFont="1" applyBorder="1" applyAlignment="1">
      <alignment horizontal="center" vertical="center"/>
    </xf>
    <xf numFmtId="0" fontId="17" fillId="0" borderId="2" xfId="10" applyFont="1" applyBorder="1" applyAlignment="1">
      <alignment horizontal="center"/>
    </xf>
    <xf numFmtId="0" fontId="17" fillId="0" borderId="2" xfId="10" applyFont="1" applyBorder="1" applyAlignment="1">
      <alignment horizontal="center" wrapText="1"/>
    </xf>
    <xf numFmtId="0" fontId="17" fillId="2" borderId="2" xfId="10" applyFont="1" applyFill="1" applyBorder="1" applyAlignment="1">
      <alignment horizontal="center" wrapText="1"/>
    </xf>
    <xf numFmtId="0" fontId="17" fillId="2" borderId="2" xfId="10" applyFont="1" applyFill="1" applyBorder="1" applyAlignment="1">
      <alignment horizontal="center"/>
    </xf>
    <xf numFmtId="14" fontId="17" fillId="0" borderId="45" xfId="10" applyNumberFormat="1" applyFont="1" applyBorder="1" applyAlignment="1">
      <alignment horizontal="center"/>
    </xf>
    <xf numFmtId="14" fontId="17" fillId="0" borderId="50" xfId="10" applyNumberFormat="1" applyFont="1" applyBorder="1" applyAlignment="1">
      <alignment horizontal="center"/>
    </xf>
    <xf numFmtId="14" fontId="17" fillId="0" borderId="48" xfId="10" applyNumberFormat="1" applyFont="1" applyBorder="1" applyAlignment="1">
      <alignment horizontal="center"/>
    </xf>
    <xf numFmtId="14" fontId="24" fillId="2" borderId="41" xfId="12" applyNumberFormat="1" applyFont="1" applyFill="1" applyBorder="1" applyAlignment="1">
      <alignment horizontal="left" vertical="top"/>
    </xf>
    <xf numFmtId="0" fontId="24" fillId="2" borderId="41" xfId="12" applyFont="1" applyFill="1" applyBorder="1" applyAlignment="1">
      <alignment horizontal="left" vertical="top"/>
    </xf>
    <xf numFmtId="0" fontId="24" fillId="2" borderId="41" xfId="12" applyFont="1" applyFill="1" applyBorder="1" applyAlignment="1">
      <alignment vertical="top" wrapText="1"/>
    </xf>
    <xf numFmtId="0" fontId="24" fillId="2" borderId="41" xfId="12" applyFont="1" applyFill="1" applyBorder="1" applyAlignment="1">
      <alignment vertical="top"/>
    </xf>
    <xf numFmtId="0" fontId="24" fillId="2" borderId="41" xfId="12" applyFont="1" applyFill="1" applyBorder="1" applyAlignment="1">
      <alignment horizontal="center" vertical="top" wrapText="1"/>
    </xf>
    <xf numFmtId="49" fontId="24" fillId="2" borderId="41" xfId="12" applyNumberFormat="1" applyFont="1" applyFill="1" applyBorder="1" applyAlignment="1">
      <alignment horizontal="center" vertical="top"/>
    </xf>
    <xf numFmtId="0" fontId="23" fillId="10" borderId="14" xfId="12" applyFont="1" applyFill="1" applyBorder="1" applyAlignment="1">
      <alignment horizontal="center" vertical="center"/>
    </xf>
    <xf numFmtId="0" fontId="23" fillId="10" borderId="15" xfId="12" applyFont="1" applyFill="1" applyBorder="1" applyAlignment="1">
      <alignment horizontal="center" vertical="center"/>
    </xf>
    <xf numFmtId="0" fontId="23" fillId="10" borderId="16" xfId="12" applyFont="1" applyFill="1" applyBorder="1" applyAlignment="1">
      <alignment horizontal="center" vertical="center"/>
    </xf>
    <xf numFmtId="0" fontId="24" fillId="0" borderId="10" xfId="12" applyFont="1" applyBorder="1" applyAlignment="1">
      <alignment horizontal="left" vertical="center"/>
    </xf>
    <xf numFmtId="0" fontId="24" fillId="0" borderId="11" xfId="12" applyFont="1" applyBorder="1" applyAlignment="1">
      <alignment horizontal="left" vertical="center"/>
    </xf>
    <xf numFmtId="0" fontId="24" fillId="0" borderId="12" xfId="12" applyFont="1" applyBorder="1" applyAlignment="1">
      <alignment horizontal="left" vertical="center"/>
    </xf>
    <xf numFmtId="0" fontId="23" fillId="10" borderId="10" xfId="12" applyFont="1" applyFill="1" applyBorder="1" applyAlignment="1">
      <alignment horizontal="center" vertical="center"/>
    </xf>
    <xf numFmtId="0" fontId="23" fillId="10" borderId="11" xfId="12" applyFont="1" applyFill="1" applyBorder="1" applyAlignment="1">
      <alignment horizontal="center" vertical="center"/>
    </xf>
    <xf numFmtId="0" fontId="23" fillId="10" borderId="12" xfId="12" applyFont="1" applyFill="1" applyBorder="1" applyAlignment="1">
      <alignment horizontal="center" vertical="center"/>
    </xf>
    <xf numFmtId="0" fontId="23" fillId="10" borderId="17" xfId="12" applyFont="1" applyFill="1" applyBorder="1" applyAlignment="1">
      <alignment horizontal="center" vertical="center"/>
    </xf>
    <xf numFmtId="0" fontId="23" fillId="10" borderId="18" xfId="12" applyFont="1" applyFill="1" applyBorder="1" applyAlignment="1">
      <alignment horizontal="center" vertical="center"/>
    </xf>
    <xf numFmtId="0" fontId="23" fillId="10" borderId="19" xfId="12" applyFont="1" applyFill="1" applyBorder="1" applyAlignment="1">
      <alignment horizontal="center" vertical="center"/>
    </xf>
    <xf numFmtId="0" fontId="23" fillId="10" borderId="28" xfId="12" applyFont="1" applyFill="1" applyBorder="1" applyAlignment="1">
      <alignment horizontal="center" vertical="center"/>
    </xf>
    <xf numFmtId="0" fontId="23" fillId="10" borderId="29" xfId="12" applyFont="1" applyFill="1" applyBorder="1" applyAlignment="1">
      <alignment horizontal="center" vertical="center"/>
    </xf>
    <xf numFmtId="0" fontId="23" fillId="10" borderId="30" xfId="12" applyFont="1" applyFill="1" applyBorder="1" applyAlignment="1">
      <alignment horizontal="center" vertical="center"/>
    </xf>
    <xf numFmtId="0" fontId="24" fillId="0" borderId="5" xfId="12" applyFont="1" applyBorder="1" applyAlignment="1">
      <alignment horizontal="left" vertical="center"/>
    </xf>
    <xf numFmtId="0" fontId="24" fillId="0" borderId="6" xfId="12" applyFont="1" applyBorder="1" applyAlignment="1">
      <alignment horizontal="left" vertical="center"/>
    </xf>
    <xf numFmtId="0" fontId="24" fillId="0" borderId="8" xfId="12" applyFont="1" applyBorder="1" applyAlignment="1">
      <alignment horizontal="left" vertical="center"/>
    </xf>
    <xf numFmtId="0" fontId="24" fillId="0" borderId="9" xfId="12" applyFont="1" applyBorder="1" applyAlignment="1">
      <alignment horizontal="left" vertical="center"/>
    </xf>
    <xf numFmtId="0" fontId="24" fillId="0" borderId="7" xfId="12" applyFont="1" applyBorder="1" applyAlignment="1">
      <alignment horizontal="left" vertical="center"/>
    </xf>
    <xf numFmtId="0" fontId="24" fillId="0" borderId="13" xfId="12" applyFont="1" applyBorder="1" applyAlignment="1">
      <alignment horizontal="left" vertical="center"/>
    </xf>
    <xf numFmtId="0" fontId="24" fillId="2" borderId="5" xfId="12" applyFont="1" applyFill="1" applyBorder="1" applyAlignment="1">
      <alignment horizontal="center" vertical="center"/>
    </xf>
    <xf numFmtId="0" fontId="24" fillId="2" borderId="6" xfId="12" applyFont="1" applyFill="1" applyBorder="1" applyAlignment="1">
      <alignment horizontal="center" vertical="center"/>
    </xf>
    <xf numFmtId="0" fontId="24" fillId="2" borderId="8" xfId="12" applyFont="1" applyFill="1" applyBorder="1" applyAlignment="1">
      <alignment horizontal="center" vertical="center"/>
    </xf>
    <xf numFmtId="0" fontId="24" fillId="2" borderId="9" xfId="12" applyFont="1" applyFill="1" applyBorder="1" applyAlignment="1">
      <alignment horizontal="center" vertical="center"/>
    </xf>
    <xf numFmtId="0" fontId="24" fillId="2" borderId="7" xfId="12" applyFont="1" applyFill="1" applyBorder="1" applyAlignment="1">
      <alignment horizontal="center" vertical="center"/>
    </xf>
    <xf numFmtId="0" fontId="24" fillId="2" borderId="13" xfId="12" applyFont="1" applyFill="1" applyBorder="1" applyAlignment="1">
      <alignment horizontal="center" vertical="center"/>
    </xf>
    <xf numFmtId="0" fontId="24" fillId="2" borderId="20" xfId="12" applyFont="1" applyFill="1" applyBorder="1" applyAlignment="1">
      <alignment horizontal="center" vertical="center"/>
    </xf>
    <xf numFmtId="0" fontId="24" fillId="2" borderId="21" xfId="12" applyFont="1" applyFill="1" applyBorder="1" applyAlignment="1">
      <alignment horizontal="center" vertical="center"/>
    </xf>
    <xf numFmtId="176" fontId="8" fillId="2" borderId="22" xfId="12" applyNumberFormat="1" applyFont="1" applyFill="1" applyBorder="1" applyAlignment="1">
      <alignment horizontal="center" vertical="center"/>
    </xf>
    <xf numFmtId="176" fontId="8" fillId="2" borderId="23" xfId="12" applyNumberFormat="1" applyFont="1" applyFill="1" applyBorder="1" applyAlignment="1">
      <alignment horizontal="center" vertical="center"/>
    </xf>
    <xf numFmtId="176" fontId="8" fillId="2" borderId="24" xfId="12" applyNumberFormat="1" applyFont="1" applyFill="1" applyBorder="1" applyAlignment="1">
      <alignment horizontal="center" vertical="center"/>
    </xf>
    <xf numFmtId="0" fontId="8" fillId="2" borderId="25" xfId="12" applyFont="1" applyFill="1" applyBorder="1" applyAlignment="1">
      <alignment horizontal="center" vertical="center"/>
    </xf>
    <xf numFmtId="0" fontId="8" fillId="2" borderId="26" xfId="12" applyFont="1" applyFill="1" applyBorder="1" applyAlignment="1">
      <alignment horizontal="center" vertical="center"/>
    </xf>
    <xf numFmtId="0" fontId="8" fillId="2" borderId="27" xfId="12" applyFont="1" applyFill="1" applyBorder="1" applyAlignment="1">
      <alignment horizontal="center" vertical="center"/>
    </xf>
    <xf numFmtId="0" fontId="24" fillId="2" borderId="31" xfId="12" applyFont="1" applyFill="1" applyBorder="1" applyAlignment="1">
      <alignment horizontal="center" vertical="center"/>
    </xf>
    <xf numFmtId="0" fontId="24" fillId="2" borderId="32" xfId="12" applyFont="1" applyFill="1" applyBorder="1" applyAlignment="1">
      <alignment horizontal="center" vertical="center"/>
    </xf>
    <xf numFmtId="176" fontId="8" fillId="2" borderId="33" xfId="12" applyNumberFormat="1" applyFont="1" applyFill="1" applyBorder="1" applyAlignment="1">
      <alignment horizontal="center" vertical="center"/>
    </xf>
    <xf numFmtId="176" fontId="8" fillId="2" borderId="34" xfId="12" applyNumberFormat="1" applyFont="1" applyFill="1" applyBorder="1" applyAlignment="1">
      <alignment horizontal="center" vertical="center"/>
    </xf>
    <xf numFmtId="176" fontId="8" fillId="2" borderId="35" xfId="12" applyNumberFormat="1" applyFont="1" applyFill="1" applyBorder="1" applyAlignment="1">
      <alignment horizontal="center" vertical="center"/>
    </xf>
    <xf numFmtId="0" fontId="8" fillId="2" borderId="36" xfId="12" applyFont="1" applyFill="1" applyBorder="1" applyAlignment="1">
      <alignment horizontal="center" vertical="center"/>
    </xf>
    <xf numFmtId="0" fontId="8" fillId="2" borderId="37" xfId="12" applyFont="1" applyFill="1" applyBorder="1" applyAlignment="1">
      <alignment horizontal="center" vertical="center"/>
    </xf>
    <xf numFmtId="0" fontId="8" fillId="2" borderId="38" xfId="12" applyFont="1" applyFill="1" applyBorder="1" applyAlignment="1">
      <alignment horizontal="center" vertical="center"/>
    </xf>
    <xf numFmtId="0" fontId="23" fillId="10" borderId="39" xfId="12" applyFont="1" applyFill="1" applyBorder="1" applyAlignment="1">
      <alignment horizontal="center" vertical="center"/>
    </xf>
    <xf numFmtId="14" fontId="24" fillId="2" borderId="40" xfId="12" applyNumberFormat="1" applyFont="1" applyFill="1" applyBorder="1" applyAlignment="1">
      <alignment horizontal="left" vertical="top"/>
    </xf>
    <xf numFmtId="0" fontId="24" fillId="2" borderId="40" xfId="12" applyFont="1" applyFill="1" applyBorder="1" applyAlignment="1">
      <alignment horizontal="left" vertical="top"/>
    </xf>
    <xf numFmtId="0" fontId="24" fillId="2" borderId="40" xfId="12" applyFont="1" applyFill="1" applyBorder="1" applyAlignment="1">
      <alignment vertical="top"/>
    </xf>
    <xf numFmtId="0" fontId="24" fillId="2" borderId="40" xfId="12" applyFont="1" applyFill="1" applyBorder="1" applyAlignment="1">
      <alignment horizontal="center" vertical="top" wrapText="1"/>
    </xf>
    <xf numFmtId="49" fontId="24" fillId="2" borderId="40" xfId="12" applyNumberFormat="1" applyFont="1" applyFill="1" applyBorder="1" applyAlignment="1">
      <alignment horizontal="center" vertical="top"/>
    </xf>
    <xf numFmtId="49" fontId="24" fillId="2" borderId="40" xfId="12" quotePrefix="1" applyNumberFormat="1" applyFont="1" applyFill="1" applyBorder="1" applyAlignment="1">
      <alignment horizontal="center" vertical="top"/>
    </xf>
    <xf numFmtId="0" fontId="24" fillId="2" borderId="41" xfId="12" applyFont="1" applyFill="1" applyBorder="1" applyAlignment="1">
      <alignment horizontal="left" vertical="top" wrapText="1"/>
    </xf>
    <xf numFmtId="0" fontId="24" fillId="2" borderId="65" xfId="12" applyFont="1" applyFill="1" applyBorder="1" applyAlignment="1">
      <alignment horizontal="center" vertical="top" wrapText="1"/>
    </xf>
    <xf numFmtId="0" fontId="24" fillId="2" borderId="66" xfId="12" applyFont="1" applyFill="1" applyBorder="1" applyAlignment="1">
      <alignment horizontal="center" vertical="top" wrapText="1"/>
    </xf>
    <xf numFmtId="0" fontId="24" fillId="2" borderId="67" xfId="12" applyFont="1" applyFill="1" applyBorder="1" applyAlignment="1">
      <alignment horizontal="center" vertical="top" wrapText="1"/>
    </xf>
    <xf numFmtId="49" fontId="24" fillId="2" borderId="65" xfId="12" applyNumberFormat="1" applyFont="1" applyFill="1" applyBorder="1" applyAlignment="1">
      <alignment horizontal="center" vertical="top"/>
    </xf>
    <xf numFmtId="49" fontId="24" fillId="2" borderId="66" xfId="12" applyNumberFormat="1" applyFont="1" applyFill="1" applyBorder="1" applyAlignment="1">
      <alignment horizontal="center" vertical="top"/>
    </xf>
    <xf numFmtId="49" fontId="24" fillId="2" borderId="67" xfId="12" applyNumberFormat="1" applyFont="1" applyFill="1" applyBorder="1" applyAlignment="1">
      <alignment horizontal="center" vertical="top"/>
    </xf>
    <xf numFmtId="14" fontId="24" fillId="2" borderId="42" xfId="12" applyNumberFormat="1" applyFont="1" applyFill="1" applyBorder="1" applyAlignment="1">
      <alignment horizontal="left" vertical="top"/>
    </xf>
    <xf numFmtId="0" fontId="24" fillId="2" borderId="42" xfId="12" applyFont="1" applyFill="1" applyBorder="1" applyAlignment="1">
      <alignment horizontal="left" vertical="top"/>
    </xf>
    <xf numFmtId="0" fontId="24" fillId="2" borderId="42" xfId="12" applyFont="1" applyFill="1" applyBorder="1" applyAlignment="1">
      <alignment vertical="top"/>
    </xf>
    <xf numFmtId="0" fontId="24" fillId="2" borderId="42" xfId="12" applyFont="1" applyFill="1" applyBorder="1" applyAlignment="1">
      <alignment horizontal="center" vertical="top" wrapText="1"/>
    </xf>
    <xf numFmtId="49" fontId="24" fillId="2" borderId="42" xfId="12" applyNumberFormat="1" applyFont="1" applyFill="1" applyBorder="1" applyAlignment="1">
      <alignment horizontal="center" vertical="top"/>
    </xf>
    <xf numFmtId="0" fontId="14" fillId="12" borderId="44" xfId="0" applyFont="1" applyFill="1" applyBorder="1" applyAlignment="1">
      <alignment horizontal="center" vertical="center" wrapText="1"/>
    </xf>
    <xf numFmtId="0" fontId="14" fillId="12" borderId="44" xfId="0" applyFont="1" applyFill="1" applyBorder="1" applyAlignment="1">
      <alignment horizontal="center" vertical="center"/>
    </xf>
    <xf numFmtId="0" fontId="14" fillId="14" borderId="45" xfId="0" applyFont="1" applyFill="1" applyBorder="1" applyAlignment="1">
      <alignment horizontal="center" vertical="center"/>
    </xf>
    <xf numFmtId="0" fontId="14" fillId="14" borderId="50" xfId="0" applyFont="1" applyFill="1" applyBorder="1" applyAlignment="1">
      <alignment horizontal="center" vertical="center"/>
    </xf>
    <xf numFmtId="0" fontId="14" fillId="14" borderId="48" xfId="0" applyFont="1" applyFill="1" applyBorder="1" applyAlignment="1">
      <alignment horizontal="center" vertical="center"/>
    </xf>
    <xf numFmtId="0" fontId="14" fillId="13" borderId="49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center" vertical="center"/>
    </xf>
    <xf numFmtId="0" fontId="14" fillId="13" borderId="47" xfId="0" applyFont="1" applyFill="1" applyBorder="1" applyAlignment="1">
      <alignment horizontal="center" vertical="center"/>
    </xf>
    <xf numFmtId="0" fontId="14" fillId="13" borderId="51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1" borderId="45" xfId="0" applyFont="1" applyFill="1" applyBorder="1" applyAlignment="1">
      <alignment horizontal="center" vertical="center"/>
    </xf>
    <xf numFmtId="0" fontId="14" fillId="11" borderId="50" xfId="0" applyFont="1" applyFill="1" applyBorder="1" applyAlignment="1">
      <alignment horizontal="center" vertical="center"/>
    </xf>
    <xf numFmtId="0" fontId="14" fillId="11" borderId="48" xfId="0" applyFont="1" applyFill="1" applyBorder="1" applyAlignment="1">
      <alignment horizontal="center" vertical="center"/>
    </xf>
    <xf numFmtId="0" fontId="23" fillId="10" borderId="5" xfId="12" applyFont="1" applyFill="1" applyBorder="1" applyAlignment="1">
      <alignment horizontal="center" vertical="center"/>
    </xf>
    <xf numFmtId="0" fontId="23" fillId="10" borderId="6" xfId="12" applyFont="1" applyFill="1" applyBorder="1" applyAlignment="1">
      <alignment horizontal="center" vertical="center"/>
    </xf>
    <xf numFmtId="0" fontId="23" fillId="10" borderId="8" xfId="12" applyFont="1" applyFill="1" applyBorder="1" applyAlignment="1">
      <alignment horizontal="center" vertical="center"/>
    </xf>
    <xf numFmtId="0" fontId="23" fillId="10" borderId="9" xfId="12" applyFont="1" applyFill="1" applyBorder="1" applyAlignment="1">
      <alignment horizontal="center" vertical="center"/>
    </xf>
    <xf numFmtId="0" fontId="23" fillId="10" borderId="7" xfId="12" applyFont="1" applyFill="1" applyBorder="1" applyAlignment="1">
      <alignment horizontal="center" vertical="center"/>
    </xf>
    <xf numFmtId="0" fontId="23" fillId="10" borderId="13" xfId="12" applyFont="1" applyFill="1" applyBorder="1" applyAlignment="1">
      <alignment horizontal="center" vertical="center"/>
    </xf>
    <xf numFmtId="0" fontId="14" fillId="11" borderId="44" xfId="0" applyFont="1" applyFill="1" applyBorder="1" applyAlignment="1">
      <alignment horizontal="center" vertical="center" wrapText="1"/>
    </xf>
    <xf numFmtId="0" fontId="14" fillId="11" borderId="44" xfId="0" applyFont="1" applyFill="1" applyBorder="1" applyAlignment="1">
      <alignment horizontal="center" vertical="center"/>
    </xf>
    <xf numFmtId="0" fontId="8" fillId="0" borderId="57" xfId="10" applyFont="1" applyBorder="1" applyAlignment="1">
      <alignment horizontal="left"/>
    </xf>
    <xf numFmtId="0" fontId="8" fillId="0" borderId="0" xfId="10" applyFont="1" applyAlignment="1">
      <alignment horizontal="left"/>
    </xf>
    <xf numFmtId="0" fontId="8" fillId="0" borderId="58" xfId="10" applyFont="1" applyBorder="1" applyAlignment="1">
      <alignment horizontal="left"/>
    </xf>
    <xf numFmtId="0" fontId="30" fillId="16" borderId="52" xfId="10" applyFont="1" applyFill="1" applyBorder="1" applyAlignment="1">
      <alignment horizontal="center" wrapText="1"/>
    </xf>
    <xf numFmtId="0" fontId="30" fillId="16" borderId="52" xfId="10" applyFont="1" applyFill="1" applyBorder="1" applyAlignment="1">
      <alignment horizontal="center"/>
    </xf>
    <xf numFmtId="0" fontId="30" fillId="16" borderId="53" xfId="10" applyFont="1" applyFill="1" applyBorder="1" applyAlignment="1">
      <alignment horizontal="center"/>
    </xf>
    <xf numFmtId="0" fontId="14" fillId="16" borderId="52" xfId="10" applyFont="1" applyFill="1" applyBorder="1" applyAlignment="1">
      <alignment horizontal="center" wrapText="1"/>
    </xf>
    <xf numFmtId="0" fontId="14" fillId="16" borderId="52" xfId="10" applyFont="1" applyFill="1" applyBorder="1" applyAlignment="1">
      <alignment horizontal="center"/>
    </xf>
    <xf numFmtId="0" fontId="14" fillId="16" borderId="53" xfId="1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 vertical="center"/>
    </xf>
    <xf numFmtId="0" fontId="14" fillId="15" borderId="46" xfId="0" applyFont="1" applyFill="1" applyBorder="1" applyAlignment="1">
      <alignment horizontal="center" vertical="center"/>
    </xf>
    <xf numFmtId="0" fontId="14" fillId="15" borderId="47" xfId="0" applyFont="1" applyFill="1" applyBorder="1" applyAlignment="1">
      <alignment horizontal="center" vertical="center"/>
    </xf>
    <xf numFmtId="0" fontId="14" fillId="15" borderId="51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4" fillId="11" borderId="49" xfId="0" applyFont="1" applyFill="1" applyBorder="1" applyAlignment="1">
      <alignment horizontal="center" vertical="center"/>
    </xf>
    <xf numFmtId="0" fontId="14" fillId="11" borderId="46" xfId="0" applyFont="1" applyFill="1" applyBorder="1" applyAlignment="1">
      <alignment horizontal="center" vertical="center"/>
    </xf>
    <xf numFmtId="0" fontId="14" fillId="11" borderId="47" xfId="0" applyFont="1" applyFill="1" applyBorder="1" applyAlignment="1">
      <alignment horizontal="center" vertical="center"/>
    </xf>
    <xf numFmtId="0" fontId="14" fillId="11" borderId="51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6" borderId="62" xfId="10" applyFont="1" applyFill="1" applyBorder="1" applyAlignment="1">
      <alignment horizontal="center" wrapText="1"/>
    </xf>
    <xf numFmtId="0" fontId="14" fillId="16" borderId="63" xfId="10" applyFont="1" applyFill="1" applyBorder="1" applyAlignment="1">
      <alignment horizontal="center"/>
    </xf>
    <xf numFmtId="0" fontId="14" fillId="16" borderId="64" xfId="10" applyFont="1" applyFill="1" applyBorder="1" applyAlignment="1">
      <alignment horizontal="center"/>
    </xf>
    <xf numFmtId="0" fontId="14" fillId="16" borderId="54" xfId="10" applyFont="1" applyFill="1" applyBorder="1" applyAlignment="1">
      <alignment horizontal="center"/>
    </xf>
    <xf numFmtId="0" fontId="14" fillId="16" borderId="55" xfId="10" applyFont="1" applyFill="1" applyBorder="1" applyAlignment="1">
      <alignment horizontal="center"/>
    </xf>
    <xf numFmtId="0" fontId="14" fillId="16" borderId="56" xfId="10" applyFont="1" applyFill="1" applyBorder="1" applyAlignment="1">
      <alignment horizontal="center"/>
    </xf>
    <xf numFmtId="0" fontId="8" fillId="0" borderId="0" xfId="10" applyFont="1" applyAlignment="1">
      <alignment horizontal="center" wrapText="1"/>
    </xf>
    <xf numFmtId="0" fontId="8" fillId="0" borderId="57" xfId="10" applyFont="1" applyBorder="1" applyAlignment="1">
      <alignment horizontal="center"/>
    </xf>
    <xf numFmtId="0" fontId="8" fillId="0" borderId="0" xfId="10" applyFont="1" applyAlignment="1">
      <alignment horizontal="center"/>
    </xf>
    <xf numFmtId="0" fontId="8" fillId="0" borderId="58" xfId="10" applyFont="1" applyBorder="1" applyAlignment="1">
      <alignment horizontal="center"/>
    </xf>
  </cellXfs>
  <cellStyles count="23">
    <cellStyle name="アクセント 1" xfId="2" builtinId="29" customBuiltin="1"/>
    <cellStyle name="アクセント 2" xfId="3" builtinId="33" customBuiltin="1"/>
    <cellStyle name="アクセント 3" xfId="4" builtinId="37" customBuiltin="1"/>
    <cellStyle name="アクセント 4" xfId="5" builtinId="41" customBuiltin="1"/>
    <cellStyle name="アクセント 5" xfId="6" builtinId="45" customBuiltin="1"/>
    <cellStyle name="アクセント 6" xfId="7" builtinId="49" customBuiltin="1"/>
    <cellStyle name="タイトル" xfId="1" builtinId="15" hidden="1"/>
    <cellStyle name="桁区切り 2" xfId="14" xr:uid="{00000000-0005-0000-0000-000007000000}"/>
    <cellStyle name="桁区切り 2 2" xfId="21" xr:uid="{00000000-0005-0000-0000-000008000000}"/>
    <cellStyle name="標準" xfId="0" builtinId="0"/>
    <cellStyle name="標準 2" xfId="8" xr:uid="{00000000-0005-0000-0000-00000A000000}"/>
    <cellStyle name="標準 2 2" xfId="10" xr:uid="{00000000-0005-0000-0000-00000B000000}"/>
    <cellStyle name="標準 2 2 2" xfId="12" xr:uid="{00000000-0005-0000-0000-00000C000000}"/>
    <cellStyle name="標準 3" xfId="9" xr:uid="{00000000-0005-0000-0000-00000D000000}"/>
    <cellStyle name="標準 4" xfId="13" xr:uid="{00000000-0005-0000-0000-00000E000000}"/>
    <cellStyle name="標準 4 2" xfId="17" xr:uid="{00000000-0005-0000-0000-00000F000000}"/>
    <cellStyle name="標準 4 3" xfId="20" xr:uid="{00000000-0005-0000-0000-000010000000}"/>
    <cellStyle name="標準 5" xfId="16" xr:uid="{00000000-0005-0000-0000-000011000000}"/>
    <cellStyle name="標準 6" xfId="11" xr:uid="{00000000-0005-0000-0000-000012000000}"/>
    <cellStyle name="標準 7" xfId="18" xr:uid="{00000000-0005-0000-0000-000013000000}"/>
    <cellStyle name="標準 7 3" xfId="15" xr:uid="{00000000-0005-0000-0000-000014000000}"/>
    <cellStyle name="標準 7 3 2" xfId="19" xr:uid="{00000000-0005-0000-0000-000015000000}"/>
    <cellStyle name="標準 7 3 3" xfId="22" xr:uid="{00000000-0005-0000-0000-000016000000}"/>
  </cellStyles>
  <dxfs count="0"/>
  <tableStyles count="0" defaultTableStyle="TableStyleMedium2" defaultPivotStyle="PivotStyleLight16"/>
  <colors>
    <mruColors>
      <color rgb="FFFFFF00"/>
      <color rgb="FFFFCC66"/>
      <color rgb="FFC90DC0"/>
      <color rgb="FFFF9933"/>
      <color rgb="FF99FF99"/>
      <color rgb="FFFFEDB3"/>
      <color rgb="FFFFE389"/>
      <color rgb="FFFFFFB3"/>
      <color rgb="FF8FD377"/>
      <color rgb="FFC47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24</xdr:row>
      <xdr:rowOff>89834</xdr:rowOff>
    </xdr:from>
    <xdr:to>
      <xdr:col>5</xdr:col>
      <xdr:colOff>164375</xdr:colOff>
      <xdr:row>24</xdr:row>
      <xdr:rowOff>89834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434975" y="4404659"/>
          <a:ext cx="729525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190501</xdr:colOff>
      <xdr:row>18</xdr:row>
      <xdr:rowOff>63500</xdr:rowOff>
    </xdr:from>
    <xdr:to>
      <xdr:col>5</xdr:col>
      <xdr:colOff>88901</xdr:colOff>
      <xdr:row>20</xdr:row>
      <xdr:rowOff>87217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>
          <a:grpSpLocks noChangeAspect="1"/>
        </xdr:cNvGrpSpPr>
      </xdr:nvGrpSpPr>
      <xdr:grpSpPr>
        <a:xfrm>
          <a:off x="400051" y="3288665"/>
          <a:ext cx="740410" cy="391382"/>
          <a:chOff x="2791278" y="18514786"/>
          <a:chExt cx="773793" cy="417285"/>
        </a:xfrm>
      </xdr:grpSpPr>
      <xdr:sp macro="" textlink="">
        <xdr:nvSpPr>
          <xdr:cNvPr id="4" name="フローチャート: 書類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帳票名</a:t>
            </a:r>
          </a:p>
        </xdr:txBody>
      </xdr:sp>
    </xdr:grpSp>
    <xdr:clientData/>
  </xdr:twoCellAnchor>
  <xdr:twoCellAnchor>
    <xdr:from>
      <xdr:col>22</xdr:col>
      <xdr:colOff>133351</xdr:colOff>
      <xdr:row>18</xdr:row>
      <xdr:rowOff>53975</xdr:rowOff>
    </xdr:from>
    <xdr:to>
      <xdr:col>26</xdr:col>
      <xdr:colOff>18633</xdr:colOff>
      <xdr:row>20</xdr:row>
      <xdr:rowOff>76200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 noChangeAspect="1"/>
        </xdr:cNvGrpSpPr>
      </xdr:nvGrpSpPr>
      <xdr:grpSpPr>
        <a:xfrm>
          <a:off x="4739641" y="3286760"/>
          <a:ext cx="731102" cy="380365"/>
          <a:chOff x="2791278" y="18514786"/>
          <a:chExt cx="773793" cy="417285"/>
        </a:xfrm>
      </xdr:grpSpPr>
      <xdr:sp macro="" textlink="">
        <xdr:nvSpPr>
          <xdr:cNvPr id="7" name="フローチャート: 書類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帳票名</a:t>
            </a:r>
          </a:p>
        </xdr:txBody>
      </xdr:sp>
    </xdr:grpSp>
    <xdr:clientData/>
  </xdr:twoCellAnchor>
  <xdr:twoCellAnchor>
    <xdr:from>
      <xdr:col>23</xdr:col>
      <xdr:colOff>3175</xdr:colOff>
      <xdr:row>27</xdr:row>
      <xdr:rowOff>149225</xdr:rowOff>
    </xdr:from>
    <xdr:to>
      <xdr:col>26</xdr:col>
      <xdr:colOff>101600</xdr:colOff>
      <xdr:row>31</xdr:row>
      <xdr:rowOff>61107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4822825" y="5006975"/>
          <a:ext cx="723265" cy="631972"/>
          <a:chOff x="7204075" y="2892425"/>
          <a:chExt cx="688975" cy="597682"/>
        </a:xfrm>
      </xdr:grpSpPr>
      <xdr:sp macro="" textlink="">
        <xdr:nvSpPr>
          <xdr:cNvPr id="10" name="フローチャート: 磁気ディスク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7207250" y="2984500"/>
            <a:ext cx="685800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システム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機能名</a:t>
            </a:r>
          </a:p>
        </xdr:txBody>
      </xdr:sp>
    </xdr:grpSp>
    <xdr:clientData/>
  </xdr:twoCellAnchor>
  <xdr:twoCellAnchor>
    <xdr:from>
      <xdr:col>2</xdr:col>
      <xdr:colOff>12700</xdr:colOff>
      <xdr:row>8</xdr:row>
      <xdr:rowOff>139700</xdr:rowOff>
    </xdr:from>
    <xdr:to>
      <xdr:col>5</xdr:col>
      <xdr:colOff>113350</xdr:colOff>
      <xdr:row>10</xdr:row>
      <xdr:rowOff>57150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12750" y="1558925"/>
          <a:ext cx="700725" cy="2794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120650</xdr:colOff>
      <xdr:row>8</xdr:row>
      <xdr:rowOff>133350</xdr:rowOff>
    </xdr:from>
    <xdr:to>
      <xdr:col>26</xdr:col>
      <xdr:colOff>25400</xdr:colOff>
      <xdr:row>10</xdr:row>
      <xdr:rowOff>50800</xdr:rowOff>
    </xdr:to>
    <xdr:sp macro="" textlink="">
      <xdr:nvSpPr>
        <xdr:cNvPr id="13" name="フローチャート: 端子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521200" y="1552575"/>
          <a:ext cx="704850" cy="2794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174625</xdr:colOff>
      <xdr:row>24</xdr:row>
      <xdr:rowOff>89834</xdr:rowOff>
    </xdr:from>
    <xdr:to>
      <xdr:col>26</xdr:col>
      <xdr:colOff>107225</xdr:colOff>
      <xdr:row>24</xdr:row>
      <xdr:rowOff>89834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4575175" y="4404659"/>
          <a:ext cx="732700" cy="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63500</xdr:colOff>
      <xdr:row>28</xdr:row>
      <xdr:rowOff>25400</xdr:rowOff>
    </xdr:from>
    <xdr:to>
      <xdr:col>6</xdr:col>
      <xdr:colOff>82550</xdr:colOff>
      <xdr:row>31</xdr:row>
      <xdr:rowOff>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269240" y="5060315"/>
          <a:ext cx="1072515" cy="521335"/>
          <a:chOff x="285750" y="4845050"/>
          <a:chExt cx="1003300" cy="488950"/>
        </a:xfrm>
      </xdr:grpSpPr>
      <xdr:sp macro="" textlink="">
        <xdr:nvSpPr>
          <xdr:cNvPr id="16" name="フローチャート: 判断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正方形/長方形 48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285750" y="4927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条件</a:t>
            </a:r>
          </a:p>
        </xdr:txBody>
      </xdr:sp>
    </xdr:grpSp>
    <xdr:clientData/>
  </xdr:twoCellAnchor>
  <xdr:twoCellAnchor>
    <xdr:from>
      <xdr:col>1</xdr:col>
      <xdr:colOff>12700</xdr:colOff>
      <xdr:row>13</xdr:row>
      <xdr:rowOff>25400</xdr:rowOff>
    </xdr:from>
    <xdr:to>
      <xdr:col>6</xdr:col>
      <xdr:colOff>114300</xdr:colOff>
      <xdr:row>15</xdr:row>
      <xdr:rowOff>158750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26060" y="2345690"/>
          <a:ext cx="1145540" cy="501015"/>
          <a:chOff x="1612900" y="2457450"/>
          <a:chExt cx="933032" cy="374650"/>
        </a:xfrm>
      </xdr:grpSpPr>
      <xdr:sp macro="" textlink="">
        <xdr:nvSpPr>
          <xdr:cNvPr id="19" name="フローチャート: 処理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" name="正方形/長方形 48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業務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133350</xdr:colOff>
      <xdr:row>13</xdr:row>
      <xdr:rowOff>63500</xdr:rowOff>
    </xdr:from>
    <xdr:to>
      <xdr:col>27</xdr:col>
      <xdr:colOff>38100</xdr:colOff>
      <xdr:row>16</xdr:row>
      <xdr:rowOff>25400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4530090" y="2383790"/>
          <a:ext cx="1165860" cy="504825"/>
          <a:chOff x="1612900" y="2457450"/>
          <a:chExt cx="933032" cy="374650"/>
        </a:xfrm>
      </xdr:grpSpPr>
      <xdr:sp macro="" textlink="">
        <xdr:nvSpPr>
          <xdr:cNvPr id="22" name="フローチャート: 定義済み処理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3" name="正方形/長方形 48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業務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171450</xdr:colOff>
      <xdr:row>33</xdr:row>
      <xdr:rowOff>53975</xdr:rowOff>
    </xdr:from>
    <xdr:to>
      <xdr:col>26</xdr:col>
      <xdr:colOff>190500</xdr:colOff>
      <xdr:row>35</xdr:row>
      <xdr:rowOff>136525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4568190" y="6001385"/>
          <a:ext cx="1070610" cy="436880"/>
          <a:chOff x="4305300" y="5730875"/>
          <a:chExt cx="1003300" cy="425450"/>
        </a:xfrm>
      </xdr:grpSpPr>
      <xdr:sp macro="" textlink="">
        <xdr:nvSpPr>
          <xdr:cNvPr id="25" name="AutoShape 49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6" name="正方形/長方形 48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ファイル名</a:t>
            </a:r>
          </a:p>
        </xdr:txBody>
      </xdr:sp>
    </xdr:grpSp>
    <xdr:clientData/>
  </xdr:twoCellAnchor>
  <xdr:twoCellAnchor>
    <xdr:from>
      <xdr:col>1</xdr:col>
      <xdr:colOff>88900</xdr:colOff>
      <xdr:row>33</xdr:row>
      <xdr:rowOff>104775</xdr:rowOff>
    </xdr:from>
    <xdr:to>
      <xdr:col>6</xdr:col>
      <xdr:colOff>107950</xdr:colOff>
      <xdr:row>36</xdr:row>
      <xdr:rowOff>34925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302260" y="6046470"/>
          <a:ext cx="1061085" cy="474980"/>
          <a:chOff x="285750" y="5781675"/>
          <a:chExt cx="1003300" cy="444500"/>
        </a:xfrm>
      </xdr:grpSpPr>
      <xdr:sp macro="" textlink="">
        <xdr:nvSpPr>
          <xdr:cNvPr id="28" name="フローチャート: 他ページ結合子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" name="正方形/長方形 4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285750" y="5816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フロー名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155141</xdr:colOff>
      <xdr:row>19</xdr:row>
      <xdr:rowOff>37027</xdr:rowOff>
    </xdr:from>
    <xdr:to>
      <xdr:col>27</xdr:col>
      <xdr:colOff>194102</xdr:colOff>
      <xdr:row>23</xdr:row>
      <xdr:rowOff>49273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61C63FFD-9428-43B1-9635-E5160680E036}"/>
            </a:ext>
          </a:extLst>
        </xdr:cNvPr>
        <xdr:cNvGrpSpPr>
          <a:grpSpLocks noChangeAspect="1"/>
        </xdr:cNvGrpSpPr>
      </xdr:nvGrpSpPr>
      <xdr:grpSpPr>
        <a:xfrm>
          <a:off x="4870016" y="3477933"/>
          <a:ext cx="1110524" cy="716620"/>
          <a:chOff x="7112000" y="2892425"/>
          <a:chExt cx="873125" cy="584982"/>
        </a:xfrm>
      </xdr:grpSpPr>
      <xdr:sp macro="" textlink="">
        <xdr:nvSpPr>
          <xdr:cNvPr id="174" name="フローチャート: 磁気ディスク 173">
            <a:extLst>
              <a:ext uri="{FF2B5EF4-FFF2-40B4-BE49-F238E27FC236}">
                <a16:creationId xmlns:a16="http://schemas.microsoft.com/office/drawing/2014/main" id="{A27A5671-DE8F-4987-9458-66C6B7C0929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45FA190E-26B2-401C-BFA7-161765192548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</a:t>
            </a:r>
            <a:r>
              <a:rPr kumimoji="1" lang="en-US" altLang="ja-JP" sz="900"/>
              <a:t>SEJ,</a:t>
            </a:r>
            <a:r>
              <a:rPr kumimoji="1" lang="ja-JP" altLang="en-US" sz="900"/>
              <a:t>売上）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153707</xdr:colOff>
      <xdr:row>33</xdr:row>
      <xdr:rowOff>148852</xdr:rowOff>
    </xdr:from>
    <xdr:to>
      <xdr:col>20</xdr:col>
      <xdr:colOff>155269</xdr:colOff>
      <xdr:row>37</xdr:row>
      <xdr:rowOff>38205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9867E51B-E2DB-48D9-B33F-211E2A2292E8}"/>
            </a:ext>
          </a:extLst>
        </xdr:cNvPr>
        <xdr:cNvGrpSpPr/>
      </xdr:nvGrpSpPr>
      <xdr:grpSpPr>
        <a:xfrm>
          <a:off x="3368395" y="6078165"/>
          <a:ext cx="1073124" cy="603728"/>
          <a:chOff x="7113625" y="2892425"/>
          <a:chExt cx="914621" cy="594025"/>
        </a:xfrm>
      </xdr:grpSpPr>
      <xdr:sp macro="" textlink="">
        <xdr:nvSpPr>
          <xdr:cNvPr id="159" name="フローチャート: 磁気ディスク 158">
            <a:extLst>
              <a:ext uri="{FF2B5EF4-FFF2-40B4-BE49-F238E27FC236}">
                <a16:creationId xmlns:a16="http://schemas.microsoft.com/office/drawing/2014/main" id="{65390F73-8F08-4498-B4DA-2FEB779DA3B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1E1E09BA-89A0-4EF0-A331-8BFD74895D0E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23</xdr:col>
      <xdr:colOff>0</xdr:colOff>
      <xdr:row>65</xdr:row>
      <xdr:rowOff>27266</xdr:rowOff>
    </xdr:from>
    <xdr:to>
      <xdr:col>27</xdr:col>
      <xdr:colOff>200422</xdr:colOff>
      <xdr:row>68</xdr:row>
      <xdr:rowOff>155308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id="{565E4D79-83C2-43B2-B129-1228395B9F7B}"/>
            </a:ext>
          </a:extLst>
        </xdr:cNvPr>
        <xdr:cNvGrpSpPr>
          <a:grpSpLocks noChangeAspect="1"/>
        </xdr:cNvGrpSpPr>
      </xdr:nvGrpSpPr>
      <xdr:grpSpPr>
        <a:xfrm>
          <a:off x="4929188" y="11657767"/>
          <a:ext cx="1059577" cy="665729"/>
          <a:chOff x="7112000" y="2895019"/>
          <a:chExt cx="873125" cy="582091"/>
        </a:xfrm>
      </xdr:grpSpPr>
      <xdr:sp macro="" textlink="">
        <xdr:nvSpPr>
          <xdr:cNvPr id="220" name="フローチャート: 磁気ディスク 219">
            <a:extLst>
              <a:ext uri="{FF2B5EF4-FFF2-40B4-BE49-F238E27FC236}">
                <a16:creationId xmlns:a16="http://schemas.microsoft.com/office/drawing/2014/main" id="{0838BA35-E73E-4F92-9888-E39D263ADFED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D3D2A66D-42D4-40A8-9E32-8462E4A56CCE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7</xdr:col>
      <xdr:colOff>99171</xdr:colOff>
      <xdr:row>71</xdr:row>
      <xdr:rowOff>48643</xdr:rowOff>
    </xdr:from>
    <xdr:to>
      <xdr:col>11</xdr:col>
      <xdr:colOff>180974</xdr:colOff>
      <xdr:row>72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A9DB2EC-8A51-47BC-B880-1B10E0CCCCA5}"/>
            </a:ext>
          </a:extLst>
        </xdr:cNvPr>
        <xdr:cNvSpPr txBox="1"/>
      </xdr:nvSpPr>
      <xdr:spPr>
        <a:xfrm>
          <a:off x="1502521" y="11075418"/>
          <a:ext cx="881903" cy="221232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メール送付</a:t>
          </a:r>
        </a:p>
      </xdr:txBody>
    </xdr:sp>
    <xdr:clientData/>
  </xdr:twoCellAnchor>
  <xdr:twoCellAnchor>
    <xdr:from>
      <xdr:col>9</xdr:col>
      <xdr:colOff>29179</xdr:colOff>
      <xdr:row>44</xdr:row>
      <xdr:rowOff>92327</xdr:rowOff>
    </xdr:from>
    <xdr:to>
      <xdr:col>11</xdr:col>
      <xdr:colOff>133749</xdr:colOff>
      <xdr:row>45</xdr:row>
      <xdr:rowOff>129331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D5B6443-377E-4383-AFFA-2B0ED942892C}"/>
            </a:ext>
          </a:extLst>
        </xdr:cNvPr>
        <xdr:cNvSpPr txBox="1"/>
      </xdr:nvSpPr>
      <xdr:spPr>
        <a:xfrm>
          <a:off x="1826229" y="6493127"/>
          <a:ext cx="507795" cy="205279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11</xdr:col>
      <xdr:colOff>123969</xdr:colOff>
      <xdr:row>19</xdr:row>
      <xdr:rowOff>6993</xdr:rowOff>
    </xdr:from>
    <xdr:to>
      <xdr:col>11</xdr:col>
      <xdr:colOff>124006</xdr:colOff>
      <xdr:row>21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68533F4-7A6D-426B-A647-D98D23DB53A0}"/>
            </a:ext>
          </a:extLst>
        </xdr:cNvPr>
        <xdr:cNvCxnSpPr>
          <a:stCxn id="19" idx="2"/>
          <a:endCxn id="10" idx="0"/>
        </xdr:cNvCxnSpPr>
      </xdr:nvCxnSpPr>
      <xdr:spPr>
        <a:xfrm>
          <a:off x="2321069" y="3324868"/>
          <a:ext cx="37" cy="3327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77812</xdr:colOff>
      <xdr:row>42</xdr:row>
      <xdr:rowOff>65462</xdr:rowOff>
    </xdr:from>
    <xdr:to>
      <xdr:col>15</xdr:col>
      <xdr:colOff>166612</xdr:colOff>
      <xdr:row>43</xdr:row>
      <xdr:rowOff>51078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66F79BC-077F-44DC-AFD7-FEB3B5907670}"/>
            </a:ext>
          </a:extLst>
        </xdr:cNvPr>
        <xdr:cNvSpPr txBox="1"/>
      </xdr:nvSpPr>
      <xdr:spPr>
        <a:xfrm>
          <a:off x="2678137" y="6126537"/>
          <a:ext cx="485675" cy="15071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8</xdr:col>
      <xdr:colOff>122101</xdr:colOff>
      <xdr:row>21</xdr:row>
      <xdr:rowOff>0</xdr:rowOff>
    </xdr:from>
    <xdr:to>
      <xdr:col>14</xdr:col>
      <xdr:colOff>113264</xdr:colOff>
      <xdr:row>24</xdr:row>
      <xdr:rowOff>17330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9764D1B6-CC71-4D41-A238-4759F9715167}"/>
            </a:ext>
          </a:extLst>
        </xdr:cNvPr>
        <xdr:cNvGrpSpPr/>
      </xdr:nvGrpSpPr>
      <xdr:grpSpPr>
        <a:xfrm>
          <a:off x="1838506" y="3786188"/>
          <a:ext cx="1275133" cy="556921"/>
          <a:chOff x="1580728" y="2457449"/>
          <a:chExt cx="1013466" cy="381718"/>
        </a:xfrm>
      </xdr:grpSpPr>
      <xdr:sp macro="" textlink="">
        <xdr:nvSpPr>
          <xdr:cNvPr id="10" name="フローチャート: 定義済み処理 9">
            <a:extLst>
              <a:ext uri="{FF2B5EF4-FFF2-40B4-BE49-F238E27FC236}">
                <a16:creationId xmlns:a16="http://schemas.microsoft.com/office/drawing/2014/main" id="{AE415413-AB5C-47CE-9D61-589EE5BC1521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" name="正方形/長方形 48">
            <a:extLst>
              <a:ext uri="{FF2B5EF4-FFF2-40B4-BE49-F238E27FC236}">
                <a16:creationId xmlns:a16="http://schemas.microsoft.com/office/drawing/2014/main" id="{42AC7177-BCB0-4440-A1D5-2E3183AC4DD0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２．売上の計上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113378</xdr:colOff>
      <xdr:row>24</xdr:row>
      <xdr:rowOff>7672</xdr:rowOff>
    </xdr:from>
    <xdr:to>
      <xdr:col>11</xdr:col>
      <xdr:colOff>125021</xdr:colOff>
      <xdr:row>42</xdr:row>
      <xdr:rowOff>17569</xdr:rowOff>
    </xdr:to>
    <xdr:cxnSp macro="">
      <xdr:nvCxnSpPr>
        <xdr:cNvPr id="16" name="直線矢印コネクタ 27">
          <a:extLst>
            <a:ext uri="{FF2B5EF4-FFF2-40B4-BE49-F238E27FC236}">
              <a16:creationId xmlns:a16="http://schemas.microsoft.com/office/drawing/2014/main" id="{6F2B4476-DD5E-4E38-8DB3-4D57589B323B}"/>
            </a:ext>
          </a:extLst>
        </xdr:cNvPr>
        <xdr:cNvCxnSpPr>
          <a:cxnSpLocks/>
          <a:stCxn id="10" idx="2"/>
          <a:endCxn id="22" idx="0"/>
        </xdr:cNvCxnSpPr>
      </xdr:nvCxnSpPr>
      <xdr:spPr>
        <a:xfrm flipH="1">
          <a:off x="2332143" y="4109025"/>
          <a:ext cx="11643" cy="303548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119139</xdr:colOff>
      <xdr:row>13</xdr:row>
      <xdr:rowOff>35361</xdr:rowOff>
    </xdr:from>
    <xdr:to>
      <xdr:col>11</xdr:col>
      <xdr:colOff>124984</xdr:colOff>
      <xdr:row>16</xdr:row>
      <xdr:rowOff>2520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B331B6A1-D1C5-4ED0-8E0F-930BA9F64F8F}"/>
            </a:ext>
          </a:extLst>
        </xdr:cNvPr>
        <xdr:cNvCxnSpPr>
          <a:cxnSpLocks/>
          <a:stCxn id="249" idx="2"/>
          <a:endCxn id="19" idx="0"/>
        </xdr:cNvCxnSpPr>
      </xdr:nvCxnSpPr>
      <xdr:spPr>
        <a:xfrm>
          <a:off x="2337904" y="2287743"/>
          <a:ext cx="5845" cy="4714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122064</xdr:colOff>
      <xdr:row>16</xdr:row>
      <xdr:rowOff>2520</xdr:rowOff>
    </xdr:from>
    <xdr:to>
      <xdr:col>14</xdr:col>
      <xdr:colOff>113227</xdr:colOff>
      <xdr:row>19</xdr:row>
      <xdr:rowOff>17330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9C2F5564-89B3-45D4-9BA7-71A483767A63}"/>
            </a:ext>
          </a:extLst>
        </xdr:cNvPr>
        <xdr:cNvGrpSpPr/>
      </xdr:nvGrpSpPr>
      <xdr:grpSpPr>
        <a:xfrm>
          <a:off x="1838469" y="2907645"/>
          <a:ext cx="1275133" cy="554401"/>
          <a:chOff x="1580728" y="2457449"/>
          <a:chExt cx="1013466" cy="381718"/>
        </a:xfrm>
      </xdr:grpSpPr>
      <xdr:sp macro="" textlink="">
        <xdr:nvSpPr>
          <xdr:cNvPr id="19" name="フローチャート: 定義済み処理 18">
            <a:extLst>
              <a:ext uri="{FF2B5EF4-FFF2-40B4-BE49-F238E27FC236}">
                <a16:creationId xmlns:a16="http://schemas.microsoft.com/office/drawing/2014/main" id="{B5B063D4-18C9-4611-80CD-040E815F1A99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" name="正方形/長方形 48">
            <a:extLst>
              <a:ext uri="{FF2B5EF4-FFF2-40B4-BE49-F238E27FC236}">
                <a16:creationId xmlns:a16="http://schemas.microsoft.com/office/drawing/2014/main" id="{0926BF87-761D-4176-BC43-D0E366BDB6C7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１．売上対象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伝票の確認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9</xdr:col>
      <xdr:colOff>11722</xdr:colOff>
      <xdr:row>42</xdr:row>
      <xdr:rowOff>17569</xdr:rowOff>
    </xdr:from>
    <xdr:to>
      <xdr:col>14</xdr:col>
      <xdr:colOff>31577</xdr:colOff>
      <xdr:row>45</xdr:row>
      <xdr:rowOff>18271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C0481578-14CF-4815-8F65-E47F3FFB7154}"/>
            </a:ext>
          </a:extLst>
        </xdr:cNvPr>
        <xdr:cNvGrpSpPr/>
      </xdr:nvGrpSpPr>
      <xdr:grpSpPr>
        <a:xfrm>
          <a:off x="1944345" y="7558035"/>
          <a:ext cx="1085702" cy="536484"/>
          <a:chOff x="287474" y="4845794"/>
          <a:chExt cx="1021504" cy="505814"/>
        </a:xfrm>
      </xdr:grpSpPr>
      <xdr:sp macro="" textlink="">
        <xdr:nvSpPr>
          <xdr:cNvPr id="22" name="フローチャート: 判断 21">
            <a:extLst>
              <a:ext uri="{FF2B5EF4-FFF2-40B4-BE49-F238E27FC236}">
                <a16:creationId xmlns:a16="http://schemas.microsoft.com/office/drawing/2014/main" id="{7E7436FD-2104-4190-9086-5ECC97E834E2}"/>
              </a:ext>
            </a:extLst>
          </xdr:cNvPr>
          <xdr:cNvSpPr/>
        </xdr:nvSpPr>
        <xdr:spPr>
          <a:xfrm>
            <a:off x="368300" y="4845794"/>
            <a:ext cx="848033" cy="484567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正方形/長方形 48">
            <a:extLst>
              <a:ext uri="{FF2B5EF4-FFF2-40B4-BE49-F238E27FC236}">
                <a16:creationId xmlns:a16="http://schemas.microsoft.com/office/drawing/2014/main" id="{F4BE4FA6-D2AD-4AC2-B7FF-0B98CFEDE88D}"/>
              </a:ext>
            </a:extLst>
          </xdr:cNvPr>
          <xdr:cNvSpPr/>
        </xdr:nvSpPr>
        <xdr:spPr>
          <a:xfrm>
            <a:off x="287474" y="4856050"/>
            <a:ext cx="1021504" cy="495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都度請求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対象</a:t>
            </a:r>
          </a:p>
        </xdr:txBody>
      </xdr:sp>
    </xdr:grpSp>
    <xdr:clientData/>
  </xdr:twoCellAnchor>
  <xdr:twoCellAnchor>
    <xdr:from>
      <xdr:col>13</xdr:col>
      <xdr:colOff>147068</xdr:colOff>
      <xdr:row>43</xdr:row>
      <xdr:rowOff>101511</xdr:rowOff>
    </xdr:from>
    <xdr:to>
      <xdr:col>15</xdr:col>
      <xdr:colOff>148320</xdr:colOff>
      <xdr:row>51</xdr:row>
      <xdr:rowOff>18893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5C198FFA-615F-46D6-85F8-BCC3942F8ECD}"/>
            </a:ext>
          </a:extLst>
        </xdr:cNvPr>
        <xdr:cNvCxnSpPr>
          <a:cxnSpLocks/>
          <a:stCxn id="22" idx="3"/>
          <a:endCxn id="26" idx="0"/>
        </xdr:cNvCxnSpPr>
      </xdr:nvCxnSpPr>
      <xdr:spPr>
        <a:xfrm>
          <a:off x="2744218" y="6334036"/>
          <a:ext cx="401302" cy="1285807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151175</xdr:colOff>
      <xdr:row>50</xdr:row>
      <xdr:rowOff>159311</xdr:rowOff>
    </xdr:from>
    <xdr:to>
      <xdr:col>17</xdr:col>
      <xdr:colOff>171450</xdr:colOff>
      <xdr:row>53</xdr:row>
      <xdr:rowOff>133345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5BEB4E66-DA36-42D9-84C9-E005FF88868E}"/>
            </a:ext>
          </a:extLst>
        </xdr:cNvPr>
        <xdr:cNvGrpSpPr/>
      </xdr:nvGrpSpPr>
      <xdr:grpSpPr>
        <a:xfrm>
          <a:off x="2937238" y="9126622"/>
          <a:ext cx="873715" cy="511721"/>
          <a:chOff x="433216" y="5741943"/>
          <a:chExt cx="739508" cy="516344"/>
        </a:xfrm>
      </xdr:grpSpPr>
      <xdr:sp macro="" textlink="">
        <xdr:nvSpPr>
          <xdr:cNvPr id="26" name="フローチャート: 他ページ結合子 25">
            <a:extLst>
              <a:ext uri="{FF2B5EF4-FFF2-40B4-BE49-F238E27FC236}">
                <a16:creationId xmlns:a16="http://schemas.microsoft.com/office/drawing/2014/main" id="{84AF0FE9-FCF4-4075-B905-BCD6EC44BE07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7" name="正方形/長方形 48">
            <a:extLst>
              <a:ext uri="{FF2B5EF4-FFF2-40B4-BE49-F238E27FC236}">
                <a16:creationId xmlns:a16="http://schemas.microsoft.com/office/drawing/2014/main" id="{3B278499-4E32-4253-AE5A-68132141E675}"/>
              </a:ext>
            </a:extLst>
          </xdr:cNvPr>
          <xdr:cNvSpPr/>
        </xdr:nvSpPr>
        <xdr:spPr>
          <a:xfrm>
            <a:off x="433216" y="5741943"/>
            <a:ext cx="739508" cy="51634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３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120790</xdr:colOff>
      <xdr:row>45</xdr:row>
      <xdr:rowOff>518</xdr:rowOff>
    </xdr:from>
    <xdr:to>
      <xdr:col>11</xdr:col>
      <xdr:colOff>122470</xdr:colOff>
      <xdr:row>51</xdr:row>
      <xdr:rowOff>17741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B9248FC-8A66-4823-AB29-5809190E70A7}"/>
            </a:ext>
          </a:extLst>
        </xdr:cNvPr>
        <xdr:cNvCxnSpPr>
          <a:cxnSpLocks/>
          <a:stCxn id="22" idx="2"/>
          <a:endCxn id="62" idx="0"/>
        </xdr:cNvCxnSpPr>
      </xdr:nvCxnSpPr>
      <xdr:spPr>
        <a:xfrm>
          <a:off x="2321065" y="6569406"/>
          <a:ext cx="1680" cy="104928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162197</xdr:colOff>
      <xdr:row>68</xdr:row>
      <xdr:rowOff>0</xdr:rowOff>
    </xdr:from>
    <xdr:to>
      <xdr:col>14</xdr:col>
      <xdr:colOff>60113</xdr:colOff>
      <xdr:row>71</xdr:row>
      <xdr:rowOff>20910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87B27DAF-D3BB-4A32-A960-ACEBB6600097}"/>
            </a:ext>
          </a:extLst>
        </xdr:cNvPr>
        <xdr:cNvGrpSpPr/>
      </xdr:nvGrpSpPr>
      <xdr:grpSpPr>
        <a:xfrm>
          <a:off x="1878602" y="12168188"/>
          <a:ext cx="1178076" cy="552881"/>
          <a:chOff x="1612900" y="2452118"/>
          <a:chExt cx="933032" cy="382461"/>
        </a:xfrm>
      </xdr:grpSpPr>
      <xdr:sp macro="" textlink="">
        <xdr:nvSpPr>
          <xdr:cNvPr id="34" name="フローチャート: 処理 33">
            <a:extLst>
              <a:ext uri="{FF2B5EF4-FFF2-40B4-BE49-F238E27FC236}">
                <a16:creationId xmlns:a16="http://schemas.microsoft.com/office/drawing/2014/main" id="{4BD81F94-406E-4836-9103-FF194D02DEE6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5" name="正方形/長方形 48">
            <a:extLst>
              <a:ext uri="{FF2B5EF4-FFF2-40B4-BE49-F238E27FC236}">
                <a16:creationId xmlns:a16="http://schemas.microsoft.com/office/drawing/2014/main" id="{5B49C701-6352-451D-BC67-E09A5295ADEE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の送付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133075</xdr:colOff>
      <xdr:row>66</xdr:row>
      <xdr:rowOff>21141</xdr:rowOff>
    </xdr:from>
    <xdr:to>
      <xdr:col>11</xdr:col>
      <xdr:colOff>135507</xdr:colOff>
      <xdr:row>68</xdr:row>
      <xdr:rowOff>9743</xdr:rowOff>
    </xdr:to>
    <xdr:cxnSp macro="">
      <xdr:nvCxnSpPr>
        <xdr:cNvPr id="36" name="直線矢印コネクタ 27">
          <a:extLst>
            <a:ext uri="{FF2B5EF4-FFF2-40B4-BE49-F238E27FC236}">
              <a16:creationId xmlns:a16="http://schemas.microsoft.com/office/drawing/2014/main" id="{1EA369FD-FC00-4916-9CA4-B07C8BB8D960}"/>
            </a:ext>
          </a:extLst>
        </xdr:cNvPr>
        <xdr:cNvCxnSpPr>
          <a:cxnSpLocks/>
          <a:stCxn id="50" idx="2"/>
          <a:endCxn id="34" idx="0"/>
        </xdr:cNvCxnSpPr>
      </xdr:nvCxnSpPr>
      <xdr:spPr>
        <a:xfrm flipH="1">
          <a:off x="2333350" y="10193841"/>
          <a:ext cx="2432" cy="32832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153336</xdr:colOff>
      <xdr:row>74</xdr:row>
      <xdr:rowOff>0</xdr:rowOff>
    </xdr:from>
    <xdr:to>
      <xdr:col>7</xdr:col>
      <xdr:colOff>47441</xdr:colOff>
      <xdr:row>77</xdr:row>
      <xdr:rowOff>17100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F8BD534D-67C7-4104-B4D9-2397E69A2F27}"/>
            </a:ext>
          </a:extLst>
        </xdr:cNvPr>
        <xdr:cNvGrpSpPr/>
      </xdr:nvGrpSpPr>
      <xdr:grpSpPr>
        <a:xfrm>
          <a:off x="367649" y="13239750"/>
          <a:ext cx="1181885" cy="556691"/>
          <a:chOff x="1612900" y="2452118"/>
          <a:chExt cx="933032" cy="382461"/>
        </a:xfrm>
      </xdr:grpSpPr>
      <xdr:sp macro="" textlink="">
        <xdr:nvSpPr>
          <xdr:cNvPr id="38" name="フローチャート: 処理 37">
            <a:extLst>
              <a:ext uri="{FF2B5EF4-FFF2-40B4-BE49-F238E27FC236}">
                <a16:creationId xmlns:a16="http://schemas.microsoft.com/office/drawing/2014/main" id="{15F0028C-B2DE-4CE4-9977-33923B0F5D7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9" name="正方形/長方形 48">
            <a:extLst>
              <a:ext uri="{FF2B5EF4-FFF2-40B4-BE49-F238E27FC236}">
                <a16:creationId xmlns:a16="http://schemas.microsoft.com/office/drawing/2014/main" id="{039AB260-2919-498C-8E62-CBF65ED61105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３．請求書の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117494</xdr:colOff>
      <xdr:row>71</xdr:row>
      <xdr:rowOff>20910</xdr:rowOff>
    </xdr:from>
    <xdr:to>
      <xdr:col>11</xdr:col>
      <xdr:colOff>112108</xdr:colOff>
      <xdr:row>74</xdr:row>
      <xdr:rowOff>9745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0FFEC851-DC15-488F-BAA7-A5FD7CEF0F6F}"/>
            </a:ext>
          </a:extLst>
        </xdr:cNvPr>
        <xdr:cNvCxnSpPr>
          <a:cxnSpLocks/>
          <a:stCxn id="35" idx="2"/>
          <a:endCxn id="38" idx="0"/>
        </xdr:cNvCxnSpPr>
      </xdr:nvCxnSpPr>
      <xdr:spPr>
        <a:xfrm rot="5400000">
          <a:off x="1366571" y="10605058"/>
          <a:ext cx="500010" cy="139161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82964</xdr:colOff>
      <xdr:row>64</xdr:row>
      <xdr:rowOff>84706</xdr:rowOff>
    </xdr:from>
    <xdr:to>
      <xdr:col>23</xdr:col>
      <xdr:colOff>105017</xdr:colOff>
      <xdr:row>64</xdr:row>
      <xdr:rowOff>96316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C39A74A-D8E3-4A51-A986-9778CF9478BB}"/>
            </a:ext>
          </a:extLst>
        </xdr:cNvPr>
        <xdr:cNvCxnSpPr>
          <a:stCxn id="43" idx="2"/>
          <a:endCxn id="49" idx="3"/>
        </xdr:cNvCxnSpPr>
      </xdr:nvCxnSpPr>
      <xdr:spPr>
        <a:xfrm flipH="1" flipV="1">
          <a:off x="2906846" y="10909588"/>
          <a:ext cx="1837406" cy="1161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6897</xdr:colOff>
      <xdr:row>62</xdr:row>
      <xdr:rowOff>159491</xdr:rowOff>
    </xdr:from>
    <xdr:to>
      <xdr:col>27</xdr:col>
      <xdr:colOff>198586</xdr:colOff>
      <xdr:row>66</xdr:row>
      <xdr:rowOff>88066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B6D486A1-EAD3-4E39-BE0D-E8A7454AC5EF}"/>
            </a:ext>
          </a:extLst>
        </xdr:cNvPr>
        <xdr:cNvGrpSpPr/>
      </xdr:nvGrpSpPr>
      <xdr:grpSpPr>
        <a:xfrm>
          <a:off x="4937990" y="11258021"/>
          <a:ext cx="1048939" cy="644855"/>
          <a:chOff x="7113907" y="2892425"/>
          <a:chExt cx="917588" cy="591189"/>
        </a:xfrm>
      </xdr:grpSpPr>
      <xdr:sp macro="" textlink="">
        <xdr:nvSpPr>
          <xdr:cNvPr id="43" name="フローチャート: 磁気ディスク 42">
            <a:extLst>
              <a:ext uri="{FF2B5EF4-FFF2-40B4-BE49-F238E27FC236}">
                <a16:creationId xmlns:a16="http://schemas.microsoft.com/office/drawing/2014/main" id="{A05D6751-EA8D-47AC-852E-6EA22F76BC6F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19C50FDD-A6AB-4041-B969-40CD1EFAC130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25</xdr:col>
      <xdr:colOff>193604</xdr:colOff>
      <xdr:row>67</xdr:row>
      <xdr:rowOff>157728</xdr:rowOff>
    </xdr:from>
    <xdr:to>
      <xdr:col>29</xdr:col>
      <xdr:colOff>27132</xdr:colOff>
      <xdr:row>70</xdr:row>
      <xdr:rowOff>11192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87C54E0C-5FA8-4ED2-B409-3D175F8828EB}"/>
            </a:ext>
          </a:extLst>
        </xdr:cNvPr>
        <xdr:cNvGrpSpPr>
          <a:grpSpLocks noChangeAspect="1"/>
        </xdr:cNvGrpSpPr>
      </xdr:nvGrpSpPr>
      <xdr:grpSpPr>
        <a:xfrm>
          <a:off x="5551417" y="12149227"/>
          <a:ext cx="688873" cy="389245"/>
          <a:chOff x="2791277" y="18512804"/>
          <a:chExt cx="771974" cy="419267"/>
        </a:xfrm>
      </xdr:grpSpPr>
      <xdr:sp macro="" textlink="">
        <xdr:nvSpPr>
          <xdr:cNvPr id="46" name="フローチャート: 書類 45">
            <a:extLst>
              <a:ext uri="{FF2B5EF4-FFF2-40B4-BE49-F238E27FC236}">
                <a16:creationId xmlns:a16="http://schemas.microsoft.com/office/drawing/2014/main" id="{217FB76C-31BE-4567-80A7-3B10E0915B03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E6E939DA-1746-4413-BA8B-30CCD1D455A7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8</xdr:col>
      <xdr:colOff>47807</xdr:colOff>
      <xdr:row>63</xdr:row>
      <xdr:rowOff>0</xdr:rowOff>
    </xdr:from>
    <xdr:to>
      <xdr:col>15</xdr:col>
      <xdr:colOff>2861</xdr:colOff>
      <xdr:row>66</xdr:row>
      <xdr:rowOff>17331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D21E100F-120A-43AD-B816-DAEA68D76790}"/>
            </a:ext>
          </a:extLst>
        </xdr:cNvPr>
        <xdr:cNvGrpSpPr/>
      </xdr:nvGrpSpPr>
      <xdr:grpSpPr>
        <a:xfrm>
          <a:off x="1764212" y="11275219"/>
          <a:ext cx="1453337" cy="556922"/>
          <a:chOff x="1580728" y="2457449"/>
          <a:chExt cx="1013466" cy="381718"/>
        </a:xfrm>
      </xdr:grpSpPr>
      <xdr:sp macro="" textlink="">
        <xdr:nvSpPr>
          <xdr:cNvPr id="49" name="フローチャート: 定義済み処理 48">
            <a:extLst>
              <a:ext uri="{FF2B5EF4-FFF2-40B4-BE49-F238E27FC236}">
                <a16:creationId xmlns:a16="http://schemas.microsoft.com/office/drawing/2014/main" id="{5A10F52F-BF24-4AC8-92AB-50ECA4457A31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" name="正方形/長方形 48">
            <a:extLst>
              <a:ext uri="{FF2B5EF4-FFF2-40B4-BE49-F238E27FC236}">
                <a16:creationId xmlns:a16="http://schemas.microsoft.com/office/drawing/2014/main" id="{5724FE55-AFD8-4A1C-96BE-A36C0BB8A98A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</a:t>
            </a:r>
            <a:endParaRPr kumimoji="1" lang="en-US" altLang="ja-JP" sz="900"/>
          </a:p>
        </xdr:txBody>
      </xdr:sp>
    </xdr:grpSp>
    <xdr:clientData/>
  </xdr:twoCellAnchor>
  <xdr:twoCellAnchor>
    <xdr:from>
      <xdr:col>12</xdr:col>
      <xdr:colOff>2889</xdr:colOff>
      <xdr:row>70</xdr:row>
      <xdr:rowOff>66733</xdr:rowOff>
    </xdr:from>
    <xdr:to>
      <xdr:col>15</xdr:col>
      <xdr:colOff>7232</xdr:colOff>
      <xdr:row>72</xdr:row>
      <xdr:rowOff>97997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A63CF9D7-47D9-48FA-BC10-9FBFA3108CD5}"/>
            </a:ext>
          </a:extLst>
        </xdr:cNvPr>
        <xdr:cNvGrpSpPr>
          <a:grpSpLocks noChangeAspect="1"/>
        </xdr:cNvGrpSpPr>
      </xdr:nvGrpSpPr>
      <xdr:grpSpPr>
        <a:xfrm>
          <a:off x="2574639" y="12590203"/>
          <a:ext cx="649186" cy="386547"/>
          <a:chOff x="2791277" y="18512804"/>
          <a:chExt cx="771974" cy="419267"/>
        </a:xfrm>
      </xdr:grpSpPr>
      <xdr:sp macro="" textlink="">
        <xdr:nvSpPr>
          <xdr:cNvPr id="52" name="フローチャート: 書類 51">
            <a:extLst>
              <a:ext uri="{FF2B5EF4-FFF2-40B4-BE49-F238E27FC236}">
                <a16:creationId xmlns:a16="http://schemas.microsoft.com/office/drawing/2014/main" id="{0626E552-0AEE-499A-A31D-D85A4681DDBA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7D2348B5-9281-46AD-B492-F8B9824A7DAD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5</xdr:col>
      <xdr:colOff>6868</xdr:colOff>
      <xdr:row>76</xdr:row>
      <xdr:rowOff>75501</xdr:rowOff>
    </xdr:from>
    <xdr:to>
      <xdr:col>8</xdr:col>
      <xdr:colOff>25816</xdr:colOff>
      <xdr:row>78</xdr:row>
      <xdr:rowOff>94065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86001B54-2A88-4C82-96DB-03C1CBE50D4E}"/>
            </a:ext>
          </a:extLst>
        </xdr:cNvPr>
        <xdr:cNvGrpSpPr>
          <a:grpSpLocks noChangeAspect="1"/>
        </xdr:cNvGrpSpPr>
      </xdr:nvGrpSpPr>
      <xdr:grpSpPr>
        <a:xfrm>
          <a:off x="1080336" y="13672439"/>
          <a:ext cx="656170" cy="379561"/>
          <a:chOff x="2791277" y="18512804"/>
          <a:chExt cx="771974" cy="419267"/>
        </a:xfrm>
      </xdr:grpSpPr>
      <xdr:sp macro="" textlink="">
        <xdr:nvSpPr>
          <xdr:cNvPr id="55" name="フローチャート: 書類 54">
            <a:extLst>
              <a:ext uri="{FF2B5EF4-FFF2-40B4-BE49-F238E27FC236}">
                <a16:creationId xmlns:a16="http://schemas.microsoft.com/office/drawing/2014/main" id="{070C1296-6AC8-4B50-83F0-A3E7EDB0F65D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2D4D3905-8358-43B6-9CF4-639F0C3E08C6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9</xdr:col>
      <xdr:colOff>161124</xdr:colOff>
      <xdr:row>57</xdr:row>
      <xdr:rowOff>169983</xdr:rowOff>
    </xdr:from>
    <xdr:to>
      <xdr:col>13</xdr:col>
      <xdr:colOff>132111</xdr:colOff>
      <xdr:row>60</xdr:row>
      <xdr:rowOff>104056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ED706653-6912-48EA-82D2-8AB4F21CF74B}"/>
            </a:ext>
          </a:extLst>
        </xdr:cNvPr>
        <xdr:cNvGrpSpPr/>
      </xdr:nvGrpSpPr>
      <xdr:grpSpPr>
        <a:xfrm>
          <a:off x="2091842" y="10377449"/>
          <a:ext cx="830142" cy="464140"/>
          <a:chOff x="424630" y="5751575"/>
          <a:chExt cx="754741" cy="470825"/>
        </a:xfrm>
      </xdr:grpSpPr>
      <xdr:sp macro="" textlink="">
        <xdr:nvSpPr>
          <xdr:cNvPr id="58" name="フローチャート: 他ページ結合子 57">
            <a:extLst>
              <a:ext uri="{FF2B5EF4-FFF2-40B4-BE49-F238E27FC236}">
                <a16:creationId xmlns:a16="http://schemas.microsoft.com/office/drawing/2014/main" id="{D67290DA-760D-4BC7-ACAD-40DA469A686B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9" name="正方形/長方形 48">
            <a:extLst>
              <a:ext uri="{FF2B5EF4-FFF2-40B4-BE49-F238E27FC236}">
                <a16:creationId xmlns:a16="http://schemas.microsoft.com/office/drawing/2014/main" id="{EFBD87DB-9B31-4EEE-9D01-F9ED3C4ED565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売上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138537</xdr:colOff>
      <xdr:row>60</xdr:row>
      <xdr:rowOff>110406</xdr:rowOff>
    </xdr:from>
    <xdr:to>
      <xdr:col>11</xdr:col>
      <xdr:colOff>138916</xdr:colOff>
      <xdr:row>63</xdr:row>
      <xdr:rowOff>0</xdr:rowOff>
    </xdr:to>
    <xdr:cxnSp macro="">
      <xdr:nvCxnSpPr>
        <xdr:cNvPr id="60" name="直線矢印コネクタ 27">
          <a:extLst>
            <a:ext uri="{FF2B5EF4-FFF2-40B4-BE49-F238E27FC236}">
              <a16:creationId xmlns:a16="http://schemas.microsoft.com/office/drawing/2014/main" id="{32114DCF-47E2-4E9F-90A5-F7E7AC809232}"/>
            </a:ext>
          </a:extLst>
        </xdr:cNvPr>
        <xdr:cNvCxnSpPr>
          <a:cxnSpLocks/>
          <a:stCxn id="58" idx="2"/>
          <a:endCxn id="49" idx="0"/>
        </xdr:cNvCxnSpPr>
      </xdr:nvCxnSpPr>
      <xdr:spPr>
        <a:xfrm>
          <a:off x="2341987" y="9251231"/>
          <a:ext cx="379" cy="4071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122315</xdr:colOff>
      <xdr:row>51</xdr:row>
      <xdr:rowOff>1203</xdr:rowOff>
    </xdr:from>
    <xdr:to>
      <xdr:col>13</xdr:col>
      <xdr:colOff>145911</xdr:colOff>
      <xdr:row>53</xdr:row>
      <xdr:rowOff>114374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D5C502E4-AA37-4DFB-812E-574EB01E9F8F}"/>
            </a:ext>
          </a:extLst>
        </xdr:cNvPr>
        <xdr:cNvGrpSpPr/>
      </xdr:nvGrpSpPr>
      <xdr:grpSpPr>
        <a:xfrm>
          <a:off x="2053033" y="9145203"/>
          <a:ext cx="877036" cy="470359"/>
          <a:chOff x="424630" y="5751575"/>
          <a:chExt cx="754741" cy="470825"/>
        </a:xfrm>
      </xdr:grpSpPr>
      <xdr:sp macro="" textlink="">
        <xdr:nvSpPr>
          <xdr:cNvPr id="62" name="フローチャート: 他ページ結合子 61">
            <a:extLst>
              <a:ext uri="{FF2B5EF4-FFF2-40B4-BE49-F238E27FC236}">
                <a16:creationId xmlns:a16="http://schemas.microsoft.com/office/drawing/2014/main" id="{8CF76D0A-A6E1-48A1-B3FB-FA902B1787A8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3" name="正方形/長方形 48">
            <a:extLst>
              <a:ext uri="{FF2B5EF4-FFF2-40B4-BE49-F238E27FC236}">
                <a16:creationId xmlns:a16="http://schemas.microsoft.com/office/drawing/2014/main" id="{651A8EED-A6EA-4B1C-A007-3C8929EE7BBC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44538</xdr:colOff>
      <xdr:row>98</xdr:row>
      <xdr:rowOff>1079</xdr:rowOff>
    </xdr:from>
    <xdr:to>
      <xdr:col>15</xdr:col>
      <xdr:colOff>0</xdr:colOff>
      <xdr:row>101</xdr:row>
      <xdr:rowOff>18411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4245E466-E852-43B4-9756-33802512B3A8}"/>
            </a:ext>
          </a:extLst>
        </xdr:cNvPr>
        <xdr:cNvGrpSpPr/>
      </xdr:nvGrpSpPr>
      <xdr:grpSpPr>
        <a:xfrm>
          <a:off x="1760943" y="17527079"/>
          <a:ext cx="1453745" cy="556923"/>
          <a:chOff x="1580728" y="2457449"/>
          <a:chExt cx="1013466" cy="381718"/>
        </a:xfrm>
      </xdr:grpSpPr>
      <xdr:sp macro="" textlink="">
        <xdr:nvSpPr>
          <xdr:cNvPr id="65" name="フローチャート: 定義済み処理 64">
            <a:extLst>
              <a:ext uri="{FF2B5EF4-FFF2-40B4-BE49-F238E27FC236}">
                <a16:creationId xmlns:a16="http://schemas.microsoft.com/office/drawing/2014/main" id="{1D6E229E-CC6B-4FE2-904A-00F4CC8A60C2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6" name="正方形/長方形 48">
            <a:extLst>
              <a:ext uri="{FF2B5EF4-FFF2-40B4-BE49-F238E27FC236}">
                <a16:creationId xmlns:a16="http://schemas.microsoft.com/office/drawing/2014/main" id="{2111838A-7970-482E-B460-A0637959C14C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１．請求の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締め処理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9</xdr:col>
      <xdr:colOff>173188</xdr:colOff>
      <xdr:row>93</xdr:row>
      <xdr:rowOff>1158</xdr:rowOff>
    </xdr:from>
    <xdr:to>
      <xdr:col>13</xdr:col>
      <xdr:colOff>141635</xdr:colOff>
      <xdr:row>95</xdr:row>
      <xdr:rowOff>111485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288F0B70-DE60-4077-8914-62D7BD0512CC}"/>
            </a:ext>
          </a:extLst>
        </xdr:cNvPr>
        <xdr:cNvGrpSpPr/>
      </xdr:nvGrpSpPr>
      <xdr:grpSpPr>
        <a:xfrm>
          <a:off x="2098191" y="16634189"/>
          <a:ext cx="827602" cy="467515"/>
          <a:chOff x="424630" y="5751575"/>
          <a:chExt cx="754741" cy="470825"/>
        </a:xfrm>
      </xdr:grpSpPr>
      <xdr:sp macro="" textlink="">
        <xdr:nvSpPr>
          <xdr:cNvPr id="68" name="フローチャート: 他ページ結合子 67">
            <a:extLst>
              <a:ext uri="{FF2B5EF4-FFF2-40B4-BE49-F238E27FC236}">
                <a16:creationId xmlns:a16="http://schemas.microsoft.com/office/drawing/2014/main" id="{A20AC41A-70B4-4EC7-8825-C8774CE2FF19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9" name="正方形/長方形 48">
            <a:extLst>
              <a:ext uri="{FF2B5EF4-FFF2-40B4-BE49-F238E27FC236}">
                <a16:creationId xmlns:a16="http://schemas.microsoft.com/office/drawing/2014/main" id="{5CFD4239-2954-4859-85F0-510A0CC55726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売上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146290</xdr:colOff>
      <xdr:row>95</xdr:row>
      <xdr:rowOff>111485</xdr:rowOff>
    </xdr:from>
    <xdr:to>
      <xdr:col>11</xdr:col>
      <xdr:colOff>147432</xdr:colOff>
      <xdr:row>98</xdr:row>
      <xdr:rowOff>1079</xdr:rowOff>
    </xdr:to>
    <xdr:cxnSp macro="">
      <xdr:nvCxnSpPr>
        <xdr:cNvPr id="70" name="直線矢印コネクタ 27">
          <a:extLst>
            <a:ext uri="{FF2B5EF4-FFF2-40B4-BE49-F238E27FC236}">
              <a16:creationId xmlns:a16="http://schemas.microsoft.com/office/drawing/2014/main" id="{136B23BA-5D7B-4FCC-A07B-734431F4D7CC}"/>
            </a:ext>
          </a:extLst>
        </xdr:cNvPr>
        <xdr:cNvCxnSpPr>
          <a:cxnSpLocks/>
          <a:stCxn id="68" idx="2"/>
          <a:endCxn id="65" idx="0"/>
        </xdr:cNvCxnSpPr>
      </xdr:nvCxnSpPr>
      <xdr:spPr>
        <a:xfrm>
          <a:off x="2343390" y="15256235"/>
          <a:ext cx="1142" cy="40394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27212</xdr:colOff>
      <xdr:row>103</xdr:row>
      <xdr:rowOff>2076</xdr:rowOff>
    </xdr:from>
    <xdr:to>
      <xdr:col>15</xdr:col>
      <xdr:colOff>0</xdr:colOff>
      <xdr:row>106</xdr:row>
      <xdr:rowOff>28298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1F4E08EC-F18E-48BB-B77B-012035650582}"/>
            </a:ext>
          </a:extLst>
        </xdr:cNvPr>
        <xdr:cNvGrpSpPr/>
      </xdr:nvGrpSpPr>
      <xdr:grpSpPr>
        <a:xfrm>
          <a:off x="1739807" y="18421045"/>
          <a:ext cx="1474881" cy="560098"/>
          <a:chOff x="1580728" y="2457449"/>
          <a:chExt cx="1013466" cy="381718"/>
        </a:xfrm>
      </xdr:grpSpPr>
      <xdr:sp macro="" textlink="">
        <xdr:nvSpPr>
          <xdr:cNvPr id="76" name="フローチャート: 定義済み処理 75">
            <a:extLst>
              <a:ext uri="{FF2B5EF4-FFF2-40B4-BE49-F238E27FC236}">
                <a16:creationId xmlns:a16="http://schemas.microsoft.com/office/drawing/2014/main" id="{D874F2A3-9984-47E6-BB54-BC1335D15505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7" name="正方形/長方形 48">
            <a:extLst>
              <a:ext uri="{FF2B5EF4-FFF2-40B4-BE49-F238E27FC236}">
                <a16:creationId xmlns:a16="http://schemas.microsoft.com/office/drawing/2014/main" id="{22756D2A-71E6-475F-B09D-387929278756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２．締め処理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の確定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131794</xdr:colOff>
      <xdr:row>101</xdr:row>
      <xdr:rowOff>11187</xdr:rowOff>
    </xdr:from>
    <xdr:to>
      <xdr:col>11</xdr:col>
      <xdr:colOff>141409</xdr:colOff>
      <xdr:row>103</xdr:row>
      <xdr:rowOff>2076</xdr:rowOff>
    </xdr:to>
    <xdr:cxnSp macro="">
      <xdr:nvCxnSpPr>
        <xdr:cNvPr id="82" name="直線矢印コネクタ 27">
          <a:extLst>
            <a:ext uri="{FF2B5EF4-FFF2-40B4-BE49-F238E27FC236}">
              <a16:creationId xmlns:a16="http://schemas.microsoft.com/office/drawing/2014/main" id="{18609E80-A45D-4E07-88B0-96E581EC5BD8}"/>
            </a:ext>
          </a:extLst>
        </xdr:cNvPr>
        <xdr:cNvCxnSpPr>
          <a:cxnSpLocks/>
          <a:stCxn id="65" idx="2"/>
          <a:endCxn id="76" idx="0"/>
        </xdr:cNvCxnSpPr>
      </xdr:nvCxnSpPr>
      <xdr:spPr>
        <a:xfrm flipH="1">
          <a:off x="2332069" y="16184637"/>
          <a:ext cx="9615" cy="3337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28482</xdr:colOff>
      <xdr:row>108</xdr:row>
      <xdr:rowOff>0</xdr:rowOff>
    </xdr:from>
    <xdr:to>
      <xdr:col>15</xdr:col>
      <xdr:colOff>0</xdr:colOff>
      <xdr:row>111</xdr:row>
      <xdr:rowOff>19237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B1FAC3BD-9A4A-4A3A-9036-7569DF7110E0}"/>
            </a:ext>
          </a:extLst>
        </xdr:cNvPr>
        <xdr:cNvGrpSpPr/>
      </xdr:nvGrpSpPr>
      <xdr:grpSpPr>
        <a:xfrm>
          <a:off x="1741077" y="19311938"/>
          <a:ext cx="1473611" cy="551208"/>
          <a:chOff x="1580728" y="2457449"/>
          <a:chExt cx="1013466" cy="381718"/>
        </a:xfrm>
      </xdr:grpSpPr>
      <xdr:sp macro="" textlink="">
        <xdr:nvSpPr>
          <xdr:cNvPr id="84" name="フローチャート: 定義済み処理 83">
            <a:extLst>
              <a:ext uri="{FF2B5EF4-FFF2-40B4-BE49-F238E27FC236}">
                <a16:creationId xmlns:a16="http://schemas.microsoft.com/office/drawing/2014/main" id="{0870BCC5-1F68-4A82-A5A8-627726AFC116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5" name="正方形/長方形 48">
            <a:extLst>
              <a:ext uri="{FF2B5EF4-FFF2-40B4-BE49-F238E27FC236}">
                <a16:creationId xmlns:a16="http://schemas.microsoft.com/office/drawing/2014/main" id="{C5BE07C8-8D73-46D3-9E63-979C749C1A58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３．請求書の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131005</xdr:colOff>
      <xdr:row>106</xdr:row>
      <xdr:rowOff>11443</xdr:rowOff>
    </xdr:from>
    <xdr:to>
      <xdr:col>11</xdr:col>
      <xdr:colOff>131929</xdr:colOff>
      <xdr:row>108</xdr:row>
      <xdr:rowOff>0</xdr:rowOff>
    </xdr:to>
    <xdr:cxnSp macro="">
      <xdr:nvCxnSpPr>
        <xdr:cNvPr id="90" name="直線矢印コネクタ 27">
          <a:extLst>
            <a:ext uri="{FF2B5EF4-FFF2-40B4-BE49-F238E27FC236}">
              <a16:creationId xmlns:a16="http://schemas.microsoft.com/office/drawing/2014/main" id="{AF777CE9-0D24-43DB-9C89-C8197442DDB7}"/>
            </a:ext>
          </a:extLst>
        </xdr:cNvPr>
        <xdr:cNvCxnSpPr>
          <a:cxnSpLocks/>
          <a:stCxn id="76" idx="2"/>
          <a:endCxn id="84" idx="0"/>
        </xdr:cNvCxnSpPr>
      </xdr:nvCxnSpPr>
      <xdr:spPr>
        <a:xfrm flipH="1">
          <a:off x="2331280" y="17042143"/>
          <a:ext cx="924" cy="3314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102926</xdr:colOff>
      <xdr:row>108</xdr:row>
      <xdr:rowOff>122982</xdr:rowOff>
    </xdr:from>
    <xdr:to>
      <xdr:col>27</xdr:col>
      <xdr:colOff>122375</xdr:colOff>
      <xdr:row>111</xdr:row>
      <xdr:rowOff>92823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EBF163D2-4770-4A74-A8CB-1DFA3212FBC9}"/>
            </a:ext>
          </a:extLst>
        </xdr:cNvPr>
        <xdr:cNvGrpSpPr>
          <a:grpSpLocks noChangeAspect="1"/>
        </xdr:cNvGrpSpPr>
      </xdr:nvGrpSpPr>
      <xdr:grpSpPr>
        <a:xfrm>
          <a:off x="5244521" y="19436825"/>
          <a:ext cx="666197" cy="507527"/>
          <a:chOff x="2791277" y="18457917"/>
          <a:chExt cx="771974" cy="519583"/>
        </a:xfrm>
      </xdr:grpSpPr>
      <xdr:sp macro="" textlink="">
        <xdr:nvSpPr>
          <xdr:cNvPr id="92" name="フローチャート: 書類 91">
            <a:extLst>
              <a:ext uri="{FF2B5EF4-FFF2-40B4-BE49-F238E27FC236}">
                <a16:creationId xmlns:a16="http://schemas.microsoft.com/office/drawing/2014/main" id="{5F4150C3-3F04-45EE-A428-91289BFE5876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6B96CCF5-4F28-4C37-ABE2-F04AC9EA621D}"/>
              </a:ext>
            </a:extLst>
          </xdr:cNvPr>
          <xdr:cNvSpPr/>
        </xdr:nvSpPr>
        <xdr:spPr>
          <a:xfrm>
            <a:off x="2791277" y="18457917"/>
            <a:ext cx="771974" cy="5195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月次締め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8</xdr:col>
      <xdr:colOff>89647</xdr:colOff>
      <xdr:row>116</xdr:row>
      <xdr:rowOff>0</xdr:rowOff>
    </xdr:from>
    <xdr:to>
      <xdr:col>11</xdr:col>
      <xdr:colOff>162272</xdr:colOff>
      <xdr:row>117</xdr:row>
      <xdr:rowOff>34310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50F4C883-F4CE-454C-9907-158C76CC3AB0}"/>
            </a:ext>
          </a:extLst>
        </xdr:cNvPr>
        <xdr:cNvSpPr txBox="1"/>
      </xdr:nvSpPr>
      <xdr:spPr>
        <a:xfrm>
          <a:off x="1686672" y="18745200"/>
          <a:ext cx="672700" cy="20258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メール送付</a:t>
          </a:r>
        </a:p>
      </xdr:txBody>
    </xdr:sp>
    <xdr:clientData/>
  </xdr:twoCellAnchor>
  <xdr:twoCellAnchor>
    <xdr:from>
      <xdr:col>8</xdr:col>
      <xdr:colOff>161562</xdr:colOff>
      <xdr:row>112</xdr:row>
      <xdr:rowOff>170480</xdr:rowOff>
    </xdr:from>
    <xdr:to>
      <xdr:col>14</xdr:col>
      <xdr:colOff>60113</xdr:colOff>
      <xdr:row>116</xdr:row>
      <xdr:rowOff>16312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2AA8C42B-7C9D-4066-928D-2795BA69BF9E}"/>
            </a:ext>
          </a:extLst>
        </xdr:cNvPr>
        <xdr:cNvGrpSpPr/>
      </xdr:nvGrpSpPr>
      <xdr:grpSpPr>
        <a:xfrm>
          <a:off x="1877967" y="20200603"/>
          <a:ext cx="1178711" cy="560207"/>
          <a:chOff x="1612900" y="2452118"/>
          <a:chExt cx="933032" cy="382461"/>
        </a:xfrm>
      </xdr:grpSpPr>
      <xdr:sp macro="" textlink="">
        <xdr:nvSpPr>
          <xdr:cNvPr id="96" name="フローチャート: 処理 95">
            <a:extLst>
              <a:ext uri="{FF2B5EF4-FFF2-40B4-BE49-F238E27FC236}">
                <a16:creationId xmlns:a16="http://schemas.microsoft.com/office/drawing/2014/main" id="{262E019A-2DCC-4FFE-B31D-3E00C2367DC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97" name="正方形/長方形 48">
            <a:extLst>
              <a:ext uri="{FF2B5EF4-FFF2-40B4-BE49-F238E27FC236}">
                <a16:creationId xmlns:a16="http://schemas.microsoft.com/office/drawing/2014/main" id="{428EC758-8245-4F77-B0D9-C8E3619478CE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４．請求書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の送付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130489</xdr:colOff>
      <xdr:row>111</xdr:row>
      <xdr:rowOff>8803</xdr:rowOff>
    </xdr:from>
    <xdr:to>
      <xdr:col>11</xdr:col>
      <xdr:colOff>131948</xdr:colOff>
      <xdr:row>112</xdr:row>
      <xdr:rowOff>181006</xdr:rowOff>
    </xdr:to>
    <xdr:cxnSp macro="">
      <xdr:nvCxnSpPr>
        <xdr:cNvPr id="98" name="直線矢印コネクタ 27">
          <a:extLst>
            <a:ext uri="{FF2B5EF4-FFF2-40B4-BE49-F238E27FC236}">
              <a16:creationId xmlns:a16="http://schemas.microsoft.com/office/drawing/2014/main" id="{6B210CBD-8176-4881-A0AA-98D9DFE7B3F1}"/>
            </a:ext>
          </a:extLst>
        </xdr:cNvPr>
        <xdr:cNvCxnSpPr>
          <a:cxnSpLocks/>
          <a:stCxn id="84" idx="2"/>
          <a:endCxn id="96" idx="0"/>
        </xdr:cNvCxnSpPr>
      </xdr:nvCxnSpPr>
      <xdr:spPr>
        <a:xfrm flipH="1">
          <a:off x="2330764" y="17899928"/>
          <a:ext cx="1459" cy="3277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153336</xdr:colOff>
      <xdr:row>119</xdr:row>
      <xdr:rowOff>0</xdr:rowOff>
    </xdr:from>
    <xdr:to>
      <xdr:col>7</xdr:col>
      <xdr:colOff>55061</xdr:colOff>
      <xdr:row>122</xdr:row>
      <xdr:rowOff>27441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E7997A67-6677-49B2-AB6A-C42C7E704006}"/>
            </a:ext>
          </a:extLst>
        </xdr:cNvPr>
        <xdr:cNvGrpSpPr/>
      </xdr:nvGrpSpPr>
      <xdr:grpSpPr>
        <a:xfrm>
          <a:off x="367649" y="21276469"/>
          <a:ext cx="1191410" cy="561317"/>
          <a:chOff x="1612900" y="2452118"/>
          <a:chExt cx="933032" cy="382461"/>
        </a:xfrm>
      </xdr:grpSpPr>
      <xdr:sp macro="" textlink="">
        <xdr:nvSpPr>
          <xdr:cNvPr id="100" name="フローチャート: 処理 99">
            <a:extLst>
              <a:ext uri="{FF2B5EF4-FFF2-40B4-BE49-F238E27FC236}">
                <a16:creationId xmlns:a16="http://schemas.microsoft.com/office/drawing/2014/main" id="{F62D5415-CBE8-45F0-8CA4-F0D261D71D1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1" name="正方形/長方形 48">
            <a:extLst>
              <a:ext uri="{FF2B5EF4-FFF2-40B4-BE49-F238E27FC236}">
                <a16:creationId xmlns:a16="http://schemas.microsoft.com/office/drawing/2014/main" id="{735F7D50-6AA5-4004-861B-CB24BF41E5C0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５．請求書の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121025</xdr:colOff>
      <xdr:row>116</xdr:row>
      <xdr:rowOff>20123</xdr:rowOff>
    </xdr:from>
    <xdr:to>
      <xdr:col>11</xdr:col>
      <xdr:colOff>114013</xdr:colOff>
      <xdr:row>119</xdr:row>
      <xdr:rowOff>8041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EA354771-98EC-4872-BB26-E8E19991A880}"/>
            </a:ext>
          </a:extLst>
        </xdr:cNvPr>
        <xdr:cNvCxnSpPr>
          <a:cxnSpLocks/>
          <a:stCxn id="97" idx="2"/>
          <a:endCxn id="100" idx="0"/>
        </xdr:cNvCxnSpPr>
      </xdr:nvCxnSpPr>
      <xdr:spPr>
        <a:xfrm rot="5400000">
          <a:off x="1366572" y="18323051"/>
          <a:ext cx="505443" cy="138998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86393</xdr:colOff>
      <xdr:row>86</xdr:row>
      <xdr:rowOff>120952</xdr:rowOff>
    </xdr:from>
    <xdr:to>
      <xdr:col>7</xdr:col>
      <xdr:colOff>142875</xdr:colOff>
      <xdr:row>91</xdr:row>
      <xdr:rowOff>66675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D3A4CCE4-309D-4536-AD1F-338ED172C84E}"/>
            </a:ext>
          </a:extLst>
        </xdr:cNvPr>
        <xdr:cNvGrpSpPr/>
      </xdr:nvGrpSpPr>
      <xdr:grpSpPr>
        <a:xfrm>
          <a:off x="302611" y="15505732"/>
          <a:ext cx="1338547" cy="834882"/>
          <a:chOff x="152164" y="5638432"/>
          <a:chExt cx="1249924" cy="868136"/>
        </a:xfrm>
      </xdr:grpSpPr>
      <xdr:sp macro="" textlink="">
        <xdr:nvSpPr>
          <xdr:cNvPr id="104" name="フローチャート: 他ページ結合子 103">
            <a:extLst>
              <a:ext uri="{FF2B5EF4-FFF2-40B4-BE49-F238E27FC236}">
                <a16:creationId xmlns:a16="http://schemas.microsoft.com/office/drawing/2014/main" id="{BF13DAE8-6164-4336-931D-F71E74724070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5" name="正方形/長方形 48">
            <a:extLst>
              <a:ext uri="{FF2B5EF4-FFF2-40B4-BE49-F238E27FC236}">
                <a16:creationId xmlns:a16="http://schemas.microsoft.com/office/drawing/2014/main" id="{62A864B4-09B2-4DBD-946D-43832A4061AD}"/>
              </a:ext>
            </a:extLst>
          </xdr:cNvPr>
          <xdr:cNvSpPr/>
        </xdr:nvSpPr>
        <xdr:spPr>
          <a:xfrm>
            <a:off x="152164" y="5638432"/>
            <a:ext cx="1249924" cy="8681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115529</xdr:colOff>
      <xdr:row>77</xdr:row>
      <xdr:rowOff>13470</xdr:rowOff>
    </xdr:from>
    <xdr:to>
      <xdr:col>4</xdr:col>
      <xdr:colOff>122288</xdr:colOff>
      <xdr:row>80</xdr:row>
      <xdr:rowOff>95250</xdr:rowOff>
    </xdr:to>
    <xdr:cxnSp macro="">
      <xdr:nvCxnSpPr>
        <xdr:cNvPr id="106" name="直線矢印コネクタ 27">
          <a:extLst>
            <a:ext uri="{FF2B5EF4-FFF2-40B4-BE49-F238E27FC236}">
              <a16:creationId xmlns:a16="http://schemas.microsoft.com/office/drawing/2014/main" id="{01F3469B-5ABB-41D6-AC9F-D274339B2CF0}"/>
            </a:ext>
          </a:extLst>
        </xdr:cNvPr>
        <xdr:cNvCxnSpPr>
          <a:cxnSpLocks/>
          <a:stCxn id="38" idx="2"/>
          <a:endCxn id="115" idx="0"/>
        </xdr:cNvCxnSpPr>
      </xdr:nvCxnSpPr>
      <xdr:spPr>
        <a:xfrm>
          <a:off x="915629" y="12068945"/>
          <a:ext cx="9934" cy="5993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104199</xdr:colOff>
      <xdr:row>122</xdr:row>
      <xdr:rowOff>33791</xdr:rowOff>
    </xdr:from>
    <xdr:to>
      <xdr:col>4</xdr:col>
      <xdr:colOff>115270</xdr:colOff>
      <xdr:row>124</xdr:row>
      <xdr:rowOff>171450</xdr:rowOff>
    </xdr:to>
    <xdr:cxnSp macro="">
      <xdr:nvCxnSpPr>
        <xdr:cNvPr id="107" name="直線矢印コネクタ 27">
          <a:extLst>
            <a:ext uri="{FF2B5EF4-FFF2-40B4-BE49-F238E27FC236}">
              <a16:creationId xmlns:a16="http://schemas.microsoft.com/office/drawing/2014/main" id="{AB1D885F-A403-477F-A5FC-ABD0A26C60CB}"/>
            </a:ext>
          </a:extLst>
        </xdr:cNvPr>
        <xdr:cNvCxnSpPr>
          <a:cxnSpLocks/>
          <a:stCxn id="101" idx="2"/>
          <a:endCxn id="126" idx="0"/>
        </xdr:cNvCxnSpPr>
      </xdr:nvCxnSpPr>
      <xdr:spPr>
        <a:xfrm>
          <a:off x="907474" y="19804516"/>
          <a:ext cx="7896" cy="483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115</xdr:row>
      <xdr:rowOff>19050</xdr:rowOff>
    </xdr:from>
    <xdr:to>
      <xdr:col>14</xdr:col>
      <xdr:colOff>180964</xdr:colOff>
      <xdr:row>118</xdr:row>
      <xdr:rowOff>9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C1AC58D2-EA18-49A5-81FE-4E343FA64AE5}"/>
            </a:ext>
          </a:extLst>
        </xdr:cNvPr>
        <xdr:cNvGrpSpPr>
          <a:grpSpLocks noChangeAspect="1"/>
        </xdr:cNvGrpSpPr>
      </xdr:nvGrpSpPr>
      <xdr:grpSpPr>
        <a:xfrm>
          <a:off x="2509838" y="20577334"/>
          <a:ext cx="669596" cy="520550"/>
          <a:chOff x="2791277" y="18457917"/>
          <a:chExt cx="771974" cy="519583"/>
        </a:xfrm>
      </xdr:grpSpPr>
      <xdr:sp macro="" textlink="">
        <xdr:nvSpPr>
          <xdr:cNvPr id="109" name="フローチャート: 書類 108">
            <a:extLst>
              <a:ext uri="{FF2B5EF4-FFF2-40B4-BE49-F238E27FC236}">
                <a16:creationId xmlns:a16="http://schemas.microsoft.com/office/drawing/2014/main" id="{0773A953-50D8-489D-B096-66DF6F2193F3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90E1DDD6-33EA-4C33-AA89-9318CDE6D196}"/>
              </a:ext>
            </a:extLst>
          </xdr:cNvPr>
          <xdr:cNvSpPr/>
        </xdr:nvSpPr>
        <xdr:spPr>
          <a:xfrm>
            <a:off x="2791277" y="18457917"/>
            <a:ext cx="771974" cy="5195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月次締め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5</xdr:col>
      <xdr:colOff>0</xdr:colOff>
      <xdr:row>120</xdr:row>
      <xdr:rowOff>161925</xdr:rowOff>
    </xdr:from>
    <xdr:to>
      <xdr:col>8</xdr:col>
      <xdr:colOff>19039</xdr:colOff>
      <xdr:row>123</xdr:row>
      <xdr:rowOff>133359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F67C2D57-40F4-4837-81A5-0124EFD31423}"/>
            </a:ext>
          </a:extLst>
        </xdr:cNvPr>
        <xdr:cNvGrpSpPr>
          <a:grpSpLocks noChangeAspect="1"/>
        </xdr:cNvGrpSpPr>
      </xdr:nvGrpSpPr>
      <xdr:grpSpPr>
        <a:xfrm>
          <a:off x="1071563" y="21618893"/>
          <a:ext cx="665786" cy="501500"/>
          <a:chOff x="2791277" y="18457917"/>
          <a:chExt cx="771974" cy="519583"/>
        </a:xfrm>
      </xdr:grpSpPr>
      <xdr:sp macro="" textlink="">
        <xdr:nvSpPr>
          <xdr:cNvPr id="112" name="フローチャート: 書類 111">
            <a:extLst>
              <a:ext uri="{FF2B5EF4-FFF2-40B4-BE49-F238E27FC236}">
                <a16:creationId xmlns:a16="http://schemas.microsoft.com/office/drawing/2014/main" id="{B5ADC153-540E-48D3-8D06-0D656CB79E9B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16ED4639-E872-429C-ADA8-B5E123F602DA}"/>
              </a:ext>
            </a:extLst>
          </xdr:cNvPr>
          <xdr:cNvSpPr/>
        </xdr:nvSpPr>
        <xdr:spPr>
          <a:xfrm>
            <a:off x="2791277" y="18457917"/>
            <a:ext cx="771974" cy="5195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月次締め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2</xdr:col>
      <xdr:colOff>9525</xdr:colOff>
      <xdr:row>80</xdr:row>
      <xdr:rowOff>95250</xdr:rowOff>
    </xdr:from>
    <xdr:to>
      <xdr:col>7</xdr:col>
      <xdr:colOff>28575</xdr:colOff>
      <xdr:row>83</xdr:row>
      <xdr:rowOff>63500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735F08E8-2C42-42A7-B90D-883B7B27782A}"/>
            </a:ext>
          </a:extLst>
        </xdr:cNvPr>
        <xdr:cNvGrpSpPr/>
      </xdr:nvGrpSpPr>
      <xdr:grpSpPr>
        <a:xfrm>
          <a:off x="440055" y="14402753"/>
          <a:ext cx="1086803" cy="504031"/>
          <a:chOff x="285750" y="4845050"/>
          <a:chExt cx="1003300" cy="488950"/>
        </a:xfrm>
      </xdr:grpSpPr>
      <xdr:sp macro="" textlink="">
        <xdr:nvSpPr>
          <xdr:cNvPr id="115" name="フローチャート: 判断 114">
            <a:extLst>
              <a:ext uri="{FF2B5EF4-FFF2-40B4-BE49-F238E27FC236}">
                <a16:creationId xmlns:a16="http://schemas.microsoft.com/office/drawing/2014/main" id="{C9EE2338-0D33-4CA5-A5AA-8742C24B70D2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6" name="正方形/長方形 48">
            <a:extLst>
              <a:ext uri="{FF2B5EF4-FFF2-40B4-BE49-F238E27FC236}">
                <a16:creationId xmlns:a16="http://schemas.microsoft.com/office/drawing/2014/main" id="{CD5A9BF6-E097-48EC-B7F1-3F8AA27957B6}"/>
              </a:ext>
            </a:extLst>
          </xdr:cNvPr>
          <xdr:cNvSpPr/>
        </xdr:nvSpPr>
        <xdr:spPr>
          <a:xfrm>
            <a:off x="285750" y="4927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入金が</a:t>
            </a:r>
            <a:r>
              <a:rPr kumimoji="1" lang="en-US" altLang="ja-JP" sz="900"/>
              <a:t>EB</a:t>
            </a:r>
            <a:r>
              <a:rPr kumimoji="1" lang="ja-JP" altLang="en-US" sz="900"/>
              <a:t>取込か</a:t>
            </a:r>
          </a:p>
        </xdr:txBody>
      </xdr:sp>
    </xdr:grpSp>
    <xdr:clientData/>
  </xdr:twoCellAnchor>
  <xdr:twoCellAnchor>
    <xdr:from>
      <xdr:col>4</xdr:col>
      <xdr:colOff>122288</xdr:colOff>
      <xdr:row>83</xdr:row>
      <xdr:rowOff>69850</xdr:rowOff>
    </xdr:from>
    <xdr:to>
      <xdr:col>4</xdr:col>
      <xdr:colOff>126914</xdr:colOff>
      <xdr:row>87</xdr:row>
      <xdr:rowOff>70699</xdr:rowOff>
    </xdr:to>
    <xdr:cxnSp macro="">
      <xdr:nvCxnSpPr>
        <xdr:cNvPr id="117" name="直線矢印コネクタ 27">
          <a:extLst>
            <a:ext uri="{FF2B5EF4-FFF2-40B4-BE49-F238E27FC236}">
              <a16:creationId xmlns:a16="http://schemas.microsoft.com/office/drawing/2014/main" id="{9DB8985D-71F9-45B1-BF79-9F9D1A3E3B3C}"/>
            </a:ext>
          </a:extLst>
        </xdr:cNvPr>
        <xdr:cNvCxnSpPr>
          <a:cxnSpLocks/>
          <a:stCxn id="115" idx="2"/>
          <a:endCxn id="104" idx="0"/>
        </xdr:cNvCxnSpPr>
      </xdr:nvCxnSpPr>
      <xdr:spPr>
        <a:xfrm>
          <a:off x="925563" y="13154025"/>
          <a:ext cx="0" cy="68664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153068</xdr:colOff>
      <xdr:row>87</xdr:row>
      <xdr:rowOff>302</xdr:rowOff>
    </xdr:from>
    <xdr:to>
      <xdr:col>14</xdr:col>
      <xdr:colOff>111125</xdr:colOff>
      <xdr:row>91</xdr:row>
      <xdr:rowOff>15877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2E698F6A-B048-45FC-ACC0-AE51255B9887}"/>
            </a:ext>
          </a:extLst>
        </xdr:cNvPr>
        <xdr:cNvGrpSpPr/>
      </xdr:nvGrpSpPr>
      <xdr:grpSpPr>
        <a:xfrm>
          <a:off x="1438943" y="15561771"/>
          <a:ext cx="1672557" cy="733760"/>
          <a:chOff x="44348" y="5692714"/>
          <a:chExt cx="1554637" cy="766343"/>
        </a:xfrm>
      </xdr:grpSpPr>
      <xdr:sp macro="" textlink="">
        <xdr:nvSpPr>
          <xdr:cNvPr id="119" name="フローチャート: 他ページ結合子 118">
            <a:extLst>
              <a:ext uri="{FF2B5EF4-FFF2-40B4-BE49-F238E27FC236}">
                <a16:creationId xmlns:a16="http://schemas.microsoft.com/office/drawing/2014/main" id="{2D15E7A6-45D4-4759-9439-F15E9B87EA76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0" name="正方形/長方形 48">
            <a:extLst>
              <a:ext uri="{FF2B5EF4-FFF2-40B4-BE49-F238E27FC236}">
                <a16:creationId xmlns:a16="http://schemas.microsoft.com/office/drawing/2014/main" id="{3986B87C-411F-4F27-91F8-35815D5C2DCD}"/>
              </a:ext>
            </a:extLst>
          </xdr:cNvPr>
          <xdr:cNvSpPr/>
        </xdr:nvSpPr>
        <xdr:spPr>
          <a:xfrm>
            <a:off x="44348" y="5692714"/>
            <a:ext cx="1554637" cy="7663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取り込み以外）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151194</xdr:colOff>
      <xdr:row>81</xdr:row>
      <xdr:rowOff>173038</xdr:rowOff>
    </xdr:from>
    <xdr:to>
      <xdr:col>10</xdr:col>
      <xdr:colOff>98340</xdr:colOff>
      <xdr:row>87</xdr:row>
      <xdr:rowOff>70699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4B6C1A72-AD21-43BD-A359-321F7C2D75E8}"/>
            </a:ext>
          </a:extLst>
        </xdr:cNvPr>
        <xdr:cNvCxnSpPr>
          <a:cxnSpLocks/>
          <a:stCxn id="115" idx="3"/>
          <a:endCxn id="119" idx="0"/>
        </xdr:cNvCxnSpPr>
      </xdr:nvCxnSpPr>
      <xdr:spPr>
        <a:xfrm>
          <a:off x="1351344" y="12917488"/>
          <a:ext cx="747246" cy="923186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101600</xdr:colOff>
      <xdr:row>131</xdr:row>
      <xdr:rowOff>66977</xdr:rowOff>
    </xdr:from>
    <xdr:to>
      <xdr:col>7</xdr:col>
      <xdr:colOff>142207</xdr:colOff>
      <xdr:row>135</xdr:row>
      <xdr:rowOff>82550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8278BA6A-E656-4AE2-860E-5AA36B9157ED}"/>
            </a:ext>
          </a:extLst>
        </xdr:cNvPr>
        <xdr:cNvGrpSpPr/>
      </xdr:nvGrpSpPr>
      <xdr:grpSpPr>
        <a:xfrm>
          <a:off x="312103" y="23484666"/>
          <a:ext cx="1328387" cy="733758"/>
          <a:chOff x="170782" y="5696438"/>
          <a:chExt cx="1249924" cy="766343"/>
        </a:xfrm>
      </xdr:grpSpPr>
      <xdr:sp macro="" textlink="">
        <xdr:nvSpPr>
          <xdr:cNvPr id="123" name="フローチャート: 他ページ結合子 122">
            <a:extLst>
              <a:ext uri="{FF2B5EF4-FFF2-40B4-BE49-F238E27FC236}">
                <a16:creationId xmlns:a16="http://schemas.microsoft.com/office/drawing/2014/main" id="{8D88080F-D60B-443F-AF0C-8F03CA6C961A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4" name="正方形/長方形 48">
            <a:extLst>
              <a:ext uri="{FF2B5EF4-FFF2-40B4-BE49-F238E27FC236}">
                <a16:creationId xmlns:a16="http://schemas.microsoft.com/office/drawing/2014/main" id="{55747E0D-B0DB-40B6-AE04-406FB24F10E0}"/>
              </a:ext>
            </a:extLst>
          </xdr:cNvPr>
          <xdr:cNvSpPr/>
        </xdr:nvSpPr>
        <xdr:spPr>
          <a:xfrm>
            <a:off x="170782" y="5696438"/>
            <a:ext cx="1249924" cy="7663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2507</xdr:colOff>
      <xdr:row>125</xdr:row>
      <xdr:rowOff>0</xdr:rowOff>
    </xdr:from>
    <xdr:to>
      <xdr:col>7</xdr:col>
      <xdr:colOff>21557</xdr:colOff>
      <xdr:row>127</xdr:row>
      <xdr:rowOff>139700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5D85BFB2-4E57-4605-AA57-B93719482CEC}"/>
            </a:ext>
          </a:extLst>
        </xdr:cNvPr>
        <xdr:cNvGrpSpPr/>
      </xdr:nvGrpSpPr>
      <xdr:grpSpPr>
        <a:xfrm>
          <a:off x="431132" y="22348031"/>
          <a:ext cx="1086803" cy="493078"/>
          <a:chOff x="285750" y="4845050"/>
          <a:chExt cx="1003300" cy="488950"/>
        </a:xfrm>
      </xdr:grpSpPr>
      <xdr:sp macro="" textlink="">
        <xdr:nvSpPr>
          <xdr:cNvPr id="126" name="フローチャート: 判断 125">
            <a:extLst>
              <a:ext uri="{FF2B5EF4-FFF2-40B4-BE49-F238E27FC236}">
                <a16:creationId xmlns:a16="http://schemas.microsoft.com/office/drawing/2014/main" id="{B2CC69A1-E6A1-4DAD-8746-C7CA6DC3A4D3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7" name="正方形/長方形 48">
            <a:extLst>
              <a:ext uri="{FF2B5EF4-FFF2-40B4-BE49-F238E27FC236}">
                <a16:creationId xmlns:a16="http://schemas.microsoft.com/office/drawing/2014/main" id="{ACF39D1B-4504-47E4-A4DB-CBDFC5E60DA5}"/>
              </a:ext>
            </a:extLst>
          </xdr:cNvPr>
          <xdr:cNvSpPr/>
        </xdr:nvSpPr>
        <xdr:spPr>
          <a:xfrm>
            <a:off x="285750" y="4927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入金が</a:t>
            </a:r>
            <a:r>
              <a:rPr kumimoji="1" lang="en-US" altLang="ja-JP" sz="900"/>
              <a:t>EB</a:t>
            </a:r>
            <a:r>
              <a:rPr kumimoji="1" lang="ja-JP" altLang="en-US" sz="900"/>
              <a:t>取込か</a:t>
            </a:r>
          </a:p>
        </xdr:txBody>
      </xdr:sp>
    </xdr:grpSp>
    <xdr:clientData/>
  </xdr:twoCellAnchor>
  <xdr:twoCellAnchor>
    <xdr:from>
      <xdr:col>4</xdr:col>
      <xdr:colOff>115270</xdr:colOff>
      <xdr:row>127</xdr:row>
      <xdr:rowOff>146050</xdr:rowOff>
    </xdr:from>
    <xdr:to>
      <xdr:col>4</xdr:col>
      <xdr:colOff>119896</xdr:colOff>
      <xdr:row>131</xdr:row>
      <xdr:rowOff>146899</xdr:rowOff>
    </xdr:to>
    <xdr:cxnSp macro="">
      <xdr:nvCxnSpPr>
        <xdr:cNvPr id="128" name="直線矢印コネクタ 27">
          <a:extLst>
            <a:ext uri="{FF2B5EF4-FFF2-40B4-BE49-F238E27FC236}">
              <a16:creationId xmlns:a16="http://schemas.microsoft.com/office/drawing/2014/main" id="{E7FBA3C1-3FE9-477D-BC17-F37A95D00B0C}"/>
            </a:ext>
          </a:extLst>
        </xdr:cNvPr>
        <xdr:cNvCxnSpPr>
          <a:cxnSpLocks/>
          <a:stCxn id="126" idx="2"/>
          <a:endCxn id="123" idx="0"/>
        </xdr:cNvCxnSpPr>
      </xdr:nvCxnSpPr>
      <xdr:spPr>
        <a:xfrm>
          <a:off x="915370" y="20774025"/>
          <a:ext cx="7801" cy="68664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131</xdr:row>
      <xdr:rowOff>73327</xdr:rowOff>
    </xdr:from>
    <xdr:to>
      <xdr:col>14</xdr:col>
      <xdr:colOff>85057</xdr:colOff>
      <xdr:row>135</xdr:row>
      <xdr:rowOff>95250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39EDCEA7-98A0-4654-AB5D-FA349890CE8F}"/>
            </a:ext>
          </a:extLst>
        </xdr:cNvPr>
        <xdr:cNvGrpSpPr/>
      </xdr:nvGrpSpPr>
      <xdr:grpSpPr>
        <a:xfrm>
          <a:off x="1415415" y="23492921"/>
          <a:ext cx="1671922" cy="732488"/>
          <a:chOff x="31222" y="5702853"/>
          <a:chExt cx="1554637" cy="766343"/>
        </a:xfrm>
      </xdr:grpSpPr>
      <xdr:sp macro="" textlink="">
        <xdr:nvSpPr>
          <xdr:cNvPr id="130" name="フローチャート: 他ページ結合子 129">
            <a:extLst>
              <a:ext uri="{FF2B5EF4-FFF2-40B4-BE49-F238E27FC236}">
                <a16:creationId xmlns:a16="http://schemas.microsoft.com/office/drawing/2014/main" id="{AB210392-5FB8-4E49-B58C-849F24E024D5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1" name="正方形/長方形 48">
            <a:extLst>
              <a:ext uri="{FF2B5EF4-FFF2-40B4-BE49-F238E27FC236}">
                <a16:creationId xmlns:a16="http://schemas.microsoft.com/office/drawing/2014/main" id="{3E026C48-DBA8-4AB5-8A3C-54380E9ACA19}"/>
              </a:ext>
            </a:extLst>
          </xdr:cNvPr>
          <xdr:cNvSpPr/>
        </xdr:nvSpPr>
        <xdr:spPr>
          <a:xfrm>
            <a:off x="31222" y="5702853"/>
            <a:ext cx="1554637" cy="7663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取り込み以外）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144176</xdr:colOff>
      <xdr:row>126</xdr:row>
      <xdr:rowOff>68263</xdr:rowOff>
    </xdr:from>
    <xdr:to>
      <xdr:col>10</xdr:col>
      <xdr:colOff>91322</xdr:colOff>
      <xdr:row>131</xdr:row>
      <xdr:rowOff>144770</xdr:rowOff>
    </xdr:to>
    <xdr:cxnSp macro="">
      <xdr:nvCxnSpPr>
        <xdr:cNvPr id="132" name="コネクタ: カギ線 131">
          <a:extLst>
            <a:ext uri="{FF2B5EF4-FFF2-40B4-BE49-F238E27FC236}">
              <a16:creationId xmlns:a16="http://schemas.microsoft.com/office/drawing/2014/main" id="{76BD3C9C-F6B2-4824-9F65-906A4E60C1C3}"/>
            </a:ext>
          </a:extLst>
        </xdr:cNvPr>
        <xdr:cNvCxnSpPr>
          <a:cxnSpLocks/>
          <a:stCxn id="126" idx="3"/>
          <a:endCxn id="130" idx="0"/>
        </xdr:cNvCxnSpPr>
      </xdr:nvCxnSpPr>
      <xdr:spPr>
        <a:xfrm>
          <a:off x="1341151" y="20524788"/>
          <a:ext cx="747246" cy="933757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83</xdr:row>
      <xdr:rowOff>114300</xdr:rowOff>
    </xdr:from>
    <xdr:to>
      <xdr:col>6</xdr:col>
      <xdr:colOff>158003</xdr:colOff>
      <xdr:row>84</xdr:row>
      <xdr:rowOff>160907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4D67DB80-D85E-43EA-B7FE-A3D9B4FD8D3C}"/>
            </a:ext>
          </a:extLst>
        </xdr:cNvPr>
        <xdr:cNvSpPr txBox="1"/>
      </xdr:nvSpPr>
      <xdr:spPr>
        <a:xfrm>
          <a:off x="958850" y="13201650"/>
          <a:ext cx="402478" cy="221232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8</xdr:col>
      <xdr:colOff>76200</xdr:colOff>
      <xdr:row>80</xdr:row>
      <xdr:rowOff>114299</xdr:rowOff>
    </xdr:from>
    <xdr:to>
      <xdr:col>11</xdr:col>
      <xdr:colOff>28575</xdr:colOff>
      <xdr:row>81</xdr:row>
      <xdr:rowOff>171449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C6779FCF-C2D2-4A82-B15D-757F9F49B913}"/>
            </a:ext>
          </a:extLst>
        </xdr:cNvPr>
        <xdr:cNvSpPr txBox="1"/>
      </xdr:nvSpPr>
      <xdr:spPr>
        <a:xfrm>
          <a:off x="1676400" y="12687299"/>
          <a:ext cx="549275" cy="22860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8</xdr:col>
      <xdr:colOff>66675</xdr:colOff>
      <xdr:row>124</xdr:row>
      <xdr:rowOff>161925</xdr:rowOff>
    </xdr:from>
    <xdr:to>
      <xdr:col>11</xdr:col>
      <xdr:colOff>19050</xdr:colOff>
      <xdr:row>126</xdr:row>
      <xdr:rowOff>38100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1F5B2FE6-98D8-48DD-8EF8-6216F85310AD}"/>
            </a:ext>
          </a:extLst>
        </xdr:cNvPr>
        <xdr:cNvSpPr txBox="1"/>
      </xdr:nvSpPr>
      <xdr:spPr>
        <a:xfrm>
          <a:off x="1663700" y="20275550"/>
          <a:ext cx="555625" cy="22225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4</xdr:col>
      <xdr:colOff>133350</xdr:colOff>
      <xdr:row>127</xdr:row>
      <xdr:rowOff>171450</xdr:rowOff>
    </xdr:from>
    <xdr:to>
      <xdr:col>6</xdr:col>
      <xdr:colOff>129428</xdr:colOff>
      <xdr:row>129</xdr:row>
      <xdr:rowOff>37082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45E63643-BC6D-4F03-AD95-7D982661AE08}"/>
            </a:ext>
          </a:extLst>
        </xdr:cNvPr>
        <xdr:cNvSpPr txBox="1"/>
      </xdr:nvSpPr>
      <xdr:spPr>
        <a:xfrm>
          <a:off x="933450" y="20802600"/>
          <a:ext cx="392953" cy="208532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22</xdr:col>
      <xdr:colOff>155141</xdr:colOff>
      <xdr:row>16</xdr:row>
      <xdr:rowOff>115234</xdr:rowOff>
    </xdr:from>
    <xdr:to>
      <xdr:col>27</xdr:col>
      <xdr:colOff>194102</xdr:colOff>
      <xdr:row>20</xdr:row>
      <xdr:rowOff>98905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88BF5A15-4059-49F5-90C1-CA96AA9919D4}"/>
            </a:ext>
          </a:extLst>
        </xdr:cNvPr>
        <xdr:cNvGrpSpPr>
          <a:grpSpLocks noChangeAspect="1"/>
        </xdr:cNvGrpSpPr>
      </xdr:nvGrpSpPr>
      <xdr:grpSpPr>
        <a:xfrm>
          <a:off x="4870016" y="3020359"/>
          <a:ext cx="1110524" cy="694236"/>
          <a:chOff x="7112000" y="2892425"/>
          <a:chExt cx="873125" cy="584982"/>
        </a:xfrm>
      </xdr:grpSpPr>
      <xdr:sp macro="" textlink="">
        <xdr:nvSpPr>
          <xdr:cNvPr id="171" name="フローチャート: 磁気ディスク 170">
            <a:extLst>
              <a:ext uri="{FF2B5EF4-FFF2-40B4-BE49-F238E27FC236}">
                <a16:creationId xmlns:a16="http://schemas.microsoft.com/office/drawing/2014/main" id="{769AFF1B-7C6A-48C5-8FFC-2562DA9D3D1C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AC0C5678-75D1-42A6-888B-B7CC114680C7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</a:p>
          <a:p>
            <a:pPr algn="ctr"/>
            <a:r>
              <a:rPr kumimoji="1" lang="ja-JP" altLang="en-US" sz="900"/>
              <a:t>（</a:t>
            </a:r>
            <a:r>
              <a:rPr kumimoji="1" lang="en-US" altLang="ja-JP" sz="900"/>
              <a:t>SSJ,</a:t>
            </a:r>
            <a:r>
              <a:rPr kumimoji="1" lang="ja-JP" altLang="en-US" sz="900"/>
              <a:t>売上）</a:t>
            </a:r>
            <a:endParaRPr kumimoji="1" lang="en-US" altLang="ja-JP" sz="900"/>
          </a:p>
        </xdr:txBody>
      </xdr:sp>
    </xdr:grpSp>
    <xdr:clientData/>
  </xdr:twoCellAnchor>
  <xdr:twoCellAnchor>
    <xdr:from>
      <xdr:col>14</xdr:col>
      <xdr:colOff>7937</xdr:colOff>
      <xdr:row>19</xdr:row>
      <xdr:rowOff>29883</xdr:rowOff>
    </xdr:from>
    <xdr:to>
      <xdr:col>23</xdr:col>
      <xdr:colOff>82176</xdr:colOff>
      <xdr:row>22</xdr:row>
      <xdr:rowOff>89644</xdr:rowOff>
    </xdr:to>
    <xdr:cxnSp macro="">
      <xdr:nvCxnSpPr>
        <xdr:cNvPr id="183" name="コネクタ: カギ線 182">
          <a:extLst>
            <a:ext uri="{FF2B5EF4-FFF2-40B4-BE49-F238E27FC236}">
              <a16:creationId xmlns:a16="http://schemas.microsoft.com/office/drawing/2014/main" id="{4E49FC2E-F1A4-4924-A022-D29F916B0917}"/>
            </a:ext>
          </a:extLst>
        </xdr:cNvPr>
        <xdr:cNvCxnSpPr>
          <a:stCxn id="10" idx="3"/>
        </xdr:cNvCxnSpPr>
      </xdr:nvCxnSpPr>
      <xdr:spPr>
        <a:xfrm flipV="1">
          <a:off x="2727231" y="3346824"/>
          <a:ext cx="1822357" cy="575232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27484</xdr:colOff>
      <xdr:row>18</xdr:row>
      <xdr:rowOff>81383</xdr:rowOff>
    </xdr:from>
    <xdr:to>
      <xdr:col>27</xdr:col>
      <xdr:colOff>71198</xdr:colOff>
      <xdr:row>35</xdr:row>
      <xdr:rowOff>64625</xdr:rowOff>
    </xdr:to>
    <xdr:cxnSp macro="">
      <xdr:nvCxnSpPr>
        <xdr:cNvPr id="189" name="コネクタ: カギ線 188">
          <a:extLst>
            <a:ext uri="{FF2B5EF4-FFF2-40B4-BE49-F238E27FC236}">
              <a16:creationId xmlns:a16="http://schemas.microsoft.com/office/drawing/2014/main" id="{862F89A7-7872-4010-BC5C-5BF9C5C59C8C}"/>
            </a:ext>
          </a:extLst>
        </xdr:cNvPr>
        <xdr:cNvCxnSpPr>
          <a:stCxn id="171" idx="4"/>
          <a:endCxn id="159" idx="4"/>
        </xdr:cNvCxnSpPr>
      </xdr:nvCxnSpPr>
      <xdr:spPr>
        <a:xfrm flipH="1">
          <a:off x="4061602" y="3174207"/>
          <a:ext cx="1455655" cy="2840742"/>
        </a:xfrm>
        <a:prstGeom prst="bentConnector3">
          <a:avLst>
            <a:gd name="adj1" fmla="val -15704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7900</xdr:colOff>
      <xdr:row>17</xdr:row>
      <xdr:rowOff>90928</xdr:rowOff>
    </xdr:from>
    <xdr:to>
      <xdr:col>23</xdr:col>
      <xdr:colOff>67429</xdr:colOff>
      <xdr:row>18</xdr:row>
      <xdr:rowOff>79309</xdr:rowOff>
    </xdr:to>
    <xdr:cxnSp macro="">
      <xdr:nvCxnSpPr>
        <xdr:cNvPr id="212" name="コネクタ: カギ線 211">
          <a:extLst>
            <a:ext uri="{FF2B5EF4-FFF2-40B4-BE49-F238E27FC236}">
              <a16:creationId xmlns:a16="http://schemas.microsoft.com/office/drawing/2014/main" id="{92BDBEE6-1FAF-4F5B-9519-72F70B9AED2F}"/>
            </a:ext>
          </a:extLst>
        </xdr:cNvPr>
        <xdr:cNvCxnSpPr>
          <a:stCxn id="19" idx="3"/>
          <a:endCxn id="171" idx="2"/>
        </xdr:cNvCxnSpPr>
      </xdr:nvCxnSpPr>
      <xdr:spPr>
        <a:xfrm>
          <a:off x="2727194" y="3064222"/>
          <a:ext cx="1807647" cy="16020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148664</xdr:colOff>
      <xdr:row>102</xdr:row>
      <xdr:rowOff>69482</xdr:rowOff>
    </xdr:from>
    <xdr:to>
      <xdr:col>27</xdr:col>
      <xdr:colOff>125155</xdr:colOff>
      <xdr:row>106</xdr:row>
      <xdr:rowOff>29435</xdr:rowOff>
    </xdr:to>
    <xdr:grpSp>
      <xdr:nvGrpSpPr>
        <xdr:cNvPr id="228" name="グループ化 227">
          <a:extLst>
            <a:ext uri="{FF2B5EF4-FFF2-40B4-BE49-F238E27FC236}">
              <a16:creationId xmlns:a16="http://schemas.microsoft.com/office/drawing/2014/main" id="{B90F3F6A-108B-415E-B914-0B964613069A}"/>
            </a:ext>
          </a:extLst>
        </xdr:cNvPr>
        <xdr:cNvGrpSpPr>
          <a:grpSpLocks noChangeAspect="1"/>
        </xdr:cNvGrpSpPr>
      </xdr:nvGrpSpPr>
      <xdr:grpSpPr>
        <a:xfrm>
          <a:off x="4863539" y="18307952"/>
          <a:ext cx="1049959" cy="674328"/>
          <a:chOff x="7112000" y="2895019"/>
          <a:chExt cx="873125" cy="582091"/>
        </a:xfrm>
      </xdr:grpSpPr>
      <xdr:sp macro="" textlink="">
        <xdr:nvSpPr>
          <xdr:cNvPr id="229" name="フローチャート: 磁気ディスク 228">
            <a:extLst>
              <a:ext uri="{FF2B5EF4-FFF2-40B4-BE49-F238E27FC236}">
                <a16:creationId xmlns:a16="http://schemas.microsoft.com/office/drawing/2014/main" id="{05A67C56-12C3-4178-8A84-B77A17EE625F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EDC16AC5-AA11-4725-AD6C-1AD4A6E307B8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130161</xdr:colOff>
      <xdr:row>100</xdr:row>
      <xdr:rowOff>27268</xdr:rowOff>
    </xdr:from>
    <xdr:to>
      <xdr:col>27</xdr:col>
      <xdr:colOff>148719</xdr:colOff>
      <xdr:row>103</xdr:row>
      <xdr:rowOff>120756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A62F1EC5-069B-4B18-B002-AAD2474E0AA2}"/>
            </a:ext>
          </a:extLst>
        </xdr:cNvPr>
        <xdr:cNvGrpSpPr/>
      </xdr:nvGrpSpPr>
      <xdr:grpSpPr>
        <a:xfrm>
          <a:off x="4848846" y="17908551"/>
          <a:ext cx="1086311" cy="633079"/>
          <a:chOff x="7113907" y="2892425"/>
          <a:chExt cx="917588" cy="591189"/>
        </a:xfrm>
      </xdr:grpSpPr>
      <xdr:sp macro="" textlink="">
        <xdr:nvSpPr>
          <xdr:cNvPr id="232" name="フローチャート: 磁気ディスク 231">
            <a:extLst>
              <a:ext uri="{FF2B5EF4-FFF2-40B4-BE49-F238E27FC236}">
                <a16:creationId xmlns:a16="http://schemas.microsoft.com/office/drawing/2014/main" id="{7A6D1250-449C-47FF-A569-24D6B35949A4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9B70A5B2-BF7A-47F3-A10D-ABE358DCA49C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14</xdr:col>
      <xdr:colOff>77469</xdr:colOff>
      <xdr:row>99</xdr:row>
      <xdr:rowOff>88960</xdr:rowOff>
    </xdr:from>
    <xdr:to>
      <xdr:col>22</xdr:col>
      <xdr:colOff>145489</xdr:colOff>
      <xdr:row>104</xdr:row>
      <xdr:rowOff>89245</xdr:rowOff>
    </xdr:to>
    <xdr:cxnSp macro="">
      <xdr:nvCxnSpPr>
        <xdr:cNvPr id="234" name="コネクタ: カギ線 233">
          <a:extLst>
            <a:ext uri="{FF2B5EF4-FFF2-40B4-BE49-F238E27FC236}">
              <a16:creationId xmlns:a16="http://schemas.microsoft.com/office/drawing/2014/main" id="{883C5565-CF61-45FE-908D-924EF2B6779E}"/>
            </a:ext>
          </a:extLst>
        </xdr:cNvPr>
        <xdr:cNvCxnSpPr>
          <a:stCxn id="65" idx="3"/>
          <a:endCxn id="230" idx="1"/>
        </xdr:cNvCxnSpPr>
      </xdr:nvCxnSpPr>
      <xdr:spPr>
        <a:xfrm>
          <a:off x="2901351" y="16796931"/>
          <a:ext cx="1681667" cy="840726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104</xdr:row>
      <xdr:rowOff>92420</xdr:rowOff>
    </xdr:from>
    <xdr:to>
      <xdr:col>22</xdr:col>
      <xdr:colOff>148664</xdr:colOff>
      <xdr:row>104</xdr:row>
      <xdr:rowOff>108189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5585CC36-54D2-450F-9027-6194513EC8FA}"/>
            </a:ext>
          </a:extLst>
        </xdr:cNvPr>
        <xdr:cNvCxnSpPr>
          <a:stCxn id="77" idx="3"/>
          <a:endCxn id="230" idx="1"/>
        </xdr:cNvCxnSpPr>
      </xdr:nvCxnSpPr>
      <xdr:spPr>
        <a:xfrm flipV="1">
          <a:off x="3025588" y="17640832"/>
          <a:ext cx="1560605" cy="15769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104</xdr:row>
      <xdr:rowOff>89245</xdr:rowOff>
    </xdr:from>
    <xdr:to>
      <xdr:col>22</xdr:col>
      <xdr:colOff>145489</xdr:colOff>
      <xdr:row>104</xdr:row>
      <xdr:rowOff>103382</xdr:rowOff>
    </xdr:to>
    <xdr:cxnSp macro="">
      <xdr:nvCxnSpPr>
        <xdr:cNvPr id="240" name="コネクタ: カギ線 239">
          <a:extLst>
            <a:ext uri="{FF2B5EF4-FFF2-40B4-BE49-F238E27FC236}">
              <a16:creationId xmlns:a16="http://schemas.microsoft.com/office/drawing/2014/main" id="{E4015645-47FB-46A5-85B8-C218FF1A5A42}"/>
            </a:ext>
          </a:extLst>
        </xdr:cNvPr>
        <xdr:cNvCxnSpPr>
          <a:endCxn id="230" idx="1"/>
        </xdr:cNvCxnSpPr>
      </xdr:nvCxnSpPr>
      <xdr:spPr>
        <a:xfrm flipV="1">
          <a:off x="3025588" y="17637657"/>
          <a:ext cx="1557430" cy="14137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106</xdr:row>
      <xdr:rowOff>29436</xdr:rowOff>
    </xdr:from>
    <xdr:to>
      <xdr:col>25</xdr:col>
      <xdr:colOff>38485</xdr:colOff>
      <xdr:row>109</xdr:row>
      <xdr:rowOff>102714</xdr:rowOff>
    </xdr:to>
    <xdr:cxnSp macro="">
      <xdr:nvCxnSpPr>
        <xdr:cNvPr id="241" name="コネクタ: カギ線 240">
          <a:extLst>
            <a:ext uri="{FF2B5EF4-FFF2-40B4-BE49-F238E27FC236}">
              <a16:creationId xmlns:a16="http://schemas.microsoft.com/office/drawing/2014/main" id="{2F0EC498-79EB-4DA7-9D4D-FFBDE8D31BD7}"/>
            </a:ext>
          </a:extLst>
        </xdr:cNvPr>
        <xdr:cNvCxnSpPr>
          <a:stCxn id="230" idx="2"/>
          <a:endCxn id="85" idx="3"/>
        </xdr:cNvCxnSpPr>
      </xdr:nvCxnSpPr>
      <xdr:spPr>
        <a:xfrm rot="5400000">
          <a:off x="3662429" y="17544257"/>
          <a:ext cx="587628" cy="2006985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168088</xdr:colOff>
      <xdr:row>11</xdr:row>
      <xdr:rowOff>134470</xdr:rowOff>
    </xdr:from>
    <xdr:to>
      <xdr:col>13</xdr:col>
      <xdr:colOff>73366</xdr:colOff>
      <xdr:row>13</xdr:row>
      <xdr:rowOff>35361</xdr:rowOff>
    </xdr:to>
    <xdr:sp macro="" textlink="">
      <xdr:nvSpPr>
        <xdr:cNvPr id="249" name="フローチャート: 端子 248">
          <a:extLst>
            <a:ext uri="{FF2B5EF4-FFF2-40B4-BE49-F238E27FC236}">
              <a16:creationId xmlns:a16="http://schemas.microsoft.com/office/drawing/2014/main" id="{E81DF71A-3F3D-4A3F-BBEB-53F8DD34A1B6}"/>
            </a:ext>
          </a:extLst>
        </xdr:cNvPr>
        <xdr:cNvSpPr/>
      </xdr:nvSpPr>
      <xdr:spPr>
        <a:xfrm>
          <a:off x="1983441" y="2050676"/>
          <a:ext cx="712101" cy="23706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0</xdr:col>
      <xdr:colOff>144183</xdr:colOff>
      <xdr:row>15</xdr:row>
      <xdr:rowOff>22412</xdr:rowOff>
    </xdr:from>
    <xdr:to>
      <xdr:col>50</xdr:col>
      <xdr:colOff>12700</xdr:colOff>
      <xdr:row>30</xdr:row>
      <xdr:rowOff>31750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76A2B7EB-0C2A-483A-AEEF-705031F68A98}"/>
            </a:ext>
          </a:extLst>
        </xdr:cNvPr>
        <xdr:cNvSpPr/>
      </xdr:nvSpPr>
      <xdr:spPr>
        <a:xfrm>
          <a:off x="144183" y="2652059"/>
          <a:ext cx="9580282" cy="2586691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0</xdr:col>
      <xdr:colOff>75266</xdr:colOff>
      <xdr:row>61</xdr:row>
      <xdr:rowOff>131295</xdr:rowOff>
    </xdr:from>
    <xdr:to>
      <xdr:col>29</xdr:col>
      <xdr:colOff>2241</xdr:colOff>
      <xdr:row>83</xdr:row>
      <xdr:rowOff>133537</xdr:rowOff>
    </xdr:to>
    <xdr:sp macro="" textlink="">
      <xdr:nvSpPr>
        <xdr:cNvPr id="252" name="正方形/長方形 251">
          <a:extLst>
            <a:ext uri="{FF2B5EF4-FFF2-40B4-BE49-F238E27FC236}">
              <a16:creationId xmlns:a16="http://schemas.microsoft.com/office/drawing/2014/main" id="{794CFE8C-37AA-4755-96F2-4E1DE82D36CB}"/>
            </a:ext>
          </a:extLst>
        </xdr:cNvPr>
        <xdr:cNvSpPr/>
      </xdr:nvSpPr>
      <xdr:spPr>
        <a:xfrm>
          <a:off x="75266" y="10451913"/>
          <a:ext cx="5776446" cy="3700183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0</xdr:col>
      <xdr:colOff>134471</xdr:colOff>
      <xdr:row>96</xdr:row>
      <xdr:rowOff>160056</xdr:rowOff>
    </xdr:from>
    <xdr:to>
      <xdr:col>28</xdr:col>
      <xdr:colOff>95250</xdr:colOff>
      <xdr:row>129</xdr:row>
      <xdr:rowOff>145675</xdr:rowOff>
    </xdr:to>
    <xdr:sp macro="" textlink="">
      <xdr:nvSpPr>
        <xdr:cNvPr id="253" name="正方形/長方形 252">
          <a:extLst>
            <a:ext uri="{FF2B5EF4-FFF2-40B4-BE49-F238E27FC236}">
              <a16:creationId xmlns:a16="http://schemas.microsoft.com/office/drawing/2014/main" id="{2EA2B016-8648-41EE-8F3A-3FD38A659B3C}"/>
            </a:ext>
          </a:extLst>
        </xdr:cNvPr>
        <xdr:cNvSpPr/>
      </xdr:nvSpPr>
      <xdr:spPr>
        <a:xfrm>
          <a:off x="134471" y="16670056"/>
          <a:ext cx="5472579" cy="5643469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142502</xdr:colOff>
      <xdr:row>34</xdr:row>
      <xdr:rowOff>25587</xdr:rowOff>
    </xdr:from>
    <xdr:to>
      <xdr:col>34</xdr:col>
      <xdr:colOff>144064</xdr:colOff>
      <xdr:row>37</xdr:row>
      <xdr:rowOff>86763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36CE40B-AB02-4FA3-8101-8BAA543CF9E4}"/>
            </a:ext>
          </a:extLst>
        </xdr:cNvPr>
        <xdr:cNvGrpSpPr/>
      </xdr:nvGrpSpPr>
      <xdr:grpSpPr>
        <a:xfrm>
          <a:off x="6160885" y="6274085"/>
          <a:ext cx="1039543" cy="616410"/>
          <a:chOff x="7113625" y="2892425"/>
          <a:chExt cx="914621" cy="594025"/>
        </a:xfrm>
      </xdr:grpSpPr>
      <xdr:sp macro="" textlink="">
        <xdr:nvSpPr>
          <xdr:cNvPr id="3" name="フローチャート: 磁気ディスク 2">
            <a:extLst>
              <a:ext uri="{FF2B5EF4-FFF2-40B4-BE49-F238E27FC236}">
                <a16:creationId xmlns:a16="http://schemas.microsoft.com/office/drawing/2014/main" id="{C0AE94C8-0FFA-1695-2A20-7BB7B6F9F3FF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D948693D-C639-F8F6-0077-D51A566534DC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37</xdr:col>
      <xdr:colOff>11205</xdr:colOff>
      <xdr:row>109</xdr:row>
      <xdr:rowOff>116630</xdr:rowOff>
    </xdr:from>
    <xdr:to>
      <xdr:col>42</xdr:col>
      <xdr:colOff>20378</xdr:colOff>
      <xdr:row>113</xdr:row>
      <xdr:rowOff>57531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DEC8050D-E9E9-47BF-8EF0-40A29F744976}"/>
            </a:ext>
          </a:extLst>
        </xdr:cNvPr>
        <xdr:cNvGrpSpPr>
          <a:grpSpLocks noChangeAspect="1"/>
        </xdr:cNvGrpSpPr>
      </xdr:nvGrpSpPr>
      <xdr:grpSpPr>
        <a:xfrm>
          <a:off x="7694168" y="20070284"/>
          <a:ext cx="1041438" cy="669783"/>
          <a:chOff x="7112000" y="2892425"/>
          <a:chExt cx="873125" cy="584685"/>
        </a:xfrm>
      </xdr:grpSpPr>
      <xdr:sp macro="" textlink="">
        <xdr:nvSpPr>
          <xdr:cNvPr id="6" name="フローチャート: 磁気ディスク 5">
            <a:extLst>
              <a:ext uri="{FF2B5EF4-FFF2-40B4-BE49-F238E27FC236}">
                <a16:creationId xmlns:a16="http://schemas.microsoft.com/office/drawing/2014/main" id="{0461B743-076E-9F18-A702-4A9F0D158D4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6E386AC7-EA1E-AA4E-5AC5-639E37DCA46D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SLJ</a:t>
            </a:r>
            <a:r>
              <a:rPr kumimoji="1" lang="ja-JP" altLang="en-US" sz="900"/>
              <a:t>販売管理</a:t>
            </a:r>
          </a:p>
        </xdr:txBody>
      </xdr:sp>
    </xdr:grpSp>
    <xdr:clientData/>
  </xdr:twoCellAnchor>
  <xdr:twoCellAnchor>
    <xdr:from>
      <xdr:col>7</xdr:col>
      <xdr:colOff>99171</xdr:colOff>
      <xdr:row>118</xdr:row>
      <xdr:rowOff>48643</xdr:rowOff>
    </xdr:from>
    <xdr:to>
      <xdr:col>18</xdr:col>
      <xdr:colOff>180974</xdr:colOff>
      <xdr:row>119</xdr:row>
      <xdr:rowOff>95250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31349DC-B082-4601-9281-A40BD160B3F4}"/>
            </a:ext>
          </a:extLst>
        </xdr:cNvPr>
        <xdr:cNvSpPr txBox="1"/>
      </xdr:nvSpPr>
      <xdr:spPr>
        <a:xfrm>
          <a:off x="1477121" y="12272393"/>
          <a:ext cx="869203" cy="218057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メール送付</a:t>
          </a:r>
        </a:p>
      </xdr:txBody>
    </xdr:sp>
    <xdr:clientData/>
  </xdr:twoCellAnchor>
  <xdr:twoCellAnchor>
    <xdr:from>
      <xdr:col>12</xdr:col>
      <xdr:colOff>4636</xdr:colOff>
      <xdr:row>51</xdr:row>
      <xdr:rowOff>61618</xdr:rowOff>
    </xdr:from>
    <xdr:to>
      <xdr:col>16</xdr:col>
      <xdr:colOff>24911</xdr:colOff>
      <xdr:row>54</xdr:row>
      <xdr:rowOff>35653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E6830840-744E-4ABC-B69A-36D6BBB3C119}"/>
            </a:ext>
          </a:extLst>
        </xdr:cNvPr>
        <xdr:cNvGrpSpPr/>
      </xdr:nvGrpSpPr>
      <xdr:grpSpPr>
        <a:xfrm>
          <a:off x="2497695" y="9424058"/>
          <a:ext cx="844944" cy="527364"/>
          <a:chOff x="433216" y="5741943"/>
          <a:chExt cx="739508" cy="516344"/>
        </a:xfrm>
      </xdr:grpSpPr>
      <xdr:sp macro="" textlink="">
        <xdr:nvSpPr>
          <xdr:cNvPr id="28" name="フローチャート: 他ページ結合子 27">
            <a:extLst>
              <a:ext uri="{FF2B5EF4-FFF2-40B4-BE49-F238E27FC236}">
                <a16:creationId xmlns:a16="http://schemas.microsoft.com/office/drawing/2014/main" id="{69FAAD0A-565F-FCF1-ACB7-92474187D46C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" name="正方形/長方形 48">
            <a:extLst>
              <a:ext uri="{FF2B5EF4-FFF2-40B4-BE49-F238E27FC236}">
                <a16:creationId xmlns:a16="http://schemas.microsoft.com/office/drawing/2014/main" id="{3936994F-5B1F-5B37-7512-E449C0F9AC2F}"/>
              </a:ext>
            </a:extLst>
          </xdr:cNvPr>
          <xdr:cNvSpPr/>
        </xdr:nvSpPr>
        <xdr:spPr>
          <a:xfrm>
            <a:off x="433216" y="5741943"/>
            <a:ext cx="739508" cy="51634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３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153336</xdr:colOff>
      <xdr:row>121</xdr:row>
      <xdr:rowOff>0</xdr:rowOff>
    </xdr:from>
    <xdr:to>
      <xdr:col>7</xdr:col>
      <xdr:colOff>47441</xdr:colOff>
      <xdr:row>124</xdr:row>
      <xdr:rowOff>17100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05052953-D5C8-4464-A715-A1A9EBFD7989}"/>
            </a:ext>
          </a:extLst>
        </xdr:cNvPr>
        <xdr:cNvGrpSpPr/>
      </xdr:nvGrpSpPr>
      <xdr:grpSpPr>
        <a:xfrm>
          <a:off x="360932" y="22151731"/>
          <a:ext cx="1141587" cy="570429"/>
          <a:chOff x="1612900" y="2452118"/>
          <a:chExt cx="933032" cy="382461"/>
        </a:xfrm>
      </xdr:grpSpPr>
      <xdr:sp macro="" textlink="">
        <xdr:nvSpPr>
          <xdr:cNvPr id="36" name="フローチャート: 処理 35">
            <a:extLst>
              <a:ext uri="{FF2B5EF4-FFF2-40B4-BE49-F238E27FC236}">
                <a16:creationId xmlns:a16="http://schemas.microsoft.com/office/drawing/2014/main" id="{EDC537C5-DCF8-5698-EEF5-AB1727F0B7B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7" name="正方形/長方形 48">
            <a:extLst>
              <a:ext uri="{FF2B5EF4-FFF2-40B4-BE49-F238E27FC236}">
                <a16:creationId xmlns:a16="http://schemas.microsoft.com/office/drawing/2014/main" id="{A346E404-EE44-86F2-2385-4074DF0026E0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３．請求書の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114469</xdr:colOff>
      <xdr:row>118</xdr:row>
      <xdr:rowOff>17449</xdr:rowOff>
    </xdr:from>
    <xdr:to>
      <xdr:col>11</xdr:col>
      <xdr:colOff>125288</xdr:colOff>
      <xdr:row>121</xdr:row>
      <xdr:rowOff>7388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6821F438-95BF-4F50-8F52-BE14BAA3A94E}"/>
            </a:ext>
          </a:extLst>
        </xdr:cNvPr>
        <xdr:cNvCxnSpPr>
          <a:cxnSpLocks/>
          <a:stCxn id="184" idx="2"/>
          <a:endCxn id="36" idx="0"/>
        </xdr:cNvCxnSpPr>
      </xdr:nvCxnSpPr>
      <xdr:spPr>
        <a:xfrm rot="5400000">
          <a:off x="1272793" y="19838548"/>
          <a:ext cx="502823" cy="132152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74835</xdr:colOff>
      <xdr:row>111</xdr:row>
      <xdr:rowOff>89237</xdr:rowOff>
    </xdr:from>
    <xdr:to>
      <xdr:col>37</xdr:col>
      <xdr:colOff>105017</xdr:colOff>
      <xdr:row>111</xdr:row>
      <xdr:rowOff>96316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3429FCF0-93FE-4794-8779-EA1FD843A887}"/>
            </a:ext>
          </a:extLst>
        </xdr:cNvPr>
        <xdr:cNvCxnSpPr>
          <a:cxnSpLocks/>
          <a:endCxn id="188" idx="3"/>
        </xdr:cNvCxnSpPr>
      </xdr:nvCxnSpPr>
      <xdr:spPr>
        <a:xfrm flipH="1" flipV="1">
          <a:off x="2696245" y="19122955"/>
          <a:ext cx="3026080" cy="7079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92004</xdr:colOff>
      <xdr:row>112</xdr:row>
      <xdr:rowOff>56128</xdr:rowOff>
    </xdr:from>
    <xdr:to>
      <xdr:col>43</xdr:col>
      <xdr:colOff>122382</xdr:colOff>
      <xdr:row>114</xdr:row>
      <xdr:rowOff>81042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55EEE584-D53D-4343-8663-390497929C7D}"/>
            </a:ext>
          </a:extLst>
        </xdr:cNvPr>
        <xdr:cNvGrpSpPr>
          <a:grpSpLocks noChangeAspect="1"/>
        </xdr:cNvGrpSpPr>
      </xdr:nvGrpSpPr>
      <xdr:grpSpPr>
        <a:xfrm>
          <a:off x="8399660" y="20563111"/>
          <a:ext cx="651262" cy="389355"/>
          <a:chOff x="2791277" y="18512804"/>
          <a:chExt cx="771974" cy="419267"/>
        </a:xfrm>
      </xdr:grpSpPr>
      <xdr:sp macro="" textlink="">
        <xdr:nvSpPr>
          <xdr:cNvPr id="44" name="フローチャート: 書類 43">
            <a:extLst>
              <a:ext uri="{FF2B5EF4-FFF2-40B4-BE49-F238E27FC236}">
                <a16:creationId xmlns:a16="http://schemas.microsoft.com/office/drawing/2014/main" id="{D2031DA0-57D5-D0B4-E624-EC55D1FD6F2D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59984B0B-00BC-6D54-D5F7-82C38F55A109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5</xdr:col>
      <xdr:colOff>6868</xdr:colOff>
      <xdr:row>123</xdr:row>
      <xdr:rowOff>75501</xdr:rowOff>
    </xdr:from>
    <xdr:to>
      <xdr:col>8</xdr:col>
      <xdr:colOff>162820</xdr:colOff>
      <xdr:row>125</xdr:row>
      <xdr:rowOff>94065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CE1ADD91-13ED-4151-A1E7-E349307A7FD7}"/>
            </a:ext>
          </a:extLst>
        </xdr:cNvPr>
        <xdr:cNvGrpSpPr>
          <a:grpSpLocks noChangeAspect="1"/>
        </xdr:cNvGrpSpPr>
      </xdr:nvGrpSpPr>
      <xdr:grpSpPr>
        <a:xfrm>
          <a:off x="1046754" y="22593578"/>
          <a:ext cx="778740" cy="388720"/>
          <a:chOff x="2791277" y="18512804"/>
          <a:chExt cx="771974" cy="419267"/>
        </a:xfrm>
      </xdr:grpSpPr>
      <xdr:sp macro="" textlink="">
        <xdr:nvSpPr>
          <xdr:cNvPr id="53" name="フローチャート: 書類 52">
            <a:extLst>
              <a:ext uri="{FF2B5EF4-FFF2-40B4-BE49-F238E27FC236}">
                <a16:creationId xmlns:a16="http://schemas.microsoft.com/office/drawing/2014/main" id="{FA2A270E-8381-E2E6-EBB2-19CB7F2DBDF7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02C8335B-41D5-29E1-7809-A56BE69C0C71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39</xdr:col>
      <xdr:colOff>14026</xdr:colOff>
      <xdr:row>153</xdr:row>
      <xdr:rowOff>53132</xdr:rowOff>
    </xdr:from>
    <xdr:to>
      <xdr:col>43</xdr:col>
      <xdr:colOff>120650</xdr:colOff>
      <xdr:row>156</xdr:row>
      <xdr:rowOff>22973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4842F27-AFAB-449E-AC48-ABECEB2791C1}"/>
            </a:ext>
          </a:extLst>
        </xdr:cNvPr>
        <xdr:cNvGrpSpPr>
          <a:grpSpLocks noChangeAspect="1"/>
        </xdr:cNvGrpSpPr>
      </xdr:nvGrpSpPr>
      <xdr:grpSpPr>
        <a:xfrm>
          <a:off x="8114086" y="28070211"/>
          <a:ext cx="935104" cy="511740"/>
          <a:chOff x="2791277" y="18457917"/>
          <a:chExt cx="771974" cy="519583"/>
        </a:xfrm>
      </xdr:grpSpPr>
      <xdr:sp macro="" textlink="">
        <xdr:nvSpPr>
          <xdr:cNvPr id="78" name="フローチャート: 書類 77">
            <a:extLst>
              <a:ext uri="{FF2B5EF4-FFF2-40B4-BE49-F238E27FC236}">
                <a16:creationId xmlns:a16="http://schemas.microsoft.com/office/drawing/2014/main" id="{7B903DED-C7B0-AA7D-33F8-D3E31BEEF40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0430F58E-F3AE-5A99-667F-7533E9ACA1C2}"/>
              </a:ext>
            </a:extLst>
          </xdr:cNvPr>
          <xdr:cNvSpPr/>
        </xdr:nvSpPr>
        <xdr:spPr>
          <a:xfrm>
            <a:off x="2791277" y="18457917"/>
            <a:ext cx="771974" cy="5195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月次締め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1</xdr:col>
      <xdr:colOff>153336</xdr:colOff>
      <xdr:row>166</xdr:row>
      <xdr:rowOff>0</xdr:rowOff>
    </xdr:from>
    <xdr:to>
      <xdr:col>7</xdr:col>
      <xdr:colOff>55061</xdr:colOff>
      <xdr:row>169</xdr:row>
      <xdr:rowOff>27441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4C1A9224-437E-4CF6-9E65-CC7C39625CA2}"/>
            </a:ext>
          </a:extLst>
        </xdr:cNvPr>
        <xdr:cNvGrpSpPr/>
      </xdr:nvGrpSpPr>
      <xdr:grpSpPr>
        <a:xfrm>
          <a:off x="360932" y="30394519"/>
          <a:ext cx="1151112" cy="575055"/>
          <a:chOff x="1612900" y="2452118"/>
          <a:chExt cx="933032" cy="382461"/>
        </a:xfrm>
      </xdr:grpSpPr>
      <xdr:sp macro="" textlink="">
        <xdr:nvSpPr>
          <xdr:cNvPr id="86" name="フローチャート: 処理 85">
            <a:extLst>
              <a:ext uri="{FF2B5EF4-FFF2-40B4-BE49-F238E27FC236}">
                <a16:creationId xmlns:a16="http://schemas.microsoft.com/office/drawing/2014/main" id="{FB9D39C1-E294-B3C8-CFFC-49BEC0DFCEC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7" name="正方形/長方形 48">
            <a:extLst>
              <a:ext uri="{FF2B5EF4-FFF2-40B4-BE49-F238E27FC236}">
                <a16:creationId xmlns:a16="http://schemas.microsoft.com/office/drawing/2014/main" id="{EE3E5104-2C09-9626-D793-CF68D7ED1D9C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５．請求書の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118383</xdr:colOff>
      <xdr:row>163</xdr:row>
      <xdr:rowOff>12878</xdr:rowOff>
    </xdr:from>
    <xdr:to>
      <xdr:col>11</xdr:col>
      <xdr:colOff>124978</xdr:colOff>
      <xdr:row>166</xdr:row>
      <xdr:rowOff>7533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F2C32178-7E57-41C9-8DB6-9340E0019095}"/>
            </a:ext>
          </a:extLst>
        </xdr:cNvPr>
        <xdr:cNvCxnSpPr>
          <a:cxnSpLocks/>
          <a:stCxn id="217" idx="2"/>
          <a:endCxn id="86" idx="0"/>
        </xdr:cNvCxnSpPr>
      </xdr:nvCxnSpPr>
      <xdr:spPr>
        <a:xfrm rot="5400000">
          <a:off x="1272237" y="27531716"/>
          <a:ext cx="507540" cy="131730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133</xdr:row>
      <xdr:rowOff>120952</xdr:rowOff>
    </xdr:from>
    <xdr:to>
      <xdr:col>6</xdr:col>
      <xdr:colOff>56481</xdr:colOff>
      <xdr:row>138</xdr:row>
      <xdr:rowOff>66675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8E466573-B8F4-4F91-99B3-776CD496EEE2}"/>
            </a:ext>
          </a:extLst>
        </xdr:cNvPr>
        <xdr:cNvGrpSpPr/>
      </xdr:nvGrpSpPr>
      <xdr:grpSpPr>
        <a:xfrm>
          <a:off x="0" y="24472665"/>
          <a:ext cx="1305868" cy="857778"/>
          <a:chOff x="152164" y="5638432"/>
          <a:chExt cx="1249924" cy="868136"/>
        </a:xfrm>
      </xdr:grpSpPr>
      <xdr:sp macro="" textlink="">
        <xdr:nvSpPr>
          <xdr:cNvPr id="90" name="フローチャート: 他ページ結合子 89">
            <a:extLst>
              <a:ext uri="{FF2B5EF4-FFF2-40B4-BE49-F238E27FC236}">
                <a16:creationId xmlns:a16="http://schemas.microsoft.com/office/drawing/2014/main" id="{FE805C03-C7CA-B62C-7860-0F7105D39315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1" name="正方形/長方形 48">
            <a:extLst>
              <a:ext uri="{FF2B5EF4-FFF2-40B4-BE49-F238E27FC236}">
                <a16:creationId xmlns:a16="http://schemas.microsoft.com/office/drawing/2014/main" id="{5AADAF35-B9F8-F2C7-A893-4CABA4E1DA80}"/>
              </a:ext>
            </a:extLst>
          </xdr:cNvPr>
          <xdr:cNvSpPr/>
        </xdr:nvSpPr>
        <xdr:spPr>
          <a:xfrm>
            <a:off x="152164" y="5638432"/>
            <a:ext cx="1249924" cy="8681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4.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115529</xdr:colOff>
      <xdr:row>124</xdr:row>
      <xdr:rowOff>13470</xdr:rowOff>
    </xdr:from>
    <xdr:to>
      <xdr:col>4</xdr:col>
      <xdr:colOff>122288</xdr:colOff>
      <xdr:row>127</xdr:row>
      <xdr:rowOff>95250</xdr:rowOff>
    </xdr:to>
    <xdr:cxnSp macro="">
      <xdr:nvCxnSpPr>
        <xdr:cNvPr id="92" name="直線矢印コネクタ 27">
          <a:extLst>
            <a:ext uri="{FF2B5EF4-FFF2-40B4-BE49-F238E27FC236}">
              <a16:creationId xmlns:a16="http://schemas.microsoft.com/office/drawing/2014/main" id="{68D3ED0F-77FA-4AB0-B5F1-D4E187941BC6}"/>
            </a:ext>
          </a:extLst>
        </xdr:cNvPr>
        <xdr:cNvCxnSpPr>
          <a:cxnSpLocks/>
          <a:stCxn id="36" idx="2"/>
          <a:endCxn id="101" idx="0"/>
        </xdr:cNvCxnSpPr>
      </xdr:nvCxnSpPr>
      <xdr:spPr>
        <a:xfrm>
          <a:off x="902929" y="13265920"/>
          <a:ext cx="6759" cy="5961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104199</xdr:colOff>
      <xdr:row>169</xdr:row>
      <xdr:rowOff>33791</xdr:rowOff>
    </xdr:from>
    <xdr:to>
      <xdr:col>4</xdr:col>
      <xdr:colOff>115270</xdr:colOff>
      <xdr:row>171</xdr:row>
      <xdr:rowOff>171450</xdr:rowOff>
    </xdr:to>
    <xdr:cxnSp macro="">
      <xdr:nvCxnSpPr>
        <xdr:cNvPr id="93" name="直線矢印コネクタ 27">
          <a:extLst>
            <a:ext uri="{FF2B5EF4-FFF2-40B4-BE49-F238E27FC236}">
              <a16:creationId xmlns:a16="http://schemas.microsoft.com/office/drawing/2014/main" id="{E727DE4F-4172-4321-8CF9-3AB4EAE9068E}"/>
            </a:ext>
          </a:extLst>
        </xdr:cNvPr>
        <xdr:cNvCxnSpPr>
          <a:cxnSpLocks/>
          <a:stCxn id="87" idx="2"/>
          <a:endCxn id="112" idx="0"/>
        </xdr:cNvCxnSpPr>
      </xdr:nvCxnSpPr>
      <xdr:spPr>
        <a:xfrm>
          <a:off x="891599" y="21001491"/>
          <a:ext cx="11071" cy="4805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167</xdr:row>
      <xdr:rowOff>161925</xdr:rowOff>
    </xdr:from>
    <xdr:to>
      <xdr:col>8</xdr:col>
      <xdr:colOff>179102</xdr:colOff>
      <xdr:row>170</xdr:row>
      <xdr:rowOff>133359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C633BE63-6B03-4D4F-8C59-287703DCFE2B}"/>
            </a:ext>
          </a:extLst>
        </xdr:cNvPr>
        <xdr:cNvGrpSpPr>
          <a:grpSpLocks noChangeAspect="1"/>
        </xdr:cNvGrpSpPr>
      </xdr:nvGrpSpPr>
      <xdr:grpSpPr>
        <a:xfrm>
          <a:off x="1037982" y="30741522"/>
          <a:ext cx="799984" cy="515239"/>
          <a:chOff x="2791277" y="18457917"/>
          <a:chExt cx="771974" cy="519583"/>
        </a:xfrm>
      </xdr:grpSpPr>
      <xdr:sp macro="" textlink="">
        <xdr:nvSpPr>
          <xdr:cNvPr id="98" name="フローチャート: 書類 97">
            <a:extLst>
              <a:ext uri="{FF2B5EF4-FFF2-40B4-BE49-F238E27FC236}">
                <a16:creationId xmlns:a16="http://schemas.microsoft.com/office/drawing/2014/main" id="{2BE590D1-EAE7-E7F9-E45C-E11B33C60603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8E60C80F-0F37-8EEB-4275-BE4C6ECFF935}"/>
              </a:ext>
            </a:extLst>
          </xdr:cNvPr>
          <xdr:cNvSpPr/>
        </xdr:nvSpPr>
        <xdr:spPr>
          <a:xfrm>
            <a:off x="2791277" y="18457917"/>
            <a:ext cx="771974" cy="5195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月次締め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2</xdr:col>
      <xdr:colOff>9525</xdr:colOff>
      <xdr:row>127</xdr:row>
      <xdr:rowOff>95250</xdr:rowOff>
    </xdr:from>
    <xdr:to>
      <xdr:col>7</xdr:col>
      <xdr:colOff>28575</xdr:colOff>
      <xdr:row>130</xdr:row>
      <xdr:rowOff>63500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3A45BA19-3D6D-43B3-803C-6F2F744C8728}"/>
            </a:ext>
          </a:extLst>
        </xdr:cNvPr>
        <xdr:cNvGrpSpPr/>
      </xdr:nvGrpSpPr>
      <xdr:grpSpPr>
        <a:xfrm>
          <a:off x="426622" y="23342209"/>
          <a:ext cx="1053221" cy="517769"/>
          <a:chOff x="285750" y="4845050"/>
          <a:chExt cx="1003300" cy="488950"/>
        </a:xfrm>
      </xdr:grpSpPr>
      <xdr:sp macro="" textlink="">
        <xdr:nvSpPr>
          <xdr:cNvPr id="101" name="フローチャート: 判断 100">
            <a:extLst>
              <a:ext uri="{FF2B5EF4-FFF2-40B4-BE49-F238E27FC236}">
                <a16:creationId xmlns:a16="http://schemas.microsoft.com/office/drawing/2014/main" id="{77E5548F-DD38-16C1-1011-D51BB250CC03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2" name="正方形/長方形 48">
            <a:extLst>
              <a:ext uri="{FF2B5EF4-FFF2-40B4-BE49-F238E27FC236}">
                <a16:creationId xmlns:a16="http://schemas.microsoft.com/office/drawing/2014/main" id="{6BAA5C6B-0CF8-BFD4-37F1-C56AF9991603}"/>
              </a:ext>
            </a:extLst>
          </xdr:cNvPr>
          <xdr:cNvSpPr/>
        </xdr:nvSpPr>
        <xdr:spPr>
          <a:xfrm>
            <a:off x="285750" y="4927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入金が</a:t>
            </a:r>
            <a:r>
              <a:rPr kumimoji="1" lang="en-US" altLang="ja-JP" sz="900"/>
              <a:t>EB</a:t>
            </a:r>
            <a:r>
              <a:rPr kumimoji="1" lang="ja-JP" altLang="en-US" sz="900"/>
              <a:t>取込か</a:t>
            </a:r>
          </a:p>
        </xdr:txBody>
      </xdr:sp>
    </xdr:grpSp>
    <xdr:clientData/>
  </xdr:twoCellAnchor>
  <xdr:twoCellAnchor>
    <xdr:from>
      <xdr:col>3</xdr:col>
      <xdr:colOff>144927</xdr:colOff>
      <xdr:row>134</xdr:row>
      <xdr:rowOff>32565</xdr:rowOff>
    </xdr:from>
    <xdr:to>
      <xdr:col>11</xdr:col>
      <xdr:colOff>73270</xdr:colOff>
      <xdr:row>138</xdr:row>
      <xdr:rowOff>24019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7356E263-53F7-480C-B6EF-90323339A3B9}"/>
            </a:ext>
          </a:extLst>
        </xdr:cNvPr>
        <xdr:cNvGrpSpPr/>
      </xdr:nvGrpSpPr>
      <xdr:grpSpPr>
        <a:xfrm>
          <a:off x="765810" y="24563641"/>
          <a:ext cx="1591018" cy="722241"/>
          <a:chOff x="44348" y="5719144"/>
          <a:chExt cx="1554637" cy="739914"/>
        </a:xfrm>
      </xdr:grpSpPr>
      <xdr:sp macro="" textlink="">
        <xdr:nvSpPr>
          <xdr:cNvPr id="105" name="フローチャート: 他ページ結合子 104">
            <a:extLst>
              <a:ext uri="{FF2B5EF4-FFF2-40B4-BE49-F238E27FC236}">
                <a16:creationId xmlns:a16="http://schemas.microsoft.com/office/drawing/2014/main" id="{62C4E08E-682F-2A85-C988-7E6FC764F2E2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6" name="正方形/長方形 48">
            <a:extLst>
              <a:ext uri="{FF2B5EF4-FFF2-40B4-BE49-F238E27FC236}">
                <a16:creationId xmlns:a16="http://schemas.microsoft.com/office/drawing/2014/main" id="{9EA13BC9-BAC5-31E2-4A39-81D3A0698B89}"/>
              </a:ext>
            </a:extLst>
          </xdr:cNvPr>
          <xdr:cNvSpPr/>
        </xdr:nvSpPr>
        <xdr:spPr>
          <a:xfrm>
            <a:off x="44348" y="5719144"/>
            <a:ext cx="1554637" cy="7399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4.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取り込み以外）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178</xdr:row>
      <xdr:rowOff>66977</xdr:rowOff>
    </xdr:from>
    <xdr:to>
      <xdr:col>6</xdr:col>
      <xdr:colOff>40606</xdr:colOff>
      <xdr:row>182</xdr:row>
      <xdr:rowOff>82550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3B5E7BF3-1431-4D1C-A6E0-B361EF73EDA1}"/>
            </a:ext>
          </a:extLst>
        </xdr:cNvPr>
        <xdr:cNvGrpSpPr/>
      </xdr:nvGrpSpPr>
      <xdr:grpSpPr>
        <a:xfrm>
          <a:off x="0" y="32657668"/>
          <a:ext cx="1286183" cy="752075"/>
          <a:chOff x="188265" y="5678598"/>
          <a:chExt cx="1249924" cy="766343"/>
        </a:xfrm>
      </xdr:grpSpPr>
      <xdr:sp macro="" textlink="">
        <xdr:nvSpPr>
          <xdr:cNvPr id="109" name="フローチャート: 他ページ結合子 108">
            <a:extLst>
              <a:ext uri="{FF2B5EF4-FFF2-40B4-BE49-F238E27FC236}">
                <a16:creationId xmlns:a16="http://schemas.microsoft.com/office/drawing/2014/main" id="{46D3F47D-E615-C566-432A-E6A110F0003F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0" name="正方形/長方形 48">
            <a:extLst>
              <a:ext uri="{FF2B5EF4-FFF2-40B4-BE49-F238E27FC236}">
                <a16:creationId xmlns:a16="http://schemas.microsoft.com/office/drawing/2014/main" id="{3B3C2212-78D7-ED38-346B-E0FB72675FB5}"/>
              </a:ext>
            </a:extLst>
          </xdr:cNvPr>
          <xdr:cNvSpPr/>
        </xdr:nvSpPr>
        <xdr:spPr>
          <a:xfrm>
            <a:off x="188265" y="5678598"/>
            <a:ext cx="1249924" cy="7663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4.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2507</xdr:colOff>
      <xdr:row>172</xdr:row>
      <xdr:rowOff>0</xdr:rowOff>
    </xdr:from>
    <xdr:to>
      <xdr:col>7</xdr:col>
      <xdr:colOff>21557</xdr:colOff>
      <xdr:row>174</xdr:row>
      <xdr:rowOff>139700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869828C5-10D4-4CDC-A598-6CFA4E208817}"/>
            </a:ext>
          </a:extLst>
        </xdr:cNvPr>
        <xdr:cNvGrpSpPr/>
      </xdr:nvGrpSpPr>
      <xdr:grpSpPr>
        <a:xfrm>
          <a:off x="417699" y="31493558"/>
          <a:ext cx="1053221" cy="502236"/>
          <a:chOff x="285750" y="4845050"/>
          <a:chExt cx="1003300" cy="488950"/>
        </a:xfrm>
      </xdr:grpSpPr>
      <xdr:sp macro="" textlink="">
        <xdr:nvSpPr>
          <xdr:cNvPr id="112" name="フローチャート: 判断 111">
            <a:extLst>
              <a:ext uri="{FF2B5EF4-FFF2-40B4-BE49-F238E27FC236}">
                <a16:creationId xmlns:a16="http://schemas.microsoft.com/office/drawing/2014/main" id="{6347AFFA-04D2-4852-E88D-D9B918E7EB52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3" name="正方形/長方形 48">
            <a:extLst>
              <a:ext uri="{FF2B5EF4-FFF2-40B4-BE49-F238E27FC236}">
                <a16:creationId xmlns:a16="http://schemas.microsoft.com/office/drawing/2014/main" id="{E0FF1640-AE0A-0730-6623-83261B953309}"/>
              </a:ext>
            </a:extLst>
          </xdr:cNvPr>
          <xdr:cNvSpPr/>
        </xdr:nvSpPr>
        <xdr:spPr>
          <a:xfrm>
            <a:off x="285750" y="4927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入金が</a:t>
            </a:r>
            <a:r>
              <a:rPr kumimoji="1" lang="en-US" altLang="ja-JP" sz="900"/>
              <a:t>EB</a:t>
            </a:r>
            <a:r>
              <a:rPr kumimoji="1" lang="ja-JP" altLang="en-US" sz="900"/>
              <a:t>取込か</a:t>
            </a:r>
          </a:p>
        </xdr:txBody>
      </xdr:sp>
    </xdr:grpSp>
    <xdr:clientData/>
  </xdr:twoCellAnchor>
  <xdr:twoCellAnchor>
    <xdr:from>
      <xdr:col>5</xdr:col>
      <xdr:colOff>130255</xdr:colOff>
      <xdr:row>177</xdr:row>
      <xdr:rowOff>138456</xdr:rowOff>
    </xdr:from>
    <xdr:to>
      <xdr:col>11</xdr:col>
      <xdr:colOff>16283</xdr:colOff>
      <xdr:row>181</xdr:row>
      <xdr:rowOff>160378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41184F5C-C200-40BB-B1E1-35CD8DB30005}"/>
            </a:ext>
          </a:extLst>
        </xdr:cNvPr>
        <xdr:cNvGrpSpPr/>
      </xdr:nvGrpSpPr>
      <xdr:grpSpPr>
        <a:xfrm>
          <a:off x="1172046" y="32544069"/>
          <a:ext cx="1131605" cy="760329"/>
          <a:chOff x="420641" y="5561418"/>
          <a:chExt cx="827777" cy="766343"/>
        </a:xfrm>
      </xdr:grpSpPr>
      <xdr:sp macro="" textlink="">
        <xdr:nvSpPr>
          <xdr:cNvPr id="116" name="フローチャート: 他ページ結合子 115">
            <a:extLst>
              <a:ext uri="{FF2B5EF4-FFF2-40B4-BE49-F238E27FC236}">
                <a16:creationId xmlns:a16="http://schemas.microsoft.com/office/drawing/2014/main" id="{CC3A8D69-CD85-D346-DDAE-36F9B70213AC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7" name="正方形/長方形 48">
            <a:extLst>
              <a:ext uri="{FF2B5EF4-FFF2-40B4-BE49-F238E27FC236}">
                <a16:creationId xmlns:a16="http://schemas.microsoft.com/office/drawing/2014/main" id="{AB4EE158-2A70-70DC-73D7-D69CD5D433B4}"/>
              </a:ext>
            </a:extLst>
          </xdr:cNvPr>
          <xdr:cNvSpPr/>
        </xdr:nvSpPr>
        <xdr:spPr>
          <a:xfrm>
            <a:off x="420641" y="5561418"/>
            <a:ext cx="827777" cy="7663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4.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EB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取り込み以外）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136248</xdr:colOff>
      <xdr:row>173</xdr:row>
      <xdr:rowOff>69851</xdr:rowOff>
    </xdr:from>
    <xdr:to>
      <xdr:col>8</xdr:col>
      <xdr:colOff>21490</xdr:colOff>
      <xdr:row>178</xdr:row>
      <xdr:rowOff>166865</xdr:rowOff>
    </xdr:to>
    <xdr:cxnSp macro="">
      <xdr:nvCxnSpPr>
        <xdr:cNvPr id="118" name="コネクタ: カギ線 117">
          <a:extLst>
            <a:ext uri="{FF2B5EF4-FFF2-40B4-BE49-F238E27FC236}">
              <a16:creationId xmlns:a16="http://schemas.microsoft.com/office/drawing/2014/main" id="{D2E6AD13-DFE8-44A5-BF06-5EE19130C13F}"/>
            </a:ext>
          </a:extLst>
        </xdr:cNvPr>
        <xdr:cNvCxnSpPr>
          <a:cxnSpLocks/>
          <a:stCxn id="112" idx="3"/>
          <a:endCxn id="116" idx="0"/>
        </xdr:cNvCxnSpPr>
      </xdr:nvCxnSpPr>
      <xdr:spPr>
        <a:xfrm>
          <a:off x="1259710" y="29703184"/>
          <a:ext cx="259729" cy="951822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80514</xdr:colOff>
      <xdr:row>127</xdr:row>
      <xdr:rowOff>114300</xdr:rowOff>
    </xdr:from>
    <xdr:to>
      <xdr:col>3</xdr:col>
      <xdr:colOff>97692</xdr:colOff>
      <xdr:row>129</xdr:row>
      <xdr:rowOff>8141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4E8683B9-5BE2-4E1E-8381-15AF8D9A1120}"/>
            </a:ext>
          </a:extLst>
        </xdr:cNvPr>
        <xdr:cNvSpPr txBox="1"/>
      </xdr:nvSpPr>
      <xdr:spPr>
        <a:xfrm>
          <a:off x="80514" y="21883403"/>
          <a:ext cx="578909" cy="235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</xdr:col>
      <xdr:colOff>35656</xdr:colOff>
      <xdr:row>171</xdr:row>
      <xdr:rowOff>98181</xdr:rowOff>
    </xdr:from>
    <xdr:to>
      <xdr:col>3</xdr:col>
      <xdr:colOff>113973</xdr:colOff>
      <xdr:row>173</xdr:row>
      <xdr:rowOff>0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F6855ECC-BA12-4905-A1D1-568E027CAB8A}"/>
            </a:ext>
          </a:extLst>
        </xdr:cNvPr>
        <xdr:cNvSpPr txBox="1"/>
      </xdr:nvSpPr>
      <xdr:spPr>
        <a:xfrm>
          <a:off x="222900" y="29389591"/>
          <a:ext cx="452804" cy="243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35</xdr:col>
      <xdr:colOff>68355</xdr:colOff>
      <xdr:row>15</xdr:row>
      <xdr:rowOff>118688</xdr:rowOff>
    </xdr:from>
    <xdr:to>
      <xdr:col>43</xdr:col>
      <xdr:colOff>33183</xdr:colOff>
      <xdr:row>19</xdr:row>
      <xdr:rowOff>133052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3CB924C6-1876-4387-BB8D-AA4388C2BDF3}"/>
            </a:ext>
          </a:extLst>
        </xdr:cNvPr>
        <xdr:cNvGrpSpPr>
          <a:grpSpLocks noChangeAspect="1"/>
        </xdr:cNvGrpSpPr>
      </xdr:nvGrpSpPr>
      <xdr:grpSpPr>
        <a:xfrm>
          <a:off x="7332315" y="2904824"/>
          <a:ext cx="1625598" cy="748961"/>
          <a:chOff x="6913054" y="2892425"/>
          <a:chExt cx="1308328" cy="605222"/>
        </a:xfrm>
      </xdr:grpSpPr>
      <xdr:sp macro="" textlink="">
        <xdr:nvSpPr>
          <xdr:cNvPr id="133" name="フローチャート: 磁気ディスク 132">
            <a:extLst>
              <a:ext uri="{FF2B5EF4-FFF2-40B4-BE49-F238E27FC236}">
                <a16:creationId xmlns:a16="http://schemas.microsoft.com/office/drawing/2014/main" id="{84B6ED5E-7E54-B19E-99F7-3FE778A452A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FDC74A8C-82A5-7946-F7F1-1FC5CBF06FCA}"/>
              </a:ext>
            </a:extLst>
          </xdr:cNvPr>
          <xdr:cNvSpPr/>
        </xdr:nvSpPr>
        <xdr:spPr>
          <a:xfrm>
            <a:off x="6913054" y="2992040"/>
            <a:ext cx="1308328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SLJ</a:t>
            </a:r>
            <a:r>
              <a:rPr kumimoji="1" lang="ja-JP" altLang="en-US" sz="900"/>
              <a:t>販売管理システム</a:t>
            </a:r>
            <a:br>
              <a:rPr kumimoji="1" lang="en-US" altLang="ja-JP" sz="900"/>
            </a:br>
            <a:r>
              <a:rPr kumimoji="1" lang="ja-JP" altLang="en-US" sz="900"/>
              <a:t>（</a:t>
            </a:r>
            <a:r>
              <a:rPr kumimoji="1" lang="en-US" altLang="ja-JP" sz="900"/>
              <a:t>SLJ,</a:t>
            </a:r>
            <a:r>
              <a:rPr kumimoji="1" lang="ja-JP" altLang="en-US" sz="900"/>
              <a:t>売上）</a:t>
            </a:r>
            <a:endParaRPr kumimoji="1" lang="en-US" altLang="ja-JP" sz="900"/>
          </a:p>
        </xdr:txBody>
      </xdr:sp>
    </xdr:grpSp>
    <xdr:clientData/>
  </xdr:twoCellAnchor>
  <xdr:twoCellAnchor>
    <xdr:from>
      <xdr:col>14</xdr:col>
      <xdr:colOff>11758</xdr:colOff>
      <xdr:row>18</xdr:row>
      <xdr:rowOff>127000</xdr:rowOff>
    </xdr:from>
    <xdr:to>
      <xdr:col>36</xdr:col>
      <xdr:colOff>179295</xdr:colOff>
      <xdr:row>22</xdr:row>
      <xdr:rowOff>89237</xdr:rowOff>
    </xdr:to>
    <xdr:cxnSp macro="">
      <xdr:nvCxnSpPr>
        <xdr:cNvPr id="136" name="コネクタ: カギ線 135">
          <a:extLst>
            <a:ext uri="{FF2B5EF4-FFF2-40B4-BE49-F238E27FC236}">
              <a16:creationId xmlns:a16="http://schemas.microsoft.com/office/drawing/2014/main" id="{3F59D979-F6A1-4E8A-97F9-AD1A652A5F2C}"/>
            </a:ext>
          </a:extLst>
        </xdr:cNvPr>
        <xdr:cNvCxnSpPr>
          <a:stCxn id="171" idx="3"/>
        </xdr:cNvCxnSpPr>
      </xdr:nvCxnSpPr>
      <xdr:spPr>
        <a:xfrm flipV="1">
          <a:off x="2633168" y="3261295"/>
          <a:ext cx="2976191" cy="646083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13907</xdr:colOff>
      <xdr:row>17</xdr:row>
      <xdr:rowOff>88693</xdr:rowOff>
    </xdr:from>
    <xdr:to>
      <xdr:col>41</xdr:col>
      <xdr:colOff>21971</xdr:colOff>
      <xdr:row>35</xdr:row>
      <xdr:rowOff>113183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04D92818-DE3C-40C9-AA5B-C4F68E33C7F9}"/>
            </a:ext>
          </a:extLst>
        </xdr:cNvPr>
        <xdr:cNvCxnSpPr>
          <a:stCxn id="133" idx="4"/>
          <a:endCxn id="3" idx="4"/>
        </xdr:cNvCxnSpPr>
      </xdr:nvCxnSpPr>
      <xdr:spPr>
        <a:xfrm flipH="1">
          <a:off x="4048025" y="3013428"/>
          <a:ext cx="1420005" cy="3050079"/>
        </a:xfrm>
        <a:prstGeom prst="bentConnector3">
          <a:avLst>
            <a:gd name="adj1" fmla="val -16099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129613</xdr:colOff>
      <xdr:row>150</xdr:row>
      <xdr:rowOff>12795</xdr:rowOff>
    </xdr:from>
    <xdr:to>
      <xdr:col>41</xdr:col>
      <xdr:colOff>130942</xdr:colOff>
      <xdr:row>153</xdr:row>
      <xdr:rowOff>128321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764FCDCE-CD9D-4D62-9CE2-EA2808406361}"/>
            </a:ext>
          </a:extLst>
        </xdr:cNvPr>
        <xdr:cNvGrpSpPr>
          <a:grpSpLocks noChangeAspect="1"/>
        </xdr:cNvGrpSpPr>
      </xdr:nvGrpSpPr>
      <xdr:grpSpPr>
        <a:xfrm>
          <a:off x="7606885" y="27480355"/>
          <a:ext cx="1039309" cy="665045"/>
          <a:chOff x="7112000" y="2892425"/>
          <a:chExt cx="873125" cy="584685"/>
        </a:xfrm>
      </xdr:grpSpPr>
      <xdr:sp macro="" textlink="">
        <xdr:nvSpPr>
          <xdr:cNvPr id="142" name="フローチャート: 磁気ディスク 141">
            <a:extLst>
              <a:ext uri="{FF2B5EF4-FFF2-40B4-BE49-F238E27FC236}">
                <a16:creationId xmlns:a16="http://schemas.microsoft.com/office/drawing/2014/main" id="{99777B07-3805-32B0-4BF5-C428E15BAF0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84009A74-FE0A-D9FE-7D03-B9A3CDD9CCBD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SLJ</a:t>
            </a:r>
            <a:r>
              <a:rPr kumimoji="1" lang="ja-JP" altLang="en-US" sz="900"/>
              <a:t>販売管理</a:t>
            </a:r>
          </a:p>
        </xdr:txBody>
      </xdr:sp>
    </xdr:grpSp>
    <xdr:clientData/>
  </xdr:twoCellAnchor>
  <xdr:twoCellAnchor>
    <xdr:from>
      <xdr:col>14</xdr:col>
      <xdr:colOff>70475</xdr:colOff>
      <xdr:row>153</xdr:row>
      <xdr:rowOff>128321</xdr:rowOff>
    </xdr:from>
    <xdr:to>
      <xdr:col>39</xdr:col>
      <xdr:colOff>36656</xdr:colOff>
      <xdr:row>156</xdr:row>
      <xdr:rowOff>90173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5DEFE164-14CA-43D9-83AD-3874E223AD94}"/>
            </a:ext>
          </a:extLst>
        </xdr:cNvPr>
        <xdr:cNvCxnSpPr>
          <a:stCxn id="143" idx="2"/>
          <a:endCxn id="212" idx="3"/>
        </xdr:cNvCxnSpPr>
      </xdr:nvCxnSpPr>
      <xdr:spPr>
        <a:xfrm rot="5400000">
          <a:off x="4122800" y="24911509"/>
          <a:ext cx="474736" cy="3336566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30208</xdr:colOff>
      <xdr:row>14</xdr:row>
      <xdr:rowOff>58519</xdr:rowOff>
    </xdr:from>
    <xdr:to>
      <xdr:col>59</xdr:col>
      <xdr:colOff>35437</xdr:colOff>
      <xdr:row>30</xdr:row>
      <xdr:rowOff>39845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39E0E19C-DA94-4018-92ED-B1E078120256}"/>
            </a:ext>
          </a:extLst>
        </xdr:cNvPr>
        <xdr:cNvSpPr/>
      </xdr:nvSpPr>
      <xdr:spPr>
        <a:xfrm>
          <a:off x="217452" y="2508968"/>
          <a:ext cx="9554652" cy="2716710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14</xdr:col>
      <xdr:colOff>11721</xdr:colOff>
      <xdr:row>17</xdr:row>
      <xdr:rowOff>0</xdr:rowOff>
    </xdr:from>
    <xdr:to>
      <xdr:col>36</xdr:col>
      <xdr:colOff>156883</xdr:colOff>
      <xdr:row>17</xdr:row>
      <xdr:rowOff>90521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D361971B-F71E-4B59-A969-A73D82B4BF4D}"/>
            </a:ext>
          </a:extLst>
        </xdr:cNvPr>
        <xdr:cNvCxnSpPr>
          <a:cxnSpLocks/>
          <a:stCxn id="176" idx="3"/>
        </xdr:cNvCxnSpPr>
      </xdr:nvCxnSpPr>
      <xdr:spPr>
        <a:xfrm flipV="1">
          <a:off x="2633131" y="2963333"/>
          <a:ext cx="2953816" cy="9052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12778</xdr:colOff>
      <xdr:row>98</xdr:row>
      <xdr:rowOff>20913</xdr:rowOff>
    </xdr:from>
    <xdr:to>
      <xdr:col>16</xdr:col>
      <xdr:colOff>33053</xdr:colOff>
      <xdr:row>100</xdr:row>
      <xdr:rowOff>165909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79483D5B-5835-4064-A868-4EE646E6D760}"/>
            </a:ext>
          </a:extLst>
        </xdr:cNvPr>
        <xdr:cNvGrpSpPr/>
      </xdr:nvGrpSpPr>
      <xdr:grpSpPr>
        <a:xfrm>
          <a:off x="2507742" y="17968065"/>
          <a:ext cx="844944" cy="518962"/>
          <a:chOff x="433216" y="5741943"/>
          <a:chExt cx="739508" cy="516344"/>
        </a:xfrm>
      </xdr:grpSpPr>
      <xdr:sp macro="" textlink="">
        <xdr:nvSpPr>
          <xdr:cNvPr id="145" name="フローチャート: 他ページ結合子 144">
            <a:extLst>
              <a:ext uri="{FF2B5EF4-FFF2-40B4-BE49-F238E27FC236}">
                <a16:creationId xmlns:a16="http://schemas.microsoft.com/office/drawing/2014/main" id="{B2B728DB-BBB6-0D6B-E0C4-9E5199A7B5AF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6" name="正方形/長方形 48">
            <a:extLst>
              <a:ext uri="{FF2B5EF4-FFF2-40B4-BE49-F238E27FC236}">
                <a16:creationId xmlns:a16="http://schemas.microsoft.com/office/drawing/2014/main" id="{4F904EC1-82A7-8093-64FC-E635F499F12D}"/>
              </a:ext>
            </a:extLst>
          </xdr:cNvPr>
          <xdr:cNvSpPr/>
        </xdr:nvSpPr>
        <xdr:spPr>
          <a:xfrm>
            <a:off x="433216" y="5741943"/>
            <a:ext cx="739508" cy="51634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2.4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29179</xdr:colOff>
      <xdr:row>44</xdr:row>
      <xdr:rowOff>92327</xdr:rowOff>
    </xdr:from>
    <xdr:to>
      <xdr:col>11</xdr:col>
      <xdr:colOff>133749</xdr:colOff>
      <xdr:row>45</xdr:row>
      <xdr:rowOff>129331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5AFE4DBD-7684-4D2C-9167-AB355B9C2117}"/>
            </a:ext>
          </a:extLst>
        </xdr:cNvPr>
        <xdr:cNvSpPr txBox="1"/>
      </xdr:nvSpPr>
      <xdr:spPr>
        <a:xfrm>
          <a:off x="3025076" y="7671622"/>
          <a:ext cx="479058" cy="2079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11</xdr:col>
      <xdr:colOff>123969</xdr:colOff>
      <xdr:row>19</xdr:row>
      <xdr:rowOff>6993</xdr:rowOff>
    </xdr:from>
    <xdr:to>
      <xdr:col>11</xdr:col>
      <xdr:colOff>124006</xdr:colOff>
      <xdr:row>21</xdr:row>
      <xdr:rowOff>0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B6AEC44F-BD91-4A12-9F73-F4E491ADD43E}"/>
            </a:ext>
          </a:extLst>
        </xdr:cNvPr>
        <xdr:cNvCxnSpPr>
          <a:stCxn id="176" idx="2"/>
          <a:endCxn id="171" idx="0"/>
        </xdr:cNvCxnSpPr>
      </xdr:nvCxnSpPr>
      <xdr:spPr>
        <a:xfrm>
          <a:off x="3494354" y="3312249"/>
          <a:ext cx="37" cy="3349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77812</xdr:colOff>
      <xdr:row>42</xdr:row>
      <xdr:rowOff>65462</xdr:rowOff>
    </xdr:from>
    <xdr:to>
      <xdr:col>15</xdr:col>
      <xdr:colOff>166612</xdr:colOff>
      <xdr:row>43</xdr:row>
      <xdr:rowOff>51078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E4D1C70A-0BE2-4EA1-8F4A-3648CC903707}"/>
            </a:ext>
          </a:extLst>
        </xdr:cNvPr>
        <xdr:cNvSpPr txBox="1"/>
      </xdr:nvSpPr>
      <xdr:spPr>
        <a:xfrm>
          <a:off x="3822684" y="7302834"/>
          <a:ext cx="463287" cy="156577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8</xdr:col>
      <xdr:colOff>122101</xdr:colOff>
      <xdr:row>21</xdr:row>
      <xdr:rowOff>0</xdr:rowOff>
    </xdr:from>
    <xdr:to>
      <xdr:col>14</xdr:col>
      <xdr:colOff>113264</xdr:colOff>
      <xdr:row>24</xdr:row>
      <xdr:rowOff>17330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3C74B3CF-C687-462E-983F-E7D98A2A2331}"/>
            </a:ext>
          </a:extLst>
        </xdr:cNvPr>
        <xdr:cNvGrpSpPr/>
      </xdr:nvGrpSpPr>
      <xdr:grpSpPr>
        <a:xfrm>
          <a:off x="1784775" y="3871058"/>
          <a:ext cx="1234835" cy="570659"/>
          <a:chOff x="1580728" y="2457449"/>
          <a:chExt cx="1013466" cy="381718"/>
        </a:xfrm>
      </xdr:grpSpPr>
      <xdr:sp macro="" textlink="">
        <xdr:nvSpPr>
          <xdr:cNvPr id="171" name="フローチャート: 定義済み処理 170">
            <a:extLst>
              <a:ext uri="{FF2B5EF4-FFF2-40B4-BE49-F238E27FC236}">
                <a16:creationId xmlns:a16="http://schemas.microsoft.com/office/drawing/2014/main" id="{87E44099-5AEA-C20F-A6B0-DE22FD7D90F1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2" name="正方形/長方形 48">
            <a:extLst>
              <a:ext uri="{FF2B5EF4-FFF2-40B4-BE49-F238E27FC236}">
                <a16:creationId xmlns:a16="http://schemas.microsoft.com/office/drawing/2014/main" id="{CEF40329-5A64-EB2D-805D-E5A86E84C904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２．売上の計上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113378</xdr:colOff>
      <xdr:row>24</xdr:row>
      <xdr:rowOff>7672</xdr:rowOff>
    </xdr:from>
    <xdr:to>
      <xdr:col>11</xdr:col>
      <xdr:colOff>125021</xdr:colOff>
      <xdr:row>42</xdr:row>
      <xdr:rowOff>17569</xdr:rowOff>
    </xdr:to>
    <xdr:cxnSp macro="">
      <xdr:nvCxnSpPr>
        <xdr:cNvPr id="173" name="直線矢印コネクタ 27">
          <a:extLst>
            <a:ext uri="{FF2B5EF4-FFF2-40B4-BE49-F238E27FC236}">
              <a16:creationId xmlns:a16="http://schemas.microsoft.com/office/drawing/2014/main" id="{A5BC8A8D-DA8E-42B3-843E-8378D9F0EDFC}"/>
            </a:ext>
          </a:extLst>
        </xdr:cNvPr>
        <xdr:cNvCxnSpPr>
          <a:cxnSpLocks/>
          <a:stCxn id="171" idx="2"/>
          <a:endCxn id="179" idx="0"/>
        </xdr:cNvCxnSpPr>
      </xdr:nvCxnSpPr>
      <xdr:spPr>
        <a:xfrm flipH="1">
          <a:off x="3483763" y="4167736"/>
          <a:ext cx="11643" cy="30872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119139</xdr:colOff>
      <xdr:row>13</xdr:row>
      <xdr:rowOff>35361</xdr:rowOff>
    </xdr:from>
    <xdr:to>
      <xdr:col>11</xdr:col>
      <xdr:colOff>124984</xdr:colOff>
      <xdr:row>16</xdr:row>
      <xdr:rowOff>2520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A2389894-4307-47E1-B7E3-A98444D8B618}"/>
            </a:ext>
          </a:extLst>
        </xdr:cNvPr>
        <xdr:cNvCxnSpPr>
          <a:cxnSpLocks/>
          <a:stCxn id="225" idx="2"/>
          <a:endCxn id="176" idx="0"/>
        </xdr:cNvCxnSpPr>
      </xdr:nvCxnSpPr>
      <xdr:spPr>
        <a:xfrm>
          <a:off x="3489524" y="2314848"/>
          <a:ext cx="5845" cy="48004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122064</xdr:colOff>
      <xdr:row>16</xdr:row>
      <xdr:rowOff>2520</xdr:rowOff>
    </xdr:from>
    <xdr:to>
      <xdr:col>14</xdr:col>
      <xdr:colOff>113227</xdr:colOff>
      <xdr:row>19</xdr:row>
      <xdr:rowOff>17330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D2279BCD-9E90-4779-92CB-0BBCC8419066}"/>
            </a:ext>
          </a:extLst>
        </xdr:cNvPr>
        <xdr:cNvGrpSpPr/>
      </xdr:nvGrpSpPr>
      <xdr:grpSpPr>
        <a:xfrm>
          <a:off x="1784738" y="2969924"/>
          <a:ext cx="1234835" cy="568139"/>
          <a:chOff x="1580728" y="2457449"/>
          <a:chExt cx="1013466" cy="381718"/>
        </a:xfrm>
      </xdr:grpSpPr>
      <xdr:sp macro="" textlink="">
        <xdr:nvSpPr>
          <xdr:cNvPr id="176" name="フローチャート: 定義済み処理 175">
            <a:extLst>
              <a:ext uri="{FF2B5EF4-FFF2-40B4-BE49-F238E27FC236}">
                <a16:creationId xmlns:a16="http://schemas.microsoft.com/office/drawing/2014/main" id="{FD3E8B26-FA6B-8C78-C9D2-48FFC8F52C4E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7" name="正方形/長方形 48">
            <a:extLst>
              <a:ext uri="{FF2B5EF4-FFF2-40B4-BE49-F238E27FC236}">
                <a16:creationId xmlns:a16="http://schemas.microsoft.com/office/drawing/2014/main" id="{7E4C0377-EF80-71F6-F606-79B011E90356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１．売上対象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伝票の確認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9</xdr:col>
      <xdr:colOff>11722</xdr:colOff>
      <xdr:row>42</xdr:row>
      <xdr:rowOff>17569</xdr:rowOff>
    </xdr:from>
    <xdr:to>
      <xdr:col>14</xdr:col>
      <xdr:colOff>31577</xdr:colOff>
      <xdr:row>45</xdr:row>
      <xdr:rowOff>18271</xdr:rowOff>
    </xdr:to>
    <xdr:grpSp>
      <xdr:nvGrpSpPr>
        <xdr:cNvPr id="178" name="グループ化 177">
          <a:extLst>
            <a:ext uri="{FF2B5EF4-FFF2-40B4-BE49-F238E27FC236}">
              <a16:creationId xmlns:a16="http://schemas.microsoft.com/office/drawing/2014/main" id="{B1486A21-0D79-4E7F-AD80-C75481D0271F}"/>
            </a:ext>
          </a:extLst>
        </xdr:cNvPr>
        <xdr:cNvGrpSpPr/>
      </xdr:nvGrpSpPr>
      <xdr:grpSpPr>
        <a:xfrm>
          <a:off x="1883897" y="7739071"/>
          <a:ext cx="1052121" cy="550222"/>
          <a:chOff x="287474" y="4845794"/>
          <a:chExt cx="1021504" cy="505814"/>
        </a:xfrm>
      </xdr:grpSpPr>
      <xdr:sp macro="" textlink="">
        <xdr:nvSpPr>
          <xdr:cNvPr id="179" name="フローチャート: 判断 178">
            <a:extLst>
              <a:ext uri="{FF2B5EF4-FFF2-40B4-BE49-F238E27FC236}">
                <a16:creationId xmlns:a16="http://schemas.microsoft.com/office/drawing/2014/main" id="{D472CC17-2E32-C54F-FD43-07B9E74E8ADD}"/>
              </a:ext>
            </a:extLst>
          </xdr:cNvPr>
          <xdr:cNvSpPr/>
        </xdr:nvSpPr>
        <xdr:spPr>
          <a:xfrm>
            <a:off x="368300" y="4845794"/>
            <a:ext cx="848033" cy="484567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0" name="正方形/長方形 48">
            <a:extLst>
              <a:ext uri="{FF2B5EF4-FFF2-40B4-BE49-F238E27FC236}">
                <a16:creationId xmlns:a16="http://schemas.microsoft.com/office/drawing/2014/main" id="{DF0BE7E7-5F38-F818-A2A3-55C6D896020F}"/>
              </a:ext>
            </a:extLst>
          </xdr:cNvPr>
          <xdr:cNvSpPr/>
        </xdr:nvSpPr>
        <xdr:spPr>
          <a:xfrm>
            <a:off x="287474" y="4856050"/>
            <a:ext cx="1021504" cy="495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都度請求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対象</a:t>
            </a:r>
          </a:p>
        </xdr:txBody>
      </xdr:sp>
    </xdr:grpSp>
    <xdr:clientData/>
  </xdr:twoCellAnchor>
  <xdr:twoCellAnchor>
    <xdr:from>
      <xdr:col>13</xdr:col>
      <xdr:colOff>132109</xdr:colOff>
      <xdr:row>43</xdr:row>
      <xdr:rowOff>92615</xdr:rowOff>
    </xdr:from>
    <xdr:to>
      <xdr:col>14</xdr:col>
      <xdr:colOff>3436</xdr:colOff>
      <xdr:row>51</xdr:row>
      <xdr:rowOff>95526</xdr:rowOff>
    </xdr:to>
    <xdr:cxnSp macro="">
      <xdr:nvCxnSpPr>
        <xdr:cNvPr id="181" name="コネクタ: カギ線 180">
          <a:extLst>
            <a:ext uri="{FF2B5EF4-FFF2-40B4-BE49-F238E27FC236}">
              <a16:creationId xmlns:a16="http://schemas.microsoft.com/office/drawing/2014/main" id="{2FF7F5E7-1D45-4208-9762-C5BB4EC6460E}"/>
            </a:ext>
          </a:extLst>
        </xdr:cNvPr>
        <xdr:cNvCxnSpPr>
          <a:cxnSpLocks/>
          <a:stCxn id="179" idx="3"/>
          <a:endCxn id="28" idx="0"/>
        </xdr:cNvCxnSpPr>
      </xdr:nvCxnSpPr>
      <xdr:spPr>
        <a:xfrm>
          <a:off x="2566276" y="7500948"/>
          <a:ext cx="58570" cy="1370604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162197</xdr:colOff>
      <xdr:row>115</xdr:row>
      <xdr:rowOff>0</xdr:rowOff>
    </xdr:from>
    <xdr:to>
      <xdr:col>14</xdr:col>
      <xdr:colOff>60113</xdr:colOff>
      <xdr:row>118</xdr:row>
      <xdr:rowOff>20910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500F5034-DB40-46DE-AEB4-4296F1065A11}"/>
            </a:ext>
          </a:extLst>
        </xdr:cNvPr>
        <xdr:cNvGrpSpPr/>
      </xdr:nvGrpSpPr>
      <xdr:grpSpPr>
        <a:xfrm>
          <a:off x="1824871" y="21052692"/>
          <a:ext cx="1137778" cy="566620"/>
          <a:chOff x="1612900" y="2452118"/>
          <a:chExt cx="933032" cy="382461"/>
        </a:xfrm>
      </xdr:grpSpPr>
      <xdr:sp macro="" textlink="">
        <xdr:nvSpPr>
          <xdr:cNvPr id="184" name="フローチャート: 処理 183">
            <a:extLst>
              <a:ext uri="{FF2B5EF4-FFF2-40B4-BE49-F238E27FC236}">
                <a16:creationId xmlns:a16="http://schemas.microsoft.com/office/drawing/2014/main" id="{3101F29C-A519-71B9-4307-0B8EDB7B485D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5" name="正方形/長方形 48">
            <a:extLst>
              <a:ext uri="{FF2B5EF4-FFF2-40B4-BE49-F238E27FC236}">
                <a16:creationId xmlns:a16="http://schemas.microsoft.com/office/drawing/2014/main" id="{E9B25DD6-A14D-1867-A6EE-3A7D8A9DC7DC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の送付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133075</xdr:colOff>
      <xdr:row>113</xdr:row>
      <xdr:rowOff>21141</xdr:rowOff>
    </xdr:from>
    <xdr:to>
      <xdr:col>11</xdr:col>
      <xdr:colOff>135507</xdr:colOff>
      <xdr:row>115</xdr:row>
      <xdr:rowOff>9743</xdr:rowOff>
    </xdr:to>
    <xdr:cxnSp macro="">
      <xdr:nvCxnSpPr>
        <xdr:cNvPr id="186" name="直線矢印コネクタ 27">
          <a:extLst>
            <a:ext uri="{FF2B5EF4-FFF2-40B4-BE49-F238E27FC236}">
              <a16:creationId xmlns:a16="http://schemas.microsoft.com/office/drawing/2014/main" id="{6EF9B31F-1B3E-4C80-B966-A4E79C872085}"/>
            </a:ext>
          </a:extLst>
        </xdr:cNvPr>
        <xdr:cNvCxnSpPr>
          <a:cxnSpLocks/>
          <a:stCxn id="189" idx="2"/>
          <a:endCxn id="184" idx="0"/>
        </xdr:cNvCxnSpPr>
      </xdr:nvCxnSpPr>
      <xdr:spPr>
        <a:xfrm flipH="1">
          <a:off x="3503460" y="19396782"/>
          <a:ext cx="2432" cy="3305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47807</xdr:colOff>
      <xdr:row>110</xdr:row>
      <xdr:rowOff>0</xdr:rowOff>
    </xdr:from>
    <xdr:to>
      <xdr:col>15</xdr:col>
      <xdr:colOff>2861</xdr:colOff>
      <xdr:row>113</xdr:row>
      <xdr:rowOff>17331</xdr:rowOff>
    </xdr:to>
    <xdr:grpSp>
      <xdr:nvGrpSpPr>
        <xdr:cNvPr id="187" name="グループ化 186">
          <a:extLst>
            <a:ext uri="{FF2B5EF4-FFF2-40B4-BE49-F238E27FC236}">
              <a16:creationId xmlns:a16="http://schemas.microsoft.com/office/drawing/2014/main" id="{77BCB04D-264B-49D5-BE73-375DDDE3B903}"/>
            </a:ext>
          </a:extLst>
        </xdr:cNvPr>
        <xdr:cNvGrpSpPr/>
      </xdr:nvGrpSpPr>
      <xdr:grpSpPr>
        <a:xfrm>
          <a:off x="1710481" y="20136827"/>
          <a:ext cx="1406322" cy="570660"/>
          <a:chOff x="1580728" y="2457449"/>
          <a:chExt cx="1013466" cy="381718"/>
        </a:xfrm>
      </xdr:grpSpPr>
      <xdr:sp macro="" textlink="">
        <xdr:nvSpPr>
          <xdr:cNvPr id="188" name="フローチャート: 定義済み処理 187">
            <a:extLst>
              <a:ext uri="{FF2B5EF4-FFF2-40B4-BE49-F238E27FC236}">
                <a16:creationId xmlns:a16="http://schemas.microsoft.com/office/drawing/2014/main" id="{8AE6DB02-6FE8-708D-D06F-3892BA457028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9" name="正方形/長方形 48">
            <a:extLst>
              <a:ext uri="{FF2B5EF4-FFF2-40B4-BE49-F238E27FC236}">
                <a16:creationId xmlns:a16="http://schemas.microsoft.com/office/drawing/2014/main" id="{51B808D3-79C9-5007-9772-582238AC51C4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</a:t>
            </a:r>
            <a:endParaRPr kumimoji="1" lang="en-US" altLang="ja-JP" sz="900"/>
          </a:p>
        </xdr:txBody>
      </xdr:sp>
    </xdr:grpSp>
    <xdr:clientData/>
  </xdr:twoCellAnchor>
  <xdr:twoCellAnchor>
    <xdr:from>
      <xdr:col>12</xdr:col>
      <xdr:colOff>19171</xdr:colOff>
      <xdr:row>119</xdr:row>
      <xdr:rowOff>74874</xdr:rowOff>
    </xdr:from>
    <xdr:to>
      <xdr:col>15</xdr:col>
      <xdr:colOff>23514</xdr:colOff>
      <xdr:row>121</xdr:row>
      <xdr:rowOff>106138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F88C533C-8315-4B56-8F3E-6DB778E3A3A3}"/>
            </a:ext>
          </a:extLst>
        </xdr:cNvPr>
        <xdr:cNvGrpSpPr>
          <a:grpSpLocks noChangeAspect="1"/>
        </xdr:cNvGrpSpPr>
      </xdr:nvGrpSpPr>
      <xdr:grpSpPr>
        <a:xfrm>
          <a:off x="2506515" y="21860259"/>
          <a:ext cx="627131" cy="395705"/>
          <a:chOff x="2791277" y="18512804"/>
          <a:chExt cx="771974" cy="419267"/>
        </a:xfrm>
      </xdr:grpSpPr>
      <xdr:sp macro="" textlink="">
        <xdr:nvSpPr>
          <xdr:cNvPr id="191" name="フローチャート: 書類 190">
            <a:extLst>
              <a:ext uri="{FF2B5EF4-FFF2-40B4-BE49-F238E27FC236}">
                <a16:creationId xmlns:a16="http://schemas.microsoft.com/office/drawing/2014/main" id="{4C5E6CA4-8FAF-0344-CC2B-A041A47EEE4C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2" name="正方形/長方形 191">
            <a:extLst>
              <a:ext uri="{FF2B5EF4-FFF2-40B4-BE49-F238E27FC236}">
                <a16:creationId xmlns:a16="http://schemas.microsoft.com/office/drawing/2014/main" id="{1E39F817-31B2-5AE1-4FCC-E8F63A1F65AC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9</xdr:col>
      <xdr:colOff>161124</xdr:colOff>
      <xdr:row>104</xdr:row>
      <xdr:rowOff>169983</xdr:rowOff>
    </xdr:from>
    <xdr:to>
      <xdr:col>13</xdr:col>
      <xdr:colOff>132111</xdr:colOff>
      <xdr:row>107</xdr:row>
      <xdr:rowOff>104056</xdr:rowOff>
    </xdr:to>
    <xdr:grpSp>
      <xdr:nvGrpSpPr>
        <xdr:cNvPr id="193" name="グループ化 192">
          <a:extLst>
            <a:ext uri="{FF2B5EF4-FFF2-40B4-BE49-F238E27FC236}">
              <a16:creationId xmlns:a16="http://schemas.microsoft.com/office/drawing/2014/main" id="{00CA2C59-106E-4BF5-8628-5F64602E70E2}"/>
            </a:ext>
          </a:extLst>
        </xdr:cNvPr>
        <xdr:cNvGrpSpPr/>
      </xdr:nvGrpSpPr>
      <xdr:grpSpPr>
        <a:xfrm>
          <a:off x="2031394" y="19211581"/>
          <a:ext cx="803277" cy="477878"/>
          <a:chOff x="424630" y="5751575"/>
          <a:chExt cx="754741" cy="470825"/>
        </a:xfrm>
      </xdr:grpSpPr>
      <xdr:sp macro="" textlink="">
        <xdr:nvSpPr>
          <xdr:cNvPr id="194" name="フローチャート: 他ページ結合子 193">
            <a:extLst>
              <a:ext uri="{FF2B5EF4-FFF2-40B4-BE49-F238E27FC236}">
                <a16:creationId xmlns:a16="http://schemas.microsoft.com/office/drawing/2014/main" id="{14926510-55C3-E330-148A-F8355E4C5734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5" name="正方形/長方形 48">
            <a:extLst>
              <a:ext uri="{FF2B5EF4-FFF2-40B4-BE49-F238E27FC236}">
                <a16:creationId xmlns:a16="http://schemas.microsoft.com/office/drawing/2014/main" id="{55E001DC-E98C-DC4A-F2B6-13B6D141C7EB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売上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138537</xdr:colOff>
      <xdr:row>107</xdr:row>
      <xdr:rowOff>110406</xdr:rowOff>
    </xdr:from>
    <xdr:to>
      <xdr:col>11</xdr:col>
      <xdr:colOff>138916</xdr:colOff>
      <xdr:row>110</xdr:row>
      <xdr:rowOff>0</xdr:rowOff>
    </xdr:to>
    <xdr:cxnSp macro="">
      <xdr:nvCxnSpPr>
        <xdr:cNvPr id="196" name="直線矢印コネクタ 27">
          <a:extLst>
            <a:ext uri="{FF2B5EF4-FFF2-40B4-BE49-F238E27FC236}">
              <a16:creationId xmlns:a16="http://schemas.microsoft.com/office/drawing/2014/main" id="{1C01B33B-0DB4-4F72-A985-113780F866C4}"/>
            </a:ext>
          </a:extLst>
        </xdr:cNvPr>
        <xdr:cNvCxnSpPr>
          <a:cxnSpLocks/>
          <a:stCxn id="194" idx="2"/>
          <a:endCxn id="188" idx="0"/>
        </xdr:cNvCxnSpPr>
      </xdr:nvCxnSpPr>
      <xdr:spPr>
        <a:xfrm>
          <a:off x="3508922" y="18460278"/>
          <a:ext cx="379" cy="4024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32764</xdr:colOff>
      <xdr:row>51</xdr:row>
      <xdr:rowOff>58190</xdr:rowOff>
    </xdr:from>
    <xdr:to>
      <xdr:col>11</xdr:col>
      <xdr:colOff>56361</xdr:colOff>
      <xdr:row>54</xdr:row>
      <xdr:rowOff>400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6A1BE575-F5C4-4F2F-AF1B-D8F7DE50CE34}"/>
            </a:ext>
          </a:extLst>
        </xdr:cNvPr>
        <xdr:cNvGrpSpPr/>
      </xdr:nvGrpSpPr>
      <xdr:grpSpPr>
        <a:xfrm>
          <a:off x="1484032" y="9420630"/>
          <a:ext cx="859697" cy="495539"/>
          <a:chOff x="424630" y="5751575"/>
          <a:chExt cx="754741" cy="470825"/>
        </a:xfrm>
      </xdr:grpSpPr>
      <xdr:sp macro="" textlink="">
        <xdr:nvSpPr>
          <xdr:cNvPr id="198" name="フローチャート: 他ページ結合子 197">
            <a:extLst>
              <a:ext uri="{FF2B5EF4-FFF2-40B4-BE49-F238E27FC236}">
                <a16:creationId xmlns:a16="http://schemas.microsoft.com/office/drawing/2014/main" id="{A3DD9BA1-B4EE-7027-B141-C31D5811BA8E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9" name="正方形/長方形 48">
            <a:extLst>
              <a:ext uri="{FF2B5EF4-FFF2-40B4-BE49-F238E27FC236}">
                <a16:creationId xmlns:a16="http://schemas.microsoft.com/office/drawing/2014/main" id="{516B0123-7204-3445-A2A5-712EA9503184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44538</xdr:colOff>
      <xdr:row>145</xdr:row>
      <xdr:rowOff>1079</xdr:rowOff>
    </xdr:from>
    <xdr:to>
      <xdr:col>15</xdr:col>
      <xdr:colOff>0</xdr:colOff>
      <xdr:row>148</xdr:row>
      <xdr:rowOff>18411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6B531AF6-4EFF-4220-808E-49E1B9ABC828}"/>
            </a:ext>
          </a:extLst>
        </xdr:cNvPr>
        <xdr:cNvGrpSpPr/>
      </xdr:nvGrpSpPr>
      <xdr:grpSpPr>
        <a:xfrm>
          <a:off x="1707212" y="26548964"/>
          <a:ext cx="1406730" cy="570661"/>
          <a:chOff x="1580728" y="2457449"/>
          <a:chExt cx="1013466" cy="381718"/>
        </a:xfrm>
      </xdr:grpSpPr>
      <xdr:sp macro="" textlink="">
        <xdr:nvSpPr>
          <xdr:cNvPr id="201" name="フローチャート: 定義済み処理 200">
            <a:extLst>
              <a:ext uri="{FF2B5EF4-FFF2-40B4-BE49-F238E27FC236}">
                <a16:creationId xmlns:a16="http://schemas.microsoft.com/office/drawing/2014/main" id="{151EEABC-8C85-4B4B-B982-DC6A552596A7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2" name="正方形/長方形 48">
            <a:extLst>
              <a:ext uri="{FF2B5EF4-FFF2-40B4-BE49-F238E27FC236}">
                <a16:creationId xmlns:a16="http://schemas.microsoft.com/office/drawing/2014/main" id="{A96C4639-FF2E-5E0D-78A7-B0B2EE68D884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１．請求の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締め処理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9</xdr:col>
      <xdr:colOff>173188</xdr:colOff>
      <xdr:row>140</xdr:row>
      <xdr:rowOff>1158</xdr:rowOff>
    </xdr:from>
    <xdr:to>
      <xdr:col>13</xdr:col>
      <xdr:colOff>141635</xdr:colOff>
      <xdr:row>142</xdr:row>
      <xdr:rowOff>111485</xdr:rowOff>
    </xdr:to>
    <xdr:grpSp>
      <xdr:nvGrpSpPr>
        <xdr:cNvPr id="203" name="グループ化 202">
          <a:extLst>
            <a:ext uri="{FF2B5EF4-FFF2-40B4-BE49-F238E27FC236}">
              <a16:creationId xmlns:a16="http://schemas.microsoft.com/office/drawing/2014/main" id="{89EF0C1A-B685-478C-B6A4-1FB06E8DA1CB}"/>
            </a:ext>
          </a:extLst>
        </xdr:cNvPr>
        <xdr:cNvGrpSpPr/>
      </xdr:nvGrpSpPr>
      <xdr:grpSpPr>
        <a:xfrm>
          <a:off x="2037743" y="25633177"/>
          <a:ext cx="800737" cy="476673"/>
          <a:chOff x="424630" y="5751575"/>
          <a:chExt cx="754741" cy="470825"/>
        </a:xfrm>
      </xdr:grpSpPr>
      <xdr:sp macro="" textlink="">
        <xdr:nvSpPr>
          <xdr:cNvPr id="204" name="フローチャート: 他ページ結合子 203">
            <a:extLst>
              <a:ext uri="{FF2B5EF4-FFF2-40B4-BE49-F238E27FC236}">
                <a16:creationId xmlns:a16="http://schemas.microsoft.com/office/drawing/2014/main" id="{C079291B-C46D-33C4-A048-EB1D111D4A8A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5" name="正方形/長方形 48">
            <a:extLst>
              <a:ext uri="{FF2B5EF4-FFF2-40B4-BE49-F238E27FC236}">
                <a16:creationId xmlns:a16="http://schemas.microsoft.com/office/drawing/2014/main" id="{0A252C1D-AFD5-14FC-5D9A-2ED3D986B421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売上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146290</xdr:colOff>
      <xdr:row>142</xdr:row>
      <xdr:rowOff>111485</xdr:rowOff>
    </xdr:from>
    <xdr:to>
      <xdr:col>11</xdr:col>
      <xdr:colOff>147432</xdr:colOff>
      <xdr:row>145</xdr:row>
      <xdr:rowOff>1079</xdr:rowOff>
    </xdr:to>
    <xdr:cxnSp macro="">
      <xdr:nvCxnSpPr>
        <xdr:cNvPr id="206" name="直線矢印コネクタ 27">
          <a:extLst>
            <a:ext uri="{FF2B5EF4-FFF2-40B4-BE49-F238E27FC236}">
              <a16:creationId xmlns:a16="http://schemas.microsoft.com/office/drawing/2014/main" id="{5CE5E7DE-6588-44A7-A094-EB00C3D1EC05}"/>
            </a:ext>
          </a:extLst>
        </xdr:cNvPr>
        <xdr:cNvCxnSpPr>
          <a:cxnSpLocks/>
          <a:stCxn id="204" idx="2"/>
          <a:endCxn id="201" idx="0"/>
        </xdr:cNvCxnSpPr>
      </xdr:nvCxnSpPr>
      <xdr:spPr>
        <a:xfrm>
          <a:off x="3516675" y="24445011"/>
          <a:ext cx="1142" cy="4024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27212</xdr:colOff>
      <xdr:row>150</xdr:row>
      <xdr:rowOff>2076</xdr:rowOff>
    </xdr:from>
    <xdr:to>
      <xdr:col>15</xdr:col>
      <xdr:colOff>0</xdr:colOff>
      <xdr:row>153</xdr:row>
      <xdr:rowOff>28298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FB393A32-D4B9-45D5-9B08-883D180CB38C}"/>
            </a:ext>
          </a:extLst>
        </xdr:cNvPr>
        <xdr:cNvGrpSpPr/>
      </xdr:nvGrpSpPr>
      <xdr:grpSpPr>
        <a:xfrm>
          <a:off x="1686076" y="27465826"/>
          <a:ext cx="1427866" cy="573836"/>
          <a:chOff x="1580728" y="2457449"/>
          <a:chExt cx="1013466" cy="381718"/>
        </a:xfrm>
      </xdr:grpSpPr>
      <xdr:sp macro="" textlink="">
        <xdr:nvSpPr>
          <xdr:cNvPr id="208" name="フローチャート: 定義済み処理 207">
            <a:extLst>
              <a:ext uri="{FF2B5EF4-FFF2-40B4-BE49-F238E27FC236}">
                <a16:creationId xmlns:a16="http://schemas.microsoft.com/office/drawing/2014/main" id="{98C1BD34-55F3-CAE6-0334-4992D2A7DDB4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9" name="正方形/長方形 48">
            <a:extLst>
              <a:ext uri="{FF2B5EF4-FFF2-40B4-BE49-F238E27FC236}">
                <a16:creationId xmlns:a16="http://schemas.microsoft.com/office/drawing/2014/main" id="{0AA6A734-1C79-CF57-9908-B03FD7CA62B5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２．締め処理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の確定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131794</xdr:colOff>
      <xdr:row>148</xdr:row>
      <xdr:rowOff>11187</xdr:rowOff>
    </xdr:from>
    <xdr:to>
      <xdr:col>11</xdr:col>
      <xdr:colOff>141409</xdr:colOff>
      <xdr:row>150</xdr:row>
      <xdr:rowOff>2076</xdr:rowOff>
    </xdr:to>
    <xdr:cxnSp macro="">
      <xdr:nvCxnSpPr>
        <xdr:cNvPr id="210" name="直線矢印コネクタ 27">
          <a:extLst>
            <a:ext uri="{FF2B5EF4-FFF2-40B4-BE49-F238E27FC236}">
              <a16:creationId xmlns:a16="http://schemas.microsoft.com/office/drawing/2014/main" id="{575FB0DB-528A-4A68-9F9D-B4F9905F3AE8}"/>
            </a:ext>
          </a:extLst>
        </xdr:cNvPr>
        <xdr:cNvCxnSpPr>
          <a:cxnSpLocks/>
          <a:stCxn id="201" idx="2"/>
          <a:endCxn id="208" idx="0"/>
        </xdr:cNvCxnSpPr>
      </xdr:nvCxnSpPr>
      <xdr:spPr>
        <a:xfrm flipH="1">
          <a:off x="3502179" y="25370482"/>
          <a:ext cx="9615" cy="33281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28482</xdr:colOff>
      <xdr:row>155</xdr:row>
      <xdr:rowOff>0</xdr:rowOff>
    </xdr:from>
    <xdr:to>
      <xdr:col>15</xdr:col>
      <xdr:colOff>0</xdr:colOff>
      <xdr:row>158</xdr:row>
      <xdr:rowOff>19237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4EE1244E-0416-455C-8954-59C643B523C2}"/>
            </a:ext>
          </a:extLst>
        </xdr:cNvPr>
        <xdr:cNvGrpSpPr/>
      </xdr:nvGrpSpPr>
      <xdr:grpSpPr>
        <a:xfrm>
          <a:off x="1687346" y="28379615"/>
          <a:ext cx="1426596" cy="564947"/>
          <a:chOff x="1580728" y="2457449"/>
          <a:chExt cx="1013466" cy="381718"/>
        </a:xfrm>
      </xdr:grpSpPr>
      <xdr:sp macro="" textlink="">
        <xdr:nvSpPr>
          <xdr:cNvPr id="212" name="フローチャート: 定義済み処理 211">
            <a:extLst>
              <a:ext uri="{FF2B5EF4-FFF2-40B4-BE49-F238E27FC236}">
                <a16:creationId xmlns:a16="http://schemas.microsoft.com/office/drawing/2014/main" id="{E091192C-48B9-80EF-3F6F-BF8C77078079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13" name="正方形/長方形 48">
            <a:extLst>
              <a:ext uri="{FF2B5EF4-FFF2-40B4-BE49-F238E27FC236}">
                <a16:creationId xmlns:a16="http://schemas.microsoft.com/office/drawing/2014/main" id="{B999C009-4FA1-3FF0-912A-298E93BD52A4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３．請求書の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131005</xdr:colOff>
      <xdr:row>153</xdr:row>
      <xdr:rowOff>11443</xdr:rowOff>
    </xdr:from>
    <xdr:to>
      <xdr:col>11</xdr:col>
      <xdr:colOff>131929</xdr:colOff>
      <xdr:row>155</xdr:row>
      <xdr:rowOff>0</xdr:rowOff>
    </xdr:to>
    <xdr:cxnSp macro="">
      <xdr:nvCxnSpPr>
        <xdr:cNvPr id="214" name="直線矢印コネクタ 27">
          <a:extLst>
            <a:ext uri="{FF2B5EF4-FFF2-40B4-BE49-F238E27FC236}">
              <a16:creationId xmlns:a16="http://schemas.microsoft.com/office/drawing/2014/main" id="{F8FDD9CB-6385-4E02-B27D-83BA7A9A0B00}"/>
            </a:ext>
          </a:extLst>
        </xdr:cNvPr>
        <xdr:cNvCxnSpPr>
          <a:cxnSpLocks/>
          <a:stCxn id="208" idx="2"/>
          <a:endCxn id="212" idx="0"/>
        </xdr:cNvCxnSpPr>
      </xdr:nvCxnSpPr>
      <xdr:spPr>
        <a:xfrm flipH="1">
          <a:off x="3501390" y="26225546"/>
          <a:ext cx="924" cy="33048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65225</xdr:colOff>
      <xdr:row>162</xdr:row>
      <xdr:rowOff>154680</xdr:rowOff>
    </xdr:from>
    <xdr:to>
      <xdr:col>16</xdr:col>
      <xdr:colOff>97693</xdr:colOff>
      <xdr:row>164</xdr:row>
      <xdr:rowOff>32565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346DFAAE-7128-464F-A028-4B55FC918309}"/>
            </a:ext>
          </a:extLst>
        </xdr:cNvPr>
        <xdr:cNvSpPr txBox="1"/>
      </xdr:nvSpPr>
      <xdr:spPr>
        <a:xfrm>
          <a:off x="2124904" y="27907436"/>
          <a:ext cx="968686" cy="219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メール送付</a:t>
          </a:r>
        </a:p>
      </xdr:txBody>
    </xdr:sp>
    <xdr:clientData/>
  </xdr:twoCellAnchor>
  <xdr:twoCellAnchor>
    <xdr:from>
      <xdr:col>8</xdr:col>
      <xdr:colOff>161562</xdr:colOff>
      <xdr:row>159</xdr:row>
      <xdr:rowOff>170480</xdr:rowOff>
    </xdr:from>
    <xdr:to>
      <xdr:col>14</xdr:col>
      <xdr:colOff>60113</xdr:colOff>
      <xdr:row>163</xdr:row>
      <xdr:rowOff>16312</xdr:rowOff>
    </xdr:to>
    <xdr:grpSp>
      <xdr:nvGrpSpPr>
        <xdr:cNvPr id="216" name="グループ化 215">
          <a:extLst>
            <a:ext uri="{FF2B5EF4-FFF2-40B4-BE49-F238E27FC236}">
              <a16:creationId xmlns:a16="http://schemas.microsoft.com/office/drawing/2014/main" id="{87F847AA-055E-4527-B851-5CE9ABB7FD76}"/>
            </a:ext>
          </a:extLst>
        </xdr:cNvPr>
        <xdr:cNvGrpSpPr/>
      </xdr:nvGrpSpPr>
      <xdr:grpSpPr>
        <a:xfrm>
          <a:off x="1824236" y="29286598"/>
          <a:ext cx="1138413" cy="578524"/>
          <a:chOff x="1612900" y="2452118"/>
          <a:chExt cx="933032" cy="382461"/>
        </a:xfrm>
      </xdr:grpSpPr>
      <xdr:sp macro="" textlink="">
        <xdr:nvSpPr>
          <xdr:cNvPr id="217" name="フローチャート: 処理 216">
            <a:extLst>
              <a:ext uri="{FF2B5EF4-FFF2-40B4-BE49-F238E27FC236}">
                <a16:creationId xmlns:a16="http://schemas.microsoft.com/office/drawing/2014/main" id="{314C5992-2959-CE91-3584-0B9434316E8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18" name="正方形/長方形 48">
            <a:extLst>
              <a:ext uri="{FF2B5EF4-FFF2-40B4-BE49-F238E27FC236}">
                <a16:creationId xmlns:a16="http://schemas.microsoft.com/office/drawing/2014/main" id="{3A5E0138-17C5-C13F-6A89-7C99F1FCD7BA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４．請求書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の送付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130489</xdr:colOff>
      <xdr:row>158</xdr:row>
      <xdr:rowOff>8803</xdr:rowOff>
    </xdr:from>
    <xdr:to>
      <xdr:col>11</xdr:col>
      <xdr:colOff>131948</xdr:colOff>
      <xdr:row>159</xdr:row>
      <xdr:rowOff>181006</xdr:rowOff>
    </xdr:to>
    <xdr:cxnSp macro="">
      <xdr:nvCxnSpPr>
        <xdr:cNvPr id="219" name="直線矢印コネクタ 27">
          <a:extLst>
            <a:ext uri="{FF2B5EF4-FFF2-40B4-BE49-F238E27FC236}">
              <a16:creationId xmlns:a16="http://schemas.microsoft.com/office/drawing/2014/main" id="{4B3E2DA1-D3FB-4B7C-B50E-88F71BB9634B}"/>
            </a:ext>
          </a:extLst>
        </xdr:cNvPr>
        <xdr:cNvCxnSpPr>
          <a:cxnSpLocks/>
          <a:stCxn id="212" idx="2"/>
          <a:endCxn id="217" idx="0"/>
        </xdr:cNvCxnSpPr>
      </xdr:nvCxnSpPr>
      <xdr:spPr>
        <a:xfrm flipH="1">
          <a:off x="3500874" y="27077713"/>
          <a:ext cx="1459" cy="33046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14002</xdr:colOff>
      <xdr:row>163</xdr:row>
      <xdr:rowOff>133024</xdr:rowOff>
    </xdr:from>
    <xdr:to>
      <xdr:col>15</xdr:col>
      <xdr:colOff>130256</xdr:colOff>
      <xdr:row>166</xdr:row>
      <xdr:rowOff>113983</xdr:rowOff>
    </xdr:to>
    <xdr:grpSp>
      <xdr:nvGrpSpPr>
        <xdr:cNvPr id="220" name="グループ化 219">
          <a:extLst>
            <a:ext uri="{FF2B5EF4-FFF2-40B4-BE49-F238E27FC236}">
              <a16:creationId xmlns:a16="http://schemas.microsoft.com/office/drawing/2014/main" id="{A47ABD41-B3B9-4D94-BA87-4ED607DC9B4E}"/>
            </a:ext>
          </a:extLst>
        </xdr:cNvPr>
        <xdr:cNvGrpSpPr>
          <a:grpSpLocks noChangeAspect="1"/>
        </xdr:cNvGrpSpPr>
      </xdr:nvGrpSpPr>
      <xdr:grpSpPr>
        <a:xfrm>
          <a:off x="2508966" y="29981834"/>
          <a:ext cx="739042" cy="526668"/>
          <a:chOff x="2791277" y="18457917"/>
          <a:chExt cx="886653" cy="519583"/>
        </a:xfrm>
      </xdr:grpSpPr>
      <xdr:sp macro="" textlink="">
        <xdr:nvSpPr>
          <xdr:cNvPr id="221" name="フローチャート: 書類 220">
            <a:extLst>
              <a:ext uri="{FF2B5EF4-FFF2-40B4-BE49-F238E27FC236}">
                <a16:creationId xmlns:a16="http://schemas.microsoft.com/office/drawing/2014/main" id="{17EACD2A-2A47-F8BF-0FB2-71172E427D7A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2" name="正方形/長方形 221">
            <a:extLst>
              <a:ext uri="{FF2B5EF4-FFF2-40B4-BE49-F238E27FC236}">
                <a16:creationId xmlns:a16="http://schemas.microsoft.com/office/drawing/2014/main" id="{4E00B676-260F-1FD0-E9B9-C3C60459F9CF}"/>
              </a:ext>
            </a:extLst>
          </xdr:cNvPr>
          <xdr:cNvSpPr/>
        </xdr:nvSpPr>
        <xdr:spPr>
          <a:xfrm>
            <a:off x="2791277" y="18457917"/>
            <a:ext cx="886653" cy="5195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月次締め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6</xdr:col>
      <xdr:colOff>141328</xdr:colOff>
      <xdr:row>127</xdr:row>
      <xdr:rowOff>81735</xdr:rowOff>
    </xdr:from>
    <xdr:to>
      <xdr:col>9</xdr:col>
      <xdr:colOff>93703</xdr:colOff>
      <xdr:row>128</xdr:row>
      <xdr:rowOff>138885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4BE968FA-FF9C-4B09-9C4D-7BAC4922FA9D}"/>
            </a:ext>
          </a:extLst>
        </xdr:cNvPr>
        <xdr:cNvSpPr txBox="1"/>
      </xdr:nvSpPr>
      <xdr:spPr>
        <a:xfrm>
          <a:off x="1264790" y="21850838"/>
          <a:ext cx="514105" cy="22811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5</xdr:col>
      <xdr:colOff>180650</xdr:colOff>
      <xdr:row>171</xdr:row>
      <xdr:rowOff>113079</xdr:rowOff>
    </xdr:from>
    <xdr:to>
      <xdr:col>8</xdr:col>
      <xdr:colOff>133024</xdr:colOff>
      <xdr:row>172</xdr:row>
      <xdr:rowOff>160215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C01D464D-DADD-464E-9FB9-C9CDCB879214}"/>
            </a:ext>
          </a:extLst>
        </xdr:cNvPr>
        <xdr:cNvSpPr txBox="1"/>
      </xdr:nvSpPr>
      <xdr:spPr>
        <a:xfrm>
          <a:off x="1116868" y="29404489"/>
          <a:ext cx="514105" cy="218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9</xdr:col>
      <xdr:colOff>168088</xdr:colOff>
      <xdr:row>11</xdr:row>
      <xdr:rowOff>134470</xdr:rowOff>
    </xdr:from>
    <xdr:to>
      <xdr:col>13</xdr:col>
      <xdr:colOff>73366</xdr:colOff>
      <xdr:row>13</xdr:row>
      <xdr:rowOff>35361</xdr:rowOff>
    </xdr:to>
    <xdr:sp macro="" textlink="">
      <xdr:nvSpPr>
        <xdr:cNvPr id="225" name="フローチャート: 端子 224">
          <a:extLst>
            <a:ext uri="{FF2B5EF4-FFF2-40B4-BE49-F238E27FC236}">
              <a16:creationId xmlns:a16="http://schemas.microsoft.com/office/drawing/2014/main" id="{5643074F-0C25-4B2B-A8C2-354E14606469}"/>
            </a:ext>
          </a:extLst>
        </xdr:cNvPr>
        <xdr:cNvSpPr/>
      </xdr:nvSpPr>
      <xdr:spPr>
        <a:xfrm>
          <a:off x="3163985" y="2072034"/>
          <a:ext cx="654253" cy="24281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9</xdr:col>
      <xdr:colOff>29179</xdr:colOff>
      <xdr:row>91</xdr:row>
      <xdr:rowOff>92327</xdr:rowOff>
    </xdr:from>
    <xdr:to>
      <xdr:col>11</xdr:col>
      <xdr:colOff>133749</xdr:colOff>
      <xdr:row>92</xdr:row>
      <xdr:rowOff>129331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E0A03101-644B-49D0-B6D4-2EF09BE55AF2}"/>
            </a:ext>
          </a:extLst>
        </xdr:cNvPr>
        <xdr:cNvSpPr txBox="1"/>
      </xdr:nvSpPr>
      <xdr:spPr>
        <a:xfrm>
          <a:off x="3025076" y="15706814"/>
          <a:ext cx="479058" cy="20796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13</xdr:col>
      <xdr:colOff>77812</xdr:colOff>
      <xdr:row>89</xdr:row>
      <xdr:rowOff>65462</xdr:rowOff>
    </xdr:from>
    <xdr:to>
      <xdr:col>15</xdr:col>
      <xdr:colOff>166612</xdr:colOff>
      <xdr:row>90</xdr:row>
      <xdr:rowOff>51078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DD602F23-C044-43A5-A4DB-5733383BCBC2}"/>
            </a:ext>
          </a:extLst>
        </xdr:cNvPr>
        <xdr:cNvSpPr txBox="1"/>
      </xdr:nvSpPr>
      <xdr:spPr>
        <a:xfrm>
          <a:off x="3822684" y="15338026"/>
          <a:ext cx="463287" cy="156578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11</xdr:col>
      <xdr:colOff>117116</xdr:colOff>
      <xdr:row>60</xdr:row>
      <xdr:rowOff>35361</xdr:rowOff>
    </xdr:from>
    <xdr:to>
      <xdr:col>11</xdr:col>
      <xdr:colOff>120728</xdr:colOff>
      <xdr:row>64</xdr:row>
      <xdr:rowOff>35402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B7361EA8-A896-4A8C-AA1E-E44A2616D9ED}"/>
            </a:ext>
          </a:extLst>
        </xdr:cNvPr>
        <xdr:cNvCxnSpPr>
          <a:cxnSpLocks/>
          <a:stCxn id="245" idx="2"/>
          <a:endCxn id="286" idx="0"/>
        </xdr:cNvCxnSpPr>
      </xdr:nvCxnSpPr>
      <xdr:spPr>
        <a:xfrm flipH="1">
          <a:off x="2176795" y="10350040"/>
          <a:ext cx="3612" cy="68388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11722</xdr:colOff>
      <xdr:row>89</xdr:row>
      <xdr:rowOff>17569</xdr:rowOff>
    </xdr:from>
    <xdr:to>
      <xdr:col>14</xdr:col>
      <xdr:colOff>31577</xdr:colOff>
      <xdr:row>92</xdr:row>
      <xdr:rowOff>18271</xdr:rowOff>
    </xdr:to>
    <xdr:grpSp>
      <xdr:nvGrpSpPr>
        <xdr:cNvPr id="237" name="グループ化 236">
          <a:extLst>
            <a:ext uri="{FF2B5EF4-FFF2-40B4-BE49-F238E27FC236}">
              <a16:creationId xmlns:a16="http://schemas.microsoft.com/office/drawing/2014/main" id="{D78476A8-4A2C-4F00-9777-9F343E5566F5}"/>
            </a:ext>
          </a:extLst>
        </xdr:cNvPr>
        <xdr:cNvGrpSpPr/>
      </xdr:nvGrpSpPr>
      <xdr:grpSpPr>
        <a:xfrm>
          <a:off x="1883897" y="16323783"/>
          <a:ext cx="1052121" cy="550221"/>
          <a:chOff x="287474" y="4845794"/>
          <a:chExt cx="1021504" cy="505814"/>
        </a:xfrm>
      </xdr:grpSpPr>
      <xdr:sp macro="" textlink="">
        <xdr:nvSpPr>
          <xdr:cNvPr id="238" name="フローチャート: 判断 237">
            <a:extLst>
              <a:ext uri="{FF2B5EF4-FFF2-40B4-BE49-F238E27FC236}">
                <a16:creationId xmlns:a16="http://schemas.microsoft.com/office/drawing/2014/main" id="{43961FEB-1525-0374-28DC-E54DE9CDDD0B}"/>
              </a:ext>
            </a:extLst>
          </xdr:cNvPr>
          <xdr:cNvSpPr/>
        </xdr:nvSpPr>
        <xdr:spPr>
          <a:xfrm>
            <a:off x="368300" y="4845794"/>
            <a:ext cx="848033" cy="484567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9" name="正方形/長方形 48">
            <a:extLst>
              <a:ext uri="{FF2B5EF4-FFF2-40B4-BE49-F238E27FC236}">
                <a16:creationId xmlns:a16="http://schemas.microsoft.com/office/drawing/2014/main" id="{5AE0B986-7F00-8391-DAD1-A8C650B3A7BF}"/>
              </a:ext>
            </a:extLst>
          </xdr:cNvPr>
          <xdr:cNvSpPr/>
        </xdr:nvSpPr>
        <xdr:spPr>
          <a:xfrm>
            <a:off x="287474" y="4856050"/>
            <a:ext cx="1021504" cy="495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都度請求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対象</a:t>
            </a:r>
          </a:p>
        </xdr:txBody>
      </xdr:sp>
    </xdr:grpSp>
    <xdr:clientData/>
  </xdr:twoCellAnchor>
  <xdr:twoCellAnchor>
    <xdr:from>
      <xdr:col>13</xdr:col>
      <xdr:colOff>132109</xdr:colOff>
      <xdr:row>90</xdr:row>
      <xdr:rowOff>92614</xdr:rowOff>
    </xdr:from>
    <xdr:to>
      <xdr:col>14</xdr:col>
      <xdr:colOff>11578</xdr:colOff>
      <xdr:row>98</xdr:row>
      <xdr:rowOff>54821</xdr:rowOff>
    </xdr:to>
    <xdr:cxnSp macro="">
      <xdr:nvCxnSpPr>
        <xdr:cNvPr id="240" name="コネクタ: カギ線 239">
          <a:extLst>
            <a:ext uri="{FF2B5EF4-FFF2-40B4-BE49-F238E27FC236}">
              <a16:creationId xmlns:a16="http://schemas.microsoft.com/office/drawing/2014/main" id="{518579DA-48FD-4233-948B-8FE776BEA87C}"/>
            </a:ext>
          </a:extLst>
        </xdr:cNvPr>
        <xdr:cNvCxnSpPr>
          <a:cxnSpLocks/>
          <a:stCxn id="238" idx="3"/>
          <a:endCxn id="145" idx="0"/>
        </xdr:cNvCxnSpPr>
      </xdr:nvCxnSpPr>
      <xdr:spPr>
        <a:xfrm>
          <a:off x="2566276" y="15536140"/>
          <a:ext cx="66712" cy="1329899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16481</xdr:colOff>
      <xdr:row>98</xdr:row>
      <xdr:rowOff>17485</xdr:rowOff>
    </xdr:from>
    <xdr:to>
      <xdr:col>11</xdr:col>
      <xdr:colOff>40078</xdr:colOff>
      <xdr:row>100</xdr:row>
      <xdr:rowOff>130656</xdr:rowOff>
    </xdr:to>
    <xdr:grpSp>
      <xdr:nvGrpSpPr>
        <xdr:cNvPr id="242" name="グループ化 241">
          <a:extLst>
            <a:ext uri="{FF2B5EF4-FFF2-40B4-BE49-F238E27FC236}">
              <a16:creationId xmlns:a16="http://schemas.microsoft.com/office/drawing/2014/main" id="{D1E9A5FA-A10C-4016-A1A7-E7D348BEE30C}"/>
            </a:ext>
          </a:extLst>
        </xdr:cNvPr>
        <xdr:cNvGrpSpPr/>
      </xdr:nvGrpSpPr>
      <xdr:grpSpPr>
        <a:xfrm>
          <a:off x="1473464" y="17972257"/>
          <a:ext cx="850172" cy="479517"/>
          <a:chOff x="424630" y="5751575"/>
          <a:chExt cx="754741" cy="470825"/>
        </a:xfrm>
      </xdr:grpSpPr>
      <xdr:sp macro="" textlink="">
        <xdr:nvSpPr>
          <xdr:cNvPr id="243" name="フローチャート: 他ページ結合子 242">
            <a:extLst>
              <a:ext uri="{FF2B5EF4-FFF2-40B4-BE49-F238E27FC236}">
                <a16:creationId xmlns:a16="http://schemas.microsoft.com/office/drawing/2014/main" id="{29871B07-5B96-0C69-8E66-10A6B11D8281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44" name="正方形/長方形 48">
            <a:extLst>
              <a:ext uri="{FF2B5EF4-FFF2-40B4-BE49-F238E27FC236}">
                <a16:creationId xmlns:a16="http://schemas.microsoft.com/office/drawing/2014/main" id="{98B385A4-294C-02A5-8CD5-CA10647746D0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2.3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168088</xdr:colOff>
      <xdr:row>58</xdr:row>
      <xdr:rowOff>134470</xdr:rowOff>
    </xdr:from>
    <xdr:to>
      <xdr:col>13</xdr:col>
      <xdr:colOff>73366</xdr:colOff>
      <xdr:row>60</xdr:row>
      <xdr:rowOff>35361</xdr:rowOff>
    </xdr:to>
    <xdr:sp macro="" textlink="">
      <xdr:nvSpPr>
        <xdr:cNvPr id="245" name="フローチャート: 端子 244">
          <a:extLst>
            <a:ext uri="{FF2B5EF4-FFF2-40B4-BE49-F238E27FC236}">
              <a16:creationId xmlns:a16="http://schemas.microsoft.com/office/drawing/2014/main" id="{AEFD6FFA-D87B-4FDD-8BC1-4F6BCE4BBED4}"/>
            </a:ext>
          </a:extLst>
        </xdr:cNvPr>
        <xdr:cNvSpPr/>
      </xdr:nvSpPr>
      <xdr:spPr>
        <a:xfrm>
          <a:off x="3163985" y="10107226"/>
          <a:ext cx="654253" cy="24281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9</xdr:col>
      <xdr:colOff>44563</xdr:colOff>
      <xdr:row>43</xdr:row>
      <xdr:rowOff>92615</xdr:rowOff>
    </xdr:from>
    <xdr:to>
      <xdr:col>9</xdr:col>
      <xdr:colOff>87371</xdr:colOff>
      <xdr:row>51</xdr:row>
      <xdr:rowOff>58190</xdr:rowOff>
    </xdr:to>
    <xdr:cxnSp macro="">
      <xdr:nvCxnSpPr>
        <xdr:cNvPr id="253" name="コネクタ: カギ線 252">
          <a:extLst>
            <a:ext uri="{FF2B5EF4-FFF2-40B4-BE49-F238E27FC236}">
              <a16:creationId xmlns:a16="http://schemas.microsoft.com/office/drawing/2014/main" id="{909F91C5-A4C7-473D-9EAC-E1221E485351}"/>
            </a:ext>
          </a:extLst>
        </xdr:cNvPr>
        <xdr:cNvCxnSpPr>
          <a:cxnSpLocks/>
          <a:stCxn id="179" idx="1"/>
          <a:endCxn id="199" idx="0"/>
        </xdr:cNvCxnSpPr>
      </xdr:nvCxnSpPr>
      <xdr:spPr>
        <a:xfrm rot="10800000" flipV="1">
          <a:off x="1729755" y="7500948"/>
          <a:ext cx="42808" cy="1333268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28281</xdr:colOff>
      <xdr:row>90</xdr:row>
      <xdr:rowOff>92613</xdr:rowOff>
    </xdr:from>
    <xdr:to>
      <xdr:col>9</xdr:col>
      <xdr:colOff>87372</xdr:colOff>
      <xdr:row>98</xdr:row>
      <xdr:rowOff>17484</xdr:rowOff>
    </xdr:to>
    <xdr:cxnSp macro="">
      <xdr:nvCxnSpPr>
        <xdr:cNvPr id="257" name="コネクタ: カギ線 256">
          <a:extLst>
            <a:ext uri="{FF2B5EF4-FFF2-40B4-BE49-F238E27FC236}">
              <a16:creationId xmlns:a16="http://schemas.microsoft.com/office/drawing/2014/main" id="{7730EABC-C5C7-4721-8A2C-151F9991C6E7}"/>
            </a:ext>
          </a:extLst>
        </xdr:cNvPr>
        <xdr:cNvCxnSpPr>
          <a:cxnSpLocks/>
          <a:stCxn id="238" idx="1"/>
          <a:endCxn id="244" idx="0"/>
        </xdr:cNvCxnSpPr>
      </xdr:nvCxnSpPr>
      <xdr:spPr>
        <a:xfrm rot="10800000" flipV="1">
          <a:off x="1713473" y="15536139"/>
          <a:ext cx="59091" cy="1292563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143266</xdr:colOff>
      <xdr:row>128</xdr:row>
      <xdr:rowOff>164856</xdr:rowOff>
    </xdr:from>
    <xdr:to>
      <xdr:col>7</xdr:col>
      <xdr:colOff>81946</xdr:colOff>
      <xdr:row>134</xdr:row>
      <xdr:rowOff>86190</xdr:rowOff>
    </xdr:to>
    <xdr:cxnSp macro="">
      <xdr:nvCxnSpPr>
        <xdr:cNvPr id="261" name="コネクタ: カギ線 260">
          <a:extLst>
            <a:ext uri="{FF2B5EF4-FFF2-40B4-BE49-F238E27FC236}">
              <a16:creationId xmlns:a16="http://schemas.microsoft.com/office/drawing/2014/main" id="{C4EAA537-471F-431C-AC90-1D32933FE535}"/>
            </a:ext>
          </a:extLst>
        </xdr:cNvPr>
        <xdr:cNvCxnSpPr>
          <a:cxnSpLocks/>
          <a:stCxn id="101" idx="3"/>
          <a:endCxn id="105" idx="0"/>
        </xdr:cNvCxnSpPr>
      </xdr:nvCxnSpPr>
      <xdr:spPr>
        <a:xfrm>
          <a:off x="1266728" y="22104920"/>
          <a:ext cx="125923" cy="947103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88123</xdr:colOff>
      <xdr:row>128</xdr:row>
      <xdr:rowOff>164855</xdr:rowOff>
    </xdr:from>
    <xdr:to>
      <xdr:col>3</xdr:col>
      <xdr:colOff>42349</xdr:colOff>
      <xdr:row>134</xdr:row>
      <xdr:rowOff>78597</xdr:rowOff>
    </xdr:to>
    <xdr:cxnSp macro="">
      <xdr:nvCxnSpPr>
        <xdr:cNvPr id="266" name="コネクタ: カギ線 265">
          <a:extLst>
            <a:ext uri="{FF2B5EF4-FFF2-40B4-BE49-F238E27FC236}">
              <a16:creationId xmlns:a16="http://schemas.microsoft.com/office/drawing/2014/main" id="{0A68A102-0F9B-4FDC-B5AB-CF44B15135AC}"/>
            </a:ext>
          </a:extLst>
        </xdr:cNvPr>
        <xdr:cNvCxnSpPr>
          <a:cxnSpLocks/>
          <a:stCxn id="101" idx="1"/>
          <a:endCxn id="90" idx="0"/>
        </xdr:cNvCxnSpPr>
      </xdr:nvCxnSpPr>
      <xdr:spPr>
        <a:xfrm rot="10800000" flipH="1" flipV="1">
          <a:off x="462610" y="22104919"/>
          <a:ext cx="141470" cy="939511"/>
        </a:xfrm>
        <a:prstGeom prst="bentConnector4">
          <a:avLst>
            <a:gd name="adj1" fmla="val -161589"/>
            <a:gd name="adj2" fmla="val 62803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81105</xdr:colOff>
      <xdr:row>173</xdr:row>
      <xdr:rowOff>69851</xdr:rowOff>
    </xdr:from>
    <xdr:to>
      <xdr:col>3</xdr:col>
      <xdr:colOff>601</xdr:colOff>
      <xdr:row>178</xdr:row>
      <xdr:rowOff>157607</xdr:rowOff>
    </xdr:to>
    <xdr:cxnSp macro="">
      <xdr:nvCxnSpPr>
        <xdr:cNvPr id="270" name="コネクタ: カギ線 269">
          <a:extLst>
            <a:ext uri="{FF2B5EF4-FFF2-40B4-BE49-F238E27FC236}">
              <a16:creationId xmlns:a16="http://schemas.microsoft.com/office/drawing/2014/main" id="{DD255576-9DA4-4C3D-A98B-8DE671E5B5F3}"/>
            </a:ext>
          </a:extLst>
        </xdr:cNvPr>
        <xdr:cNvCxnSpPr>
          <a:cxnSpLocks/>
          <a:stCxn id="112" idx="1"/>
          <a:endCxn id="109" idx="0"/>
        </xdr:cNvCxnSpPr>
      </xdr:nvCxnSpPr>
      <xdr:spPr>
        <a:xfrm rot="10800000" flipH="1" flipV="1">
          <a:off x="455592" y="29703184"/>
          <a:ext cx="106740" cy="942564"/>
        </a:xfrm>
        <a:prstGeom prst="bentConnector4">
          <a:avLst>
            <a:gd name="adj1" fmla="val -214165"/>
            <a:gd name="adj2" fmla="val 62774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125371</xdr:colOff>
      <xdr:row>109</xdr:row>
      <xdr:rowOff>38788</xdr:rowOff>
    </xdr:from>
    <xdr:to>
      <xdr:col>43</xdr:col>
      <xdr:colOff>112671</xdr:colOff>
      <xdr:row>131</xdr:row>
      <xdr:rowOff>116742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199E80D7-0E8B-47D2-945A-3EF9EA98668A}"/>
            </a:ext>
          </a:extLst>
        </xdr:cNvPr>
        <xdr:cNvSpPr/>
      </xdr:nvSpPr>
      <xdr:spPr>
        <a:xfrm>
          <a:off x="125371" y="18730583"/>
          <a:ext cx="6728069" cy="3839108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0</xdr:col>
      <xdr:colOff>170961</xdr:colOff>
      <xdr:row>143</xdr:row>
      <xdr:rowOff>127491</xdr:rowOff>
    </xdr:from>
    <xdr:to>
      <xdr:col>43</xdr:col>
      <xdr:colOff>49190</xdr:colOff>
      <xdr:row>176</xdr:row>
      <xdr:rowOff>113110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77948CC3-BDA2-4293-87B0-90D49C8CAF91}"/>
            </a:ext>
          </a:extLst>
        </xdr:cNvPr>
        <xdr:cNvSpPr/>
      </xdr:nvSpPr>
      <xdr:spPr>
        <a:xfrm>
          <a:off x="170961" y="24631978"/>
          <a:ext cx="6618998" cy="5627350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29</xdr:col>
      <xdr:colOff>162821</xdr:colOff>
      <xdr:row>63</xdr:row>
      <xdr:rowOff>162822</xdr:rowOff>
    </xdr:from>
    <xdr:to>
      <xdr:col>34</xdr:col>
      <xdr:colOff>180666</xdr:colOff>
      <xdr:row>67</xdr:row>
      <xdr:rowOff>57225</xdr:rowOff>
    </xdr:to>
    <xdr:grpSp>
      <xdr:nvGrpSpPr>
        <xdr:cNvPr id="279" name="グループ化 278">
          <a:extLst>
            <a:ext uri="{FF2B5EF4-FFF2-40B4-BE49-F238E27FC236}">
              <a16:creationId xmlns:a16="http://schemas.microsoft.com/office/drawing/2014/main" id="{F66B2EC8-441F-497D-ACBA-6E2F60FA3214}"/>
            </a:ext>
          </a:extLst>
        </xdr:cNvPr>
        <xdr:cNvGrpSpPr/>
      </xdr:nvGrpSpPr>
      <xdr:grpSpPr>
        <a:xfrm>
          <a:off x="6185014" y="11716842"/>
          <a:ext cx="1052016" cy="621381"/>
          <a:chOff x="7113625" y="2892425"/>
          <a:chExt cx="914621" cy="594025"/>
        </a:xfrm>
      </xdr:grpSpPr>
      <xdr:sp macro="" textlink="">
        <xdr:nvSpPr>
          <xdr:cNvPr id="280" name="フローチャート: 磁気ディスク 279">
            <a:extLst>
              <a:ext uri="{FF2B5EF4-FFF2-40B4-BE49-F238E27FC236}">
                <a16:creationId xmlns:a16="http://schemas.microsoft.com/office/drawing/2014/main" id="{77446C90-E789-D7CC-6C8D-182F37598D23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81" name="正方形/長方形 280">
            <a:extLst>
              <a:ext uri="{FF2B5EF4-FFF2-40B4-BE49-F238E27FC236}">
                <a16:creationId xmlns:a16="http://schemas.microsoft.com/office/drawing/2014/main" id="{35C88C4B-9577-58BA-0E92-14520DFA6C5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8</xdr:col>
      <xdr:colOff>154679</xdr:colOff>
      <xdr:row>69</xdr:row>
      <xdr:rowOff>97694</xdr:rowOff>
    </xdr:from>
    <xdr:to>
      <xdr:col>14</xdr:col>
      <xdr:colOff>61642</xdr:colOff>
      <xdr:row>72</xdr:row>
      <xdr:rowOff>60470</xdr:rowOff>
    </xdr:to>
    <xdr:grpSp>
      <xdr:nvGrpSpPr>
        <xdr:cNvPr id="282" name="グループ化 281">
          <a:extLst>
            <a:ext uri="{FF2B5EF4-FFF2-40B4-BE49-F238E27FC236}">
              <a16:creationId xmlns:a16="http://schemas.microsoft.com/office/drawing/2014/main" id="{4A87E927-6543-442E-AF1B-7AAA4A558B4B}"/>
            </a:ext>
          </a:extLst>
        </xdr:cNvPr>
        <xdr:cNvGrpSpPr/>
      </xdr:nvGrpSpPr>
      <xdr:grpSpPr>
        <a:xfrm>
          <a:off x="1815448" y="12732826"/>
          <a:ext cx="1148730" cy="512296"/>
          <a:chOff x="1612900" y="2427475"/>
          <a:chExt cx="933032" cy="404625"/>
        </a:xfrm>
      </xdr:grpSpPr>
      <xdr:sp macro="" textlink="">
        <xdr:nvSpPr>
          <xdr:cNvPr id="283" name="フローチャート: 定義済み処理 282">
            <a:extLst>
              <a:ext uri="{FF2B5EF4-FFF2-40B4-BE49-F238E27FC236}">
                <a16:creationId xmlns:a16="http://schemas.microsoft.com/office/drawing/2014/main" id="{499C9AE3-1181-9EC6-68DA-774952B5B92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84" name="正方形/長方形 283">
            <a:extLst>
              <a:ext uri="{FF2B5EF4-FFF2-40B4-BE49-F238E27FC236}">
                <a16:creationId xmlns:a16="http://schemas.microsoft.com/office/drawing/2014/main" id="{D3EB5B41-32A4-DD49-C25D-1B51829D8E12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伝票承認申請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8</xdr:col>
      <xdr:colOff>138397</xdr:colOff>
      <xdr:row>64</xdr:row>
      <xdr:rowOff>0</xdr:rowOff>
    </xdr:from>
    <xdr:to>
      <xdr:col>14</xdr:col>
      <xdr:colOff>66730</xdr:colOff>
      <xdr:row>67</xdr:row>
      <xdr:rowOff>41390</xdr:rowOff>
    </xdr:to>
    <xdr:grpSp>
      <xdr:nvGrpSpPr>
        <xdr:cNvPr id="285" name="グループ化 284">
          <a:extLst>
            <a:ext uri="{FF2B5EF4-FFF2-40B4-BE49-F238E27FC236}">
              <a16:creationId xmlns:a16="http://schemas.microsoft.com/office/drawing/2014/main" id="{22225D72-49F1-4C46-BF49-2F89EBF02BD3}"/>
            </a:ext>
          </a:extLst>
        </xdr:cNvPr>
        <xdr:cNvGrpSpPr/>
      </xdr:nvGrpSpPr>
      <xdr:grpSpPr>
        <a:xfrm>
          <a:off x="1795356" y="11735288"/>
          <a:ext cx="1175815" cy="590910"/>
          <a:chOff x="1612900" y="2427474"/>
          <a:chExt cx="933032" cy="469326"/>
        </a:xfrm>
      </xdr:grpSpPr>
      <xdr:sp macro="" textlink="">
        <xdr:nvSpPr>
          <xdr:cNvPr id="286" name="フローチャート: 定義済み処理 285">
            <a:extLst>
              <a:ext uri="{FF2B5EF4-FFF2-40B4-BE49-F238E27FC236}">
                <a16:creationId xmlns:a16="http://schemas.microsoft.com/office/drawing/2014/main" id="{5C39DB2F-2B51-D31B-5B61-3D2EF5A7883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87" name="正方形/長方形 286">
            <a:extLst>
              <a:ext uri="{FF2B5EF4-FFF2-40B4-BE49-F238E27FC236}">
                <a16:creationId xmlns:a16="http://schemas.microsoft.com/office/drawing/2014/main" id="{62A80F7A-BDEE-233E-6A8B-414A40DA9119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売上データ</a:t>
            </a:r>
          </a:p>
          <a:p>
            <a:pPr algn="ctr"/>
            <a:r>
              <a:rPr kumimoji="1" lang="ja-JP" altLang="en-US" sz="900"/>
              <a:t>登録</a:t>
            </a:r>
          </a:p>
          <a:p>
            <a:pPr algn="ctr"/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162820</xdr:colOff>
      <xdr:row>74</xdr:row>
      <xdr:rowOff>16282</xdr:rowOff>
    </xdr:from>
    <xdr:to>
      <xdr:col>21</xdr:col>
      <xdr:colOff>87792</xdr:colOff>
      <xdr:row>76</xdr:row>
      <xdr:rowOff>165895</xdr:rowOff>
    </xdr:to>
    <xdr:grpSp>
      <xdr:nvGrpSpPr>
        <xdr:cNvPr id="288" name="グループ化 287">
          <a:extLst>
            <a:ext uri="{FF2B5EF4-FFF2-40B4-BE49-F238E27FC236}">
              <a16:creationId xmlns:a16="http://schemas.microsoft.com/office/drawing/2014/main" id="{93283B51-AA29-46B1-BDD2-B587C0FC4BF5}"/>
            </a:ext>
          </a:extLst>
        </xdr:cNvPr>
        <xdr:cNvGrpSpPr/>
      </xdr:nvGrpSpPr>
      <xdr:grpSpPr>
        <a:xfrm>
          <a:off x="3278667" y="13574900"/>
          <a:ext cx="1172454" cy="515959"/>
          <a:chOff x="1612900" y="2427475"/>
          <a:chExt cx="933032" cy="404625"/>
        </a:xfrm>
      </xdr:grpSpPr>
      <xdr:sp macro="" textlink="">
        <xdr:nvSpPr>
          <xdr:cNvPr id="289" name="フローチャート: 定義済み処理 288">
            <a:extLst>
              <a:ext uri="{FF2B5EF4-FFF2-40B4-BE49-F238E27FC236}">
                <a16:creationId xmlns:a16="http://schemas.microsoft.com/office/drawing/2014/main" id="{DC5EE363-3223-9DCF-1629-44C54FC1FAF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90" name="正方形/長方形 289">
            <a:extLst>
              <a:ext uri="{FF2B5EF4-FFF2-40B4-BE49-F238E27FC236}">
                <a16:creationId xmlns:a16="http://schemas.microsoft.com/office/drawing/2014/main" id="{DC159E79-292A-5B03-80BF-3C4C9BA5A7B3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伝票承認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97515</xdr:colOff>
      <xdr:row>78</xdr:row>
      <xdr:rowOff>90537</xdr:rowOff>
    </xdr:from>
    <xdr:to>
      <xdr:col>28</xdr:col>
      <xdr:colOff>71809</xdr:colOff>
      <xdr:row>81</xdr:row>
      <xdr:rowOff>112040</xdr:rowOff>
    </xdr:to>
    <xdr:grpSp>
      <xdr:nvGrpSpPr>
        <xdr:cNvPr id="294" name="グループ化 293">
          <a:extLst>
            <a:ext uri="{FF2B5EF4-FFF2-40B4-BE49-F238E27FC236}">
              <a16:creationId xmlns:a16="http://schemas.microsoft.com/office/drawing/2014/main" id="{C48F1D1D-3523-4FD9-80C9-614AFC3D011D}"/>
            </a:ext>
          </a:extLst>
        </xdr:cNvPr>
        <xdr:cNvGrpSpPr/>
      </xdr:nvGrpSpPr>
      <xdr:grpSpPr>
        <a:xfrm>
          <a:off x="4660820" y="14381847"/>
          <a:ext cx="1221776" cy="567212"/>
          <a:chOff x="1612901" y="2432650"/>
          <a:chExt cx="908902" cy="420662"/>
        </a:xfrm>
      </xdr:grpSpPr>
      <xdr:sp macro="" textlink="">
        <xdr:nvSpPr>
          <xdr:cNvPr id="295" name="フローチャート: 定義済み処理 294">
            <a:extLst>
              <a:ext uri="{FF2B5EF4-FFF2-40B4-BE49-F238E27FC236}">
                <a16:creationId xmlns:a16="http://schemas.microsoft.com/office/drawing/2014/main" id="{5457C53C-1717-0A16-3018-131260976726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96" name="正方形/長方形 48">
            <a:extLst>
              <a:ext uri="{FF2B5EF4-FFF2-40B4-BE49-F238E27FC236}">
                <a16:creationId xmlns:a16="http://schemas.microsoft.com/office/drawing/2014/main" id="{B3EC66B0-A82F-0377-AA48-F9C725A8646D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29</xdr:col>
      <xdr:colOff>127906</xdr:colOff>
      <xdr:row>69</xdr:row>
      <xdr:rowOff>97693</xdr:rowOff>
    </xdr:from>
    <xdr:to>
      <xdr:col>34</xdr:col>
      <xdr:colOff>160517</xdr:colOff>
      <xdr:row>72</xdr:row>
      <xdr:rowOff>166043</xdr:rowOff>
    </xdr:to>
    <xdr:grpSp>
      <xdr:nvGrpSpPr>
        <xdr:cNvPr id="299" name="グループ化 298">
          <a:extLst>
            <a:ext uri="{FF2B5EF4-FFF2-40B4-BE49-F238E27FC236}">
              <a16:creationId xmlns:a16="http://schemas.microsoft.com/office/drawing/2014/main" id="{337823C1-C3EF-47AF-9F8F-3CCC026F915F}"/>
            </a:ext>
          </a:extLst>
        </xdr:cNvPr>
        <xdr:cNvGrpSpPr/>
      </xdr:nvGrpSpPr>
      <xdr:grpSpPr>
        <a:xfrm>
          <a:off x="6152004" y="12732825"/>
          <a:ext cx="1068687" cy="625490"/>
          <a:chOff x="7113907" y="2892425"/>
          <a:chExt cx="917588" cy="591189"/>
        </a:xfrm>
      </xdr:grpSpPr>
      <xdr:sp macro="" textlink="">
        <xdr:nvSpPr>
          <xdr:cNvPr id="300" name="フローチャート: 磁気ディスク 299">
            <a:extLst>
              <a:ext uri="{FF2B5EF4-FFF2-40B4-BE49-F238E27FC236}">
                <a16:creationId xmlns:a16="http://schemas.microsoft.com/office/drawing/2014/main" id="{CA5F59F1-0761-708A-618A-26ACB287E83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01" name="正方形/長方形 300">
            <a:extLst>
              <a:ext uri="{FF2B5EF4-FFF2-40B4-BE49-F238E27FC236}">
                <a16:creationId xmlns:a16="http://schemas.microsoft.com/office/drawing/2014/main" id="{50A5304B-3083-795F-EB1E-667A169D6EEB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29</xdr:col>
      <xdr:colOff>113975</xdr:colOff>
      <xdr:row>74</xdr:row>
      <xdr:rowOff>19754</xdr:rowOff>
    </xdr:from>
    <xdr:to>
      <xdr:col>34</xdr:col>
      <xdr:colOff>157674</xdr:colOff>
      <xdr:row>77</xdr:row>
      <xdr:rowOff>88292</xdr:rowOff>
    </xdr:to>
    <xdr:grpSp>
      <xdr:nvGrpSpPr>
        <xdr:cNvPr id="302" name="グループ化 301">
          <a:extLst>
            <a:ext uri="{FF2B5EF4-FFF2-40B4-BE49-F238E27FC236}">
              <a16:creationId xmlns:a16="http://schemas.microsoft.com/office/drawing/2014/main" id="{9ED09707-6620-4D6F-962D-332275D9F62F}"/>
            </a:ext>
          </a:extLst>
        </xdr:cNvPr>
        <xdr:cNvGrpSpPr/>
      </xdr:nvGrpSpPr>
      <xdr:grpSpPr>
        <a:xfrm>
          <a:off x="6134263" y="13570752"/>
          <a:ext cx="1083585" cy="625677"/>
          <a:chOff x="7113907" y="2892425"/>
          <a:chExt cx="917588" cy="591189"/>
        </a:xfrm>
      </xdr:grpSpPr>
      <xdr:sp macro="" textlink="">
        <xdr:nvSpPr>
          <xdr:cNvPr id="303" name="フローチャート: 磁気ディスク 302">
            <a:extLst>
              <a:ext uri="{FF2B5EF4-FFF2-40B4-BE49-F238E27FC236}">
                <a16:creationId xmlns:a16="http://schemas.microsoft.com/office/drawing/2014/main" id="{77D8CCC8-D4CD-F8C4-C469-9BC9D5ACC7B7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04" name="正方形/長方形 303">
            <a:extLst>
              <a:ext uri="{FF2B5EF4-FFF2-40B4-BE49-F238E27FC236}">
                <a16:creationId xmlns:a16="http://schemas.microsoft.com/office/drawing/2014/main" id="{16CEF507-EB60-205F-6AF5-C8BB39EC5E4B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29</xdr:col>
      <xdr:colOff>137958</xdr:colOff>
      <xdr:row>78</xdr:row>
      <xdr:rowOff>95792</xdr:rowOff>
    </xdr:from>
    <xdr:to>
      <xdr:col>34</xdr:col>
      <xdr:colOff>155804</xdr:colOff>
      <xdr:row>81</xdr:row>
      <xdr:rowOff>167504</xdr:rowOff>
    </xdr:to>
    <xdr:grpSp>
      <xdr:nvGrpSpPr>
        <xdr:cNvPr id="305" name="グループ化 304">
          <a:extLst>
            <a:ext uri="{FF2B5EF4-FFF2-40B4-BE49-F238E27FC236}">
              <a16:creationId xmlns:a16="http://schemas.microsoft.com/office/drawing/2014/main" id="{BD232668-D362-4761-9F6D-00AC2C5FCE4A}"/>
            </a:ext>
          </a:extLst>
        </xdr:cNvPr>
        <xdr:cNvGrpSpPr/>
      </xdr:nvGrpSpPr>
      <xdr:grpSpPr>
        <a:xfrm>
          <a:off x="6154436" y="14379482"/>
          <a:ext cx="1059637" cy="628851"/>
          <a:chOff x="7113907" y="2892425"/>
          <a:chExt cx="917588" cy="591189"/>
        </a:xfrm>
      </xdr:grpSpPr>
      <xdr:sp macro="" textlink="">
        <xdr:nvSpPr>
          <xdr:cNvPr id="306" name="フローチャート: 磁気ディスク 305">
            <a:extLst>
              <a:ext uri="{FF2B5EF4-FFF2-40B4-BE49-F238E27FC236}">
                <a16:creationId xmlns:a16="http://schemas.microsoft.com/office/drawing/2014/main" id="{2EABBC28-CC0D-4DF2-B115-1B4C54BE4B4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07" name="正方形/長方形 306">
            <a:extLst>
              <a:ext uri="{FF2B5EF4-FFF2-40B4-BE49-F238E27FC236}">
                <a16:creationId xmlns:a16="http://schemas.microsoft.com/office/drawing/2014/main" id="{C3DC1D2A-5094-6B7E-167A-5B72A0AF9C9F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11</xdr:col>
      <xdr:colOff>117116</xdr:colOff>
      <xdr:row>66</xdr:row>
      <xdr:rowOff>135941</xdr:rowOff>
    </xdr:from>
    <xdr:to>
      <xdr:col>11</xdr:col>
      <xdr:colOff>122418</xdr:colOff>
      <xdr:row>69</xdr:row>
      <xdr:rowOff>132931</xdr:rowOff>
    </xdr:to>
    <xdr:cxnSp macro="">
      <xdr:nvCxnSpPr>
        <xdr:cNvPr id="309" name="直線矢印コネクタ 308">
          <a:extLst>
            <a:ext uri="{FF2B5EF4-FFF2-40B4-BE49-F238E27FC236}">
              <a16:creationId xmlns:a16="http://schemas.microsoft.com/office/drawing/2014/main" id="{CC22C3B5-9BD3-4350-8542-B6C7A8032BA1}"/>
            </a:ext>
          </a:extLst>
        </xdr:cNvPr>
        <xdr:cNvCxnSpPr>
          <a:cxnSpLocks/>
          <a:stCxn id="286" idx="2"/>
          <a:endCxn id="283" idx="0"/>
        </xdr:cNvCxnSpPr>
      </xdr:nvCxnSpPr>
      <xdr:spPr>
        <a:xfrm>
          <a:off x="2176795" y="11476390"/>
          <a:ext cx="5302" cy="5098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108161</xdr:colOff>
      <xdr:row>72</xdr:row>
      <xdr:rowOff>55272</xdr:rowOff>
    </xdr:from>
    <xdr:to>
      <xdr:col>18</xdr:col>
      <xdr:colOff>139811</xdr:colOff>
      <xdr:row>74</xdr:row>
      <xdr:rowOff>52695</xdr:rowOff>
    </xdr:to>
    <xdr:cxnSp macro="">
      <xdr:nvCxnSpPr>
        <xdr:cNvPr id="312" name="コネクタ: カギ線 311">
          <a:extLst>
            <a:ext uri="{FF2B5EF4-FFF2-40B4-BE49-F238E27FC236}">
              <a16:creationId xmlns:a16="http://schemas.microsoft.com/office/drawing/2014/main" id="{76344EC4-73C7-49E9-B3B2-6DD12A37A4F8}"/>
            </a:ext>
          </a:extLst>
        </xdr:cNvPr>
        <xdr:cNvCxnSpPr>
          <a:cxnSpLocks/>
          <a:stCxn id="284" idx="2"/>
          <a:endCxn id="289" idx="0"/>
        </xdr:cNvCxnSpPr>
      </xdr:nvCxnSpPr>
      <xdr:spPr>
        <a:xfrm rot="16200000" flipH="1">
          <a:off x="2669345" y="11919985"/>
          <a:ext cx="339346" cy="134235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139811</xdr:colOff>
      <xdr:row>76</xdr:row>
      <xdr:rowOff>165895</xdr:rowOff>
    </xdr:from>
    <xdr:to>
      <xdr:col>25</xdr:col>
      <xdr:colOff>114824</xdr:colOff>
      <xdr:row>78</xdr:row>
      <xdr:rowOff>122042</xdr:rowOff>
    </xdr:to>
    <xdr:cxnSp macro="">
      <xdr:nvCxnSpPr>
        <xdr:cNvPr id="315" name="コネクタ: カギ線 314">
          <a:extLst>
            <a:ext uri="{FF2B5EF4-FFF2-40B4-BE49-F238E27FC236}">
              <a16:creationId xmlns:a16="http://schemas.microsoft.com/office/drawing/2014/main" id="{630B48FE-BA77-4DA5-8D6D-5F381167AE36}"/>
            </a:ext>
          </a:extLst>
        </xdr:cNvPr>
        <xdr:cNvCxnSpPr>
          <a:cxnSpLocks/>
          <a:stCxn id="289" idx="2"/>
          <a:endCxn id="295" idx="0"/>
        </xdr:cNvCxnSpPr>
      </xdr:nvCxnSpPr>
      <xdr:spPr>
        <a:xfrm rot="16200000" flipH="1">
          <a:off x="4004020" y="12722135"/>
          <a:ext cx="298070" cy="128571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109742</xdr:colOff>
      <xdr:row>81</xdr:row>
      <xdr:rowOff>85093</xdr:rowOff>
    </xdr:from>
    <xdr:to>
      <xdr:col>25</xdr:col>
      <xdr:colOff>114825</xdr:colOff>
      <xdr:row>89</xdr:row>
      <xdr:rowOff>17568</xdr:rowOff>
    </xdr:to>
    <xdr:cxnSp macro="">
      <xdr:nvCxnSpPr>
        <xdr:cNvPr id="320" name="コネクタ: カギ線 319">
          <a:extLst>
            <a:ext uri="{FF2B5EF4-FFF2-40B4-BE49-F238E27FC236}">
              <a16:creationId xmlns:a16="http://schemas.microsoft.com/office/drawing/2014/main" id="{E4AE42CA-E896-4E57-9C9D-6ADCEC106036}"/>
            </a:ext>
          </a:extLst>
        </xdr:cNvPr>
        <xdr:cNvCxnSpPr>
          <a:cxnSpLocks/>
          <a:stCxn id="295" idx="2"/>
          <a:endCxn id="238" idx="0"/>
        </xdr:cNvCxnSpPr>
      </xdr:nvCxnSpPr>
      <xdr:spPr>
        <a:xfrm rot="5400000">
          <a:off x="2832584" y="13326802"/>
          <a:ext cx="1300167" cy="262649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17093</xdr:colOff>
      <xdr:row>65</xdr:row>
      <xdr:rowOff>82062</xdr:rowOff>
    </xdr:from>
    <xdr:to>
      <xdr:col>30</xdr:col>
      <xdr:colOff>69928</xdr:colOff>
      <xdr:row>65</xdr:row>
      <xdr:rowOff>85672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B3E2EF3B-7983-45A8-959A-8BCB2CA5649D}"/>
            </a:ext>
          </a:extLst>
        </xdr:cNvPr>
        <xdr:cNvCxnSpPr>
          <a:stCxn id="286" idx="3"/>
          <a:endCxn id="280" idx="2"/>
        </xdr:cNvCxnSpPr>
      </xdr:nvCxnSpPr>
      <xdr:spPr>
        <a:xfrm flipV="1">
          <a:off x="2638503" y="11251549"/>
          <a:ext cx="3048733" cy="361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13014</xdr:colOff>
      <xdr:row>71</xdr:row>
      <xdr:rowOff>11220</xdr:rowOff>
    </xdr:from>
    <xdr:to>
      <xdr:col>30</xdr:col>
      <xdr:colOff>35865</xdr:colOff>
      <xdr:row>71</xdr:row>
      <xdr:rowOff>19541</xdr:rowOff>
    </xdr:to>
    <xdr:cxnSp macro="">
      <xdr:nvCxnSpPr>
        <xdr:cNvPr id="326" name="直線矢印コネクタ 325">
          <a:extLst>
            <a:ext uri="{FF2B5EF4-FFF2-40B4-BE49-F238E27FC236}">
              <a16:creationId xmlns:a16="http://schemas.microsoft.com/office/drawing/2014/main" id="{C34AB058-26A9-4A51-BACF-EDDD4368B11A}"/>
            </a:ext>
          </a:extLst>
        </xdr:cNvPr>
        <xdr:cNvCxnSpPr>
          <a:stCxn id="283" idx="3"/>
          <a:endCxn id="300" idx="2"/>
        </xdr:cNvCxnSpPr>
      </xdr:nvCxnSpPr>
      <xdr:spPr>
        <a:xfrm>
          <a:off x="2634424" y="12206476"/>
          <a:ext cx="3018749" cy="832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38314</xdr:colOff>
      <xdr:row>75</xdr:row>
      <xdr:rowOff>109295</xdr:rowOff>
    </xdr:from>
    <xdr:to>
      <xdr:col>30</xdr:col>
      <xdr:colOff>23024</xdr:colOff>
      <xdr:row>75</xdr:row>
      <xdr:rowOff>112648</xdr:rowOff>
    </xdr:to>
    <xdr:cxnSp macro="">
      <xdr:nvCxnSpPr>
        <xdr:cNvPr id="329" name="直線矢印コネクタ 328">
          <a:extLst>
            <a:ext uri="{FF2B5EF4-FFF2-40B4-BE49-F238E27FC236}">
              <a16:creationId xmlns:a16="http://schemas.microsoft.com/office/drawing/2014/main" id="{65B9EAC9-0A1A-4B6C-9EB1-2E9964C2773B}"/>
            </a:ext>
          </a:extLst>
        </xdr:cNvPr>
        <xdr:cNvCxnSpPr>
          <a:stCxn id="289" idx="3"/>
          <a:endCxn id="303" idx="2"/>
        </xdr:cNvCxnSpPr>
      </xdr:nvCxnSpPr>
      <xdr:spPr>
        <a:xfrm>
          <a:off x="3970429" y="12988398"/>
          <a:ext cx="1669903" cy="335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47770</xdr:colOff>
      <xdr:row>80</xdr:row>
      <xdr:rowOff>18088</xdr:rowOff>
    </xdr:from>
    <xdr:to>
      <xdr:col>30</xdr:col>
      <xdr:colOff>44466</xdr:colOff>
      <xdr:row>80</xdr:row>
      <xdr:rowOff>19165</xdr:rowOff>
    </xdr:to>
    <xdr:cxnSp macro="">
      <xdr:nvCxnSpPr>
        <xdr:cNvPr id="332" name="直線矢印コネクタ 331">
          <a:extLst>
            <a:ext uri="{FF2B5EF4-FFF2-40B4-BE49-F238E27FC236}">
              <a16:creationId xmlns:a16="http://schemas.microsoft.com/office/drawing/2014/main" id="{FBF529F3-5EEC-49F4-8B22-0D717EB7B960}"/>
            </a:ext>
          </a:extLst>
        </xdr:cNvPr>
        <xdr:cNvCxnSpPr>
          <a:stCxn id="295" idx="3"/>
          <a:endCxn id="306" idx="2"/>
        </xdr:cNvCxnSpPr>
      </xdr:nvCxnSpPr>
      <xdr:spPr>
        <a:xfrm>
          <a:off x="5290591" y="13751998"/>
          <a:ext cx="371183" cy="107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128298</xdr:colOff>
      <xdr:row>100</xdr:row>
      <xdr:rowOff>122682</xdr:rowOff>
    </xdr:from>
    <xdr:to>
      <xdr:col>46</xdr:col>
      <xdr:colOff>129860</xdr:colOff>
      <xdr:row>104</xdr:row>
      <xdr:rowOff>12595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2D3B9C40-0862-49B4-A493-69D08491867F}"/>
            </a:ext>
          </a:extLst>
        </xdr:cNvPr>
        <xdr:cNvGrpSpPr/>
      </xdr:nvGrpSpPr>
      <xdr:grpSpPr>
        <a:xfrm>
          <a:off x="8861490" y="18098822"/>
          <a:ext cx="1066121" cy="608995"/>
          <a:chOff x="7113625" y="2892425"/>
          <a:chExt cx="914621" cy="594025"/>
        </a:xfrm>
      </xdr:grpSpPr>
      <xdr:sp macro="" textlink="">
        <xdr:nvSpPr>
          <xdr:cNvPr id="206" name="フローチャート: 磁気ディスク 205">
            <a:extLst>
              <a:ext uri="{FF2B5EF4-FFF2-40B4-BE49-F238E27FC236}">
                <a16:creationId xmlns:a16="http://schemas.microsoft.com/office/drawing/2014/main" id="{B91DDAFE-2503-4761-9B4E-30644C53582E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DCCD0537-1B4B-4997-B652-A407CF736C2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42</xdr:col>
      <xdr:colOff>116914</xdr:colOff>
      <xdr:row>191</xdr:row>
      <xdr:rowOff>97866</xdr:rowOff>
    </xdr:from>
    <xdr:to>
      <xdr:col>47</xdr:col>
      <xdr:colOff>124827</xdr:colOff>
      <xdr:row>194</xdr:row>
      <xdr:rowOff>162218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71D44715-2571-4EED-8ACC-734FC2104D7F}"/>
            </a:ext>
          </a:extLst>
        </xdr:cNvPr>
        <xdr:cNvGrpSpPr/>
      </xdr:nvGrpSpPr>
      <xdr:grpSpPr>
        <a:xfrm>
          <a:off x="9059208" y="34361644"/>
          <a:ext cx="1074377" cy="607950"/>
          <a:chOff x="7113625" y="2892425"/>
          <a:chExt cx="914621" cy="594025"/>
        </a:xfrm>
      </xdr:grpSpPr>
      <xdr:sp macro="" textlink="">
        <xdr:nvSpPr>
          <xdr:cNvPr id="297" name="フローチャート: 磁気ディスク 296">
            <a:extLst>
              <a:ext uri="{FF2B5EF4-FFF2-40B4-BE49-F238E27FC236}">
                <a16:creationId xmlns:a16="http://schemas.microsoft.com/office/drawing/2014/main" id="{EE4DB787-283E-4B32-9C5A-C5864CEEFBA3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8" name="正方形/長方形 297">
            <a:extLst>
              <a:ext uri="{FF2B5EF4-FFF2-40B4-BE49-F238E27FC236}">
                <a16:creationId xmlns:a16="http://schemas.microsoft.com/office/drawing/2014/main" id="{28D73412-6041-4CBC-A5C3-F1DAFD5E267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42</xdr:col>
      <xdr:colOff>59203</xdr:colOff>
      <xdr:row>155</xdr:row>
      <xdr:rowOff>160311</xdr:rowOff>
    </xdr:from>
    <xdr:to>
      <xdr:col>47</xdr:col>
      <xdr:colOff>60766</xdr:colOff>
      <xdr:row>159</xdr:row>
      <xdr:rowOff>56574</xdr:rowOff>
    </xdr:to>
    <xdr:grpSp>
      <xdr:nvGrpSpPr>
        <xdr:cNvPr id="287" name="グループ化 286">
          <a:extLst>
            <a:ext uri="{FF2B5EF4-FFF2-40B4-BE49-F238E27FC236}">
              <a16:creationId xmlns:a16="http://schemas.microsoft.com/office/drawing/2014/main" id="{B3B66200-C641-4C79-A6F0-2A34D5EF4F31}"/>
            </a:ext>
          </a:extLst>
        </xdr:cNvPr>
        <xdr:cNvGrpSpPr/>
      </xdr:nvGrpSpPr>
      <xdr:grpSpPr>
        <a:xfrm>
          <a:off x="8997687" y="27986422"/>
          <a:ext cx="1066122" cy="615344"/>
          <a:chOff x="7113625" y="2892425"/>
          <a:chExt cx="914621" cy="594025"/>
        </a:xfrm>
      </xdr:grpSpPr>
      <xdr:sp macro="" textlink="">
        <xdr:nvSpPr>
          <xdr:cNvPr id="288" name="フローチャート: 磁気ディスク 287">
            <a:extLst>
              <a:ext uri="{FF2B5EF4-FFF2-40B4-BE49-F238E27FC236}">
                <a16:creationId xmlns:a16="http://schemas.microsoft.com/office/drawing/2014/main" id="{B6DEFB2A-AB26-4C4A-B0AB-720F1BCDB93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89" name="正方形/長方形 288">
            <a:extLst>
              <a:ext uri="{FF2B5EF4-FFF2-40B4-BE49-F238E27FC236}">
                <a16:creationId xmlns:a16="http://schemas.microsoft.com/office/drawing/2014/main" id="{A5EB4219-8842-4B84-877D-858BB1C778A3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35</xdr:col>
      <xdr:colOff>166336</xdr:colOff>
      <xdr:row>29</xdr:row>
      <xdr:rowOff>59497</xdr:rowOff>
    </xdr:from>
    <xdr:to>
      <xdr:col>40</xdr:col>
      <xdr:colOff>180137</xdr:colOff>
      <xdr:row>31</xdr:row>
      <xdr:rowOff>119708</xdr:rowOff>
    </xdr:to>
    <xdr:grpSp>
      <xdr:nvGrpSpPr>
        <xdr:cNvPr id="266" name="グループ化 265">
          <a:extLst>
            <a:ext uri="{FF2B5EF4-FFF2-40B4-BE49-F238E27FC236}">
              <a16:creationId xmlns:a16="http://schemas.microsoft.com/office/drawing/2014/main" id="{6BE6FB17-5DB9-4AA6-899F-9BB5648B70D4}"/>
            </a:ext>
          </a:extLst>
        </xdr:cNvPr>
        <xdr:cNvGrpSpPr/>
      </xdr:nvGrpSpPr>
      <xdr:grpSpPr>
        <a:xfrm>
          <a:off x="7622058" y="5300040"/>
          <a:ext cx="1072645" cy="424514"/>
          <a:chOff x="4305300" y="5730875"/>
          <a:chExt cx="1003300" cy="425450"/>
        </a:xfrm>
      </xdr:grpSpPr>
      <xdr:sp macro="" textlink="">
        <xdr:nvSpPr>
          <xdr:cNvPr id="267" name="AutoShape 49">
            <a:extLst>
              <a:ext uri="{FF2B5EF4-FFF2-40B4-BE49-F238E27FC236}">
                <a16:creationId xmlns:a16="http://schemas.microsoft.com/office/drawing/2014/main" id="{4FFBF107-403F-4B92-BA6E-3832FEA5E51C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68" name="正方形/長方形 48">
            <a:extLst>
              <a:ext uri="{FF2B5EF4-FFF2-40B4-BE49-F238E27FC236}">
                <a16:creationId xmlns:a16="http://schemas.microsoft.com/office/drawing/2014/main" id="{F1898A73-59B5-49C4-8033-93818C61C2B7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</a:p>
        </xdr:txBody>
      </xdr:sp>
    </xdr:grpSp>
    <xdr:clientData/>
  </xdr:twoCellAnchor>
  <xdr:twoCellAnchor>
    <xdr:from>
      <xdr:col>42</xdr:col>
      <xdr:colOff>21096</xdr:colOff>
      <xdr:row>58</xdr:row>
      <xdr:rowOff>117825</xdr:rowOff>
    </xdr:from>
    <xdr:to>
      <xdr:col>47</xdr:col>
      <xdr:colOff>29009</xdr:colOff>
      <xdr:row>61</xdr:row>
      <xdr:rowOff>166301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F5A2B76E-22CD-40B3-9B20-0EFB44A7B76E}"/>
            </a:ext>
          </a:extLst>
        </xdr:cNvPr>
        <xdr:cNvGrpSpPr/>
      </xdr:nvGrpSpPr>
      <xdr:grpSpPr>
        <a:xfrm>
          <a:off x="8959580" y="10561707"/>
          <a:ext cx="1074377" cy="590169"/>
          <a:chOff x="7113625" y="2892425"/>
          <a:chExt cx="914621" cy="594025"/>
        </a:xfrm>
      </xdr:grpSpPr>
      <xdr:sp macro="" textlink="">
        <xdr:nvSpPr>
          <xdr:cNvPr id="201" name="フローチャート: 磁気ディスク 200">
            <a:extLst>
              <a:ext uri="{FF2B5EF4-FFF2-40B4-BE49-F238E27FC236}">
                <a16:creationId xmlns:a16="http://schemas.microsoft.com/office/drawing/2014/main" id="{4D8BC7AB-7AC1-42D1-A22D-F4C282E0E67C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447DEFB0-7042-4571-8E94-43DD363F972A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21</xdr:col>
      <xdr:colOff>94299</xdr:colOff>
      <xdr:row>120</xdr:row>
      <xdr:rowOff>19362</xdr:rowOff>
    </xdr:from>
    <xdr:to>
      <xdr:col>21</xdr:col>
      <xdr:colOff>103404</xdr:colOff>
      <xdr:row>122</xdr:row>
      <xdr:rowOff>24758</xdr:rowOff>
    </xdr:to>
    <xdr:cxnSp macro="">
      <xdr:nvCxnSpPr>
        <xdr:cNvPr id="37" name="直線矢印コネクタ 27">
          <a:extLst>
            <a:ext uri="{FF2B5EF4-FFF2-40B4-BE49-F238E27FC236}">
              <a16:creationId xmlns:a16="http://schemas.microsoft.com/office/drawing/2014/main" id="{6F398BD6-95C0-4BD2-8455-C11E6F6EB3B0}"/>
            </a:ext>
          </a:extLst>
        </xdr:cNvPr>
        <xdr:cNvCxnSpPr>
          <a:cxnSpLocks/>
          <a:stCxn id="71" idx="2"/>
          <a:endCxn id="39" idx="0"/>
        </xdr:cNvCxnSpPr>
      </xdr:nvCxnSpPr>
      <xdr:spPr>
        <a:xfrm flipH="1">
          <a:off x="4294824" y="9401487"/>
          <a:ext cx="12280" cy="3514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117155</xdr:colOff>
      <xdr:row>121</xdr:row>
      <xdr:rowOff>161899</xdr:rowOff>
    </xdr:from>
    <xdr:to>
      <xdr:col>24</xdr:col>
      <xdr:colOff>37280</xdr:colOff>
      <xdr:row>124</xdr:row>
      <xdr:rowOff>131312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84A50E5E-D2E0-41E1-8A6C-6751067A526C}"/>
            </a:ext>
          </a:extLst>
        </xdr:cNvPr>
        <xdr:cNvGrpSpPr/>
      </xdr:nvGrpSpPr>
      <xdr:grpSpPr>
        <a:xfrm>
          <a:off x="3949567" y="21892010"/>
          <a:ext cx="1197595" cy="509200"/>
          <a:chOff x="1612900" y="2427475"/>
          <a:chExt cx="933032" cy="404625"/>
        </a:xfrm>
      </xdr:grpSpPr>
      <xdr:sp macro="" textlink="">
        <xdr:nvSpPr>
          <xdr:cNvPr id="39" name="フローチャート: 定義済み処理 38">
            <a:extLst>
              <a:ext uri="{FF2B5EF4-FFF2-40B4-BE49-F238E27FC236}">
                <a16:creationId xmlns:a16="http://schemas.microsoft.com/office/drawing/2014/main" id="{75EA2205-770D-4095-B19F-AA96BCA2111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494860DA-18D9-4970-8211-1477E2A22EB9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２．未回収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データ確認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186713</xdr:colOff>
      <xdr:row>123</xdr:row>
      <xdr:rowOff>50800</xdr:rowOff>
    </xdr:from>
    <xdr:to>
      <xdr:col>49</xdr:col>
      <xdr:colOff>19050</xdr:colOff>
      <xdr:row>123</xdr:row>
      <xdr:rowOff>78800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A25B243C-A424-42D1-A9A5-A964A0659DE4}"/>
            </a:ext>
          </a:extLst>
        </xdr:cNvPr>
        <xdr:cNvCxnSpPr>
          <a:cxnSpLocks/>
          <a:stCxn id="39" idx="3"/>
        </xdr:cNvCxnSpPr>
      </xdr:nvCxnSpPr>
      <xdr:spPr>
        <a:xfrm flipV="1">
          <a:off x="4860313" y="21253450"/>
          <a:ext cx="5115537" cy="2800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123822</xdr:colOff>
      <xdr:row>149</xdr:row>
      <xdr:rowOff>106355</xdr:rowOff>
    </xdr:from>
    <xdr:to>
      <xdr:col>24</xdr:col>
      <xdr:colOff>39502</xdr:colOff>
      <xdr:row>152</xdr:row>
      <xdr:rowOff>63703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B81F75BA-5C36-4201-8A8F-F7F3095B7824}"/>
            </a:ext>
          </a:extLst>
        </xdr:cNvPr>
        <xdr:cNvGrpSpPr/>
      </xdr:nvGrpSpPr>
      <xdr:grpSpPr>
        <a:xfrm>
          <a:off x="3958139" y="26852891"/>
          <a:ext cx="1191245" cy="493326"/>
          <a:chOff x="1612900" y="2427475"/>
          <a:chExt cx="933032" cy="404622"/>
        </a:xfrm>
      </xdr:grpSpPr>
      <xdr:sp macro="" textlink="">
        <xdr:nvSpPr>
          <xdr:cNvPr id="49" name="フローチャート: 定義済み処理 48">
            <a:extLst>
              <a:ext uri="{FF2B5EF4-FFF2-40B4-BE49-F238E27FC236}">
                <a16:creationId xmlns:a16="http://schemas.microsoft.com/office/drawing/2014/main" id="{379900A9-EFE2-47B3-BAA3-703F94A64DD9}"/>
              </a:ext>
            </a:extLst>
          </xdr:cNvPr>
          <xdr:cNvSpPr/>
        </xdr:nvSpPr>
        <xdr:spPr>
          <a:xfrm>
            <a:off x="1682750" y="2457447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2372D2DF-D70D-4119-B3D0-56A59B444E84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６．入金データ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転記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189144</xdr:colOff>
      <xdr:row>151</xdr:row>
      <xdr:rowOff>16775</xdr:rowOff>
    </xdr:from>
    <xdr:to>
      <xdr:col>49</xdr:col>
      <xdr:colOff>6350</xdr:colOff>
      <xdr:row>151</xdr:row>
      <xdr:rowOff>19050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B1F4FF3D-6656-4B13-9321-E3F5CD5BCAB9}"/>
            </a:ext>
          </a:extLst>
        </xdr:cNvPr>
        <xdr:cNvCxnSpPr>
          <a:cxnSpLocks/>
          <a:stCxn id="49" idx="3"/>
        </xdr:cNvCxnSpPr>
      </xdr:nvCxnSpPr>
      <xdr:spPr>
        <a:xfrm>
          <a:off x="4862744" y="26020025"/>
          <a:ext cx="5100406" cy="227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98471</xdr:colOff>
      <xdr:row>152</xdr:row>
      <xdr:rowOff>66878</xdr:rowOff>
    </xdr:from>
    <xdr:to>
      <xdr:col>21</xdr:col>
      <xdr:colOff>98783</xdr:colOff>
      <xdr:row>162</xdr:row>
      <xdr:rowOff>67235</xdr:rowOff>
    </xdr:to>
    <xdr:cxnSp macro="">
      <xdr:nvCxnSpPr>
        <xdr:cNvPr id="53" name="直線矢印コネクタ 27">
          <a:extLst>
            <a:ext uri="{FF2B5EF4-FFF2-40B4-BE49-F238E27FC236}">
              <a16:creationId xmlns:a16="http://schemas.microsoft.com/office/drawing/2014/main" id="{3AF17BAE-0031-4EEE-85CF-4931F070D5D5}"/>
            </a:ext>
          </a:extLst>
        </xdr:cNvPr>
        <xdr:cNvCxnSpPr>
          <a:cxnSpLocks/>
          <a:stCxn id="49" idx="2"/>
          <a:endCxn id="279" idx="0"/>
        </xdr:cNvCxnSpPr>
      </xdr:nvCxnSpPr>
      <xdr:spPr>
        <a:xfrm flipH="1">
          <a:off x="4334295" y="25078407"/>
          <a:ext cx="312" cy="3365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180180</xdr:colOff>
      <xdr:row>111</xdr:row>
      <xdr:rowOff>44879</xdr:rowOff>
    </xdr:from>
    <xdr:to>
      <xdr:col>24</xdr:col>
      <xdr:colOff>35718</xdr:colOff>
      <xdr:row>114</xdr:row>
      <xdr:rowOff>102385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98EF871F-EC80-4407-9485-23B6893FB20F}"/>
            </a:ext>
          </a:extLst>
        </xdr:cNvPr>
        <xdr:cNvGrpSpPr/>
      </xdr:nvGrpSpPr>
      <xdr:grpSpPr>
        <a:xfrm>
          <a:off x="4010687" y="19982049"/>
          <a:ext cx="1134913" cy="589673"/>
          <a:chOff x="274101" y="5694643"/>
          <a:chExt cx="1046788" cy="579692"/>
        </a:xfrm>
      </xdr:grpSpPr>
      <xdr:sp macro="" textlink="">
        <xdr:nvSpPr>
          <xdr:cNvPr id="59" name="フローチャート: 他ページ結合子 58">
            <a:extLst>
              <a:ext uri="{FF2B5EF4-FFF2-40B4-BE49-F238E27FC236}">
                <a16:creationId xmlns:a16="http://schemas.microsoft.com/office/drawing/2014/main" id="{1C0E05B6-F886-4CC0-8C4A-7055E53FA162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0" name="正方形/長方形 48">
            <a:extLst>
              <a:ext uri="{FF2B5EF4-FFF2-40B4-BE49-F238E27FC236}">
                <a16:creationId xmlns:a16="http://schemas.microsoft.com/office/drawing/2014/main" id="{E47F0F83-1D6C-4046-9FFD-9144B9503048}"/>
              </a:ext>
            </a:extLst>
          </xdr:cNvPr>
          <xdr:cNvSpPr/>
        </xdr:nvSpPr>
        <xdr:spPr>
          <a:xfrm>
            <a:off x="274101" y="5694643"/>
            <a:ext cx="1046788" cy="5796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</a:p>
        </xdr:txBody>
      </xdr:sp>
    </xdr:grpSp>
    <xdr:clientData/>
  </xdr:twoCellAnchor>
  <xdr:twoCellAnchor>
    <xdr:from>
      <xdr:col>21</xdr:col>
      <xdr:colOff>92857</xdr:colOff>
      <xdr:row>124</xdr:row>
      <xdr:rowOff>131312</xdr:rowOff>
    </xdr:from>
    <xdr:to>
      <xdr:col>21</xdr:col>
      <xdr:colOff>96042</xdr:colOff>
      <xdr:row>126</xdr:row>
      <xdr:rowOff>114386</xdr:rowOff>
    </xdr:to>
    <xdr:cxnSp macro="">
      <xdr:nvCxnSpPr>
        <xdr:cNvPr id="64" name="直線矢印コネクタ 27">
          <a:extLst>
            <a:ext uri="{FF2B5EF4-FFF2-40B4-BE49-F238E27FC236}">
              <a16:creationId xmlns:a16="http://schemas.microsoft.com/office/drawing/2014/main" id="{7A1BC6AC-51C7-462E-8A19-D97DC9E55BE2}"/>
            </a:ext>
          </a:extLst>
        </xdr:cNvPr>
        <xdr:cNvCxnSpPr>
          <a:cxnSpLocks/>
          <a:stCxn id="39" idx="2"/>
          <a:endCxn id="271" idx="0"/>
        </xdr:cNvCxnSpPr>
      </xdr:nvCxnSpPr>
      <xdr:spPr>
        <a:xfrm>
          <a:off x="4328681" y="20436371"/>
          <a:ext cx="3185" cy="319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123824</xdr:colOff>
      <xdr:row>117</xdr:row>
      <xdr:rowOff>73025</xdr:rowOff>
    </xdr:from>
    <xdr:to>
      <xdr:col>24</xdr:col>
      <xdr:colOff>39079</xdr:colOff>
      <xdr:row>120</xdr:row>
      <xdr:rowOff>29522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0E2F3B64-89BC-46C8-9FBD-29C6AF3996CA}"/>
            </a:ext>
          </a:extLst>
        </xdr:cNvPr>
        <xdr:cNvGrpSpPr/>
      </xdr:nvGrpSpPr>
      <xdr:grpSpPr>
        <a:xfrm>
          <a:off x="3958141" y="21084054"/>
          <a:ext cx="1190820" cy="492475"/>
          <a:chOff x="1612900" y="2457450"/>
          <a:chExt cx="933032" cy="374650"/>
        </a:xfrm>
      </xdr:grpSpPr>
      <xdr:sp macro="" textlink="">
        <xdr:nvSpPr>
          <xdr:cNvPr id="71" name="フローチャート: 処理 70">
            <a:extLst>
              <a:ext uri="{FF2B5EF4-FFF2-40B4-BE49-F238E27FC236}">
                <a16:creationId xmlns:a16="http://schemas.microsoft.com/office/drawing/2014/main" id="{E5E764B6-498A-425A-8DBA-C495FFADFEDD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2" name="正方形/長方形 48">
            <a:extLst>
              <a:ext uri="{FF2B5EF4-FFF2-40B4-BE49-F238E27FC236}">
                <a16:creationId xmlns:a16="http://schemas.microsoft.com/office/drawing/2014/main" id="{684AE04B-56CD-4C73-86E0-F3B00277291D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１．銀行振込確認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19</xdr:col>
      <xdr:colOff>57439</xdr:colOff>
      <xdr:row>131</xdr:row>
      <xdr:rowOff>92225</xdr:rowOff>
    </xdr:from>
    <xdr:to>
      <xdr:col>23</xdr:col>
      <xdr:colOff>132594</xdr:colOff>
      <xdr:row>134</xdr:row>
      <xdr:rowOff>114297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D08AD20E-BEFB-4254-A83B-54F844FEE7C5}"/>
            </a:ext>
          </a:extLst>
        </xdr:cNvPr>
        <xdr:cNvGrpSpPr/>
      </xdr:nvGrpSpPr>
      <xdr:grpSpPr>
        <a:xfrm>
          <a:off x="4098953" y="23617182"/>
          <a:ext cx="934422" cy="556144"/>
          <a:chOff x="368300" y="4839921"/>
          <a:chExt cx="844550" cy="526469"/>
        </a:xfrm>
      </xdr:grpSpPr>
      <xdr:sp macro="" textlink="">
        <xdr:nvSpPr>
          <xdr:cNvPr id="74" name="フローチャート: 判断 73">
            <a:extLst>
              <a:ext uri="{FF2B5EF4-FFF2-40B4-BE49-F238E27FC236}">
                <a16:creationId xmlns:a16="http://schemas.microsoft.com/office/drawing/2014/main" id="{9F20FB7B-31B0-49CB-9439-CC25AE475DC7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699DBEB0-9CA1-49BC-A940-138D3581EFB2}"/>
              </a:ext>
            </a:extLst>
          </xdr:cNvPr>
          <xdr:cNvSpPr/>
        </xdr:nvSpPr>
        <xdr:spPr>
          <a:xfrm>
            <a:off x="429481" y="4839921"/>
            <a:ext cx="713019" cy="52646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入金内容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</a:t>
            </a:r>
          </a:p>
        </xdr:txBody>
      </xdr:sp>
    </xdr:grpSp>
    <xdr:clientData/>
  </xdr:twoCellAnchor>
  <xdr:twoCellAnchor>
    <xdr:from>
      <xdr:col>17</xdr:col>
      <xdr:colOff>150773</xdr:colOff>
      <xdr:row>132</xdr:row>
      <xdr:rowOff>179387</xdr:rowOff>
    </xdr:from>
    <xdr:to>
      <xdr:col>19</xdr:col>
      <xdr:colOff>70896</xdr:colOff>
      <xdr:row>135</xdr:row>
      <xdr:rowOff>171449</xdr:rowOff>
    </xdr:to>
    <xdr:cxnSp macro="">
      <xdr:nvCxnSpPr>
        <xdr:cNvPr id="76" name="コネクタ: カギ線 75">
          <a:extLst>
            <a:ext uri="{FF2B5EF4-FFF2-40B4-BE49-F238E27FC236}">
              <a16:creationId xmlns:a16="http://schemas.microsoft.com/office/drawing/2014/main" id="{7803A5D2-B236-4C3D-9D56-C42BFDDCD41C}"/>
            </a:ext>
          </a:extLst>
        </xdr:cNvPr>
        <xdr:cNvCxnSpPr>
          <a:cxnSpLocks/>
          <a:stCxn id="74" idx="1"/>
          <a:endCxn id="115" idx="0"/>
        </xdr:cNvCxnSpPr>
      </xdr:nvCxnSpPr>
      <xdr:spPr>
        <a:xfrm rot="10800000" flipV="1">
          <a:off x="3551198" y="11612562"/>
          <a:ext cx="316998" cy="512762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99868</xdr:colOff>
      <xdr:row>114</xdr:row>
      <xdr:rowOff>53975</xdr:rowOff>
    </xdr:from>
    <xdr:to>
      <xdr:col>21</xdr:col>
      <xdr:colOff>102394</xdr:colOff>
      <xdr:row>117</xdr:row>
      <xdr:rowOff>73025</xdr:rowOff>
    </xdr:to>
    <xdr:cxnSp macro="">
      <xdr:nvCxnSpPr>
        <xdr:cNvPr id="77" name="直線矢印コネクタ 27">
          <a:extLst>
            <a:ext uri="{FF2B5EF4-FFF2-40B4-BE49-F238E27FC236}">
              <a16:creationId xmlns:a16="http://schemas.microsoft.com/office/drawing/2014/main" id="{CEA23FD6-6035-4271-A122-BE0268CAD0CE}"/>
            </a:ext>
          </a:extLst>
        </xdr:cNvPr>
        <xdr:cNvCxnSpPr>
          <a:cxnSpLocks/>
          <a:stCxn id="59" idx="2"/>
          <a:endCxn id="71" idx="0"/>
        </xdr:cNvCxnSpPr>
      </xdr:nvCxnSpPr>
      <xdr:spPr>
        <a:xfrm flipH="1">
          <a:off x="4303568" y="8407400"/>
          <a:ext cx="2526" cy="533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85725</xdr:colOff>
      <xdr:row>133</xdr:row>
      <xdr:rowOff>177800</xdr:rowOff>
    </xdr:from>
    <xdr:to>
      <xdr:col>23</xdr:col>
      <xdr:colOff>0</xdr:colOff>
      <xdr:row>135</xdr:row>
      <xdr:rowOff>127000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08A290D8-AAF1-408C-9674-2105251ED624}"/>
            </a:ext>
          </a:extLst>
        </xdr:cNvPr>
        <xdr:cNvSpPr txBox="1"/>
      </xdr:nvSpPr>
      <xdr:spPr>
        <a:xfrm>
          <a:off x="4283075" y="11782425"/>
          <a:ext cx="3175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正</a:t>
          </a:r>
        </a:p>
      </xdr:txBody>
    </xdr:sp>
    <xdr:clientData/>
  </xdr:twoCellAnchor>
  <xdr:twoCellAnchor>
    <xdr:from>
      <xdr:col>18</xdr:col>
      <xdr:colOff>63500</xdr:colOff>
      <xdr:row>131</xdr:row>
      <xdr:rowOff>101600</xdr:rowOff>
    </xdr:from>
    <xdr:to>
      <xdr:col>20</xdr:col>
      <xdr:colOff>25400</xdr:colOff>
      <xdr:row>133</xdr:row>
      <xdr:rowOff>41275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784F12A1-1A78-45B0-B72D-32B8158D4C42}"/>
            </a:ext>
          </a:extLst>
        </xdr:cNvPr>
        <xdr:cNvSpPr txBox="1"/>
      </xdr:nvSpPr>
      <xdr:spPr>
        <a:xfrm>
          <a:off x="3667125" y="11372850"/>
          <a:ext cx="361950" cy="282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誤</a:t>
          </a:r>
        </a:p>
      </xdr:txBody>
    </xdr:sp>
    <xdr:clientData/>
  </xdr:twoCellAnchor>
  <xdr:twoCellAnchor>
    <xdr:from>
      <xdr:col>21</xdr:col>
      <xdr:colOff>133042</xdr:colOff>
      <xdr:row>175</xdr:row>
      <xdr:rowOff>45350</xdr:rowOff>
    </xdr:from>
    <xdr:to>
      <xdr:col>21</xdr:col>
      <xdr:colOff>133430</xdr:colOff>
      <xdr:row>177</xdr:row>
      <xdr:rowOff>126227</xdr:rowOff>
    </xdr:to>
    <xdr:cxnSp macro="">
      <xdr:nvCxnSpPr>
        <xdr:cNvPr id="80" name="直線矢印コネクタ 27">
          <a:extLst>
            <a:ext uri="{FF2B5EF4-FFF2-40B4-BE49-F238E27FC236}">
              <a16:creationId xmlns:a16="http://schemas.microsoft.com/office/drawing/2014/main" id="{870C504C-F565-440B-8418-6CA0376183B3}"/>
            </a:ext>
          </a:extLst>
        </xdr:cNvPr>
        <xdr:cNvCxnSpPr>
          <a:cxnSpLocks/>
          <a:stCxn id="98" idx="2"/>
          <a:endCxn id="82" idx="0"/>
        </xdr:cNvCxnSpPr>
      </xdr:nvCxnSpPr>
      <xdr:spPr>
        <a:xfrm>
          <a:off x="4333567" y="17488800"/>
          <a:ext cx="388" cy="41742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160337</xdr:colOff>
      <xdr:row>177</xdr:row>
      <xdr:rowOff>88890</xdr:rowOff>
    </xdr:from>
    <xdr:to>
      <xdr:col>24</xdr:col>
      <xdr:colOff>69849</xdr:colOff>
      <xdr:row>180</xdr:row>
      <xdr:rowOff>46238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2E8EDFA2-C52B-47F7-8F33-5A09E2FC06D0}"/>
            </a:ext>
          </a:extLst>
        </xdr:cNvPr>
        <xdr:cNvGrpSpPr/>
      </xdr:nvGrpSpPr>
      <xdr:grpSpPr>
        <a:xfrm>
          <a:off x="3994654" y="31850171"/>
          <a:ext cx="1183172" cy="493325"/>
          <a:chOff x="1612900" y="2427475"/>
          <a:chExt cx="933032" cy="404625"/>
        </a:xfrm>
      </xdr:grpSpPr>
      <xdr:sp macro="" textlink="">
        <xdr:nvSpPr>
          <xdr:cNvPr id="82" name="フローチャート: 定義済み処理 81">
            <a:extLst>
              <a:ext uri="{FF2B5EF4-FFF2-40B4-BE49-F238E27FC236}">
                <a16:creationId xmlns:a16="http://schemas.microsoft.com/office/drawing/2014/main" id="{8BF159EB-BCBE-46D1-9D68-B7D7143FB7C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8F8E1637-5783-4090-AEF3-1AC88DD54F9A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２．入金データ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登録</a:t>
            </a:r>
          </a:p>
        </xdr:txBody>
      </xdr:sp>
    </xdr:grpSp>
    <xdr:clientData/>
  </xdr:twoCellAnchor>
  <xdr:twoCellAnchor>
    <xdr:from>
      <xdr:col>18</xdr:col>
      <xdr:colOff>155573</xdr:colOff>
      <xdr:row>182</xdr:row>
      <xdr:rowOff>160329</xdr:rowOff>
    </xdr:from>
    <xdr:to>
      <xdr:col>24</xdr:col>
      <xdr:colOff>58735</xdr:colOff>
      <xdr:row>185</xdr:row>
      <xdr:rowOff>124027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2EB85279-2BDC-4DBA-A5E3-A233950916D9}"/>
            </a:ext>
          </a:extLst>
        </xdr:cNvPr>
        <xdr:cNvGrpSpPr/>
      </xdr:nvGrpSpPr>
      <xdr:grpSpPr>
        <a:xfrm>
          <a:off x="3987985" y="32816175"/>
          <a:ext cx="1176822" cy="501581"/>
          <a:chOff x="1612900" y="2427475"/>
          <a:chExt cx="933032" cy="404625"/>
        </a:xfrm>
      </xdr:grpSpPr>
      <xdr:sp macro="" textlink="">
        <xdr:nvSpPr>
          <xdr:cNvPr id="85" name="フローチャート: 定義済み処理 84">
            <a:extLst>
              <a:ext uri="{FF2B5EF4-FFF2-40B4-BE49-F238E27FC236}">
                <a16:creationId xmlns:a16="http://schemas.microsoft.com/office/drawing/2014/main" id="{4201AA37-8EE4-41EA-BBCB-03A69FFAFD7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8928FF22-2EE3-4D24-AE89-7C010B97748E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３．入金データ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転記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118268</xdr:colOff>
      <xdr:row>180</xdr:row>
      <xdr:rowOff>40730</xdr:rowOff>
    </xdr:from>
    <xdr:to>
      <xdr:col>21</xdr:col>
      <xdr:colOff>122316</xdr:colOff>
      <xdr:row>183</xdr:row>
      <xdr:rowOff>21799</xdr:rowOff>
    </xdr:to>
    <xdr:cxnSp macro="">
      <xdr:nvCxnSpPr>
        <xdr:cNvPr id="87" name="直線矢印コネクタ 27">
          <a:extLst>
            <a:ext uri="{FF2B5EF4-FFF2-40B4-BE49-F238E27FC236}">
              <a16:creationId xmlns:a16="http://schemas.microsoft.com/office/drawing/2014/main" id="{2ED8163C-2F03-4F9D-89A8-D3854F522EC7}"/>
            </a:ext>
          </a:extLst>
        </xdr:cNvPr>
        <xdr:cNvCxnSpPr>
          <a:cxnSpLocks/>
          <a:stCxn id="83" idx="2"/>
          <a:endCxn id="85" idx="0"/>
        </xdr:cNvCxnSpPr>
      </xdr:nvCxnSpPr>
      <xdr:spPr>
        <a:xfrm>
          <a:off x="4321968" y="18338255"/>
          <a:ext cx="4048" cy="4954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6191</xdr:colOff>
      <xdr:row>184</xdr:row>
      <xdr:rowOff>75233</xdr:rowOff>
    </xdr:from>
    <xdr:to>
      <xdr:col>48</xdr:col>
      <xdr:colOff>190500</xdr:colOff>
      <xdr:row>184</xdr:row>
      <xdr:rowOff>78441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FCB1D75-45C5-4346-91FD-4FE1FF5F1BEE}"/>
            </a:ext>
          </a:extLst>
        </xdr:cNvPr>
        <xdr:cNvCxnSpPr>
          <a:cxnSpLocks/>
          <a:stCxn id="85" idx="3"/>
        </xdr:cNvCxnSpPr>
      </xdr:nvCxnSpPr>
      <xdr:spPr>
        <a:xfrm>
          <a:off x="4847132" y="29120880"/>
          <a:ext cx="5025250" cy="320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111236</xdr:colOff>
      <xdr:row>185</xdr:row>
      <xdr:rowOff>120852</xdr:rowOff>
    </xdr:from>
    <xdr:to>
      <xdr:col>21</xdr:col>
      <xdr:colOff>122558</xdr:colOff>
      <xdr:row>197</xdr:row>
      <xdr:rowOff>73152</xdr:rowOff>
    </xdr:to>
    <xdr:cxnSp macro="">
      <xdr:nvCxnSpPr>
        <xdr:cNvPr id="89" name="直線矢印コネクタ 27">
          <a:extLst>
            <a:ext uri="{FF2B5EF4-FFF2-40B4-BE49-F238E27FC236}">
              <a16:creationId xmlns:a16="http://schemas.microsoft.com/office/drawing/2014/main" id="{E716602E-034D-4966-817B-05CEEB8279F8}"/>
            </a:ext>
          </a:extLst>
        </xdr:cNvPr>
        <xdr:cNvCxnSpPr>
          <a:cxnSpLocks/>
          <a:stCxn id="85" idx="2"/>
          <a:endCxn id="102" idx="0"/>
        </xdr:cNvCxnSpPr>
      </xdr:nvCxnSpPr>
      <xdr:spPr>
        <a:xfrm flipH="1">
          <a:off x="4347060" y="30679293"/>
          <a:ext cx="11322" cy="230553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14130</xdr:colOff>
      <xdr:row>179</xdr:row>
      <xdr:rowOff>853</xdr:rowOff>
    </xdr:from>
    <xdr:to>
      <xdr:col>49</xdr:col>
      <xdr:colOff>57323</xdr:colOff>
      <xdr:row>179</xdr:row>
      <xdr:rowOff>2220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379A09E0-7604-4E34-A982-2A8CAB14CF3B}"/>
            </a:ext>
          </a:extLst>
        </xdr:cNvPr>
        <xdr:cNvCxnSpPr>
          <a:stCxn id="82" idx="3"/>
          <a:endCxn id="253" idx="1"/>
        </xdr:cNvCxnSpPr>
      </xdr:nvCxnSpPr>
      <xdr:spPr>
        <a:xfrm>
          <a:off x="4855071" y="28206059"/>
          <a:ext cx="5085840" cy="136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144666</xdr:colOff>
      <xdr:row>172</xdr:row>
      <xdr:rowOff>153098</xdr:rowOff>
    </xdr:from>
    <xdr:to>
      <xdr:col>24</xdr:col>
      <xdr:colOff>47221</xdr:colOff>
      <xdr:row>175</xdr:row>
      <xdr:rowOff>103246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82042D25-A27D-449E-A5D4-148927739156}"/>
            </a:ext>
          </a:extLst>
        </xdr:cNvPr>
        <xdr:cNvGrpSpPr/>
      </xdr:nvGrpSpPr>
      <xdr:grpSpPr>
        <a:xfrm>
          <a:off x="3975173" y="31014098"/>
          <a:ext cx="1183835" cy="486125"/>
          <a:chOff x="1645074" y="2381128"/>
          <a:chExt cx="872913" cy="453373"/>
        </a:xfrm>
      </xdr:grpSpPr>
      <xdr:sp macro="" textlink="">
        <xdr:nvSpPr>
          <xdr:cNvPr id="98" name="フローチャート: 処理 97">
            <a:extLst>
              <a:ext uri="{FF2B5EF4-FFF2-40B4-BE49-F238E27FC236}">
                <a16:creationId xmlns:a16="http://schemas.microsoft.com/office/drawing/2014/main" id="{1683F483-187B-4C05-834A-1DE872BCBE33}"/>
              </a:ext>
            </a:extLst>
          </xdr:cNvPr>
          <xdr:cNvSpPr/>
        </xdr:nvSpPr>
        <xdr:spPr>
          <a:xfrm>
            <a:off x="1698837" y="2407016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99" name="正方形/長方形 48">
            <a:extLst>
              <a:ext uri="{FF2B5EF4-FFF2-40B4-BE49-F238E27FC236}">
                <a16:creationId xmlns:a16="http://schemas.microsoft.com/office/drawing/2014/main" id="{AB063A12-071F-4508-AFE2-9AE4ED895D05}"/>
              </a:ext>
            </a:extLst>
          </xdr:cNvPr>
          <xdr:cNvSpPr/>
        </xdr:nvSpPr>
        <xdr:spPr>
          <a:xfrm>
            <a:off x="1645074" y="2381128"/>
            <a:ext cx="863323" cy="4533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１．銀行振込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130407</xdr:colOff>
      <xdr:row>169</xdr:row>
      <xdr:rowOff>105959</xdr:rowOff>
    </xdr:from>
    <xdr:to>
      <xdr:col>21</xdr:col>
      <xdr:colOff>135108</xdr:colOff>
      <xdr:row>173</xdr:row>
      <xdr:rowOff>11139</xdr:rowOff>
    </xdr:to>
    <xdr:cxnSp macro="">
      <xdr:nvCxnSpPr>
        <xdr:cNvPr id="100" name="直線矢印コネクタ 27">
          <a:extLst>
            <a:ext uri="{FF2B5EF4-FFF2-40B4-BE49-F238E27FC236}">
              <a16:creationId xmlns:a16="http://schemas.microsoft.com/office/drawing/2014/main" id="{F0AAB4EB-6090-4FCD-B7F5-11EFA29AA682}"/>
            </a:ext>
          </a:extLst>
        </xdr:cNvPr>
        <xdr:cNvCxnSpPr>
          <a:cxnSpLocks/>
          <a:stCxn id="353" idx="2"/>
          <a:endCxn id="98" idx="0"/>
        </xdr:cNvCxnSpPr>
      </xdr:nvCxnSpPr>
      <xdr:spPr>
        <a:xfrm flipH="1">
          <a:off x="4366231" y="28647341"/>
          <a:ext cx="4701" cy="57753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1270</xdr:colOff>
      <xdr:row>197</xdr:row>
      <xdr:rowOff>18744</xdr:rowOff>
    </xdr:from>
    <xdr:to>
      <xdr:col>24</xdr:col>
      <xdr:colOff>9842</xdr:colOff>
      <xdr:row>200</xdr:row>
      <xdr:rowOff>14384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4AE573BC-45FB-4EDF-AAE9-889A5A9EF550}"/>
            </a:ext>
          </a:extLst>
        </xdr:cNvPr>
        <xdr:cNvGrpSpPr/>
      </xdr:nvGrpSpPr>
      <xdr:grpSpPr>
        <a:xfrm>
          <a:off x="4046594" y="35365907"/>
          <a:ext cx="1075035" cy="533522"/>
          <a:chOff x="285750" y="5723996"/>
          <a:chExt cx="1003300" cy="529960"/>
        </a:xfrm>
      </xdr:grpSpPr>
      <xdr:sp macro="" textlink="">
        <xdr:nvSpPr>
          <xdr:cNvPr id="102" name="フローチャート: 他ページ結合子 101">
            <a:extLst>
              <a:ext uri="{FF2B5EF4-FFF2-40B4-BE49-F238E27FC236}">
                <a16:creationId xmlns:a16="http://schemas.microsoft.com/office/drawing/2014/main" id="{0376732F-D27F-412F-A1B4-7DCFF67018BC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3" name="正方形/長方形 48">
            <a:extLst>
              <a:ext uri="{FF2B5EF4-FFF2-40B4-BE49-F238E27FC236}">
                <a16:creationId xmlns:a16="http://schemas.microsoft.com/office/drawing/2014/main" id="{1A52A662-3942-4816-885F-30D861FD7018}"/>
              </a:ext>
            </a:extLst>
          </xdr:cNvPr>
          <xdr:cNvSpPr/>
        </xdr:nvSpPr>
        <xdr:spPr>
          <a:xfrm>
            <a:off x="285750" y="5723996"/>
            <a:ext cx="1003300" cy="5299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5.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1" lang="en-US" altLang="ja-JP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前受消込</a:t>
            </a:r>
          </a:p>
        </xdr:txBody>
      </xdr:sp>
    </xdr:grpSp>
    <xdr:clientData/>
  </xdr:twoCellAnchor>
  <xdr:twoCellAnchor>
    <xdr:from>
      <xdr:col>21</xdr:col>
      <xdr:colOff>101617</xdr:colOff>
      <xdr:row>134</xdr:row>
      <xdr:rowOff>76200</xdr:rowOff>
    </xdr:from>
    <xdr:to>
      <xdr:col>21</xdr:col>
      <xdr:colOff>101715</xdr:colOff>
      <xdr:row>149</xdr:row>
      <xdr:rowOff>143688</xdr:rowOff>
    </xdr:to>
    <xdr:cxnSp macro="">
      <xdr:nvCxnSpPr>
        <xdr:cNvPr id="104" name="直線矢印コネクタ 27">
          <a:extLst>
            <a:ext uri="{FF2B5EF4-FFF2-40B4-BE49-F238E27FC236}">
              <a16:creationId xmlns:a16="http://schemas.microsoft.com/office/drawing/2014/main" id="{6F39A733-CE26-4CCA-816C-6590D9395704}"/>
            </a:ext>
          </a:extLst>
        </xdr:cNvPr>
        <xdr:cNvCxnSpPr>
          <a:cxnSpLocks/>
          <a:stCxn id="74" idx="2"/>
          <a:endCxn id="49" idx="0"/>
        </xdr:cNvCxnSpPr>
      </xdr:nvCxnSpPr>
      <xdr:spPr>
        <a:xfrm>
          <a:off x="4302142" y="11858625"/>
          <a:ext cx="98" cy="26392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180975</xdr:colOff>
      <xdr:row>136</xdr:row>
      <xdr:rowOff>0</xdr:rowOff>
    </xdr:from>
    <xdr:to>
      <xdr:col>20</xdr:col>
      <xdr:colOff>83530</xdr:colOff>
      <xdr:row>138</xdr:row>
      <xdr:rowOff>121597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6FAF4976-6EEE-4377-A23F-5CEF8CD67D6E}"/>
            </a:ext>
          </a:extLst>
        </xdr:cNvPr>
        <xdr:cNvGrpSpPr/>
      </xdr:nvGrpSpPr>
      <xdr:grpSpPr>
        <a:xfrm>
          <a:off x="3159835" y="24417618"/>
          <a:ext cx="1183835" cy="482090"/>
          <a:chOff x="1612900" y="2457450"/>
          <a:chExt cx="933032" cy="374650"/>
        </a:xfrm>
      </xdr:grpSpPr>
      <xdr:sp macro="" textlink="">
        <xdr:nvSpPr>
          <xdr:cNvPr id="115" name="フローチャート: 処理 114">
            <a:extLst>
              <a:ext uri="{FF2B5EF4-FFF2-40B4-BE49-F238E27FC236}">
                <a16:creationId xmlns:a16="http://schemas.microsoft.com/office/drawing/2014/main" id="{E4CCA013-C92E-4479-AACB-26706142AC75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6" name="正方形/長方形 48">
            <a:extLst>
              <a:ext uri="{FF2B5EF4-FFF2-40B4-BE49-F238E27FC236}">
                <a16:creationId xmlns:a16="http://schemas.microsoft.com/office/drawing/2014/main" id="{6627C468-3B72-4481-BC9F-1918FC0A629A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４．修正連絡</a:t>
            </a:r>
            <a:endParaRPr kumimoji="1" lang="en-US" altLang="ja-JP" sz="900"/>
          </a:p>
        </xdr:txBody>
      </xdr:sp>
    </xdr:grpSp>
    <xdr:clientData/>
  </xdr:twoCellAnchor>
  <xdr:twoCellAnchor>
    <xdr:from>
      <xdr:col>2</xdr:col>
      <xdr:colOff>66675</xdr:colOff>
      <xdr:row>145</xdr:row>
      <xdr:rowOff>47625</xdr:rowOff>
    </xdr:from>
    <xdr:to>
      <xdr:col>7</xdr:col>
      <xdr:colOff>181955</xdr:colOff>
      <xdr:row>148</xdr:row>
      <xdr:rowOff>947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7D667461-C742-4608-A6F0-73434FDC73EC}"/>
            </a:ext>
          </a:extLst>
        </xdr:cNvPr>
        <xdr:cNvGrpSpPr/>
      </xdr:nvGrpSpPr>
      <xdr:grpSpPr>
        <a:xfrm>
          <a:off x="490594" y="26080795"/>
          <a:ext cx="1179838" cy="489299"/>
          <a:chOff x="1612900" y="2457450"/>
          <a:chExt cx="933032" cy="374650"/>
        </a:xfrm>
      </xdr:grpSpPr>
      <xdr:sp macro="" textlink="">
        <xdr:nvSpPr>
          <xdr:cNvPr id="118" name="フローチャート: 処理 117">
            <a:extLst>
              <a:ext uri="{FF2B5EF4-FFF2-40B4-BE49-F238E27FC236}">
                <a16:creationId xmlns:a16="http://schemas.microsoft.com/office/drawing/2014/main" id="{5CF35340-3075-4A27-916A-02B744B97915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9" name="正方形/長方形 48">
            <a:extLst>
              <a:ext uri="{FF2B5EF4-FFF2-40B4-BE49-F238E27FC236}">
                <a16:creationId xmlns:a16="http://schemas.microsoft.com/office/drawing/2014/main" id="{B4382B9E-AFEC-40A1-9FFE-95912C61990B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５．再入金</a:t>
            </a:r>
            <a:endParaRPr kumimoji="1" lang="en-US" altLang="ja-JP" sz="900"/>
          </a:p>
        </xdr:txBody>
      </xdr:sp>
    </xdr:grpSp>
    <xdr:clientData/>
  </xdr:twoCellAnchor>
  <xdr:twoCellAnchor>
    <xdr:from>
      <xdr:col>5</xdr:col>
      <xdr:colOff>36473</xdr:colOff>
      <xdr:row>138</xdr:row>
      <xdr:rowOff>121596</xdr:rowOff>
    </xdr:from>
    <xdr:to>
      <xdr:col>17</xdr:col>
      <xdr:colOff>150773</xdr:colOff>
      <xdr:row>145</xdr:row>
      <xdr:rowOff>47624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D3B7F469-E389-4892-B637-57D3F6FC5B2C}"/>
            </a:ext>
          </a:extLst>
        </xdr:cNvPr>
        <xdr:cNvCxnSpPr>
          <a:cxnSpLocks/>
          <a:stCxn id="115" idx="2"/>
          <a:endCxn id="118" idx="0"/>
        </xdr:cNvCxnSpPr>
      </xdr:nvCxnSpPr>
      <xdr:spPr>
        <a:xfrm rot="5400000">
          <a:off x="1730809" y="11898785"/>
          <a:ext cx="1126178" cy="251460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36471</xdr:colOff>
      <xdr:row>117</xdr:row>
      <xdr:rowOff>73025</xdr:rowOff>
    </xdr:from>
    <xdr:to>
      <xdr:col>21</xdr:col>
      <xdr:colOff>99970</xdr:colOff>
      <xdr:row>147</xdr:row>
      <xdr:rowOff>178747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3D2439D3-B570-4214-8195-27119BC96E64}"/>
            </a:ext>
          </a:extLst>
        </xdr:cNvPr>
        <xdr:cNvCxnSpPr>
          <a:cxnSpLocks/>
          <a:stCxn id="118" idx="2"/>
          <a:endCxn id="71" idx="0"/>
        </xdr:cNvCxnSpPr>
      </xdr:nvCxnSpPr>
      <xdr:spPr>
        <a:xfrm rot="5400000" flipH="1" flipV="1">
          <a:off x="48697" y="9928699"/>
          <a:ext cx="5242872" cy="3267074"/>
        </a:xfrm>
        <a:prstGeom prst="bentConnector5">
          <a:avLst>
            <a:gd name="adj1" fmla="val -3453"/>
            <a:gd name="adj2" fmla="val -18580"/>
            <a:gd name="adj3" fmla="val 10259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174935</xdr:colOff>
      <xdr:row>111</xdr:row>
      <xdr:rowOff>44263</xdr:rowOff>
    </xdr:from>
    <xdr:to>
      <xdr:col>27</xdr:col>
      <xdr:colOff>153708</xdr:colOff>
      <xdr:row>114</xdr:row>
      <xdr:rowOff>83811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1DEC99E4-4CEA-4C08-90C1-A807F3BEC103}"/>
            </a:ext>
          </a:extLst>
        </xdr:cNvPr>
        <xdr:cNvGrpSpPr/>
      </xdr:nvGrpSpPr>
      <xdr:grpSpPr>
        <a:xfrm>
          <a:off x="4855184" y="19981433"/>
          <a:ext cx="1047142" cy="577430"/>
          <a:chOff x="274093" y="5723834"/>
          <a:chExt cx="1046820" cy="560320"/>
        </a:xfrm>
      </xdr:grpSpPr>
      <xdr:sp macro="" textlink="">
        <xdr:nvSpPr>
          <xdr:cNvPr id="126" name="フローチャート: 他ページ結合子 125">
            <a:extLst>
              <a:ext uri="{FF2B5EF4-FFF2-40B4-BE49-F238E27FC236}">
                <a16:creationId xmlns:a16="http://schemas.microsoft.com/office/drawing/2014/main" id="{E8BEA3FF-6CA4-4473-ADBA-1DFD8898F95C}"/>
              </a:ext>
            </a:extLst>
          </xdr:cNvPr>
          <xdr:cNvSpPr/>
        </xdr:nvSpPr>
        <xdr:spPr>
          <a:xfrm>
            <a:off x="493036" y="5784946"/>
            <a:ext cx="601852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7" name="正方形/長方形 48">
            <a:extLst>
              <a:ext uri="{FF2B5EF4-FFF2-40B4-BE49-F238E27FC236}">
                <a16:creationId xmlns:a16="http://schemas.microsoft.com/office/drawing/2014/main" id="{E9DF51AA-0E34-4711-8755-D45F9428D5A5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３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</a:p>
        </xdr:txBody>
      </xdr:sp>
    </xdr:grpSp>
    <xdr:clientData/>
  </xdr:twoCellAnchor>
  <xdr:twoCellAnchor>
    <xdr:from>
      <xdr:col>21</xdr:col>
      <xdr:colOff>98567</xdr:colOff>
      <xdr:row>114</xdr:row>
      <xdr:rowOff>30714</xdr:rowOff>
    </xdr:from>
    <xdr:to>
      <xdr:col>25</xdr:col>
      <xdr:colOff>60130</xdr:colOff>
      <xdr:row>117</xdr:row>
      <xdr:rowOff>73024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2FB11CDE-716D-466C-B1CE-19A04B149F8F}"/>
            </a:ext>
          </a:extLst>
        </xdr:cNvPr>
        <xdr:cNvCxnSpPr>
          <a:cxnSpLocks/>
          <a:stCxn id="126" idx="2"/>
          <a:endCxn id="71" idx="0"/>
        </xdr:cNvCxnSpPr>
      </xdr:nvCxnSpPr>
      <xdr:spPr>
        <a:xfrm rot="5400000">
          <a:off x="4445296" y="8122515"/>
          <a:ext cx="546575" cy="76838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28540</xdr:colOff>
      <xdr:row>71</xdr:row>
      <xdr:rowOff>73617</xdr:rowOff>
    </xdr:from>
    <xdr:to>
      <xdr:col>20</xdr:col>
      <xdr:colOff>198518</xdr:colOff>
      <xdr:row>73</xdr:row>
      <xdr:rowOff>108874</xdr:rowOff>
    </xdr:to>
    <xdr:cxnSp macro="">
      <xdr:nvCxnSpPr>
        <xdr:cNvPr id="350" name="コネクタ: カギ線 349">
          <a:extLst>
            <a:ext uri="{FF2B5EF4-FFF2-40B4-BE49-F238E27FC236}">
              <a16:creationId xmlns:a16="http://schemas.microsoft.com/office/drawing/2014/main" id="{E9CBB947-9E56-402D-9825-7C541791DFCA}"/>
            </a:ext>
          </a:extLst>
        </xdr:cNvPr>
        <xdr:cNvCxnSpPr>
          <a:cxnSpLocks/>
          <a:stCxn id="359" idx="2"/>
          <a:endCxn id="371" idx="0"/>
        </xdr:cNvCxnSpPr>
      </xdr:nvCxnSpPr>
      <xdr:spPr>
        <a:xfrm rot="5400000">
          <a:off x="3074958" y="11490685"/>
          <a:ext cx="376342" cy="199877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12741</xdr:colOff>
      <xdr:row>76</xdr:row>
      <xdr:rowOff>50618</xdr:rowOff>
    </xdr:from>
    <xdr:to>
      <xdr:col>34</xdr:col>
      <xdr:colOff>108970</xdr:colOff>
      <xdr:row>78</xdr:row>
      <xdr:rowOff>120523</xdr:rowOff>
    </xdr:to>
    <xdr:cxnSp macro="">
      <xdr:nvCxnSpPr>
        <xdr:cNvPr id="354" name="コネクタ: カギ線 353">
          <a:extLst>
            <a:ext uri="{FF2B5EF4-FFF2-40B4-BE49-F238E27FC236}">
              <a16:creationId xmlns:a16="http://schemas.microsoft.com/office/drawing/2014/main" id="{9DE089B9-89EC-49B6-BE32-26E35A327904}"/>
            </a:ext>
          </a:extLst>
        </xdr:cNvPr>
        <xdr:cNvCxnSpPr>
          <a:cxnSpLocks/>
          <a:stCxn id="372" idx="2"/>
          <a:endCxn id="554" idx="0"/>
        </xdr:cNvCxnSpPr>
      </xdr:nvCxnSpPr>
      <xdr:spPr>
        <a:xfrm rot="16200000" flipH="1">
          <a:off x="4441422" y="10698652"/>
          <a:ext cx="423690" cy="479069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73819</xdr:colOff>
      <xdr:row>68</xdr:row>
      <xdr:rowOff>88255</xdr:rowOff>
    </xdr:from>
    <xdr:to>
      <xdr:col>23</xdr:col>
      <xdr:colOff>130969</xdr:colOff>
      <xdr:row>71</xdr:row>
      <xdr:rowOff>130978</xdr:rowOff>
    </xdr:to>
    <xdr:grpSp>
      <xdr:nvGrpSpPr>
        <xdr:cNvPr id="358" name="グループ化 357">
          <a:extLst>
            <a:ext uri="{FF2B5EF4-FFF2-40B4-BE49-F238E27FC236}">
              <a16:creationId xmlns:a16="http://schemas.microsoft.com/office/drawing/2014/main" id="{D80E6B9A-000F-4E87-B38F-3E4AEC41B8FE}"/>
            </a:ext>
          </a:extLst>
        </xdr:cNvPr>
        <xdr:cNvGrpSpPr/>
      </xdr:nvGrpSpPr>
      <xdr:grpSpPr>
        <a:xfrm>
          <a:off x="3906231" y="12328889"/>
          <a:ext cx="1125519" cy="580605"/>
          <a:chOff x="274093" y="5723834"/>
          <a:chExt cx="1046820" cy="560320"/>
        </a:xfrm>
      </xdr:grpSpPr>
      <xdr:sp macro="" textlink="">
        <xdr:nvSpPr>
          <xdr:cNvPr id="359" name="フローチャート: 他ページ結合子 358">
            <a:extLst>
              <a:ext uri="{FF2B5EF4-FFF2-40B4-BE49-F238E27FC236}">
                <a16:creationId xmlns:a16="http://schemas.microsoft.com/office/drawing/2014/main" id="{126D9BC5-543B-4982-8BBA-2B2304BF0F14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60" name="正方形/長方形 48">
            <a:extLst>
              <a:ext uri="{FF2B5EF4-FFF2-40B4-BE49-F238E27FC236}">
                <a16:creationId xmlns:a16="http://schemas.microsoft.com/office/drawing/2014/main" id="{1F032D1A-8600-4815-ABEF-0E6555B5E511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</a:p>
        </xdr:txBody>
      </xdr:sp>
    </xdr:grpSp>
    <xdr:clientData/>
  </xdr:twoCellAnchor>
  <xdr:twoCellAnchor>
    <xdr:from>
      <xdr:col>19</xdr:col>
      <xdr:colOff>85609</xdr:colOff>
      <xdr:row>100</xdr:row>
      <xdr:rowOff>138846</xdr:rowOff>
    </xdr:from>
    <xdr:to>
      <xdr:col>24</xdr:col>
      <xdr:colOff>87197</xdr:colOff>
      <xdr:row>103</xdr:row>
      <xdr:rowOff>96944</xdr:rowOff>
    </xdr:to>
    <xdr:grpSp>
      <xdr:nvGrpSpPr>
        <xdr:cNvPr id="361" name="グループ化 360">
          <a:extLst>
            <a:ext uri="{FF2B5EF4-FFF2-40B4-BE49-F238E27FC236}">
              <a16:creationId xmlns:a16="http://schemas.microsoft.com/office/drawing/2014/main" id="{6771AF65-83E8-4C30-B9DB-B1576B3D0307}"/>
            </a:ext>
          </a:extLst>
        </xdr:cNvPr>
        <xdr:cNvGrpSpPr/>
      </xdr:nvGrpSpPr>
      <xdr:grpSpPr>
        <a:xfrm>
          <a:off x="4132838" y="18109271"/>
          <a:ext cx="1066146" cy="495981"/>
          <a:chOff x="309100" y="5676232"/>
          <a:chExt cx="988512" cy="491455"/>
        </a:xfrm>
      </xdr:grpSpPr>
      <xdr:sp macro="" textlink="">
        <xdr:nvSpPr>
          <xdr:cNvPr id="362" name="フローチャート: 他ページ結合子 361">
            <a:extLst>
              <a:ext uri="{FF2B5EF4-FFF2-40B4-BE49-F238E27FC236}">
                <a16:creationId xmlns:a16="http://schemas.microsoft.com/office/drawing/2014/main" id="{E05AFFB7-3C8B-4D49-8773-834352B15B07}"/>
              </a:ext>
            </a:extLst>
          </xdr:cNvPr>
          <xdr:cNvSpPr/>
        </xdr:nvSpPr>
        <xdr:spPr>
          <a:xfrm>
            <a:off x="492124" y="5699794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63" name="正方形/長方形 48">
            <a:extLst>
              <a:ext uri="{FF2B5EF4-FFF2-40B4-BE49-F238E27FC236}">
                <a16:creationId xmlns:a16="http://schemas.microsoft.com/office/drawing/2014/main" id="{843024D1-1E2B-4B0D-B3E7-F222990C3683}"/>
              </a:ext>
            </a:extLst>
          </xdr:cNvPr>
          <xdr:cNvSpPr/>
        </xdr:nvSpPr>
        <xdr:spPr>
          <a:xfrm>
            <a:off x="309100" y="5676232"/>
            <a:ext cx="988512" cy="4914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入金消込</a:t>
            </a:r>
          </a:p>
        </xdr:txBody>
      </xdr:sp>
    </xdr:grpSp>
    <xdr:clientData/>
  </xdr:twoCellAnchor>
  <xdr:twoCellAnchor>
    <xdr:from>
      <xdr:col>8</xdr:col>
      <xdr:colOff>68260</xdr:colOff>
      <xdr:row>73</xdr:row>
      <xdr:rowOff>88525</xdr:rowOff>
    </xdr:from>
    <xdr:to>
      <xdr:col>13</xdr:col>
      <xdr:colOff>161331</xdr:colOff>
      <xdr:row>76</xdr:row>
      <xdr:rowOff>47443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A740D536-84B9-45C3-B325-7900406EF2CB}"/>
            </a:ext>
          </a:extLst>
        </xdr:cNvPr>
        <xdr:cNvGrpSpPr/>
      </xdr:nvGrpSpPr>
      <xdr:grpSpPr>
        <a:xfrm>
          <a:off x="1769649" y="13225629"/>
          <a:ext cx="1161440" cy="494895"/>
          <a:chOff x="1612900" y="2439903"/>
          <a:chExt cx="933032" cy="405753"/>
        </a:xfrm>
      </xdr:grpSpPr>
      <xdr:sp macro="" textlink="">
        <xdr:nvSpPr>
          <xdr:cNvPr id="368" name="フローチャート: 処理 367">
            <a:extLst>
              <a:ext uri="{FF2B5EF4-FFF2-40B4-BE49-F238E27FC236}">
                <a16:creationId xmlns:a16="http://schemas.microsoft.com/office/drawing/2014/main" id="{B195D73E-A0A2-4053-A277-14C7ABD84CB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69" name="正方形/長方形 48">
            <a:extLst>
              <a:ext uri="{FF2B5EF4-FFF2-40B4-BE49-F238E27FC236}">
                <a16:creationId xmlns:a16="http://schemas.microsoft.com/office/drawing/2014/main" id="{B95CDBB1-F87F-4FD9-AC4B-EF0ADE724E76}"/>
              </a:ext>
            </a:extLst>
          </xdr:cNvPr>
          <xdr:cNvSpPr/>
        </xdr:nvSpPr>
        <xdr:spPr>
          <a:xfrm>
            <a:off x="1612900" y="2439903"/>
            <a:ext cx="933032" cy="4057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２．入金情報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提示</a:t>
            </a:r>
            <a:endParaRPr kumimoji="1" lang="en-US" altLang="ja-JP" sz="900"/>
          </a:p>
        </xdr:txBody>
      </xdr:sp>
    </xdr:grpSp>
    <xdr:clientData/>
  </xdr:twoCellAnchor>
  <xdr:twoCellAnchor>
    <xdr:from>
      <xdr:col>8</xdr:col>
      <xdr:colOff>68260</xdr:colOff>
      <xdr:row>73</xdr:row>
      <xdr:rowOff>88525</xdr:rowOff>
    </xdr:from>
    <xdr:to>
      <xdr:col>13</xdr:col>
      <xdr:colOff>161331</xdr:colOff>
      <xdr:row>76</xdr:row>
      <xdr:rowOff>47443</xdr:rowOff>
    </xdr:to>
    <xdr:grpSp>
      <xdr:nvGrpSpPr>
        <xdr:cNvPr id="370" name="グループ化 369">
          <a:extLst>
            <a:ext uri="{FF2B5EF4-FFF2-40B4-BE49-F238E27FC236}">
              <a16:creationId xmlns:a16="http://schemas.microsoft.com/office/drawing/2014/main" id="{FBB93C1F-5D37-4072-98C8-A604A0C10280}"/>
            </a:ext>
          </a:extLst>
        </xdr:cNvPr>
        <xdr:cNvGrpSpPr/>
      </xdr:nvGrpSpPr>
      <xdr:grpSpPr>
        <a:xfrm>
          <a:off x="1769649" y="13225629"/>
          <a:ext cx="1161440" cy="494895"/>
          <a:chOff x="1612900" y="2439903"/>
          <a:chExt cx="933032" cy="405753"/>
        </a:xfrm>
      </xdr:grpSpPr>
      <xdr:sp macro="" textlink="">
        <xdr:nvSpPr>
          <xdr:cNvPr id="371" name="フローチャート: 処理 370">
            <a:extLst>
              <a:ext uri="{FF2B5EF4-FFF2-40B4-BE49-F238E27FC236}">
                <a16:creationId xmlns:a16="http://schemas.microsoft.com/office/drawing/2014/main" id="{C68488C0-72B1-4D7D-992E-B1AE3BEE8015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72" name="正方形/長方形 48">
            <a:extLst>
              <a:ext uri="{FF2B5EF4-FFF2-40B4-BE49-F238E27FC236}">
                <a16:creationId xmlns:a16="http://schemas.microsoft.com/office/drawing/2014/main" id="{9CCB9AEE-EBB2-46B0-A15B-AED7952E3E04}"/>
              </a:ext>
            </a:extLst>
          </xdr:cNvPr>
          <xdr:cNvSpPr/>
        </xdr:nvSpPr>
        <xdr:spPr>
          <a:xfrm>
            <a:off x="1612900" y="2439903"/>
            <a:ext cx="933032" cy="4057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</a:t>
            </a:r>
            <a:r>
              <a:rPr kumimoji="1" lang="ja-JP" altLang="en-US" sz="900"/>
              <a:t>．入金情報提示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9572</xdr:colOff>
      <xdr:row>68</xdr:row>
      <xdr:rowOff>83368</xdr:rowOff>
    </xdr:from>
    <xdr:to>
      <xdr:col>27</xdr:col>
      <xdr:colOff>201706</xdr:colOff>
      <xdr:row>71</xdr:row>
      <xdr:rowOff>128546</xdr:rowOff>
    </xdr:to>
    <xdr:grpSp>
      <xdr:nvGrpSpPr>
        <xdr:cNvPr id="373" name="グループ化 372">
          <a:extLst>
            <a:ext uri="{FF2B5EF4-FFF2-40B4-BE49-F238E27FC236}">
              <a16:creationId xmlns:a16="http://schemas.microsoft.com/office/drawing/2014/main" id="{53AF8149-5857-4372-AFE8-A0B848A613A9}"/>
            </a:ext>
          </a:extLst>
        </xdr:cNvPr>
        <xdr:cNvGrpSpPr/>
      </xdr:nvGrpSpPr>
      <xdr:grpSpPr>
        <a:xfrm>
          <a:off x="4908448" y="12322097"/>
          <a:ext cx="1043781" cy="584965"/>
          <a:chOff x="274093" y="5723834"/>
          <a:chExt cx="1046820" cy="560320"/>
        </a:xfrm>
      </xdr:grpSpPr>
      <xdr:sp macro="" textlink="">
        <xdr:nvSpPr>
          <xdr:cNvPr id="374" name="フローチャート: 他ページ結合子 373">
            <a:extLst>
              <a:ext uri="{FF2B5EF4-FFF2-40B4-BE49-F238E27FC236}">
                <a16:creationId xmlns:a16="http://schemas.microsoft.com/office/drawing/2014/main" id="{7D5DF221-17E6-4CD7-9459-0E9B9E6A46A5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75" name="正方形/長方形 48">
            <a:extLst>
              <a:ext uri="{FF2B5EF4-FFF2-40B4-BE49-F238E27FC236}">
                <a16:creationId xmlns:a16="http://schemas.microsoft.com/office/drawing/2014/main" id="{4DBCB536-BCB6-4BF6-8392-AF06AE4F6994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３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</a:p>
        </xdr:txBody>
      </xdr:sp>
    </xdr:grpSp>
    <xdr:clientData/>
  </xdr:twoCellAnchor>
  <xdr:twoCellAnchor>
    <xdr:from>
      <xdr:col>11</xdr:col>
      <xdr:colOff>28541</xdr:colOff>
      <xdr:row>71</xdr:row>
      <xdr:rowOff>70930</xdr:rowOff>
    </xdr:from>
    <xdr:to>
      <xdr:col>25</xdr:col>
      <xdr:colOff>100512</xdr:colOff>
      <xdr:row>73</xdr:row>
      <xdr:rowOff>108874</xdr:rowOff>
    </xdr:to>
    <xdr:cxnSp macro="">
      <xdr:nvCxnSpPr>
        <xdr:cNvPr id="376" name="コネクタ: カギ線 375">
          <a:extLst>
            <a:ext uri="{FF2B5EF4-FFF2-40B4-BE49-F238E27FC236}">
              <a16:creationId xmlns:a16="http://schemas.microsoft.com/office/drawing/2014/main" id="{02A9EC14-BF52-4CA1-8996-559D947EB8E3}"/>
            </a:ext>
          </a:extLst>
        </xdr:cNvPr>
        <xdr:cNvCxnSpPr>
          <a:cxnSpLocks/>
          <a:stCxn id="374" idx="2"/>
          <a:endCxn id="371" idx="0"/>
        </xdr:cNvCxnSpPr>
      </xdr:nvCxnSpPr>
      <xdr:spPr>
        <a:xfrm rot="5400000">
          <a:off x="3532612" y="11030345"/>
          <a:ext cx="379029" cy="291677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140153</xdr:colOff>
      <xdr:row>92</xdr:row>
      <xdr:rowOff>7702</xdr:rowOff>
    </xdr:from>
    <xdr:to>
      <xdr:col>24</xdr:col>
      <xdr:colOff>49483</xdr:colOff>
      <xdr:row>95</xdr:row>
      <xdr:rowOff>32204</xdr:rowOff>
    </xdr:to>
    <xdr:grpSp>
      <xdr:nvGrpSpPr>
        <xdr:cNvPr id="397" name="グループ化 396">
          <a:extLst>
            <a:ext uri="{FF2B5EF4-FFF2-40B4-BE49-F238E27FC236}">
              <a16:creationId xmlns:a16="http://schemas.microsoft.com/office/drawing/2014/main" id="{63983F37-3643-48F8-B27A-B9F9FA3DC2A8}"/>
            </a:ext>
          </a:extLst>
        </xdr:cNvPr>
        <xdr:cNvGrpSpPr/>
      </xdr:nvGrpSpPr>
      <xdr:grpSpPr>
        <a:xfrm>
          <a:off x="3968755" y="16549489"/>
          <a:ext cx="1192515" cy="558575"/>
          <a:chOff x="1612900" y="2427474"/>
          <a:chExt cx="933032" cy="469326"/>
        </a:xfrm>
      </xdr:grpSpPr>
      <xdr:sp macro="" textlink="">
        <xdr:nvSpPr>
          <xdr:cNvPr id="398" name="フローチャート: 定義済み処理 397">
            <a:extLst>
              <a:ext uri="{FF2B5EF4-FFF2-40B4-BE49-F238E27FC236}">
                <a16:creationId xmlns:a16="http://schemas.microsoft.com/office/drawing/2014/main" id="{6FF3FAA2-67F6-4246-82D6-7E5F233B13F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99" name="正方形/長方形 398">
            <a:extLst>
              <a:ext uri="{FF2B5EF4-FFF2-40B4-BE49-F238E27FC236}">
                <a16:creationId xmlns:a16="http://schemas.microsoft.com/office/drawing/2014/main" id="{B4DFA47F-79CD-42A4-8E19-7CFC07415AA5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入金入力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21862</xdr:colOff>
      <xdr:row>93</xdr:row>
      <xdr:rowOff>147232</xdr:rowOff>
    </xdr:from>
    <xdr:to>
      <xdr:col>53</xdr:col>
      <xdr:colOff>16283</xdr:colOff>
      <xdr:row>97</xdr:row>
      <xdr:rowOff>81224</xdr:rowOff>
    </xdr:to>
    <xdr:grpSp>
      <xdr:nvGrpSpPr>
        <xdr:cNvPr id="400" name="グループ化 399">
          <a:extLst>
            <a:ext uri="{FF2B5EF4-FFF2-40B4-BE49-F238E27FC236}">
              <a16:creationId xmlns:a16="http://schemas.microsoft.com/office/drawing/2014/main" id="{57553643-1330-4C5F-B4C2-9710E89BF434}"/>
            </a:ext>
          </a:extLst>
        </xdr:cNvPr>
        <xdr:cNvGrpSpPr>
          <a:grpSpLocks noChangeAspect="1"/>
        </xdr:cNvGrpSpPr>
      </xdr:nvGrpSpPr>
      <xdr:grpSpPr>
        <a:xfrm>
          <a:off x="10237817" y="16864503"/>
          <a:ext cx="1066600" cy="654979"/>
          <a:chOff x="7112000" y="2895019"/>
          <a:chExt cx="873125" cy="582091"/>
        </a:xfrm>
      </xdr:grpSpPr>
      <xdr:sp macro="" textlink="">
        <xdr:nvSpPr>
          <xdr:cNvPr id="401" name="フローチャート: 磁気ディスク 400">
            <a:extLst>
              <a:ext uri="{FF2B5EF4-FFF2-40B4-BE49-F238E27FC236}">
                <a16:creationId xmlns:a16="http://schemas.microsoft.com/office/drawing/2014/main" id="{5D01C376-B66D-48EC-A94A-866B70EE2FB4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02" name="正方形/長方形 401">
            <a:extLst>
              <a:ext uri="{FF2B5EF4-FFF2-40B4-BE49-F238E27FC236}">
                <a16:creationId xmlns:a16="http://schemas.microsoft.com/office/drawing/2014/main" id="{BCF233E2-9313-420B-946C-542B9AE27614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26331</xdr:colOff>
      <xdr:row>91</xdr:row>
      <xdr:rowOff>164435</xdr:rowOff>
    </xdr:from>
    <xdr:to>
      <xdr:col>53</xdr:col>
      <xdr:colOff>31069</xdr:colOff>
      <xdr:row>95</xdr:row>
      <xdr:rowOff>61419</xdr:rowOff>
    </xdr:to>
    <xdr:grpSp>
      <xdr:nvGrpSpPr>
        <xdr:cNvPr id="403" name="グループ化 402">
          <a:extLst>
            <a:ext uri="{FF2B5EF4-FFF2-40B4-BE49-F238E27FC236}">
              <a16:creationId xmlns:a16="http://schemas.microsoft.com/office/drawing/2014/main" id="{DD8A3D1F-734B-4057-BAB8-AC7A12322037}"/>
            </a:ext>
          </a:extLst>
        </xdr:cNvPr>
        <xdr:cNvGrpSpPr/>
      </xdr:nvGrpSpPr>
      <xdr:grpSpPr>
        <a:xfrm>
          <a:off x="10242286" y="16528833"/>
          <a:ext cx="1071202" cy="606541"/>
          <a:chOff x="7113907" y="2892425"/>
          <a:chExt cx="917588" cy="591189"/>
        </a:xfrm>
      </xdr:grpSpPr>
      <xdr:sp macro="" textlink="">
        <xdr:nvSpPr>
          <xdr:cNvPr id="404" name="フローチャート: 磁気ディスク 403">
            <a:extLst>
              <a:ext uri="{FF2B5EF4-FFF2-40B4-BE49-F238E27FC236}">
                <a16:creationId xmlns:a16="http://schemas.microsoft.com/office/drawing/2014/main" id="{0CC95BF3-D416-4E70-8B49-4A225FD0DB07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05" name="正方形/長方形 404">
            <a:extLst>
              <a:ext uri="{FF2B5EF4-FFF2-40B4-BE49-F238E27FC236}">
                <a16:creationId xmlns:a16="http://schemas.microsoft.com/office/drawing/2014/main" id="{A1E39756-7896-45C3-9808-8BF8DC90A73F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23</xdr:col>
      <xdr:colOff>199425</xdr:colOff>
      <xdr:row>93</xdr:row>
      <xdr:rowOff>85745</xdr:rowOff>
    </xdr:from>
    <xdr:to>
      <xdr:col>48</xdr:col>
      <xdr:colOff>126635</xdr:colOff>
      <xdr:row>93</xdr:row>
      <xdr:rowOff>86008</xdr:rowOff>
    </xdr:to>
    <xdr:cxnSp macro="">
      <xdr:nvCxnSpPr>
        <xdr:cNvPr id="406" name="コネクタ: カギ線 405">
          <a:extLst>
            <a:ext uri="{FF2B5EF4-FFF2-40B4-BE49-F238E27FC236}">
              <a16:creationId xmlns:a16="http://schemas.microsoft.com/office/drawing/2014/main" id="{0599A90B-EE3A-432B-800D-FCF7AFF6B404}"/>
            </a:ext>
          </a:extLst>
        </xdr:cNvPr>
        <xdr:cNvCxnSpPr>
          <a:cxnSpLocks/>
          <a:stCxn id="398" idx="3"/>
          <a:endCxn id="404" idx="2"/>
        </xdr:cNvCxnSpPr>
      </xdr:nvCxnSpPr>
      <xdr:spPr>
        <a:xfrm>
          <a:off x="4873025" y="16144895"/>
          <a:ext cx="5007210" cy="263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118616</xdr:colOff>
      <xdr:row>94</xdr:row>
      <xdr:rowOff>134812</xdr:rowOff>
    </xdr:from>
    <xdr:to>
      <xdr:col>21</xdr:col>
      <xdr:colOff>196848</xdr:colOff>
      <xdr:row>100</xdr:row>
      <xdr:rowOff>138846</xdr:rowOff>
    </xdr:to>
    <xdr:cxnSp macro="">
      <xdr:nvCxnSpPr>
        <xdr:cNvPr id="409" name="コネクタ: カギ線 408">
          <a:extLst>
            <a:ext uri="{FF2B5EF4-FFF2-40B4-BE49-F238E27FC236}">
              <a16:creationId xmlns:a16="http://schemas.microsoft.com/office/drawing/2014/main" id="{7BA14DAA-88F4-4D02-8D7B-010609206343}"/>
            </a:ext>
          </a:extLst>
        </xdr:cNvPr>
        <xdr:cNvCxnSpPr>
          <a:cxnSpLocks/>
          <a:stCxn id="398" idx="2"/>
          <a:endCxn id="363" idx="0"/>
        </xdr:cNvCxnSpPr>
      </xdr:nvCxnSpPr>
      <xdr:spPr>
        <a:xfrm rot="16200000" flipH="1">
          <a:off x="3911286" y="16643999"/>
          <a:ext cx="1065391" cy="7823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94818</xdr:colOff>
      <xdr:row>85</xdr:row>
      <xdr:rowOff>87763</xdr:rowOff>
    </xdr:from>
    <xdr:to>
      <xdr:col>32</xdr:col>
      <xdr:colOff>42787</xdr:colOff>
      <xdr:row>92</xdr:row>
      <xdr:rowOff>10876</xdr:rowOff>
    </xdr:to>
    <xdr:cxnSp macro="">
      <xdr:nvCxnSpPr>
        <xdr:cNvPr id="476" name="コネクタ: カギ線 475">
          <a:extLst>
            <a:ext uri="{FF2B5EF4-FFF2-40B4-BE49-F238E27FC236}">
              <a16:creationId xmlns:a16="http://schemas.microsoft.com/office/drawing/2014/main" id="{92D06BD0-1E0B-4AA1-BD11-5731AD45EA17}"/>
            </a:ext>
          </a:extLst>
        </xdr:cNvPr>
        <xdr:cNvCxnSpPr>
          <a:cxnSpLocks/>
          <a:stCxn id="563" idx="1"/>
          <a:endCxn id="399" idx="0"/>
        </xdr:cNvCxnSpPr>
      </xdr:nvCxnSpPr>
      <xdr:spPr>
        <a:xfrm rot="10800000" flipV="1">
          <a:off x="4381068" y="14511334"/>
          <a:ext cx="2193148" cy="1161363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193209</xdr:colOff>
      <xdr:row>13</xdr:row>
      <xdr:rowOff>71437</xdr:rowOff>
    </xdr:from>
    <xdr:to>
      <xdr:col>20</xdr:col>
      <xdr:colOff>196894</xdr:colOff>
      <xdr:row>14</xdr:row>
      <xdr:rowOff>0</xdr:rowOff>
    </xdr:to>
    <xdr:cxnSp macro="">
      <xdr:nvCxnSpPr>
        <xdr:cNvPr id="486" name="直線矢印コネクタ 27">
          <a:extLst>
            <a:ext uri="{FF2B5EF4-FFF2-40B4-BE49-F238E27FC236}">
              <a16:creationId xmlns:a16="http://schemas.microsoft.com/office/drawing/2014/main" id="{19D9DFF3-5772-4B11-8B7A-8DADC5C41068}"/>
            </a:ext>
          </a:extLst>
        </xdr:cNvPr>
        <xdr:cNvCxnSpPr>
          <a:cxnSpLocks/>
          <a:stCxn id="496" idx="2"/>
        </xdr:cNvCxnSpPr>
      </xdr:nvCxnSpPr>
      <xdr:spPr>
        <a:xfrm flipH="1">
          <a:off x="4275352" y="12015333"/>
          <a:ext cx="6860" cy="10863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17959</xdr:colOff>
      <xdr:row>14</xdr:row>
      <xdr:rowOff>0</xdr:rowOff>
    </xdr:from>
    <xdr:to>
      <xdr:col>20</xdr:col>
      <xdr:colOff>193210</xdr:colOff>
      <xdr:row>15</xdr:row>
      <xdr:rowOff>85349</xdr:rowOff>
    </xdr:to>
    <xdr:cxnSp macro="">
      <xdr:nvCxnSpPr>
        <xdr:cNvPr id="487" name="コネクタ: カギ線 486">
          <a:extLst>
            <a:ext uri="{FF2B5EF4-FFF2-40B4-BE49-F238E27FC236}">
              <a16:creationId xmlns:a16="http://schemas.microsoft.com/office/drawing/2014/main" id="{540CF2E0-A226-4F3D-A61C-619C226BA0C1}"/>
            </a:ext>
          </a:extLst>
        </xdr:cNvPr>
        <xdr:cNvCxnSpPr>
          <a:cxnSpLocks/>
          <a:endCxn id="509" idx="0"/>
        </xdr:cNvCxnSpPr>
      </xdr:nvCxnSpPr>
      <xdr:spPr>
        <a:xfrm rot="5400000">
          <a:off x="3136537" y="11250565"/>
          <a:ext cx="265417" cy="201221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193449</xdr:colOff>
      <xdr:row>26</xdr:row>
      <xdr:rowOff>132206</xdr:rowOff>
    </xdr:from>
    <xdr:to>
      <xdr:col>24</xdr:col>
      <xdr:colOff>96428</xdr:colOff>
      <xdr:row>29</xdr:row>
      <xdr:rowOff>106671</xdr:rowOff>
    </xdr:to>
    <xdr:grpSp>
      <xdr:nvGrpSpPr>
        <xdr:cNvPr id="488" name="グループ化 487">
          <a:extLst>
            <a:ext uri="{FF2B5EF4-FFF2-40B4-BE49-F238E27FC236}">
              <a16:creationId xmlns:a16="http://schemas.microsoft.com/office/drawing/2014/main" id="{A0AEF5E7-F38A-4F05-8293-CA85B78A0980}"/>
            </a:ext>
          </a:extLst>
        </xdr:cNvPr>
        <xdr:cNvGrpSpPr/>
      </xdr:nvGrpSpPr>
      <xdr:grpSpPr>
        <a:xfrm>
          <a:off x="4025861" y="4842487"/>
          <a:ext cx="1176639" cy="506632"/>
          <a:chOff x="1612900" y="2427475"/>
          <a:chExt cx="933032" cy="404625"/>
        </a:xfrm>
      </xdr:grpSpPr>
      <xdr:sp macro="" textlink="">
        <xdr:nvSpPr>
          <xdr:cNvPr id="489" name="フローチャート: 定義済み処理 488">
            <a:extLst>
              <a:ext uri="{FF2B5EF4-FFF2-40B4-BE49-F238E27FC236}">
                <a16:creationId xmlns:a16="http://schemas.microsoft.com/office/drawing/2014/main" id="{C7C2E015-FFE9-4F2B-9B28-D21CA80EC98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90" name="正方形/長方形 489">
            <a:extLst>
              <a:ext uri="{FF2B5EF4-FFF2-40B4-BE49-F238E27FC236}">
                <a16:creationId xmlns:a16="http://schemas.microsoft.com/office/drawing/2014/main" id="{D76EE770-D7CC-445E-B7EF-693E38EFEAFA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</a:t>
            </a:r>
            <a:r>
              <a:rPr kumimoji="1" lang="ja-JP" altLang="en-US" sz="900"/>
              <a:t>．</a:t>
            </a:r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取り込み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14783</xdr:colOff>
      <xdr:row>18</xdr:row>
      <xdr:rowOff>50618</xdr:rowOff>
    </xdr:from>
    <xdr:to>
      <xdr:col>21</xdr:col>
      <xdr:colOff>168961</xdr:colOff>
      <xdr:row>20</xdr:row>
      <xdr:rowOff>148838</xdr:rowOff>
    </xdr:to>
    <xdr:cxnSp macro="">
      <xdr:nvCxnSpPr>
        <xdr:cNvPr id="491" name="コネクタ: カギ線 490">
          <a:extLst>
            <a:ext uri="{FF2B5EF4-FFF2-40B4-BE49-F238E27FC236}">
              <a16:creationId xmlns:a16="http://schemas.microsoft.com/office/drawing/2014/main" id="{5FD56CFB-AACA-4ACD-88B4-07CC25E3E739}"/>
            </a:ext>
          </a:extLst>
        </xdr:cNvPr>
        <xdr:cNvCxnSpPr>
          <a:cxnSpLocks/>
          <a:stCxn id="509" idx="2"/>
          <a:endCxn id="544" idx="0"/>
        </xdr:cNvCxnSpPr>
      </xdr:nvCxnSpPr>
      <xdr:spPr>
        <a:xfrm rot="16200000" flipH="1">
          <a:off x="3129996" y="12005770"/>
          <a:ext cx="452005" cy="219842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20109</xdr:colOff>
      <xdr:row>33</xdr:row>
      <xdr:rowOff>115198</xdr:rowOff>
    </xdr:from>
    <xdr:to>
      <xdr:col>24</xdr:col>
      <xdr:colOff>125444</xdr:colOff>
      <xdr:row>36</xdr:row>
      <xdr:rowOff>149225</xdr:rowOff>
    </xdr:to>
    <xdr:grpSp>
      <xdr:nvGrpSpPr>
        <xdr:cNvPr id="492" name="グループ化 491">
          <a:extLst>
            <a:ext uri="{FF2B5EF4-FFF2-40B4-BE49-F238E27FC236}">
              <a16:creationId xmlns:a16="http://schemas.microsoft.com/office/drawing/2014/main" id="{383750E0-55FA-4E39-9B0E-7CC701DAFC73}"/>
            </a:ext>
          </a:extLst>
        </xdr:cNvPr>
        <xdr:cNvGrpSpPr/>
      </xdr:nvGrpSpPr>
      <xdr:grpSpPr>
        <a:xfrm>
          <a:off x="4061623" y="6076727"/>
          <a:ext cx="1175608" cy="571910"/>
          <a:chOff x="1612900" y="2427474"/>
          <a:chExt cx="933032" cy="469326"/>
        </a:xfrm>
      </xdr:grpSpPr>
      <xdr:sp macro="" textlink="">
        <xdr:nvSpPr>
          <xdr:cNvPr id="493" name="フローチャート: 定義済み処理 492">
            <a:extLst>
              <a:ext uri="{FF2B5EF4-FFF2-40B4-BE49-F238E27FC236}">
                <a16:creationId xmlns:a16="http://schemas.microsoft.com/office/drawing/2014/main" id="{41282B2D-1517-453E-979B-3CF6EB0E70E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94" name="正方形/長方形 493">
            <a:extLst>
              <a:ext uri="{FF2B5EF4-FFF2-40B4-BE49-F238E27FC236}">
                <a16:creationId xmlns:a16="http://schemas.microsoft.com/office/drawing/2014/main" id="{2BF260F1-821C-44B6-B153-6DC9B9E9DB43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</a:t>
            </a:r>
            <a:r>
              <a:rPr kumimoji="1" lang="ja-JP" altLang="en-US" sz="900"/>
              <a:t>．</a:t>
            </a:r>
            <a:r>
              <a:rPr kumimoji="1" lang="en-US" altLang="ja-JP" sz="900"/>
              <a:t>EB</a:t>
            </a:r>
            <a:r>
              <a:rPr kumimoji="1" lang="ja-JP" altLang="en-US" sz="900"/>
              <a:t>データ取込結果確認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73819</xdr:colOff>
      <xdr:row>10</xdr:row>
      <xdr:rowOff>85080</xdr:rowOff>
    </xdr:from>
    <xdr:to>
      <xdr:col>23</xdr:col>
      <xdr:colOff>130969</xdr:colOff>
      <xdr:row>13</xdr:row>
      <xdr:rowOff>130978</xdr:rowOff>
    </xdr:to>
    <xdr:grpSp>
      <xdr:nvGrpSpPr>
        <xdr:cNvPr id="495" name="グループ化 494">
          <a:extLst>
            <a:ext uri="{FF2B5EF4-FFF2-40B4-BE49-F238E27FC236}">
              <a16:creationId xmlns:a16="http://schemas.microsoft.com/office/drawing/2014/main" id="{86367B42-16C9-48CA-8F89-5CDEC25D5814}"/>
            </a:ext>
          </a:extLst>
        </xdr:cNvPr>
        <xdr:cNvGrpSpPr/>
      </xdr:nvGrpSpPr>
      <xdr:grpSpPr>
        <a:xfrm>
          <a:off x="3906231" y="1924750"/>
          <a:ext cx="1125519" cy="585685"/>
          <a:chOff x="274093" y="5723834"/>
          <a:chExt cx="1046820" cy="560320"/>
        </a:xfrm>
      </xdr:grpSpPr>
      <xdr:sp macro="" textlink="">
        <xdr:nvSpPr>
          <xdr:cNvPr id="496" name="フローチャート: 他ページ結合子 495">
            <a:extLst>
              <a:ext uri="{FF2B5EF4-FFF2-40B4-BE49-F238E27FC236}">
                <a16:creationId xmlns:a16="http://schemas.microsoft.com/office/drawing/2014/main" id="{224DE16C-3481-4FDD-9A1A-BA40ACE89973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97" name="正方形/長方形 48">
            <a:extLst>
              <a:ext uri="{FF2B5EF4-FFF2-40B4-BE49-F238E27FC236}">
                <a16:creationId xmlns:a16="http://schemas.microsoft.com/office/drawing/2014/main" id="{7C77733F-D40E-40B8-B093-0780D07C2549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２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</a:p>
        </xdr:txBody>
      </xdr:sp>
    </xdr:grpSp>
    <xdr:clientData/>
  </xdr:twoCellAnchor>
  <xdr:twoCellAnchor>
    <xdr:from>
      <xdr:col>19</xdr:col>
      <xdr:colOff>118292</xdr:colOff>
      <xdr:row>63</xdr:row>
      <xdr:rowOff>17905</xdr:rowOff>
    </xdr:from>
    <xdr:to>
      <xdr:col>24</xdr:col>
      <xdr:colOff>116705</xdr:colOff>
      <xdr:row>65</xdr:row>
      <xdr:rowOff>134565</xdr:rowOff>
    </xdr:to>
    <xdr:grpSp>
      <xdr:nvGrpSpPr>
        <xdr:cNvPr id="498" name="グループ化 497">
          <a:extLst>
            <a:ext uri="{FF2B5EF4-FFF2-40B4-BE49-F238E27FC236}">
              <a16:creationId xmlns:a16="http://schemas.microsoft.com/office/drawing/2014/main" id="{54956788-8D98-4A07-B68E-7E5009F0512F}"/>
            </a:ext>
          </a:extLst>
        </xdr:cNvPr>
        <xdr:cNvGrpSpPr/>
      </xdr:nvGrpSpPr>
      <xdr:grpSpPr>
        <a:xfrm>
          <a:off x="4165521" y="11362068"/>
          <a:ext cx="1061066" cy="467628"/>
          <a:chOff x="309100" y="5676232"/>
          <a:chExt cx="988512" cy="491455"/>
        </a:xfrm>
      </xdr:grpSpPr>
      <xdr:sp macro="" textlink="">
        <xdr:nvSpPr>
          <xdr:cNvPr id="499" name="フローチャート: 他ページ結合子 498">
            <a:extLst>
              <a:ext uri="{FF2B5EF4-FFF2-40B4-BE49-F238E27FC236}">
                <a16:creationId xmlns:a16="http://schemas.microsoft.com/office/drawing/2014/main" id="{D9A41225-4798-4401-8C0E-1111F7CFB477}"/>
              </a:ext>
            </a:extLst>
          </xdr:cNvPr>
          <xdr:cNvSpPr/>
        </xdr:nvSpPr>
        <xdr:spPr>
          <a:xfrm>
            <a:off x="492124" y="5699794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00" name="正方形/長方形 48">
            <a:extLst>
              <a:ext uri="{FF2B5EF4-FFF2-40B4-BE49-F238E27FC236}">
                <a16:creationId xmlns:a16="http://schemas.microsoft.com/office/drawing/2014/main" id="{083E653A-860F-4CA7-8AC0-8ECF6F98F540}"/>
              </a:ext>
            </a:extLst>
          </xdr:cNvPr>
          <xdr:cNvSpPr/>
        </xdr:nvSpPr>
        <xdr:spPr>
          <a:xfrm>
            <a:off x="309100" y="5676232"/>
            <a:ext cx="988512" cy="4914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入金消込</a:t>
            </a:r>
          </a:p>
        </xdr:txBody>
      </xdr:sp>
    </xdr:grpSp>
    <xdr:clientData/>
  </xdr:twoCellAnchor>
  <xdr:twoCellAnchor>
    <xdr:from>
      <xdr:col>48</xdr:col>
      <xdr:colOff>154828</xdr:colOff>
      <xdr:row>20</xdr:row>
      <xdr:rowOff>38562</xdr:rowOff>
    </xdr:from>
    <xdr:to>
      <xdr:col>53</xdr:col>
      <xdr:colOff>170328</xdr:colOff>
      <xdr:row>24</xdr:row>
      <xdr:rowOff>29754</xdr:rowOff>
    </xdr:to>
    <xdr:grpSp>
      <xdr:nvGrpSpPr>
        <xdr:cNvPr id="501" name="グループ化 500">
          <a:extLst>
            <a:ext uri="{FF2B5EF4-FFF2-40B4-BE49-F238E27FC236}">
              <a16:creationId xmlns:a16="http://schemas.microsoft.com/office/drawing/2014/main" id="{978DFEEE-19B4-4B93-8F30-D3807443C754}"/>
            </a:ext>
          </a:extLst>
        </xdr:cNvPr>
        <xdr:cNvGrpSpPr>
          <a:grpSpLocks noChangeAspect="1"/>
        </xdr:cNvGrpSpPr>
      </xdr:nvGrpSpPr>
      <xdr:grpSpPr>
        <a:xfrm>
          <a:off x="10374593" y="3669268"/>
          <a:ext cx="1083869" cy="706463"/>
          <a:chOff x="7112000" y="2892425"/>
          <a:chExt cx="873125" cy="584982"/>
        </a:xfrm>
      </xdr:grpSpPr>
      <xdr:sp macro="" textlink="">
        <xdr:nvSpPr>
          <xdr:cNvPr id="502" name="フローチャート: 磁気ディスク 501">
            <a:extLst>
              <a:ext uri="{FF2B5EF4-FFF2-40B4-BE49-F238E27FC236}">
                <a16:creationId xmlns:a16="http://schemas.microsoft.com/office/drawing/2014/main" id="{EE3B7FC4-8F8D-4BAB-9630-FD3E5D7E407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03" name="正方形/長方形 502">
            <a:extLst>
              <a:ext uri="{FF2B5EF4-FFF2-40B4-BE49-F238E27FC236}">
                <a16:creationId xmlns:a16="http://schemas.microsoft.com/office/drawing/2014/main" id="{4B7AA557-E3C7-4308-AB66-161E7AEB7A98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銀行システム</a:t>
            </a:r>
          </a:p>
        </xdr:txBody>
      </xdr:sp>
    </xdr:grpSp>
    <xdr:clientData/>
  </xdr:twoCellAnchor>
  <xdr:twoCellAnchor>
    <xdr:from>
      <xdr:col>8</xdr:col>
      <xdr:colOff>65085</xdr:colOff>
      <xdr:row>15</xdr:row>
      <xdr:rowOff>85350</xdr:rowOff>
    </xdr:from>
    <xdr:to>
      <xdr:col>13</xdr:col>
      <xdr:colOff>164506</xdr:colOff>
      <xdr:row>18</xdr:row>
      <xdr:rowOff>50618</xdr:rowOff>
    </xdr:to>
    <xdr:grpSp>
      <xdr:nvGrpSpPr>
        <xdr:cNvPr id="504" name="グループ化 503">
          <a:extLst>
            <a:ext uri="{FF2B5EF4-FFF2-40B4-BE49-F238E27FC236}">
              <a16:creationId xmlns:a16="http://schemas.microsoft.com/office/drawing/2014/main" id="{BFB92C5F-16A5-461A-BA17-E38B46935815}"/>
            </a:ext>
          </a:extLst>
        </xdr:cNvPr>
        <xdr:cNvGrpSpPr/>
      </xdr:nvGrpSpPr>
      <xdr:grpSpPr>
        <a:xfrm>
          <a:off x="1766474" y="2821490"/>
          <a:ext cx="1169695" cy="505056"/>
          <a:chOff x="1612900" y="2439903"/>
          <a:chExt cx="933032" cy="405753"/>
        </a:xfrm>
      </xdr:grpSpPr>
      <xdr:sp macro="" textlink="">
        <xdr:nvSpPr>
          <xdr:cNvPr id="505" name="フローチャート: 処理 504">
            <a:extLst>
              <a:ext uri="{FF2B5EF4-FFF2-40B4-BE49-F238E27FC236}">
                <a16:creationId xmlns:a16="http://schemas.microsoft.com/office/drawing/2014/main" id="{7CE47C5F-6951-4F55-AE4F-378CE64ABEC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6" name="正方形/長方形 48">
            <a:extLst>
              <a:ext uri="{FF2B5EF4-FFF2-40B4-BE49-F238E27FC236}">
                <a16:creationId xmlns:a16="http://schemas.microsoft.com/office/drawing/2014/main" id="{D469BF5E-1BDF-4C5D-933E-F7736E17F900}"/>
              </a:ext>
            </a:extLst>
          </xdr:cNvPr>
          <xdr:cNvSpPr/>
        </xdr:nvSpPr>
        <xdr:spPr>
          <a:xfrm>
            <a:off x="1612900" y="2439903"/>
            <a:ext cx="933032" cy="4057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２．入金情報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提示</a:t>
            </a:r>
            <a:endParaRPr kumimoji="1" lang="en-US" altLang="ja-JP" sz="900"/>
          </a:p>
        </xdr:txBody>
      </xdr:sp>
    </xdr:grpSp>
    <xdr:clientData/>
  </xdr:twoCellAnchor>
  <xdr:twoCellAnchor>
    <xdr:from>
      <xdr:col>8</xdr:col>
      <xdr:colOff>65085</xdr:colOff>
      <xdr:row>15</xdr:row>
      <xdr:rowOff>85350</xdr:rowOff>
    </xdr:from>
    <xdr:to>
      <xdr:col>13</xdr:col>
      <xdr:colOff>164506</xdr:colOff>
      <xdr:row>18</xdr:row>
      <xdr:rowOff>50618</xdr:rowOff>
    </xdr:to>
    <xdr:grpSp>
      <xdr:nvGrpSpPr>
        <xdr:cNvPr id="507" name="グループ化 506">
          <a:extLst>
            <a:ext uri="{FF2B5EF4-FFF2-40B4-BE49-F238E27FC236}">
              <a16:creationId xmlns:a16="http://schemas.microsoft.com/office/drawing/2014/main" id="{874097C3-052F-4B74-9E2D-CC470E583219}"/>
            </a:ext>
          </a:extLst>
        </xdr:cNvPr>
        <xdr:cNvGrpSpPr/>
      </xdr:nvGrpSpPr>
      <xdr:grpSpPr>
        <a:xfrm>
          <a:off x="1766474" y="2821490"/>
          <a:ext cx="1169695" cy="505056"/>
          <a:chOff x="1612900" y="2439903"/>
          <a:chExt cx="933032" cy="405753"/>
        </a:xfrm>
      </xdr:grpSpPr>
      <xdr:sp macro="" textlink="">
        <xdr:nvSpPr>
          <xdr:cNvPr id="508" name="フローチャート: 処理 507">
            <a:extLst>
              <a:ext uri="{FF2B5EF4-FFF2-40B4-BE49-F238E27FC236}">
                <a16:creationId xmlns:a16="http://schemas.microsoft.com/office/drawing/2014/main" id="{9E1F944A-36E1-47BB-B37D-B91905DA5EEB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9" name="正方形/長方形 48">
            <a:extLst>
              <a:ext uri="{FF2B5EF4-FFF2-40B4-BE49-F238E27FC236}">
                <a16:creationId xmlns:a16="http://schemas.microsoft.com/office/drawing/2014/main" id="{5263AF9A-CEBA-4E47-A3ED-9453231C9CAC}"/>
              </a:ext>
            </a:extLst>
          </xdr:cNvPr>
          <xdr:cNvSpPr/>
        </xdr:nvSpPr>
        <xdr:spPr>
          <a:xfrm>
            <a:off x="1612900" y="2439903"/>
            <a:ext cx="933032" cy="4057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</a:t>
            </a:r>
            <a:r>
              <a:rPr kumimoji="1" lang="ja-JP" altLang="en-US" sz="900"/>
              <a:t>．入金情報提示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6397</xdr:colOff>
      <xdr:row>10</xdr:row>
      <xdr:rowOff>152316</xdr:rowOff>
    </xdr:from>
    <xdr:to>
      <xdr:col>27</xdr:col>
      <xdr:colOff>198531</xdr:colOff>
      <xdr:row>14</xdr:row>
      <xdr:rowOff>30126</xdr:rowOff>
    </xdr:to>
    <xdr:grpSp>
      <xdr:nvGrpSpPr>
        <xdr:cNvPr id="510" name="グループ化 509">
          <a:extLst>
            <a:ext uri="{FF2B5EF4-FFF2-40B4-BE49-F238E27FC236}">
              <a16:creationId xmlns:a16="http://schemas.microsoft.com/office/drawing/2014/main" id="{9EB68705-E239-4D05-88FB-3EBA0B401FDD}"/>
            </a:ext>
          </a:extLst>
        </xdr:cNvPr>
        <xdr:cNvGrpSpPr/>
      </xdr:nvGrpSpPr>
      <xdr:grpSpPr>
        <a:xfrm>
          <a:off x="4905273" y="1990081"/>
          <a:ext cx="1043781" cy="593081"/>
          <a:chOff x="274093" y="5723834"/>
          <a:chExt cx="1046820" cy="560320"/>
        </a:xfrm>
      </xdr:grpSpPr>
      <xdr:sp macro="" textlink="">
        <xdr:nvSpPr>
          <xdr:cNvPr id="511" name="フローチャート: 他ページ結合子 510">
            <a:extLst>
              <a:ext uri="{FF2B5EF4-FFF2-40B4-BE49-F238E27FC236}">
                <a16:creationId xmlns:a16="http://schemas.microsoft.com/office/drawing/2014/main" id="{00DA3FFB-B977-4B79-89AF-D632A06CFC0B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12" name="正方形/長方形 48">
            <a:extLst>
              <a:ext uri="{FF2B5EF4-FFF2-40B4-BE49-F238E27FC236}">
                <a16:creationId xmlns:a16="http://schemas.microsoft.com/office/drawing/2014/main" id="{947181A1-98A5-4AA9-B1CC-4457258DA03E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１</a:t>
            </a:r>
            <a:r>
              <a:rPr kumimoji="1" lang="en-US" altLang="ja-JP" sz="900">
                <a:solidFill>
                  <a:sysClr val="windowText" lastClr="000000"/>
                </a:solidFill>
              </a:rPr>
              <a:t>.</a:t>
            </a:r>
            <a:r>
              <a:rPr kumimoji="1" lang="ja-JP" altLang="en-US" sz="900">
                <a:solidFill>
                  <a:sysClr val="windowText" lastClr="000000"/>
                </a:solidFill>
              </a:rPr>
              <a:t>３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</a:p>
        </xdr:txBody>
      </xdr:sp>
    </xdr:grpSp>
    <xdr:clientData/>
  </xdr:twoCellAnchor>
  <xdr:twoCellAnchor>
    <xdr:from>
      <xdr:col>11</xdr:col>
      <xdr:colOff>29184</xdr:colOff>
      <xdr:row>13</xdr:row>
      <xdr:rowOff>141287</xdr:rowOff>
    </xdr:from>
    <xdr:to>
      <xdr:col>25</xdr:col>
      <xdr:colOff>100575</xdr:colOff>
      <xdr:row>15</xdr:row>
      <xdr:rowOff>108557</xdr:rowOff>
    </xdr:to>
    <xdr:cxnSp macro="">
      <xdr:nvCxnSpPr>
        <xdr:cNvPr id="513" name="コネクタ: カギ線 512">
          <a:extLst>
            <a:ext uri="{FF2B5EF4-FFF2-40B4-BE49-F238E27FC236}">
              <a16:creationId xmlns:a16="http://schemas.microsoft.com/office/drawing/2014/main" id="{EF2F9EF1-FBD7-4726-955A-1CDFE3520A83}"/>
            </a:ext>
          </a:extLst>
        </xdr:cNvPr>
        <xdr:cNvCxnSpPr>
          <a:cxnSpLocks/>
          <a:stCxn id="511" idx="2"/>
          <a:endCxn id="508" idx="0"/>
        </xdr:cNvCxnSpPr>
      </xdr:nvCxnSpPr>
      <xdr:spPr>
        <a:xfrm rot="5400000">
          <a:off x="3581456" y="10781265"/>
          <a:ext cx="314706" cy="293524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173863</xdr:colOff>
      <xdr:row>34</xdr:row>
      <xdr:rowOff>114173</xdr:rowOff>
    </xdr:from>
    <xdr:to>
      <xdr:col>53</xdr:col>
      <xdr:colOff>155584</xdr:colOff>
      <xdr:row>38</xdr:row>
      <xdr:rowOff>56783</xdr:rowOff>
    </xdr:to>
    <xdr:grpSp>
      <xdr:nvGrpSpPr>
        <xdr:cNvPr id="514" name="グループ化 513">
          <a:extLst>
            <a:ext uri="{FF2B5EF4-FFF2-40B4-BE49-F238E27FC236}">
              <a16:creationId xmlns:a16="http://schemas.microsoft.com/office/drawing/2014/main" id="{1B9BFD2A-38AC-41F4-B4A7-0938DE39675C}"/>
            </a:ext>
          </a:extLst>
        </xdr:cNvPr>
        <xdr:cNvGrpSpPr>
          <a:grpSpLocks noChangeAspect="1"/>
        </xdr:cNvGrpSpPr>
      </xdr:nvGrpSpPr>
      <xdr:grpSpPr>
        <a:xfrm>
          <a:off x="10389818" y="6254997"/>
          <a:ext cx="1050090" cy="663596"/>
          <a:chOff x="7112000" y="2895019"/>
          <a:chExt cx="873125" cy="582091"/>
        </a:xfrm>
      </xdr:grpSpPr>
      <xdr:sp macro="" textlink="">
        <xdr:nvSpPr>
          <xdr:cNvPr id="515" name="フローチャート: 磁気ディスク 514">
            <a:extLst>
              <a:ext uri="{FF2B5EF4-FFF2-40B4-BE49-F238E27FC236}">
                <a16:creationId xmlns:a16="http://schemas.microsoft.com/office/drawing/2014/main" id="{7BD29C8E-C530-419D-ABAF-FBDF96DCB7BC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16" name="正方形/長方形 515">
            <a:extLst>
              <a:ext uri="{FF2B5EF4-FFF2-40B4-BE49-F238E27FC236}">
                <a16:creationId xmlns:a16="http://schemas.microsoft.com/office/drawing/2014/main" id="{7444BF22-BCD0-4588-A51E-3F7EEE5524F1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171928</xdr:colOff>
      <xdr:row>32</xdr:row>
      <xdr:rowOff>97759</xdr:rowOff>
    </xdr:from>
    <xdr:to>
      <xdr:col>53</xdr:col>
      <xdr:colOff>183016</xdr:colOff>
      <xdr:row>36</xdr:row>
      <xdr:rowOff>185</xdr:rowOff>
    </xdr:to>
    <xdr:grpSp>
      <xdr:nvGrpSpPr>
        <xdr:cNvPr id="518" name="グループ化 517">
          <a:extLst>
            <a:ext uri="{FF2B5EF4-FFF2-40B4-BE49-F238E27FC236}">
              <a16:creationId xmlns:a16="http://schemas.microsoft.com/office/drawing/2014/main" id="{1307F4BE-00C0-4D76-9FC4-E4839593210A}"/>
            </a:ext>
          </a:extLst>
        </xdr:cNvPr>
        <xdr:cNvGrpSpPr/>
      </xdr:nvGrpSpPr>
      <xdr:grpSpPr>
        <a:xfrm>
          <a:off x="10387883" y="5876184"/>
          <a:ext cx="1077552" cy="623413"/>
          <a:chOff x="7113907" y="2892425"/>
          <a:chExt cx="917588" cy="591189"/>
        </a:xfrm>
      </xdr:grpSpPr>
      <xdr:sp macro="" textlink="">
        <xdr:nvSpPr>
          <xdr:cNvPr id="519" name="フローチャート: 磁気ディスク 518">
            <a:extLst>
              <a:ext uri="{FF2B5EF4-FFF2-40B4-BE49-F238E27FC236}">
                <a16:creationId xmlns:a16="http://schemas.microsoft.com/office/drawing/2014/main" id="{44EB5925-25DC-48C0-A04E-FCBCF59223E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20" name="正方形/長方形 519">
            <a:extLst>
              <a:ext uri="{FF2B5EF4-FFF2-40B4-BE49-F238E27FC236}">
                <a16:creationId xmlns:a16="http://schemas.microsoft.com/office/drawing/2014/main" id="{1138148D-5873-4925-8080-3361B852E042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24</xdr:col>
      <xdr:colOff>144733</xdr:colOff>
      <xdr:row>52</xdr:row>
      <xdr:rowOff>82939</xdr:rowOff>
    </xdr:from>
    <xdr:to>
      <xdr:col>48</xdr:col>
      <xdr:colOff>121581</xdr:colOff>
      <xdr:row>53</xdr:row>
      <xdr:rowOff>71980</xdr:rowOff>
    </xdr:to>
    <xdr:cxnSp macro="">
      <xdr:nvCxnSpPr>
        <xdr:cNvPr id="521" name="コネクタ: カギ線 520">
          <a:extLst>
            <a:ext uri="{FF2B5EF4-FFF2-40B4-BE49-F238E27FC236}">
              <a16:creationId xmlns:a16="http://schemas.microsoft.com/office/drawing/2014/main" id="{14A2BE20-FD1E-44AE-97B1-BDBC167D6A34}"/>
            </a:ext>
          </a:extLst>
        </xdr:cNvPr>
        <xdr:cNvCxnSpPr>
          <a:cxnSpLocks/>
          <a:stCxn id="532" idx="3"/>
          <a:endCxn id="538" idx="1"/>
        </xdr:cNvCxnSpPr>
      </xdr:nvCxnSpPr>
      <xdr:spPr>
        <a:xfrm flipV="1">
          <a:off x="4985674" y="8285645"/>
          <a:ext cx="4817789" cy="157129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72938</xdr:colOff>
      <xdr:row>34</xdr:row>
      <xdr:rowOff>94077</xdr:rowOff>
    </xdr:from>
    <xdr:to>
      <xdr:col>48</xdr:col>
      <xdr:colOff>171928</xdr:colOff>
      <xdr:row>35</xdr:row>
      <xdr:rowOff>26601</xdr:rowOff>
    </xdr:to>
    <xdr:cxnSp macro="">
      <xdr:nvCxnSpPr>
        <xdr:cNvPr id="522" name="コネクタ: カギ線 521">
          <a:extLst>
            <a:ext uri="{FF2B5EF4-FFF2-40B4-BE49-F238E27FC236}">
              <a16:creationId xmlns:a16="http://schemas.microsoft.com/office/drawing/2014/main" id="{4B509C95-AF79-45D2-933C-E68F274B5668}"/>
            </a:ext>
          </a:extLst>
        </xdr:cNvPr>
        <xdr:cNvCxnSpPr>
          <a:cxnSpLocks/>
          <a:stCxn id="520" idx="1"/>
          <a:endCxn id="493" idx="3"/>
        </xdr:cNvCxnSpPr>
      </xdr:nvCxnSpPr>
      <xdr:spPr>
        <a:xfrm rot="10800000" flipV="1">
          <a:off x="4907697" y="6023663"/>
          <a:ext cx="4933748" cy="103317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159334</xdr:colOff>
      <xdr:row>38</xdr:row>
      <xdr:rowOff>83244</xdr:rowOff>
    </xdr:from>
    <xdr:to>
      <xdr:col>24</xdr:col>
      <xdr:colOff>20849</xdr:colOff>
      <xdr:row>41</xdr:row>
      <xdr:rowOff>141790</xdr:rowOff>
    </xdr:to>
    <xdr:grpSp>
      <xdr:nvGrpSpPr>
        <xdr:cNvPr id="523" name="グループ化 522">
          <a:extLst>
            <a:ext uri="{FF2B5EF4-FFF2-40B4-BE49-F238E27FC236}">
              <a16:creationId xmlns:a16="http://schemas.microsoft.com/office/drawing/2014/main" id="{A89ABC29-76CD-4A79-9FCF-F628BA32F7FC}"/>
            </a:ext>
          </a:extLst>
        </xdr:cNvPr>
        <xdr:cNvGrpSpPr/>
      </xdr:nvGrpSpPr>
      <xdr:grpSpPr>
        <a:xfrm>
          <a:off x="4206563" y="6943149"/>
          <a:ext cx="920358" cy="592618"/>
          <a:chOff x="368300" y="4817112"/>
          <a:chExt cx="844550" cy="595592"/>
        </a:xfrm>
      </xdr:grpSpPr>
      <xdr:sp macro="" textlink="">
        <xdr:nvSpPr>
          <xdr:cNvPr id="524" name="フローチャート: 判断 523">
            <a:extLst>
              <a:ext uri="{FF2B5EF4-FFF2-40B4-BE49-F238E27FC236}">
                <a16:creationId xmlns:a16="http://schemas.microsoft.com/office/drawing/2014/main" id="{DF37D526-2EB8-4C7E-9064-ED5267132190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5" name="正方形/長方形 524">
            <a:extLst>
              <a:ext uri="{FF2B5EF4-FFF2-40B4-BE49-F238E27FC236}">
                <a16:creationId xmlns:a16="http://schemas.microsoft.com/office/drawing/2014/main" id="{262897B6-7FD1-4DDC-917E-6071F46C63AB}"/>
              </a:ext>
            </a:extLst>
          </xdr:cNvPr>
          <xdr:cNvSpPr/>
        </xdr:nvSpPr>
        <xdr:spPr>
          <a:xfrm>
            <a:off x="444271" y="4817112"/>
            <a:ext cx="701407" cy="5955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エラー</a:t>
            </a:r>
            <a:endParaRPr kumimoji="1" lang="en-US" altLang="ja-JP" sz="900"/>
          </a:p>
        </xdr:txBody>
      </xdr:sp>
    </xdr:grpSp>
    <xdr:clientData/>
  </xdr:twoCellAnchor>
  <xdr:twoCellAnchor>
    <xdr:from>
      <xdr:col>24</xdr:col>
      <xdr:colOff>96428</xdr:colOff>
      <xdr:row>28</xdr:row>
      <xdr:rowOff>31209</xdr:rowOff>
    </xdr:from>
    <xdr:to>
      <xdr:col>51</xdr:col>
      <xdr:colOff>59087</xdr:colOff>
      <xdr:row>32</xdr:row>
      <xdr:rowOff>97759</xdr:rowOff>
    </xdr:to>
    <xdr:cxnSp macro="">
      <xdr:nvCxnSpPr>
        <xdr:cNvPr id="526" name="コネクタ: カギ線 525">
          <a:extLst>
            <a:ext uri="{FF2B5EF4-FFF2-40B4-BE49-F238E27FC236}">
              <a16:creationId xmlns:a16="http://schemas.microsoft.com/office/drawing/2014/main" id="{D8B4CA8A-B8C4-4197-BFB2-EC0A11DA9C7D}"/>
            </a:ext>
          </a:extLst>
        </xdr:cNvPr>
        <xdr:cNvCxnSpPr>
          <a:cxnSpLocks/>
          <a:stCxn id="490" idx="3"/>
          <a:endCxn id="519" idx="1"/>
        </xdr:cNvCxnSpPr>
      </xdr:nvCxnSpPr>
      <xdr:spPr>
        <a:xfrm>
          <a:off x="4937369" y="4872150"/>
          <a:ext cx="5408718" cy="738903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188893</xdr:colOff>
      <xdr:row>36</xdr:row>
      <xdr:rowOff>73898</xdr:rowOff>
    </xdr:from>
    <xdr:to>
      <xdr:col>21</xdr:col>
      <xdr:colOff>190816</xdr:colOff>
      <xdr:row>38</xdr:row>
      <xdr:rowOff>110024</xdr:rowOff>
    </xdr:to>
    <xdr:cxnSp macro="">
      <xdr:nvCxnSpPr>
        <xdr:cNvPr id="527" name="コネクタ: カギ線 526">
          <a:extLst>
            <a:ext uri="{FF2B5EF4-FFF2-40B4-BE49-F238E27FC236}">
              <a16:creationId xmlns:a16="http://schemas.microsoft.com/office/drawing/2014/main" id="{5F0415CA-9A3F-4536-990E-EA0BEC2E5380}"/>
            </a:ext>
          </a:extLst>
        </xdr:cNvPr>
        <xdr:cNvCxnSpPr>
          <a:cxnSpLocks/>
          <a:stCxn id="493" idx="2"/>
          <a:endCxn id="524" idx="0"/>
        </xdr:cNvCxnSpPr>
      </xdr:nvCxnSpPr>
      <xdr:spPr>
        <a:xfrm rot="16200000" flipH="1">
          <a:off x="4231412" y="6532965"/>
          <a:ext cx="377713" cy="192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121663</xdr:colOff>
      <xdr:row>41</xdr:row>
      <xdr:rowOff>36846</xdr:rowOff>
    </xdr:from>
    <xdr:to>
      <xdr:col>24</xdr:col>
      <xdr:colOff>28775</xdr:colOff>
      <xdr:row>42</xdr:row>
      <xdr:rowOff>138977</xdr:rowOff>
    </xdr:to>
    <xdr:sp macro="" textlink="">
      <xdr:nvSpPr>
        <xdr:cNvPr id="528" name="テキスト ボックス 527">
          <a:extLst>
            <a:ext uri="{FF2B5EF4-FFF2-40B4-BE49-F238E27FC236}">
              <a16:creationId xmlns:a16="http://schemas.microsoft.com/office/drawing/2014/main" id="{29FC30B3-E725-4E34-9CAB-A98A88947B1D}"/>
            </a:ext>
          </a:extLst>
        </xdr:cNvPr>
        <xdr:cNvSpPr txBox="1"/>
      </xdr:nvSpPr>
      <xdr:spPr>
        <a:xfrm>
          <a:off x="4559192" y="7062934"/>
          <a:ext cx="310524" cy="270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有</a:t>
          </a:r>
        </a:p>
      </xdr:txBody>
    </xdr:sp>
    <xdr:clientData/>
  </xdr:twoCellAnchor>
  <xdr:twoCellAnchor>
    <xdr:from>
      <xdr:col>18</xdr:col>
      <xdr:colOff>146448</xdr:colOff>
      <xdr:row>37</xdr:row>
      <xdr:rowOff>131242</xdr:rowOff>
    </xdr:from>
    <xdr:to>
      <xdr:col>20</xdr:col>
      <xdr:colOff>47984</xdr:colOff>
      <xdr:row>39</xdr:row>
      <xdr:rowOff>70915</xdr:rowOff>
    </xdr:to>
    <xdr:sp macro="" textlink="">
      <xdr:nvSpPr>
        <xdr:cNvPr id="529" name="テキスト ボックス 528">
          <a:extLst>
            <a:ext uri="{FF2B5EF4-FFF2-40B4-BE49-F238E27FC236}">
              <a16:creationId xmlns:a16="http://schemas.microsoft.com/office/drawing/2014/main" id="{B7FD55C7-F54B-4686-9457-6A9DC7D93D8B}"/>
            </a:ext>
          </a:extLst>
        </xdr:cNvPr>
        <xdr:cNvSpPr txBox="1"/>
      </xdr:nvSpPr>
      <xdr:spPr>
        <a:xfrm>
          <a:off x="3777154" y="6484977"/>
          <a:ext cx="304948" cy="275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無</a:t>
          </a:r>
        </a:p>
      </xdr:txBody>
    </xdr:sp>
    <xdr:clientData/>
  </xdr:twoCellAnchor>
  <xdr:twoCellAnchor>
    <xdr:from>
      <xdr:col>19</xdr:col>
      <xdr:colOff>28121</xdr:colOff>
      <xdr:row>51</xdr:row>
      <xdr:rowOff>140597</xdr:rowOff>
    </xdr:from>
    <xdr:to>
      <xdr:col>24</xdr:col>
      <xdr:colOff>141558</xdr:colOff>
      <xdr:row>54</xdr:row>
      <xdr:rowOff>168275</xdr:rowOff>
    </xdr:to>
    <xdr:grpSp>
      <xdr:nvGrpSpPr>
        <xdr:cNvPr id="530" name="グループ化 529">
          <a:extLst>
            <a:ext uri="{FF2B5EF4-FFF2-40B4-BE49-F238E27FC236}">
              <a16:creationId xmlns:a16="http://schemas.microsoft.com/office/drawing/2014/main" id="{347EC5AC-8C31-4860-9BB7-9FEB39FFC047}"/>
            </a:ext>
          </a:extLst>
        </xdr:cNvPr>
        <xdr:cNvGrpSpPr/>
      </xdr:nvGrpSpPr>
      <xdr:grpSpPr>
        <a:xfrm>
          <a:off x="4071540" y="9325611"/>
          <a:ext cx="1177995" cy="573180"/>
          <a:chOff x="1612900" y="2427474"/>
          <a:chExt cx="933032" cy="469326"/>
        </a:xfrm>
      </xdr:grpSpPr>
      <xdr:sp macro="" textlink="">
        <xdr:nvSpPr>
          <xdr:cNvPr id="531" name="フローチャート: 定義済み処理 530">
            <a:extLst>
              <a:ext uri="{FF2B5EF4-FFF2-40B4-BE49-F238E27FC236}">
                <a16:creationId xmlns:a16="http://schemas.microsoft.com/office/drawing/2014/main" id="{8DAAB069-1B4B-487A-85B0-7DA7FBEF61FD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2" name="正方形/長方形 531">
            <a:extLst>
              <a:ext uri="{FF2B5EF4-FFF2-40B4-BE49-F238E27FC236}">
                <a16:creationId xmlns:a16="http://schemas.microsoft.com/office/drawing/2014/main" id="{7C3B3460-4539-458A-98E1-15B0FAF8F5CD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6.</a:t>
            </a:r>
            <a:r>
              <a:rPr kumimoji="1" lang="ja-JP" altLang="en-US" sz="900"/>
              <a:t>入金入力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117112</xdr:colOff>
      <xdr:row>52</xdr:row>
      <xdr:rowOff>65134</xdr:rowOff>
    </xdr:from>
    <xdr:to>
      <xdr:col>53</xdr:col>
      <xdr:colOff>111533</xdr:colOff>
      <xdr:row>56</xdr:row>
      <xdr:rowOff>2302</xdr:rowOff>
    </xdr:to>
    <xdr:grpSp>
      <xdr:nvGrpSpPr>
        <xdr:cNvPr id="533" name="グループ化 532">
          <a:extLst>
            <a:ext uri="{FF2B5EF4-FFF2-40B4-BE49-F238E27FC236}">
              <a16:creationId xmlns:a16="http://schemas.microsoft.com/office/drawing/2014/main" id="{B0560BB3-26AC-4F38-9BEE-017EEB2D3BFB}"/>
            </a:ext>
          </a:extLst>
        </xdr:cNvPr>
        <xdr:cNvGrpSpPr>
          <a:grpSpLocks noChangeAspect="1"/>
        </xdr:cNvGrpSpPr>
      </xdr:nvGrpSpPr>
      <xdr:grpSpPr>
        <a:xfrm>
          <a:off x="10336877" y="9431347"/>
          <a:ext cx="1058980" cy="656249"/>
          <a:chOff x="7112000" y="2895019"/>
          <a:chExt cx="873125" cy="582091"/>
        </a:xfrm>
      </xdr:grpSpPr>
      <xdr:sp macro="" textlink="">
        <xdr:nvSpPr>
          <xdr:cNvPr id="534" name="フローチャート: 磁気ディスク 533">
            <a:extLst>
              <a:ext uri="{FF2B5EF4-FFF2-40B4-BE49-F238E27FC236}">
                <a16:creationId xmlns:a16="http://schemas.microsoft.com/office/drawing/2014/main" id="{15718C84-D8AB-48D3-942B-5A95E88F89C2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35" name="正方形/長方形 534">
            <a:extLst>
              <a:ext uri="{FF2B5EF4-FFF2-40B4-BE49-F238E27FC236}">
                <a16:creationId xmlns:a16="http://schemas.microsoft.com/office/drawing/2014/main" id="{3AB8B68D-50E4-4855-8C45-ECEDFB3D0421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124756</xdr:colOff>
      <xdr:row>50</xdr:row>
      <xdr:rowOff>88688</xdr:rowOff>
    </xdr:from>
    <xdr:to>
      <xdr:col>53</xdr:col>
      <xdr:colOff>123144</xdr:colOff>
      <xdr:row>53</xdr:row>
      <xdr:rowOff>162565</xdr:rowOff>
    </xdr:to>
    <xdr:grpSp>
      <xdr:nvGrpSpPr>
        <xdr:cNvPr id="536" name="グループ化 535">
          <a:extLst>
            <a:ext uri="{FF2B5EF4-FFF2-40B4-BE49-F238E27FC236}">
              <a16:creationId xmlns:a16="http://schemas.microsoft.com/office/drawing/2014/main" id="{B0246621-D9AF-457E-A5AA-EE41DF92F5E6}"/>
            </a:ext>
          </a:extLst>
        </xdr:cNvPr>
        <xdr:cNvGrpSpPr/>
      </xdr:nvGrpSpPr>
      <xdr:grpSpPr>
        <a:xfrm>
          <a:off x="10346426" y="9102027"/>
          <a:ext cx="1062947" cy="609855"/>
          <a:chOff x="7113907" y="2892425"/>
          <a:chExt cx="917588" cy="591189"/>
        </a:xfrm>
      </xdr:grpSpPr>
      <xdr:sp macro="" textlink="">
        <xdr:nvSpPr>
          <xdr:cNvPr id="537" name="フローチャート: 磁気ディスク 536">
            <a:extLst>
              <a:ext uri="{FF2B5EF4-FFF2-40B4-BE49-F238E27FC236}">
                <a16:creationId xmlns:a16="http://schemas.microsoft.com/office/drawing/2014/main" id="{969B363D-6116-4EC1-8E0F-18D3726B52C1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38" name="正方形/長方形 537">
            <a:extLst>
              <a:ext uri="{FF2B5EF4-FFF2-40B4-BE49-F238E27FC236}">
                <a16:creationId xmlns:a16="http://schemas.microsoft.com/office/drawing/2014/main" id="{06CDC580-E471-42BC-96A3-3BB6F9AC0696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46</xdr:col>
      <xdr:colOff>99352</xdr:colOff>
      <xdr:row>55</xdr:row>
      <xdr:rowOff>117758</xdr:rowOff>
    </xdr:from>
    <xdr:to>
      <xdr:col>51</xdr:col>
      <xdr:colOff>7517</xdr:colOff>
      <xdr:row>60</xdr:row>
      <xdr:rowOff>31597</xdr:rowOff>
    </xdr:to>
    <xdr:cxnSp macro="">
      <xdr:nvCxnSpPr>
        <xdr:cNvPr id="539" name="コネクタ: カギ線 538">
          <a:extLst>
            <a:ext uri="{FF2B5EF4-FFF2-40B4-BE49-F238E27FC236}">
              <a16:creationId xmlns:a16="http://schemas.microsoft.com/office/drawing/2014/main" id="{E5D92D1E-18D6-4055-BF49-F9B8E40511B9}"/>
            </a:ext>
          </a:extLst>
        </xdr:cNvPr>
        <xdr:cNvCxnSpPr>
          <a:cxnSpLocks/>
          <a:stCxn id="534" idx="3"/>
          <a:endCxn id="201" idx="4"/>
        </xdr:cNvCxnSpPr>
      </xdr:nvCxnSpPr>
      <xdr:spPr>
        <a:xfrm rot="5400000">
          <a:off x="9459030" y="9415875"/>
          <a:ext cx="754280" cy="916694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159334</xdr:colOff>
      <xdr:row>40</xdr:row>
      <xdr:rowOff>2549</xdr:rowOff>
    </xdr:from>
    <xdr:to>
      <xdr:col>22</xdr:col>
      <xdr:colOff>5521</xdr:colOff>
      <xdr:row>58</xdr:row>
      <xdr:rowOff>126999</xdr:rowOff>
    </xdr:to>
    <xdr:cxnSp macro="">
      <xdr:nvCxnSpPr>
        <xdr:cNvPr id="540" name="コネクタ: カギ線 539">
          <a:extLst>
            <a:ext uri="{FF2B5EF4-FFF2-40B4-BE49-F238E27FC236}">
              <a16:creationId xmlns:a16="http://schemas.microsoft.com/office/drawing/2014/main" id="{0979445E-B66D-4528-BD74-7FD6018C4FF9}"/>
            </a:ext>
          </a:extLst>
        </xdr:cNvPr>
        <xdr:cNvCxnSpPr>
          <a:cxnSpLocks/>
          <a:stCxn id="524" idx="1"/>
        </xdr:cNvCxnSpPr>
      </xdr:nvCxnSpPr>
      <xdr:spPr>
        <a:xfrm rot="10800000" flipH="1" flipV="1">
          <a:off x="4041117" y="6959940"/>
          <a:ext cx="459100" cy="3205581"/>
        </a:xfrm>
        <a:prstGeom prst="bentConnector4">
          <a:avLst>
            <a:gd name="adj1" fmla="val -49793"/>
            <a:gd name="adj2" fmla="val 99999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190816</xdr:colOff>
      <xdr:row>41</xdr:row>
      <xdr:rowOff>66345</xdr:rowOff>
    </xdr:from>
    <xdr:to>
      <xdr:col>21</xdr:col>
      <xdr:colOff>200021</xdr:colOff>
      <xdr:row>45</xdr:row>
      <xdr:rowOff>46068</xdr:rowOff>
    </xdr:to>
    <xdr:cxnSp macro="">
      <xdr:nvCxnSpPr>
        <xdr:cNvPr id="541" name="コネクタ: カギ線 540">
          <a:extLst>
            <a:ext uri="{FF2B5EF4-FFF2-40B4-BE49-F238E27FC236}">
              <a16:creationId xmlns:a16="http://schemas.microsoft.com/office/drawing/2014/main" id="{0B8A4517-8B9B-4A7A-9EE5-1959C8E0A7D0}"/>
            </a:ext>
          </a:extLst>
        </xdr:cNvPr>
        <xdr:cNvCxnSpPr>
          <a:cxnSpLocks/>
          <a:stCxn id="524" idx="2"/>
          <a:endCxn id="324" idx="0"/>
        </xdr:cNvCxnSpPr>
      </xdr:nvCxnSpPr>
      <xdr:spPr>
        <a:xfrm rot="16200000" flipH="1">
          <a:off x="4094385" y="7518328"/>
          <a:ext cx="662895" cy="920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202068</xdr:colOff>
      <xdr:row>54</xdr:row>
      <xdr:rowOff>93927</xdr:rowOff>
    </xdr:from>
    <xdr:to>
      <xdr:col>22</xdr:col>
      <xdr:colOff>15900</xdr:colOff>
      <xdr:row>63</xdr:row>
      <xdr:rowOff>17904</xdr:rowOff>
    </xdr:to>
    <xdr:cxnSp macro="">
      <xdr:nvCxnSpPr>
        <xdr:cNvPr id="542" name="コネクタ: カギ線 541">
          <a:extLst>
            <a:ext uri="{FF2B5EF4-FFF2-40B4-BE49-F238E27FC236}">
              <a16:creationId xmlns:a16="http://schemas.microsoft.com/office/drawing/2014/main" id="{F790D922-3F03-43EB-96BE-59F6115ED719}"/>
            </a:ext>
          </a:extLst>
        </xdr:cNvPr>
        <xdr:cNvCxnSpPr>
          <a:cxnSpLocks/>
          <a:stCxn id="531" idx="2"/>
          <a:endCxn id="500" idx="0"/>
        </xdr:cNvCxnSpPr>
      </xdr:nvCxnSpPr>
      <xdr:spPr>
        <a:xfrm rot="16200000" flipH="1">
          <a:off x="3748352" y="10143900"/>
          <a:ext cx="1458863" cy="1703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190500</xdr:colOff>
      <xdr:row>20</xdr:row>
      <xdr:rowOff>114300</xdr:rowOff>
    </xdr:from>
    <xdr:to>
      <xdr:col>24</xdr:col>
      <xdr:colOff>116265</xdr:colOff>
      <xdr:row>23</xdr:row>
      <xdr:rowOff>69342</xdr:rowOff>
    </xdr:to>
    <xdr:grpSp>
      <xdr:nvGrpSpPr>
        <xdr:cNvPr id="543" name="グループ化 542">
          <a:extLst>
            <a:ext uri="{FF2B5EF4-FFF2-40B4-BE49-F238E27FC236}">
              <a16:creationId xmlns:a16="http://schemas.microsoft.com/office/drawing/2014/main" id="{17E6E1E3-E7EB-4ED6-9E30-E006DC22562C}"/>
            </a:ext>
          </a:extLst>
        </xdr:cNvPr>
        <xdr:cNvGrpSpPr/>
      </xdr:nvGrpSpPr>
      <xdr:grpSpPr>
        <a:xfrm>
          <a:off x="4022912" y="3745006"/>
          <a:ext cx="1203235" cy="491019"/>
          <a:chOff x="1612900" y="2427475"/>
          <a:chExt cx="933032" cy="404625"/>
        </a:xfrm>
      </xdr:grpSpPr>
      <xdr:sp macro="" textlink="">
        <xdr:nvSpPr>
          <xdr:cNvPr id="544" name="フローチャート: 定義済み処理 543">
            <a:extLst>
              <a:ext uri="{FF2B5EF4-FFF2-40B4-BE49-F238E27FC236}">
                <a16:creationId xmlns:a16="http://schemas.microsoft.com/office/drawing/2014/main" id="{78E6203E-D546-4DDA-BE33-F76B3D648DC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45" name="正方形/長方形 544">
            <a:extLst>
              <a:ext uri="{FF2B5EF4-FFF2-40B4-BE49-F238E27FC236}">
                <a16:creationId xmlns:a16="http://schemas.microsoft.com/office/drawing/2014/main" id="{237EAE11-4F94-44F8-9956-2F32B1B57220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</a:t>
            </a:r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ダウンロード</a:t>
            </a:r>
            <a:endParaRPr kumimoji="1" lang="en-US" altLang="ja-JP" sz="900"/>
          </a:p>
        </xdr:txBody>
      </xdr:sp>
    </xdr:grpSp>
    <xdr:clientData/>
  </xdr:twoCellAnchor>
  <xdr:twoCellAnchor>
    <xdr:from>
      <xdr:col>24</xdr:col>
      <xdr:colOff>63131</xdr:colOff>
      <xdr:row>22</xdr:row>
      <xdr:rowOff>4692</xdr:rowOff>
    </xdr:from>
    <xdr:to>
      <xdr:col>49</xdr:col>
      <xdr:colOff>61905</xdr:colOff>
      <xdr:row>22</xdr:row>
      <xdr:rowOff>23483</xdr:rowOff>
    </xdr:to>
    <xdr:cxnSp macro="">
      <xdr:nvCxnSpPr>
        <xdr:cNvPr id="546" name="直線矢印コネクタ 545">
          <a:extLst>
            <a:ext uri="{FF2B5EF4-FFF2-40B4-BE49-F238E27FC236}">
              <a16:creationId xmlns:a16="http://schemas.microsoft.com/office/drawing/2014/main" id="{A649AFD4-7403-4554-A467-D1C5FB34ED77}"/>
            </a:ext>
          </a:extLst>
        </xdr:cNvPr>
        <xdr:cNvCxnSpPr>
          <a:cxnSpLocks/>
          <a:stCxn id="502" idx="2"/>
          <a:endCxn id="544" idx="3"/>
        </xdr:cNvCxnSpPr>
      </xdr:nvCxnSpPr>
      <xdr:spPr>
        <a:xfrm flipH="1">
          <a:off x="4964877" y="13546974"/>
          <a:ext cx="5101453" cy="1879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159987</xdr:colOff>
      <xdr:row>22</xdr:row>
      <xdr:rowOff>115525</xdr:rowOff>
    </xdr:from>
    <xdr:to>
      <xdr:col>28</xdr:col>
      <xdr:colOff>183312</xdr:colOff>
      <xdr:row>25</xdr:row>
      <xdr:rowOff>7649</xdr:rowOff>
    </xdr:to>
    <xdr:grpSp>
      <xdr:nvGrpSpPr>
        <xdr:cNvPr id="547" name="グループ化 546">
          <a:extLst>
            <a:ext uri="{FF2B5EF4-FFF2-40B4-BE49-F238E27FC236}">
              <a16:creationId xmlns:a16="http://schemas.microsoft.com/office/drawing/2014/main" id="{D0E756F2-98E8-47AF-B365-963FD6F8F419}"/>
            </a:ext>
          </a:extLst>
        </xdr:cNvPr>
        <xdr:cNvGrpSpPr/>
      </xdr:nvGrpSpPr>
      <xdr:grpSpPr>
        <a:xfrm>
          <a:off x="5058863" y="4104819"/>
          <a:ext cx="1084073" cy="431911"/>
          <a:chOff x="4305300" y="5730875"/>
          <a:chExt cx="1003300" cy="425450"/>
        </a:xfrm>
      </xdr:grpSpPr>
      <xdr:sp macro="" textlink="">
        <xdr:nvSpPr>
          <xdr:cNvPr id="548" name="AutoShape 49">
            <a:extLst>
              <a:ext uri="{FF2B5EF4-FFF2-40B4-BE49-F238E27FC236}">
                <a16:creationId xmlns:a16="http://schemas.microsoft.com/office/drawing/2014/main" id="{9FB1E149-39E4-472A-8B10-2F37C601C1ED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549" name="正方形/長方形 48">
            <a:extLst>
              <a:ext uri="{FF2B5EF4-FFF2-40B4-BE49-F238E27FC236}">
                <a16:creationId xmlns:a16="http://schemas.microsoft.com/office/drawing/2014/main" id="{447D4031-A49C-4F71-A4F0-C5FEC84261F3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</a:p>
        </xdr:txBody>
      </xdr:sp>
    </xdr:grpSp>
    <xdr:clientData/>
  </xdr:twoCellAnchor>
  <xdr:twoCellAnchor>
    <xdr:from>
      <xdr:col>21</xdr:col>
      <xdr:colOff>144940</xdr:colOff>
      <xdr:row>29</xdr:row>
      <xdr:rowOff>101349</xdr:rowOff>
    </xdr:from>
    <xdr:to>
      <xdr:col>21</xdr:col>
      <xdr:colOff>188894</xdr:colOff>
      <xdr:row>33</xdr:row>
      <xdr:rowOff>150096</xdr:rowOff>
    </xdr:to>
    <xdr:cxnSp macro="">
      <xdr:nvCxnSpPr>
        <xdr:cNvPr id="550" name="コネクタ: カギ線 549">
          <a:extLst>
            <a:ext uri="{FF2B5EF4-FFF2-40B4-BE49-F238E27FC236}">
              <a16:creationId xmlns:a16="http://schemas.microsoft.com/office/drawing/2014/main" id="{8A0B4072-9A26-47F5-B30E-63567A4E1B32}"/>
            </a:ext>
          </a:extLst>
        </xdr:cNvPr>
        <xdr:cNvCxnSpPr>
          <a:cxnSpLocks/>
          <a:stCxn id="490" idx="2"/>
          <a:endCxn id="493" idx="0"/>
        </xdr:cNvCxnSpPr>
      </xdr:nvCxnSpPr>
      <xdr:spPr>
        <a:xfrm rot="16200000" flipH="1">
          <a:off x="4031371" y="5520953"/>
          <a:ext cx="731919" cy="4395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144939</xdr:colOff>
      <xdr:row>23</xdr:row>
      <xdr:rowOff>64212</xdr:rowOff>
    </xdr:from>
    <xdr:to>
      <xdr:col>21</xdr:col>
      <xdr:colOff>153383</xdr:colOff>
      <xdr:row>26</xdr:row>
      <xdr:rowOff>132206</xdr:rowOff>
    </xdr:to>
    <xdr:cxnSp macro="">
      <xdr:nvCxnSpPr>
        <xdr:cNvPr id="551" name="コネクタ: カギ線 550">
          <a:extLst>
            <a:ext uri="{FF2B5EF4-FFF2-40B4-BE49-F238E27FC236}">
              <a16:creationId xmlns:a16="http://schemas.microsoft.com/office/drawing/2014/main" id="{8250E6EA-13A5-4646-B539-BEBB5272EDBB}"/>
            </a:ext>
          </a:extLst>
        </xdr:cNvPr>
        <xdr:cNvCxnSpPr>
          <a:cxnSpLocks/>
          <a:stCxn id="545" idx="2"/>
          <a:endCxn id="490" idx="0"/>
        </xdr:cNvCxnSpPr>
      </xdr:nvCxnSpPr>
      <xdr:spPr>
        <a:xfrm rot="5400000">
          <a:off x="4136075" y="14075326"/>
          <a:ext cx="595498" cy="1161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163286</xdr:colOff>
      <xdr:row>78</xdr:row>
      <xdr:rowOff>81643</xdr:rowOff>
    </xdr:from>
    <xdr:to>
      <xdr:col>37</xdr:col>
      <xdr:colOff>54656</xdr:colOff>
      <xdr:row>81</xdr:row>
      <xdr:rowOff>9752</xdr:rowOff>
    </xdr:to>
    <xdr:grpSp>
      <xdr:nvGrpSpPr>
        <xdr:cNvPr id="552" name="グループ化 551">
          <a:extLst>
            <a:ext uri="{FF2B5EF4-FFF2-40B4-BE49-F238E27FC236}">
              <a16:creationId xmlns:a16="http://schemas.microsoft.com/office/drawing/2014/main" id="{BA2E4021-50D7-420B-8CF5-B6E617F2F8D3}"/>
            </a:ext>
          </a:extLst>
        </xdr:cNvPr>
        <xdr:cNvGrpSpPr/>
      </xdr:nvGrpSpPr>
      <xdr:grpSpPr>
        <a:xfrm>
          <a:off x="6765456" y="14113313"/>
          <a:ext cx="1170745" cy="465991"/>
          <a:chOff x="1612900" y="2457450"/>
          <a:chExt cx="933032" cy="374650"/>
        </a:xfrm>
      </xdr:grpSpPr>
      <xdr:sp macro="" textlink="">
        <xdr:nvSpPr>
          <xdr:cNvPr id="553" name="フローチャート: 定義済み処理 552">
            <a:extLst>
              <a:ext uri="{FF2B5EF4-FFF2-40B4-BE49-F238E27FC236}">
                <a16:creationId xmlns:a16="http://schemas.microsoft.com/office/drawing/2014/main" id="{26BE70C8-31C0-4168-A978-9EC98A9B4F7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54" name="正方形/長方形 48">
            <a:extLst>
              <a:ext uri="{FF2B5EF4-FFF2-40B4-BE49-F238E27FC236}">
                <a16:creationId xmlns:a16="http://schemas.microsoft.com/office/drawing/2014/main" id="{6A9FE5DB-B5C3-447D-AEE5-D4F47107787C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入金確認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129721</xdr:colOff>
      <xdr:row>77</xdr:row>
      <xdr:rowOff>168275</xdr:rowOff>
    </xdr:from>
    <xdr:to>
      <xdr:col>53</xdr:col>
      <xdr:colOff>135696</xdr:colOff>
      <xdr:row>81</xdr:row>
      <xdr:rowOff>149943</xdr:rowOff>
    </xdr:to>
    <xdr:grpSp>
      <xdr:nvGrpSpPr>
        <xdr:cNvPr id="556" name="グループ化 555">
          <a:extLst>
            <a:ext uri="{FF2B5EF4-FFF2-40B4-BE49-F238E27FC236}">
              <a16:creationId xmlns:a16="http://schemas.microsoft.com/office/drawing/2014/main" id="{3B5354DE-DBAD-4C7F-B841-6EDC2A78FE29}"/>
            </a:ext>
          </a:extLst>
        </xdr:cNvPr>
        <xdr:cNvGrpSpPr>
          <a:grpSpLocks noChangeAspect="1"/>
        </xdr:cNvGrpSpPr>
      </xdr:nvGrpSpPr>
      <xdr:grpSpPr>
        <a:xfrm>
          <a:off x="10353296" y="14022556"/>
          <a:ext cx="1062914" cy="695034"/>
          <a:chOff x="7112000" y="2892425"/>
          <a:chExt cx="873125" cy="584982"/>
        </a:xfrm>
      </xdr:grpSpPr>
      <xdr:sp macro="" textlink="">
        <xdr:nvSpPr>
          <xdr:cNvPr id="557" name="フローチャート: 磁気ディスク 556">
            <a:extLst>
              <a:ext uri="{FF2B5EF4-FFF2-40B4-BE49-F238E27FC236}">
                <a16:creationId xmlns:a16="http://schemas.microsoft.com/office/drawing/2014/main" id="{8B5B1F79-3A1A-4661-B0C5-806F9B07B5D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58" name="正方形/長方形 557">
            <a:extLst>
              <a:ext uri="{FF2B5EF4-FFF2-40B4-BE49-F238E27FC236}">
                <a16:creationId xmlns:a16="http://schemas.microsoft.com/office/drawing/2014/main" id="{4C16FD28-2FDD-48D5-87A7-6926D410A463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銀行システム</a:t>
            </a:r>
          </a:p>
        </xdr:txBody>
      </xdr:sp>
    </xdr:grpSp>
    <xdr:clientData/>
  </xdr:twoCellAnchor>
  <xdr:twoCellAnchor>
    <xdr:from>
      <xdr:col>37</xdr:col>
      <xdr:colOff>2245</xdr:colOff>
      <xdr:row>79</xdr:row>
      <xdr:rowOff>131423</xdr:rowOff>
    </xdr:from>
    <xdr:to>
      <xdr:col>49</xdr:col>
      <xdr:colOff>34293</xdr:colOff>
      <xdr:row>79</xdr:row>
      <xdr:rowOff>131493</xdr:rowOff>
    </xdr:to>
    <xdr:cxnSp macro="">
      <xdr:nvCxnSpPr>
        <xdr:cNvPr id="559" name="直線矢印コネクタ 558">
          <a:extLst>
            <a:ext uri="{FF2B5EF4-FFF2-40B4-BE49-F238E27FC236}">
              <a16:creationId xmlns:a16="http://schemas.microsoft.com/office/drawing/2014/main" id="{08AB936D-E956-460B-8AEF-250224F618A4}"/>
            </a:ext>
          </a:extLst>
        </xdr:cNvPr>
        <xdr:cNvCxnSpPr>
          <a:cxnSpLocks/>
          <a:stCxn id="557" idx="2"/>
          <a:endCxn id="553" idx="3"/>
        </xdr:cNvCxnSpPr>
      </xdr:nvCxnSpPr>
      <xdr:spPr>
        <a:xfrm flipH="1" flipV="1">
          <a:off x="7520645" y="13790273"/>
          <a:ext cx="2470448" cy="7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163287</xdr:colOff>
      <xdr:row>84</xdr:row>
      <xdr:rowOff>28118</xdr:rowOff>
    </xdr:from>
    <xdr:to>
      <xdr:col>37</xdr:col>
      <xdr:colOff>55451</xdr:colOff>
      <xdr:row>86</xdr:row>
      <xdr:rowOff>147408</xdr:rowOff>
    </xdr:to>
    <xdr:grpSp>
      <xdr:nvGrpSpPr>
        <xdr:cNvPr id="562" name="グループ化 561">
          <a:extLst>
            <a:ext uri="{FF2B5EF4-FFF2-40B4-BE49-F238E27FC236}">
              <a16:creationId xmlns:a16="http://schemas.microsoft.com/office/drawing/2014/main" id="{6B510604-A05F-4836-9C28-5D8B0064914A}"/>
            </a:ext>
          </a:extLst>
        </xdr:cNvPr>
        <xdr:cNvGrpSpPr/>
      </xdr:nvGrpSpPr>
      <xdr:grpSpPr>
        <a:xfrm>
          <a:off x="6765457" y="15131742"/>
          <a:ext cx="1171539" cy="477879"/>
          <a:chOff x="1612900" y="2457450"/>
          <a:chExt cx="933032" cy="374650"/>
        </a:xfrm>
      </xdr:grpSpPr>
      <xdr:sp macro="" textlink="">
        <xdr:nvSpPr>
          <xdr:cNvPr id="563" name="フローチャート: 処理 562">
            <a:extLst>
              <a:ext uri="{FF2B5EF4-FFF2-40B4-BE49-F238E27FC236}">
                <a16:creationId xmlns:a16="http://schemas.microsoft.com/office/drawing/2014/main" id="{36507445-648C-460B-A4F9-809838DECC7B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64" name="正方形/長方形 48">
            <a:extLst>
              <a:ext uri="{FF2B5EF4-FFF2-40B4-BE49-F238E27FC236}">
                <a16:creationId xmlns:a16="http://schemas.microsoft.com/office/drawing/2014/main" id="{82FAFBF2-E61B-46D2-A6EB-03E1FC373A47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入金連絡</a:t>
            </a:r>
            <a:endParaRPr kumimoji="1" lang="en-US" altLang="ja-JP" sz="900"/>
          </a:p>
        </xdr:txBody>
      </xdr:sp>
    </xdr:grpSp>
    <xdr:clientData/>
  </xdr:twoCellAnchor>
  <xdr:twoCellAnchor>
    <xdr:from>
      <xdr:col>34</xdr:col>
      <xdr:colOff>122868</xdr:colOff>
      <xdr:row>81</xdr:row>
      <xdr:rowOff>6577</xdr:rowOff>
    </xdr:from>
    <xdr:to>
      <xdr:col>34</xdr:col>
      <xdr:colOff>124820</xdr:colOff>
      <xdr:row>84</xdr:row>
      <xdr:rowOff>28118</xdr:rowOff>
    </xdr:to>
    <xdr:cxnSp macro="">
      <xdr:nvCxnSpPr>
        <xdr:cNvPr id="565" name="コネクタ: カギ線 564">
          <a:extLst>
            <a:ext uri="{FF2B5EF4-FFF2-40B4-BE49-F238E27FC236}">
              <a16:creationId xmlns:a16="http://schemas.microsoft.com/office/drawing/2014/main" id="{100D50AF-20DE-4ECE-A0AD-CED587D414D5}"/>
            </a:ext>
          </a:extLst>
        </xdr:cNvPr>
        <xdr:cNvCxnSpPr>
          <a:cxnSpLocks/>
          <a:stCxn id="553" idx="2"/>
          <a:endCxn id="563" idx="0"/>
        </xdr:cNvCxnSpPr>
      </xdr:nvCxnSpPr>
      <xdr:spPr>
        <a:xfrm rot="16200000" flipH="1">
          <a:off x="6787377" y="13997711"/>
          <a:ext cx="552220" cy="195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73589</xdr:colOff>
      <xdr:row>74</xdr:row>
      <xdr:rowOff>40821</xdr:rowOff>
    </xdr:from>
    <xdr:to>
      <xdr:col>54</xdr:col>
      <xdr:colOff>69850</xdr:colOff>
      <xdr:row>98</xdr:row>
      <xdr:rowOff>1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5921102A-B15C-4569-84B7-6F134CA5F435}"/>
            </a:ext>
          </a:extLst>
        </xdr:cNvPr>
        <xdr:cNvSpPr/>
      </xdr:nvSpPr>
      <xdr:spPr>
        <a:xfrm>
          <a:off x="3121589" y="12842421"/>
          <a:ext cx="7921061" cy="4073980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45</xdr:col>
      <xdr:colOff>200607</xdr:colOff>
      <xdr:row>97</xdr:row>
      <xdr:rowOff>31214</xdr:rowOff>
    </xdr:from>
    <xdr:to>
      <xdr:col>50</xdr:col>
      <xdr:colOff>113974</xdr:colOff>
      <xdr:row>102</xdr:row>
      <xdr:rowOff>40755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27B55CE8-7088-42C9-9DF5-DE33DEFE1DAD}"/>
            </a:ext>
          </a:extLst>
        </xdr:cNvPr>
        <xdr:cNvCxnSpPr>
          <a:cxnSpLocks/>
          <a:stCxn id="401" idx="3"/>
          <a:endCxn id="206" idx="4"/>
        </xdr:cNvCxnSpPr>
      </xdr:nvCxnSpPr>
      <xdr:spPr>
        <a:xfrm rot="5400000">
          <a:off x="9313328" y="16434287"/>
          <a:ext cx="849983" cy="921896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152854</xdr:colOff>
      <xdr:row>122</xdr:row>
      <xdr:rowOff>20444</xdr:rowOff>
    </xdr:from>
    <xdr:to>
      <xdr:col>53</xdr:col>
      <xdr:colOff>140925</xdr:colOff>
      <xdr:row>125</xdr:row>
      <xdr:rowOff>140854</xdr:rowOff>
    </xdr:to>
    <xdr:grpSp>
      <xdr:nvGrpSpPr>
        <xdr:cNvPr id="227" name="グループ化 226">
          <a:extLst>
            <a:ext uri="{FF2B5EF4-FFF2-40B4-BE49-F238E27FC236}">
              <a16:creationId xmlns:a16="http://schemas.microsoft.com/office/drawing/2014/main" id="{D14875E3-0342-412E-9F87-7757CA4EC403}"/>
            </a:ext>
          </a:extLst>
        </xdr:cNvPr>
        <xdr:cNvGrpSpPr>
          <a:grpSpLocks noChangeAspect="1"/>
        </xdr:cNvGrpSpPr>
      </xdr:nvGrpSpPr>
      <xdr:grpSpPr>
        <a:xfrm>
          <a:off x="10372619" y="21924134"/>
          <a:ext cx="1048820" cy="658292"/>
          <a:chOff x="7112000" y="2895019"/>
          <a:chExt cx="873125" cy="582091"/>
        </a:xfrm>
      </xdr:grpSpPr>
      <xdr:sp macro="" textlink="">
        <xdr:nvSpPr>
          <xdr:cNvPr id="228" name="フローチャート: 磁気ディスク 227">
            <a:extLst>
              <a:ext uri="{FF2B5EF4-FFF2-40B4-BE49-F238E27FC236}">
                <a16:creationId xmlns:a16="http://schemas.microsoft.com/office/drawing/2014/main" id="{B4BE08D0-936F-419C-A053-72558E5F0331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9" name="正方形/長方形 228">
            <a:extLst>
              <a:ext uri="{FF2B5EF4-FFF2-40B4-BE49-F238E27FC236}">
                <a16:creationId xmlns:a16="http://schemas.microsoft.com/office/drawing/2014/main" id="{72E9B9F7-5E5B-40F6-81DE-3D00475E61C0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154148</xdr:colOff>
      <xdr:row>120</xdr:row>
      <xdr:rowOff>31298</xdr:rowOff>
    </xdr:from>
    <xdr:to>
      <xdr:col>53</xdr:col>
      <xdr:colOff>158886</xdr:colOff>
      <xdr:row>123</xdr:row>
      <xdr:rowOff>124224</xdr:rowOff>
    </xdr:to>
    <xdr:grpSp>
      <xdr:nvGrpSpPr>
        <xdr:cNvPr id="230" name="グループ化 229">
          <a:extLst>
            <a:ext uri="{FF2B5EF4-FFF2-40B4-BE49-F238E27FC236}">
              <a16:creationId xmlns:a16="http://schemas.microsoft.com/office/drawing/2014/main" id="{D22DA8AC-03CA-48E5-915F-E4FB024A7A47}"/>
            </a:ext>
          </a:extLst>
        </xdr:cNvPr>
        <xdr:cNvGrpSpPr/>
      </xdr:nvGrpSpPr>
      <xdr:grpSpPr>
        <a:xfrm>
          <a:off x="10373913" y="21578305"/>
          <a:ext cx="1071202" cy="634618"/>
          <a:chOff x="7113907" y="2892425"/>
          <a:chExt cx="917588" cy="591189"/>
        </a:xfrm>
      </xdr:grpSpPr>
      <xdr:sp macro="" textlink="">
        <xdr:nvSpPr>
          <xdr:cNvPr id="231" name="フローチャート: 磁気ディスク 230">
            <a:extLst>
              <a:ext uri="{FF2B5EF4-FFF2-40B4-BE49-F238E27FC236}">
                <a16:creationId xmlns:a16="http://schemas.microsoft.com/office/drawing/2014/main" id="{8FCF863F-8955-48A3-A722-268D682F669D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32" name="正方形/長方形 231">
            <a:extLst>
              <a:ext uri="{FF2B5EF4-FFF2-40B4-BE49-F238E27FC236}">
                <a16:creationId xmlns:a16="http://schemas.microsoft.com/office/drawing/2014/main" id="{FB95121C-C20F-4763-B34D-EC87A3735D11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48</xdr:col>
      <xdr:colOff>145597</xdr:colOff>
      <xdr:row>150</xdr:row>
      <xdr:rowOff>67616</xdr:rowOff>
    </xdr:from>
    <xdr:to>
      <xdr:col>53</xdr:col>
      <xdr:colOff>130493</xdr:colOff>
      <xdr:row>154</xdr:row>
      <xdr:rowOff>145677</xdr:rowOff>
    </xdr:to>
    <xdr:grpSp>
      <xdr:nvGrpSpPr>
        <xdr:cNvPr id="241" name="グループ化 240">
          <a:extLst>
            <a:ext uri="{FF2B5EF4-FFF2-40B4-BE49-F238E27FC236}">
              <a16:creationId xmlns:a16="http://schemas.microsoft.com/office/drawing/2014/main" id="{28BAD3E0-E9EE-4CD2-96E8-A6A7F7E06A23}"/>
            </a:ext>
          </a:extLst>
        </xdr:cNvPr>
        <xdr:cNvGrpSpPr>
          <a:grpSpLocks noChangeAspect="1"/>
        </xdr:cNvGrpSpPr>
      </xdr:nvGrpSpPr>
      <xdr:grpSpPr>
        <a:xfrm>
          <a:off x="10363457" y="26993446"/>
          <a:ext cx="1055170" cy="795238"/>
          <a:chOff x="7112000" y="2895019"/>
          <a:chExt cx="873125" cy="582091"/>
        </a:xfrm>
      </xdr:grpSpPr>
      <xdr:sp macro="" textlink="">
        <xdr:nvSpPr>
          <xdr:cNvPr id="242" name="フローチャート: 磁気ディスク 241">
            <a:extLst>
              <a:ext uri="{FF2B5EF4-FFF2-40B4-BE49-F238E27FC236}">
                <a16:creationId xmlns:a16="http://schemas.microsoft.com/office/drawing/2014/main" id="{88DCEA4C-C604-42FC-9BBF-E3051808C46C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3D35B2AE-F871-4D06-AB9E-1E7025D32313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140541</xdr:colOff>
      <xdr:row>148</xdr:row>
      <xdr:rowOff>68944</xdr:rowOff>
    </xdr:from>
    <xdr:to>
      <xdr:col>53</xdr:col>
      <xdr:colOff>148454</xdr:colOff>
      <xdr:row>151</xdr:row>
      <xdr:rowOff>161870</xdr:rowOff>
    </xdr:to>
    <xdr:grpSp>
      <xdr:nvGrpSpPr>
        <xdr:cNvPr id="244" name="グループ化 243">
          <a:extLst>
            <a:ext uri="{FF2B5EF4-FFF2-40B4-BE49-F238E27FC236}">
              <a16:creationId xmlns:a16="http://schemas.microsoft.com/office/drawing/2014/main" id="{95BF9DA1-AF2A-4A8D-9000-FF1A7A04A9BF}"/>
            </a:ext>
          </a:extLst>
        </xdr:cNvPr>
        <xdr:cNvGrpSpPr/>
      </xdr:nvGrpSpPr>
      <xdr:grpSpPr>
        <a:xfrm>
          <a:off x="10356496" y="26636186"/>
          <a:ext cx="1074377" cy="634618"/>
          <a:chOff x="7113907" y="2892425"/>
          <a:chExt cx="917588" cy="591189"/>
        </a:xfrm>
      </xdr:grpSpPr>
      <xdr:sp macro="" textlink="">
        <xdr:nvSpPr>
          <xdr:cNvPr id="245" name="フローチャート: 磁気ディスク 244">
            <a:extLst>
              <a:ext uri="{FF2B5EF4-FFF2-40B4-BE49-F238E27FC236}">
                <a16:creationId xmlns:a16="http://schemas.microsoft.com/office/drawing/2014/main" id="{65DE7E08-D204-4055-B1AF-72C2C2800C0E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46" name="正方形/長方形 245">
            <a:extLst>
              <a:ext uri="{FF2B5EF4-FFF2-40B4-BE49-F238E27FC236}">
                <a16:creationId xmlns:a16="http://schemas.microsoft.com/office/drawing/2014/main" id="{FA77B3B5-0DB4-4EF5-B6CD-DEFD084B1A04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49</xdr:col>
      <xdr:colOff>56029</xdr:colOff>
      <xdr:row>178</xdr:row>
      <xdr:rowOff>152379</xdr:rowOff>
    </xdr:from>
    <xdr:to>
      <xdr:col>54</xdr:col>
      <xdr:colOff>44100</xdr:colOff>
      <xdr:row>182</xdr:row>
      <xdr:rowOff>102246</xdr:rowOff>
    </xdr:to>
    <xdr:grpSp>
      <xdr:nvGrpSpPr>
        <xdr:cNvPr id="248" name="グループ化 247">
          <a:extLst>
            <a:ext uri="{FF2B5EF4-FFF2-40B4-BE49-F238E27FC236}">
              <a16:creationId xmlns:a16="http://schemas.microsoft.com/office/drawing/2014/main" id="{87E14369-F881-44B3-8AE6-7D77B441DE2F}"/>
            </a:ext>
          </a:extLst>
        </xdr:cNvPr>
        <xdr:cNvGrpSpPr>
          <a:grpSpLocks noChangeAspect="1"/>
        </xdr:cNvGrpSpPr>
      </xdr:nvGrpSpPr>
      <xdr:grpSpPr>
        <a:xfrm>
          <a:off x="10492515" y="32089144"/>
          <a:ext cx="1050725" cy="663233"/>
          <a:chOff x="7112000" y="2895019"/>
          <a:chExt cx="873125" cy="582091"/>
        </a:xfrm>
      </xdr:grpSpPr>
      <xdr:sp macro="" textlink="">
        <xdr:nvSpPr>
          <xdr:cNvPr id="249" name="フローチャート: 磁気ディスク 248">
            <a:extLst>
              <a:ext uri="{FF2B5EF4-FFF2-40B4-BE49-F238E27FC236}">
                <a16:creationId xmlns:a16="http://schemas.microsoft.com/office/drawing/2014/main" id="{218B376B-9CAE-48AE-9805-653833DB0DD9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FD55E143-7281-4D30-8D6F-37929706880C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49</xdr:col>
      <xdr:colOff>57323</xdr:colOff>
      <xdr:row>176</xdr:row>
      <xdr:rowOff>156883</xdr:rowOff>
    </xdr:from>
    <xdr:to>
      <xdr:col>54</xdr:col>
      <xdr:colOff>58886</xdr:colOff>
      <xdr:row>180</xdr:row>
      <xdr:rowOff>91246</xdr:rowOff>
    </xdr:to>
    <xdr:grpSp>
      <xdr:nvGrpSpPr>
        <xdr:cNvPr id="251" name="グループ化 250">
          <a:extLst>
            <a:ext uri="{FF2B5EF4-FFF2-40B4-BE49-F238E27FC236}">
              <a16:creationId xmlns:a16="http://schemas.microsoft.com/office/drawing/2014/main" id="{D45DAE03-8BAB-4142-943C-73E1E66845C3}"/>
            </a:ext>
          </a:extLst>
        </xdr:cNvPr>
        <xdr:cNvGrpSpPr/>
      </xdr:nvGrpSpPr>
      <xdr:grpSpPr>
        <a:xfrm>
          <a:off x="10486189" y="31736964"/>
          <a:ext cx="1066122" cy="653445"/>
          <a:chOff x="7113907" y="2892425"/>
          <a:chExt cx="917588" cy="591189"/>
        </a:xfrm>
      </xdr:grpSpPr>
      <xdr:sp macro="" textlink="">
        <xdr:nvSpPr>
          <xdr:cNvPr id="252" name="フローチャート: 磁気ディスク 251">
            <a:extLst>
              <a:ext uri="{FF2B5EF4-FFF2-40B4-BE49-F238E27FC236}">
                <a16:creationId xmlns:a16="http://schemas.microsoft.com/office/drawing/2014/main" id="{00F8C94E-E89F-4E21-B0AF-487E7CD56BCE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99780713-0E3F-43CF-87FD-F63FCB281BA2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49</xdr:col>
      <xdr:colOff>21104</xdr:colOff>
      <xdr:row>185</xdr:row>
      <xdr:rowOff>50219</xdr:rowOff>
    </xdr:from>
    <xdr:to>
      <xdr:col>54</xdr:col>
      <xdr:colOff>12350</xdr:colOff>
      <xdr:row>188</xdr:row>
      <xdr:rowOff>164999</xdr:rowOff>
    </xdr:to>
    <xdr:grpSp>
      <xdr:nvGrpSpPr>
        <xdr:cNvPr id="254" name="グループ化 253">
          <a:extLst>
            <a:ext uri="{FF2B5EF4-FFF2-40B4-BE49-F238E27FC236}">
              <a16:creationId xmlns:a16="http://schemas.microsoft.com/office/drawing/2014/main" id="{15BF1279-ED9C-4E5F-B0F5-51D125844D76}"/>
            </a:ext>
          </a:extLst>
        </xdr:cNvPr>
        <xdr:cNvGrpSpPr>
          <a:grpSpLocks noChangeAspect="1"/>
        </xdr:cNvGrpSpPr>
      </xdr:nvGrpSpPr>
      <xdr:grpSpPr>
        <a:xfrm>
          <a:off x="10449970" y="33245853"/>
          <a:ext cx="1063425" cy="652662"/>
          <a:chOff x="7112000" y="2895019"/>
          <a:chExt cx="873125" cy="582091"/>
        </a:xfrm>
      </xdr:grpSpPr>
      <xdr:sp macro="" textlink="">
        <xdr:nvSpPr>
          <xdr:cNvPr id="255" name="フローチャート: 磁気ディスク 254">
            <a:extLst>
              <a:ext uri="{FF2B5EF4-FFF2-40B4-BE49-F238E27FC236}">
                <a16:creationId xmlns:a16="http://schemas.microsoft.com/office/drawing/2014/main" id="{46770720-E26B-4F7B-B8BF-9D366707A034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6" name="正方形/長方形 255">
            <a:extLst>
              <a:ext uri="{FF2B5EF4-FFF2-40B4-BE49-F238E27FC236}">
                <a16:creationId xmlns:a16="http://schemas.microsoft.com/office/drawing/2014/main" id="{C001F452-458A-4EC8-A002-795B23E4C22B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49</xdr:col>
      <xdr:colOff>22398</xdr:colOff>
      <xdr:row>183</xdr:row>
      <xdr:rowOff>51547</xdr:rowOff>
    </xdr:from>
    <xdr:to>
      <xdr:col>54</xdr:col>
      <xdr:colOff>17611</xdr:colOff>
      <xdr:row>186</xdr:row>
      <xdr:rowOff>147648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BB32567B-D274-4F4A-9D05-CB5DB86F92B9}"/>
            </a:ext>
          </a:extLst>
        </xdr:cNvPr>
        <xdr:cNvGrpSpPr/>
      </xdr:nvGrpSpPr>
      <xdr:grpSpPr>
        <a:xfrm>
          <a:off x="10451264" y="32888592"/>
          <a:ext cx="1067392" cy="628269"/>
          <a:chOff x="7113907" y="2892425"/>
          <a:chExt cx="917588" cy="591189"/>
        </a:xfrm>
      </xdr:grpSpPr>
      <xdr:sp macro="" textlink="">
        <xdr:nvSpPr>
          <xdr:cNvPr id="258" name="フローチャート: 磁気ディスク 257">
            <a:extLst>
              <a:ext uri="{FF2B5EF4-FFF2-40B4-BE49-F238E27FC236}">
                <a16:creationId xmlns:a16="http://schemas.microsoft.com/office/drawing/2014/main" id="{F7CB1D56-CB5F-4BAA-A64A-372C180725F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9" name="正方形/長方形 258">
            <a:extLst>
              <a:ext uri="{FF2B5EF4-FFF2-40B4-BE49-F238E27FC236}">
                <a16:creationId xmlns:a16="http://schemas.microsoft.com/office/drawing/2014/main" id="{110160C4-52D6-4388-BF8B-B1A60A971A2E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18</xdr:col>
      <xdr:colOff>135027</xdr:colOff>
      <xdr:row>126</xdr:row>
      <xdr:rowOff>114386</xdr:rowOff>
    </xdr:from>
    <xdr:to>
      <xdr:col>24</xdr:col>
      <xdr:colOff>57057</xdr:colOff>
      <xdr:row>129</xdr:row>
      <xdr:rowOff>78083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1920BE70-43C2-478F-BE97-74213BE1230F}"/>
            </a:ext>
          </a:extLst>
        </xdr:cNvPr>
        <xdr:cNvGrpSpPr/>
      </xdr:nvGrpSpPr>
      <xdr:grpSpPr>
        <a:xfrm>
          <a:off x="3963629" y="22739062"/>
          <a:ext cx="1207120" cy="501580"/>
          <a:chOff x="1612900" y="2427475"/>
          <a:chExt cx="933032" cy="404622"/>
        </a:xfrm>
      </xdr:grpSpPr>
      <xdr:sp macro="" textlink="">
        <xdr:nvSpPr>
          <xdr:cNvPr id="270" name="フローチャート: 定義済み処理 269">
            <a:extLst>
              <a:ext uri="{FF2B5EF4-FFF2-40B4-BE49-F238E27FC236}">
                <a16:creationId xmlns:a16="http://schemas.microsoft.com/office/drawing/2014/main" id="{9ECFBB98-8791-485C-8C4D-57D484C88DA8}"/>
              </a:ext>
            </a:extLst>
          </xdr:cNvPr>
          <xdr:cNvSpPr/>
        </xdr:nvSpPr>
        <xdr:spPr>
          <a:xfrm>
            <a:off x="1682750" y="2457447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71" name="正方形/長方形 270">
            <a:extLst>
              <a:ext uri="{FF2B5EF4-FFF2-40B4-BE49-F238E27FC236}">
                <a16:creationId xmlns:a16="http://schemas.microsoft.com/office/drawing/2014/main" id="{45FD36C4-A8A2-41BD-BD23-741D2478A62C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</a:t>
            </a:r>
            <a:r>
              <a:rPr kumimoji="1" lang="ja-JP" altLang="en-US" sz="900"/>
              <a:t>．入金データ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登録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95016</xdr:colOff>
      <xdr:row>129</xdr:row>
      <xdr:rowOff>72972</xdr:rowOff>
    </xdr:from>
    <xdr:to>
      <xdr:col>21</xdr:col>
      <xdr:colOff>96042</xdr:colOff>
      <xdr:row>131</xdr:row>
      <xdr:rowOff>97353</xdr:rowOff>
    </xdr:to>
    <xdr:cxnSp macro="">
      <xdr:nvCxnSpPr>
        <xdr:cNvPr id="273" name="直線矢印コネクタ 27">
          <a:extLst>
            <a:ext uri="{FF2B5EF4-FFF2-40B4-BE49-F238E27FC236}">
              <a16:creationId xmlns:a16="http://schemas.microsoft.com/office/drawing/2014/main" id="{1C03F795-9979-415B-9B73-9224A7DFF318}"/>
            </a:ext>
          </a:extLst>
        </xdr:cNvPr>
        <xdr:cNvCxnSpPr>
          <a:cxnSpLocks/>
          <a:stCxn id="271" idx="2"/>
          <a:endCxn id="74" idx="0"/>
        </xdr:cNvCxnSpPr>
      </xdr:nvCxnSpPr>
      <xdr:spPr>
        <a:xfrm flipH="1">
          <a:off x="4330840" y="21218472"/>
          <a:ext cx="1026" cy="3605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201705</xdr:colOff>
      <xdr:row>162</xdr:row>
      <xdr:rowOff>67235</xdr:rowOff>
    </xdr:from>
    <xdr:to>
      <xdr:col>23</xdr:col>
      <xdr:colOff>196943</xdr:colOff>
      <xdr:row>165</xdr:row>
      <xdr:rowOff>31683</xdr:rowOff>
    </xdr:to>
    <xdr:grpSp>
      <xdr:nvGrpSpPr>
        <xdr:cNvPr id="277" name="グループ化 276">
          <a:extLst>
            <a:ext uri="{FF2B5EF4-FFF2-40B4-BE49-F238E27FC236}">
              <a16:creationId xmlns:a16="http://schemas.microsoft.com/office/drawing/2014/main" id="{254BFD2F-D441-4EDF-AB98-AC354FDE72B7}"/>
            </a:ext>
          </a:extLst>
        </xdr:cNvPr>
        <xdr:cNvGrpSpPr/>
      </xdr:nvGrpSpPr>
      <xdr:grpSpPr>
        <a:xfrm>
          <a:off x="4036022" y="29144595"/>
          <a:ext cx="1059797" cy="502330"/>
          <a:chOff x="309100" y="5676232"/>
          <a:chExt cx="988512" cy="491455"/>
        </a:xfrm>
      </xdr:grpSpPr>
      <xdr:sp macro="" textlink="">
        <xdr:nvSpPr>
          <xdr:cNvPr id="278" name="フローチャート: 他ページ結合子 277">
            <a:extLst>
              <a:ext uri="{FF2B5EF4-FFF2-40B4-BE49-F238E27FC236}">
                <a16:creationId xmlns:a16="http://schemas.microsoft.com/office/drawing/2014/main" id="{D2973B5C-0EEB-4FF8-9227-0E40DEEA902C}"/>
              </a:ext>
            </a:extLst>
          </xdr:cNvPr>
          <xdr:cNvSpPr/>
        </xdr:nvSpPr>
        <xdr:spPr>
          <a:xfrm>
            <a:off x="492124" y="5699794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79" name="正方形/長方形 48">
            <a:extLst>
              <a:ext uri="{FF2B5EF4-FFF2-40B4-BE49-F238E27FC236}">
                <a16:creationId xmlns:a16="http://schemas.microsoft.com/office/drawing/2014/main" id="{32C357AE-1B85-48CC-9498-F251EF1F5F4E}"/>
              </a:ext>
            </a:extLst>
          </xdr:cNvPr>
          <xdr:cNvSpPr/>
        </xdr:nvSpPr>
        <xdr:spPr>
          <a:xfrm>
            <a:off x="309100" y="5676232"/>
            <a:ext cx="988512" cy="4914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入金消込</a:t>
            </a:r>
          </a:p>
        </xdr:txBody>
      </xdr:sp>
    </xdr:grpSp>
    <xdr:clientData/>
  </xdr:twoCellAnchor>
  <xdr:twoCellAnchor>
    <xdr:from>
      <xdr:col>3</xdr:col>
      <xdr:colOff>134470</xdr:colOff>
      <xdr:row>116</xdr:row>
      <xdr:rowOff>27268</xdr:rowOff>
    </xdr:from>
    <xdr:to>
      <xdr:col>54</xdr:col>
      <xdr:colOff>177799</xdr:colOff>
      <xdr:row>154</xdr:row>
      <xdr:rowOff>67235</xdr:rowOff>
    </xdr:to>
    <xdr:sp macro="" textlink="">
      <xdr:nvSpPr>
        <xdr:cNvPr id="281" name="正方形/長方形 280">
          <a:extLst>
            <a:ext uri="{FF2B5EF4-FFF2-40B4-BE49-F238E27FC236}">
              <a16:creationId xmlns:a16="http://schemas.microsoft.com/office/drawing/2014/main" id="{4BE295FE-5FC8-47A1-A7EC-0E4A1A802AC3}"/>
            </a:ext>
          </a:extLst>
        </xdr:cNvPr>
        <xdr:cNvSpPr/>
      </xdr:nvSpPr>
      <xdr:spPr>
        <a:xfrm>
          <a:off x="744070" y="20029768"/>
          <a:ext cx="10406529" cy="6555067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46</xdr:col>
      <xdr:colOff>137459</xdr:colOff>
      <xdr:row>154</xdr:row>
      <xdr:rowOff>142503</xdr:rowOff>
    </xdr:from>
    <xdr:to>
      <xdr:col>51</xdr:col>
      <xdr:colOff>35605</xdr:colOff>
      <xdr:row>157</xdr:row>
      <xdr:rowOff>82688</xdr:rowOff>
    </xdr:to>
    <xdr:cxnSp macro="">
      <xdr:nvCxnSpPr>
        <xdr:cNvPr id="282" name="コネクタ: カギ線 281">
          <a:extLst>
            <a:ext uri="{FF2B5EF4-FFF2-40B4-BE49-F238E27FC236}">
              <a16:creationId xmlns:a16="http://schemas.microsoft.com/office/drawing/2014/main" id="{1791EB06-3987-4F67-94AD-5EA5C08D5F80}"/>
            </a:ext>
          </a:extLst>
        </xdr:cNvPr>
        <xdr:cNvCxnSpPr>
          <a:cxnSpLocks/>
          <a:stCxn id="243" idx="2"/>
          <a:endCxn id="288" idx="4"/>
        </xdr:cNvCxnSpPr>
      </xdr:nvCxnSpPr>
      <xdr:spPr>
        <a:xfrm rot="5400000">
          <a:off x="9647043" y="25931449"/>
          <a:ext cx="444450" cy="906675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195170</xdr:colOff>
      <xdr:row>188</xdr:row>
      <xdr:rowOff>108089</xdr:rowOff>
    </xdr:from>
    <xdr:to>
      <xdr:col>51</xdr:col>
      <xdr:colOff>110077</xdr:colOff>
      <xdr:row>193</xdr:row>
      <xdr:rowOff>17068</xdr:rowOff>
    </xdr:to>
    <xdr:cxnSp macro="">
      <xdr:nvCxnSpPr>
        <xdr:cNvPr id="291" name="コネクタ: カギ線 290">
          <a:extLst>
            <a:ext uri="{FF2B5EF4-FFF2-40B4-BE49-F238E27FC236}">
              <a16:creationId xmlns:a16="http://schemas.microsoft.com/office/drawing/2014/main" id="{087B2389-3CB2-4713-8BF9-7166E5392BDC}"/>
            </a:ext>
          </a:extLst>
        </xdr:cNvPr>
        <xdr:cNvCxnSpPr>
          <a:cxnSpLocks/>
          <a:stCxn id="255" idx="3"/>
          <a:endCxn id="297" idx="4"/>
        </xdr:cNvCxnSpPr>
      </xdr:nvCxnSpPr>
      <xdr:spPr>
        <a:xfrm rot="5400000">
          <a:off x="9560649" y="31756140"/>
          <a:ext cx="749420" cy="923436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44822</xdr:colOff>
      <xdr:row>172</xdr:row>
      <xdr:rowOff>59765</xdr:rowOff>
    </xdr:from>
    <xdr:to>
      <xdr:col>54</xdr:col>
      <xdr:colOff>142500</xdr:colOff>
      <xdr:row>188</xdr:row>
      <xdr:rowOff>123265</xdr:rowOff>
    </xdr:to>
    <xdr:sp macro="" textlink="">
      <xdr:nvSpPr>
        <xdr:cNvPr id="299" name="正方形/長方形 298">
          <a:extLst>
            <a:ext uri="{FF2B5EF4-FFF2-40B4-BE49-F238E27FC236}">
              <a16:creationId xmlns:a16="http://schemas.microsoft.com/office/drawing/2014/main" id="{8A358F38-4285-4E17-A0B7-705107092503}"/>
            </a:ext>
          </a:extLst>
        </xdr:cNvPr>
        <xdr:cNvSpPr/>
      </xdr:nvSpPr>
      <xdr:spPr>
        <a:xfrm>
          <a:off x="2375646" y="29732941"/>
          <a:ext cx="8255560" cy="2812677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46</xdr:col>
      <xdr:colOff>99352</xdr:colOff>
      <xdr:row>36</xdr:row>
      <xdr:rowOff>58789</xdr:rowOff>
    </xdr:from>
    <xdr:to>
      <xdr:col>53</xdr:col>
      <xdr:colOff>39437</xdr:colOff>
      <xdr:row>60</xdr:row>
      <xdr:rowOff>31597</xdr:rowOff>
    </xdr:to>
    <xdr:cxnSp macro="">
      <xdr:nvCxnSpPr>
        <xdr:cNvPr id="305" name="コネクタ: カギ線 304">
          <a:extLst>
            <a:ext uri="{FF2B5EF4-FFF2-40B4-BE49-F238E27FC236}">
              <a16:creationId xmlns:a16="http://schemas.microsoft.com/office/drawing/2014/main" id="{0B710638-8A2C-4A93-BBD0-0FBDE9F6F5A5}"/>
            </a:ext>
          </a:extLst>
        </xdr:cNvPr>
        <xdr:cNvCxnSpPr>
          <a:cxnSpLocks/>
          <a:stCxn id="515" idx="4"/>
          <a:endCxn id="201" idx="4"/>
        </xdr:cNvCxnSpPr>
      </xdr:nvCxnSpPr>
      <xdr:spPr>
        <a:xfrm flipH="1">
          <a:off x="9377823" y="6244436"/>
          <a:ext cx="1352026" cy="4006926"/>
        </a:xfrm>
        <a:prstGeom prst="bentConnector3">
          <a:avLst>
            <a:gd name="adj1" fmla="val -16908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130268</xdr:colOff>
      <xdr:row>209</xdr:row>
      <xdr:rowOff>60160</xdr:rowOff>
    </xdr:from>
    <xdr:to>
      <xdr:col>49</xdr:col>
      <xdr:colOff>82550</xdr:colOff>
      <xdr:row>209</xdr:row>
      <xdr:rowOff>63500</xdr:rowOff>
    </xdr:to>
    <xdr:cxnSp macro="">
      <xdr:nvCxnSpPr>
        <xdr:cNvPr id="275" name="直線矢印コネクタ 274">
          <a:extLst>
            <a:ext uri="{FF2B5EF4-FFF2-40B4-BE49-F238E27FC236}">
              <a16:creationId xmlns:a16="http://schemas.microsoft.com/office/drawing/2014/main" id="{73BDAB52-BAEB-4821-A168-58316AF0B714}"/>
            </a:ext>
          </a:extLst>
        </xdr:cNvPr>
        <xdr:cNvCxnSpPr>
          <a:endCxn id="340" idx="3"/>
        </xdr:cNvCxnSpPr>
      </xdr:nvCxnSpPr>
      <xdr:spPr>
        <a:xfrm flipH="1" flipV="1">
          <a:off x="5007068" y="36007510"/>
          <a:ext cx="5032282" cy="334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191854</xdr:colOff>
      <xdr:row>204</xdr:row>
      <xdr:rowOff>107452</xdr:rowOff>
    </xdr:from>
    <xdr:to>
      <xdr:col>21</xdr:col>
      <xdr:colOff>193939</xdr:colOff>
      <xdr:row>208</xdr:row>
      <xdr:rowOff>34695</xdr:rowOff>
    </xdr:to>
    <xdr:cxnSp macro="">
      <xdr:nvCxnSpPr>
        <xdr:cNvPr id="290" name="直線矢印コネクタ 27">
          <a:extLst>
            <a:ext uri="{FF2B5EF4-FFF2-40B4-BE49-F238E27FC236}">
              <a16:creationId xmlns:a16="http://schemas.microsoft.com/office/drawing/2014/main" id="{AEA17E9A-E0CE-4151-A3E7-0550203A71A3}"/>
            </a:ext>
          </a:extLst>
        </xdr:cNvPr>
        <xdr:cNvCxnSpPr>
          <a:cxnSpLocks/>
          <a:stCxn id="337" idx="2"/>
          <a:endCxn id="339" idx="0"/>
        </xdr:cNvCxnSpPr>
      </xdr:nvCxnSpPr>
      <xdr:spPr>
        <a:xfrm flipH="1">
          <a:off x="4459054" y="35197552"/>
          <a:ext cx="2085" cy="6130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30442</xdr:colOff>
      <xdr:row>208</xdr:row>
      <xdr:rowOff>96350</xdr:rowOff>
    </xdr:from>
    <xdr:to>
      <xdr:col>54</xdr:col>
      <xdr:colOff>31213</xdr:colOff>
      <xdr:row>212</xdr:row>
      <xdr:rowOff>46218</xdr:rowOff>
    </xdr:to>
    <xdr:grpSp>
      <xdr:nvGrpSpPr>
        <xdr:cNvPr id="306" name="グループ化 305">
          <a:extLst>
            <a:ext uri="{FF2B5EF4-FFF2-40B4-BE49-F238E27FC236}">
              <a16:creationId xmlns:a16="http://schemas.microsoft.com/office/drawing/2014/main" id="{15CD0F4B-502D-4CA9-B64A-B1CC9583C85A}"/>
            </a:ext>
          </a:extLst>
        </xdr:cNvPr>
        <xdr:cNvGrpSpPr>
          <a:grpSpLocks noChangeAspect="1"/>
        </xdr:cNvGrpSpPr>
      </xdr:nvGrpSpPr>
      <xdr:grpSpPr>
        <a:xfrm>
          <a:off x="10461213" y="37396922"/>
          <a:ext cx="1065330" cy="672760"/>
          <a:chOff x="7112000" y="2895019"/>
          <a:chExt cx="873125" cy="582091"/>
        </a:xfrm>
      </xdr:grpSpPr>
      <xdr:sp macro="" textlink="">
        <xdr:nvSpPr>
          <xdr:cNvPr id="307" name="フローチャート: 磁気ディスク 306">
            <a:extLst>
              <a:ext uri="{FF2B5EF4-FFF2-40B4-BE49-F238E27FC236}">
                <a16:creationId xmlns:a16="http://schemas.microsoft.com/office/drawing/2014/main" id="{2FD847A5-9AEE-413E-9BCD-F9F81ABC4B99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08" name="正方形/長方形 307">
            <a:extLst>
              <a:ext uri="{FF2B5EF4-FFF2-40B4-BE49-F238E27FC236}">
                <a16:creationId xmlns:a16="http://schemas.microsoft.com/office/drawing/2014/main" id="{62E76974-32C5-4E1F-8739-237FF1328F61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49</xdr:col>
      <xdr:colOff>31736</xdr:colOff>
      <xdr:row>206</xdr:row>
      <xdr:rowOff>113554</xdr:rowOff>
    </xdr:from>
    <xdr:to>
      <xdr:col>54</xdr:col>
      <xdr:colOff>36474</xdr:colOff>
      <xdr:row>210</xdr:row>
      <xdr:rowOff>35217</xdr:rowOff>
    </xdr:to>
    <xdr:grpSp>
      <xdr:nvGrpSpPr>
        <xdr:cNvPr id="309" name="グループ化 308">
          <a:extLst>
            <a:ext uri="{FF2B5EF4-FFF2-40B4-BE49-F238E27FC236}">
              <a16:creationId xmlns:a16="http://schemas.microsoft.com/office/drawing/2014/main" id="{3632CF65-2422-48B7-B2EA-6501AF40CE60}"/>
            </a:ext>
          </a:extLst>
        </xdr:cNvPr>
        <xdr:cNvGrpSpPr/>
      </xdr:nvGrpSpPr>
      <xdr:grpSpPr>
        <a:xfrm>
          <a:off x="10462507" y="37059348"/>
          <a:ext cx="1071202" cy="638840"/>
          <a:chOff x="7113907" y="2892425"/>
          <a:chExt cx="917588" cy="591189"/>
        </a:xfrm>
      </xdr:grpSpPr>
      <xdr:sp macro="" textlink="">
        <xdr:nvSpPr>
          <xdr:cNvPr id="310" name="フローチャート: 磁気ディスク 309">
            <a:extLst>
              <a:ext uri="{FF2B5EF4-FFF2-40B4-BE49-F238E27FC236}">
                <a16:creationId xmlns:a16="http://schemas.microsoft.com/office/drawing/2014/main" id="{FDD44A4E-3E07-4FE9-B6B8-61F93F9F16B0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11" name="正方形/長方形 310">
            <a:extLst>
              <a:ext uri="{FF2B5EF4-FFF2-40B4-BE49-F238E27FC236}">
                <a16:creationId xmlns:a16="http://schemas.microsoft.com/office/drawing/2014/main" id="{5A10BAC1-494E-451E-B8CC-813967FE22F1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19</xdr:col>
      <xdr:colOff>34367</xdr:colOff>
      <xdr:row>45</xdr:row>
      <xdr:rowOff>11170</xdr:rowOff>
    </xdr:from>
    <xdr:to>
      <xdr:col>24</xdr:col>
      <xdr:colOff>133610</xdr:colOff>
      <xdr:row>48</xdr:row>
      <xdr:rowOff>45197</xdr:rowOff>
    </xdr:to>
    <xdr:grpSp>
      <xdr:nvGrpSpPr>
        <xdr:cNvPr id="323" name="グループ化 322">
          <a:extLst>
            <a:ext uri="{FF2B5EF4-FFF2-40B4-BE49-F238E27FC236}">
              <a16:creationId xmlns:a16="http://schemas.microsoft.com/office/drawing/2014/main" id="{519934C0-86E3-4C49-85D3-A6965F7C02C7}"/>
            </a:ext>
          </a:extLst>
        </xdr:cNvPr>
        <xdr:cNvGrpSpPr/>
      </xdr:nvGrpSpPr>
      <xdr:grpSpPr>
        <a:xfrm>
          <a:off x="4079691" y="8126134"/>
          <a:ext cx="1159991" cy="571909"/>
          <a:chOff x="1612900" y="2427474"/>
          <a:chExt cx="933032" cy="469326"/>
        </a:xfrm>
      </xdr:grpSpPr>
      <xdr:sp macro="" textlink="">
        <xdr:nvSpPr>
          <xdr:cNvPr id="324" name="フローチャート: 定義済み処理 323">
            <a:extLst>
              <a:ext uri="{FF2B5EF4-FFF2-40B4-BE49-F238E27FC236}">
                <a16:creationId xmlns:a16="http://schemas.microsoft.com/office/drawing/2014/main" id="{AE6167D2-6C95-4331-8A1F-7DFC2F726C1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2E9543C6-B7D9-4F1E-B798-67464DCDAEFA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不明入金調査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200022</xdr:colOff>
      <xdr:row>47</xdr:row>
      <xdr:rowOff>140663</xdr:rowOff>
    </xdr:from>
    <xdr:to>
      <xdr:col>21</xdr:col>
      <xdr:colOff>201070</xdr:colOff>
      <xdr:row>52</xdr:row>
      <xdr:rowOff>4297</xdr:rowOff>
    </xdr:to>
    <xdr:cxnSp macro="">
      <xdr:nvCxnSpPr>
        <xdr:cNvPr id="326" name="コネクタ: カギ線 325">
          <a:extLst>
            <a:ext uri="{FF2B5EF4-FFF2-40B4-BE49-F238E27FC236}">
              <a16:creationId xmlns:a16="http://schemas.microsoft.com/office/drawing/2014/main" id="{120BB6E3-9824-4BD5-8963-B47A57835901}"/>
            </a:ext>
          </a:extLst>
        </xdr:cNvPr>
        <xdr:cNvCxnSpPr>
          <a:cxnSpLocks/>
          <a:stCxn id="324" idx="2"/>
          <a:endCxn id="531" idx="0"/>
        </xdr:cNvCxnSpPr>
      </xdr:nvCxnSpPr>
      <xdr:spPr>
        <a:xfrm rot="16200000" flipH="1">
          <a:off x="4072160" y="8648836"/>
          <a:ext cx="717599" cy="104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33618</xdr:colOff>
      <xdr:row>45</xdr:row>
      <xdr:rowOff>94855</xdr:rowOff>
    </xdr:from>
    <xdr:to>
      <xdr:col>53</xdr:col>
      <xdr:colOff>31214</xdr:colOff>
      <xdr:row>49</xdr:row>
      <xdr:rowOff>32023</xdr:rowOff>
    </xdr:to>
    <xdr:grpSp>
      <xdr:nvGrpSpPr>
        <xdr:cNvPr id="330" name="グループ化 329">
          <a:extLst>
            <a:ext uri="{FF2B5EF4-FFF2-40B4-BE49-F238E27FC236}">
              <a16:creationId xmlns:a16="http://schemas.microsoft.com/office/drawing/2014/main" id="{87501006-7527-4ED5-B110-282DD055E9C0}"/>
            </a:ext>
          </a:extLst>
        </xdr:cNvPr>
        <xdr:cNvGrpSpPr>
          <a:grpSpLocks noChangeAspect="1"/>
        </xdr:cNvGrpSpPr>
      </xdr:nvGrpSpPr>
      <xdr:grpSpPr>
        <a:xfrm>
          <a:off x="10251478" y="8211724"/>
          <a:ext cx="1062155" cy="648629"/>
          <a:chOff x="7112000" y="2895019"/>
          <a:chExt cx="873125" cy="582091"/>
        </a:xfrm>
      </xdr:grpSpPr>
      <xdr:sp macro="" textlink="">
        <xdr:nvSpPr>
          <xdr:cNvPr id="331" name="フローチャート: 磁気ディスク 330">
            <a:extLst>
              <a:ext uri="{FF2B5EF4-FFF2-40B4-BE49-F238E27FC236}">
                <a16:creationId xmlns:a16="http://schemas.microsoft.com/office/drawing/2014/main" id="{B078D162-682A-47E4-94B0-5389C90F83D8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32" name="正方形/長方形 331">
            <a:extLst>
              <a:ext uri="{FF2B5EF4-FFF2-40B4-BE49-F238E27FC236}">
                <a16:creationId xmlns:a16="http://schemas.microsoft.com/office/drawing/2014/main" id="{212C2BB9-E38B-4CA2-9C92-89BBB161F301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41262</xdr:colOff>
      <xdr:row>43</xdr:row>
      <xdr:rowOff>112058</xdr:rowOff>
    </xdr:from>
    <xdr:to>
      <xdr:col>53</xdr:col>
      <xdr:colOff>46000</xdr:colOff>
      <xdr:row>47</xdr:row>
      <xdr:rowOff>17847</xdr:rowOff>
    </xdr:to>
    <xdr:grpSp>
      <xdr:nvGrpSpPr>
        <xdr:cNvPr id="333" name="グループ化 332">
          <a:extLst>
            <a:ext uri="{FF2B5EF4-FFF2-40B4-BE49-F238E27FC236}">
              <a16:creationId xmlns:a16="http://schemas.microsoft.com/office/drawing/2014/main" id="{7FBEFBCB-06FA-41C4-8EAE-0C5A9044B070}"/>
            </a:ext>
          </a:extLst>
        </xdr:cNvPr>
        <xdr:cNvGrpSpPr/>
      </xdr:nvGrpSpPr>
      <xdr:grpSpPr>
        <a:xfrm>
          <a:off x="10261027" y="7866529"/>
          <a:ext cx="1071202" cy="626775"/>
          <a:chOff x="7113907" y="2892425"/>
          <a:chExt cx="917588" cy="591189"/>
        </a:xfrm>
      </xdr:grpSpPr>
      <xdr:sp macro="" textlink="">
        <xdr:nvSpPr>
          <xdr:cNvPr id="334" name="フローチャート: 磁気ディスク 333">
            <a:extLst>
              <a:ext uri="{FF2B5EF4-FFF2-40B4-BE49-F238E27FC236}">
                <a16:creationId xmlns:a16="http://schemas.microsoft.com/office/drawing/2014/main" id="{01CF8973-4283-4DF6-912C-5B1FC8785B94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35" name="正方形/長方形 334">
            <a:extLst>
              <a:ext uri="{FF2B5EF4-FFF2-40B4-BE49-F238E27FC236}">
                <a16:creationId xmlns:a16="http://schemas.microsoft.com/office/drawing/2014/main" id="{C16F760A-A096-4A6B-9AF0-46F6A656D2E3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48</xdr:col>
      <xdr:colOff>33043</xdr:colOff>
      <xdr:row>41</xdr:row>
      <xdr:rowOff>58144</xdr:rowOff>
    </xdr:from>
    <xdr:to>
      <xdr:col>53</xdr:col>
      <xdr:colOff>21114</xdr:colOff>
      <xdr:row>45</xdr:row>
      <xdr:rowOff>754</xdr:rowOff>
    </xdr:to>
    <xdr:grpSp>
      <xdr:nvGrpSpPr>
        <xdr:cNvPr id="327" name="グループ化 326">
          <a:extLst>
            <a:ext uri="{FF2B5EF4-FFF2-40B4-BE49-F238E27FC236}">
              <a16:creationId xmlns:a16="http://schemas.microsoft.com/office/drawing/2014/main" id="{679C98CB-527F-411A-A6CA-6869BA8338E7}"/>
            </a:ext>
          </a:extLst>
        </xdr:cNvPr>
        <xdr:cNvGrpSpPr>
          <a:grpSpLocks noChangeAspect="1"/>
        </xdr:cNvGrpSpPr>
      </xdr:nvGrpSpPr>
      <xdr:grpSpPr>
        <a:xfrm>
          <a:off x="10250903" y="7450216"/>
          <a:ext cx="1050725" cy="663597"/>
          <a:chOff x="7112000" y="2895019"/>
          <a:chExt cx="873125" cy="582091"/>
        </a:xfrm>
      </xdr:grpSpPr>
      <xdr:sp macro="" textlink="">
        <xdr:nvSpPr>
          <xdr:cNvPr id="328" name="フローチャート: 磁気ディスク 327">
            <a:extLst>
              <a:ext uri="{FF2B5EF4-FFF2-40B4-BE49-F238E27FC236}">
                <a16:creationId xmlns:a16="http://schemas.microsoft.com/office/drawing/2014/main" id="{03EAC43D-036C-428A-B1A3-12D5E0BA1621}"/>
              </a:ext>
            </a:extLst>
          </xdr:cNvPr>
          <xdr:cNvSpPr/>
        </xdr:nvSpPr>
        <xdr:spPr>
          <a:xfrm>
            <a:off x="7206508" y="2895019"/>
            <a:ext cx="673744" cy="531564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29" name="正方形/長方形 328">
            <a:extLst>
              <a:ext uri="{FF2B5EF4-FFF2-40B4-BE49-F238E27FC236}">
                <a16:creationId xmlns:a16="http://schemas.microsoft.com/office/drawing/2014/main" id="{5B04E5B9-B3AC-435D-AD58-83E201B21D62}"/>
              </a:ext>
            </a:extLst>
          </xdr:cNvPr>
          <xdr:cNvSpPr/>
        </xdr:nvSpPr>
        <xdr:spPr>
          <a:xfrm>
            <a:off x="7112000" y="2974119"/>
            <a:ext cx="873125" cy="5029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通販管理プラットフォーム</a:t>
            </a:r>
            <a:endParaRPr kumimoji="1" lang="en-US" altLang="ja-JP" sz="900"/>
          </a:p>
        </xdr:txBody>
      </xdr:sp>
    </xdr:grpSp>
    <xdr:clientData/>
  </xdr:twoCellAnchor>
  <xdr:twoCellAnchor>
    <xdr:from>
      <xdr:col>24</xdr:col>
      <xdr:colOff>133610</xdr:colOff>
      <xdr:row>45</xdr:row>
      <xdr:rowOff>37748</xdr:rowOff>
    </xdr:from>
    <xdr:to>
      <xdr:col>48</xdr:col>
      <xdr:colOff>140706</xdr:colOff>
      <xdr:row>46</xdr:row>
      <xdr:rowOff>113580</xdr:rowOff>
    </xdr:to>
    <xdr:cxnSp macro="">
      <xdr:nvCxnSpPr>
        <xdr:cNvPr id="336" name="コネクタ: カギ線 335">
          <a:extLst>
            <a:ext uri="{FF2B5EF4-FFF2-40B4-BE49-F238E27FC236}">
              <a16:creationId xmlns:a16="http://schemas.microsoft.com/office/drawing/2014/main" id="{0E5E42AB-8F98-4F8A-8BF9-E371FBF1C0E7}"/>
            </a:ext>
          </a:extLst>
        </xdr:cNvPr>
        <xdr:cNvCxnSpPr>
          <a:cxnSpLocks/>
          <a:stCxn id="334" idx="2"/>
          <a:endCxn id="325" idx="3"/>
        </xdr:cNvCxnSpPr>
      </xdr:nvCxnSpPr>
      <xdr:spPr>
        <a:xfrm rot="10800000" flipV="1">
          <a:off x="4968369" y="7846058"/>
          <a:ext cx="4841854" cy="24662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52227</xdr:colOff>
      <xdr:row>19</xdr:row>
      <xdr:rowOff>7537</xdr:rowOff>
    </xdr:from>
    <xdr:to>
      <xdr:col>54</xdr:col>
      <xdr:colOff>158750</xdr:colOff>
      <xdr:row>56</xdr:row>
      <xdr:rowOff>57150</xdr:rowOff>
    </xdr:to>
    <xdr:sp macro="" textlink="">
      <xdr:nvSpPr>
        <xdr:cNvPr id="189" name="正方形/長方形 188">
          <a:extLst>
            <a:ext uri="{FF2B5EF4-FFF2-40B4-BE49-F238E27FC236}">
              <a16:creationId xmlns:a16="http://schemas.microsoft.com/office/drawing/2014/main" id="{F26FC3C4-D8FE-40F3-BF10-D23C0A2F40A6}"/>
            </a:ext>
          </a:extLst>
        </xdr:cNvPr>
        <xdr:cNvSpPr/>
      </xdr:nvSpPr>
      <xdr:spPr>
        <a:xfrm>
          <a:off x="1474627" y="3379387"/>
          <a:ext cx="9656923" cy="6393263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20</xdr:col>
      <xdr:colOff>38100</xdr:colOff>
      <xdr:row>203</xdr:row>
      <xdr:rowOff>47999</xdr:rowOff>
    </xdr:from>
    <xdr:to>
      <xdr:col>23</xdr:col>
      <xdr:colOff>146578</xdr:colOff>
      <xdr:row>204</xdr:row>
      <xdr:rowOff>107452</xdr:rowOff>
    </xdr:to>
    <xdr:sp macro="" textlink="">
      <xdr:nvSpPr>
        <xdr:cNvPr id="337" name="フローチャート: 端子 336">
          <a:extLst>
            <a:ext uri="{FF2B5EF4-FFF2-40B4-BE49-F238E27FC236}">
              <a16:creationId xmlns:a16="http://schemas.microsoft.com/office/drawing/2014/main" id="{E8D850DA-D29F-42DF-B705-785540644C3E}"/>
            </a:ext>
          </a:extLst>
        </xdr:cNvPr>
        <xdr:cNvSpPr/>
      </xdr:nvSpPr>
      <xdr:spPr>
        <a:xfrm>
          <a:off x="4102100" y="34966649"/>
          <a:ext cx="718078" cy="23090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19</xdr:col>
      <xdr:colOff>19050</xdr:colOff>
      <xdr:row>208</xdr:row>
      <xdr:rowOff>0</xdr:rowOff>
    </xdr:from>
    <xdr:to>
      <xdr:col>24</xdr:col>
      <xdr:colOff>130268</xdr:colOff>
      <xdr:row>210</xdr:row>
      <xdr:rowOff>125437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2BDB4CF4-479F-4B52-B6BE-BDA26DFD2705}"/>
            </a:ext>
          </a:extLst>
        </xdr:cNvPr>
        <xdr:cNvGrpSpPr/>
      </xdr:nvGrpSpPr>
      <xdr:grpSpPr>
        <a:xfrm>
          <a:off x="4060564" y="37304382"/>
          <a:ext cx="1183396" cy="485931"/>
          <a:chOff x="1612900" y="2427475"/>
          <a:chExt cx="933032" cy="404625"/>
        </a:xfrm>
      </xdr:grpSpPr>
      <xdr:sp macro="" textlink="">
        <xdr:nvSpPr>
          <xdr:cNvPr id="339" name="フローチャート: 定義済み処理 338">
            <a:extLst>
              <a:ext uri="{FF2B5EF4-FFF2-40B4-BE49-F238E27FC236}">
                <a16:creationId xmlns:a16="http://schemas.microsoft.com/office/drawing/2014/main" id="{EF3E05A9-D9AA-4A69-A3ED-2DA389CA17F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39A39F84-DAB9-4BE6-AFB3-143F4F00FCC1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入金情報抽出</a:t>
            </a:r>
          </a:p>
        </xdr:txBody>
      </xdr:sp>
    </xdr:grpSp>
    <xdr:clientData/>
  </xdr:twoCellAnchor>
  <xdr:twoCellAnchor>
    <xdr:from>
      <xdr:col>19</xdr:col>
      <xdr:colOff>11205</xdr:colOff>
      <xdr:row>212</xdr:row>
      <xdr:rowOff>160058</xdr:rowOff>
    </xdr:from>
    <xdr:to>
      <xdr:col>24</xdr:col>
      <xdr:colOff>106783</xdr:colOff>
      <xdr:row>215</xdr:row>
      <xdr:rowOff>119343</xdr:rowOff>
    </xdr:to>
    <xdr:grpSp>
      <xdr:nvGrpSpPr>
        <xdr:cNvPr id="341" name="グループ化 340">
          <a:extLst>
            <a:ext uri="{FF2B5EF4-FFF2-40B4-BE49-F238E27FC236}">
              <a16:creationId xmlns:a16="http://schemas.microsoft.com/office/drawing/2014/main" id="{661EF32B-C15F-4AC8-8202-71C5E39DF7A6}"/>
            </a:ext>
          </a:extLst>
        </xdr:cNvPr>
        <xdr:cNvGrpSpPr/>
      </xdr:nvGrpSpPr>
      <xdr:grpSpPr>
        <a:xfrm>
          <a:off x="4058434" y="38183522"/>
          <a:ext cx="1156326" cy="497167"/>
          <a:chOff x="1612900" y="2457450"/>
          <a:chExt cx="933032" cy="374650"/>
        </a:xfrm>
      </xdr:grpSpPr>
      <xdr:sp macro="" textlink="">
        <xdr:nvSpPr>
          <xdr:cNvPr id="342" name="フローチャート: 処理 341">
            <a:extLst>
              <a:ext uri="{FF2B5EF4-FFF2-40B4-BE49-F238E27FC236}">
                <a16:creationId xmlns:a16="http://schemas.microsoft.com/office/drawing/2014/main" id="{55649731-BB8D-4AEC-BC48-B7F46A92879C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43" name="正方形/長方形 48">
            <a:extLst>
              <a:ext uri="{FF2B5EF4-FFF2-40B4-BE49-F238E27FC236}">
                <a16:creationId xmlns:a16="http://schemas.microsoft.com/office/drawing/2014/main" id="{D03A9C15-108E-44FA-8E1A-0906534D7226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入金管理表作成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88153</xdr:colOff>
      <xdr:row>215</xdr:row>
      <xdr:rowOff>28762</xdr:rowOff>
    </xdr:from>
    <xdr:to>
      <xdr:col>26</xdr:col>
      <xdr:colOff>44824</xdr:colOff>
      <xdr:row>217</xdr:row>
      <xdr:rowOff>48185</xdr:rowOff>
    </xdr:to>
    <xdr:grpSp>
      <xdr:nvGrpSpPr>
        <xdr:cNvPr id="344" name="グループ化 343">
          <a:extLst>
            <a:ext uri="{FF2B5EF4-FFF2-40B4-BE49-F238E27FC236}">
              <a16:creationId xmlns:a16="http://schemas.microsoft.com/office/drawing/2014/main" id="{7D2AD750-2FC1-498B-B0BB-5FA8B92C950A}"/>
            </a:ext>
          </a:extLst>
        </xdr:cNvPr>
        <xdr:cNvGrpSpPr>
          <a:grpSpLocks noChangeAspect="1"/>
        </xdr:cNvGrpSpPr>
      </xdr:nvGrpSpPr>
      <xdr:grpSpPr>
        <a:xfrm>
          <a:off x="4776022" y="38586298"/>
          <a:ext cx="806413" cy="381821"/>
          <a:chOff x="2791278" y="18514786"/>
          <a:chExt cx="838670" cy="417285"/>
        </a:xfrm>
      </xdr:grpSpPr>
      <xdr:sp macro="" textlink="">
        <xdr:nvSpPr>
          <xdr:cNvPr id="345" name="フローチャート: 書類 344">
            <a:extLst>
              <a:ext uri="{FF2B5EF4-FFF2-40B4-BE49-F238E27FC236}">
                <a16:creationId xmlns:a16="http://schemas.microsoft.com/office/drawing/2014/main" id="{855EE57F-9284-40B3-95A4-ECCF3D1D9C8F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01E030E0-31A8-43AC-9602-AC8DB613AE82}"/>
              </a:ext>
            </a:extLst>
          </xdr:cNvPr>
          <xdr:cNvSpPr/>
        </xdr:nvSpPr>
        <xdr:spPr>
          <a:xfrm>
            <a:off x="2791278" y="18514786"/>
            <a:ext cx="838670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入金管理表</a:t>
            </a:r>
          </a:p>
        </xdr:txBody>
      </xdr:sp>
    </xdr:grpSp>
    <xdr:clientData/>
  </xdr:twoCellAnchor>
  <xdr:twoCellAnchor>
    <xdr:from>
      <xdr:col>21</xdr:col>
      <xdr:colOff>175974</xdr:colOff>
      <xdr:row>210</xdr:row>
      <xdr:rowOff>120319</xdr:rowOff>
    </xdr:from>
    <xdr:to>
      <xdr:col>21</xdr:col>
      <xdr:colOff>176259</xdr:colOff>
      <xdr:row>212</xdr:row>
      <xdr:rowOff>160058</xdr:rowOff>
    </xdr:to>
    <xdr:cxnSp macro="">
      <xdr:nvCxnSpPr>
        <xdr:cNvPr id="347" name="直線矢印コネクタ 27">
          <a:extLst>
            <a:ext uri="{FF2B5EF4-FFF2-40B4-BE49-F238E27FC236}">
              <a16:creationId xmlns:a16="http://schemas.microsoft.com/office/drawing/2014/main" id="{8FA92E91-3FE1-4060-AFA0-2677D58C50E9}"/>
            </a:ext>
          </a:extLst>
        </xdr:cNvPr>
        <xdr:cNvCxnSpPr>
          <a:cxnSpLocks/>
          <a:stCxn id="340" idx="2"/>
          <a:endCxn id="342" idx="0"/>
        </xdr:cNvCxnSpPr>
      </xdr:nvCxnSpPr>
      <xdr:spPr>
        <a:xfrm flipH="1">
          <a:off x="4443174" y="36239119"/>
          <a:ext cx="285" cy="3826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172385</xdr:colOff>
      <xdr:row>215</xdr:row>
      <xdr:rowOff>119343</xdr:rowOff>
    </xdr:from>
    <xdr:to>
      <xdr:col>21</xdr:col>
      <xdr:colOff>175974</xdr:colOff>
      <xdr:row>219</xdr:row>
      <xdr:rowOff>0</xdr:rowOff>
    </xdr:to>
    <xdr:cxnSp macro="">
      <xdr:nvCxnSpPr>
        <xdr:cNvPr id="348" name="直線矢印コネクタ 27">
          <a:extLst>
            <a:ext uri="{FF2B5EF4-FFF2-40B4-BE49-F238E27FC236}">
              <a16:creationId xmlns:a16="http://schemas.microsoft.com/office/drawing/2014/main" id="{570C7DF5-2EE1-4DCF-8F7F-5C4FFEB773DE}"/>
            </a:ext>
          </a:extLst>
        </xdr:cNvPr>
        <xdr:cNvCxnSpPr>
          <a:cxnSpLocks/>
          <a:stCxn id="342" idx="2"/>
          <a:endCxn id="351" idx="0"/>
        </xdr:cNvCxnSpPr>
      </xdr:nvCxnSpPr>
      <xdr:spPr>
        <a:xfrm flipH="1">
          <a:off x="4439585" y="37095393"/>
          <a:ext cx="3589" cy="5664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17743</xdr:colOff>
      <xdr:row>219</xdr:row>
      <xdr:rowOff>0</xdr:rowOff>
    </xdr:from>
    <xdr:to>
      <xdr:col>23</xdr:col>
      <xdr:colOff>123826</xdr:colOff>
      <xdr:row>220</xdr:row>
      <xdr:rowOff>82737</xdr:rowOff>
    </xdr:to>
    <xdr:sp macro="" textlink="">
      <xdr:nvSpPr>
        <xdr:cNvPr id="351" name="フローチャート: 端子 350">
          <a:extLst>
            <a:ext uri="{FF2B5EF4-FFF2-40B4-BE49-F238E27FC236}">
              <a16:creationId xmlns:a16="http://schemas.microsoft.com/office/drawing/2014/main" id="{EDD7C9FF-1304-4FEA-904E-35939478C68E}"/>
            </a:ext>
          </a:extLst>
        </xdr:cNvPr>
        <xdr:cNvSpPr/>
      </xdr:nvSpPr>
      <xdr:spPr>
        <a:xfrm>
          <a:off x="4081743" y="37661850"/>
          <a:ext cx="715683" cy="25418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15</xdr:col>
      <xdr:colOff>133351</xdr:colOff>
      <xdr:row>205</xdr:row>
      <xdr:rowOff>59391</xdr:rowOff>
    </xdr:from>
    <xdr:to>
      <xdr:col>54</xdr:col>
      <xdr:colOff>85537</xdr:colOff>
      <xdr:row>212</xdr:row>
      <xdr:rowOff>104215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241A5BFE-F16D-40BE-8400-18ADCE60CDE5}"/>
            </a:ext>
          </a:extLst>
        </xdr:cNvPr>
        <xdr:cNvSpPr/>
      </xdr:nvSpPr>
      <xdr:spPr>
        <a:xfrm>
          <a:off x="3181351" y="35320941"/>
          <a:ext cx="7876986" cy="1244974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19</xdr:col>
      <xdr:colOff>179294</xdr:colOff>
      <xdr:row>168</xdr:row>
      <xdr:rowOff>49680</xdr:rowOff>
    </xdr:from>
    <xdr:to>
      <xdr:col>23</xdr:col>
      <xdr:colOff>84572</xdr:colOff>
      <xdr:row>169</xdr:row>
      <xdr:rowOff>102784</xdr:rowOff>
    </xdr:to>
    <xdr:sp macro="" textlink="">
      <xdr:nvSpPr>
        <xdr:cNvPr id="353" name="フローチャート: 端子 352">
          <a:extLst>
            <a:ext uri="{FF2B5EF4-FFF2-40B4-BE49-F238E27FC236}">
              <a16:creationId xmlns:a16="http://schemas.microsoft.com/office/drawing/2014/main" id="{4607D5C7-7161-4423-A2E4-FB91D49863C4}"/>
            </a:ext>
          </a:extLst>
        </xdr:cNvPr>
        <xdr:cNvSpPr/>
      </xdr:nvSpPr>
      <xdr:spPr>
        <a:xfrm>
          <a:off x="4011706" y="28422974"/>
          <a:ext cx="712101" cy="22119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35130</xdr:colOff>
      <xdr:row>67</xdr:row>
      <xdr:rowOff>60818</xdr:rowOff>
    </xdr:from>
    <xdr:to>
      <xdr:col>22</xdr:col>
      <xdr:colOff>36373</xdr:colOff>
      <xdr:row>69</xdr:row>
      <xdr:rowOff>37676</xdr:rowOff>
    </xdr:to>
    <xdr:cxnSp macro="">
      <xdr:nvCxnSpPr>
        <xdr:cNvPr id="5" name="直線矢印コネクタ 27">
          <a:extLst>
            <a:ext uri="{FF2B5EF4-FFF2-40B4-BE49-F238E27FC236}">
              <a16:creationId xmlns:a16="http://schemas.microsoft.com/office/drawing/2014/main" id="{5DC81365-0CFC-4113-A4AE-683006934769}"/>
            </a:ext>
          </a:extLst>
        </xdr:cNvPr>
        <xdr:cNvCxnSpPr>
          <a:cxnSpLocks/>
          <a:stCxn id="35" idx="2"/>
          <a:endCxn id="7" idx="0"/>
        </xdr:cNvCxnSpPr>
      </xdr:nvCxnSpPr>
      <xdr:spPr>
        <a:xfrm>
          <a:off x="4488068" y="11613849"/>
          <a:ext cx="1243" cy="3181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48320</xdr:colOff>
      <xdr:row>69</xdr:row>
      <xdr:rowOff>1788</xdr:rowOff>
    </xdr:from>
    <xdr:to>
      <xdr:col>24</xdr:col>
      <xdr:colOff>194777</xdr:colOff>
      <xdr:row>71</xdr:row>
      <xdr:rowOff>144919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6EDFDF9-B758-4AC0-8DB0-A63CE0406D37}"/>
            </a:ext>
          </a:extLst>
        </xdr:cNvPr>
        <xdr:cNvGrpSpPr/>
      </xdr:nvGrpSpPr>
      <xdr:grpSpPr>
        <a:xfrm>
          <a:off x="4095549" y="12328259"/>
          <a:ext cx="1211015" cy="499814"/>
          <a:chOff x="1612900" y="2427475"/>
          <a:chExt cx="933032" cy="404625"/>
        </a:xfrm>
      </xdr:grpSpPr>
      <xdr:sp macro="" textlink="">
        <xdr:nvSpPr>
          <xdr:cNvPr id="7" name="フローチャート: 定義済み処理 6">
            <a:extLst>
              <a:ext uri="{FF2B5EF4-FFF2-40B4-BE49-F238E27FC236}">
                <a16:creationId xmlns:a16="http://schemas.microsoft.com/office/drawing/2014/main" id="{CBCB4B6C-520B-4AA2-8629-6A502FB94AA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E3DCFCDF-E434-4C6C-A261-6BDD3510B0B9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２．未回収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データ確認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48</xdr:col>
      <xdr:colOff>123599</xdr:colOff>
      <xdr:row>68</xdr:row>
      <xdr:rowOff>108729</xdr:rowOff>
    </xdr:from>
    <xdr:to>
      <xdr:col>53</xdr:col>
      <xdr:colOff>142274</xdr:colOff>
      <xdr:row>72</xdr:row>
      <xdr:rowOff>129604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2E0A0BDE-6B40-4C78-ACBC-CA13E3236182}"/>
            </a:ext>
          </a:extLst>
        </xdr:cNvPr>
        <xdr:cNvGrpSpPr>
          <a:grpSpLocks noChangeAspect="1"/>
        </xdr:cNvGrpSpPr>
      </xdr:nvGrpSpPr>
      <xdr:grpSpPr>
        <a:xfrm>
          <a:off x="10345269" y="12254000"/>
          <a:ext cx="1079424" cy="743767"/>
          <a:chOff x="7112003" y="2892425"/>
          <a:chExt cx="873125" cy="584982"/>
        </a:xfrm>
      </xdr:grpSpPr>
      <xdr:sp macro="" textlink="">
        <xdr:nvSpPr>
          <xdr:cNvPr id="10" name="フローチャート: 磁気ディスク 9">
            <a:extLst>
              <a:ext uri="{FF2B5EF4-FFF2-40B4-BE49-F238E27FC236}">
                <a16:creationId xmlns:a16="http://schemas.microsoft.com/office/drawing/2014/main" id="{BB09FFB0-86DD-4936-ACBB-7361857D1BC9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B2C2E763-D003-4187-B218-927D01C0E899}"/>
              </a:ext>
            </a:extLst>
          </xdr:cNvPr>
          <xdr:cNvSpPr/>
        </xdr:nvSpPr>
        <xdr:spPr>
          <a:xfrm>
            <a:off x="7112003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期日が超過した顧客請求書</a:t>
            </a:r>
          </a:p>
        </xdr:txBody>
      </xdr:sp>
    </xdr:grpSp>
    <xdr:clientData/>
  </xdr:twoCellAnchor>
  <xdr:twoCellAnchor>
    <xdr:from>
      <xdr:col>24</xdr:col>
      <xdr:colOff>139918</xdr:colOff>
      <xdr:row>70</xdr:row>
      <xdr:rowOff>89928</xdr:rowOff>
    </xdr:from>
    <xdr:to>
      <xdr:col>49</xdr:col>
      <xdr:colOff>29507</xdr:colOff>
      <xdr:row>70</xdr:row>
      <xdr:rowOff>91357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A09A5392-B8EE-40F7-AEC0-648621E563D1}"/>
            </a:ext>
          </a:extLst>
        </xdr:cNvPr>
        <xdr:cNvCxnSpPr>
          <a:stCxn id="7" idx="3"/>
          <a:endCxn id="10" idx="2"/>
        </xdr:cNvCxnSpPr>
      </xdr:nvCxnSpPr>
      <xdr:spPr>
        <a:xfrm flipV="1">
          <a:off x="5016718" y="12205728"/>
          <a:ext cx="3547189" cy="1429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64668</xdr:colOff>
      <xdr:row>73</xdr:row>
      <xdr:rowOff>144408</xdr:rowOff>
    </xdr:from>
    <xdr:to>
      <xdr:col>24</xdr:col>
      <xdr:colOff>184022</xdr:colOff>
      <xdr:row>77</xdr:row>
      <xdr:rowOff>24254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13BF2D00-CA2C-449D-A138-B2E762DC1EB6}"/>
            </a:ext>
          </a:extLst>
        </xdr:cNvPr>
        <xdr:cNvGrpSpPr/>
      </xdr:nvGrpSpPr>
      <xdr:grpSpPr>
        <a:xfrm>
          <a:off x="4106182" y="13186150"/>
          <a:ext cx="1185817" cy="595118"/>
          <a:chOff x="1610279" y="2427476"/>
          <a:chExt cx="938273" cy="487867"/>
        </a:xfrm>
      </xdr:grpSpPr>
      <xdr:sp macro="" textlink="">
        <xdr:nvSpPr>
          <xdr:cNvPr id="14" name="フローチャート: 定義済み処理 13">
            <a:extLst>
              <a:ext uri="{FF2B5EF4-FFF2-40B4-BE49-F238E27FC236}">
                <a16:creationId xmlns:a16="http://schemas.microsoft.com/office/drawing/2014/main" id="{7619D029-7A1B-4650-B452-4A26C05EF89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7F8A14A6-65E4-4C5B-BC34-77D98D63ABB1}"/>
              </a:ext>
            </a:extLst>
          </xdr:cNvPr>
          <xdr:cNvSpPr/>
        </xdr:nvSpPr>
        <xdr:spPr>
          <a:xfrm>
            <a:off x="1610279" y="2427476"/>
            <a:ext cx="938273" cy="487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３．債権データ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の紐づけ</a:t>
            </a:r>
          </a:p>
        </xdr:txBody>
      </xdr:sp>
    </xdr:grpSp>
    <xdr:clientData/>
  </xdr:twoCellAnchor>
  <xdr:twoCellAnchor>
    <xdr:from>
      <xdr:col>22</xdr:col>
      <xdr:colOff>38086</xdr:colOff>
      <xdr:row>76</xdr:row>
      <xdr:rowOff>98938</xdr:rowOff>
    </xdr:from>
    <xdr:to>
      <xdr:col>22</xdr:col>
      <xdr:colOff>38709</xdr:colOff>
      <xdr:row>78</xdr:row>
      <xdr:rowOff>111035</xdr:rowOff>
    </xdr:to>
    <xdr:cxnSp macro="">
      <xdr:nvCxnSpPr>
        <xdr:cNvPr id="19" name="直線矢印コネクタ 27">
          <a:extLst>
            <a:ext uri="{FF2B5EF4-FFF2-40B4-BE49-F238E27FC236}">
              <a16:creationId xmlns:a16="http://schemas.microsoft.com/office/drawing/2014/main" id="{0261D4BC-DC99-41EA-B7BB-E5366A5B14C7}"/>
            </a:ext>
          </a:extLst>
        </xdr:cNvPr>
        <xdr:cNvCxnSpPr>
          <a:cxnSpLocks/>
          <a:stCxn id="14" idx="2"/>
          <a:endCxn id="38" idx="0"/>
        </xdr:cNvCxnSpPr>
      </xdr:nvCxnSpPr>
      <xdr:spPr>
        <a:xfrm flipH="1">
          <a:off x="4491024" y="13187876"/>
          <a:ext cx="623" cy="3534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135377</xdr:colOff>
      <xdr:row>73</xdr:row>
      <xdr:rowOff>102934</xdr:rowOff>
    </xdr:from>
    <xdr:to>
      <xdr:col>53</xdr:col>
      <xdr:colOff>154052</xdr:colOff>
      <xdr:row>77</xdr:row>
      <xdr:rowOff>28121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261086C5-472D-4B2F-A5FF-3ACB09F0742C}"/>
            </a:ext>
          </a:extLst>
        </xdr:cNvPr>
        <xdr:cNvGrpSpPr/>
      </xdr:nvGrpSpPr>
      <xdr:grpSpPr>
        <a:xfrm>
          <a:off x="10351332" y="13144676"/>
          <a:ext cx="1087044" cy="642364"/>
          <a:chOff x="7111999" y="2892425"/>
          <a:chExt cx="873125" cy="584982"/>
        </a:xfrm>
      </xdr:grpSpPr>
      <xdr:sp macro="" textlink="">
        <xdr:nvSpPr>
          <xdr:cNvPr id="23" name="フローチャート: 磁気ディスク 22">
            <a:extLst>
              <a:ext uri="{FF2B5EF4-FFF2-40B4-BE49-F238E27FC236}">
                <a16:creationId xmlns:a16="http://schemas.microsoft.com/office/drawing/2014/main" id="{CCD35CE0-43A3-4233-9278-04352CF22DD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99FFD57D-20DA-482C-ABD5-FF4C6C6A2499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仕訳帳</a:t>
            </a:r>
          </a:p>
        </xdr:txBody>
      </xdr:sp>
    </xdr:grpSp>
    <xdr:clientData/>
  </xdr:twoCellAnchor>
  <xdr:twoCellAnchor>
    <xdr:from>
      <xdr:col>24</xdr:col>
      <xdr:colOff>127571</xdr:colOff>
      <xdr:row>75</xdr:row>
      <xdr:rowOff>40248</xdr:rowOff>
    </xdr:from>
    <xdr:to>
      <xdr:col>49</xdr:col>
      <xdr:colOff>41289</xdr:colOff>
      <xdr:row>75</xdr:row>
      <xdr:rowOff>53451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383B5F02-2337-478E-A24D-24FCA165071B}"/>
            </a:ext>
          </a:extLst>
        </xdr:cNvPr>
        <xdr:cNvCxnSpPr>
          <a:stCxn id="14" idx="3"/>
          <a:endCxn id="23" idx="2"/>
        </xdr:cNvCxnSpPr>
      </xdr:nvCxnSpPr>
      <xdr:spPr>
        <a:xfrm flipV="1">
          <a:off x="5004371" y="13013298"/>
          <a:ext cx="3571318" cy="1320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75405</xdr:colOff>
      <xdr:row>58</xdr:row>
      <xdr:rowOff>22654</xdr:rowOff>
    </xdr:from>
    <xdr:to>
      <xdr:col>21</xdr:col>
      <xdr:colOff>130968</xdr:colOff>
      <xdr:row>61</xdr:row>
      <xdr:rowOff>80160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9B770F1F-B76E-423B-B56D-81BF5F1FC791}"/>
            </a:ext>
          </a:extLst>
        </xdr:cNvPr>
        <xdr:cNvGrpSpPr/>
      </xdr:nvGrpSpPr>
      <xdr:grpSpPr>
        <a:xfrm>
          <a:off x="3481993" y="10373079"/>
          <a:ext cx="1123932" cy="601104"/>
          <a:chOff x="274101" y="5694643"/>
          <a:chExt cx="1046788" cy="579692"/>
        </a:xfrm>
      </xdr:grpSpPr>
      <xdr:sp macro="" textlink="">
        <xdr:nvSpPr>
          <xdr:cNvPr id="27" name="フローチャート: 他ページ結合子 26">
            <a:extLst>
              <a:ext uri="{FF2B5EF4-FFF2-40B4-BE49-F238E27FC236}">
                <a16:creationId xmlns:a16="http://schemas.microsoft.com/office/drawing/2014/main" id="{C9FE4497-5713-4222-9686-65AF431F5AA6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8" name="正方形/長方形 48">
            <a:extLst>
              <a:ext uri="{FF2B5EF4-FFF2-40B4-BE49-F238E27FC236}">
                <a16:creationId xmlns:a16="http://schemas.microsoft.com/office/drawing/2014/main" id="{2D6CC35B-5D7A-4ED4-8CBF-55DF256CCB10}"/>
              </a:ext>
            </a:extLst>
          </xdr:cNvPr>
          <xdr:cNvSpPr/>
        </xdr:nvSpPr>
        <xdr:spPr>
          <a:xfrm>
            <a:off x="274101" y="5694643"/>
            <a:ext cx="1046788" cy="5796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2.3</a:t>
            </a:r>
            <a:endParaRPr kumimoji="1" lang="ja-JP" altLang="en-US" sz="9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</a:p>
        </xdr:txBody>
      </xdr:sp>
    </xdr:grpSp>
    <xdr:clientData/>
  </xdr:twoCellAnchor>
  <xdr:twoCellAnchor>
    <xdr:from>
      <xdr:col>22</xdr:col>
      <xdr:colOff>36373</xdr:colOff>
      <xdr:row>71</xdr:row>
      <xdr:rowOff>144919</xdr:rowOff>
    </xdr:from>
    <xdr:to>
      <xdr:col>22</xdr:col>
      <xdr:colOff>38709</xdr:colOff>
      <xdr:row>74</xdr:row>
      <xdr:rowOff>8310</xdr:rowOff>
    </xdr:to>
    <xdr:cxnSp macro="">
      <xdr:nvCxnSpPr>
        <xdr:cNvPr id="32" name="直線矢印コネクタ 27">
          <a:extLst>
            <a:ext uri="{FF2B5EF4-FFF2-40B4-BE49-F238E27FC236}">
              <a16:creationId xmlns:a16="http://schemas.microsoft.com/office/drawing/2014/main" id="{422FA1E8-E651-471B-AF94-31A036949EC8}"/>
            </a:ext>
          </a:extLst>
        </xdr:cNvPr>
        <xdr:cNvCxnSpPr>
          <a:cxnSpLocks/>
          <a:stCxn id="7" idx="2"/>
          <a:endCxn id="14" idx="0"/>
        </xdr:cNvCxnSpPr>
      </xdr:nvCxnSpPr>
      <xdr:spPr>
        <a:xfrm>
          <a:off x="4489311" y="12380575"/>
          <a:ext cx="2336" cy="37536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67348</xdr:colOff>
      <xdr:row>119</xdr:row>
      <xdr:rowOff>39010</xdr:rowOff>
    </xdr:from>
    <xdr:to>
      <xdr:col>23</xdr:col>
      <xdr:colOff>184143</xdr:colOff>
      <xdr:row>120</xdr:row>
      <xdr:rowOff>137435</xdr:rowOff>
    </xdr:to>
    <xdr:sp macro="" textlink="">
      <xdr:nvSpPr>
        <xdr:cNvPr id="33" name="フローチャート: 端子 32">
          <a:extLst>
            <a:ext uri="{FF2B5EF4-FFF2-40B4-BE49-F238E27FC236}">
              <a16:creationId xmlns:a16="http://schemas.microsoft.com/office/drawing/2014/main" id="{2CF477E3-1E53-4116-9B44-7EB1D7537D46}"/>
            </a:ext>
          </a:extLst>
        </xdr:cNvPr>
        <xdr:cNvSpPr/>
      </xdr:nvSpPr>
      <xdr:spPr>
        <a:xfrm>
          <a:off x="4149491" y="16762189"/>
          <a:ext cx="729116" cy="27531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19</xdr:col>
      <xdr:colOff>60999</xdr:colOff>
      <xdr:row>64</xdr:row>
      <xdr:rowOff>110671</xdr:rowOff>
    </xdr:from>
    <xdr:to>
      <xdr:col>24</xdr:col>
      <xdr:colOff>180361</xdr:colOff>
      <xdr:row>67</xdr:row>
      <xdr:rowOff>60818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9A54131B-A3AC-46A0-B68B-2B5D3F561608}"/>
            </a:ext>
          </a:extLst>
        </xdr:cNvPr>
        <xdr:cNvGrpSpPr/>
      </xdr:nvGrpSpPr>
      <xdr:grpSpPr>
        <a:xfrm>
          <a:off x="4102513" y="11540671"/>
          <a:ext cx="1185825" cy="484219"/>
          <a:chOff x="1612900" y="2457450"/>
          <a:chExt cx="933032" cy="374650"/>
        </a:xfrm>
      </xdr:grpSpPr>
      <xdr:sp macro="" textlink="">
        <xdr:nvSpPr>
          <xdr:cNvPr id="35" name="フローチャート: 処理 34">
            <a:extLst>
              <a:ext uri="{FF2B5EF4-FFF2-40B4-BE49-F238E27FC236}">
                <a16:creationId xmlns:a16="http://schemas.microsoft.com/office/drawing/2014/main" id="{57E567BF-9A1D-4258-8893-459A015C6CDD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6" name="正方形/長方形 48">
            <a:extLst>
              <a:ext uri="{FF2B5EF4-FFF2-40B4-BE49-F238E27FC236}">
                <a16:creationId xmlns:a16="http://schemas.microsoft.com/office/drawing/2014/main" id="{F17C2774-428B-40AE-9E9F-128B551988DA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１．銀行振込確認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20</xdr:col>
      <xdr:colOff>5271</xdr:colOff>
      <xdr:row>78</xdr:row>
      <xdr:rowOff>105832</xdr:rowOff>
    </xdr:from>
    <xdr:to>
      <xdr:col>24</xdr:col>
      <xdr:colOff>70901</xdr:colOff>
      <xdr:row>81</xdr:row>
      <xdr:rowOff>127904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2CDF71D7-0A8A-4351-89DE-C3CA3907C7B6}"/>
            </a:ext>
          </a:extLst>
        </xdr:cNvPr>
        <xdr:cNvGrpSpPr/>
      </xdr:nvGrpSpPr>
      <xdr:grpSpPr>
        <a:xfrm>
          <a:off x="4265411" y="14044045"/>
          <a:ext cx="913467" cy="565669"/>
          <a:chOff x="368300" y="4839921"/>
          <a:chExt cx="844550" cy="526469"/>
        </a:xfrm>
      </xdr:grpSpPr>
      <xdr:sp macro="" textlink="">
        <xdr:nvSpPr>
          <xdr:cNvPr id="38" name="フローチャート: 判断 37">
            <a:extLst>
              <a:ext uri="{FF2B5EF4-FFF2-40B4-BE49-F238E27FC236}">
                <a16:creationId xmlns:a16="http://schemas.microsoft.com/office/drawing/2014/main" id="{21423DA6-5676-4516-A05D-84A32F1AC597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2F291602-E890-4668-A402-8C2A32721BCE}"/>
              </a:ext>
            </a:extLst>
          </xdr:cNvPr>
          <xdr:cNvSpPr/>
        </xdr:nvSpPr>
        <xdr:spPr>
          <a:xfrm>
            <a:off x="429481" y="4839921"/>
            <a:ext cx="713019" cy="52646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入金内容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</a:t>
            </a:r>
          </a:p>
        </xdr:txBody>
      </xdr:sp>
    </xdr:grpSp>
    <xdr:clientData/>
  </xdr:twoCellAnchor>
  <xdr:twoCellAnchor>
    <xdr:from>
      <xdr:col>17</xdr:col>
      <xdr:colOff>147849</xdr:colOff>
      <xdr:row>80</xdr:row>
      <xdr:rowOff>14110</xdr:rowOff>
    </xdr:from>
    <xdr:to>
      <xdr:col>20</xdr:col>
      <xdr:colOff>5271</xdr:colOff>
      <xdr:row>82</xdr:row>
      <xdr:rowOff>176892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DD21D556-1080-4D4F-83EE-44F46B86098A}"/>
            </a:ext>
          </a:extLst>
        </xdr:cNvPr>
        <xdr:cNvCxnSpPr>
          <a:cxnSpLocks/>
          <a:stCxn id="38" idx="1"/>
          <a:endCxn id="73" idx="0"/>
        </xdr:cNvCxnSpPr>
      </xdr:nvCxnSpPr>
      <xdr:spPr>
        <a:xfrm rot="10800000" flipV="1">
          <a:off x="3617670" y="12845646"/>
          <a:ext cx="469744" cy="516567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20857</xdr:colOff>
      <xdr:row>81</xdr:row>
      <xdr:rowOff>8164</xdr:rowOff>
    </xdr:from>
    <xdr:to>
      <xdr:col>23</xdr:col>
      <xdr:colOff>126539</xdr:colOff>
      <xdr:row>82</xdr:row>
      <xdr:rowOff>134257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56F8F01-3223-464E-A23A-7B29DB740289}"/>
            </a:ext>
          </a:extLst>
        </xdr:cNvPr>
        <xdr:cNvSpPr txBox="1"/>
      </xdr:nvSpPr>
      <xdr:spPr>
        <a:xfrm>
          <a:off x="4511214" y="13016593"/>
          <a:ext cx="309789" cy="302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正</a:t>
          </a:r>
        </a:p>
      </xdr:txBody>
    </xdr:sp>
    <xdr:clientData/>
  </xdr:twoCellAnchor>
  <xdr:twoCellAnchor>
    <xdr:from>
      <xdr:col>18</xdr:col>
      <xdr:colOff>183689</xdr:colOff>
      <xdr:row>78</xdr:row>
      <xdr:rowOff>115207</xdr:rowOff>
    </xdr:from>
    <xdr:to>
      <xdr:col>20</xdr:col>
      <xdr:colOff>145589</xdr:colOff>
      <xdr:row>80</xdr:row>
      <xdr:rowOff>61232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7A08A8A1-4152-4E99-ACCB-56E20620AE04}"/>
            </a:ext>
          </a:extLst>
        </xdr:cNvPr>
        <xdr:cNvSpPr txBox="1"/>
      </xdr:nvSpPr>
      <xdr:spPr>
        <a:xfrm>
          <a:off x="3857618" y="12592957"/>
          <a:ext cx="370114" cy="299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/>
            <a:t>誤</a:t>
          </a:r>
        </a:p>
      </xdr:txBody>
    </xdr:sp>
    <xdr:clientData/>
  </xdr:twoCellAnchor>
  <xdr:twoCellAnchor>
    <xdr:from>
      <xdr:col>22</xdr:col>
      <xdr:colOff>12163</xdr:colOff>
      <xdr:row>81</xdr:row>
      <xdr:rowOff>92347</xdr:rowOff>
    </xdr:from>
    <xdr:to>
      <xdr:col>22</xdr:col>
      <xdr:colOff>38087</xdr:colOff>
      <xdr:row>97</xdr:row>
      <xdr:rowOff>72740</xdr:rowOff>
    </xdr:to>
    <xdr:cxnSp macro="">
      <xdr:nvCxnSpPr>
        <xdr:cNvPr id="68" name="直線矢印コネクタ 27">
          <a:extLst>
            <a:ext uri="{FF2B5EF4-FFF2-40B4-BE49-F238E27FC236}">
              <a16:creationId xmlns:a16="http://schemas.microsoft.com/office/drawing/2014/main" id="{DCC4A2BF-169E-4ED7-8D4D-44B43D803A49}"/>
            </a:ext>
          </a:extLst>
        </xdr:cNvPr>
        <xdr:cNvCxnSpPr>
          <a:cxnSpLocks/>
          <a:stCxn id="38" idx="2"/>
          <a:endCxn id="106" idx="0"/>
        </xdr:cNvCxnSpPr>
      </xdr:nvCxnSpPr>
      <xdr:spPr>
        <a:xfrm flipH="1">
          <a:off x="4449692" y="13841965"/>
          <a:ext cx="25924" cy="21655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177800</xdr:colOff>
      <xdr:row>83</xdr:row>
      <xdr:rowOff>0</xdr:rowOff>
    </xdr:from>
    <xdr:to>
      <xdr:col>20</xdr:col>
      <xdr:colOff>86705</xdr:colOff>
      <xdr:row>85</xdr:row>
      <xdr:rowOff>124772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87B76F5A-8B9D-4F76-872A-C4C8FE2C123C}"/>
            </a:ext>
          </a:extLst>
        </xdr:cNvPr>
        <xdr:cNvGrpSpPr/>
      </xdr:nvGrpSpPr>
      <xdr:grpSpPr>
        <a:xfrm>
          <a:off x="3154755" y="14836588"/>
          <a:ext cx="1192090" cy="485265"/>
          <a:chOff x="1612900" y="2457450"/>
          <a:chExt cx="933032" cy="374650"/>
        </a:xfrm>
      </xdr:grpSpPr>
      <xdr:sp macro="" textlink="">
        <xdr:nvSpPr>
          <xdr:cNvPr id="73" name="フローチャート: 処理 72">
            <a:extLst>
              <a:ext uri="{FF2B5EF4-FFF2-40B4-BE49-F238E27FC236}">
                <a16:creationId xmlns:a16="http://schemas.microsoft.com/office/drawing/2014/main" id="{73CF1A58-51FC-4441-9933-72C71F108E4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4" name="正方形/長方形 48">
            <a:extLst>
              <a:ext uri="{FF2B5EF4-FFF2-40B4-BE49-F238E27FC236}">
                <a16:creationId xmlns:a16="http://schemas.microsoft.com/office/drawing/2014/main" id="{3E7694E6-3A83-4E7B-A6BA-7879AE0E9887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４．修正連絡</a:t>
            </a:r>
            <a:endParaRPr kumimoji="1" lang="en-US" altLang="ja-JP" sz="900"/>
          </a:p>
        </xdr:txBody>
      </xdr:sp>
    </xdr:grpSp>
    <xdr:clientData/>
  </xdr:twoCellAnchor>
  <xdr:twoCellAnchor>
    <xdr:from>
      <xdr:col>2</xdr:col>
      <xdr:colOff>52295</xdr:colOff>
      <xdr:row>91</xdr:row>
      <xdr:rowOff>167714</xdr:rowOff>
    </xdr:from>
    <xdr:to>
      <xdr:col>7</xdr:col>
      <xdr:colOff>167575</xdr:colOff>
      <xdr:row>94</xdr:row>
      <xdr:rowOff>111511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6BE0924D-11BE-47F6-863F-2E87BB6FF6B5}"/>
            </a:ext>
          </a:extLst>
        </xdr:cNvPr>
        <xdr:cNvGrpSpPr/>
      </xdr:nvGrpSpPr>
      <xdr:grpSpPr>
        <a:xfrm>
          <a:off x="481929" y="16442465"/>
          <a:ext cx="1179838" cy="477870"/>
          <a:chOff x="1612900" y="2457450"/>
          <a:chExt cx="933032" cy="374650"/>
        </a:xfrm>
      </xdr:grpSpPr>
      <xdr:sp macro="" textlink="">
        <xdr:nvSpPr>
          <xdr:cNvPr id="76" name="フローチャート: 処理 75">
            <a:extLst>
              <a:ext uri="{FF2B5EF4-FFF2-40B4-BE49-F238E27FC236}">
                <a16:creationId xmlns:a16="http://schemas.microsoft.com/office/drawing/2014/main" id="{36C331C0-5555-4B44-B7D7-8361A3E069E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7" name="正方形/長方形 48">
            <a:extLst>
              <a:ext uri="{FF2B5EF4-FFF2-40B4-BE49-F238E27FC236}">
                <a16:creationId xmlns:a16="http://schemas.microsoft.com/office/drawing/2014/main" id="{4114D278-72CA-46F1-9D4A-1EDCDAE66815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５．再入金</a:t>
            </a:r>
            <a:endParaRPr kumimoji="1" lang="en-US" altLang="ja-JP" sz="900"/>
          </a:p>
        </xdr:txBody>
      </xdr:sp>
    </xdr:grpSp>
    <xdr:clientData/>
  </xdr:twoCellAnchor>
  <xdr:twoCellAnchor>
    <xdr:from>
      <xdr:col>5</xdr:col>
      <xdr:colOff>24631</xdr:colOff>
      <xdr:row>85</xdr:row>
      <xdr:rowOff>121597</xdr:rowOff>
    </xdr:from>
    <xdr:to>
      <xdr:col>17</xdr:col>
      <xdr:colOff>147648</xdr:colOff>
      <xdr:row>91</xdr:row>
      <xdr:rowOff>167714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B5651881-8715-4361-AD04-672B24DD47EB}"/>
            </a:ext>
          </a:extLst>
        </xdr:cNvPr>
        <xdr:cNvCxnSpPr>
          <a:cxnSpLocks/>
          <a:stCxn id="73" idx="2"/>
          <a:endCxn id="76" idx="0"/>
        </xdr:cNvCxnSpPr>
      </xdr:nvCxnSpPr>
      <xdr:spPr>
        <a:xfrm rot="5400000">
          <a:off x="1777581" y="13799147"/>
          <a:ext cx="1054646" cy="254348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24329</xdr:colOff>
      <xdr:row>66</xdr:row>
      <xdr:rowOff>417</xdr:rowOff>
    </xdr:from>
    <xdr:to>
      <xdr:col>19</xdr:col>
      <xdr:colOff>145699</xdr:colOff>
      <xdr:row>94</xdr:row>
      <xdr:rowOff>111511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6F3B1756-EAB7-4F3B-88FE-9BB7AA075F9A}"/>
            </a:ext>
          </a:extLst>
        </xdr:cNvPr>
        <xdr:cNvCxnSpPr>
          <a:cxnSpLocks/>
          <a:stCxn id="76" idx="2"/>
          <a:endCxn id="35" idx="1"/>
        </xdr:cNvCxnSpPr>
      </xdr:nvCxnSpPr>
      <xdr:spPr>
        <a:xfrm rot="5400000" flipH="1" flipV="1">
          <a:off x="69154" y="12349998"/>
          <a:ext cx="4889469" cy="2955058"/>
        </a:xfrm>
        <a:prstGeom prst="bentConnector4">
          <a:avLst>
            <a:gd name="adj1" fmla="val -4675"/>
            <a:gd name="adj2" fmla="val -25053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178110</xdr:colOff>
      <xdr:row>58</xdr:row>
      <xdr:rowOff>47438</xdr:rowOff>
    </xdr:from>
    <xdr:to>
      <xdr:col>27</xdr:col>
      <xdr:colOff>153708</xdr:colOff>
      <xdr:row>61</xdr:row>
      <xdr:rowOff>86986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6A8B5035-ADAD-43D2-93F9-981724CD8396}"/>
            </a:ext>
          </a:extLst>
        </xdr:cNvPr>
        <xdr:cNvGrpSpPr/>
      </xdr:nvGrpSpPr>
      <xdr:grpSpPr>
        <a:xfrm>
          <a:off x="4858359" y="10403578"/>
          <a:ext cx="1043967" cy="577431"/>
          <a:chOff x="274093" y="5723834"/>
          <a:chExt cx="1046820" cy="560320"/>
        </a:xfrm>
      </xdr:grpSpPr>
      <xdr:sp macro="" textlink="">
        <xdr:nvSpPr>
          <xdr:cNvPr id="81" name="フローチャート: 他ページ結合子 80">
            <a:extLst>
              <a:ext uri="{FF2B5EF4-FFF2-40B4-BE49-F238E27FC236}">
                <a16:creationId xmlns:a16="http://schemas.microsoft.com/office/drawing/2014/main" id="{A1535C33-B339-4B4B-9974-06FDC1E43F60}"/>
              </a:ext>
            </a:extLst>
          </xdr:cNvPr>
          <xdr:cNvSpPr/>
        </xdr:nvSpPr>
        <xdr:spPr>
          <a:xfrm>
            <a:off x="493036" y="5784946"/>
            <a:ext cx="601852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2" name="正方形/長方形 48">
            <a:extLst>
              <a:ext uri="{FF2B5EF4-FFF2-40B4-BE49-F238E27FC236}">
                <a16:creationId xmlns:a16="http://schemas.microsoft.com/office/drawing/2014/main" id="{DF96076F-A8B1-4AE7-B5D4-75A659DEE047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2.4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</a:p>
        </xdr:txBody>
      </xdr:sp>
    </xdr:grpSp>
    <xdr:clientData/>
  </xdr:twoCellAnchor>
  <xdr:twoCellAnchor>
    <xdr:from>
      <xdr:col>22</xdr:col>
      <xdr:colOff>35130</xdr:colOff>
      <xdr:row>61</xdr:row>
      <xdr:rowOff>33138</xdr:rowOff>
    </xdr:from>
    <xdr:to>
      <xdr:col>25</xdr:col>
      <xdr:colOff>61366</xdr:colOff>
      <xdr:row>64</xdr:row>
      <xdr:rowOff>110671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076B2F70-37D4-42DE-BCBE-FB7068EE8C9B}"/>
            </a:ext>
          </a:extLst>
        </xdr:cNvPr>
        <xdr:cNvCxnSpPr>
          <a:cxnSpLocks/>
          <a:stCxn id="81" idx="2"/>
          <a:endCxn id="35" idx="0"/>
        </xdr:cNvCxnSpPr>
      </xdr:nvCxnSpPr>
      <xdr:spPr>
        <a:xfrm rot="5400000">
          <a:off x="4510044" y="10540256"/>
          <a:ext cx="589502" cy="63345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136990</xdr:colOff>
      <xdr:row>13</xdr:row>
      <xdr:rowOff>73219</xdr:rowOff>
    </xdr:from>
    <xdr:to>
      <xdr:col>21</xdr:col>
      <xdr:colOff>29</xdr:colOff>
      <xdr:row>15</xdr:row>
      <xdr:rowOff>109040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FF4D4A26-DC0A-4519-9B3F-E2CF750B08DC}"/>
            </a:ext>
          </a:extLst>
        </xdr:cNvPr>
        <xdr:cNvCxnSpPr>
          <a:cxnSpLocks/>
          <a:stCxn id="125" idx="2"/>
          <a:endCxn id="137" idx="0"/>
        </xdr:cNvCxnSpPr>
      </xdr:nvCxnSpPr>
      <xdr:spPr>
        <a:xfrm rot="5400000">
          <a:off x="2986540" y="1713492"/>
          <a:ext cx="379468" cy="180539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202070</xdr:colOff>
      <xdr:row>26</xdr:row>
      <xdr:rowOff>64170</xdr:rowOff>
    </xdr:from>
    <xdr:to>
      <xdr:col>23</xdr:col>
      <xdr:colOff>105822</xdr:colOff>
      <xdr:row>29</xdr:row>
      <xdr:rowOff>35460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C4BB064E-07CF-45AF-ACC9-CDCE9E30AF49}"/>
            </a:ext>
          </a:extLst>
        </xdr:cNvPr>
        <xdr:cNvGrpSpPr/>
      </xdr:nvGrpSpPr>
      <xdr:grpSpPr>
        <a:xfrm>
          <a:off x="3825380" y="4688389"/>
          <a:ext cx="1175508" cy="512983"/>
          <a:chOff x="1612900" y="2427475"/>
          <a:chExt cx="933032" cy="404625"/>
        </a:xfrm>
      </xdr:grpSpPr>
      <xdr:sp macro="" textlink="">
        <xdr:nvSpPr>
          <xdr:cNvPr id="118" name="フローチャート: 定義済み処理 117">
            <a:extLst>
              <a:ext uri="{FF2B5EF4-FFF2-40B4-BE49-F238E27FC236}">
                <a16:creationId xmlns:a16="http://schemas.microsoft.com/office/drawing/2014/main" id="{E71D7E32-2EAD-4972-A125-9414F50B4136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486FB439-AA60-4147-9F02-226CD6B34985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</a:t>
            </a:r>
            <a:r>
              <a:rPr kumimoji="1" lang="ja-JP" altLang="en-US" sz="900"/>
              <a:t>．</a:t>
            </a:r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取り込み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122265</xdr:colOff>
      <xdr:row>18</xdr:row>
      <xdr:rowOff>47443</xdr:rowOff>
    </xdr:from>
    <xdr:to>
      <xdr:col>20</xdr:col>
      <xdr:colOff>166604</xdr:colOff>
      <xdr:row>20</xdr:row>
      <xdr:rowOff>80790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286CDB80-F065-4462-AD9B-978220F7C72B}"/>
            </a:ext>
          </a:extLst>
        </xdr:cNvPr>
        <xdr:cNvCxnSpPr>
          <a:cxnSpLocks/>
          <a:stCxn id="138" idx="2"/>
          <a:endCxn id="172" idx="0"/>
        </xdr:cNvCxnSpPr>
      </xdr:nvCxnSpPr>
      <xdr:spPr>
        <a:xfrm rot="16200000" flipH="1">
          <a:off x="2966585" y="2552064"/>
          <a:ext cx="376994" cy="179245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73819</xdr:colOff>
      <xdr:row>10</xdr:row>
      <xdr:rowOff>88255</xdr:rowOff>
    </xdr:from>
    <xdr:to>
      <xdr:col>23</xdr:col>
      <xdr:colOff>130969</xdr:colOff>
      <xdr:row>13</xdr:row>
      <xdr:rowOff>130978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4A2861A0-2C11-43A7-B233-90D2DBEF3614}"/>
            </a:ext>
          </a:extLst>
        </xdr:cNvPr>
        <xdr:cNvGrpSpPr/>
      </xdr:nvGrpSpPr>
      <xdr:grpSpPr>
        <a:xfrm>
          <a:off x="3906231" y="1851389"/>
          <a:ext cx="1125519" cy="580605"/>
          <a:chOff x="274093" y="5723834"/>
          <a:chExt cx="1046820" cy="560320"/>
        </a:xfrm>
      </xdr:grpSpPr>
      <xdr:sp macro="" textlink="">
        <xdr:nvSpPr>
          <xdr:cNvPr id="125" name="フローチャート: 他ページ結合子 124">
            <a:extLst>
              <a:ext uri="{FF2B5EF4-FFF2-40B4-BE49-F238E27FC236}">
                <a16:creationId xmlns:a16="http://schemas.microsoft.com/office/drawing/2014/main" id="{FE68EBDE-C2B0-4BCE-8641-51EDDD38C123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6" name="正方形/長方形 48">
            <a:extLst>
              <a:ext uri="{FF2B5EF4-FFF2-40B4-BE49-F238E27FC236}">
                <a16:creationId xmlns:a16="http://schemas.microsoft.com/office/drawing/2014/main" id="{F9EE7346-B254-4F50-BFF8-329D6398CD3B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2.3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都度請求</a:t>
            </a:r>
          </a:p>
        </xdr:txBody>
      </xdr:sp>
    </xdr:grpSp>
    <xdr:clientData/>
  </xdr:twoCellAnchor>
  <xdr:twoCellAnchor>
    <xdr:from>
      <xdr:col>18</xdr:col>
      <xdr:colOff>74644</xdr:colOff>
      <xdr:row>51</xdr:row>
      <xdr:rowOff>126762</xdr:rowOff>
    </xdr:from>
    <xdr:to>
      <xdr:col>23</xdr:col>
      <xdr:colOff>101632</xdr:colOff>
      <xdr:row>54</xdr:row>
      <xdr:rowOff>66529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BC3994AF-8CE0-4610-9E66-567B194B9486}"/>
            </a:ext>
          </a:extLst>
        </xdr:cNvPr>
        <xdr:cNvGrpSpPr/>
      </xdr:nvGrpSpPr>
      <xdr:grpSpPr>
        <a:xfrm>
          <a:off x="3907056" y="9240954"/>
          <a:ext cx="1087737" cy="471935"/>
          <a:chOff x="309100" y="5676232"/>
          <a:chExt cx="988512" cy="491455"/>
        </a:xfrm>
      </xdr:grpSpPr>
      <xdr:sp macro="" textlink="">
        <xdr:nvSpPr>
          <xdr:cNvPr id="128" name="フローチャート: 他ページ結合子 127">
            <a:extLst>
              <a:ext uri="{FF2B5EF4-FFF2-40B4-BE49-F238E27FC236}">
                <a16:creationId xmlns:a16="http://schemas.microsoft.com/office/drawing/2014/main" id="{DA15D8DC-2A55-4747-AEA4-08CA7B5284CF}"/>
              </a:ext>
            </a:extLst>
          </xdr:cNvPr>
          <xdr:cNvSpPr/>
        </xdr:nvSpPr>
        <xdr:spPr>
          <a:xfrm>
            <a:off x="492124" y="5699794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9" name="正方形/長方形 48">
            <a:extLst>
              <a:ext uri="{FF2B5EF4-FFF2-40B4-BE49-F238E27FC236}">
                <a16:creationId xmlns:a16="http://schemas.microsoft.com/office/drawing/2014/main" id="{48E169C9-C97B-4AB9-9A59-FE398BD56A9A}"/>
              </a:ext>
            </a:extLst>
          </xdr:cNvPr>
          <xdr:cNvSpPr/>
        </xdr:nvSpPr>
        <xdr:spPr>
          <a:xfrm>
            <a:off x="309100" y="5676232"/>
            <a:ext cx="988512" cy="4914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6.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入金消込</a:t>
            </a:r>
          </a:p>
        </xdr:txBody>
      </xdr:sp>
    </xdr:grpSp>
    <xdr:clientData/>
  </xdr:twoCellAnchor>
  <xdr:twoCellAnchor>
    <xdr:from>
      <xdr:col>56</xdr:col>
      <xdr:colOff>27828</xdr:colOff>
      <xdr:row>20</xdr:row>
      <xdr:rowOff>6812</xdr:rowOff>
    </xdr:from>
    <xdr:to>
      <xdr:col>61</xdr:col>
      <xdr:colOff>43328</xdr:colOff>
      <xdr:row>23</xdr:row>
      <xdr:rowOff>166279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38FE0EDB-0070-4ECC-883F-2792F1D10972}"/>
            </a:ext>
          </a:extLst>
        </xdr:cNvPr>
        <xdr:cNvGrpSpPr>
          <a:grpSpLocks noChangeAspect="1"/>
        </xdr:cNvGrpSpPr>
      </xdr:nvGrpSpPr>
      <xdr:grpSpPr>
        <a:xfrm>
          <a:off x="11948982" y="3560982"/>
          <a:ext cx="1083869" cy="699254"/>
          <a:chOff x="7112000" y="2892425"/>
          <a:chExt cx="873125" cy="584982"/>
        </a:xfrm>
      </xdr:grpSpPr>
      <xdr:sp macro="" textlink="">
        <xdr:nvSpPr>
          <xdr:cNvPr id="131" name="フローチャート: 磁気ディスク 130">
            <a:extLst>
              <a:ext uri="{FF2B5EF4-FFF2-40B4-BE49-F238E27FC236}">
                <a16:creationId xmlns:a16="http://schemas.microsoft.com/office/drawing/2014/main" id="{80739F57-DFF0-4A09-B51D-187444FBA988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2A2B1CAD-5574-413A-9E08-801E7625EFF5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銀行システム</a:t>
            </a:r>
          </a:p>
        </xdr:txBody>
      </xdr:sp>
    </xdr:grpSp>
    <xdr:clientData/>
  </xdr:twoCellAnchor>
  <xdr:twoCellAnchor>
    <xdr:from>
      <xdr:col>8</xdr:col>
      <xdr:colOff>172848</xdr:colOff>
      <xdr:row>15</xdr:row>
      <xdr:rowOff>88525</xdr:rowOff>
    </xdr:from>
    <xdr:to>
      <xdr:col>14</xdr:col>
      <xdr:colOff>71684</xdr:colOff>
      <xdr:row>18</xdr:row>
      <xdr:rowOff>47443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4C7D354D-70F2-4F64-98A5-4231998B715C}"/>
            </a:ext>
          </a:extLst>
        </xdr:cNvPr>
        <xdr:cNvGrpSpPr/>
      </xdr:nvGrpSpPr>
      <xdr:grpSpPr>
        <a:xfrm>
          <a:off x="1872332" y="2748129"/>
          <a:ext cx="1178212" cy="494895"/>
          <a:chOff x="1612900" y="2439903"/>
          <a:chExt cx="933032" cy="405753"/>
        </a:xfrm>
      </xdr:grpSpPr>
      <xdr:sp macro="" textlink="">
        <xdr:nvSpPr>
          <xdr:cNvPr id="137" name="フローチャート: 処理 136">
            <a:extLst>
              <a:ext uri="{FF2B5EF4-FFF2-40B4-BE49-F238E27FC236}">
                <a16:creationId xmlns:a16="http://schemas.microsoft.com/office/drawing/2014/main" id="{D84859BE-5E14-4F89-9A83-0B804AFCF5F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8" name="正方形/長方形 48">
            <a:extLst>
              <a:ext uri="{FF2B5EF4-FFF2-40B4-BE49-F238E27FC236}">
                <a16:creationId xmlns:a16="http://schemas.microsoft.com/office/drawing/2014/main" id="{22409ADF-259E-4FBE-BB92-AAF55BFEB22E}"/>
              </a:ext>
            </a:extLst>
          </xdr:cNvPr>
          <xdr:cNvSpPr/>
        </xdr:nvSpPr>
        <xdr:spPr>
          <a:xfrm>
            <a:off x="1612900" y="2439903"/>
            <a:ext cx="933032" cy="4057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</a:t>
            </a:r>
            <a:r>
              <a:rPr kumimoji="1" lang="ja-JP" altLang="en-US" sz="900"/>
              <a:t>．入金情報提示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9572</xdr:colOff>
      <xdr:row>10</xdr:row>
      <xdr:rowOff>91261</xdr:rowOff>
    </xdr:from>
    <xdr:to>
      <xdr:col>28</xdr:col>
      <xdr:colOff>1681</xdr:colOff>
      <xdr:row>13</xdr:row>
      <xdr:rowOff>137720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80635162-B46C-404F-8E24-0F024324DD4B}"/>
            </a:ext>
          </a:extLst>
        </xdr:cNvPr>
        <xdr:cNvGrpSpPr/>
      </xdr:nvGrpSpPr>
      <xdr:grpSpPr>
        <a:xfrm>
          <a:off x="4908448" y="1854395"/>
          <a:ext cx="1054762" cy="576721"/>
          <a:chOff x="274093" y="5723834"/>
          <a:chExt cx="1046820" cy="560320"/>
        </a:xfrm>
      </xdr:grpSpPr>
      <xdr:sp macro="" textlink="">
        <xdr:nvSpPr>
          <xdr:cNvPr id="140" name="フローチャート: 他ページ結合子 139">
            <a:extLst>
              <a:ext uri="{FF2B5EF4-FFF2-40B4-BE49-F238E27FC236}">
                <a16:creationId xmlns:a16="http://schemas.microsoft.com/office/drawing/2014/main" id="{0444225F-BF53-4A9E-9651-71DDB32C5D90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1" name="正方形/長方形 48">
            <a:extLst>
              <a:ext uri="{FF2B5EF4-FFF2-40B4-BE49-F238E27FC236}">
                <a16:creationId xmlns:a16="http://schemas.microsoft.com/office/drawing/2014/main" id="{3ED603EF-19D6-412A-9226-C8A98154575E}"/>
              </a:ext>
            </a:extLst>
          </xdr:cNvPr>
          <xdr:cNvSpPr/>
        </xdr:nvSpPr>
        <xdr:spPr>
          <a:xfrm>
            <a:off x="274093" y="5723834"/>
            <a:ext cx="1046820" cy="5603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2.4</a:t>
            </a:r>
            <a:endParaRPr kumimoji="0" lang="en-US" altLang="ja-JP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締め請求</a:t>
            </a:r>
          </a:p>
        </xdr:txBody>
      </xdr:sp>
    </xdr:grpSp>
    <xdr:clientData/>
  </xdr:twoCellAnchor>
  <xdr:twoCellAnchor>
    <xdr:from>
      <xdr:col>11</xdr:col>
      <xdr:colOff>136991</xdr:colOff>
      <xdr:row>13</xdr:row>
      <xdr:rowOff>79574</xdr:rowOff>
    </xdr:from>
    <xdr:to>
      <xdr:col>25</xdr:col>
      <xdr:colOff>97830</xdr:colOff>
      <xdr:row>15</xdr:row>
      <xdr:rowOff>109040</xdr:rowOff>
    </xdr:to>
    <xdr:cxnSp macro="">
      <xdr:nvCxnSpPr>
        <xdr:cNvPr id="142" name="コネクタ: カギ線 141">
          <a:extLst>
            <a:ext uri="{FF2B5EF4-FFF2-40B4-BE49-F238E27FC236}">
              <a16:creationId xmlns:a16="http://schemas.microsoft.com/office/drawing/2014/main" id="{9DCF48CA-06BB-460D-9306-087ECC90A7A5}"/>
            </a:ext>
          </a:extLst>
        </xdr:cNvPr>
        <xdr:cNvCxnSpPr>
          <a:cxnSpLocks/>
          <a:stCxn id="140" idx="2"/>
          <a:endCxn id="137" idx="0"/>
        </xdr:cNvCxnSpPr>
      </xdr:nvCxnSpPr>
      <xdr:spPr>
        <a:xfrm rot="5400000">
          <a:off x="3427089" y="1279299"/>
          <a:ext cx="373113" cy="268013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52827</xdr:colOff>
      <xdr:row>27</xdr:row>
      <xdr:rowOff>153529</xdr:rowOff>
    </xdr:from>
    <xdr:to>
      <xdr:col>49</xdr:col>
      <xdr:colOff>101552</xdr:colOff>
      <xdr:row>27</xdr:row>
      <xdr:rowOff>162377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12ED2999-7F49-4F24-90DB-F8FA9139555B}"/>
            </a:ext>
          </a:extLst>
        </xdr:cNvPr>
        <xdr:cNvCxnSpPr>
          <a:cxnSpLocks/>
          <a:stCxn id="118" idx="3"/>
          <a:endCxn id="210" idx="2"/>
        </xdr:cNvCxnSpPr>
      </xdr:nvCxnSpPr>
      <xdr:spPr>
        <a:xfrm>
          <a:off x="4726427" y="4896979"/>
          <a:ext cx="3909525" cy="884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184976</xdr:colOff>
      <xdr:row>47</xdr:row>
      <xdr:rowOff>39015</xdr:rowOff>
    </xdr:from>
    <xdr:to>
      <xdr:col>44</xdr:col>
      <xdr:colOff>130629</xdr:colOff>
      <xdr:row>51</xdr:row>
      <xdr:rowOff>123588</xdr:rowOff>
    </xdr:to>
    <xdr:cxnSp macro="">
      <xdr:nvCxnSpPr>
        <xdr:cNvPr id="155" name="コネクタ: カギ線 154">
          <a:extLst>
            <a:ext uri="{FF2B5EF4-FFF2-40B4-BE49-F238E27FC236}">
              <a16:creationId xmlns:a16="http://schemas.microsoft.com/office/drawing/2014/main" id="{93F5795C-08E8-4F35-AB36-FB4F025D17E0}"/>
            </a:ext>
          </a:extLst>
        </xdr:cNvPr>
        <xdr:cNvCxnSpPr>
          <a:cxnSpLocks/>
          <a:stCxn id="133" idx="2"/>
          <a:endCxn id="129" idx="0"/>
        </xdr:cNvCxnSpPr>
      </xdr:nvCxnSpPr>
      <xdr:spPr>
        <a:xfrm rot="5400000">
          <a:off x="5875340" y="6092416"/>
          <a:ext cx="756926" cy="451765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180071</xdr:colOff>
      <xdr:row>20</xdr:row>
      <xdr:rowOff>46264</xdr:rowOff>
    </xdr:from>
    <xdr:to>
      <xdr:col>23</xdr:col>
      <xdr:colOff>122484</xdr:colOff>
      <xdr:row>22</xdr:row>
      <xdr:rowOff>175024</xdr:rowOff>
    </xdr:to>
    <xdr:grpSp>
      <xdr:nvGrpSpPr>
        <xdr:cNvPr id="171" name="グループ化 170">
          <a:extLst>
            <a:ext uri="{FF2B5EF4-FFF2-40B4-BE49-F238E27FC236}">
              <a16:creationId xmlns:a16="http://schemas.microsoft.com/office/drawing/2014/main" id="{EC7CEC4C-7295-4B5D-A88A-589DDEC352BF}"/>
            </a:ext>
          </a:extLst>
        </xdr:cNvPr>
        <xdr:cNvGrpSpPr/>
      </xdr:nvGrpSpPr>
      <xdr:grpSpPr>
        <a:xfrm>
          <a:off x="3797666" y="3600434"/>
          <a:ext cx="1223694" cy="481633"/>
          <a:chOff x="1612900" y="2427475"/>
          <a:chExt cx="933032" cy="404625"/>
        </a:xfrm>
      </xdr:grpSpPr>
      <xdr:sp macro="" textlink="">
        <xdr:nvSpPr>
          <xdr:cNvPr id="172" name="フローチャート: 定義済み処理 171">
            <a:extLst>
              <a:ext uri="{FF2B5EF4-FFF2-40B4-BE49-F238E27FC236}">
                <a16:creationId xmlns:a16="http://schemas.microsoft.com/office/drawing/2014/main" id="{AA103A81-A018-4DDB-9763-419B99B57C6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B63D8001-F2A1-458C-9178-E441CED9AC66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</a:t>
            </a:r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ダウンロード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67664</xdr:colOff>
      <xdr:row>21</xdr:row>
      <xdr:rowOff>124705</xdr:rowOff>
    </xdr:from>
    <xdr:to>
      <xdr:col>56</xdr:col>
      <xdr:colOff>136604</xdr:colOff>
      <xdr:row>21</xdr:row>
      <xdr:rowOff>144392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32F4FF8F-D196-404B-9FD8-4987D83102DD}"/>
            </a:ext>
          </a:extLst>
        </xdr:cNvPr>
        <xdr:cNvCxnSpPr>
          <a:cxnSpLocks/>
          <a:stCxn id="131" idx="2"/>
          <a:endCxn id="172" idx="3"/>
        </xdr:cNvCxnSpPr>
      </xdr:nvCxnSpPr>
      <xdr:spPr>
        <a:xfrm flipH="1" flipV="1">
          <a:off x="4741264" y="3839455"/>
          <a:ext cx="5352140" cy="1968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44809</xdr:colOff>
      <xdr:row>22</xdr:row>
      <xdr:rowOff>58695</xdr:rowOff>
    </xdr:from>
    <xdr:to>
      <xdr:col>27</xdr:col>
      <xdr:colOff>93535</xdr:colOff>
      <xdr:row>24</xdr:row>
      <xdr:rowOff>127711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BE152870-B497-4CF6-A22F-7DA91C530091}"/>
            </a:ext>
          </a:extLst>
        </xdr:cNvPr>
        <xdr:cNvGrpSpPr/>
      </xdr:nvGrpSpPr>
      <xdr:grpSpPr>
        <a:xfrm>
          <a:off x="4730773" y="3965738"/>
          <a:ext cx="1115190" cy="435224"/>
          <a:chOff x="4305300" y="5730875"/>
          <a:chExt cx="1003300" cy="425450"/>
        </a:xfrm>
      </xdr:grpSpPr>
      <xdr:sp macro="" textlink="">
        <xdr:nvSpPr>
          <xdr:cNvPr id="176" name="AutoShape 49">
            <a:extLst>
              <a:ext uri="{FF2B5EF4-FFF2-40B4-BE49-F238E27FC236}">
                <a16:creationId xmlns:a16="http://schemas.microsoft.com/office/drawing/2014/main" id="{03B6116F-F594-4F88-8CE8-79E83343CD3A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77" name="正方形/長方形 48">
            <a:extLst>
              <a:ext uri="{FF2B5EF4-FFF2-40B4-BE49-F238E27FC236}">
                <a16:creationId xmlns:a16="http://schemas.microsoft.com/office/drawing/2014/main" id="{F46FF549-9280-4461-A34C-E8BE9621EDE1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</a:p>
        </xdr:txBody>
      </xdr:sp>
    </xdr:grpSp>
    <xdr:clientData/>
  </xdr:twoCellAnchor>
  <xdr:twoCellAnchor>
    <xdr:from>
      <xdr:col>20</xdr:col>
      <xdr:colOff>150772</xdr:colOff>
      <xdr:row>29</xdr:row>
      <xdr:rowOff>30297</xdr:rowOff>
    </xdr:from>
    <xdr:to>
      <xdr:col>20</xdr:col>
      <xdr:colOff>161614</xdr:colOff>
      <xdr:row>34</xdr:row>
      <xdr:rowOff>30620</xdr:rowOff>
    </xdr:to>
    <xdr:cxnSp macro="">
      <xdr:nvCxnSpPr>
        <xdr:cNvPr id="178" name="コネクタ: カギ線 177">
          <a:extLst>
            <a:ext uri="{FF2B5EF4-FFF2-40B4-BE49-F238E27FC236}">
              <a16:creationId xmlns:a16="http://schemas.microsoft.com/office/drawing/2014/main" id="{2F8ED460-CEC6-4ACE-9308-90FE4F215353}"/>
            </a:ext>
          </a:extLst>
        </xdr:cNvPr>
        <xdr:cNvCxnSpPr>
          <a:cxnSpLocks/>
          <a:stCxn id="119" idx="2"/>
          <a:endCxn id="4" idx="0"/>
        </xdr:cNvCxnSpPr>
      </xdr:nvCxnSpPr>
      <xdr:spPr>
        <a:xfrm rot="16200000" flipH="1">
          <a:off x="3769928" y="5454288"/>
          <a:ext cx="840765" cy="1084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145856</xdr:colOff>
      <xdr:row>22</xdr:row>
      <xdr:rowOff>175197</xdr:rowOff>
    </xdr:from>
    <xdr:to>
      <xdr:col>20</xdr:col>
      <xdr:colOff>145856</xdr:colOff>
      <xdr:row>26</xdr:row>
      <xdr:rowOff>66298</xdr:rowOff>
    </xdr:to>
    <xdr:cxnSp macro="">
      <xdr:nvCxnSpPr>
        <xdr:cNvPr id="179" name="コネクタ: カギ線 178">
          <a:extLst>
            <a:ext uri="{FF2B5EF4-FFF2-40B4-BE49-F238E27FC236}">
              <a16:creationId xmlns:a16="http://schemas.microsoft.com/office/drawing/2014/main" id="{1495BC01-B0CA-4B5E-9508-E954A51A4334}"/>
            </a:ext>
          </a:extLst>
        </xdr:cNvPr>
        <xdr:cNvCxnSpPr>
          <a:cxnSpLocks/>
          <a:stCxn id="173" idx="2"/>
          <a:endCxn id="119" idx="0"/>
        </xdr:cNvCxnSpPr>
      </xdr:nvCxnSpPr>
      <xdr:spPr>
        <a:xfrm rot="5400000">
          <a:off x="3928663" y="4461426"/>
          <a:ext cx="598672" cy="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26</xdr:row>
      <xdr:rowOff>69850</xdr:rowOff>
    </xdr:from>
    <xdr:to>
      <xdr:col>54</xdr:col>
      <xdr:colOff>17439</xdr:colOff>
      <xdr:row>29</xdr:row>
      <xdr:rowOff>137189</xdr:rowOff>
    </xdr:to>
    <xdr:grpSp>
      <xdr:nvGrpSpPr>
        <xdr:cNvPr id="209" name="グループ化 208">
          <a:extLst>
            <a:ext uri="{FF2B5EF4-FFF2-40B4-BE49-F238E27FC236}">
              <a16:creationId xmlns:a16="http://schemas.microsoft.com/office/drawing/2014/main" id="{348CED96-C887-401A-B720-E2C4E653382F}"/>
            </a:ext>
          </a:extLst>
        </xdr:cNvPr>
        <xdr:cNvGrpSpPr/>
      </xdr:nvGrpSpPr>
      <xdr:grpSpPr>
        <a:xfrm>
          <a:off x="10432676" y="4695974"/>
          <a:ext cx="1085808" cy="603317"/>
          <a:chOff x="7113907" y="2892425"/>
          <a:chExt cx="917588" cy="591189"/>
        </a:xfrm>
      </xdr:grpSpPr>
      <xdr:sp macro="" textlink="">
        <xdr:nvSpPr>
          <xdr:cNvPr id="210" name="フローチャート: 磁気ディスク 209">
            <a:extLst>
              <a:ext uri="{FF2B5EF4-FFF2-40B4-BE49-F238E27FC236}">
                <a16:creationId xmlns:a16="http://schemas.microsoft.com/office/drawing/2014/main" id="{1F98F76B-F617-4403-A752-6AC329CD8C8E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9C5671F1-643A-467B-A4C7-56A1DE468557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</a:p>
        </xdr:txBody>
      </xdr:sp>
    </xdr:grpSp>
    <xdr:clientData/>
  </xdr:twoCellAnchor>
  <xdr:twoCellAnchor>
    <xdr:from>
      <xdr:col>22</xdr:col>
      <xdr:colOff>64232</xdr:colOff>
      <xdr:row>28</xdr:row>
      <xdr:rowOff>38151</xdr:rowOff>
    </xdr:from>
    <xdr:to>
      <xdr:col>27</xdr:col>
      <xdr:colOff>122483</xdr:colOff>
      <xdr:row>30</xdr:row>
      <xdr:rowOff>95187</xdr:rowOff>
    </xdr:to>
    <xdr:grpSp>
      <xdr:nvGrpSpPr>
        <xdr:cNvPr id="214" name="グループ化 213">
          <a:extLst>
            <a:ext uri="{FF2B5EF4-FFF2-40B4-BE49-F238E27FC236}">
              <a16:creationId xmlns:a16="http://schemas.microsoft.com/office/drawing/2014/main" id="{2E8BD7F2-CD42-46AB-88F0-830AA9987A0E}"/>
            </a:ext>
          </a:extLst>
        </xdr:cNvPr>
        <xdr:cNvGrpSpPr/>
      </xdr:nvGrpSpPr>
      <xdr:grpSpPr>
        <a:xfrm>
          <a:off x="4744481" y="5024769"/>
          <a:ext cx="1128525" cy="419434"/>
          <a:chOff x="4305300" y="5730875"/>
          <a:chExt cx="1003300" cy="425450"/>
        </a:xfrm>
      </xdr:grpSpPr>
      <xdr:sp macro="" textlink="">
        <xdr:nvSpPr>
          <xdr:cNvPr id="215" name="AutoShape 49">
            <a:extLst>
              <a:ext uri="{FF2B5EF4-FFF2-40B4-BE49-F238E27FC236}">
                <a16:creationId xmlns:a16="http://schemas.microsoft.com/office/drawing/2014/main" id="{E1EF1FDD-8DF5-4347-90AC-8913841F1AE4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16" name="正方形/長方形 48">
            <a:extLst>
              <a:ext uri="{FF2B5EF4-FFF2-40B4-BE49-F238E27FC236}">
                <a16:creationId xmlns:a16="http://schemas.microsoft.com/office/drawing/2014/main" id="{68FA9FBB-E0C2-4971-A066-1C5D7E323C8C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</a:p>
        </xdr:txBody>
      </xdr:sp>
    </xdr:grpSp>
    <xdr:clientData/>
  </xdr:twoCellAnchor>
  <xdr:twoCellAnchor>
    <xdr:from>
      <xdr:col>49</xdr:col>
      <xdr:colOff>12699</xdr:colOff>
      <xdr:row>44</xdr:row>
      <xdr:rowOff>32873</xdr:rowOff>
    </xdr:from>
    <xdr:to>
      <xdr:col>54</xdr:col>
      <xdr:colOff>17438</xdr:colOff>
      <xdr:row>47</xdr:row>
      <xdr:rowOff>87699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47C95B10-BE6A-4B00-A94A-653D0F2F0657}"/>
            </a:ext>
          </a:extLst>
        </xdr:cNvPr>
        <xdr:cNvGrpSpPr/>
      </xdr:nvGrpSpPr>
      <xdr:grpSpPr>
        <a:xfrm>
          <a:off x="10449185" y="7886292"/>
          <a:ext cx="1069298" cy="598423"/>
          <a:chOff x="7113907" y="2892425"/>
          <a:chExt cx="917588" cy="591189"/>
        </a:xfrm>
      </xdr:grpSpPr>
      <xdr:sp macro="" textlink="">
        <xdr:nvSpPr>
          <xdr:cNvPr id="227" name="フローチャート: 磁気ディスク 226">
            <a:extLst>
              <a:ext uri="{FF2B5EF4-FFF2-40B4-BE49-F238E27FC236}">
                <a16:creationId xmlns:a16="http://schemas.microsoft.com/office/drawing/2014/main" id="{B56039F4-E388-4198-A062-DE36A07E312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8" name="正方形/長方形 227">
            <a:extLst>
              <a:ext uri="{FF2B5EF4-FFF2-40B4-BE49-F238E27FC236}">
                <a16:creationId xmlns:a16="http://schemas.microsoft.com/office/drawing/2014/main" id="{975430E9-E634-4846-B8EA-15C4281BD583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47</xdr:col>
      <xdr:colOff>50945</xdr:colOff>
      <xdr:row>45</xdr:row>
      <xdr:rowOff>115331</xdr:rowOff>
    </xdr:from>
    <xdr:to>
      <xdr:col>49</xdr:col>
      <xdr:colOff>103900</xdr:colOff>
      <xdr:row>45</xdr:row>
      <xdr:rowOff>142926</xdr:rowOff>
    </xdr:to>
    <xdr:cxnSp macro="">
      <xdr:nvCxnSpPr>
        <xdr:cNvPr id="231" name="コネクタ: カギ線 230">
          <a:extLst>
            <a:ext uri="{FF2B5EF4-FFF2-40B4-BE49-F238E27FC236}">
              <a16:creationId xmlns:a16="http://schemas.microsoft.com/office/drawing/2014/main" id="{9C1784EA-674C-4616-8330-9E65D2D72BF2}"/>
            </a:ext>
          </a:extLst>
        </xdr:cNvPr>
        <xdr:cNvCxnSpPr>
          <a:cxnSpLocks/>
          <a:stCxn id="133" idx="3"/>
          <a:endCxn id="227" idx="2"/>
        </xdr:cNvCxnSpPr>
      </xdr:nvCxnSpPr>
      <xdr:spPr>
        <a:xfrm flipV="1">
          <a:off x="9004445" y="7712919"/>
          <a:ext cx="433955" cy="2759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198950</xdr:colOff>
      <xdr:row>61</xdr:row>
      <xdr:rowOff>32848</xdr:rowOff>
    </xdr:from>
    <xdr:to>
      <xdr:col>22</xdr:col>
      <xdr:colOff>35131</xdr:colOff>
      <xdr:row>64</xdr:row>
      <xdr:rowOff>110670</xdr:rowOff>
    </xdr:to>
    <xdr:cxnSp macro="">
      <xdr:nvCxnSpPr>
        <xdr:cNvPr id="240" name="コネクタ: カギ線 239">
          <a:extLst>
            <a:ext uri="{FF2B5EF4-FFF2-40B4-BE49-F238E27FC236}">
              <a16:creationId xmlns:a16="http://schemas.microsoft.com/office/drawing/2014/main" id="{E2D63DF7-EE73-4B36-A867-0A8C13843E4F}"/>
            </a:ext>
          </a:extLst>
        </xdr:cNvPr>
        <xdr:cNvCxnSpPr>
          <a:cxnSpLocks/>
          <a:stCxn id="27" idx="2"/>
          <a:endCxn id="35" idx="0"/>
        </xdr:cNvCxnSpPr>
      </xdr:nvCxnSpPr>
      <xdr:spPr>
        <a:xfrm rot="16200000" flipH="1">
          <a:off x="3870270" y="10533935"/>
          <a:ext cx="589791" cy="64580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194412</xdr:colOff>
      <xdr:row>33</xdr:row>
      <xdr:rowOff>160541</xdr:rowOff>
    </xdr:from>
    <xdr:to>
      <xdr:col>23</xdr:col>
      <xdr:colOff>94989</xdr:colOff>
      <xdr:row>36</xdr:row>
      <xdr:rowOff>131830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3512E10-B832-4776-9DB4-0507AB4B35A6}"/>
            </a:ext>
          </a:extLst>
        </xdr:cNvPr>
        <xdr:cNvGrpSpPr/>
      </xdr:nvGrpSpPr>
      <xdr:grpSpPr>
        <a:xfrm>
          <a:off x="3815817" y="6045534"/>
          <a:ext cx="1179953" cy="511077"/>
          <a:chOff x="1612900" y="2427475"/>
          <a:chExt cx="933032" cy="404625"/>
        </a:xfrm>
      </xdr:grpSpPr>
      <xdr:sp macro="" textlink="">
        <xdr:nvSpPr>
          <xdr:cNvPr id="4" name="フローチャート: 定義済み処理 3">
            <a:extLst>
              <a:ext uri="{FF2B5EF4-FFF2-40B4-BE49-F238E27FC236}">
                <a16:creationId xmlns:a16="http://schemas.microsoft.com/office/drawing/2014/main" id="{87B6FA8E-7742-522A-168E-CF6F062A2A5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6CE86924-3BFE-F203-CABD-690C538F67D1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伝票承認申請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31</xdr:col>
      <xdr:colOff>104765</xdr:colOff>
      <xdr:row>38</xdr:row>
      <xdr:rowOff>133275</xdr:rowOff>
    </xdr:from>
    <xdr:to>
      <xdr:col>37</xdr:col>
      <xdr:colOff>8516</xdr:colOff>
      <xdr:row>41</xdr:row>
      <xdr:rowOff>107740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F41FD460-55E4-EB4B-412D-325F5BBF1267}"/>
            </a:ext>
          </a:extLst>
        </xdr:cNvPr>
        <xdr:cNvGrpSpPr/>
      </xdr:nvGrpSpPr>
      <xdr:grpSpPr>
        <a:xfrm>
          <a:off x="6703125" y="6916644"/>
          <a:ext cx="1185031" cy="506632"/>
          <a:chOff x="1612900" y="2427475"/>
          <a:chExt cx="933032" cy="404625"/>
        </a:xfrm>
      </xdr:grpSpPr>
      <xdr:sp macro="" textlink="">
        <xdr:nvSpPr>
          <xdr:cNvPr id="70" name="フローチャート: 定義済み処理 69">
            <a:extLst>
              <a:ext uri="{FF2B5EF4-FFF2-40B4-BE49-F238E27FC236}">
                <a16:creationId xmlns:a16="http://schemas.microsoft.com/office/drawing/2014/main" id="{405435C4-A971-F569-D0CF-A56987F05EE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574FD2B3-2526-AA7C-4563-BE1520C02496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伝票承認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34</xdr:col>
      <xdr:colOff>74299</xdr:colOff>
      <xdr:row>41</xdr:row>
      <xdr:rowOff>104564</xdr:rowOff>
    </xdr:from>
    <xdr:to>
      <xdr:col>44</xdr:col>
      <xdr:colOff>100643</xdr:colOff>
      <xdr:row>44</xdr:row>
      <xdr:rowOff>47998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355EF9AC-7C26-4E41-85DE-B7B09D8C594B}"/>
            </a:ext>
          </a:extLst>
        </xdr:cNvPr>
        <xdr:cNvCxnSpPr>
          <a:cxnSpLocks/>
          <a:stCxn id="70" idx="2"/>
          <a:endCxn id="134" idx="0"/>
        </xdr:cNvCxnSpPr>
      </xdr:nvCxnSpPr>
      <xdr:spPr>
        <a:xfrm rot="16200000" flipH="1">
          <a:off x="7293121" y="6287977"/>
          <a:ext cx="447699" cy="193134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161614</xdr:colOff>
      <xdr:row>36</xdr:row>
      <xdr:rowOff>131829</xdr:rowOff>
    </xdr:from>
    <xdr:to>
      <xdr:col>34</xdr:col>
      <xdr:colOff>72054</xdr:colOff>
      <xdr:row>39</xdr:row>
      <xdr:rowOff>651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2B610AD3-FCDD-482C-A11F-C5D35B2E0C42}"/>
            </a:ext>
          </a:extLst>
        </xdr:cNvPr>
        <xdr:cNvCxnSpPr>
          <a:cxnSpLocks/>
          <a:stCxn id="4" idx="2"/>
          <a:endCxn id="70" idx="0"/>
        </xdr:cNvCxnSpPr>
      </xdr:nvCxnSpPr>
      <xdr:spPr>
        <a:xfrm rot="16200000" flipH="1">
          <a:off x="5292305" y="5220903"/>
          <a:ext cx="541175" cy="273432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42144</xdr:colOff>
      <xdr:row>35</xdr:row>
      <xdr:rowOff>57073</xdr:rowOff>
    </xdr:from>
    <xdr:to>
      <xdr:col>49</xdr:col>
      <xdr:colOff>103927</xdr:colOff>
      <xdr:row>35</xdr:row>
      <xdr:rowOff>78449</xdr:rowOff>
    </xdr:to>
    <xdr:cxnSp macro="">
      <xdr:nvCxnSpPr>
        <xdr:cNvPr id="91" name="コネクタ: カギ線 90">
          <a:extLst>
            <a:ext uri="{FF2B5EF4-FFF2-40B4-BE49-F238E27FC236}">
              <a16:creationId xmlns:a16="http://schemas.microsoft.com/office/drawing/2014/main" id="{6A7C5E01-7C67-47D7-A17F-D05C46CD85B8}"/>
            </a:ext>
          </a:extLst>
        </xdr:cNvPr>
        <xdr:cNvCxnSpPr>
          <a:cxnSpLocks/>
          <a:stCxn id="4" idx="3"/>
          <a:endCxn id="93" idx="2"/>
        </xdr:cNvCxnSpPr>
      </xdr:nvCxnSpPr>
      <xdr:spPr>
        <a:xfrm flipV="1">
          <a:off x="4715744" y="6172123"/>
          <a:ext cx="3922583" cy="21376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2375</xdr:colOff>
      <xdr:row>33</xdr:row>
      <xdr:rowOff>134471</xdr:rowOff>
    </xdr:from>
    <xdr:to>
      <xdr:col>54</xdr:col>
      <xdr:colOff>19814</xdr:colOff>
      <xdr:row>37</xdr:row>
      <xdr:rowOff>33722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EA3DE7B9-0DF4-40DE-ADCF-E1572DF59EB5}"/>
            </a:ext>
          </a:extLst>
        </xdr:cNvPr>
        <xdr:cNvGrpSpPr/>
      </xdr:nvGrpSpPr>
      <xdr:grpSpPr>
        <a:xfrm>
          <a:off x="10435051" y="6013749"/>
          <a:ext cx="1078188" cy="618333"/>
          <a:chOff x="7113907" y="2892425"/>
          <a:chExt cx="917588" cy="591189"/>
        </a:xfrm>
      </xdr:grpSpPr>
      <xdr:sp macro="" textlink="">
        <xdr:nvSpPr>
          <xdr:cNvPr id="93" name="フローチャート: 磁気ディスク 92">
            <a:extLst>
              <a:ext uri="{FF2B5EF4-FFF2-40B4-BE49-F238E27FC236}">
                <a16:creationId xmlns:a16="http://schemas.microsoft.com/office/drawing/2014/main" id="{FCC3BB96-00ED-B275-646A-783C9905F3A2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271756E4-A081-E69F-A473-D9393C755A1A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48</xdr:col>
      <xdr:colOff>181669</xdr:colOff>
      <xdr:row>38</xdr:row>
      <xdr:rowOff>124759</xdr:rowOff>
    </xdr:from>
    <xdr:to>
      <xdr:col>53</xdr:col>
      <xdr:colOff>199107</xdr:colOff>
      <xdr:row>42</xdr:row>
      <xdr:rowOff>20836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E945B2C1-83F4-C47E-636D-0FDD89834BB6}"/>
            </a:ext>
          </a:extLst>
        </xdr:cNvPr>
        <xdr:cNvGrpSpPr/>
      </xdr:nvGrpSpPr>
      <xdr:grpSpPr>
        <a:xfrm>
          <a:off x="10399529" y="6906223"/>
          <a:ext cx="1085807" cy="607538"/>
          <a:chOff x="7113907" y="2892425"/>
          <a:chExt cx="917588" cy="591189"/>
        </a:xfrm>
      </xdr:grpSpPr>
      <xdr:sp macro="" textlink="">
        <xdr:nvSpPr>
          <xdr:cNvPr id="97" name="フローチャート: 磁気ディスク 96">
            <a:extLst>
              <a:ext uri="{FF2B5EF4-FFF2-40B4-BE49-F238E27FC236}">
                <a16:creationId xmlns:a16="http://schemas.microsoft.com/office/drawing/2014/main" id="{F31C5588-7A58-E07B-75B3-3C85F2864894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74FBACE2-D3B5-01CF-AD4C-0A57020A4E1C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36</xdr:col>
      <xdr:colOff>158721</xdr:colOff>
      <xdr:row>40</xdr:row>
      <xdr:rowOff>45921</xdr:rowOff>
    </xdr:from>
    <xdr:to>
      <xdr:col>49</xdr:col>
      <xdr:colOff>80021</xdr:colOff>
      <xdr:row>40</xdr:row>
      <xdr:rowOff>52889</xdr:rowOff>
    </xdr:to>
    <xdr:cxnSp macro="">
      <xdr:nvCxnSpPr>
        <xdr:cNvPr id="99" name="コネクタ: カギ線 98">
          <a:extLst>
            <a:ext uri="{FF2B5EF4-FFF2-40B4-BE49-F238E27FC236}">
              <a16:creationId xmlns:a16="http://schemas.microsoft.com/office/drawing/2014/main" id="{97501EEC-9F5E-4783-9F95-B55011435C8C}"/>
            </a:ext>
          </a:extLst>
        </xdr:cNvPr>
        <xdr:cNvCxnSpPr>
          <a:cxnSpLocks/>
          <a:stCxn id="70" idx="3"/>
          <a:endCxn id="97" idx="2"/>
        </xdr:cNvCxnSpPr>
      </xdr:nvCxnSpPr>
      <xdr:spPr>
        <a:xfrm flipV="1">
          <a:off x="7473921" y="7018221"/>
          <a:ext cx="1140500" cy="696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46505</xdr:colOff>
      <xdr:row>97</xdr:row>
      <xdr:rowOff>37275</xdr:rowOff>
    </xdr:from>
    <xdr:to>
      <xdr:col>24</xdr:col>
      <xdr:colOff>148788</xdr:colOff>
      <xdr:row>100</xdr:row>
      <xdr:rowOff>11740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D6F384C9-FAE2-4852-8C29-ABFEF1D3B316}"/>
            </a:ext>
          </a:extLst>
        </xdr:cNvPr>
        <xdr:cNvGrpSpPr/>
      </xdr:nvGrpSpPr>
      <xdr:grpSpPr>
        <a:xfrm>
          <a:off x="4093734" y="17383981"/>
          <a:ext cx="1164936" cy="516157"/>
          <a:chOff x="1612900" y="2427475"/>
          <a:chExt cx="933032" cy="404625"/>
        </a:xfrm>
      </xdr:grpSpPr>
      <xdr:sp macro="" textlink="">
        <xdr:nvSpPr>
          <xdr:cNvPr id="106" name="フローチャート: 定義済み処理 105">
            <a:extLst>
              <a:ext uri="{FF2B5EF4-FFF2-40B4-BE49-F238E27FC236}">
                <a16:creationId xmlns:a16="http://schemas.microsoft.com/office/drawing/2014/main" id="{9343F5E6-7D24-8D38-FC7C-B8086B00B96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7A019B6F-374E-F955-1DD1-460B4EF79C17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6.</a:t>
            </a:r>
            <a:r>
              <a:rPr kumimoji="1" lang="ja-JP" altLang="en-US" sz="900"/>
              <a:t>伝票承認申請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32</xdr:col>
      <xdr:colOff>100853</xdr:colOff>
      <xdr:row>102</xdr:row>
      <xdr:rowOff>6835</xdr:rowOff>
    </xdr:from>
    <xdr:to>
      <xdr:col>38</xdr:col>
      <xdr:colOff>1429</xdr:colOff>
      <xdr:row>104</xdr:row>
      <xdr:rowOff>152563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281BD039-0274-4EC2-8535-99F2AE83C32B}"/>
            </a:ext>
          </a:extLst>
        </xdr:cNvPr>
        <xdr:cNvGrpSpPr/>
      </xdr:nvGrpSpPr>
      <xdr:grpSpPr>
        <a:xfrm>
          <a:off x="6910219" y="18251916"/>
          <a:ext cx="1181857" cy="502412"/>
          <a:chOff x="1612900" y="2427475"/>
          <a:chExt cx="933032" cy="404625"/>
        </a:xfrm>
      </xdr:grpSpPr>
      <xdr:sp macro="" textlink="">
        <xdr:nvSpPr>
          <xdr:cNvPr id="109" name="フローチャート: 定義済み処理 108">
            <a:extLst>
              <a:ext uri="{FF2B5EF4-FFF2-40B4-BE49-F238E27FC236}">
                <a16:creationId xmlns:a16="http://schemas.microsoft.com/office/drawing/2014/main" id="{5C43C921-743F-2D28-BA66-95E4C0316D1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C643334B-9407-B206-F00F-E1BFE4D92074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7.</a:t>
            </a:r>
            <a:r>
              <a:rPr kumimoji="1" lang="ja-JP" altLang="en-US" sz="900"/>
              <a:t>伝票承認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12163</xdr:colOff>
      <xdr:row>100</xdr:row>
      <xdr:rowOff>11740</xdr:rowOff>
    </xdr:from>
    <xdr:to>
      <xdr:col>35</xdr:col>
      <xdr:colOff>68054</xdr:colOff>
      <xdr:row>102</xdr:row>
      <xdr:rowOff>45475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62838EB5-1B16-431C-AE94-7800D38B5E92}"/>
            </a:ext>
          </a:extLst>
        </xdr:cNvPr>
        <xdr:cNvCxnSpPr>
          <a:cxnSpLocks/>
          <a:stCxn id="106" idx="2"/>
          <a:endCxn id="109" idx="0"/>
        </xdr:cNvCxnSpPr>
      </xdr:nvCxnSpPr>
      <xdr:spPr>
        <a:xfrm rot="16200000" flipH="1">
          <a:off x="5603770" y="15296691"/>
          <a:ext cx="369912" cy="267806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96014</xdr:colOff>
      <xdr:row>98</xdr:row>
      <xdr:rowOff>127140</xdr:rowOff>
    </xdr:from>
    <xdr:to>
      <xdr:col>49</xdr:col>
      <xdr:colOff>118193</xdr:colOff>
      <xdr:row>98</xdr:row>
      <xdr:rowOff>128339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7A1832A4-9A86-419A-9541-9905B7C14A3C}"/>
            </a:ext>
          </a:extLst>
        </xdr:cNvPr>
        <xdr:cNvCxnSpPr>
          <a:cxnSpLocks/>
          <a:stCxn id="106" idx="3"/>
          <a:endCxn id="114" idx="2"/>
        </xdr:cNvCxnSpPr>
      </xdr:nvCxnSpPr>
      <xdr:spPr>
        <a:xfrm flipV="1">
          <a:off x="4972814" y="17043540"/>
          <a:ext cx="3679779" cy="1199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16017</xdr:colOff>
      <xdr:row>97</xdr:row>
      <xdr:rowOff>34359</xdr:rowOff>
    </xdr:from>
    <xdr:to>
      <xdr:col>54</xdr:col>
      <xdr:colOff>39806</xdr:colOff>
      <xdr:row>100</xdr:row>
      <xdr:rowOff>102259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5623FE38-50AA-458D-90D3-FD8BC850BB21}"/>
            </a:ext>
          </a:extLst>
        </xdr:cNvPr>
        <xdr:cNvGrpSpPr/>
      </xdr:nvGrpSpPr>
      <xdr:grpSpPr>
        <a:xfrm>
          <a:off x="10452503" y="17381065"/>
          <a:ext cx="1084538" cy="601972"/>
          <a:chOff x="7113907" y="2892425"/>
          <a:chExt cx="917588" cy="591189"/>
        </a:xfrm>
      </xdr:grpSpPr>
      <xdr:sp macro="" textlink="">
        <xdr:nvSpPr>
          <xdr:cNvPr id="114" name="フローチャート: 磁気ディスク 113">
            <a:extLst>
              <a:ext uri="{FF2B5EF4-FFF2-40B4-BE49-F238E27FC236}">
                <a16:creationId xmlns:a16="http://schemas.microsoft.com/office/drawing/2014/main" id="{290F159A-0A83-EBB1-ECE3-12EDFE05BDA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F2561014-76ED-B0A8-A0FE-D4741BAF3EB0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48</xdr:col>
      <xdr:colOff>164494</xdr:colOff>
      <xdr:row>102</xdr:row>
      <xdr:rowOff>13823</xdr:rowOff>
    </xdr:from>
    <xdr:to>
      <xdr:col>54</xdr:col>
      <xdr:colOff>5627</xdr:colOff>
      <xdr:row>105</xdr:row>
      <xdr:rowOff>74812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A1D234D8-ABBA-4DA1-9EBF-24531E4DF3EC}"/>
            </a:ext>
          </a:extLst>
        </xdr:cNvPr>
        <xdr:cNvGrpSpPr/>
      </xdr:nvGrpSpPr>
      <xdr:grpSpPr>
        <a:xfrm>
          <a:off x="10388069" y="18260809"/>
          <a:ext cx="1116698" cy="595062"/>
          <a:chOff x="7113907" y="2892425"/>
          <a:chExt cx="917588" cy="591189"/>
        </a:xfrm>
      </xdr:grpSpPr>
      <xdr:sp macro="" textlink="">
        <xdr:nvSpPr>
          <xdr:cNvPr id="123" name="フローチャート: 磁気ディスク 122">
            <a:extLst>
              <a:ext uri="{FF2B5EF4-FFF2-40B4-BE49-F238E27FC236}">
                <a16:creationId xmlns:a16="http://schemas.microsoft.com/office/drawing/2014/main" id="{DF9343AB-DFA3-7D12-895F-59E5F0A768A3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985B6AA4-F312-63FF-53E8-0223C1B7FBFC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37</xdr:col>
      <xdr:colOff>150713</xdr:colOff>
      <xdr:row>103</xdr:row>
      <xdr:rowOff>97825</xdr:rowOff>
    </xdr:from>
    <xdr:to>
      <xdr:col>49</xdr:col>
      <xdr:colOff>66102</xdr:colOff>
      <xdr:row>103</xdr:row>
      <xdr:rowOff>103603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9AB17B54-E09E-42F5-B32D-21E127DE0633}"/>
            </a:ext>
          </a:extLst>
        </xdr:cNvPr>
        <xdr:cNvCxnSpPr>
          <a:cxnSpLocks/>
          <a:stCxn id="109" idx="3"/>
          <a:endCxn id="123" idx="2"/>
        </xdr:cNvCxnSpPr>
      </xdr:nvCxnSpPr>
      <xdr:spPr>
        <a:xfrm>
          <a:off x="7613831" y="17915178"/>
          <a:ext cx="923918" cy="577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67124</xdr:colOff>
      <xdr:row>104</xdr:row>
      <xdr:rowOff>152562</xdr:rowOff>
    </xdr:from>
    <xdr:to>
      <xdr:col>44</xdr:col>
      <xdr:colOff>99056</xdr:colOff>
      <xdr:row>110</xdr:row>
      <xdr:rowOff>44823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A389846C-87EF-44E6-A5F7-5C2E85F9A161}"/>
            </a:ext>
          </a:extLst>
        </xdr:cNvPr>
        <xdr:cNvCxnSpPr>
          <a:cxnSpLocks/>
          <a:stCxn id="109" idx="2"/>
          <a:endCxn id="183" idx="0"/>
        </xdr:cNvCxnSpPr>
      </xdr:nvCxnSpPr>
      <xdr:spPr>
        <a:xfrm rot="16200000" flipH="1">
          <a:off x="7157444" y="17244536"/>
          <a:ext cx="900791" cy="174643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123264</xdr:colOff>
      <xdr:row>44</xdr:row>
      <xdr:rowOff>44824</xdr:rowOff>
    </xdr:from>
    <xdr:to>
      <xdr:col>47</xdr:col>
      <xdr:colOff>74845</xdr:colOff>
      <xdr:row>47</xdr:row>
      <xdr:rowOff>62139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CA8451AF-9D4D-44BC-AD42-53DDDAB31D59}"/>
            </a:ext>
          </a:extLst>
        </xdr:cNvPr>
        <xdr:cNvGrpSpPr/>
      </xdr:nvGrpSpPr>
      <xdr:grpSpPr>
        <a:xfrm>
          <a:off x="8854551" y="7902053"/>
          <a:ext cx="1227147" cy="549482"/>
          <a:chOff x="1612901" y="2432650"/>
          <a:chExt cx="908902" cy="420662"/>
        </a:xfrm>
      </xdr:grpSpPr>
      <xdr:sp macro="" textlink="">
        <xdr:nvSpPr>
          <xdr:cNvPr id="133" name="フローチャート: 定義済み処理 132">
            <a:extLst>
              <a:ext uri="{FF2B5EF4-FFF2-40B4-BE49-F238E27FC236}">
                <a16:creationId xmlns:a16="http://schemas.microsoft.com/office/drawing/2014/main" id="{92081309-6994-D02D-70FA-6A8D97F26426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4" name="正方形/長方形 48">
            <a:extLst>
              <a:ext uri="{FF2B5EF4-FFF2-40B4-BE49-F238E27FC236}">
                <a16:creationId xmlns:a16="http://schemas.microsoft.com/office/drawing/2014/main" id="{1E470162-DA26-3D11-8B13-06B6853302AF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49</xdr:col>
      <xdr:colOff>9524</xdr:colOff>
      <xdr:row>110</xdr:row>
      <xdr:rowOff>29698</xdr:rowOff>
    </xdr:from>
    <xdr:to>
      <xdr:col>54</xdr:col>
      <xdr:colOff>17438</xdr:colOff>
      <xdr:row>113</xdr:row>
      <xdr:rowOff>84524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02D6708B-25CD-4CA7-8A9B-2E3C06B107C3}"/>
            </a:ext>
          </a:extLst>
        </xdr:cNvPr>
        <xdr:cNvGrpSpPr/>
      </xdr:nvGrpSpPr>
      <xdr:grpSpPr>
        <a:xfrm>
          <a:off x="10444105" y="19705322"/>
          <a:ext cx="1074378" cy="596519"/>
          <a:chOff x="7113907" y="2892425"/>
          <a:chExt cx="917588" cy="591189"/>
        </a:xfrm>
      </xdr:grpSpPr>
      <xdr:sp macro="" textlink="">
        <xdr:nvSpPr>
          <xdr:cNvPr id="151" name="フローチャート: 磁気ディスク 150">
            <a:extLst>
              <a:ext uri="{FF2B5EF4-FFF2-40B4-BE49-F238E27FC236}">
                <a16:creationId xmlns:a16="http://schemas.microsoft.com/office/drawing/2014/main" id="{47F232C4-0E50-F4C2-5B95-FFBC1C9EF629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600F3758-1D3E-AFCB-CAAC-AFDB6CF8B53C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47</xdr:col>
      <xdr:colOff>50945</xdr:colOff>
      <xdr:row>111</xdr:row>
      <xdr:rowOff>115331</xdr:rowOff>
    </xdr:from>
    <xdr:to>
      <xdr:col>49</xdr:col>
      <xdr:colOff>103900</xdr:colOff>
      <xdr:row>111</xdr:row>
      <xdr:rowOff>142926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9E5EF4AF-2873-4C14-A77B-0E058345D5DE}"/>
            </a:ext>
          </a:extLst>
        </xdr:cNvPr>
        <xdr:cNvCxnSpPr>
          <a:cxnSpLocks/>
          <a:stCxn id="181" idx="3"/>
          <a:endCxn id="151" idx="2"/>
        </xdr:cNvCxnSpPr>
      </xdr:nvCxnSpPr>
      <xdr:spPr>
        <a:xfrm flipV="1">
          <a:off x="9001270" y="7712919"/>
          <a:ext cx="440305" cy="24420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126439</xdr:colOff>
      <xdr:row>110</xdr:row>
      <xdr:rowOff>47999</xdr:rowOff>
    </xdr:from>
    <xdr:to>
      <xdr:col>47</xdr:col>
      <xdr:colOff>74845</xdr:colOff>
      <xdr:row>113</xdr:row>
      <xdr:rowOff>65314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66188492-0279-40F8-9D70-09057C82D662}"/>
            </a:ext>
          </a:extLst>
        </xdr:cNvPr>
        <xdr:cNvGrpSpPr/>
      </xdr:nvGrpSpPr>
      <xdr:grpSpPr>
        <a:xfrm>
          <a:off x="8859631" y="19727433"/>
          <a:ext cx="1222067" cy="551388"/>
          <a:chOff x="1612901" y="2432650"/>
          <a:chExt cx="908902" cy="420662"/>
        </a:xfrm>
      </xdr:grpSpPr>
      <xdr:sp macro="" textlink="">
        <xdr:nvSpPr>
          <xdr:cNvPr id="181" name="フローチャート: 定義済み処理 180">
            <a:extLst>
              <a:ext uri="{FF2B5EF4-FFF2-40B4-BE49-F238E27FC236}">
                <a16:creationId xmlns:a16="http://schemas.microsoft.com/office/drawing/2014/main" id="{44955990-FF29-679D-F20D-ECBCE5931BFC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3" name="正方形/長方形 48">
            <a:extLst>
              <a:ext uri="{FF2B5EF4-FFF2-40B4-BE49-F238E27FC236}">
                <a16:creationId xmlns:a16="http://schemas.microsoft.com/office/drawing/2014/main" id="{E26F2515-C8AC-8FE6-C4DB-74AD5151CA68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8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27322</xdr:colOff>
      <xdr:row>113</xdr:row>
      <xdr:rowOff>41867</xdr:rowOff>
    </xdr:from>
    <xdr:to>
      <xdr:col>44</xdr:col>
      <xdr:colOff>129130</xdr:colOff>
      <xdr:row>119</xdr:row>
      <xdr:rowOff>39009</xdr:rowOff>
    </xdr:to>
    <xdr:cxnSp macro="">
      <xdr:nvCxnSpPr>
        <xdr:cNvPr id="186" name="コネクタ: カギ線 185">
          <a:extLst>
            <a:ext uri="{FF2B5EF4-FFF2-40B4-BE49-F238E27FC236}">
              <a16:creationId xmlns:a16="http://schemas.microsoft.com/office/drawing/2014/main" id="{3BF4B0B3-074D-49D0-9AB8-110C3BFB16BA}"/>
            </a:ext>
          </a:extLst>
        </xdr:cNvPr>
        <xdr:cNvCxnSpPr>
          <a:cxnSpLocks/>
          <a:stCxn id="181" idx="2"/>
          <a:endCxn id="33" idx="0"/>
        </xdr:cNvCxnSpPr>
      </xdr:nvCxnSpPr>
      <xdr:spPr>
        <a:xfrm rot="5400000">
          <a:off x="5525713" y="17762064"/>
          <a:ext cx="1678025" cy="429280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67048</xdr:colOff>
      <xdr:row>23</xdr:row>
      <xdr:rowOff>131482</xdr:rowOff>
    </xdr:from>
    <xdr:to>
      <xdr:col>27</xdr:col>
      <xdr:colOff>73840</xdr:colOff>
      <xdr:row>27</xdr:row>
      <xdr:rowOff>20648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F9DBA4EC-9E22-4928-B718-3737B89DD8C6}"/>
            </a:ext>
          </a:extLst>
        </xdr:cNvPr>
        <xdr:cNvGrpSpPr/>
      </xdr:nvGrpSpPr>
      <xdr:grpSpPr>
        <a:xfrm>
          <a:off x="4609601" y="4289569"/>
          <a:ext cx="1041528" cy="616004"/>
          <a:chOff x="7113625" y="2892425"/>
          <a:chExt cx="914621" cy="594025"/>
        </a:xfrm>
      </xdr:grpSpPr>
      <xdr:sp macro="" textlink="">
        <xdr:nvSpPr>
          <xdr:cNvPr id="83" name="フローチャート: 磁気ディスク 82">
            <a:extLst>
              <a:ext uri="{FF2B5EF4-FFF2-40B4-BE49-F238E27FC236}">
                <a16:creationId xmlns:a16="http://schemas.microsoft.com/office/drawing/2014/main" id="{82B93099-10CC-49EF-80CB-AF89595F3F2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769A9D57-BF42-407D-A906-006569395B5A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28</xdr:col>
      <xdr:colOff>189006</xdr:colOff>
      <xdr:row>51</xdr:row>
      <xdr:rowOff>28202</xdr:rowOff>
    </xdr:from>
    <xdr:to>
      <xdr:col>34</xdr:col>
      <xdr:colOff>6694</xdr:colOff>
      <xdr:row>55</xdr:row>
      <xdr:rowOff>9152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6C56A88-C1C4-4262-BD42-DF1DA14266A6}"/>
            </a:ext>
          </a:extLst>
        </xdr:cNvPr>
        <xdr:cNvGrpSpPr>
          <a:grpSpLocks noChangeAspect="1"/>
        </xdr:cNvGrpSpPr>
      </xdr:nvGrpSpPr>
      <xdr:grpSpPr>
        <a:xfrm>
          <a:off x="5972861" y="9310303"/>
          <a:ext cx="1058991" cy="719218"/>
          <a:chOff x="7112000" y="2892425"/>
          <a:chExt cx="873125" cy="584982"/>
        </a:xfrm>
      </xdr:grpSpPr>
      <xdr:sp macro="" textlink="">
        <xdr:nvSpPr>
          <xdr:cNvPr id="75" name="フローチャート: 磁気ディスク 74">
            <a:extLst>
              <a:ext uri="{FF2B5EF4-FFF2-40B4-BE49-F238E27FC236}">
                <a16:creationId xmlns:a16="http://schemas.microsoft.com/office/drawing/2014/main" id="{DD581DB4-9BBD-4641-B770-49CDA037329C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5E65F064-9CA3-4F21-9E94-D37636821F7A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</a:p>
        </xdr:txBody>
      </xdr:sp>
    </xdr:grpSp>
    <xdr:clientData/>
  </xdr:twoCellAnchor>
  <xdr:twoCellAnchor>
    <xdr:from>
      <xdr:col>28</xdr:col>
      <xdr:colOff>197037</xdr:colOff>
      <xdr:row>41</xdr:row>
      <xdr:rowOff>115233</xdr:rowOff>
    </xdr:from>
    <xdr:to>
      <xdr:col>34</xdr:col>
      <xdr:colOff>21075</xdr:colOff>
      <xdr:row>45</xdr:row>
      <xdr:rowOff>105708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FFD053C7-D1AB-4ED2-9386-CAE3B9E59ACC}"/>
            </a:ext>
          </a:extLst>
        </xdr:cNvPr>
        <xdr:cNvGrpSpPr>
          <a:grpSpLocks noChangeAspect="1"/>
        </xdr:cNvGrpSpPr>
      </xdr:nvGrpSpPr>
      <xdr:grpSpPr>
        <a:xfrm>
          <a:off x="5982797" y="7563094"/>
          <a:ext cx="1057721" cy="723028"/>
          <a:chOff x="7112000" y="2892425"/>
          <a:chExt cx="873125" cy="584982"/>
        </a:xfrm>
      </xdr:grpSpPr>
      <xdr:sp macro="" textlink="">
        <xdr:nvSpPr>
          <xdr:cNvPr id="69" name="フローチャート: 磁気ディスク 68">
            <a:extLst>
              <a:ext uri="{FF2B5EF4-FFF2-40B4-BE49-F238E27FC236}">
                <a16:creationId xmlns:a16="http://schemas.microsoft.com/office/drawing/2014/main" id="{A750A2ED-FE34-4797-99D1-3DBB77D8A059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2669163C-67BC-4F55-B722-A03ADFDEB524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</a:p>
        </xdr:txBody>
      </xdr:sp>
    </xdr:grpSp>
    <xdr:clientData/>
  </xdr:twoCellAnchor>
  <xdr:twoCellAnchor>
    <xdr:from>
      <xdr:col>28</xdr:col>
      <xdr:colOff>169876</xdr:colOff>
      <xdr:row>17</xdr:row>
      <xdr:rowOff>92077</xdr:rowOff>
    </xdr:from>
    <xdr:to>
      <xdr:col>33</xdr:col>
      <xdr:colOff>187589</xdr:colOff>
      <xdr:row>21</xdr:row>
      <xdr:rowOff>76202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9F27FDA2-0571-441D-BDC9-CA219A6624E1}"/>
            </a:ext>
          </a:extLst>
        </xdr:cNvPr>
        <xdr:cNvGrpSpPr>
          <a:grpSpLocks noChangeAspect="1"/>
        </xdr:cNvGrpSpPr>
      </xdr:nvGrpSpPr>
      <xdr:grpSpPr>
        <a:xfrm>
          <a:off x="5957541" y="3148477"/>
          <a:ext cx="1046735" cy="714773"/>
          <a:chOff x="7112000" y="2892425"/>
          <a:chExt cx="873125" cy="584982"/>
        </a:xfrm>
      </xdr:grpSpPr>
      <xdr:sp macro="" textlink="">
        <xdr:nvSpPr>
          <xdr:cNvPr id="64" name="フローチャート: 磁気ディスク 63">
            <a:extLst>
              <a:ext uri="{FF2B5EF4-FFF2-40B4-BE49-F238E27FC236}">
                <a16:creationId xmlns:a16="http://schemas.microsoft.com/office/drawing/2014/main" id="{8D7ECA96-9AF8-4B23-BD12-DD76218E46C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36BF767F-A609-4F27-8740-41C686FA14F4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</a:p>
        </xdr:txBody>
      </xdr:sp>
    </xdr:grpSp>
    <xdr:clientData/>
  </xdr:twoCellAnchor>
  <xdr:twoCellAnchor>
    <xdr:from>
      <xdr:col>14</xdr:col>
      <xdr:colOff>104202</xdr:colOff>
      <xdr:row>14</xdr:row>
      <xdr:rowOff>11583</xdr:rowOff>
    </xdr:from>
    <xdr:to>
      <xdr:col>14</xdr:col>
      <xdr:colOff>104688</xdr:colOff>
      <xdr:row>15</xdr:row>
      <xdr:rowOff>120319</xdr:rowOff>
    </xdr:to>
    <xdr:cxnSp macro="">
      <xdr:nvCxnSpPr>
        <xdr:cNvPr id="2" name="直線矢印コネクタ 27">
          <a:extLst>
            <a:ext uri="{FF2B5EF4-FFF2-40B4-BE49-F238E27FC236}">
              <a16:creationId xmlns:a16="http://schemas.microsoft.com/office/drawing/2014/main" id="{D151F584-EE7B-4BEB-B23A-FADB2E026859}"/>
            </a:ext>
          </a:extLst>
        </xdr:cNvPr>
        <xdr:cNvCxnSpPr>
          <a:cxnSpLocks/>
          <a:stCxn id="12" idx="2"/>
          <a:endCxn id="4" idx="0"/>
        </xdr:cNvCxnSpPr>
      </xdr:nvCxnSpPr>
      <xdr:spPr>
        <a:xfrm>
          <a:off x="2907727" y="2513483"/>
          <a:ext cx="486" cy="2865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144463</xdr:colOff>
      <xdr:row>15</xdr:row>
      <xdr:rowOff>87286</xdr:rowOff>
    </xdr:from>
    <xdr:to>
      <xdr:col>17</xdr:col>
      <xdr:colOff>47625</xdr:colOff>
      <xdr:row>18</xdr:row>
      <xdr:rowOff>45186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6A4C07E-589B-476D-A906-59B8A34818DC}"/>
            </a:ext>
          </a:extLst>
        </xdr:cNvPr>
        <xdr:cNvGrpSpPr/>
      </xdr:nvGrpSpPr>
      <xdr:grpSpPr>
        <a:xfrm>
          <a:off x="2414787" y="2797504"/>
          <a:ext cx="1146370" cy="485792"/>
          <a:chOff x="1612900" y="2427475"/>
          <a:chExt cx="933032" cy="404625"/>
        </a:xfrm>
      </xdr:grpSpPr>
      <xdr:sp macro="" textlink="">
        <xdr:nvSpPr>
          <xdr:cNvPr id="4" name="フローチャート: 定義済み処理 3">
            <a:extLst>
              <a:ext uri="{FF2B5EF4-FFF2-40B4-BE49-F238E27FC236}">
                <a16:creationId xmlns:a16="http://schemas.microsoft.com/office/drawing/2014/main" id="{63B27BA0-8CFB-463F-BFDD-54ED2E94897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C5AA631-01A9-4AE5-B693-DB1158F6089E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１．入金消込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182564</xdr:colOff>
      <xdr:row>15</xdr:row>
      <xdr:rowOff>28577</xdr:rowOff>
    </xdr:from>
    <xdr:to>
      <xdr:col>34</xdr:col>
      <xdr:colOff>183</xdr:colOff>
      <xdr:row>19</xdr:row>
      <xdr:rowOff>6352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3BB090B-F76B-406F-82FA-21378D09D49F}"/>
            </a:ext>
          </a:extLst>
        </xdr:cNvPr>
        <xdr:cNvGrpSpPr>
          <a:grpSpLocks noChangeAspect="1"/>
        </xdr:cNvGrpSpPr>
      </xdr:nvGrpSpPr>
      <xdr:grpSpPr>
        <a:xfrm>
          <a:off x="5964514" y="2734985"/>
          <a:ext cx="1058922" cy="693091"/>
          <a:chOff x="7112000" y="2892425"/>
          <a:chExt cx="873125" cy="584982"/>
        </a:xfrm>
      </xdr:grpSpPr>
      <xdr:sp macro="" textlink="">
        <xdr:nvSpPr>
          <xdr:cNvPr id="7" name="フローチャート: 磁気ディスク 6">
            <a:extLst>
              <a:ext uri="{FF2B5EF4-FFF2-40B4-BE49-F238E27FC236}">
                <a16:creationId xmlns:a16="http://schemas.microsoft.com/office/drawing/2014/main" id="{66B70220-71B4-47EA-91D3-AE79C81FBE2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49BA1F41-7E5D-4997-AC3F-33A222F47F86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16</xdr:col>
      <xdr:colOff>189232</xdr:colOff>
      <xdr:row>16</xdr:row>
      <xdr:rowOff>177477</xdr:rowOff>
    </xdr:from>
    <xdr:to>
      <xdr:col>29</xdr:col>
      <xdr:colOff>83517</xdr:colOff>
      <xdr:row>16</xdr:row>
      <xdr:rowOff>180155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39605D60-6080-477C-A640-3DB7A953F779}"/>
            </a:ext>
          </a:extLst>
        </xdr:cNvPr>
        <xdr:cNvCxnSpPr>
          <a:stCxn id="4" idx="3"/>
          <a:endCxn id="7" idx="2"/>
        </xdr:cNvCxnSpPr>
      </xdr:nvCxnSpPr>
      <xdr:spPr>
        <a:xfrm flipV="1">
          <a:off x="3389632" y="3019102"/>
          <a:ext cx="1097610" cy="267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103376</xdr:colOff>
      <xdr:row>18</xdr:row>
      <xdr:rowOff>45186</xdr:rowOff>
    </xdr:from>
    <xdr:to>
      <xdr:col>14</xdr:col>
      <xdr:colOff>111449</xdr:colOff>
      <xdr:row>28</xdr:row>
      <xdr:rowOff>112707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3BA24645-6AD5-4064-9DD6-545B5E72490C}"/>
            </a:ext>
          </a:extLst>
        </xdr:cNvPr>
        <xdr:cNvCxnSpPr>
          <a:cxnSpLocks/>
          <a:stCxn id="4" idx="2"/>
          <a:endCxn id="14" idx="0"/>
        </xdr:cNvCxnSpPr>
      </xdr:nvCxnSpPr>
      <xdr:spPr>
        <a:xfrm flipH="1">
          <a:off x="2927258" y="3227657"/>
          <a:ext cx="8073" cy="17857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20956</xdr:colOff>
      <xdr:row>10</xdr:row>
      <xdr:rowOff>114844</xdr:rowOff>
    </xdr:from>
    <xdr:to>
      <xdr:col>18</xdr:col>
      <xdr:colOff>9525</xdr:colOff>
      <xdr:row>14</xdr:row>
      <xdr:rowOff>74295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5DEF5B7D-4068-4A33-931D-AFAEE131B05F}"/>
            </a:ext>
          </a:extLst>
        </xdr:cNvPr>
        <xdr:cNvGrpSpPr/>
      </xdr:nvGrpSpPr>
      <xdr:grpSpPr>
        <a:xfrm>
          <a:off x="2289375" y="1962464"/>
          <a:ext cx="1440248" cy="648006"/>
          <a:chOff x="194298" y="5744160"/>
          <a:chExt cx="1376152" cy="666295"/>
        </a:xfrm>
      </xdr:grpSpPr>
      <xdr:sp macro="" textlink="">
        <xdr:nvSpPr>
          <xdr:cNvPr id="12" name="フローチャート: 他ページ結合子 11">
            <a:extLst>
              <a:ext uri="{FF2B5EF4-FFF2-40B4-BE49-F238E27FC236}">
                <a16:creationId xmlns:a16="http://schemas.microsoft.com/office/drawing/2014/main" id="{B0CA13B4-016C-41B8-A98D-20CAC38ADF61}"/>
              </a:ext>
            </a:extLst>
          </xdr:cNvPr>
          <xdr:cNvSpPr/>
        </xdr:nvSpPr>
        <xdr:spPr>
          <a:xfrm>
            <a:off x="492124" y="5781674"/>
            <a:ext cx="760814" cy="567634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" name="正方形/長方形 48">
            <a:extLst>
              <a:ext uri="{FF2B5EF4-FFF2-40B4-BE49-F238E27FC236}">
                <a16:creationId xmlns:a16="http://schemas.microsoft.com/office/drawing/2014/main" id="{8A14900C-CDC8-4EBB-937B-14DE515EE547}"/>
              </a:ext>
            </a:extLst>
          </xdr:cNvPr>
          <xdr:cNvSpPr/>
        </xdr:nvSpPr>
        <xdr:spPr>
          <a:xfrm>
            <a:off x="194298" y="5744160"/>
            <a:ext cx="1376152" cy="6662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</a:t>
            </a:r>
            <a:r>
              <a:rPr kumimoji="1" lang="en-US" altLang="ja-JP" sz="900"/>
              <a:t>EB</a:t>
            </a:r>
            <a:r>
              <a:rPr kumimoji="1" lang="ja-JP" altLang="en-US" sz="900"/>
              <a:t>取り込み）</a:t>
            </a:r>
          </a:p>
        </xdr:txBody>
      </xdr:sp>
    </xdr:grpSp>
    <xdr:clientData/>
  </xdr:twoCellAnchor>
  <xdr:twoCellAnchor>
    <xdr:from>
      <xdr:col>12</xdr:col>
      <xdr:colOff>155762</xdr:colOff>
      <xdr:row>28</xdr:row>
      <xdr:rowOff>112707</xdr:rowOff>
    </xdr:from>
    <xdr:to>
      <xdr:col>16</xdr:col>
      <xdr:colOff>50988</xdr:colOff>
      <xdr:row>30</xdr:row>
      <xdr:rowOff>30157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616D289F-D911-425F-9008-9EE20F19E99A}"/>
            </a:ext>
          </a:extLst>
        </xdr:cNvPr>
        <xdr:cNvSpPr/>
      </xdr:nvSpPr>
      <xdr:spPr>
        <a:xfrm>
          <a:off x="2576233" y="5013413"/>
          <a:ext cx="702049" cy="26109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12</xdr:col>
      <xdr:colOff>36193</xdr:colOff>
      <xdr:row>47</xdr:row>
      <xdr:rowOff>3173</xdr:rowOff>
    </xdr:from>
    <xdr:to>
      <xdr:col>17</xdr:col>
      <xdr:colOff>200</xdr:colOff>
      <xdr:row>50</xdr:row>
      <xdr:rowOff>125754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BEB91808-32F1-4AEE-853C-8B7832DCCF63}"/>
            </a:ext>
          </a:extLst>
        </xdr:cNvPr>
        <xdr:cNvGrpSpPr/>
      </xdr:nvGrpSpPr>
      <xdr:grpSpPr>
        <a:xfrm>
          <a:off x="2514988" y="8552721"/>
          <a:ext cx="996839" cy="677235"/>
          <a:chOff x="1682750" y="2409581"/>
          <a:chExt cx="824228" cy="577782"/>
        </a:xfrm>
      </xdr:grpSpPr>
      <xdr:sp macro="" textlink="">
        <xdr:nvSpPr>
          <xdr:cNvPr id="16" name="フローチャート: 定義済み処理 15">
            <a:extLst>
              <a:ext uri="{FF2B5EF4-FFF2-40B4-BE49-F238E27FC236}">
                <a16:creationId xmlns:a16="http://schemas.microsoft.com/office/drawing/2014/main" id="{D3F3EC99-79D9-4F87-BC2A-72DDABA3E22E}"/>
              </a:ext>
            </a:extLst>
          </xdr:cNvPr>
          <xdr:cNvSpPr/>
        </xdr:nvSpPr>
        <xdr:spPr>
          <a:xfrm>
            <a:off x="1682750" y="2457449"/>
            <a:ext cx="819150" cy="472282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EBE3E34C-804D-4253-91EB-EFBC5DEC83C5}"/>
              </a:ext>
            </a:extLst>
          </xdr:cNvPr>
          <xdr:cNvSpPr/>
        </xdr:nvSpPr>
        <xdr:spPr>
          <a:xfrm>
            <a:off x="1685316" y="2409581"/>
            <a:ext cx="821662" cy="57778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．前受金と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受注データ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の紐づけ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200027</xdr:colOff>
      <xdr:row>48</xdr:row>
      <xdr:rowOff>156882</xdr:rowOff>
    </xdr:from>
    <xdr:to>
      <xdr:col>34</xdr:col>
      <xdr:colOff>16686</xdr:colOff>
      <xdr:row>52</xdr:row>
      <xdr:rowOff>91547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695A4EB7-F542-4E51-8042-BF08AD5CC87C}"/>
            </a:ext>
          </a:extLst>
        </xdr:cNvPr>
        <xdr:cNvGrpSpPr>
          <a:grpSpLocks noChangeAspect="1"/>
        </xdr:cNvGrpSpPr>
      </xdr:nvGrpSpPr>
      <xdr:grpSpPr>
        <a:xfrm>
          <a:off x="5985787" y="8891950"/>
          <a:ext cx="1057962" cy="671027"/>
          <a:chOff x="7112000" y="2892425"/>
          <a:chExt cx="873125" cy="584982"/>
        </a:xfrm>
      </xdr:grpSpPr>
      <xdr:sp macro="" textlink="">
        <xdr:nvSpPr>
          <xdr:cNvPr id="19" name="フローチャート: 磁気ディスク 18">
            <a:extLst>
              <a:ext uri="{FF2B5EF4-FFF2-40B4-BE49-F238E27FC236}">
                <a16:creationId xmlns:a16="http://schemas.microsoft.com/office/drawing/2014/main" id="{40A8F27A-3F99-492D-BD80-2BA5428880A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44505A54-7C7C-4C2F-AA01-6A396B59F155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14</xdr:col>
      <xdr:colOff>115239</xdr:colOff>
      <xdr:row>50</xdr:row>
      <xdr:rowOff>59363</xdr:rowOff>
    </xdr:from>
    <xdr:to>
      <xdr:col>14</xdr:col>
      <xdr:colOff>130175</xdr:colOff>
      <xdr:row>57</xdr:row>
      <xdr:rowOff>25400</xdr:rowOff>
    </xdr:to>
    <xdr:cxnSp macro="">
      <xdr:nvCxnSpPr>
        <xdr:cNvPr id="22" name="直線矢印コネクタ 27">
          <a:extLst>
            <a:ext uri="{FF2B5EF4-FFF2-40B4-BE49-F238E27FC236}">
              <a16:creationId xmlns:a16="http://schemas.microsoft.com/office/drawing/2014/main" id="{EE267BE6-7E0E-4538-AFC0-D72CD96DEE21}"/>
            </a:ext>
          </a:extLst>
        </xdr:cNvPr>
        <xdr:cNvCxnSpPr>
          <a:cxnSpLocks/>
          <a:stCxn id="16" idx="2"/>
          <a:endCxn id="50" idx="0"/>
        </xdr:cNvCxnSpPr>
      </xdr:nvCxnSpPr>
      <xdr:spPr>
        <a:xfrm>
          <a:off x="2915589" y="10451138"/>
          <a:ext cx="14936" cy="116618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125457</xdr:colOff>
      <xdr:row>37</xdr:row>
      <xdr:rowOff>69057</xdr:rowOff>
    </xdr:from>
    <xdr:to>
      <xdr:col>14</xdr:col>
      <xdr:colOff>127799</xdr:colOff>
      <xdr:row>39</xdr:row>
      <xdr:rowOff>132587</xdr:rowOff>
    </xdr:to>
    <xdr:cxnSp macro="">
      <xdr:nvCxnSpPr>
        <xdr:cNvPr id="23" name="直線矢印コネクタ 27">
          <a:extLst>
            <a:ext uri="{FF2B5EF4-FFF2-40B4-BE49-F238E27FC236}">
              <a16:creationId xmlns:a16="http://schemas.microsoft.com/office/drawing/2014/main" id="{681D6A63-8F54-4A08-B77C-CF7E6CB30D40}"/>
            </a:ext>
          </a:extLst>
        </xdr:cNvPr>
        <xdr:cNvCxnSpPr>
          <a:cxnSpLocks/>
          <a:stCxn id="25" idx="2"/>
          <a:endCxn id="33" idx="0"/>
        </xdr:cNvCxnSpPr>
      </xdr:nvCxnSpPr>
      <xdr:spPr>
        <a:xfrm>
          <a:off x="2922632" y="5142707"/>
          <a:ext cx="2342" cy="4096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87750</xdr:colOff>
      <xdr:row>33</xdr:row>
      <xdr:rowOff>143570</xdr:rowOff>
    </xdr:from>
    <xdr:to>
      <xdr:col>18</xdr:col>
      <xdr:colOff>190500</xdr:colOff>
      <xdr:row>38</xdr:row>
      <xdr:rowOff>0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BE887840-D704-48E1-B504-2A052D6DCD12}"/>
            </a:ext>
          </a:extLst>
        </xdr:cNvPr>
        <xdr:cNvGrpSpPr/>
      </xdr:nvGrpSpPr>
      <xdr:grpSpPr>
        <a:xfrm>
          <a:off x="2157223" y="6120611"/>
          <a:ext cx="1751470" cy="776407"/>
          <a:chOff x="-35329" y="5606527"/>
          <a:chExt cx="1687183" cy="754372"/>
        </a:xfrm>
      </xdr:grpSpPr>
      <xdr:sp macro="" textlink="">
        <xdr:nvSpPr>
          <xdr:cNvPr id="25" name="フローチャート: 他ページ結合子 24">
            <a:extLst>
              <a:ext uri="{FF2B5EF4-FFF2-40B4-BE49-F238E27FC236}">
                <a16:creationId xmlns:a16="http://schemas.microsoft.com/office/drawing/2014/main" id="{1F91DF01-C617-447F-9949-DA99DA6FC685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6" name="正方形/長方形 48">
            <a:extLst>
              <a:ext uri="{FF2B5EF4-FFF2-40B4-BE49-F238E27FC236}">
                <a16:creationId xmlns:a16="http://schemas.microsoft.com/office/drawing/2014/main" id="{CAE53468-01CD-4FA8-A5C0-435567D74250}"/>
              </a:ext>
            </a:extLst>
          </xdr:cNvPr>
          <xdr:cNvSpPr/>
        </xdr:nvSpPr>
        <xdr:spPr>
          <a:xfrm>
            <a:off x="-35329" y="5606527"/>
            <a:ext cx="1687183" cy="7543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3.4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入金（前受）</a:t>
            </a:r>
          </a:p>
        </xdr:txBody>
      </xdr:sp>
    </xdr:grpSp>
    <xdr:clientData/>
  </xdr:twoCellAnchor>
  <xdr:twoCellAnchor>
    <xdr:from>
      <xdr:col>11</xdr:col>
      <xdr:colOff>159983</xdr:colOff>
      <xdr:row>39</xdr:row>
      <xdr:rowOff>95250</xdr:rowOff>
    </xdr:from>
    <xdr:to>
      <xdr:col>17</xdr:col>
      <xdr:colOff>65033</xdr:colOff>
      <xdr:row>42</xdr:row>
      <xdr:rowOff>56325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67B63CE2-9100-4CB4-9B27-ABC8A3D7F618}"/>
            </a:ext>
          </a:extLst>
        </xdr:cNvPr>
        <xdr:cNvGrpSpPr/>
      </xdr:nvGrpSpPr>
      <xdr:grpSpPr>
        <a:xfrm>
          <a:off x="2434117" y="7172073"/>
          <a:ext cx="1140638" cy="519538"/>
          <a:chOff x="1612900" y="2427475"/>
          <a:chExt cx="933032" cy="404625"/>
        </a:xfrm>
      </xdr:grpSpPr>
      <xdr:sp macro="" textlink="">
        <xdr:nvSpPr>
          <xdr:cNvPr id="33" name="フローチャート: 定義済み処理 32">
            <a:extLst>
              <a:ext uri="{FF2B5EF4-FFF2-40B4-BE49-F238E27FC236}">
                <a16:creationId xmlns:a16="http://schemas.microsoft.com/office/drawing/2014/main" id="{8B0A6CCA-3E13-4DA4-A4D2-A52EB7421EFB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D712F66B-FDBA-4F8C-839F-F2F36B7D8D83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１．前受金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データ確認</a:t>
            </a:r>
          </a:p>
        </xdr:txBody>
      </xdr:sp>
    </xdr:grpSp>
    <xdr:clientData/>
  </xdr:twoCellAnchor>
  <xdr:twoCellAnchor>
    <xdr:from>
      <xdr:col>17</xdr:col>
      <xdr:colOff>12876</xdr:colOff>
      <xdr:row>41</xdr:row>
      <xdr:rowOff>3969</xdr:rowOff>
    </xdr:from>
    <xdr:to>
      <xdr:col>29</xdr:col>
      <xdr:colOff>107404</xdr:colOff>
      <xdr:row>41</xdr:row>
      <xdr:rowOff>4331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5AB2A924-C1A2-47DC-9E19-646564E99A23}"/>
            </a:ext>
          </a:extLst>
        </xdr:cNvPr>
        <xdr:cNvCxnSpPr>
          <a:stCxn id="33" idx="3"/>
          <a:endCxn id="48" idx="2"/>
        </xdr:cNvCxnSpPr>
      </xdr:nvCxnSpPr>
      <xdr:spPr>
        <a:xfrm>
          <a:off x="3410126" y="5769769"/>
          <a:ext cx="1094653" cy="36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115239</xdr:colOff>
      <xdr:row>42</xdr:row>
      <xdr:rowOff>51129</xdr:rowOff>
    </xdr:from>
    <xdr:to>
      <xdr:col>14</xdr:col>
      <xdr:colOff>115683</xdr:colOff>
      <xdr:row>47</xdr:row>
      <xdr:rowOff>55678</xdr:rowOff>
    </xdr:to>
    <xdr:cxnSp macro="">
      <xdr:nvCxnSpPr>
        <xdr:cNvPr id="36" name="直線矢印コネクタ 27">
          <a:extLst>
            <a:ext uri="{FF2B5EF4-FFF2-40B4-BE49-F238E27FC236}">
              <a16:creationId xmlns:a16="http://schemas.microsoft.com/office/drawing/2014/main" id="{FDC706A4-CC3D-4615-9261-FF171D76D7C9}"/>
            </a:ext>
          </a:extLst>
        </xdr:cNvPr>
        <xdr:cNvCxnSpPr>
          <a:cxnSpLocks/>
          <a:stCxn id="34" idx="2"/>
          <a:endCxn id="16" idx="0"/>
        </xdr:cNvCxnSpPr>
      </xdr:nvCxnSpPr>
      <xdr:spPr>
        <a:xfrm flipH="1">
          <a:off x="2915589" y="7528254"/>
          <a:ext cx="444" cy="240484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39</xdr:row>
      <xdr:rowOff>47913</xdr:rowOff>
    </xdr:from>
    <xdr:to>
      <xdr:col>34</xdr:col>
      <xdr:colOff>18365</xdr:colOff>
      <xdr:row>43</xdr:row>
      <xdr:rowOff>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97C7923F-76D2-4B30-9841-803868A7DF85}"/>
            </a:ext>
          </a:extLst>
        </xdr:cNvPr>
        <xdr:cNvGrpSpPr>
          <a:grpSpLocks noChangeAspect="1"/>
        </xdr:cNvGrpSpPr>
      </xdr:nvGrpSpPr>
      <xdr:grpSpPr>
        <a:xfrm>
          <a:off x="5990422" y="7130451"/>
          <a:ext cx="1055006" cy="684639"/>
          <a:chOff x="7112000" y="2892425"/>
          <a:chExt cx="873125" cy="584982"/>
        </a:xfrm>
      </xdr:grpSpPr>
      <xdr:sp macro="" textlink="">
        <xdr:nvSpPr>
          <xdr:cNvPr id="48" name="フローチャート: 磁気ディスク 47">
            <a:extLst>
              <a:ext uri="{FF2B5EF4-FFF2-40B4-BE49-F238E27FC236}">
                <a16:creationId xmlns:a16="http://schemas.microsoft.com/office/drawing/2014/main" id="{9EE13B99-1DA7-4D2C-97B2-30C9F58D44EE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2AC0B83E-E69C-4208-B652-D95883A2A2BA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12</xdr:col>
      <xdr:colOff>180340</xdr:colOff>
      <xdr:row>57</xdr:row>
      <xdr:rowOff>28575</xdr:rowOff>
    </xdr:from>
    <xdr:to>
      <xdr:col>16</xdr:col>
      <xdr:colOff>76835</xdr:colOff>
      <xdr:row>58</xdr:row>
      <xdr:rowOff>130175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EE76616F-ED99-4CE0-B728-6EF938B66078}"/>
            </a:ext>
          </a:extLst>
        </xdr:cNvPr>
        <xdr:cNvSpPr/>
      </xdr:nvSpPr>
      <xdr:spPr>
        <a:xfrm>
          <a:off x="2580640" y="11620500"/>
          <a:ext cx="696595" cy="2730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</xdr:col>
      <xdr:colOff>25585</xdr:colOff>
      <xdr:row>14</xdr:row>
      <xdr:rowOff>134470</xdr:rowOff>
    </xdr:from>
    <xdr:to>
      <xdr:col>34</xdr:col>
      <xdr:colOff>171824</xdr:colOff>
      <xdr:row>21</xdr:row>
      <xdr:rowOff>88899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3AEB9197-0C5B-48AF-9854-28180EB2C400}"/>
            </a:ext>
          </a:extLst>
        </xdr:cNvPr>
        <xdr:cNvSpPr/>
      </xdr:nvSpPr>
      <xdr:spPr>
        <a:xfrm>
          <a:off x="630703" y="2629646"/>
          <a:ext cx="6399121" cy="1157194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3</xdr:col>
      <xdr:colOff>0</xdr:colOff>
      <xdr:row>38</xdr:row>
      <xdr:rowOff>19050</xdr:rowOff>
    </xdr:from>
    <xdr:to>
      <xdr:col>34</xdr:col>
      <xdr:colOff>82176</xdr:colOff>
      <xdr:row>54</xdr:row>
      <xdr:rowOff>133349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52B5752A-C1B4-4854-8F14-FC68BF70DB91}"/>
            </a:ext>
          </a:extLst>
        </xdr:cNvPr>
        <xdr:cNvSpPr/>
      </xdr:nvSpPr>
      <xdr:spPr>
        <a:xfrm>
          <a:off x="605118" y="6637991"/>
          <a:ext cx="6335058" cy="2863476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26</xdr:col>
      <xdr:colOff>146699</xdr:colOff>
      <xdr:row>21</xdr:row>
      <xdr:rowOff>76202</xdr:rowOff>
    </xdr:from>
    <xdr:to>
      <xdr:col>31</xdr:col>
      <xdr:colOff>77881</xdr:colOff>
      <xdr:row>25</xdr:row>
      <xdr:rowOff>48912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B39E74EE-F6ED-4B9E-82CF-2871E3C8B215}"/>
            </a:ext>
          </a:extLst>
        </xdr:cNvPr>
        <xdr:cNvCxnSpPr>
          <a:cxnSpLocks/>
          <a:stCxn id="65" idx="2"/>
          <a:endCxn id="83" idx="4"/>
        </xdr:cNvCxnSpPr>
      </xdr:nvCxnSpPr>
      <xdr:spPr>
        <a:xfrm rot="5400000">
          <a:off x="5538376" y="3570790"/>
          <a:ext cx="645063" cy="939711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200</xdr:colOff>
      <xdr:row>48</xdr:row>
      <xdr:rowOff>150376</xdr:rowOff>
    </xdr:from>
    <xdr:to>
      <xdr:col>29</xdr:col>
      <xdr:colOff>14941</xdr:colOff>
      <xdr:row>51</xdr:row>
      <xdr:rowOff>119529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38CEC032-4E95-41D4-BA0A-009D989CB634}"/>
            </a:ext>
          </a:extLst>
        </xdr:cNvPr>
        <xdr:cNvCxnSpPr>
          <a:cxnSpLocks/>
          <a:stCxn id="17" idx="3"/>
        </xdr:cNvCxnSpPr>
      </xdr:nvCxnSpPr>
      <xdr:spPr>
        <a:xfrm>
          <a:off x="3429200" y="8487552"/>
          <a:ext cx="2435212" cy="484624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27508</xdr:colOff>
      <xdr:row>14</xdr:row>
      <xdr:rowOff>122410</xdr:rowOff>
    </xdr:from>
    <xdr:to>
      <xdr:col>105</xdr:col>
      <xdr:colOff>173904</xdr:colOff>
      <xdr:row>25</xdr:row>
      <xdr:rowOff>54430</xdr:rowOff>
    </xdr:to>
    <xdr:sp macro="" textlink="">
      <xdr:nvSpPr>
        <xdr:cNvPr id="86" name="吹き出し: 折線 85">
          <a:extLst>
            <a:ext uri="{FF2B5EF4-FFF2-40B4-BE49-F238E27FC236}">
              <a16:creationId xmlns:a16="http://schemas.microsoft.com/office/drawing/2014/main" id="{B4F50161-2209-4676-A434-07EB0C4AC915}"/>
            </a:ext>
          </a:extLst>
        </xdr:cNvPr>
        <xdr:cNvSpPr/>
      </xdr:nvSpPr>
      <xdr:spPr>
        <a:xfrm>
          <a:off x="15743758" y="2666946"/>
          <a:ext cx="5861396" cy="1877841"/>
        </a:xfrm>
        <a:prstGeom prst="borderCallout2">
          <a:avLst>
            <a:gd name="adj1" fmla="val 7886"/>
            <a:gd name="adj2" fmla="val -1896"/>
            <a:gd name="adj3" fmla="val -1044"/>
            <a:gd name="adj4" fmla="val -4007"/>
            <a:gd name="adj5" fmla="val -15393"/>
            <a:gd name="adj6" fmla="val -11837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600"/>
            <a:t>SLJ</a:t>
          </a:r>
          <a:r>
            <a:rPr kumimoji="1" lang="ja-JP" altLang="en-US" sz="1600"/>
            <a:t>については</a:t>
          </a:r>
          <a:r>
            <a:rPr kumimoji="1" lang="en-US" altLang="ja-JP" sz="1600"/>
            <a:t>FO</a:t>
          </a:r>
          <a:r>
            <a:rPr kumimoji="1" lang="ja-JP" altLang="en-US" sz="1600"/>
            <a:t>で登録になるため、消込が必要になる想定です。</a:t>
          </a:r>
          <a:endParaRPr kumimoji="1" lang="en-US" altLang="ja-JP" sz="1600"/>
        </a:p>
        <a:p>
          <a:pPr algn="l"/>
          <a:r>
            <a:rPr kumimoji="1" lang="en-US" altLang="ja-JP" sz="1600"/>
            <a:t>SSJ</a:t>
          </a:r>
          <a:r>
            <a:rPr kumimoji="1" lang="ja-JP" altLang="en-US" sz="1600"/>
            <a:t>、</a:t>
          </a:r>
          <a:r>
            <a:rPr kumimoji="1" lang="en-US" altLang="ja-JP" sz="1600"/>
            <a:t>SLJ</a:t>
          </a:r>
          <a:r>
            <a:rPr kumimoji="1" lang="ja-JP" altLang="en-US" sz="1600"/>
            <a:t>はこれからの検討になります。</a:t>
          </a:r>
          <a:endParaRPr kumimoji="1" lang="en-US" altLang="ja-JP" sz="1600"/>
        </a:p>
        <a:p>
          <a:pPr algn="l"/>
          <a:r>
            <a:rPr kumimoji="1" lang="en-US" altLang="ja-JP" sz="1600"/>
            <a:t>※FO</a:t>
          </a:r>
          <a:r>
            <a:rPr kumimoji="1" lang="ja-JP" altLang="en-US" sz="1600"/>
            <a:t>の機能制約によって</a:t>
          </a:r>
          <a:r>
            <a:rPr kumimoji="1" lang="en-US" altLang="ja-JP" sz="1600"/>
            <a:t>SAP</a:t>
          </a:r>
          <a:r>
            <a:rPr kumimoji="1" lang="ja-JP" altLang="en-US" sz="1600"/>
            <a:t>の統制勘定のような管理が必要となり、消込が必要になる可能性はあります。</a:t>
          </a:r>
          <a:endParaRPr kumimoji="1" lang="en-US" altLang="ja-JP" sz="16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36193</xdr:colOff>
      <xdr:row>37</xdr:row>
      <xdr:rowOff>3173</xdr:rowOff>
    </xdr:from>
    <xdr:to>
      <xdr:col>17</xdr:col>
      <xdr:colOff>200</xdr:colOff>
      <xdr:row>40</xdr:row>
      <xdr:rowOff>122579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830D1DFB-6286-451E-A78F-737381FEFA98}"/>
            </a:ext>
          </a:extLst>
        </xdr:cNvPr>
        <xdr:cNvGrpSpPr/>
      </xdr:nvGrpSpPr>
      <xdr:grpSpPr>
        <a:xfrm>
          <a:off x="2591134" y="6614644"/>
          <a:ext cx="1028566" cy="659193"/>
          <a:chOff x="1682750" y="2409581"/>
          <a:chExt cx="824228" cy="577782"/>
        </a:xfrm>
      </xdr:grpSpPr>
      <xdr:sp macro="" textlink="">
        <xdr:nvSpPr>
          <xdr:cNvPr id="28" name="フローチャート: 定義済み処理 27">
            <a:extLst>
              <a:ext uri="{FF2B5EF4-FFF2-40B4-BE49-F238E27FC236}">
                <a16:creationId xmlns:a16="http://schemas.microsoft.com/office/drawing/2014/main" id="{B5DBA1E2-97B0-4881-8250-512CF59A2A03}"/>
              </a:ext>
            </a:extLst>
          </xdr:cNvPr>
          <xdr:cNvSpPr/>
        </xdr:nvSpPr>
        <xdr:spPr>
          <a:xfrm>
            <a:off x="1682750" y="2457449"/>
            <a:ext cx="819150" cy="472282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7FCB71C3-F77E-4AF3-93C5-2409DDDE7BA6}"/>
              </a:ext>
            </a:extLst>
          </xdr:cNvPr>
          <xdr:cNvSpPr/>
        </xdr:nvSpPr>
        <xdr:spPr>
          <a:xfrm>
            <a:off x="1685316" y="2409581"/>
            <a:ext cx="821662" cy="57778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．前受金と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受注データ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の紐づけ・消込</a:t>
            </a:r>
            <a:endParaRPr kumimoji="1" lang="en-US" altLang="ja-JP" sz="900"/>
          </a:p>
        </xdr:txBody>
      </xdr:sp>
    </xdr:grpSp>
    <xdr:clientData/>
  </xdr:twoCellAnchor>
  <xdr:twoCellAnchor>
    <xdr:from>
      <xdr:col>16</xdr:col>
      <xdr:colOff>195914</xdr:colOff>
      <xdr:row>38</xdr:row>
      <xdr:rowOff>140268</xdr:rowOff>
    </xdr:from>
    <xdr:to>
      <xdr:col>23</xdr:col>
      <xdr:colOff>3028</xdr:colOff>
      <xdr:row>38</xdr:row>
      <xdr:rowOff>143211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89FC7E8C-2B4F-45CC-9E9A-4E84E8A0C3C1}"/>
            </a:ext>
          </a:extLst>
        </xdr:cNvPr>
        <xdr:cNvCxnSpPr>
          <a:stCxn id="28" idx="3"/>
          <a:endCxn id="79" idx="2"/>
        </xdr:cNvCxnSpPr>
      </xdr:nvCxnSpPr>
      <xdr:spPr>
        <a:xfrm flipV="1">
          <a:off x="3423208" y="8544680"/>
          <a:ext cx="1219055" cy="294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115234</xdr:colOff>
      <xdr:row>40</xdr:row>
      <xdr:rowOff>59252</xdr:rowOff>
    </xdr:from>
    <xdr:to>
      <xdr:col>14</xdr:col>
      <xdr:colOff>116054</xdr:colOff>
      <xdr:row>42</xdr:row>
      <xdr:rowOff>0</xdr:rowOff>
    </xdr:to>
    <xdr:cxnSp macro="">
      <xdr:nvCxnSpPr>
        <xdr:cNvPr id="34" name="直線矢印コネクタ 27">
          <a:extLst>
            <a:ext uri="{FF2B5EF4-FFF2-40B4-BE49-F238E27FC236}">
              <a16:creationId xmlns:a16="http://schemas.microsoft.com/office/drawing/2014/main" id="{6B597768-FEE0-4135-8FBA-5178061568E5}"/>
            </a:ext>
          </a:extLst>
        </xdr:cNvPr>
        <xdr:cNvCxnSpPr>
          <a:cxnSpLocks/>
          <a:stCxn id="28" idx="2"/>
          <a:endCxn id="62" idx="0"/>
        </xdr:cNvCxnSpPr>
      </xdr:nvCxnSpPr>
      <xdr:spPr>
        <a:xfrm flipH="1">
          <a:off x="2939116" y="7081605"/>
          <a:ext cx="820" cy="2843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125457</xdr:colOff>
      <xdr:row>29</xdr:row>
      <xdr:rowOff>69057</xdr:rowOff>
    </xdr:from>
    <xdr:to>
      <xdr:col>14</xdr:col>
      <xdr:colOff>127799</xdr:colOff>
      <xdr:row>31</xdr:row>
      <xdr:rowOff>132587</xdr:rowOff>
    </xdr:to>
    <xdr:cxnSp macro="">
      <xdr:nvCxnSpPr>
        <xdr:cNvPr id="35" name="直線矢印コネクタ 27">
          <a:extLst>
            <a:ext uri="{FF2B5EF4-FFF2-40B4-BE49-F238E27FC236}">
              <a16:creationId xmlns:a16="http://schemas.microsoft.com/office/drawing/2014/main" id="{F697A204-1C9F-4A38-AD0C-5F966D05D24F}"/>
            </a:ext>
          </a:extLst>
        </xdr:cNvPr>
        <xdr:cNvCxnSpPr>
          <a:cxnSpLocks/>
          <a:stCxn id="37" idx="2"/>
          <a:endCxn id="45" idx="0"/>
        </xdr:cNvCxnSpPr>
      </xdr:nvCxnSpPr>
      <xdr:spPr>
        <a:xfrm>
          <a:off x="2922632" y="5142707"/>
          <a:ext cx="2342" cy="4096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87750</xdr:colOff>
      <xdr:row>25</xdr:row>
      <xdr:rowOff>143570</xdr:rowOff>
    </xdr:from>
    <xdr:to>
      <xdr:col>19</xdr:col>
      <xdr:colOff>44450</xdr:colOff>
      <xdr:row>30</xdr:row>
      <xdr:rowOff>0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4B2A5859-72EF-476E-93BC-82D0447462C1}"/>
            </a:ext>
          </a:extLst>
        </xdr:cNvPr>
        <xdr:cNvGrpSpPr/>
      </xdr:nvGrpSpPr>
      <xdr:grpSpPr>
        <a:xfrm>
          <a:off x="2220678" y="4601606"/>
          <a:ext cx="1871001" cy="754806"/>
          <a:chOff x="-35329" y="5606527"/>
          <a:chExt cx="1741892" cy="754372"/>
        </a:xfrm>
      </xdr:grpSpPr>
      <xdr:sp macro="" textlink="">
        <xdr:nvSpPr>
          <xdr:cNvPr id="37" name="フローチャート: 他ページ結合子 36">
            <a:extLst>
              <a:ext uri="{FF2B5EF4-FFF2-40B4-BE49-F238E27FC236}">
                <a16:creationId xmlns:a16="http://schemas.microsoft.com/office/drawing/2014/main" id="{1458C2C4-EC19-482A-B423-7B7CFD1FE48B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8" name="正方形/長方形 48">
            <a:extLst>
              <a:ext uri="{FF2B5EF4-FFF2-40B4-BE49-F238E27FC236}">
                <a16:creationId xmlns:a16="http://schemas.microsoft.com/office/drawing/2014/main" id="{AAB409A1-3B1C-4810-ADAB-F5E1AAA7D72C}"/>
              </a:ext>
            </a:extLst>
          </xdr:cNvPr>
          <xdr:cNvSpPr/>
        </xdr:nvSpPr>
        <xdr:spPr>
          <a:xfrm>
            <a:off x="-35329" y="5606527"/>
            <a:ext cx="1741892" cy="7543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4.3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入金（前受）</a:t>
            </a:r>
          </a:p>
        </xdr:txBody>
      </xdr:sp>
    </xdr:grpSp>
    <xdr:clientData/>
  </xdr:twoCellAnchor>
  <xdr:twoCellAnchor>
    <xdr:from>
      <xdr:col>11</xdr:col>
      <xdr:colOff>163158</xdr:colOff>
      <xdr:row>31</xdr:row>
      <xdr:rowOff>95250</xdr:rowOff>
    </xdr:from>
    <xdr:to>
      <xdr:col>17</xdr:col>
      <xdr:colOff>68208</xdr:colOff>
      <xdr:row>34</xdr:row>
      <xdr:rowOff>56325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FDEED5C2-1775-4E26-9638-0644FFBA7FE1}"/>
            </a:ext>
          </a:extLst>
        </xdr:cNvPr>
        <xdr:cNvGrpSpPr/>
      </xdr:nvGrpSpPr>
      <xdr:grpSpPr>
        <a:xfrm>
          <a:off x="2507092" y="5627146"/>
          <a:ext cx="1178711" cy="506577"/>
          <a:chOff x="1612900" y="2427475"/>
          <a:chExt cx="933032" cy="404625"/>
        </a:xfrm>
      </xdr:grpSpPr>
      <xdr:sp macro="" textlink="">
        <xdr:nvSpPr>
          <xdr:cNvPr id="45" name="フローチャート: 定義済み処理 44">
            <a:extLst>
              <a:ext uri="{FF2B5EF4-FFF2-40B4-BE49-F238E27FC236}">
                <a16:creationId xmlns:a16="http://schemas.microsoft.com/office/drawing/2014/main" id="{431B9638-3D6C-423C-9667-DEBEA311EC8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CBBE67E9-CDD0-494F-B7A4-5E6F38DE604F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１．前受金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データ確認</a:t>
            </a:r>
          </a:p>
        </xdr:txBody>
      </xdr:sp>
    </xdr:grpSp>
    <xdr:clientData/>
  </xdr:twoCellAnchor>
  <xdr:twoCellAnchor>
    <xdr:from>
      <xdr:col>17</xdr:col>
      <xdr:colOff>12400</xdr:colOff>
      <xdr:row>33</xdr:row>
      <xdr:rowOff>1462</xdr:rowOff>
    </xdr:from>
    <xdr:to>
      <xdr:col>22</xdr:col>
      <xdr:colOff>200714</xdr:colOff>
      <xdr:row>33</xdr:row>
      <xdr:rowOff>8980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76F74231-3C53-453C-A5C9-8420E7AFD521}"/>
            </a:ext>
          </a:extLst>
        </xdr:cNvPr>
        <xdr:cNvCxnSpPr>
          <a:cxnSpLocks/>
          <a:stCxn id="45" idx="3"/>
          <a:endCxn id="85" idx="2"/>
        </xdr:cNvCxnSpPr>
      </xdr:nvCxnSpPr>
      <xdr:spPr>
        <a:xfrm flipV="1">
          <a:off x="3441400" y="5716462"/>
          <a:ext cx="1196843" cy="751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112509</xdr:colOff>
      <xdr:row>34</xdr:row>
      <xdr:rowOff>51239</xdr:rowOff>
    </xdr:from>
    <xdr:to>
      <xdr:col>14</xdr:col>
      <xdr:colOff>116054</xdr:colOff>
      <xdr:row>37</xdr:row>
      <xdr:rowOff>55106</xdr:rowOff>
    </xdr:to>
    <xdr:cxnSp macro="">
      <xdr:nvCxnSpPr>
        <xdr:cNvPr id="49" name="直線矢印コネクタ 27">
          <a:extLst>
            <a:ext uri="{FF2B5EF4-FFF2-40B4-BE49-F238E27FC236}">
              <a16:creationId xmlns:a16="http://schemas.microsoft.com/office/drawing/2014/main" id="{16AEC56D-9F01-4781-8D52-603252B4F5A9}"/>
            </a:ext>
          </a:extLst>
        </xdr:cNvPr>
        <xdr:cNvCxnSpPr>
          <a:cxnSpLocks/>
          <a:stCxn id="46" idx="2"/>
          <a:endCxn id="28" idx="0"/>
        </xdr:cNvCxnSpPr>
      </xdr:nvCxnSpPr>
      <xdr:spPr>
        <a:xfrm>
          <a:off x="2936391" y="5934327"/>
          <a:ext cx="3545" cy="23571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168573</xdr:colOff>
      <xdr:row>42</xdr:row>
      <xdr:rowOff>0</xdr:rowOff>
    </xdr:from>
    <xdr:to>
      <xdr:col>16</xdr:col>
      <xdr:colOff>61893</xdr:colOff>
      <xdr:row>43</xdr:row>
      <xdr:rowOff>98425</xdr:rowOff>
    </xdr:to>
    <xdr:sp macro="" textlink="">
      <xdr:nvSpPr>
        <xdr:cNvPr id="62" name="フローチャート: 端子 61">
          <a:extLst>
            <a:ext uri="{FF2B5EF4-FFF2-40B4-BE49-F238E27FC236}">
              <a16:creationId xmlns:a16="http://schemas.microsoft.com/office/drawing/2014/main" id="{F15797B0-446F-40AB-ACF4-B4F13DB6038B}"/>
            </a:ext>
          </a:extLst>
        </xdr:cNvPr>
        <xdr:cNvSpPr/>
      </xdr:nvSpPr>
      <xdr:spPr>
        <a:xfrm>
          <a:off x="2589044" y="7366000"/>
          <a:ext cx="700143" cy="27024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14</xdr:col>
      <xdr:colOff>104202</xdr:colOff>
      <xdr:row>14</xdr:row>
      <xdr:rowOff>11583</xdr:rowOff>
    </xdr:from>
    <xdr:to>
      <xdr:col>14</xdr:col>
      <xdr:colOff>104688</xdr:colOff>
      <xdr:row>15</xdr:row>
      <xdr:rowOff>120319</xdr:rowOff>
    </xdr:to>
    <xdr:cxnSp macro="">
      <xdr:nvCxnSpPr>
        <xdr:cNvPr id="65" name="直線矢印コネクタ 27">
          <a:extLst>
            <a:ext uri="{FF2B5EF4-FFF2-40B4-BE49-F238E27FC236}">
              <a16:creationId xmlns:a16="http://schemas.microsoft.com/office/drawing/2014/main" id="{58426B6B-719D-4356-B8D7-08A070791770}"/>
            </a:ext>
          </a:extLst>
        </xdr:cNvPr>
        <xdr:cNvCxnSpPr>
          <a:cxnSpLocks/>
          <a:stCxn id="75" idx="2"/>
          <a:endCxn id="67" idx="0"/>
        </xdr:cNvCxnSpPr>
      </xdr:nvCxnSpPr>
      <xdr:spPr>
        <a:xfrm>
          <a:off x="2907727" y="2570633"/>
          <a:ext cx="486" cy="2865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144463</xdr:colOff>
      <xdr:row>15</xdr:row>
      <xdr:rowOff>87286</xdr:rowOff>
    </xdr:from>
    <xdr:to>
      <xdr:col>17</xdr:col>
      <xdr:colOff>47625</xdr:colOff>
      <xdr:row>18</xdr:row>
      <xdr:rowOff>45186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A63F36C0-7FF2-4325-A4D4-37620D09BDA7}"/>
            </a:ext>
          </a:extLst>
        </xdr:cNvPr>
        <xdr:cNvGrpSpPr/>
      </xdr:nvGrpSpPr>
      <xdr:grpSpPr>
        <a:xfrm>
          <a:off x="2484587" y="2789809"/>
          <a:ext cx="1184443" cy="473370"/>
          <a:chOff x="1612900" y="2427475"/>
          <a:chExt cx="933032" cy="404625"/>
        </a:xfrm>
      </xdr:grpSpPr>
      <xdr:sp macro="" textlink="">
        <xdr:nvSpPr>
          <xdr:cNvPr id="67" name="フローチャート: 定義済み処理 66">
            <a:extLst>
              <a:ext uri="{FF2B5EF4-FFF2-40B4-BE49-F238E27FC236}">
                <a16:creationId xmlns:a16="http://schemas.microsoft.com/office/drawing/2014/main" id="{63A99D00-95C4-4C86-AC7F-F1A33EED3E5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9EE83797-BA16-48A0-8B87-B463FEE52B63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１．入金消込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182564</xdr:colOff>
      <xdr:row>15</xdr:row>
      <xdr:rowOff>28577</xdr:rowOff>
    </xdr:from>
    <xdr:to>
      <xdr:col>27</xdr:col>
      <xdr:colOff>183</xdr:colOff>
      <xdr:row>19</xdr:row>
      <xdr:rowOff>6352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F4B2A3AB-EF81-4632-BCC7-D51BBC38F0BB}"/>
            </a:ext>
          </a:extLst>
        </xdr:cNvPr>
        <xdr:cNvGrpSpPr>
          <a:grpSpLocks noChangeAspect="1"/>
        </xdr:cNvGrpSpPr>
      </xdr:nvGrpSpPr>
      <xdr:grpSpPr>
        <a:xfrm>
          <a:off x="4651806" y="2727290"/>
          <a:ext cx="1096995" cy="676349"/>
          <a:chOff x="7112000" y="2892425"/>
          <a:chExt cx="873125" cy="584982"/>
        </a:xfrm>
      </xdr:grpSpPr>
      <xdr:sp macro="" textlink="">
        <xdr:nvSpPr>
          <xdr:cNvPr id="70" name="フローチャート: 磁気ディスク 69">
            <a:extLst>
              <a:ext uri="{FF2B5EF4-FFF2-40B4-BE49-F238E27FC236}">
                <a16:creationId xmlns:a16="http://schemas.microsoft.com/office/drawing/2014/main" id="{F30977F1-9F5E-46B2-911D-354027956AB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50280A97-1719-42D5-A8F5-7C15813BEAA9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トランザクションの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決済</a:t>
            </a:r>
          </a:p>
        </xdr:txBody>
      </xdr:sp>
    </xdr:grpSp>
    <xdr:clientData/>
  </xdr:twoCellAnchor>
  <xdr:twoCellAnchor>
    <xdr:from>
      <xdr:col>16</xdr:col>
      <xdr:colOff>189232</xdr:colOff>
      <xdr:row>16</xdr:row>
      <xdr:rowOff>177477</xdr:rowOff>
    </xdr:from>
    <xdr:to>
      <xdr:col>22</xdr:col>
      <xdr:colOff>83517</xdr:colOff>
      <xdr:row>16</xdr:row>
      <xdr:rowOff>180155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C9FB9C35-B29A-491C-97A7-0921692A7C39}"/>
            </a:ext>
          </a:extLst>
        </xdr:cNvPr>
        <xdr:cNvCxnSpPr>
          <a:stCxn id="67" idx="3"/>
          <a:endCxn id="70" idx="2"/>
        </xdr:cNvCxnSpPr>
      </xdr:nvCxnSpPr>
      <xdr:spPr>
        <a:xfrm flipV="1">
          <a:off x="3389632" y="3076252"/>
          <a:ext cx="1097610" cy="267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104959</xdr:colOff>
      <xdr:row>18</xdr:row>
      <xdr:rowOff>51536</xdr:rowOff>
    </xdr:from>
    <xdr:to>
      <xdr:col>14</xdr:col>
      <xdr:colOff>107950</xdr:colOff>
      <xdr:row>20</xdr:row>
      <xdr:rowOff>87307</xdr:rowOff>
    </xdr:to>
    <xdr:cxnSp macro="">
      <xdr:nvCxnSpPr>
        <xdr:cNvPr id="73" name="直線矢印コネクタ 27">
          <a:extLst>
            <a:ext uri="{FF2B5EF4-FFF2-40B4-BE49-F238E27FC236}">
              <a16:creationId xmlns:a16="http://schemas.microsoft.com/office/drawing/2014/main" id="{779E5712-D7B0-49C6-9ED3-95DBD845D150}"/>
            </a:ext>
          </a:extLst>
        </xdr:cNvPr>
        <xdr:cNvCxnSpPr>
          <a:cxnSpLocks/>
          <a:stCxn id="67" idx="2"/>
          <a:endCxn id="77" idx="0"/>
        </xdr:cNvCxnSpPr>
      </xdr:nvCxnSpPr>
      <xdr:spPr>
        <a:xfrm>
          <a:off x="2902134" y="3296386"/>
          <a:ext cx="2991" cy="3786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20956</xdr:colOff>
      <xdr:row>10</xdr:row>
      <xdr:rowOff>114844</xdr:rowOff>
    </xdr:from>
    <xdr:to>
      <xdr:col>18</xdr:col>
      <xdr:colOff>9525</xdr:colOff>
      <xdr:row>14</xdr:row>
      <xdr:rowOff>74295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2267C8B-7D9A-4798-8B80-8C49B3734F70}"/>
            </a:ext>
          </a:extLst>
        </xdr:cNvPr>
        <xdr:cNvGrpSpPr/>
      </xdr:nvGrpSpPr>
      <xdr:grpSpPr>
        <a:xfrm>
          <a:off x="2359175" y="1918991"/>
          <a:ext cx="1484667" cy="687833"/>
          <a:chOff x="194298" y="5744160"/>
          <a:chExt cx="1376152" cy="666295"/>
        </a:xfrm>
      </xdr:grpSpPr>
      <xdr:sp macro="" textlink="">
        <xdr:nvSpPr>
          <xdr:cNvPr id="75" name="フローチャート: 他ページ結合子 74">
            <a:extLst>
              <a:ext uri="{FF2B5EF4-FFF2-40B4-BE49-F238E27FC236}">
                <a16:creationId xmlns:a16="http://schemas.microsoft.com/office/drawing/2014/main" id="{0C150A9B-460D-4258-ADF8-5C5767DD5CD4}"/>
              </a:ext>
            </a:extLst>
          </xdr:cNvPr>
          <xdr:cNvSpPr/>
        </xdr:nvSpPr>
        <xdr:spPr>
          <a:xfrm>
            <a:off x="492124" y="5781674"/>
            <a:ext cx="760814" cy="567634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6" name="正方形/長方形 48">
            <a:extLst>
              <a:ext uri="{FF2B5EF4-FFF2-40B4-BE49-F238E27FC236}">
                <a16:creationId xmlns:a16="http://schemas.microsoft.com/office/drawing/2014/main" id="{73FB2281-6BAA-47FD-8215-528D23D68A60}"/>
              </a:ext>
            </a:extLst>
          </xdr:cNvPr>
          <xdr:cNvSpPr/>
        </xdr:nvSpPr>
        <xdr:spPr>
          <a:xfrm>
            <a:off x="194298" y="5744160"/>
            <a:ext cx="1376152" cy="6662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</a:t>
            </a:r>
            <a:r>
              <a:rPr kumimoji="1" lang="en-US" altLang="ja-JP" sz="900"/>
              <a:t>EB</a:t>
            </a:r>
            <a:r>
              <a:rPr kumimoji="1" lang="ja-JP" altLang="en-US" sz="900"/>
              <a:t>取り込み）</a:t>
            </a:r>
          </a:p>
        </xdr:txBody>
      </xdr:sp>
    </xdr:grpSp>
    <xdr:clientData/>
  </xdr:twoCellAnchor>
  <xdr:twoCellAnchor>
    <xdr:from>
      <xdr:col>12</xdr:col>
      <xdr:colOff>158749</xdr:colOff>
      <xdr:row>20</xdr:row>
      <xdr:rowOff>87307</xdr:rowOff>
    </xdr:from>
    <xdr:to>
      <xdr:col>16</xdr:col>
      <xdr:colOff>57150</xdr:colOff>
      <xdr:row>21</xdr:row>
      <xdr:rowOff>173032</xdr:rowOff>
    </xdr:to>
    <xdr:sp macro="" textlink="">
      <xdr:nvSpPr>
        <xdr:cNvPr id="77" name="フローチャート: 端子 76">
          <a:extLst>
            <a:ext uri="{FF2B5EF4-FFF2-40B4-BE49-F238E27FC236}">
              <a16:creationId xmlns:a16="http://schemas.microsoft.com/office/drawing/2014/main" id="{582F78BD-3D2B-43D4-BAF6-13BA3CBE1A95}"/>
            </a:ext>
          </a:extLst>
        </xdr:cNvPr>
        <xdr:cNvSpPr/>
      </xdr:nvSpPr>
      <xdr:spPr>
        <a:xfrm>
          <a:off x="2562224" y="3675057"/>
          <a:ext cx="695326" cy="2603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94316</xdr:colOff>
      <xdr:row>37</xdr:row>
      <xdr:rowOff>26793</xdr:rowOff>
    </xdr:from>
    <xdr:to>
      <xdr:col>27</xdr:col>
      <xdr:colOff>132851</xdr:colOff>
      <xdr:row>40</xdr:row>
      <xdr:rowOff>136457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57FA85F2-F239-495B-9E62-B4A0C877F458}"/>
            </a:ext>
          </a:extLst>
        </xdr:cNvPr>
        <xdr:cNvGrpSpPr>
          <a:grpSpLocks noChangeAspect="1"/>
        </xdr:cNvGrpSpPr>
      </xdr:nvGrpSpPr>
      <xdr:grpSpPr>
        <a:xfrm>
          <a:off x="4782185" y="6636359"/>
          <a:ext cx="1103094" cy="645641"/>
          <a:chOff x="7112000" y="2892425"/>
          <a:chExt cx="873125" cy="584982"/>
        </a:xfrm>
      </xdr:grpSpPr>
      <xdr:sp macro="" textlink="">
        <xdr:nvSpPr>
          <xdr:cNvPr id="79" name="フローチャート: 磁気ディスク 78">
            <a:extLst>
              <a:ext uri="{FF2B5EF4-FFF2-40B4-BE49-F238E27FC236}">
                <a16:creationId xmlns:a16="http://schemas.microsoft.com/office/drawing/2014/main" id="{B6767BDA-87CB-421F-B13F-41F3B3DE196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92C31D9D-7320-49C7-AF1C-EF47CAA5A624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トランザクション</a:t>
            </a:r>
          </a:p>
        </xdr:txBody>
      </xdr:sp>
    </xdr:grpSp>
    <xdr:clientData/>
  </xdr:twoCellAnchor>
  <xdr:twoCellAnchor>
    <xdr:from>
      <xdr:col>22</xdr:col>
      <xdr:colOff>94314</xdr:colOff>
      <xdr:row>31</xdr:row>
      <xdr:rowOff>47999</xdr:rowOff>
    </xdr:from>
    <xdr:to>
      <xdr:col>27</xdr:col>
      <xdr:colOff>94749</xdr:colOff>
      <xdr:row>35</xdr:row>
      <xdr:rowOff>7184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699B50B6-F388-42D7-B528-3F55BC90DA6A}"/>
            </a:ext>
          </a:extLst>
        </xdr:cNvPr>
        <xdr:cNvGrpSpPr>
          <a:grpSpLocks noChangeAspect="1"/>
        </xdr:cNvGrpSpPr>
      </xdr:nvGrpSpPr>
      <xdr:grpSpPr>
        <a:xfrm>
          <a:off x="4782183" y="5585610"/>
          <a:ext cx="1064994" cy="676361"/>
          <a:chOff x="7112000" y="2892425"/>
          <a:chExt cx="873125" cy="584982"/>
        </a:xfrm>
      </xdr:grpSpPr>
      <xdr:sp macro="" textlink="">
        <xdr:nvSpPr>
          <xdr:cNvPr id="85" name="フローチャート: 磁気ディスク 84">
            <a:extLst>
              <a:ext uri="{FF2B5EF4-FFF2-40B4-BE49-F238E27FC236}">
                <a16:creationId xmlns:a16="http://schemas.microsoft.com/office/drawing/2014/main" id="{65748E76-D719-4FA3-9093-58E4492329D3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0FF3FDA8-22FE-4F7E-8892-10F81A5FE81C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トランザクション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150345</xdr:colOff>
      <xdr:row>226</xdr:row>
      <xdr:rowOff>17741</xdr:rowOff>
    </xdr:from>
    <xdr:to>
      <xdr:col>48</xdr:col>
      <xdr:colOff>153961</xdr:colOff>
      <xdr:row>229</xdr:row>
      <xdr:rowOff>78918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541E6A9A-A358-4FE4-8F0B-23FA3244DD74}"/>
            </a:ext>
          </a:extLst>
        </xdr:cNvPr>
        <xdr:cNvGrpSpPr/>
      </xdr:nvGrpSpPr>
      <xdr:grpSpPr>
        <a:xfrm>
          <a:off x="9434045" y="40229751"/>
          <a:ext cx="1083116" cy="590767"/>
          <a:chOff x="7113625" y="2892425"/>
          <a:chExt cx="914621" cy="594025"/>
        </a:xfrm>
      </xdr:grpSpPr>
      <xdr:sp macro="" textlink="">
        <xdr:nvSpPr>
          <xdr:cNvPr id="232" name="フローチャート: 磁気ディスク 231">
            <a:extLst>
              <a:ext uri="{FF2B5EF4-FFF2-40B4-BE49-F238E27FC236}">
                <a16:creationId xmlns:a16="http://schemas.microsoft.com/office/drawing/2014/main" id="{B0D10F4A-54FD-6B10-6E91-A7B96AB12E7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84" name="正方形/長方形 283">
            <a:extLst>
              <a:ext uri="{FF2B5EF4-FFF2-40B4-BE49-F238E27FC236}">
                <a16:creationId xmlns:a16="http://schemas.microsoft.com/office/drawing/2014/main" id="{FD237BB7-D242-E265-F73B-786140892132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10</xdr:col>
      <xdr:colOff>11019</xdr:colOff>
      <xdr:row>10</xdr:row>
      <xdr:rowOff>142501</xdr:rowOff>
    </xdr:from>
    <xdr:to>
      <xdr:col>13</xdr:col>
      <xdr:colOff>113147</xdr:colOff>
      <xdr:row>12</xdr:row>
      <xdr:rowOff>46567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F1C58552-F80A-468C-86EF-0CB5063B97C6}"/>
            </a:ext>
          </a:extLst>
        </xdr:cNvPr>
        <xdr:cNvSpPr/>
      </xdr:nvSpPr>
      <xdr:spPr>
        <a:xfrm>
          <a:off x="2011269" y="1876051"/>
          <a:ext cx="702203" cy="24696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21</xdr:col>
      <xdr:colOff>182470</xdr:colOff>
      <xdr:row>29</xdr:row>
      <xdr:rowOff>83296</xdr:rowOff>
    </xdr:from>
    <xdr:to>
      <xdr:col>28</xdr:col>
      <xdr:colOff>502</xdr:colOff>
      <xdr:row>32</xdr:row>
      <xdr:rowOff>106977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C6DD195F-A62C-4806-B92D-4BCA80F982AA}"/>
            </a:ext>
          </a:extLst>
        </xdr:cNvPr>
        <xdr:cNvGrpSpPr/>
      </xdr:nvGrpSpPr>
      <xdr:grpSpPr>
        <a:xfrm>
          <a:off x="4714465" y="5266801"/>
          <a:ext cx="1331237" cy="553271"/>
          <a:chOff x="1580728" y="2457449"/>
          <a:chExt cx="1013466" cy="381718"/>
        </a:xfrm>
      </xdr:grpSpPr>
      <xdr:sp macro="" textlink="">
        <xdr:nvSpPr>
          <xdr:cNvPr id="4" name="フローチャート: 定義済み処理 3">
            <a:extLst>
              <a:ext uri="{FF2B5EF4-FFF2-40B4-BE49-F238E27FC236}">
                <a16:creationId xmlns:a16="http://schemas.microsoft.com/office/drawing/2014/main" id="{2C1DC199-B9DC-EEF4-6906-91E451CB8AD3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" name="正方形/長方形 48">
            <a:extLst>
              <a:ext uri="{FF2B5EF4-FFF2-40B4-BE49-F238E27FC236}">
                <a16:creationId xmlns:a16="http://schemas.microsoft.com/office/drawing/2014/main" id="{7323D7DD-08A8-C129-E1D7-D9499BB181A7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債権登録・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承認申請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51</xdr:col>
      <xdr:colOff>27267</xdr:colOff>
      <xdr:row>29</xdr:row>
      <xdr:rowOff>83300</xdr:rowOff>
    </xdr:from>
    <xdr:to>
      <xdr:col>56</xdr:col>
      <xdr:colOff>38354</xdr:colOff>
      <xdr:row>32</xdr:row>
      <xdr:rowOff>163526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5541E29D-A695-489E-B369-748BADA62D8A}"/>
            </a:ext>
          </a:extLst>
        </xdr:cNvPr>
        <xdr:cNvGrpSpPr/>
      </xdr:nvGrpSpPr>
      <xdr:grpSpPr>
        <a:xfrm>
          <a:off x="11036262" y="5266805"/>
          <a:ext cx="1092492" cy="613626"/>
          <a:chOff x="7113625" y="2892425"/>
          <a:chExt cx="914621" cy="594025"/>
        </a:xfrm>
      </xdr:grpSpPr>
      <xdr:sp macro="" textlink="">
        <xdr:nvSpPr>
          <xdr:cNvPr id="7" name="フローチャート: 磁気ディスク 6">
            <a:extLst>
              <a:ext uri="{FF2B5EF4-FFF2-40B4-BE49-F238E27FC236}">
                <a16:creationId xmlns:a16="http://schemas.microsoft.com/office/drawing/2014/main" id="{A335A841-689F-ECB7-D207-73EC5C8F0EE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rgbClr val="FF0000"/>
              </a:solidFill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9304D784-9461-D879-A70D-54401ED7643C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JUST D.B.</a:t>
            </a:r>
          </a:p>
        </xdr:txBody>
      </xdr:sp>
    </xdr:grpSp>
    <xdr:clientData/>
  </xdr:twoCellAnchor>
  <xdr:twoCellAnchor>
    <xdr:from>
      <xdr:col>27</xdr:col>
      <xdr:colOff>89298</xdr:colOff>
      <xdr:row>31</xdr:row>
      <xdr:rowOff>4489</xdr:rowOff>
    </xdr:from>
    <xdr:to>
      <xdr:col>51</xdr:col>
      <xdr:colOff>127269</xdr:colOff>
      <xdr:row>31</xdr:row>
      <xdr:rowOff>8937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A745A876-2EDD-4FF3-B4E2-0ED3FDEE1EEC}"/>
            </a:ext>
          </a:extLst>
        </xdr:cNvPr>
        <xdr:cNvCxnSpPr>
          <a:cxnSpLocks/>
          <a:stCxn id="4" idx="3"/>
          <a:endCxn id="7" idx="2"/>
        </xdr:cNvCxnSpPr>
      </xdr:nvCxnSpPr>
      <xdr:spPr>
        <a:xfrm>
          <a:off x="5489973" y="5338489"/>
          <a:ext cx="4838571" cy="444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157513</xdr:colOff>
      <xdr:row>12</xdr:row>
      <xdr:rowOff>49742</xdr:rowOff>
    </xdr:from>
    <xdr:to>
      <xdr:col>11</xdr:col>
      <xdr:colOff>160508</xdr:colOff>
      <xdr:row>14</xdr:row>
      <xdr:rowOff>7462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7F697239-5F3A-4F0F-9E1A-D7FBF3F829E8}"/>
            </a:ext>
          </a:extLst>
        </xdr:cNvPr>
        <xdr:cNvCxnSpPr>
          <a:cxnSpLocks/>
          <a:stCxn id="2" idx="2"/>
          <a:endCxn id="297" idx="0"/>
        </xdr:cNvCxnSpPr>
      </xdr:nvCxnSpPr>
      <xdr:spPr>
        <a:xfrm flipH="1">
          <a:off x="2357788" y="2126192"/>
          <a:ext cx="2995" cy="3006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102535</xdr:colOff>
      <xdr:row>76</xdr:row>
      <xdr:rowOff>57526</xdr:rowOff>
    </xdr:from>
    <xdr:to>
      <xdr:col>13</xdr:col>
      <xdr:colOff>132481</xdr:colOff>
      <xdr:row>79</xdr:row>
      <xdr:rowOff>2610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52A99916-0D41-4E10-99B3-A3322DD8F261}"/>
            </a:ext>
          </a:extLst>
        </xdr:cNvPr>
        <xdr:cNvGrpSpPr/>
      </xdr:nvGrpSpPr>
      <xdr:grpSpPr>
        <a:xfrm>
          <a:off x="2041825" y="13591916"/>
          <a:ext cx="901166" cy="482294"/>
          <a:chOff x="424630" y="5751575"/>
          <a:chExt cx="754741" cy="470825"/>
        </a:xfrm>
      </xdr:grpSpPr>
      <xdr:sp macro="" textlink="">
        <xdr:nvSpPr>
          <xdr:cNvPr id="12" name="フローチャート: 他ページ結合子 11">
            <a:extLst>
              <a:ext uri="{FF2B5EF4-FFF2-40B4-BE49-F238E27FC236}">
                <a16:creationId xmlns:a16="http://schemas.microsoft.com/office/drawing/2014/main" id="{94507160-6891-90C8-5FE7-5A849546FB6C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" name="正方形/長方形 48">
            <a:extLst>
              <a:ext uri="{FF2B5EF4-FFF2-40B4-BE49-F238E27FC236}">
                <a16:creationId xmlns:a16="http://schemas.microsoft.com/office/drawing/2014/main" id="{74AD9094-D092-3E3F-FF14-3C2C2C4879A2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8.1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10</xdr:col>
      <xdr:colOff>5229</xdr:colOff>
      <xdr:row>187</xdr:row>
      <xdr:rowOff>18677</xdr:rowOff>
    </xdr:from>
    <xdr:to>
      <xdr:col>13</xdr:col>
      <xdr:colOff>104742</xdr:colOff>
      <xdr:row>188</xdr:row>
      <xdr:rowOff>74955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4F16E347-44CB-4C59-B77A-F94245A89B3C}"/>
            </a:ext>
          </a:extLst>
        </xdr:cNvPr>
        <xdr:cNvSpPr/>
      </xdr:nvSpPr>
      <xdr:spPr>
        <a:xfrm>
          <a:off x="2008654" y="35184977"/>
          <a:ext cx="699588" cy="22772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43</xdr:col>
      <xdr:colOff>189359</xdr:colOff>
      <xdr:row>87</xdr:row>
      <xdr:rowOff>11177</xdr:rowOff>
    </xdr:from>
    <xdr:to>
      <xdr:col>48</xdr:col>
      <xdr:colOff>193519</xdr:colOff>
      <xdr:row>90</xdr:row>
      <xdr:rowOff>113540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79F90344-26AE-4779-BCC5-78E9F4E3BBE9}"/>
            </a:ext>
          </a:extLst>
        </xdr:cNvPr>
        <xdr:cNvGrpSpPr/>
      </xdr:nvGrpSpPr>
      <xdr:grpSpPr>
        <a:xfrm>
          <a:off x="9473059" y="15507082"/>
          <a:ext cx="1083660" cy="633858"/>
          <a:chOff x="7113625" y="2892425"/>
          <a:chExt cx="914621" cy="583743"/>
        </a:xfrm>
      </xdr:grpSpPr>
      <xdr:sp macro="" textlink="">
        <xdr:nvSpPr>
          <xdr:cNvPr id="16" name="フローチャート: 磁気ディスク 15">
            <a:extLst>
              <a:ext uri="{FF2B5EF4-FFF2-40B4-BE49-F238E27FC236}">
                <a16:creationId xmlns:a16="http://schemas.microsoft.com/office/drawing/2014/main" id="{CBF9EE04-EE35-FE65-E9D3-9DEB276D26E2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ABBB6E3A-10CA-05C6-5179-E76B4A2A11D3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44</xdr:col>
      <xdr:colOff>4</xdr:colOff>
      <xdr:row>84</xdr:row>
      <xdr:rowOff>142029</xdr:rowOff>
    </xdr:from>
    <xdr:to>
      <xdr:col>49</xdr:col>
      <xdr:colOff>1565</xdr:colOff>
      <xdr:row>88</xdr:row>
      <xdr:rowOff>54258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16A5A896-8FC4-4700-B485-BBAEB8EC39BA}"/>
            </a:ext>
          </a:extLst>
        </xdr:cNvPr>
        <xdr:cNvGrpSpPr/>
      </xdr:nvGrpSpPr>
      <xdr:grpSpPr>
        <a:xfrm>
          <a:off x="9499604" y="15100724"/>
          <a:ext cx="1081061" cy="629144"/>
          <a:chOff x="7113625" y="2892425"/>
          <a:chExt cx="914621" cy="583743"/>
        </a:xfrm>
      </xdr:grpSpPr>
      <xdr:sp macro="" textlink="">
        <xdr:nvSpPr>
          <xdr:cNvPr id="19" name="フローチャート: 磁気ディスク 18">
            <a:extLst>
              <a:ext uri="{FF2B5EF4-FFF2-40B4-BE49-F238E27FC236}">
                <a16:creationId xmlns:a16="http://schemas.microsoft.com/office/drawing/2014/main" id="{416EB6C0-4A23-5E10-97BD-F26417C2C97D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BAA53982-7A92-32C9-5D24-11D020A54E4E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</xdr:txBody>
      </xdr:sp>
    </xdr:grpSp>
    <xdr:clientData/>
  </xdr:twoCellAnchor>
  <xdr:twoCellAnchor>
    <xdr:from>
      <xdr:col>42</xdr:col>
      <xdr:colOff>98370</xdr:colOff>
      <xdr:row>86</xdr:row>
      <xdr:rowOff>73923</xdr:rowOff>
    </xdr:from>
    <xdr:to>
      <xdr:col>44</xdr:col>
      <xdr:colOff>95039</xdr:colOff>
      <xdr:row>86</xdr:row>
      <xdr:rowOff>74739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DCFE3DEB-E845-46E7-8F5D-15A18EB7079D}"/>
            </a:ext>
          </a:extLst>
        </xdr:cNvPr>
        <xdr:cNvCxnSpPr>
          <a:cxnSpLocks/>
          <a:stCxn id="19" idx="2"/>
          <a:endCxn id="103" idx="3"/>
        </xdr:cNvCxnSpPr>
      </xdr:nvCxnSpPr>
      <xdr:spPr>
        <a:xfrm flipH="1">
          <a:off x="7099245" y="12265923"/>
          <a:ext cx="396719" cy="816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47217</xdr:colOff>
      <xdr:row>109</xdr:row>
      <xdr:rowOff>47656</xdr:rowOff>
    </xdr:from>
    <xdr:to>
      <xdr:col>51</xdr:col>
      <xdr:colOff>160470</xdr:colOff>
      <xdr:row>109</xdr:row>
      <xdr:rowOff>52368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F21C0413-0561-4CF1-B1F9-7D98CD3F7608}"/>
            </a:ext>
          </a:extLst>
        </xdr:cNvPr>
        <xdr:cNvCxnSpPr>
          <a:cxnSpLocks/>
          <a:stCxn id="118" idx="3"/>
          <a:endCxn id="24" idx="2"/>
        </xdr:cNvCxnSpPr>
      </xdr:nvCxnSpPr>
      <xdr:spPr>
        <a:xfrm flipV="1">
          <a:off x="8548280" y="18240406"/>
          <a:ext cx="1934909" cy="471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60232</xdr:colOff>
      <xdr:row>107</xdr:row>
      <xdr:rowOff>112056</xdr:rowOff>
    </xdr:from>
    <xdr:to>
      <xdr:col>56</xdr:col>
      <xdr:colOff>61793</xdr:colOff>
      <xdr:row>111</xdr:row>
      <xdr:rowOff>30545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1ED3BFA2-A909-4B92-9ED4-D20CE472BAE4}"/>
            </a:ext>
          </a:extLst>
        </xdr:cNvPr>
        <xdr:cNvGrpSpPr/>
      </xdr:nvGrpSpPr>
      <xdr:grpSpPr>
        <a:xfrm>
          <a:off x="11067322" y="19162056"/>
          <a:ext cx="1081061" cy="627784"/>
          <a:chOff x="7113625" y="2892425"/>
          <a:chExt cx="914621" cy="583743"/>
        </a:xfrm>
      </xdr:grpSpPr>
      <xdr:sp macro="" textlink="">
        <xdr:nvSpPr>
          <xdr:cNvPr id="24" name="フローチャート: 磁気ディスク 23">
            <a:extLst>
              <a:ext uri="{FF2B5EF4-FFF2-40B4-BE49-F238E27FC236}">
                <a16:creationId xmlns:a16="http://schemas.microsoft.com/office/drawing/2014/main" id="{90197243-4370-5A5E-26F5-999BA9D2F9EE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3AD3BE09-0648-228E-EE5A-5E81B847E9F6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JUST D.B.</a:t>
            </a:r>
          </a:p>
        </xdr:txBody>
      </xdr:sp>
    </xdr:grpSp>
    <xdr:clientData/>
  </xdr:twoCellAnchor>
  <xdr:twoCellAnchor>
    <xdr:from>
      <xdr:col>42</xdr:col>
      <xdr:colOff>30781</xdr:colOff>
      <xdr:row>116</xdr:row>
      <xdr:rowOff>20278</xdr:rowOff>
    </xdr:from>
    <xdr:to>
      <xdr:col>51</xdr:col>
      <xdr:colOff>190619</xdr:colOff>
      <xdr:row>116</xdr:row>
      <xdr:rowOff>22568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8603A3AF-D72D-4BDD-B4C6-A647D74AC7C9}"/>
            </a:ext>
          </a:extLst>
        </xdr:cNvPr>
        <xdr:cNvCxnSpPr>
          <a:cxnSpLocks/>
          <a:stCxn id="131" idx="3"/>
          <a:endCxn id="28" idx="2"/>
        </xdr:cNvCxnSpPr>
      </xdr:nvCxnSpPr>
      <xdr:spPr>
        <a:xfrm>
          <a:off x="8531844" y="19379841"/>
          <a:ext cx="1981494" cy="229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90067</xdr:colOff>
      <xdr:row>114</xdr:row>
      <xdr:rowOff>87783</xdr:rowOff>
    </xdr:from>
    <xdr:to>
      <xdr:col>56</xdr:col>
      <xdr:colOff>94803</xdr:colOff>
      <xdr:row>118</xdr:row>
      <xdr:rowOff>4497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C14FC34D-08E9-45E2-BDF1-0A35CB7B46A0}"/>
            </a:ext>
          </a:extLst>
        </xdr:cNvPr>
        <xdr:cNvGrpSpPr/>
      </xdr:nvGrpSpPr>
      <xdr:grpSpPr>
        <a:xfrm>
          <a:off x="11104777" y="20386193"/>
          <a:ext cx="1084236" cy="626009"/>
          <a:chOff x="7113625" y="2892425"/>
          <a:chExt cx="914621" cy="583743"/>
        </a:xfrm>
      </xdr:grpSpPr>
      <xdr:sp macro="" textlink="">
        <xdr:nvSpPr>
          <xdr:cNvPr id="28" name="フローチャート: 磁気ディスク 27">
            <a:extLst>
              <a:ext uri="{FF2B5EF4-FFF2-40B4-BE49-F238E27FC236}">
                <a16:creationId xmlns:a16="http://schemas.microsoft.com/office/drawing/2014/main" id="{08073AF9-C3E4-A8C2-3DC8-B7C7AEA4080D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87B1CEEB-D729-373B-0FB7-C4963C6210DE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JUST D.B.</a:t>
            </a:r>
          </a:p>
        </xdr:txBody>
      </xdr:sp>
    </xdr:grpSp>
    <xdr:clientData/>
  </xdr:twoCellAnchor>
  <xdr:twoCellAnchor>
    <xdr:from>
      <xdr:col>42</xdr:col>
      <xdr:colOff>69450</xdr:colOff>
      <xdr:row>139</xdr:row>
      <xdr:rowOff>57113</xdr:rowOff>
    </xdr:from>
    <xdr:to>
      <xdr:col>44</xdr:col>
      <xdr:colOff>80301</xdr:colOff>
      <xdr:row>139</xdr:row>
      <xdr:rowOff>59306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BDF7CCEB-5D85-482A-8F8F-D020489F2DA9}"/>
            </a:ext>
          </a:extLst>
        </xdr:cNvPr>
        <xdr:cNvCxnSpPr>
          <a:cxnSpLocks/>
          <a:stCxn id="136" idx="3"/>
          <a:endCxn id="32" idx="2"/>
        </xdr:cNvCxnSpPr>
      </xdr:nvCxnSpPr>
      <xdr:spPr>
        <a:xfrm>
          <a:off x="8570513" y="23250488"/>
          <a:ext cx="415663" cy="219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182469</xdr:colOff>
      <xdr:row>137</xdr:row>
      <xdr:rowOff>120787</xdr:rowOff>
    </xdr:from>
    <xdr:to>
      <xdr:col>48</xdr:col>
      <xdr:colOff>184030</xdr:colOff>
      <xdr:row>141</xdr:row>
      <xdr:rowOff>45626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FF31E6B0-B5AB-4B6D-95B6-23FB0B02DC4D}"/>
            </a:ext>
          </a:extLst>
        </xdr:cNvPr>
        <xdr:cNvGrpSpPr/>
      </xdr:nvGrpSpPr>
      <xdr:grpSpPr>
        <a:xfrm>
          <a:off x="9464264" y="24506692"/>
          <a:ext cx="1081061" cy="636039"/>
          <a:chOff x="7113625" y="2892425"/>
          <a:chExt cx="914621" cy="583743"/>
        </a:xfrm>
      </xdr:grpSpPr>
      <xdr:sp macro="" textlink="">
        <xdr:nvSpPr>
          <xdr:cNvPr id="32" name="フローチャート: 磁気ディスク 31">
            <a:extLst>
              <a:ext uri="{FF2B5EF4-FFF2-40B4-BE49-F238E27FC236}">
                <a16:creationId xmlns:a16="http://schemas.microsoft.com/office/drawing/2014/main" id="{F6B6A942-DFF8-DC84-4B20-3F7E2A81330D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A3B33989-7931-B806-589F-E030803B587D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29</xdr:col>
      <xdr:colOff>120650</xdr:colOff>
      <xdr:row>35</xdr:row>
      <xdr:rowOff>6350</xdr:rowOff>
    </xdr:from>
    <xdr:to>
      <xdr:col>35</xdr:col>
      <xdr:colOff>102288</xdr:colOff>
      <xdr:row>38</xdr:row>
      <xdr:rowOff>30031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591A2ED6-FFBA-47DE-8FDA-1050B0CA6B48}"/>
            </a:ext>
          </a:extLst>
        </xdr:cNvPr>
        <xdr:cNvGrpSpPr/>
      </xdr:nvGrpSpPr>
      <xdr:grpSpPr>
        <a:xfrm>
          <a:off x="6383655" y="6256655"/>
          <a:ext cx="1271323" cy="553271"/>
          <a:chOff x="1580728" y="2457449"/>
          <a:chExt cx="1013466" cy="381718"/>
        </a:xfrm>
      </xdr:grpSpPr>
      <xdr:sp macro="" textlink="">
        <xdr:nvSpPr>
          <xdr:cNvPr id="35" name="フローチャート: 定義済み処理 34">
            <a:extLst>
              <a:ext uri="{FF2B5EF4-FFF2-40B4-BE49-F238E27FC236}">
                <a16:creationId xmlns:a16="http://schemas.microsoft.com/office/drawing/2014/main" id="{BFC80689-EC71-AEE2-BF0A-20CB784FC6C3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6" name="正方形/長方形 48">
            <a:extLst>
              <a:ext uri="{FF2B5EF4-FFF2-40B4-BE49-F238E27FC236}">
                <a16:creationId xmlns:a16="http://schemas.microsoft.com/office/drawing/2014/main" id="{781D3CDC-2BD7-C976-5CB0-FDBAB4B73EE3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登録内容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確認・承認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24</xdr:col>
      <xdr:colOff>198242</xdr:colOff>
      <xdr:row>32</xdr:row>
      <xdr:rowOff>97201</xdr:rowOff>
    </xdr:from>
    <xdr:to>
      <xdr:col>32</xdr:col>
      <xdr:colOff>120364</xdr:colOff>
      <xdr:row>35</xdr:row>
      <xdr:rowOff>9525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5758A6E3-A5DD-4783-9D4F-76871E5099BA}"/>
            </a:ext>
          </a:extLst>
        </xdr:cNvPr>
        <xdr:cNvCxnSpPr>
          <a:cxnSpLocks/>
          <a:stCxn id="4" idx="2"/>
          <a:endCxn id="35" idx="0"/>
        </xdr:cNvCxnSpPr>
      </xdr:nvCxnSpPr>
      <xdr:spPr>
        <a:xfrm rot="16200000" flipH="1">
          <a:off x="5598774" y="2417522"/>
          <a:ext cx="416588" cy="153576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166405</xdr:colOff>
      <xdr:row>42</xdr:row>
      <xdr:rowOff>3685</xdr:rowOff>
    </xdr:from>
    <xdr:to>
      <xdr:col>51</xdr:col>
      <xdr:colOff>101504</xdr:colOff>
      <xdr:row>42</xdr:row>
      <xdr:rowOff>8134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E2638B0C-5FCC-4ECD-8473-50B37D0984BE}"/>
            </a:ext>
          </a:extLst>
        </xdr:cNvPr>
        <xdr:cNvCxnSpPr>
          <a:cxnSpLocks/>
          <a:stCxn id="332" idx="3"/>
          <a:endCxn id="336" idx="2"/>
        </xdr:cNvCxnSpPr>
      </xdr:nvCxnSpPr>
      <xdr:spPr>
        <a:xfrm>
          <a:off x="5567080" y="7223635"/>
          <a:ext cx="4735699" cy="4449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69107</xdr:colOff>
      <xdr:row>164</xdr:row>
      <xdr:rowOff>122517</xdr:rowOff>
    </xdr:from>
    <xdr:to>
      <xdr:col>49</xdr:col>
      <xdr:colOff>64318</xdr:colOff>
      <xdr:row>168</xdr:row>
      <xdr:rowOff>46796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91263057-FC46-448C-9427-C1A329A9F8F0}"/>
            </a:ext>
          </a:extLst>
        </xdr:cNvPr>
        <xdr:cNvGrpSpPr/>
      </xdr:nvGrpSpPr>
      <xdr:grpSpPr>
        <a:xfrm>
          <a:off x="9566802" y="29309022"/>
          <a:ext cx="1072806" cy="635479"/>
          <a:chOff x="7113625" y="2892425"/>
          <a:chExt cx="914621" cy="583743"/>
        </a:xfrm>
      </xdr:grpSpPr>
      <xdr:sp macro="" textlink="">
        <xdr:nvSpPr>
          <xdr:cNvPr id="41" name="フローチャート: 磁気ディスク 40">
            <a:extLst>
              <a:ext uri="{FF2B5EF4-FFF2-40B4-BE49-F238E27FC236}">
                <a16:creationId xmlns:a16="http://schemas.microsoft.com/office/drawing/2014/main" id="{9A2D8D00-048B-F46E-D593-9BFBDF09397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2D7C3BAB-11D1-6A48-836D-96154A3D1FEE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44</xdr:col>
      <xdr:colOff>56033</xdr:colOff>
      <xdr:row>162</xdr:row>
      <xdr:rowOff>28761</xdr:rowOff>
    </xdr:from>
    <xdr:to>
      <xdr:col>49</xdr:col>
      <xdr:colOff>67119</xdr:colOff>
      <xdr:row>165</xdr:row>
      <xdr:rowOff>125424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77EC19BF-FA1F-4710-83CC-306F15FA0CDB}"/>
            </a:ext>
          </a:extLst>
        </xdr:cNvPr>
        <xdr:cNvGrpSpPr/>
      </xdr:nvGrpSpPr>
      <xdr:grpSpPr>
        <a:xfrm>
          <a:off x="9559443" y="28855856"/>
          <a:ext cx="1084871" cy="633873"/>
          <a:chOff x="7113625" y="2892425"/>
          <a:chExt cx="914621" cy="583743"/>
        </a:xfrm>
      </xdr:grpSpPr>
      <xdr:sp macro="" textlink="">
        <xdr:nvSpPr>
          <xdr:cNvPr id="45" name="フローチャート: 磁気ディスク 44">
            <a:extLst>
              <a:ext uri="{FF2B5EF4-FFF2-40B4-BE49-F238E27FC236}">
                <a16:creationId xmlns:a16="http://schemas.microsoft.com/office/drawing/2014/main" id="{B425165C-364A-A0A7-B1B7-BF793E79299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3E363F39-5746-4EEF-A9B3-5B8B2469D41C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</xdr:txBody>
      </xdr:sp>
    </xdr:grpSp>
    <xdr:clientData/>
  </xdr:twoCellAnchor>
  <xdr:twoCellAnchor>
    <xdr:from>
      <xdr:col>41</xdr:col>
      <xdr:colOff>182516</xdr:colOff>
      <xdr:row>163</xdr:row>
      <xdr:rowOff>138274</xdr:rowOff>
    </xdr:from>
    <xdr:to>
      <xdr:col>44</xdr:col>
      <xdr:colOff>153172</xdr:colOff>
      <xdr:row>163</xdr:row>
      <xdr:rowOff>148886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EB0B9BB0-F1C4-4453-839E-44DBFFB3A723}"/>
            </a:ext>
          </a:extLst>
        </xdr:cNvPr>
        <xdr:cNvCxnSpPr>
          <a:cxnSpLocks/>
          <a:stCxn id="45" idx="2"/>
          <a:endCxn id="236" idx="3"/>
        </xdr:cNvCxnSpPr>
      </xdr:nvCxnSpPr>
      <xdr:spPr>
        <a:xfrm flipH="1">
          <a:off x="8146163" y="28160450"/>
          <a:ext cx="553362" cy="1061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37353</xdr:colOff>
      <xdr:row>175</xdr:row>
      <xdr:rowOff>106783</xdr:rowOff>
    </xdr:from>
    <xdr:to>
      <xdr:col>56</xdr:col>
      <xdr:colOff>45264</xdr:colOff>
      <xdr:row>179</xdr:row>
      <xdr:rowOff>27886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5C29FA25-ADD3-44F0-B232-F0616BCA1222}"/>
            </a:ext>
          </a:extLst>
        </xdr:cNvPr>
        <xdr:cNvGrpSpPr/>
      </xdr:nvGrpSpPr>
      <xdr:grpSpPr>
        <a:xfrm>
          <a:off x="11048253" y="31245278"/>
          <a:ext cx="1089316" cy="632303"/>
          <a:chOff x="7113625" y="2892425"/>
          <a:chExt cx="914621" cy="583743"/>
        </a:xfrm>
      </xdr:grpSpPr>
      <xdr:sp macro="" textlink="">
        <xdr:nvSpPr>
          <xdr:cNvPr id="66" name="フローチャート: 磁気ディスク 65">
            <a:extLst>
              <a:ext uri="{FF2B5EF4-FFF2-40B4-BE49-F238E27FC236}">
                <a16:creationId xmlns:a16="http://schemas.microsoft.com/office/drawing/2014/main" id="{28DAAAD8-8606-B1F8-6EC6-48079DC2B7F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F741E326-AFA1-696E-8B08-8B123F92F412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JUST D.B.</a:t>
            </a:r>
          </a:p>
        </xdr:txBody>
      </xdr:sp>
    </xdr:grpSp>
    <xdr:clientData/>
  </xdr:twoCellAnchor>
  <xdr:twoCellAnchor>
    <xdr:from>
      <xdr:col>41</xdr:col>
      <xdr:colOff>172814</xdr:colOff>
      <xdr:row>177</xdr:row>
      <xdr:rowOff>27048</xdr:rowOff>
    </xdr:from>
    <xdr:to>
      <xdr:col>51</xdr:col>
      <xdr:colOff>138219</xdr:colOff>
      <xdr:row>177</xdr:row>
      <xdr:rowOff>43585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FDDF9BC5-0412-438D-A066-B145515BE2A9}"/>
            </a:ext>
          </a:extLst>
        </xdr:cNvPr>
        <xdr:cNvCxnSpPr>
          <a:cxnSpLocks/>
          <a:stCxn id="249" idx="3"/>
          <a:endCxn id="66" idx="2"/>
        </xdr:cNvCxnSpPr>
      </xdr:nvCxnSpPr>
      <xdr:spPr>
        <a:xfrm>
          <a:off x="8471470" y="29554548"/>
          <a:ext cx="1989468" cy="1653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143995</xdr:colOff>
      <xdr:row>204</xdr:row>
      <xdr:rowOff>125691</xdr:rowOff>
    </xdr:from>
    <xdr:to>
      <xdr:col>48</xdr:col>
      <xdr:colOff>141261</xdr:colOff>
      <xdr:row>208</xdr:row>
      <xdr:rowOff>9068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4BF81D10-CD71-4B12-B63C-E496A1204F90}"/>
            </a:ext>
          </a:extLst>
        </xdr:cNvPr>
        <xdr:cNvGrpSpPr/>
      </xdr:nvGrpSpPr>
      <xdr:grpSpPr>
        <a:xfrm>
          <a:off x="9425790" y="36424196"/>
          <a:ext cx="1076766" cy="594577"/>
          <a:chOff x="7113625" y="2892425"/>
          <a:chExt cx="914621" cy="594025"/>
        </a:xfrm>
      </xdr:grpSpPr>
      <xdr:sp macro="" textlink="">
        <xdr:nvSpPr>
          <xdr:cNvPr id="76" name="フローチャート: 磁気ディスク 75">
            <a:extLst>
              <a:ext uri="{FF2B5EF4-FFF2-40B4-BE49-F238E27FC236}">
                <a16:creationId xmlns:a16="http://schemas.microsoft.com/office/drawing/2014/main" id="{8C99910F-E72F-9EBB-62D1-55DF6771F18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62AE7758-E58B-5FBA-6C7E-4C467AEAAE55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11</xdr:col>
      <xdr:colOff>159013</xdr:colOff>
      <xdr:row>188</xdr:row>
      <xdr:rowOff>74955</xdr:rowOff>
    </xdr:from>
    <xdr:to>
      <xdr:col>11</xdr:col>
      <xdr:colOff>160237</xdr:colOff>
      <xdr:row>190</xdr:row>
      <xdr:rowOff>167290</xdr:rowOff>
    </xdr:to>
    <xdr:cxnSp macro="">
      <xdr:nvCxnSpPr>
        <xdr:cNvPr id="82" name="直線矢印コネクタ 27">
          <a:extLst>
            <a:ext uri="{FF2B5EF4-FFF2-40B4-BE49-F238E27FC236}">
              <a16:creationId xmlns:a16="http://schemas.microsoft.com/office/drawing/2014/main" id="{5D2547F6-C6A6-4103-9C7A-FEBAD2D6049D}"/>
            </a:ext>
          </a:extLst>
        </xdr:cNvPr>
        <xdr:cNvCxnSpPr>
          <a:cxnSpLocks/>
          <a:stCxn id="14" idx="2"/>
          <a:endCxn id="48" idx="0"/>
        </xdr:cNvCxnSpPr>
      </xdr:nvCxnSpPr>
      <xdr:spPr>
        <a:xfrm>
          <a:off x="2377778" y="37244867"/>
          <a:ext cx="1224" cy="42851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194690</xdr:colOff>
      <xdr:row>206</xdr:row>
      <xdr:rowOff>39549</xdr:rowOff>
    </xdr:from>
    <xdr:to>
      <xdr:col>44</xdr:col>
      <xdr:colOff>40058</xdr:colOff>
      <xdr:row>206</xdr:row>
      <xdr:rowOff>98935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A9C4A6E2-9938-4826-9C0A-4BE57D0E04DC}"/>
            </a:ext>
          </a:extLst>
        </xdr:cNvPr>
        <xdr:cNvCxnSpPr>
          <a:cxnSpLocks/>
          <a:stCxn id="253" idx="3"/>
          <a:endCxn id="76" idx="2"/>
        </xdr:cNvCxnSpPr>
      </xdr:nvCxnSpPr>
      <xdr:spPr>
        <a:xfrm flipV="1">
          <a:off x="5595365" y="41035149"/>
          <a:ext cx="3245793" cy="59386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45198</xdr:colOff>
      <xdr:row>82</xdr:row>
      <xdr:rowOff>28761</xdr:rowOff>
    </xdr:from>
    <xdr:to>
      <xdr:col>41</xdr:col>
      <xdr:colOff>132011</xdr:colOff>
      <xdr:row>83</xdr:row>
      <xdr:rowOff>85040</xdr:rowOff>
    </xdr:to>
    <xdr:sp macro="" textlink="">
      <xdr:nvSpPr>
        <xdr:cNvPr id="101" name="フローチャート: 端子 100">
          <a:extLst>
            <a:ext uri="{FF2B5EF4-FFF2-40B4-BE49-F238E27FC236}">
              <a16:creationId xmlns:a16="http://schemas.microsoft.com/office/drawing/2014/main" id="{15154ECC-E585-4913-A1C7-E43EBDE5E775}"/>
            </a:ext>
          </a:extLst>
        </xdr:cNvPr>
        <xdr:cNvSpPr/>
      </xdr:nvSpPr>
      <xdr:spPr>
        <a:xfrm>
          <a:off x="6249148" y="11531786"/>
          <a:ext cx="683713" cy="23407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178174</xdr:colOff>
      <xdr:row>84</xdr:row>
      <xdr:rowOff>161746</xdr:rowOff>
    </xdr:from>
    <xdr:to>
      <xdr:col>42</xdr:col>
      <xdr:colOff>154045</xdr:colOff>
      <xdr:row>87</xdr:row>
      <xdr:rowOff>124152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47BC7BAE-2049-4BE9-BB97-5681B431B097}"/>
            </a:ext>
          </a:extLst>
        </xdr:cNvPr>
        <xdr:cNvGrpSpPr/>
      </xdr:nvGrpSpPr>
      <xdr:grpSpPr>
        <a:xfrm>
          <a:off x="7946764" y="15124251"/>
          <a:ext cx="1275081" cy="495806"/>
          <a:chOff x="1612900" y="2427475"/>
          <a:chExt cx="933032" cy="404625"/>
        </a:xfrm>
      </xdr:grpSpPr>
      <xdr:sp macro="" textlink="">
        <xdr:nvSpPr>
          <xdr:cNvPr id="103" name="フローチャート: 定義済み処理 102">
            <a:extLst>
              <a:ext uri="{FF2B5EF4-FFF2-40B4-BE49-F238E27FC236}">
                <a16:creationId xmlns:a16="http://schemas.microsoft.com/office/drawing/2014/main" id="{93802736-5D3A-8F65-D157-7DF0C0FBDB3B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F0798CCC-0CF8-364B-A4B4-8BA538AC1809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預り金情報抽出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168533</xdr:colOff>
      <xdr:row>87</xdr:row>
      <xdr:rowOff>118929</xdr:rowOff>
    </xdr:from>
    <xdr:to>
      <xdr:col>39</xdr:col>
      <xdr:colOff>169286</xdr:colOff>
      <xdr:row>91</xdr:row>
      <xdr:rowOff>40186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566E9014-16C7-446E-84E8-0FFEA4808C80}"/>
            </a:ext>
          </a:extLst>
        </xdr:cNvPr>
        <xdr:cNvCxnSpPr>
          <a:cxnSpLocks/>
          <a:stCxn id="104" idx="2"/>
          <a:endCxn id="108" idx="0"/>
        </xdr:cNvCxnSpPr>
      </xdr:nvCxnSpPr>
      <xdr:spPr>
        <a:xfrm rot="5400000">
          <a:off x="6267769" y="12787118"/>
          <a:ext cx="603882" cy="75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30255</xdr:colOff>
      <xdr:row>91</xdr:row>
      <xdr:rowOff>0</xdr:rowOff>
    </xdr:from>
    <xdr:to>
      <xdr:col>42</xdr:col>
      <xdr:colOff>111452</xdr:colOff>
      <xdr:row>93</xdr:row>
      <xdr:rowOff>130549</xdr:rowOff>
    </xdr:to>
    <xdr:grpSp>
      <xdr:nvGrpSpPr>
        <xdr:cNvPr id="106" name="グループ化 105">
          <a:extLst>
            <a:ext uri="{FF2B5EF4-FFF2-40B4-BE49-F238E27FC236}">
              <a16:creationId xmlns:a16="http://schemas.microsoft.com/office/drawing/2014/main" id="{4D33B490-54E8-421E-8737-08A3341F3241}"/>
            </a:ext>
          </a:extLst>
        </xdr:cNvPr>
        <xdr:cNvGrpSpPr/>
      </xdr:nvGrpSpPr>
      <xdr:grpSpPr>
        <a:xfrm>
          <a:off x="8016650" y="16205200"/>
          <a:ext cx="1162602" cy="489959"/>
          <a:chOff x="1612900" y="2457450"/>
          <a:chExt cx="933032" cy="374650"/>
        </a:xfrm>
      </xdr:grpSpPr>
      <xdr:sp macro="" textlink="">
        <xdr:nvSpPr>
          <xdr:cNvPr id="107" name="フローチャート: 処理 106">
            <a:extLst>
              <a:ext uri="{FF2B5EF4-FFF2-40B4-BE49-F238E27FC236}">
                <a16:creationId xmlns:a16="http://schemas.microsoft.com/office/drawing/2014/main" id="{714B0B6E-36C1-2E17-A533-694668C946B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8" name="正方形/長方形 48">
            <a:extLst>
              <a:ext uri="{FF2B5EF4-FFF2-40B4-BE49-F238E27FC236}">
                <a16:creationId xmlns:a16="http://schemas.microsoft.com/office/drawing/2014/main" id="{F0FD9717-AAD7-72F3-7FF5-E7C7A3C3AE69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預り金台帳作成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40</xdr:col>
      <xdr:colOff>102344</xdr:colOff>
      <xdr:row>93</xdr:row>
      <xdr:rowOff>36793</xdr:rowOff>
    </xdr:from>
    <xdr:to>
      <xdr:col>43</xdr:col>
      <xdr:colOff>189521</xdr:colOff>
      <xdr:row>95</xdr:row>
      <xdr:rowOff>56216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379A7EBC-B390-4355-B522-D183EF02E35E}"/>
            </a:ext>
          </a:extLst>
        </xdr:cNvPr>
        <xdr:cNvGrpSpPr>
          <a:grpSpLocks noChangeAspect="1"/>
        </xdr:cNvGrpSpPr>
      </xdr:nvGrpSpPr>
      <xdr:grpSpPr>
        <a:xfrm>
          <a:off x="8734534" y="16597593"/>
          <a:ext cx="738687" cy="378833"/>
          <a:chOff x="2791278" y="18514786"/>
          <a:chExt cx="773793" cy="417285"/>
        </a:xfrm>
      </xdr:grpSpPr>
      <xdr:sp macro="" textlink="">
        <xdr:nvSpPr>
          <xdr:cNvPr id="110" name="フローチャート: 書類 109">
            <a:extLst>
              <a:ext uri="{FF2B5EF4-FFF2-40B4-BE49-F238E27FC236}">
                <a16:creationId xmlns:a16="http://schemas.microsoft.com/office/drawing/2014/main" id="{77608F0F-0BF9-D645-763B-88BD442F1584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C0EF52D3-FFE1-78D9-C9B8-45A3397DC8FB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預り金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38</xdr:col>
      <xdr:colOff>38287</xdr:colOff>
      <xdr:row>100</xdr:row>
      <xdr:rowOff>8031</xdr:rowOff>
    </xdr:from>
    <xdr:to>
      <xdr:col>41</xdr:col>
      <xdr:colOff>128275</xdr:colOff>
      <xdr:row>101</xdr:row>
      <xdr:rowOff>38909</xdr:rowOff>
    </xdr:to>
    <xdr:sp macro="" textlink="">
      <xdr:nvSpPr>
        <xdr:cNvPr id="112" name="フローチャート: 端子 111">
          <a:extLst>
            <a:ext uri="{FF2B5EF4-FFF2-40B4-BE49-F238E27FC236}">
              <a16:creationId xmlns:a16="http://schemas.microsoft.com/office/drawing/2014/main" id="{2AF5F672-E381-4113-B8B5-98AF0998488B}"/>
            </a:ext>
          </a:extLst>
        </xdr:cNvPr>
        <xdr:cNvSpPr/>
      </xdr:nvSpPr>
      <xdr:spPr>
        <a:xfrm>
          <a:off x="6239062" y="14603506"/>
          <a:ext cx="686888" cy="19915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39</xdr:col>
      <xdr:colOff>185609</xdr:colOff>
      <xdr:row>83</xdr:row>
      <xdr:rowOff>85039</xdr:rowOff>
    </xdr:from>
    <xdr:to>
      <xdr:col>39</xdr:col>
      <xdr:colOff>189459</xdr:colOff>
      <xdr:row>85</xdr:row>
      <xdr:rowOff>25323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BCF0EB70-EA75-49AE-99A8-6ADE71DD9B22}"/>
            </a:ext>
          </a:extLst>
        </xdr:cNvPr>
        <xdr:cNvCxnSpPr>
          <a:cxnSpLocks/>
          <a:stCxn id="101" idx="2"/>
          <a:endCxn id="103" idx="0"/>
        </xdr:cNvCxnSpPr>
      </xdr:nvCxnSpPr>
      <xdr:spPr>
        <a:xfrm rot="5400000">
          <a:off x="6445155" y="11903943"/>
          <a:ext cx="283184" cy="702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178812</xdr:colOff>
      <xdr:row>93</xdr:row>
      <xdr:rowOff>130549</xdr:rowOff>
    </xdr:from>
    <xdr:to>
      <xdr:col>39</xdr:col>
      <xdr:colOff>181897</xdr:colOff>
      <xdr:row>100</xdr:row>
      <xdr:rowOff>11206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5C956D0A-4E36-4D1F-96D7-2AAB5AD07976}"/>
            </a:ext>
          </a:extLst>
        </xdr:cNvPr>
        <xdr:cNvCxnSpPr>
          <a:cxnSpLocks/>
          <a:stCxn id="107" idx="2"/>
          <a:endCxn id="112" idx="0"/>
        </xdr:cNvCxnSpPr>
      </xdr:nvCxnSpPr>
      <xdr:spPr>
        <a:xfrm rot="5400000">
          <a:off x="6042340" y="14063146"/>
          <a:ext cx="1077630" cy="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132605</xdr:colOff>
      <xdr:row>105</xdr:row>
      <xdr:rowOff>22411</xdr:rowOff>
    </xdr:from>
    <xdr:to>
      <xdr:col>41</xdr:col>
      <xdr:colOff>25183</xdr:colOff>
      <xdr:row>106</xdr:row>
      <xdr:rowOff>78690</xdr:rowOff>
    </xdr:to>
    <xdr:sp macro="" textlink="">
      <xdr:nvSpPr>
        <xdr:cNvPr id="115" name="フローチャート: 端子 114">
          <a:extLst>
            <a:ext uri="{FF2B5EF4-FFF2-40B4-BE49-F238E27FC236}">
              <a16:creationId xmlns:a16="http://schemas.microsoft.com/office/drawing/2014/main" id="{57763354-80DE-4059-AD2D-BC1D69A8E80C}"/>
            </a:ext>
          </a:extLst>
        </xdr:cNvPr>
        <xdr:cNvSpPr/>
      </xdr:nvSpPr>
      <xdr:spPr>
        <a:xfrm>
          <a:off x="6133355" y="15475136"/>
          <a:ext cx="695853" cy="22455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87221</xdr:colOff>
      <xdr:row>107</xdr:row>
      <xdr:rowOff>164921</xdr:rowOff>
    </xdr:from>
    <xdr:to>
      <xdr:col>42</xdr:col>
      <xdr:colOff>50392</xdr:colOff>
      <xdr:row>110</xdr:row>
      <xdr:rowOff>114627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13FED1D9-0790-45CB-8174-9B29584BE4BE}"/>
            </a:ext>
          </a:extLst>
        </xdr:cNvPr>
        <xdr:cNvGrpSpPr/>
      </xdr:nvGrpSpPr>
      <xdr:grpSpPr>
        <a:xfrm>
          <a:off x="7861526" y="19218731"/>
          <a:ext cx="1260476" cy="479296"/>
          <a:chOff x="1612900" y="2427475"/>
          <a:chExt cx="933032" cy="404625"/>
        </a:xfrm>
      </xdr:grpSpPr>
      <xdr:sp macro="" textlink="">
        <xdr:nvSpPr>
          <xdr:cNvPr id="117" name="フローチャート: 定義済み処理 116">
            <a:extLst>
              <a:ext uri="{FF2B5EF4-FFF2-40B4-BE49-F238E27FC236}">
                <a16:creationId xmlns:a16="http://schemas.microsoft.com/office/drawing/2014/main" id="{CFC10B2F-4BD2-B915-3961-6664E2A312C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AF21F2A0-D0A9-D9E0-7FA6-D0F8894E73DF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預り金返金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62457</xdr:colOff>
      <xdr:row>110</xdr:row>
      <xdr:rowOff>109473</xdr:rowOff>
    </xdr:from>
    <xdr:to>
      <xdr:col>39</xdr:col>
      <xdr:colOff>70150</xdr:colOff>
      <xdr:row>114</xdr:row>
      <xdr:rowOff>163522</xdr:rowOff>
    </xdr:to>
    <xdr:cxnSp macro="">
      <xdr:nvCxnSpPr>
        <xdr:cNvPr id="119" name="コネクタ: カギ線 118">
          <a:extLst>
            <a:ext uri="{FF2B5EF4-FFF2-40B4-BE49-F238E27FC236}">
              <a16:creationId xmlns:a16="http://schemas.microsoft.com/office/drawing/2014/main" id="{40EA9B1F-664D-436A-98FF-C5478B373C54}"/>
            </a:ext>
          </a:extLst>
        </xdr:cNvPr>
        <xdr:cNvCxnSpPr>
          <a:cxnSpLocks/>
          <a:stCxn id="118" idx="2"/>
          <a:endCxn id="130" idx="0"/>
        </xdr:cNvCxnSpPr>
      </xdr:nvCxnSpPr>
      <xdr:spPr>
        <a:xfrm rot="16200000" flipH="1">
          <a:off x="6097179" y="16782351"/>
          <a:ext cx="739849" cy="134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114487</xdr:colOff>
      <xdr:row>121</xdr:row>
      <xdr:rowOff>158750</xdr:rowOff>
    </xdr:from>
    <xdr:to>
      <xdr:col>42</xdr:col>
      <xdr:colOff>11534</xdr:colOff>
      <xdr:row>124</xdr:row>
      <xdr:rowOff>124199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333686BD-091C-48FA-B15C-9326AF32B4A4}"/>
            </a:ext>
          </a:extLst>
        </xdr:cNvPr>
        <xdr:cNvGrpSpPr/>
      </xdr:nvGrpSpPr>
      <xdr:grpSpPr>
        <a:xfrm>
          <a:off x="7886887" y="21699855"/>
          <a:ext cx="1196257" cy="498849"/>
          <a:chOff x="1612900" y="2457450"/>
          <a:chExt cx="933032" cy="374650"/>
        </a:xfrm>
      </xdr:grpSpPr>
      <xdr:sp macro="" textlink="">
        <xdr:nvSpPr>
          <xdr:cNvPr id="121" name="フローチャート: 処理 120">
            <a:extLst>
              <a:ext uri="{FF2B5EF4-FFF2-40B4-BE49-F238E27FC236}">
                <a16:creationId xmlns:a16="http://schemas.microsoft.com/office/drawing/2014/main" id="{774842B0-8CAF-AE2D-4660-D37E49D7DEF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2" name="正方形/長方形 48">
            <a:extLst>
              <a:ext uri="{FF2B5EF4-FFF2-40B4-BE49-F238E27FC236}">
                <a16:creationId xmlns:a16="http://schemas.microsoft.com/office/drawing/2014/main" id="{3A34C6C5-58DA-47DA-999A-5B54F14EE921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預り金台帳更新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180788</xdr:colOff>
      <xdr:row>124</xdr:row>
      <xdr:rowOff>30443</xdr:rowOff>
    </xdr:from>
    <xdr:to>
      <xdr:col>43</xdr:col>
      <xdr:colOff>85868</xdr:colOff>
      <xdr:row>126</xdr:row>
      <xdr:rowOff>49866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04D78F84-0C36-480C-BA2E-80C2BB6B6305}"/>
            </a:ext>
          </a:extLst>
        </xdr:cNvPr>
        <xdr:cNvGrpSpPr>
          <a:grpSpLocks noChangeAspect="1"/>
        </xdr:cNvGrpSpPr>
      </xdr:nvGrpSpPr>
      <xdr:grpSpPr>
        <a:xfrm>
          <a:off x="8598983" y="22101138"/>
          <a:ext cx="772490" cy="380738"/>
          <a:chOff x="2791278" y="18514786"/>
          <a:chExt cx="773793" cy="417285"/>
        </a:xfrm>
      </xdr:grpSpPr>
      <xdr:sp macro="" textlink="">
        <xdr:nvSpPr>
          <xdr:cNvPr id="124" name="フローチャート: 書類 123">
            <a:extLst>
              <a:ext uri="{FF2B5EF4-FFF2-40B4-BE49-F238E27FC236}">
                <a16:creationId xmlns:a16="http://schemas.microsoft.com/office/drawing/2014/main" id="{8D382DDE-DF52-562E-2B76-EE74D229FB7D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36759329-6CF0-B200-5A91-046F2AAC0644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預り金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37</xdr:col>
      <xdr:colOff>125694</xdr:colOff>
      <xdr:row>129</xdr:row>
      <xdr:rowOff>1681</xdr:rowOff>
    </xdr:from>
    <xdr:to>
      <xdr:col>41</xdr:col>
      <xdr:colOff>21447</xdr:colOff>
      <xdr:row>130</xdr:row>
      <xdr:rowOff>32559</xdr:rowOff>
    </xdr:to>
    <xdr:sp macro="" textlink="">
      <xdr:nvSpPr>
        <xdr:cNvPr id="126" name="フローチャート: 端子 125">
          <a:extLst>
            <a:ext uri="{FF2B5EF4-FFF2-40B4-BE49-F238E27FC236}">
              <a16:creationId xmlns:a16="http://schemas.microsoft.com/office/drawing/2014/main" id="{EBFC7AB3-7382-4DDC-A6AA-A3F76E8A1614}"/>
            </a:ext>
          </a:extLst>
        </xdr:cNvPr>
        <xdr:cNvSpPr/>
      </xdr:nvSpPr>
      <xdr:spPr>
        <a:xfrm>
          <a:off x="6123269" y="19566031"/>
          <a:ext cx="699028" cy="19915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39</xdr:col>
      <xdr:colOff>78692</xdr:colOff>
      <xdr:row>106</xdr:row>
      <xdr:rowOff>78690</xdr:rowOff>
    </xdr:from>
    <xdr:to>
      <xdr:col>39</xdr:col>
      <xdr:colOff>78894</xdr:colOff>
      <xdr:row>108</xdr:row>
      <xdr:rowOff>21679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AE25F4A6-F7BA-4602-9BC8-A4F896E7808E}"/>
            </a:ext>
          </a:extLst>
        </xdr:cNvPr>
        <xdr:cNvCxnSpPr>
          <a:cxnSpLocks/>
          <a:stCxn id="115" idx="2"/>
          <a:endCxn id="117" idx="0"/>
        </xdr:cNvCxnSpPr>
      </xdr:nvCxnSpPr>
      <xdr:spPr>
        <a:xfrm rot="5400000">
          <a:off x="6336648" y="15842534"/>
          <a:ext cx="285889" cy="20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71984</xdr:colOff>
      <xdr:row>124</xdr:row>
      <xdr:rowOff>124199</xdr:rowOff>
    </xdr:from>
    <xdr:to>
      <xdr:col>39</xdr:col>
      <xdr:colOff>75069</xdr:colOff>
      <xdr:row>129</xdr:row>
      <xdr:rowOff>4856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6DF23B20-AFE0-47D3-AB5F-A5CDC573D750}"/>
            </a:ext>
          </a:extLst>
        </xdr:cNvPr>
        <xdr:cNvCxnSpPr>
          <a:cxnSpLocks/>
          <a:stCxn id="121" idx="2"/>
          <a:endCxn id="126" idx="0"/>
        </xdr:cNvCxnSpPr>
      </xdr:nvCxnSpPr>
      <xdr:spPr>
        <a:xfrm rot="5400000">
          <a:off x="6100610" y="19197123"/>
          <a:ext cx="744257" cy="626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73960</xdr:colOff>
      <xdr:row>114</xdr:row>
      <xdr:rowOff>121771</xdr:rowOff>
    </xdr:from>
    <xdr:to>
      <xdr:col>42</xdr:col>
      <xdr:colOff>27606</xdr:colOff>
      <xdr:row>117</xdr:row>
      <xdr:rowOff>84176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A0BCEE49-F3EC-487A-964B-E397EA131A19}"/>
            </a:ext>
          </a:extLst>
        </xdr:cNvPr>
        <xdr:cNvGrpSpPr/>
      </xdr:nvGrpSpPr>
      <xdr:grpSpPr>
        <a:xfrm>
          <a:off x="7846360" y="20418276"/>
          <a:ext cx="1247141" cy="495805"/>
          <a:chOff x="1612900" y="2427475"/>
          <a:chExt cx="933032" cy="404625"/>
        </a:xfrm>
      </xdr:grpSpPr>
      <xdr:sp macro="" textlink="">
        <xdr:nvSpPr>
          <xdr:cNvPr id="130" name="フローチャート: 定義済み処理 129">
            <a:extLst>
              <a:ext uri="{FF2B5EF4-FFF2-40B4-BE49-F238E27FC236}">
                <a16:creationId xmlns:a16="http://schemas.microsoft.com/office/drawing/2014/main" id="{D27622CD-6ABA-1E2C-7C18-7A4691FE28B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A09F3FAB-BB54-6C73-1AD4-268F0CBF37A5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預り金消込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70149</xdr:colOff>
      <xdr:row>117</xdr:row>
      <xdr:rowOff>90526</xdr:rowOff>
    </xdr:from>
    <xdr:to>
      <xdr:col>39</xdr:col>
      <xdr:colOff>75068</xdr:colOff>
      <xdr:row>121</xdr:row>
      <xdr:rowOff>165100</xdr:rowOff>
    </xdr:to>
    <xdr:cxnSp macro="">
      <xdr:nvCxnSpPr>
        <xdr:cNvPr id="132" name="コネクタ: カギ線 131">
          <a:extLst>
            <a:ext uri="{FF2B5EF4-FFF2-40B4-BE49-F238E27FC236}">
              <a16:creationId xmlns:a16="http://schemas.microsoft.com/office/drawing/2014/main" id="{3BD11C3B-C23E-4001-BE7A-8EE16CDE225F}"/>
            </a:ext>
          </a:extLst>
        </xdr:cNvPr>
        <xdr:cNvCxnSpPr>
          <a:cxnSpLocks/>
          <a:stCxn id="130" idx="2"/>
          <a:endCxn id="121" idx="0"/>
        </xdr:cNvCxnSpPr>
      </xdr:nvCxnSpPr>
      <xdr:spPr>
        <a:xfrm rot="16200000" flipH="1">
          <a:off x="6091634" y="17970441"/>
          <a:ext cx="760374" cy="809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155398</xdr:colOff>
      <xdr:row>135</xdr:row>
      <xdr:rowOff>28761</xdr:rowOff>
    </xdr:from>
    <xdr:to>
      <xdr:col>41</xdr:col>
      <xdr:colOff>50591</xdr:colOff>
      <xdr:row>136</xdr:row>
      <xdr:rowOff>85040</xdr:rowOff>
    </xdr:to>
    <xdr:sp macro="" textlink="">
      <xdr:nvSpPr>
        <xdr:cNvPr id="133" name="フローチャート: 端子 132">
          <a:extLst>
            <a:ext uri="{FF2B5EF4-FFF2-40B4-BE49-F238E27FC236}">
              <a16:creationId xmlns:a16="http://schemas.microsoft.com/office/drawing/2014/main" id="{A1496FE7-B6A2-408D-9F86-18534B68509A}"/>
            </a:ext>
          </a:extLst>
        </xdr:cNvPr>
        <xdr:cNvSpPr/>
      </xdr:nvSpPr>
      <xdr:spPr>
        <a:xfrm>
          <a:off x="6156148" y="20618636"/>
          <a:ext cx="692118" cy="23407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106839</xdr:colOff>
      <xdr:row>137</xdr:row>
      <xdr:rowOff>161746</xdr:rowOff>
    </xdr:from>
    <xdr:to>
      <xdr:col>42</xdr:col>
      <xdr:colOff>66275</xdr:colOff>
      <xdr:row>140</xdr:row>
      <xdr:rowOff>124152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A5AB298F-814A-4196-9CC2-EFDC299C482D}"/>
            </a:ext>
          </a:extLst>
        </xdr:cNvPr>
        <xdr:cNvGrpSpPr/>
      </xdr:nvGrpSpPr>
      <xdr:grpSpPr>
        <a:xfrm>
          <a:off x="7877334" y="24547651"/>
          <a:ext cx="1254836" cy="495806"/>
          <a:chOff x="1612900" y="2427475"/>
          <a:chExt cx="933032" cy="404625"/>
        </a:xfrm>
      </xdr:grpSpPr>
      <xdr:sp macro="" textlink="">
        <xdr:nvSpPr>
          <xdr:cNvPr id="135" name="フローチャート: 定義済み処理 134">
            <a:extLst>
              <a:ext uri="{FF2B5EF4-FFF2-40B4-BE49-F238E27FC236}">
                <a16:creationId xmlns:a16="http://schemas.microsoft.com/office/drawing/2014/main" id="{79DA324C-8CAC-AD46-C32D-014B9C01327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C2830167-42A8-FEBF-DE70-64EEF85169B6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預り金振替</a:t>
            </a:r>
            <a:endParaRPr kumimoji="1" lang="en-US" altLang="ja-JP" sz="900"/>
          </a:p>
        </xdr:txBody>
      </xdr:sp>
    </xdr:grpSp>
    <xdr:clientData/>
  </xdr:twoCellAnchor>
  <xdr:twoCellAnchor>
    <xdr:from>
      <xdr:col>36</xdr:col>
      <xdr:colOff>125513</xdr:colOff>
      <xdr:row>145</xdr:row>
      <xdr:rowOff>0</xdr:rowOff>
    </xdr:from>
    <xdr:to>
      <xdr:col>42</xdr:col>
      <xdr:colOff>12475</xdr:colOff>
      <xdr:row>147</xdr:row>
      <xdr:rowOff>130549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C46EFED3-D8B4-44FE-8B85-A06CDAA48E4E}"/>
            </a:ext>
          </a:extLst>
        </xdr:cNvPr>
        <xdr:cNvGrpSpPr/>
      </xdr:nvGrpSpPr>
      <xdr:grpSpPr>
        <a:xfrm>
          <a:off x="7899818" y="25806400"/>
          <a:ext cx="1184267" cy="489959"/>
          <a:chOff x="1612900" y="2457450"/>
          <a:chExt cx="933032" cy="374650"/>
        </a:xfrm>
      </xdr:grpSpPr>
      <xdr:sp macro="" textlink="">
        <xdr:nvSpPr>
          <xdr:cNvPr id="138" name="フローチャート: 処理 137">
            <a:extLst>
              <a:ext uri="{FF2B5EF4-FFF2-40B4-BE49-F238E27FC236}">
                <a16:creationId xmlns:a16="http://schemas.microsoft.com/office/drawing/2014/main" id="{7F9AA285-7604-1EB4-85CA-3C669071338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9" name="正方形/長方形 48">
            <a:extLst>
              <a:ext uri="{FF2B5EF4-FFF2-40B4-BE49-F238E27FC236}">
                <a16:creationId xmlns:a16="http://schemas.microsoft.com/office/drawing/2014/main" id="{42B60FB9-9256-A51E-0AE5-81D4752D965E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預り金台帳更新</a:t>
            </a:r>
            <a:endParaRPr kumimoji="1" lang="en-US" altLang="ja-JP" sz="900"/>
          </a:p>
        </xdr:txBody>
      </xdr:sp>
    </xdr:grpSp>
    <xdr:clientData/>
  </xdr:twoCellAnchor>
  <xdr:twoCellAnchor>
    <xdr:from>
      <xdr:col>40</xdr:col>
      <xdr:colOff>9717</xdr:colOff>
      <xdr:row>147</xdr:row>
      <xdr:rowOff>36793</xdr:rowOff>
    </xdr:from>
    <xdr:to>
      <xdr:col>43</xdr:col>
      <xdr:colOff>84194</xdr:colOff>
      <xdr:row>149</xdr:row>
      <xdr:rowOff>56216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208D3721-7A73-41FC-AFA2-31285EDE7201}"/>
            </a:ext>
          </a:extLst>
        </xdr:cNvPr>
        <xdr:cNvGrpSpPr>
          <a:grpSpLocks noChangeAspect="1"/>
        </xdr:cNvGrpSpPr>
      </xdr:nvGrpSpPr>
      <xdr:grpSpPr>
        <a:xfrm>
          <a:off x="8647622" y="26198793"/>
          <a:ext cx="722177" cy="378833"/>
          <a:chOff x="2791278" y="18514786"/>
          <a:chExt cx="773793" cy="417285"/>
        </a:xfrm>
      </xdr:grpSpPr>
      <xdr:sp macro="" textlink="">
        <xdr:nvSpPr>
          <xdr:cNvPr id="141" name="フローチャート: 書類 140">
            <a:extLst>
              <a:ext uri="{FF2B5EF4-FFF2-40B4-BE49-F238E27FC236}">
                <a16:creationId xmlns:a16="http://schemas.microsoft.com/office/drawing/2014/main" id="{2C4C0341-128A-97E5-016B-DD18E5975E27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17A7DBC1-E569-936A-8F10-79F2B2F05496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預り金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37</xdr:col>
      <xdr:colOff>133545</xdr:colOff>
      <xdr:row>152</xdr:row>
      <xdr:rowOff>8031</xdr:rowOff>
    </xdr:from>
    <xdr:to>
      <xdr:col>41</xdr:col>
      <xdr:colOff>31913</xdr:colOff>
      <xdr:row>153</xdr:row>
      <xdr:rowOff>38909</xdr:rowOff>
    </xdr:to>
    <xdr:sp macro="" textlink="">
      <xdr:nvSpPr>
        <xdr:cNvPr id="143" name="フローチャート: 端子 142">
          <a:extLst>
            <a:ext uri="{FF2B5EF4-FFF2-40B4-BE49-F238E27FC236}">
              <a16:creationId xmlns:a16="http://schemas.microsoft.com/office/drawing/2014/main" id="{ACA24829-105B-472B-803D-FC4AF909186A}"/>
            </a:ext>
          </a:extLst>
        </xdr:cNvPr>
        <xdr:cNvSpPr/>
      </xdr:nvSpPr>
      <xdr:spPr>
        <a:xfrm>
          <a:off x="6134295" y="23518906"/>
          <a:ext cx="695293" cy="19915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39</xdr:col>
      <xdr:colOff>102742</xdr:colOff>
      <xdr:row>136</xdr:row>
      <xdr:rowOff>85039</xdr:rowOff>
    </xdr:from>
    <xdr:to>
      <xdr:col>39</xdr:col>
      <xdr:colOff>102996</xdr:colOff>
      <xdr:row>138</xdr:row>
      <xdr:rowOff>25323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7DE15C37-3A67-4161-BA98-57E974D2919C}"/>
            </a:ext>
          </a:extLst>
        </xdr:cNvPr>
        <xdr:cNvCxnSpPr>
          <a:cxnSpLocks/>
          <a:stCxn id="133" idx="2"/>
          <a:endCxn id="135" idx="0"/>
        </xdr:cNvCxnSpPr>
      </xdr:nvCxnSpPr>
      <xdr:spPr>
        <a:xfrm rot="5400000">
          <a:off x="6365252" y="20994179"/>
          <a:ext cx="283184" cy="25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79835</xdr:colOff>
      <xdr:row>147</xdr:row>
      <xdr:rowOff>130549</xdr:rowOff>
    </xdr:from>
    <xdr:to>
      <xdr:col>39</xdr:col>
      <xdr:colOff>82920</xdr:colOff>
      <xdr:row>152</xdr:row>
      <xdr:rowOff>11206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DAB6CBE3-A3AF-46FF-A85A-B1A45A3125D8}"/>
            </a:ext>
          </a:extLst>
        </xdr:cNvPr>
        <xdr:cNvCxnSpPr>
          <a:cxnSpLocks/>
          <a:stCxn id="138" idx="2"/>
          <a:endCxn id="143" idx="0"/>
        </xdr:cNvCxnSpPr>
      </xdr:nvCxnSpPr>
      <xdr:spPr>
        <a:xfrm rot="5400000">
          <a:off x="6117987" y="23146822"/>
          <a:ext cx="734732" cy="308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84176</xdr:colOff>
      <xdr:row>140</xdr:row>
      <xdr:rowOff>118929</xdr:rowOff>
    </xdr:from>
    <xdr:to>
      <xdr:col>39</xdr:col>
      <xdr:colOff>86559</xdr:colOff>
      <xdr:row>145</xdr:row>
      <xdr:rowOff>0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8EB1A6CE-1864-4A75-B73C-0A8160757A79}"/>
            </a:ext>
          </a:extLst>
        </xdr:cNvPr>
        <xdr:cNvCxnSpPr>
          <a:cxnSpLocks/>
          <a:stCxn id="136" idx="2"/>
          <a:endCxn id="138" idx="0"/>
        </xdr:cNvCxnSpPr>
      </xdr:nvCxnSpPr>
      <xdr:spPr>
        <a:xfrm rot="5400000">
          <a:off x="6118596" y="21941959"/>
          <a:ext cx="735144" cy="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75267</xdr:colOff>
      <xdr:row>64</xdr:row>
      <xdr:rowOff>142502</xdr:rowOff>
    </xdr:from>
    <xdr:to>
      <xdr:col>6</xdr:col>
      <xdr:colOff>183778</xdr:colOff>
      <xdr:row>67</xdr:row>
      <xdr:rowOff>159601</xdr:rowOff>
    </xdr:to>
    <xdr:grpSp>
      <xdr:nvGrpSpPr>
        <xdr:cNvPr id="196" name="グループ化 195">
          <a:extLst>
            <a:ext uri="{FF2B5EF4-FFF2-40B4-BE49-F238E27FC236}">
              <a16:creationId xmlns:a16="http://schemas.microsoft.com/office/drawing/2014/main" id="{B556C32C-1A40-43C4-8998-8BE48226B795}"/>
            </a:ext>
          </a:extLst>
        </xdr:cNvPr>
        <xdr:cNvGrpSpPr/>
      </xdr:nvGrpSpPr>
      <xdr:grpSpPr>
        <a:xfrm>
          <a:off x="291167" y="11545197"/>
          <a:ext cx="1186106" cy="554309"/>
          <a:chOff x="1612900" y="2452118"/>
          <a:chExt cx="933032" cy="382461"/>
        </a:xfrm>
      </xdr:grpSpPr>
      <xdr:sp macro="" textlink="">
        <xdr:nvSpPr>
          <xdr:cNvPr id="197" name="フローチャート: 処理 196">
            <a:extLst>
              <a:ext uri="{FF2B5EF4-FFF2-40B4-BE49-F238E27FC236}">
                <a16:creationId xmlns:a16="http://schemas.microsoft.com/office/drawing/2014/main" id="{9C570C0E-2037-384A-D175-74D41324A9C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8" name="正方形/長方形 48">
            <a:extLst>
              <a:ext uri="{FF2B5EF4-FFF2-40B4-BE49-F238E27FC236}">
                <a16:creationId xmlns:a16="http://schemas.microsoft.com/office/drawing/2014/main" id="{BCB22E2F-6058-D004-A9CA-9B86464685C4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9</a:t>
            </a:r>
            <a:r>
              <a:rPr kumimoji="1" lang="ja-JP" altLang="en-US" sz="900"/>
              <a:t>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140029</xdr:colOff>
      <xdr:row>67</xdr:row>
      <xdr:rowOff>49914</xdr:rowOff>
    </xdr:from>
    <xdr:to>
      <xdr:col>7</xdr:col>
      <xdr:colOff>158978</xdr:colOff>
      <xdr:row>69</xdr:row>
      <xdr:rowOff>68479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3EE25B18-D58B-46D6-85BF-DC4F4F467A6E}"/>
            </a:ext>
          </a:extLst>
        </xdr:cNvPr>
        <xdr:cNvGrpSpPr>
          <a:grpSpLocks noChangeAspect="1"/>
        </xdr:cNvGrpSpPr>
      </xdr:nvGrpSpPr>
      <xdr:grpSpPr>
        <a:xfrm>
          <a:off x="999819" y="11991724"/>
          <a:ext cx="672364" cy="368450"/>
          <a:chOff x="2791277" y="18512804"/>
          <a:chExt cx="771974" cy="419267"/>
        </a:xfrm>
      </xdr:grpSpPr>
      <xdr:sp macro="" textlink="">
        <xdr:nvSpPr>
          <xdr:cNvPr id="206" name="フローチャート: 書類 205">
            <a:extLst>
              <a:ext uri="{FF2B5EF4-FFF2-40B4-BE49-F238E27FC236}">
                <a16:creationId xmlns:a16="http://schemas.microsoft.com/office/drawing/2014/main" id="{B9953AC3-BA19-2DB6-4713-7E542DC806E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56BB40E9-F823-0AB8-4CD9-BC5771EF4776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4</xdr:col>
      <xdr:colOff>42493</xdr:colOff>
      <xdr:row>61</xdr:row>
      <xdr:rowOff>140772</xdr:rowOff>
    </xdr:from>
    <xdr:to>
      <xdr:col>25</xdr:col>
      <xdr:colOff>139433</xdr:colOff>
      <xdr:row>64</xdr:row>
      <xdr:rowOff>152946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E2AFC33D-C440-4D50-913D-181B3DE08B42}"/>
            </a:ext>
          </a:extLst>
        </xdr:cNvPr>
        <xdr:cNvCxnSpPr>
          <a:cxnSpLocks/>
          <a:stCxn id="271" idx="2"/>
          <a:endCxn id="197" idx="0"/>
        </xdr:cNvCxnSpPr>
      </xdr:nvCxnSpPr>
      <xdr:spPr>
        <a:xfrm rot="5400000">
          <a:off x="2757480" y="5987080"/>
          <a:ext cx="516438" cy="433276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152959</xdr:colOff>
      <xdr:row>47</xdr:row>
      <xdr:rowOff>118785</xdr:rowOff>
    </xdr:from>
    <xdr:to>
      <xdr:col>55</xdr:col>
      <xdr:colOff>157695</xdr:colOff>
      <xdr:row>51</xdr:row>
      <xdr:rowOff>30362</xdr:rowOff>
    </xdr:to>
    <xdr:grpSp>
      <xdr:nvGrpSpPr>
        <xdr:cNvPr id="213" name="グループ化 212">
          <a:extLst>
            <a:ext uri="{FF2B5EF4-FFF2-40B4-BE49-F238E27FC236}">
              <a16:creationId xmlns:a16="http://schemas.microsoft.com/office/drawing/2014/main" id="{07018297-0921-4DFD-AD8E-8D33C47972D1}"/>
            </a:ext>
          </a:extLst>
        </xdr:cNvPr>
        <xdr:cNvGrpSpPr/>
      </xdr:nvGrpSpPr>
      <xdr:grpSpPr>
        <a:xfrm>
          <a:off x="10947959" y="8502690"/>
          <a:ext cx="1086141" cy="618967"/>
          <a:chOff x="7113625" y="2892425"/>
          <a:chExt cx="914621" cy="594025"/>
        </a:xfrm>
      </xdr:grpSpPr>
      <xdr:sp macro="" textlink="">
        <xdr:nvSpPr>
          <xdr:cNvPr id="214" name="フローチャート: 磁気ディスク 213">
            <a:extLst>
              <a:ext uri="{FF2B5EF4-FFF2-40B4-BE49-F238E27FC236}">
                <a16:creationId xmlns:a16="http://schemas.microsoft.com/office/drawing/2014/main" id="{DED8EF8D-82B1-1A63-C5B2-BFAC3AA3DF55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800">
                <a:solidFill>
                  <a:srgbClr val="FF0000"/>
                </a:solidFill>
              </a:rPr>
              <a:t>BtoB</a:t>
            </a:r>
          </a:p>
          <a:p>
            <a:pPr algn="ctr"/>
            <a:r>
              <a:rPr kumimoji="1" lang="ja-JP" altLang="en-US" sz="800">
                <a:solidFill>
                  <a:srgbClr val="FF0000"/>
                </a:solidFill>
              </a:rPr>
              <a:t>プラットフォーム</a:t>
            </a: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AD00AF3D-5EB6-F493-00C4-0F7A84FDD6BD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88769</xdr:colOff>
      <xdr:row>49</xdr:row>
      <xdr:rowOff>44262</xdr:rowOff>
    </xdr:from>
    <xdr:to>
      <xdr:col>51</xdr:col>
      <xdr:colOff>51458</xdr:colOff>
      <xdr:row>49</xdr:row>
      <xdr:rowOff>45615</xdr:rowOff>
    </xdr:to>
    <xdr:cxnSp macro="">
      <xdr:nvCxnSpPr>
        <xdr:cNvPr id="216" name="コネクタ: カギ線 215">
          <a:extLst>
            <a:ext uri="{FF2B5EF4-FFF2-40B4-BE49-F238E27FC236}">
              <a16:creationId xmlns:a16="http://schemas.microsoft.com/office/drawing/2014/main" id="{4FAAF021-74A5-485A-A442-4E8168C2CA23}"/>
            </a:ext>
          </a:extLst>
        </xdr:cNvPr>
        <xdr:cNvCxnSpPr>
          <a:cxnSpLocks/>
          <a:stCxn id="214" idx="2"/>
          <a:endCxn id="274" idx="3"/>
        </xdr:cNvCxnSpPr>
      </xdr:nvCxnSpPr>
      <xdr:spPr>
        <a:xfrm rot="10800000">
          <a:off x="5736534" y="8478556"/>
          <a:ext cx="4601924" cy="1353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29221</xdr:colOff>
      <xdr:row>49</xdr:row>
      <xdr:rowOff>23777</xdr:rowOff>
    </xdr:from>
    <xdr:to>
      <xdr:col>32</xdr:col>
      <xdr:colOff>46264</xdr:colOff>
      <xdr:row>51</xdr:row>
      <xdr:rowOff>39166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58F6DDC6-28A5-4B3D-92E3-BC1962029A4F}"/>
            </a:ext>
          </a:extLst>
        </xdr:cNvPr>
        <xdr:cNvGrpSpPr>
          <a:grpSpLocks noChangeAspect="1"/>
        </xdr:cNvGrpSpPr>
      </xdr:nvGrpSpPr>
      <xdr:grpSpPr>
        <a:xfrm>
          <a:off x="6288416" y="8757567"/>
          <a:ext cx="668553" cy="374799"/>
          <a:chOff x="2791277" y="18512804"/>
          <a:chExt cx="771974" cy="419267"/>
        </a:xfrm>
      </xdr:grpSpPr>
      <xdr:sp macro="" textlink="">
        <xdr:nvSpPr>
          <xdr:cNvPr id="218" name="フローチャート: 書類 217">
            <a:extLst>
              <a:ext uri="{FF2B5EF4-FFF2-40B4-BE49-F238E27FC236}">
                <a16:creationId xmlns:a16="http://schemas.microsoft.com/office/drawing/2014/main" id="{994811CA-3546-3F41-AFDC-7A57B50796E6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EBEE4C76-EC8F-7DEC-07C5-ECEF16C95680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4</xdr:col>
      <xdr:colOff>42492</xdr:colOff>
      <xdr:row>67</xdr:row>
      <xdr:rowOff>159396</xdr:rowOff>
    </xdr:from>
    <xdr:to>
      <xdr:col>11</xdr:col>
      <xdr:colOff>119094</xdr:colOff>
      <xdr:row>76</xdr:row>
      <xdr:rowOff>57526</xdr:rowOff>
    </xdr:to>
    <xdr:cxnSp macro="">
      <xdr:nvCxnSpPr>
        <xdr:cNvPr id="220" name="コネクタ: カギ線 219">
          <a:extLst>
            <a:ext uri="{FF2B5EF4-FFF2-40B4-BE49-F238E27FC236}">
              <a16:creationId xmlns:a16="http://schemas.microsoft.com/office/drawing/2014/main" id="{49305983-3C14-48CA-8FB1-F5D84E44A2D4}"/>
            </a:ext>
          </a:extLst>
        </xdr:cNvPr>
        <xdr:cNvCxnSpPr>
          <a:cxnSpLocks/>
          <a:stCxn id="197" idx="2"/>
          <a:endCxn id="13" idx="0"/>
        </xdr:cNvCxnSpPr>
      </xdr:nvCxnSpPr>
      <xdr:spPr>
        <a:xfrm rot="16200000" flipH="1">
          <a:off x="865153" y="9077635"/>
          <a:ext cx="1438005" cy="147677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16435</xdr:colOff>
      <xdr:row>35</xdr:row>
      <xdr:rowOff>11583</xdr:rowOff>
    </xdr:from>
    <xdr:to>
      <xdr:col>56</xdr:col>
      <xdr:colOff>40222</xdr:colOff>
      <xdr:row>38</xdr:row>
      <xdr:rowOff>79109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E904CC62-6537-4942-8307-E9890C16AE21}"/>
            </a:ext>
          </a:extLst>
        </xdr:cNvPr>
        <xdr:cNvGrpSpPr/>
      </xdr:nvGrpSpPr>
      <xdr:grpSpPr>
        <a:xfrm>
          <a:off x="11031145" y="6263793"/>
          <a:ext cx="1099477" cy="597116"/>
          <a:chOff x="7113625" y="2892425"/>
          <a:chExt cx="914621" cy="594025"/>
        </a:xfrm>
      </xdr:grpSpPr>
      <xdr:sp macro="" textlink="">
        <xdr:nvSpPr>
          <xdr:cNvPr id="227" name="フローチャート: 磁気ディスク 226">
            <a:extLst>
              <a:ext uri="{FF2B5EF4-FFF2-40B4-BE49-F238E27FC236}">
                <a16:creationId xmlns:a16="http://schemas.microsoft.com/office/drawing/2014/main" id="{FDDE3174-F50B-0C3C-9B28-85971A61E6E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rgbClr val="FF0000"/>
              </a:solidFill>
            </a:endParaRPr>
          </a:p>
        </xdr:txBody>
      </xdr:sp>
      <xdr:sp macro="" textlink="">
        <xdr:nvSpPr>
          <xdr:cNvPr id="228" name="正方形/長方形 227">
            <a:extLst>
              <a:ext uri="{FF2B5EF4-FFF2-40B4-BE49-F238E27FC236}">
                <a16:creationId xmlns:a16="http://schemas.microsoft.com/office/drawing/2014/main" id="{D92FDFB0-2EE0-E23E-510E-D68818A2A0F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JUST D.B.</a:t>
            </a:r>
          </a:p>
        </xdr:txBody>
      </xdr:sp>
    </xdr:grpSp>
    <xdr:clientData/>
  </xdr:twoCellAnchor>
  <xdr:twoCellAnchor>
    <xdr:from>
      <xdr:col>25</xdr:col>
      <xdr:colOff>115539</xdr:colOff>
      <xdr:row>38</xdr:row>
      <xdr:rowOff>39557</xdr:rowOff>
    </xdr:from>
    <xdr:to>
      <xdr:col>32</xdr:col>
      <xdr:colOff>143219</xdr:colOff>
      <xdr:row>40</xdr:row>
      <xdr:rowOff>95251</xdr:rowOff>
    </xdr:to>
    <xdr:cxnSp macro="">
      <xdr:nvCxnSpPr>
        <xdr:cNvPr id="233" name="コネクタ: カギ線 232">
          <a:extLst>
            <a:ext uri="{FF2B5EF4-FFF2-40B4-BE49-F238E27FC236}">
              <a16:creationId xmlns:a16="http://schemas.microsoft.com/office/drawing/2014/main" id="{9F591450-2CA2-4CF4-8598-D5F61D30983C}"/>
            </a:ext>
          </a:extLst>
        </xdr:cNvPr>
        <xdr:cNvCxnSpPr>
          <a:cxnSpLocks/>
        </xdr:cNvCxnSpPr>
      </xdr:nvCxnSpPr>
      <xdr:spPr>
        <a:xfrm rot="5400000">
          <a:off x="5630795" y="6059076"/>
          <a:ext cx="398594" cy="142785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124763</xdr:colOff>
      <xdr:row>159</xdr:row>
      <xdr:rowOff>56030</xdr:rowOff>
    </xdr:from>
    <xdr:to>
      <xdr:col>41</xdr:col>
      <xdr:colOff>30041</xdr:colOff>
      <xdr:row>160</xdr:row>
      <xdr:rowOff>112308</xdr:rowOff>
    </xdr:to>
    <xdr:sp macro="" textlink="">
      <xdr:nvSpPr>
        <xdr:cNvPr id="234" name="フローチャート: 端子 233">
          <a:extLst>
            <a:ext uri="{FF2B5EF4-FFF2-40B4-BE49-F238E27FC236}">
              <a16:creationId xmlns:a16="http://schemas.microsoft.com/office/drawing/2014/main" id="{FB539244-5689-4517-9991-38F29B4420C0}"/>
            </a:ext>
          </a:extLst>
        </xdr:cNvPr>
        <xdr:cNvSpPr/>
      </xdr:nvSpPr>
      <xdr:spPr>
        <a:xfrm>
          <a:off x="7311469" y="27390912"/>
          <a:ext cx="682219" cy="22810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69294</xdr:colOff>
      <xdr:row>162</xdr:row>
      <xdr:rowOff>64069</xdr:rowOff>
    </xdr:from>
    <xdr:to>
      <xdr:col>42</xdr:col>
      <xdr:colOff>41991</xdr:colOff>
      <xdr:row>165</xdr:row>
      <xdr:rowOff>26475</xdr:rowOff>
    </xdr:to>
    <xdr:grpSp>
      <xdr:nvGrpSpPr>
        <xdr:cNvPr id="235" name="グループ化 234">
          <a:extLst>
            <a:ext uri="{FF2B5EF4-FFF2-40B4-BE49-F238E27FC236}">
              <a16:creationId xmlns:a16="http://schemas.microsoft.com/office/drawing/2014/main" id="{13FB8FC9-288F-4CDB-A189-CC50B00C55A1}"/>
            </a:ext>
          </a:extLst>
        </xdr:cNvPr>
        <xdr:cNvGrpSpPr/>
      </xdr:nvGrpSpPr>
      <xdr:grpSpPr>
        <a:xfrm>
          <a:off x="7839789" y="28889259"/>
          <a:ext cx="1271907" cy="495806"/>
          <a:chOff x="1612900" y="2427475"/>
          <a:chExt cx="933032" cy="404625"/>
        </a:xfrm>
      </xdr:grpSpPr>
      <xdr:sp macro="" textlink="">
        <xdr:nvSpPr>
          <xdr:cNvPr id="236" name="フローチャート: 定義済み処理 235">
            <a:extLst>
              <a:ext uri="{FF2B5EF4-FFF2-40B4-BE49-F238E27FC236}">
                <a16:creationId xmlns:a16="http://schemas.microsoft.com/office/drawing/2014/main" id="{ECB19EA8-BA93-C6F6-EA94-DA58010DBD4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37" name="正方形/長方形 236">
            <a:extLst>
              <a:ext uri="{FF2B5EF4-FFF2-40B4-BE49-F238E27FC236}">
                <a16:creationId xmlns:a16="http://schemas.microsoft.com/office/drawing/2014/main" id="{17564B8D-0CFD-47B9-94C1-CEBBD24EBC60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業務委託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36</xdr:col>
      <xdr:colOff>98056</xdr:colOff>
      <xdr:row>168</xdr:row>
      <xdr:rowOff>3361</xdr:rowOff>
    </xdr:from>
    <xdr:to>
      <xdr:col>41</xdr:col>
      <xdr:colOff>185604</xdr:colOff>
      <xdr:row>170</xdr:row>
      <xdr:rowOff>130548</xdr:rowOff>
    </xdr:to>
    <xdr:grpSp>
      <xdr:nvGrpSpPr>
        <xdr:cNvPr id="238" name="グループ化 237">
          <a:extLst>
            <a:ext uri="{FF2B5EF4-FFF2-40B4-BE49-F238E27FC236}">
              <a16:creationId xmlns:a16="http://schemas.microsoft.com/office/drawing/2014/main" id="{7BBB4D6D-8650-4CD1-9889-6CDF5532394F}"/>
            </a:ext>
          </a:extLst>
        </xdr:cNvPr>
        <xdr:cNvGrpSpPr/>
      </xdr:nvGrpSpPr>
      <xdr:grpSpPr>
        <a:xfrm>
          <a:off x="7866646" y="29899161"/>
          <a:ext cx="1168953" cy="486597"/>
          <a:chOff x="1612900" y="2457450"/>
          <a:chExt cx="933032" cy="374650"/>
        </a:xfrm>
      </xdr:grpSpPr>
      <xdr:sp macro="" textlink="">
        <xdr:nvSpPr>
          <xdr:cNvPr id="239" name="フローチャート: 処理 238">
            <a:extLst>
              <a:ext uri="{FF2B5EF4-FFF2-40B4-BE49-F238E27FC236}">
                <a16:creationId xmlns:a16="http://schemas.microsoft.com/office/drawing/2014/main" id="{B090F91F-3766-0DDD-D5AB-9793772C245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40" name="正方形/長方形 48">
            <a:extLst>
              <a:ext uri="{FF2B5EF4-FFF2-40B4-BE49-F238E27FC236}">
                <a16:creationId xmlns:a16="http://schemas.microsoft.com/office/drawing/2014/main" id="{B949DD4B-B4AC-82E6-2D66-23AA71B8F928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台帳更新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173322</xdr:colOff>
      <xdr:row>170</xdr:row>
      <xdr:rowOff>30442</xdr:rowOff>
    </xdr:from>
    <xdr:to>
      <xdr:col>43</xdr:col>
      <xdr:colOff>22417</xdr:colOff>
      <xdr:row>172</xdr:row>
      <xdr:rowOff>56215</xdr:rowOff>
    </xdr:to>
    <xdr:grpSp>
      <xdr:nvGrpSpPr>
        <xdr:cNvPr id="241" name="グループ化 240">
          <a:extLst>
            <a:ext uri="{FF2B5EF4-FFF2-40B4-BE49-F238E27FC236}">
              <a16:creationId xmlns:a16="http://schemas.microsoft.com/office/drawing/2014/main" id="{41C356F1-5152-4909-AFC1-52FB76AAC42D}"/>
            </a:ext>
          </a:extLst>
        </xdr:cNvPr>
        <xdr:cNvGrpSpPr>
          <a:grpSpLocks noChangeAspect="1"/>
        </xdr:cNvGrpSpPr>
      </xdr:nvGrpSpPr>
      <xdr:grpSpPr>
        <a:xfrm>
          <a:off x="8589612" y="30279937"/>
          <a:ext cx="712695" cy="387088"/>
          <a:chOff x="2791278" y="18514786"/>
          <a:chExt cx="773793" cy="417285"/>
        </a:xfrm>
      </xdr:grpSpPr>
      <xdr:sp macro="" textlink="">
        <xdr:nvSpPr>
          <xdr:cNvPr id="242" name="フローチャート: 書類 241">
            <a:extLst>
              <a:ext uri="{FF2B5EF4-FFF2-40B4-BE49-F238E27FC236}">
                <a16:creationId xmlns:a16="http://schemas.microsoft.com/office/drawing/2014/main" id="{4C7BF583-5511-D2B4-C77C-076409804309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CDE45D05-FE4E-E306-0BA4-BBE4884F7A5D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39</xdr:col>
      <xdr:colOff>53391</xdr:colOff>
      <xdr:row>165</xdr:row>
      <xdr:rowOff>24449</xdr:rowOff>
    </xdr:from>
    <xdr:to>
      <xdr:col>39</xdr:col>
      <xdr:colOff>57231</xdr:colOff>
      <xdr:row>168</xdr:row>
      <xdr:rowOff>275</xdr:rowOff>
    </xdr:to>
    <xdr:cxnSp macro="">
      <xdr:nvCxnSpPr>
        <xdr:cNvPr id="244" name="コネクタ: カギ線 243">
          <a:extLst>
            <a:ext uri="{FF2B5EF4-FFF2-40B4-BE49-F238E27FC236}">
              <a16:creationId xmlns:a16="http://schemas.microsoft.com/office/drawing/2014/main" id="{C2146109-6FF7-4B35-B0DC-51514E0735BF}"/>
            </a:ext>
          </a:extLst>
        </xdr:cNvPr>
        <xdr:cNvCxnSpPr>
          <a:cxnSpLocks/>
          <a:stCxn id="237" idx="2"/>
          <a:endCxn id="239" idx="0"/>
        </xdr:cNvCxnSpPr>
      </xdr:nvCxnSpPr>
      <xdr:spPr>
        <a:xfrm rot="5400000">
          <a:off x="7384839" y="28634001"/>
          <a:ext cx="491296" cy="384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53391</xdr:colOff>
      <xdr:row>170</xdr:row>
      <xdr:rowOff>130547</xdr:rowOff>
    </xdr:from>
    <xdr:to>
      <xdr:col>39</xdr:col>
      <xdr:colOff>61346</xdr:colOff>
      <xdr:row>175</xdr:row>
      <xdr:rowOff>147314</xdr:rowOff>
    </xdr:to>
    <xdr:cxnSp macro="">
      <xdr:nvCxnSpPr>
        <xdr:cNvPr id="245" name="コネクタ: カギ線 244">
          <a:extLst>
            <a:ext uri="{FF2B5EF4-FFF2-40B4-BE49-F238E27FC236}">
              <a16:creationId xmlns:a16="http://schemas.microsoft.com/office/drawing/2014/main" id="{A0136CF3-54CE-49F7-B419-2E3D3B3A2E59}"/>
            </a:ext>
          </a:extLst>
        </xdr:cNvPr>
        <xdr:cNvCxnSpPr>
          <a:cxnSpLocks/>
          <a:stCxn id="239" idx="2"/>
          <a:endCxn id="249" idx="0"/>
        </xdr:cNvCxnSpPr>
      </xdr:nvCxnSpPr>
      <xdr:spPr>
        <a:xfrm rot="16200000" flipH="1">
          <a:off x="7194602" y="29789453"/>
          <a:ext cx="875885" cy="795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73555</xdr:colOff>
      <xdr:row>160</xdr:row>
      <xdr:rowOff>112307</xdr:rowOff>
    </xdr:from>
    <xdr:to>
      <xdr:col>39</xdr:col>
      <xdr:colOff>77403</xdr:colOff>
      <xdr:row>162</xdr:row>
      <xdr:rowOff>102645</xdr:rowOff>
    </xdr:to>
    <xdr:cxnSp macro="">
      <xdr:nvCxnSpPr>
        <xdr:cNvPr id="246" name="コネクタ: カギ線 245">
          <a:extLst>
            <a:ext uri="{FF2B5EF4-FFF2-40B4-BE49-F238E27FC236}">
              <a16:creationId xmlns:a16="http://schemas.microsoft.com/office/drawing/2014/main" id="{3C0EE4AE-95E8-42C6-9C37-775FCF208128}"/>
            </a:ext>
          </a:extLst>
        </xdr:cNvPr>
        <xdr:cNvCxnSpPr>
          <a:cxnSpLocks/>
          <a:stCxn id="234" idx="2"/>
          <a:endCxn id="236" idx="0"/>
        </xdr:cNvCxnSpPr>
      </xdr:nvCxnSpPr>
      <xdr:spPr>
        <a:xfrm rot="5400000">
          <a:off x="7483662" y="27784082"/>
          <a:ext cx="333985" cy="384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89845</xdr:colOff>
      <xdr:row>180</xdr:row>
      <xdr:rowOff>160058</xdr:rowOff>
    </xdr:from>
    <xdr:to>
      <xdr:col>41</xdr:col>
      <xdr:colOff>5192</xdr:colOff>
      <xdr:row>182</xdr:row>
      <xdr:rowOff>29198</xdr:rowOff>
    </xdr:to>
    <xdr:sp macro="" textlink="">
      <xdr:nvSpPr>
        <xdr:cNvPr id="247" name="フローチャート: 端子 246">
          <a:extLst>
            <a:ext uri="{FF2B5EF4-FFF2-40B4-BE49-F238E27FC236}">
              <a16:creationId xmlns:a16="http://schemas.microsoft.com/office/drawing/2014/main" id="{ABD52280-F4C7-404B-AC0A-6F834E223F7A}"/>
            </a:ext>
          </a:extLst>
        </xdr:cNvPr>
        <xdr:cNvSpPr/>
      </xdr:nvSpPr>
      <xdr:spPr>
        <a:xfrm>
          <a:off x="7276551" y="31103234"/>
          <a:ext cx="692288" cy="21278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36</xdr:col>
      <xdr:colOff>70611</xdr:colOff>
      <xdr:row>175</xdr:row>
      <xdr:rowOff>112058</xdr:rowOff>
    </xdr:from>
    <xdr:to>
      <xdr:col>42</xdr:col>
      <xdr:colOff>22577</xdr:colOff>
      <xdr:row>178</xdr:row>
      <xdr:rowOff>74464</xdr:rowOff>
    </xdr:to>
    <xdr:grpSp>
      <xdr:nvGrpSpPr>
        <xdr:cNvPr id="248" name="グループ化 247">
          <a:extLst>
            <a:ext uri="{FF2B5EF4-FFF2-40B4-BE49-F238E27FC236}">
              <a16:creationId xmlns:a16="http://schemas.microsoft.com/office/drawing/2014/main" id="{3881F0AF-F484-485B-88E7-FEF1FD2BD65B}"/>
            </a:ext>
          </a:extLst>
        </xdr:cNvPr>
        <xdr:cNvGrpSpPr/>
      </xdr:nvGrpSpPr>
      <xdr:grpSpPr>
        <a:xfrm>
          <a:off x="7841106" y="31252458"/>
          <a:ext cx="1245461" cy="495806"/>
          <a:chOff x="1612900" y="2427475"/>
          <a:chExt cx="933032" cy="404625"/>
        </a:xfrm>
      </xdr:grpSpPr>
      <xdr:sp macro="" textlink="">
        <xdr:nvSpPr>
          <xdr:cNvPr id="249" name="フローチャート: 定義済み処理 248">
            <a:extLst>
              <a:ext uri="{FF2B5EF4-FFF2-40B4-BE49-F238E27FC236}">
                <a16:creationId xmlns:a16="http://schemas.microsoft.com/office/drawing/2014/main" id="{0D7F88BB-CB90-9454-E15B-ED609DF5138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F670C720-0381-BCE3-F522-8428D3B93D4E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３．振替処理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42484</xdr:colOff>
      <xdr:row>178</xdr:row>
      <xdr:rowOff>69264</xdr:rowOff>
    </xdr:from>
    <xdr:to>
      <xdr:col>39</xdr:col>
      <xdr:colOff>45007</xdr:colOff>
      <xdr:row>180</xdr:row>
      <xdr:rowOff>160059</xdr:rowOff>
    </xdr:to>
    <xdr:cxnSp macro="">
      <xdr:nvCxnSpPr>
        <xdr:cNvPr id="251" name="コネクタ: カギ線 250">
          <a:extLst>
            <a:ext uri="{FF2B5EF4-FFF2-40B4-BE49-F238E27FC236}">
              <a16:creationId xmlns:a16="http://schemas.microsoft.com/office/drawing/2014/main" id="{8BDC0696-819C-4A2F-91D1-5BF8FA5FDED4}"/>
            </a:ext>
          </a:extLst>
        </xdr:cNvPr>
        <xdr:cNvCxnSpPr>
          <a:cxnSpLocks/>
          <a:stCxn id="250" idx="2"/>
          <a:endCxn id="247" idx="0"/>
        </xdr:cNvCxnSpPr>
      </xdr:nvCxnSpPr>
      <xdr:spPr>
        <a:xfrm rot="5400000">
          <a:off x="7401701" y="30884752"/>
          <a:ext cx="434442" cy="252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205</xdr:row>
      <xdr:rowOff>9525</xdr:rowOff>
    </xdr:from>
    <xdr:to>
      <xdr:col>28</xdr:col>
      <xdr:colOff>105463</xdr:colOff>
      <xdr:row>208</xdr:row>
      <xdr:rowOff>26856</xdr:rowOff>
    </xdr:to>
    <xdr:grpSp>
      <xdr:nvGrpSpPr>
        <xdr:cNvPr id="252" name="グループ化 251">
          <a:extLst>
            <a:ext uri="{FF2B5EF4-FFF2-40B4-BE49-F238E27FC236}">
              <a16:creationId xmlns:a16="http://schemas.microsoft.com/office/drawing/2014/main" id="{3A463B91-EF54-46F1-959C-BCE7270FD727}"/>
            </a:ext>
          </a:extLst>
        </xdr:cNvPr>
        <xdr:cNvGrpSpPr/>
      </xdr:nvGrpSpPr>
      <xdr:grpSpPr>
        <a:xfrm>
          <a:off x="4875530" y="36485830"/>
          <a:ext cx="1273228" cy="546921"/>
          <a:chOff x="1580728" y="2457449"/>
          <a:chExt cx="1013466" cy="381718"/>
        </a:xfrm>
      </xdr:grpSpPr>
      <xdr:sp macro="" textlink="">
        <xdr:nvSpPr>
          <xdr:cNvPr id="253" name="フローチャート: 定義済み処理 252">
            <a:extLst>
              <a:ext uri="{FF2B5EF4-FFF2-40B4-BE49-F238E27FC236}">
                <a16:creationId xmlns:a16="http://schemas.microsoft.com/office/drawing/2014/main" id="{1C31AE19-58C4-C759-6549-F37371248846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54" name="正方形/長方形 48">
            <a:extLst>
              <a:ext uri="{FF2B5EF4-FFF2-40B4-BE49-F238E27FC236}">
                <a16:creationId xmlns:a16="http://schemas.microsoft.com/office/drawing/2014/main" id="{7B51576E-D57D-B078-1A0E-7A2353BD1F41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立替金登録・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112061</xdr:colOff>
      <xdr:row>223</xdr:row>
      <xdr:rowOff>161178</xdr:rowOff>
    </xdr:from>
    <xdr:to>
      <xdr:col>28</xdr:col>
      <xdr:colOff>103224</xdr:colOff>
      <xdr:row>227</xdr:row>
      <xdr:rowOff>6685</xdr:rowOff>
    </xdr:to>
    <xdr:grpSp>
      <xdr:nvGrpSpPr>
        <xdr:cNvPr id="256" name="グループ化 255">
          <a:extLst>
            <a:ext uri="{FF2B5EF4-FFF2-40B4-BE49-F238E27FC236}">
              <a16:creationId xmlns:a16="http://schemas.microsoft.com/office/drawing/2014/main" id="{84A856A9-0296-46DF-B7C1-5932573B29C2}"/>
            </a:ext>
          </a:extLst>
        </xdr:cNvPr>
        <xdr:cNvGrpSpPr/>
      </xdr:nvGrpSpPr>
      <xdr:grpSpPr>
        <a:xfrm>
          <a:off x="4861861" y="39837883"/>
          <a:ext cx="1284658" cy="556707"/>
          <a:chOff x="1580728" y="2457449"/>
          <a:chExt cx="1013466" cy="381718"/>
        </a:xfrm>
      </xdr:grpSpPr>
      <xdr:sp macro="" textlink="">
        <xdr:nvSpPr>
          <xdr:cNvPr id="257" name="フローチャート: 定義済み処理 256">
            <a:extLst>
              <a:ext uri="{FF2B5EF4-FFF2-40B4-BE49-F238E27FC236}">
                <a16:creationId xmlns:a16="http://schemas.microsoft.com/office/drawing/2014/main" id="{0CA54B2C-83B0-BFA1-C089-97F5F236E4EB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58" name="正方形/長方形 48">
            <a:extLst>
              <a:ext uri="{FF2B5EF4-FFF2-40B4-BE49-F238E27FC236}">
                <a16:creationId xmlns:a16="http://schemas.microsoft.com/office/drawing/2014/main" id="{77FB7D2C-5AD3-BABA-EF99-E12C59353556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6.</a:t>
            </a:r>
            <a:r>
              <a:rPr kumimoji="1" lang="ja-JP" altLang="en-US" sz="900"/>
              <a:t>立替金情報抽出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・請求金額決定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93602</xdr:colOff>
      <xdr:row>227</xdr:row>
      <xdr:rowOff>9859</xdr:rowOff>
    </xdr:from>
    <xdr:to>
      <xdr:col>25</xdr:col>
      <xdr:colOff>106056</xdr:colOff>
      <xdr:row>230</xdr:row>
      <xdr:rowOff>163284</xdr:rowOff>
    </xdr:to>
    <xdr:cxnSp macro="">
      <xdr:nvCxnSpPr>
        <xdr:cNvPr id="259" name="コネクタ: カギ線 258">
          <a:extLst>
            <a:ext uri="{FF2B5EF4-FFF2-40B4-BE49-F238E27FC236}">
              <a16:creationId xmlns:a16="http://schemas.microsoft.com/office/drawing/2014/main" id="{8C57A946-D46D-450B-9B95-6AA9F4E064A6}"/>
            </a:ext>
          </a:extLst>
        </xdr:cNvPr>
        <xdr:cNvCxnSpPr>
          <a:cxnSpLocks/>
          <a:stCxn id="258" idx="2"/>
          <a:endCxn id="261" idx="0"/>
        </xdr:cNvCxnSpPr>
      </xdr:nvCxnSpPr>
      <xdr:spPr>
        <a:xfrm rot="5400000">
          <a:off x="6139941" y="39769992"/>
          <a:ext cx="825778" cy="927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136071</xdr:colOff>
      <xdr:row>230</xdr:row>
      <xdr:rowOff>160110</xdr:rowOff>
    </xdr:from>
    <xdr:to>
      <xdr:col>28</xdr:col>
      <xdr:colOff>20872</xdr:colOff>
      <xdr:row>233</xdr:row>
      <xdr:rowOff>125558</xdr:rowOff>
    </xdr:to>
    <xdr:grpSp>
      <xdr:nvGrpSpPr>
        <xdr:cNvPr id="260" name="グループ化 259">
          <a:extLst>
            <a:ext uri="{FF2B5EF4-FFF2-40B4-BE49-F238E27FC236}">
              <a16:creationId xmlns:a16="http://schemas.microsoft.com/office/drawing/2014/main" id="{C06317F7-C564-4A92-A2E3-328C0BA758D0}"/>
            </a:ext>
          </a:extLst>
        </xdr:cNvPr>
        <xdr:cNvGrpSpPr/>
      </xdr:nvGrpSpPr>
      <xdr:grpSpPr>
        <a:xfrm>
          <a:off x="4882061" y="41081415"/>
          <a:ext cx="1180201" cy="498848"/>
          <a:chOff x="1612900" y="2457450"/>
          <a:chExt cx="933032" cy="374650"/>
        </a:xfrm>
      </xdr:grpSpPr>
      <xdr:sp macro="" textlink="">
        <xdr:nvSpPr>
          <xdr:cNvPr id="261" name="フローチャート: 処理 260">
            <a:extLst>
              <a:ext uri="{FF2B5EF4-FFF2-40B4-BE49-F238E27FC236}">
                <a16:creationId xmlns:a16="http://schemas.microsoft.com/office/drawing/2014/main" id="{7B642E42-5ACF-E42D-2F13-BB53C9D1E90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62" name="正方形/長方形 48">
            <a:extLst>
              <a:ext uri="{FF2B5EF4-FFF2-40B4-BE49-F238E27FC236}">
                <a16:creationId xmlns:a16="http://schemas.microsoft.com/office/drawing/2014/main" id="{A61C07F8-1CCF-BDEE-E6D3-BAC7FC1F050B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7.</a:t>
            </a:r>
            <a:r>
              <a:rPr kumimoji="1" lang="ja-JP" altLang="en-US" sz="900"/>
              <a:t>立替金請求書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作成・請求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93445</xdr:colOff>
      <xdr:row>233</xdr:row>
      <xdr:rowOff>122382</xdr:rowOff>
    </xdr:from>
    <xdr:to>
      <xdr:col>25</xdr:col>
      <xdr:colOff>97783</xdr:colOff>
      <xdr:row>236</xdr:row>
      <xdr:rowOff>99783</xdr:rowOff>
    </xdr:to>
    <xdr:cxnSp macro="">
      <xdr:nvCxnSpPr>
        <xdr:cNvPr id="263" name="コネクタ: カギ線 262">
          <a:extLst>
            <a:ext uri="{FF2B5EF4-FFF2-40B4-BE49-F238E27FC236}">
              <a16:creationId xmlns:a16="http://schemas.microsoft.com/office/drawing/2014/main" id="{B80EF794-646C-4D48-8CBE-E29D76D368F5}"/>
            </a:ext>
          </a:extLst>
        </xdr:cNvPr>
        <xdr:cNvCxnSpPr>
          <a:cxnSpLocks/>
          <a:stCxn id="261" idx="2"/>
          <a:endCxn id="264" idx="0"/>
        </xdr:cNvCxnSpPr>
      </xdr:nvCxnSpPr>
      <xdr:spPr>
        <a:xfrm rot="16200000" flipH="1">
          <a:off x="6225325" y="40979941"/>
          <a:ext cx="649754" cy="433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145143</xdr:colOff>
      <xdr:row>236</xdr:row>
      <xdr:rowOff>99784</xdr:rowOff>
    </xdr:from>
    <xdr:to>
      <xdr:col>27</xdr:col>
      <xdr:colOff>50421</xdr:colOff>
      <xdr:row>237</xdr:row>
      <xdr:rowOff>141281</xdr:rowOff>
    </xdr:to>
    <xdr:sp macro="" textlink="">
      <xdr:nvSpPr>
        <xdr:cNvPr id="264" name="フローチャート: 端子 263">
          <a:extLst>
            <a:ext uri="{FF2B5EF4-FFF2-40B4-BE49-F238E27FC236}">
              <a16:creationId xmlns:a16="http://schemas.microsoft.com/office/drawing/2014/main" id="{CEF030DC-F42A-4DF3-B586-A231D39F65ED}"/>
            </a:ext>
          </a:extLst>
        </xdr:cNvPr>
        <xdr:cNvSpPr/>
      </xdr:nvSpPr>
      <xdr:spPr>
        <a:xfrm>
          <a:off x="6193144" y="41306988"/>
          <a:ext cx="712102" cy="20958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180125</xdr:colOff>
      <xdr:row>58</xdr:row>
      <xdr:rowOff>126440</xdr:rowOff>
    </xdr:from>
    <xdr:to>
      <xdr:col>28</xdr:col>
      <xdr:colOff>68515</xdr:colOff>
      <xdr:row>61</xdr:row>
      <xdr:rowOff>141000</xdr:rowOff>
    </xdr:to>
    <xdr:grpSp>
      <xdr:nvGrpSpPr>
        <xdr:cNvPr id="270" name="グループ化 269">
          <a:extLst>
            <a:ext uri="{FF2B5EF4-FFF2-40B4-BE49-F238E27FC236}">
              <a16:creationId xmlns:a16="http://schemas.microsoft.com/office/drawing/2014/main" id="{37395597-52B5-4C9F-8204-DDCC79F537ED}"/>
            </a:ext>
          </a:extLst>
        </xdr:cNvPr>
        <xdr:cNvGrpSpPr/>
      </xdr:nvGrpSpPr>
      <xdr:grpSpPr>
        <a:xfrm>
          <a:off x="4928020" y="10468050"/>
          <a:ext cx="1183790" cy="542245"/>
          <a:chOff x="1612900" y="2452118"/>
          <a:chExt cx="933032" cy="382461"/>
        </a:xfrm>
      </xdr:grpSpPr>
      <xdr:sp macro="" textlink="">
        <xdr:nvSpPr>
          <xdr:cNvPr id="271" name="フローチャート: 処理 270">
            <a:extLst>
              <a:ext uri="{FF2B5EF4-FFF2-40B4-BE49-F238E27FC236}">
                <a16:creationId xmlns:a16="http://schemas.microsoft.com/office/drawing/2014/main" id="{3DFE475D-7138-2576-000B-A3F2B371861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72" name="正方形/長方形 48">
            <a:extLst>
              <a:ext uri="{FF2B5EF4-FFF2-40B4-BE49-F238E27FC236}">
                <a16:creationId xmlns:a16="http://schemas.microsoft.com/office/drawing/2014/main" id="{6EFFE36A-37CA-5CE7-FFD3-4646FC4E561E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8</a:t>
            </a:r>
            <a:r>
              <a:rPr kumimoji="1" lang="ja-JP" altLang="en-US" sz="900"/>
              <a:t>．請求書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の送付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59385</xdr:colOff>
      <xdr:row>47</xdr:row>
      <xdr:rowOff>126440</xdr:rowOff>
    </xdr:from>
    <xdr:to>
      <xdr:col>29</xdr:col>
      <xdr:colOff>11263</xdr:colOff>
      <xdr:row>50</xdr:row>
      <xdr:rowOff>143771</xdr:rowOff>
    </xdr:to>
    <xdr:grpSp>
      <xdr:nvGrpSpPr>
        <xdr:cNvPr id="273" name="グループ化 272">
          <a:extLst>
            <a:ext uri="{FF2B5EF4-FFF2-40B4-BE49-F238E27FC236}">
              <a16:creationId xmlns:a16="http://schemas.microsoft.com/office/drawing/2014/main" id="{077C170E-E9BC-458A-99E3-89AF89543668}"/>
            </a:ext>
          </a:extLst>
        </xdr:cNvPr>
        <xdr:cNvGrpSpPr/>
      </xdr:nvGrpSpPr>
      <xdr:grpSpPr>
        <a:xfrm>
          <a:off x="4805375" y="8512250"/>
          <a:ext cx="1468893" cy="545016"/>
          <a:chOff x="1580728" y="2457449"/>
          <a:chExt cx="1013466" cy="381718"/>
        </a:xfrm>
      </xdr:grpSpPr>
      <xdr:sp macro="" textlink="">
        <xdr:nvSpPr>
          <xdr:cNvPr id="274" name="フローチャート: 定義済み処理 273">
            <a:extLst>
              <a:ext uri="{FF2B5EF4-FFF2-40B4-BE49-F238E27FC236}">
                <a16:creationId xmlns:a16="http://schemas.microsoft.com/office/drawing/2014/main" id="{954E33DA-B058-7339-7B93-6D7722CABF13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75" name="正方形/長方形 48">
            <a:extLst>
              <a:ext uri="{FF2B5EF4-FFF2-40B4-BE49-F238E27FC236}">
                <a16:creationId xmlns:a16="http://schemas.microsoft.com/office/drawing/2014/main" id="{24DB9FD8-D5B5-6055-3A1C-819F8B811DB8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</a:t>
            </a:r>
            <a:r>
              <a:rPr kumimoji="1" lang="ja-JP" altLang="en-US" sz="900"/>
              <a:t>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11292</xdr:colOff>
      <xdr:row>61</xdr:row>
      <xdr:rowOff>21910</xdr:rowOff>
    </xdr:from>
    <xdr:to>
      <xdr:col>29</xdr:col>
      <xdr:colOff>28334</xdr:colOff>
      <xdr:row>63</xdr:row>
      <xdr:rowOff>49998</xdr:rowOff>
    </xdr:to>
    <xdr:grpSp>
      <xdr:nvGrpSpPr>
        <xdr:cNvPr id="276" name="グループ化 275">
          <a:extLst>
            <a:ext uri="{FF2B5EF4-FFF2-40B4-BE49-F238E27FC236}">
              <a16:creationId xmlns:a16="http://schemas.microsoft.com/office/drawing/2014/main" id="{31826391-A074-48B4-B4C1-07979F64F63F}"/>
            </a:ext>
          </a:extLst>
        </xdr:cNvPr>
        <xdr:cNvGrpSpPr>
          <a:grpSpLocks noChangeAspect="1"/>
        </xdr:cNvGrpSpPr>
      </xdr:nvGrpSpPr>
      <xdr:grpSpPr>
        <a:xfrm>
          <a:off x="5626597" y="10889300"/>
          <a:ext cx="660932" cy="391308"/>
          <a:chOff x="2791277" y="18512804"/>
          <a:chExt cx="771974" cy="419267"/>
        </a:xfrm>
      </xdr:grpSpPr>
      <xdr:sp macro="" textlink="">
        <xdr:nvSpPr>
          <xdr:cNvPr id="277" name="フローチャート: 書類 276">
            <a:extLst>
              <a:ext uri="{FF2B5EF4-FFF2-40B4-BE49-F238E27FC236}">
                <a16:creationId xmlns:a16="http://schemas.microsoft.com/office/drawing/2014/main" id="{7A41C5A7-7D89-58E3-3B7B-2FBD1181A14D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BEC28B17-091A-4882-DBE8-4F0F8D0877DA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25</xdr:col>
      <xdr:colOff>136178</xdr:colOff>
      <xdr:row>50</xdr:row>
      <xdr:rowOff>143770</xdr:rowOff>
    </xdr:from>
    <xdr:to>
      <xdr:col>25</xdr:col>
      <xdr:colOff>143098</xdr:colOff>
      <xdr:row>53</xdr:row>
      <xdr:rowOff>17928</xdr:rowOff>
    </xdr:to>
    <xdr:cxnSp macro="">
      <xdr:nvCxnSpPr>
        <xdr:cNvPr id="279" name="コネクタ: カギ線 278">
          <a:extLst>
            <a:ext uri="{FF2B5EF4-FFF2-40B4-BE49-F238E27FC236}">
              <a16:creationId xmlns:a16="http://schemas.microsoft.com/office/drawing/2014/main" id="{8C94F466-D073-496F-9382-55A81C469CBE}"/>
            </a:ext>
          </a:extLst>
        </xdr:cNvPr>
        <xdr:cNvCxnSpPr>
          <a:cxnSpLocks/>
          <a:stCxn id="275" idx="2"/>
          <a:endCxn id="281" idx="0"/>
        </xdr:cNvCxnSpPr>
      </xdr:nvCxnSpPr>
      <xdr:spPr>
        <a:xfrm rot="16200000" flipH="1">
          <a:off x="6401840" y="6235021"/>
          <a:ext cx="381598" cy="374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59759</xdr:colOff>
      <xdr:row>53</xdr:row>
      <xdr:rowOff>17929</xdr:rowOff>
    </xdr:from>
    <xdr:to>
      <xdr:col>29</xdr:col>
      <xdr:colOff>8462</xdr:colOff>
      <xdr:row>56</xdr:row>
      <xdr:rowOff>44786</xdr:rowOff>
    </xdr:to>
    <xdr:grpSp>
      <xdr:nvGrpSpPr>
        <xdr:cNvPr id="280" name="グループ化 279">
          <a:extLst>
            <a:ext uri="{FF2B5EF4-FFF2-40B4-BE49-F238E27FC236}">
              <a16:creationId xmlns:a16="http://schemas.microsoft.com/office/drawing/2014/main" id="{E19EA322-0541-4BD5-B520-D9376537BFA9}"/>
            </a:ext>
          </a:extLst>
        </xdr:cNvPr>
        <xdr:cNvGrpSpPr/>
      </xdr:nvGrpSpPr>
      <xdr:grpSpPr>
        <a:xfrm>
          <a:off x="4805749" y="9470539"/>
          <a:ext cx="1465718" cy="558352"/>
          <a:chOff x="1580728" y="2457449"/>
          <a:chExt cx="1013466" cy="381718"/>
        </a:xfrm>
      </xdr:grpSpPr>
      <xdr:sp macro="" textlink="">
        <xdr:nvSpPr>
          <xdr:cNvPr id="281" name="フローチャート: 定義済み処理 280">
            <a:extLst>
              <a:ext uri="{FF2B5EF4-FFF2-40B4-BE49-F238E27FC236}">
                <a16:creationId xmlns:a16="http://schemas.microsoft.com/office/drawing/2014/main" id="{27FD1F22-FAED-C63B-6013-FAAF06A44DBE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82" name="正方形/長方形 48">
            <a:extLst>
              <a:ext uri="{FF2B5EF4-FFF2-40B4-BE49-F238E27FC236}">
                <a16:creationId xmlns:a16="http://schemas.microsoft.com/office/drawing/2014/main" id="{2527CFAE-7209-7B19-6DCF-D70C4A190F99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7</a:t>
            </a:r>
            <a:r>
              <a:rPr kumimoji="1" lang="ja-JP" altLang="en-US" sz="900"/>
              <a:t>．請求書保存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136551</xdr:colOff>
      <xdr:row>56</xdr:row>
      <xdr:rowOff>47960</xdr:rowOff>
    </xdr:from>
    <xdr:to>
      <xdr:col>25</xdr:col>
      <xdr:colOff>139520</xdr:colOff>
      <xdr:row>58</xdr:row>
      <xdr:rowOff>133672</xdr:rowOff>
    </xdr:to>
    <xdr:cxnSp macro="">
      <xdr:nvCxnSpPr>
        <xdr:cNvPr id="283" name="コネクタ: カギ線 282">
          <a:extLst>
            <a:ext uri="{FF2B5EF4-FFF2-40B4-BE49-F238E27FC236}">
              <a16:creationId xmlns:a16="http://schemas.microsoft.com/office/drawing/2014/main" id="{F7E679D7-9E5E-4E48-AAAF-C88236CDF286}"/>
            </a:ext>
          </a:extLst>
        </xdr:cNvPr>
        <xdr:cNvCxnSpPr>
          <a:cxnSpLocks/>
          <a:stCxn id="282" idx="2"/>
          <a:endCxn id="271" idx="0"/>
        </xdr:cNvCxnSpPr>
      </xdr:nvCxnSpPr>
      <xdr:spPr>
        <a:xfrm rot="16200000" flipH="1">
          <a:off x="6383267" y="7169861"/>
          <a:ext cx="425064" cy="296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1494</xdr:colOff>
      <xdr:row>14</xdr:row>
      <xdr:rowOff>0</xdr:rowOff>
    </xdr:from>
    <xdr:to>
      <xdr:col>14</xdr:col>
      <xdr:colOff>86735</xdr:colOff>
      <xdr:row>17</xdr:row>
      <xdr:rowOff>20909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7D8F8460-E995-4E58-B0B5-7AFDB0CD4D76}"/>
            </a:ext>
          </a:extLst>
        </xdr:cNvPr>
        <xdr:cNvGrpSpPr/>
      </xdr:nvGrpSpPr>
      <xdr:grpSpPr>
        <a:xfrm>
          <a:off x="1944594" y="2514600"/>
          <a:ext cx="1166646" cy="550499"/>
          <a:chOff x="1612900" y="2452118"/>
          <a:chExt cx="933032" cy="382461"/>
        </a:xfrm>
      </xdr:grpSpPr>
      <xdr:sp macro="" textlink="">
        <xdr:nvSpPr>
          <xdr:cNvPr id="297" name="フローチャート: 処理 296">
            <a:extLst>
              <a:ext uri="{FF2B5EF4-FFF2-40B4-BE49-F238E27FC236}">
                <a16:creationId xmlns:a16="http://schemas.microsoft.com/office/drawing/2014/main" id="{C424894F-B49E-60CD-642C-ACA26BE343C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98" name="正方形/長方形 48">
            <a:extLst>
              <a:ext uri="{FF2B5EF4-FFF2-40B4-BE49-F238E27FC236}">
                <a16:creationId xmlns:a16="http://schemas.microsoft.com/office/drawing/2014/main" id="{3655171F-10F0-A908-7194-73D3FA22C4A6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発行依頼書作成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30443</xdr:colOff>
      <xdr:row>16</xdr:row>
      <xdr:rowOff>112058</xdr:rowOff>
    </xdr:from>
    <xdr:to>
      <xdr:col>16</xdr:col>
      <xdr:colOff>120795</xdr:colOff>
      <xdr:row>18</xdr:row>
      <xdr:rowOff>131482</xdr:rowOff>
    </xdr:to>
    <xdr:grpSp>
      <xdr:nvGrpSpPr>
        <xdr:cNvPr id="302" name="グループ化 301">
          <a:extLst>
            <a:ext uri="{FF2B5EF4-FFF2-40B4-BE49-F238E27FC236}">
              <a16:creationId xmlns:a16="http://schemas.microsoft.com/office/drawing/2014/main" id="{9AF05EFF-D2FB-43FE-AAB4-E00AAD274AAD}"/>
            </a:ext>
          </a:extLst>
        </xdr:cNvPr>
        <xdr:cNvGrpSpPr>
          <a:grpSpLocks noChangeAspect="1"/>
        </xdr:cNvGrpSpPr>
      </xdr:nvGrpSpPr>
      <xdr:grpSpPr>
        <a:xfrm>
          <a:off x="2835238" y="2982258"/>
          <a:ext cx="741862" cy="378834"/>
          <a:chOff x="2791278" y="18514786"/>
          <a:chExt cx="773793" cy="417285"/>
        </a:xfrm>
      </xdr:grpSpPr>
      <xdr:sp macro="" textlink="">
        <xdr:nvSpPr>
          <xdr:cNvPr id="303" name="フローチャート: 書類 302">
            <a:extLst>
              <a:ext uri="{FF2B5EF4-FFF2-40B4-BE49-F238E27FC236}">
                <a16:creationId xmlns:a16="http://schemas.microsoft.com/office/drawing/2014/main" id="{6C49F553-B04A-8E06-FB7A-78F079E6704B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4" name="正方形/長方形 303">
            <a:extLst>
              <a:ext uri="{FF2B5EF4-FFF2-40B4-BE49-F238E27FC236}">
                <a16:creationId xmlns:a16="http://schemas.microsoft.com/office/drawing/2014/main" id="{7C947C7A-DB13-713E-CAEB-0AF77676838C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未収入金に伴う発行依頼書</a:t>
            </a:r>
          </a:p>
        </xdr:txBody>
      </xdr:sp>
    </xdr:grpSp>
    <xdr:clientData/>
  </xdr:twoCellAnchor>
  <xdr:twoCellAnchor>
    <xdr:from>
      <xdr:col>16</xdr:col>
      <xdr:colOff>31003</xdr:colOff>
      <xdr:row>16</xdr:row>
      <xdr:rowOff>102906</xdr:rowOff>
    </xdr:from>
    <xdr:to>
      <xdr:col>19</xdr:col>
      <xdr:colOff>115005</xdr:colOff>
      <xdr:row>18</xdr:row>
      <xdr:rowOff>125505</xdr:rowOff>
    </xdr:to>
    <xdr:grpSp>
      <xdr:nvGrpSpPr>
        <xdr:cNvPr id="305" name="グループ化 304">
          <a:extLst>
            <a:ext uri="{FF2B5EF4-FFF2-40B4-BE49-F238E27FC236}">
              <a16:creationId xmlns:a16="http://schemas.microsoft.com/office/drawing/2014/main" id="{9B1452BA-C290-4759-99D8-301CB53BBDBD}"/>
            </a:ext>
          </a:extLst>
        </xdr:cNvPr>
        <xdr:cNvGrpSpPr>
          <a:grpSpLocks noChangeAspect="1"/>
        </xdr:cNvGrpSpPr>
      </xdr:nvGrpSpPr>
      <xdr:grpSpPr>
        <a:xfrm>
          <a:off x="3483498" y="2971201"/>
          <a:ext cx="733607" cy="382009"/>
          <a:chOff x="2791278" y="18514786"/>
          <a:chExt cx="773793" cy="417285"/>
        </a:xfrm>
      </xdr:grpSpPr>
      <xdr:sp macro="" textlink="">
        <xdr:nvSpPr>
          <xdr:cNvPr id="306" name="フローチャート: 書類 305">
            <a:extLst>
              <a:ext uri="{FF2B5EF4-FFF2-40B4-BE49-F238E27FC236}">
                <a16:creationId xmlns:a16="http://schemas.microsoft.com/office/drawing/2014/main" id="{4A1CBFBC-84A0-3A45-B8D2-CA1EC6DA9843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7" name="正方形/長方形 306">
            <a:extLst>
              <a:ext uri="{FF2B5EF4-FFF2-40B4-BE49-F238E27FC236}">
                <a16:creationId xmlns:a16="http://schemas.microsoft.com/office/drawing/2014/main" id="{FB035BAC-718A-DEDA-0249-4A972D80ECE9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経費明細</a:t>
            </a:r>
          </a:p>
        </xdr:txBody>
      </xdr:sp>
    </xdr:grpSp>
    <xdr:clientData/>
  </xdr:twoCellAnchor>
  <xdr:twoCellAnchor>
    <xdr:from>
      <xdr:col>9</xdr:col>
      <xdr:colOff>11206</xdr:colOff>
      <xdr:row>20</xdr:row>
      <xdr:rowOff>0</xdr:rowOff>
    </xdr:from>
    <xdr:to>
      <xdr:col>14</xdr:col>
      <xdr:colOff>94953</xdr:colOff>
      <xdr:row>23</xdr:row>
      <xdr:rowOff>20909</xdr:rowOff>
    </xdr:to>
    <xdr:grpSp>
      <xdr:nvGrpSpPr>
        <xdr:cNvPr id="308" name="グループ化 307">
          <a:extLst>
            <a:ext uri="{FF2B5EF4-FFF2-40B4-BE49-F238E27FC236}">
              <a16:creationId xmlns:a16="http://schemas.microsoft.com/office/drawing/2014/main" id="{C5E24198-BEFF-402A-BBE3-F10FF799EE16}"/>
            </a:ext>
          </a:extLst>
        </xdr:cNvPr>
        <xdr:cNvGrpSpPr/>
      </xdr:nvGrpSpPr>
      <xdr:grpSpPr>
        <a:xfrm>
          <a:off x="1956211" y="3581400"/>
          <a:ext cx="1165152" cy="550499"/>
          <a:chOff x="1612900" y="2452118"/>
          <a:chExt cx="933032" cy="382461"/>
        </a:xfrm>
      </xdr:grpSpPr>
      <xdr:sp macro="" textlink="">
        <xdr:nvSpPr>
          <xdr:cNvPr id="309" name="フローチャート: 処理 308">
            <a:extLst>
              <a:ext uri="{FF2B5EF4-FFF2-40B4-BE49-F238E27FC236}">
                <a16:creationId xmlns:a16="http://schemas.microsoft.com/office/drawing/2014/main" id="{FBB509A5-4746-22F0-5BAF-7076B4C1ABE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10" name="正方形/長方形 48">
            <a:extLst>
              <a:ext uri="{FF2B5EF4-FFF2-40B4-BE49-F238E27FC236}">
                <a16:creationId xmlns:a16="http://schemas.microsoft.com/office/drawing/2014/main" id="{E1F92E52-EF0A-45A7-BDBA-07B01A5554D8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請求書発行依頼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159144</xdr:colOff>
      <xdr:row>17</xdr:row>
      <xdr:rowOff>17438</xdr:rowOff>
    </xdr:from>
    <xdr:to>
      <xdr:col>11</xdr:col>
      <xdr:colOff>166545</xdr:colOff>
      <xdr:row>20</xdr:row>
      <xdr:rowOff>7461</xdr:rowOff>
    </xdr:to>
    <xdr:cxnSp macro="">
      <xdr:nvCxnSpPr>
        <xdr:cNvPr id="312" name="コネクタ: カギ線 311">
          <a:extLst>
            <a:ext uri="{FF2B5EF4-FFF2-40B4-BE49-F238E27FC236}">
              <a16:creationId xmlns:a16="http://schemas.microsoft.com/office/drawing/2014/main" id="{7E1BDE01-C769-489B-ACAA-AC06D9844D71}"/>
            </a:ext>
          </a:extLst>
        </xdr:cNvPr>
        <xdr:cNvCxnSpPr>
          <a:cxnSpLocks/>
          <a:stCxn id="297" idx="2"/>
          <a:endCxn id="309" idx="0"/>
        </xdr:cNvCxnSpPr>
      </xdr:nvCxnSpPr>
      <xdr:spPr>
        <a:xfrm rot="16200000" flipH="1">
          <a:off x="2110933" y="3199624"/>
          <a:ext cx="504373" cy="740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167501</xdr:colOff>
      <xdr:row>23</xdr:row>
      <xdr:rowOff>17505</xdr:rowOff>
    </xdr:from>
    <xdr:to>
      <xdr:col>24</xdr:col>
      <xdr:colOff>196671</xdr:colOff>
      <xdr:row>29</xdr:row>
      <xdr:rowOff>86471</xdr:rowOff>
    </xdr:to>
    <xdr:cxnSp macro="">
      <xdr:nvCxnSpPr>
        <xdr:cNvPr id="315" name="コネクタ: カギ線 314">
          <a:extLst>
            <a:ext uri="{FF2B5EF4-FFF2-40B4-BE49-F238E27FC236}">
              <a16:creationId xmlns:a16="http://schemas.microsoft.com/office/drawing/2014/main" id="{F9DAB5B9-2B5B-4D44-B4BA-124F41F29C61}"/>
            </a:ext>
          </a:extLst>
        </xdr:cNvPr>
        <xdr:cNvCxnSpPr>
          <a:cxnSpLocks/>
          <a:stCxn id="309" idx="2"/>
          <a:endCxn id="4" idx="0"/>
        </xdr:cNvCxnSpPr>
      </xdr:nvCxnSpPr>
      <xdr:spPr>
        <a:xfrm rot="16200000" flipH="1">
          <a:off x="3173191" y="3119021"/>
          <a:ext cx="1077496" cy="265134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187324</xdr:colOff>
      <xdr:row>23</xdr:row>
      <xdr:rowOff>14381</xdr:rowOff>
    </xdr:from>
    <xdr:to>
      <xdr:col>16</xdr:col>
      <xdr:colOff>75971</xdr:colOff>
      <xdr:row>25</xdr:row>
      <xdr:rowOff>33804</xdr:rowOff>
    </xdr:to>
    <xdr:grpSp>
      <xdr:nvGrpSpPr>
        <xdr:cNvPr id="318" name="グループ化 317">
          <a:extLst>
            <a:ext uri="{FF2B5EF4-FFF2-40B4-BE49-F238E27FC236}">
              <a16:creationId xmlns:a16="http://schemas.microsoft.com/office/drawing/2014/main" id="{80309E31-B5D5-A809-3BB8-9897C61BBC1D}"/>
            </a:ext>
          </a:extLst>
        </xdr:cNvPr>
        <xdr:cNvGrpSpPr>
          <a:grpSpLocks noChangeAspect="1"/>
        </xdr:cNvGrpSpPr>
      </xdr:nvGrpSpPr>
      <xdr:grpSpPr>
        <a:xfrm>
          <a:off x="2778124" y="4132991"/>
          <a:ext cx="752247" cy="369308"/>
          <a:chOff x="2791278" y="18514786"/>
          <a:chExt cx="773793" cy="417285"/>
        </a:xfrm>
      </xdr:grpSpPr>
      <xdr:sp macro="" textlink="">
        <xdr:nvSpPr>
          <xdr:cNvPr id="319" name="フローチャート: 書類 318">
            <a:extLst>
              <a:ext uri="{FF2B5EF4-FFF2-40B4-BE49-F238E27FC236}">
                <a16:creationId xmlns:a16="http://schemas.microsoft.com/office/drawing/2014/main" id="{B95D9A0A-0449-6187-7174-1EDE39B344DB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0" name="正方形/長方形 319">
            <a:extLst>
              <a:ext uri="{FF2B5EF4-FFF2-40B4-BE49-F238E27FC236}">
                <a16:creationId xmlns:a16="http://schemas.microsoft.com/office/drawing/2014/main" id="{B8028920-2154-474D-B740-C6F449D26ACF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未収入金に伴う発行依頼書</a:t>
            </a:r>
          </a:p>
        </xdr:txBody>
      </xdr:sp>
    </xdr:grpSp>
    <xdr:clientData/>
  </xdr:twoCellAnchor>
  <xdr:twoCellAnchor>
    <xdr:from>
      <xdr:col>16</xdr:col>
      <xdr:colOff>11579</xdr:colOff>
      <xdr:row>23</xdr:row>
      <xdr:rowOff>24279</xdr:rowOff>
    </xdr:from>
    <xdr:to>
      <xdr:col>19</xdr:col>
      <xdr:colOff>105106</xdr:colOff>
      <xdr:row>25</xdr:row>
      <xdr:rowOff>40527</xdr:rowOff>
    </xdr:to>
    <xdr:grpSp>
      <xdr:nvGrpSpPr>
        <xdr:cNvPr id="321" name="グループ化 320">
          <a:extLst>
            <a:ext uri="{FF2B5EF4-FFF2-40B4-BE49-F238E27FC236}">
              <a16:creationId xmlns:a16="http://schemas.microsoft.com/office/drawing/2014/main" id="{653B354E-F208-1212-0EAE-EB9C9A370CAB}"/>
            </a:ext>
          </a:extLst>
        </xdr:cNvPr>
        <xdr:cNvGrpSpPr>
          <a:grpSpLocks noChangeAspect="1"/>
        </xdr:cNvGrpSpPr>
      </xdr:nvGrpSpPr>
      <xdr:grpSpPr>
        <a:xfrm>
          <a:off x="3469789" y="4135269"/>
          <a:ext cx="735512" cy="375658"/>
          <a:chOff x="2791278" y="18514786"/>
          <a:chExt cx="773793" cy="417285"/>
        </a:xfrm>
      </xdr:grpSpPr>
      <xdr:sp macro="" textlink="">
        <xdr:nvSpPr>
          <xdr:cNvPr id="322" name="フローチャート: 書類 321">
            <a:extLst>
              <a:ext uri="{FF2B5EF4-FFF2-40B4-BE49-F238E27FC236}">
                <a16:creationId xmlns:a16="http://schemas.microsoft.com/office/drawing/2014/main" id="{3E9A3CC0-6064-D550-8D84-A4755E81B254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3" name="正方形/長方形 322">
            <a:extLst>
              <a:ext uri="{FF2B5EF4-FFF2-40B4-BE49-F238E27FC236}">
                <a16:creationId xmlns:a16="http://schemas.microsoft.com/office/drawing/2014/main" id="{874CDED6-7FB9-D148-F2D9-881DABEF1C8B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経費明細</a:t>
            </a:r>
          </a:p>
        </xdr:txBody>
      </xdr:sp>
    </xdr:grpSp>
    <xdr:clientData/>
  </xdr:twoCellAnchor>
  <xdr:twoCellAnchor>
    <xdr:from>
      <xdr:col>22</xdr:col>
      <xdr:colOff>95250</xdr:colOff>
      <xdr:row>40</xdr:row>
      <xdr:rowOff>85725</xdr:rowOff>
    </xdr:from>
    <xdr:to>
      <xdr:col>28</xdr:col>
      <xdr:colOff>73713</xdr:colOff>
      <xdr:row>43</xdr:row>
      <xdr:rowOff>103056</xdr:rowOff>
    </xdr:to>
    <xdr:grpSp>
      <xdr:nvGrpSpPr>
        <xdr:cNvPr id="331" name="グループ化 330">
          <a:extLst>
            <a:ext uri="{FF2B5EF4-FFF2-40B4-BE49-F238E27FC236}">
              <a16:creationId xmlns:a16="http://schemas.microsoft.com/office/drawing/2014/main" id="{5620FD8D-BB2D-4661-BB2B-BACC7145848F}"/>
            </a:ext>
          </a:extLst>
        </xdr:cNvPr>
        <xdr:cNvGrpSpPr/>
      </xdr:nvGrpSpPr>
      <xdr:grpSpPr>
        <a:xfrm>
          <a:off x="4841240" y="7225030"/>
          <a:ext cx="1277673" cy="546921"/>
          <a:chOff x="1580728" y="2457449"/>
          <a:chExt cx="1013466" cy="381718"/>
        </a:xfrm>
      </xdr:grpSpPr>
      <xdr:sp macro="" textlink="">
        <xdr:nvSpPr>
          <xdr:cNvPr id="332" name="フローチャート: 定義済み処理 331">
            <a:extLst>
              <a:ext uri="{FF2B5EF4-FFF2-40B4-BE49-F238E27FC236}">
                <a16:creationId xmlns:a16="http://schemas.microsoft.com/office/drawing/2014/main" id="{234429FF-293C-A715-4592-CFFA55942FF5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33" name="正方形/長方形 48">
            <a:extLst>
              <a:ext uri="{FF2B5EF4-FFF2-40B4-BE49-F238E27FC236}">
                <a16:creationId xmlns:a16="http://schemas.microsoft.com/office/drawing/2014/main" id="{6C9897A3-8317-E947-E6ED-9206A63DDD9D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請求書データ転記</a:t>
            </a:r>
            <a:endParaRPr kumimoji="1" lang="en-US" altLang="ja-JP" sz="900"/>
          </a:p>
        </xdr:txBody>
      </xdr:sp>
    </xdr:grpSp>
    <xdr:clientData/>
  </xdr:twoCellAnchor>
  <xdr:twoCellAnchor>
    <xdr:from>
      <xdr:col>51</xdr:col>
      <xdr:colOff>560</xdr:colOff>
      <xdr:row>40</xdr:row>
      <xdr:rowOff>92425</xdr:rowOff>
    </xdr:from>
    <xdr:to>
      <xdr:col>56</xdr:col>
      <xdr:colOff>21172</xdr:colOff>
      <xdr:row>43</xdr:row>
      <xdr:rowOff>150670</xdr:rowOff>
    </xdr:to>
    <xdr:grpSp>
      <xdr:nvGrpSpPr>
        <xdr:cNvPr id="335" name="グループ化 334">
          <a:extLst>
            <a:ext uri="{FF2B5EF4-FFF2-40B4-BE49-F238E27FC236}">
              <a16:creationId xmlns:a16="http://schemas.microsoft.com/office/drawing/2014/main" id="{CAB49CEF-EEAA-4F60-8D2F-736079E562E4}"/>
            </a:ext>
          </a:extLst>
        </xdr:cNvPr>
        <xdr:cNvGrpSpPr/>
      </xdr:nvGrpSpPr>
      <xdr:grpSpPr>
        <a:xfrm>
          <a:off x="11011460" y="7233635"/>
          <a:ext cx="1096302" cy="587835"/>
          <a:chOff x="7113625" y="2892425"/>
          <a:chExt cx="914621" cy="594025"/>
        </a:xfrm>
      </xdr:grpSpPr>
      <xdr:sp macro="" textlink="">
        <xdr:nvSpPr>
          <xdr:cNvPr id="336" name="フローチャート: 磁気ディスク 335">
            <a:extLst>
              <a:ext uri="{FF2B5EF4-FFF2-40B4-BE49-F238E27FC236}">
                <a16:creationId xmlns:a16="http://schemas.microsoft.com/office/drawing/2014/main" id="{81736B2B-C48C-6E98-8864-D1725C9BF22C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rgbClr val="FF0000"/>
              </a:solidFill>
            </a:endParaRPr>
          </a:p>
        </xdr:txBody>
      </xdr:sp>
      <xdr:sp macro="" textlink="">
        <xdr:nvSpPr>
          <xdr:cNvPr id="337" name="正方形/長方形 336">
            <a:extLst>
              <a:ext uri="{FF2B5EF4-FFF2-40B4-BE49-F238E27FC236}">
                <a16:creationId xmlns:a16="http://schemas.microsoft.com/office/drawing/2014/main" id="{E84AE92D-3B6B-23A2-6401-EFB6402B0F2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JUST D.B.</a:t>
            </a:r>
          </a:p>
        </xdr:txBody>
      </xdr:sp>
    </xdr:grpSp>
    <xdr:clientData/>
  </xdr:twoCellAnchor>
  <xdr:twoCellAnchor>
    <xdr:from>
      <xdr:col>34</xdr:col>
      <xdr:colOff>197865</xdr:colOff>
      <xdr:row>36</xdr:row>
      <xdr:rowOff>98993</xdr:rowOff>
    </xdr:from>
    <xdr:to>
      <xdr:col>51</xdr:col>
      <xdr:colOff>117693</xdr:colOff>
      <xdr:row>36</xdr:row>
      <xdr:rowOff>102934</xdr:rowOff>
    </xdr:to>
    <xdr:cxnSp macro="">
      <xdr:nvCxnSpPr>
        <xdr:cNvPr id="341" name="コネクタ: カギ線 340">
          <a:extLst>
            <a:ext uri="{FF2B5EF4-FFF2-40B4-BE49-F238E27FC236}">
              <a16:creationId xmlns:a16="http://schemas.microsoft.com/office/drawing/2014/main" id="{11F0A7B9-4DB2-4A02-A064-DA2FECE2FEDA}"/>
            </a:ext>
          </a:extLst>
        </xdr:cNvPr>
        <xdr:cNvCxnSpPr>
          <a:cxnSpLocks/>
          <a:stCxn id="35" idx="3"/>
          <a:endCxn id="227" idx="2"/>
        </xdr:cNvCxnSpPr>
      </xdr:nvCxnSpPr>
      <xdr:spPr>
        <a:xfrm>
          <a:off x="6998715" y="6290243"/>
          <a:ext cx="3320253" cy="394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90139</xdr:colOff>
      <xdr:row>43</xdr:row>
      <xdr:rowOff>96269</xdr:rowOff>
    </xdr:from>
    <xdr:to>
      <xdr:col>25</xdr:col>
      <xdr:colOff>140223</xdr:colOff>
      <xdr:row>47</xdr:row>
      <xdr:rowOff>123265</xdr:rowOff>
    </xdr:to>
    <xdr:cxnSp macro="">
      <xdr:nvCxnSpPr>
        <xdr:cNvPr id="344" name="コネクタ: カギ線 343">
          <a:extLst>
            <a:ext uri="{FF2B5EF4-FFF2-40B4-BE49-F238E27FC236}">
              <a16:creationId xmlns:a16="http://schemas.microsoft.com/office/drawing/2014/main" id="{C2B6C3C7-81B1-4633-B96A-549A8CE97718}"/>
            </a:ext>
          </a:extLst>
        </xdr:cNvPr>
        <xdr:cNvCxnSpPr>
          <a:cxnSpLocks/>
          <a:stCxn id="332" idx="2"/>
          <a:endCxn id="274" idx="0"/>
        </xdr:cNvCxnSpPr>
      </xdr:nvCxnSpPr>
      <xdr:spPr>
        <a:xfrm rot="16200000" flipH="1">
          <a:off x="4759408" y="7819025"/>
          <a:ext cx="712796" cy="5008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190</xdr:row>
      <xdr:rowOff>156882</xdr:rowOff>
    </xdr:from>
    <xdr:to>
      <xdr:col>14</xdr:col>
      <xdr:colOff>85241</xdr:colOff>
      <xdr:row>194</xdr:row>
      <xdr:rowOff>9703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1E1F7A14-7AFB-41D0-BE3F-4EEDECA747BB}"/>
            </a:ext>
          </a:extLst>
        </xdr:cNvPr>
        <xdr:cNvGrpSpPr/>
      </xdr:nvGrpSpPr>
      <xdr:grpSpPr>
        <a:xfrm>
          <a:off x="1943100" y="33966187"/>
          <a:ext cx="1166646" cy="564021"/>
          <a:chOff x="1612900" y="2452118"/>
          <a:chExt cx="933032" cy="382461"/>
        </a:xfrm>
      </xdr:grpSpPr>
      <xdr:sp macro="" textlink="">
        <xdr:nvSpPr>
          <xdr:cNvPr id="48" name="フローチャート: 処理 47">
            <a:extLst>
              <a:ext uri="{FF2B5EF4-FFF2-40B4-BE49-F238E27FC236}">
                <a16:creationId xmlns:a16="http://schemas.microsoft.com/office/drawing/2014/main" id="{A861EC4F-B260-759C-9522-7ED7AD79BD4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F4DBDE3F-6287-BBF0-0569-C19187C5DB51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立替金登録依頼情報作成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9</xdr:col>
      <xdr:colOff>21981</xdr:colOff>
      <xdr:row>196</xdr:row>
      <xdr:rowOff>117230</xdr:rowOff>
    </xdr:from>
    <xdr:to>
      <xdr:col>14</xdr:col>
      <xdr:colOff>107222</xdr:colOff>
      <xdr:row>199</xdr:row>
      <xdr:rowOff>138140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4076FC8-335B-4AAD-A2C5-463900DDA591}"/>
            </a:ext>
          </a:extLst>
        </xdr:cNvPr>
        <xdr:cNvGrpSpPr/>
      </xdr:nvGrpSpPr>
      <xdr:grpSpPr>
        <a:xfrm>
          <a:off x="1961271" y="34991430"/>
          <a:ext cx="1166646" cy="550500"/>
          <a:chOff x="1612900" y="2452118"/>
          <a:chExt cx="933032" cy="382461"/>
        </a:xfrm>
      </xdr:grpSpPr>
      <xdr:sp macro="" textlink="">
        <xdr:nvSpPr>
          <xdr:cNvPr id="52" name="フローチャート: 処理 51">
            <a:extLst>
              <a:ext uri="{FF2B5EF4-FFF2-40B4-BE49-F238E27FC236}">
                <a16:creationId xmlns:a16="http://schemas.microsoft.com/office/drawing/2014/main" id="{9973CBE4-97B6-739F-505C-2E725D83EE7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" name="正方形/長方形 48">
            <a:extLst>
              <a:ext uri="{FF2B5EF4-FFF2-40B4-BE49-F238E27FC236}">
                <a16:creationId xmlns:a16="http://schemas.microsoft.com/office/drawing/2014/main" id="{A0CCB094-028A-4FFB-F3C1-067BD6747556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立替金登録依頼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158030</xdr:colOff>
      <xdr:row>194</xdr:row>
      <xdr:rowOff>3154</xdr:rowOff>
    </xdr:from>
    <xdr:to>
      <xdr:col>11</xdr:col>
      <xdr:colOff>163515</xdr:colOff>
      <xdr:row>196</xdr:row>
      <xdr:rowOff>117230</xdr:rowOff>
    </xdr:to>
    <xdr:cxnSp macro="">
      <xdr:nvCxnSpPr>
        <xdr:cNvPr id="54" name="直線矢印コネクタ 27">
          <a:extLst>
            <a:ext uri="{FF2B5EF4-FFF2-40B4-BE49-F238E27FC236}">
              <a16:creationId xmlns:a16="http://schemas.microsoft.com/office/drawing/2014/main" id="{A0C0EC37-11CC-4343-AB7C-1ECE61776A06}"/>
            </a:ext>
          </a:extLst>
        </xdr:cNvPr>
        <xdr:cNvCxnSpPr>
          <a:cxnSpLocks/>
          <a:stCxn id="48" idx="2"/>
          <a:endCxn id="53" idx="0"/>
        </xdr:cNvCxnSpPr>
      </xdr:nvCxnSpPr>
      <xdr:spPr>
        <a:xfrm>
          <a:off x="2334126" y="38286327"/>
          <a:ext cx="5485" cy="45111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178000</xdr:colOff>
      <xdr:row>199</xdr:row>
      <xdr:rowOff>137824</xdr:rowOff>
    </xdr:from>
    <xdr:to>
      <xdr:col>25</xdr:col>
      <xdr:colOff>117141</xdr:colOff>
      <xdr:row>205</xdr:row>
      <xdr:rowOff>6349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28B64CAB-126B-4CFF-9453-8CCC0A9D108E}"/>
            </a:ext>
          </a:extLst>
        </xdr:cNvPr>
        <xdr:cNvCxnSpPr>
          <a:cxnSpLocks/>
          <a:stCxn id="52" idx="2"/>
          <a:endCxn id="253" idx="0"/>
        </xdr:cNvCxnSpPr>
      </xdr:nvCxnSpPr>
      <xdr:spPr>
        <a:xfrm rot="16200000" flipH="1">
          <a:off x="3299408" y="39012141"/>
          <a:ext cx="897225" cy="273949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200</xdr:row>
      <xdr:rowOff>57150</xdr:rowOff>
    </xdr:from>
    <xdr:to>
      <xdr:col>16</xdr:col>
      <xdr:colOff>163377</xdr:colOff>
      <xdr:row>202</xdr:row>
      <xdr:rowOff>82924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2E382771-3953-46FB-AB09-E540138BCFFC}"/>
            </a:ext>
          </a:extLst>
        </xdr:cNvPr>
        <xdr:cNvGrpSpPr>
          <a:grpSpLocks noChangeAspect="1"/>
        </xdr:cNvGrpSpPr>
      </xdr:nvGrpSpPr>
      <xdr:grpSpPr>
        <a:xfrm>
          <a:off x="2882900" y="35638740"/>
          <a:ext cx="736782" cy="387089"/>
          <a:chOff x="2791278" y="18514786"/>
          <a:chExt cx="773793" cy="417285"/>
        </a:xfrm>
      </xdr:grpSpPr>
      <xdr:sp macro="" textlink="">
        <xdr:nvSpPr>
          <xdr:cNvPr id="61" name="フローチャート: 書類 60">
            <a:extLst>
              <a:ext uri="{FF2B5EF4-FFF2-40B4-BE49-F238E27FC236}">
                <a16:creationId xmlns:a16="http://schemas.microsoft.com/office/drawing/2014/main" id="{8306BD63-20E1-DFE6-55D7-50DF9D4B1BA4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255DC354-E1E1-E428-21BA-197AD1B8741B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依頼書</a:t>
            </a:r>
          </a:p>
        </xdr:txBody>
      </xdr:sp>
    </xdr:grpSp>
    <xdr:clientData/>
  </xdr:twoCellAnchor>
  <xdr:twoCellAnchor>
    <xdr:from>
      <xdr:col>8</xdr:col>
      <xdr:colOff>85725</xdr:colOff>
      <xdr:row>190</xdr:row>
      <xdr:rowOff>28574</xdr:rowOff>
    </xdr:from>
    <xdr:to>
      <xdr:col>30</xdr:col>
      <xdr:colOff>133350</xdr:colOff>
      <xdr:row>203</xdr:row>
      <xdr:rowOff>123825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7B4C283A-05D9-444C-A24B-FF01C3028626}"/>
            </a:ext>
          </a:extLst>
        </xdr:cNvPr>
        <xdr:cNvSpPr/>
      </xdr:nvSpPr>
      <xdr:spPr>
        <a:xfrm>
          <a:off x="1685925" y="38280974"/>
          <a:ext cx="4448175" cy="2324101"/>
        </a:xfrm>
        <a:prstGeom prst="rect">
          <a:avLst/>
        </a:prstGeom>
        <a:solidFill>
          <a:srgbClr val="FFFF00">
            <a:alpha val="36863"/>
          </a:srgbClr>
        </a:solidFill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>
              <a:solidFill>
                <a:srgbClr val="FF0000"/>
              </a:solidFill>
            </a:rPr>
            <a:t>情報収集方法検討中</a:t>
          </a:r>
          <a:endParaRPr kumimoji="1" lang="en-US" altLang="ja-JP" sz="24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85725</xdr:colOff>
      <xdr:row>210</xdr:row>
      <xdr:rowOff>0</xdr:rowOff>
    </xdr:from>
    <xdr:to>
      <xdr:col>35</xdr:col>
      <xdr:colOff>64188</xdr:colOff>
      <xdr:row>213</xdr:row>
      <xdr:rowOff>26856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6A67A806-305C-4839-95A3-7D2AB0E53D68}"/>
            </a:ext>
          </a:extLst>
        </xdr:cNvPr>
        <xdr:cNvGrpSpPr/>
      </xdr:nvGrpSpPr>
      <xdr:grpSpPr>
        <a:xfrm>
          <a:off x="6348730" y="37363400"/>
          <a:ext cx="1268148" cy="558351"/>
          <a:chOff x="1580728" y="2457449"/>
          <a:chExt cx="1013466" cy="381718"/>
        </a:xfrm>
      </xdr:grpSpPr>
      <xdr:sp macro="" textlink="">
        <xdr:nvSpPr>
          <xdr:cNvPr id="84" name="フローチャート: 定義済み処理 83">
            <a:extLst>
              <a:ext uri="{FF2B5EF4-FFF2-40B4-BE49-F238E27FC236}">
                <a16:creationId xmlns:a16="http://schemas.microsoft.com/office/drawing/2014/main" id="{821B4D1F-7EDB-DBCB-D462-660CC9E07DC7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5" name="正方形/長方形 48">
            <a:extLst>
              <a:ext uri="{FF2B5EF4-FFF2-40B4-BE49-F238E27FC236}">
                <a16:creationId xmlns:a16="http://schemas.microsoft.com/office/drawing/2014/main" id="{50BFD57F-2A1D-37FF-2785-35916A4D2522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登録内容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確認・承認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117142</xdr:colOff>
      <xdr:row>208</xdr:row>
      <xdr:rowOff>20068</xdr:rowOff>
    </xdr:from>
    <xdr:to>
      <xdr:col>32</xdr:col>
      <xdr:colOff>83820</xdr:colOff>
      <xdr:row>209</xdr:row>
      <xdr:rowOff>171449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713CE227-DDFD-4D88-9CB2-4E79689F9154}"/>
            </a:ext>
          </a:extLst>
        </xdr:cNvPr>
        <xdr:cNvCxnSpPr>
          <a:cxnSpLocks/>
          <a:stCxn id="253" idx="2"/>
          <a:endCxn id="84" idx="0"/>
        </xdr:cNvCxnSpPr>
      </xdr:nvCxnSpPr>
      <xdr:spPr>
        <a:xfrm rot="16200000" flipH="1">
          <a:off x="5639778" y="40836557"/>
          <a:ext cx="322831" cy="136685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104775</xdr:colOff>
      <xdr:row>214</xdr:row>
      <xdr:rowOff>152400</xdr:rowOff>
    </xdr:from>
    <xdr:to>
      <xdr:col>28</xdr:col>
      <xdr:colOff>86413</xdr:colOff>
      <xdr:row>217</xdr:row>
      <xdr:rowOff>169731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24BDB4C0-7F1C-4B92-98AB-2B475FFBE2D2}"/>
            </a:ext>
          </a:extLst>
        </xdr:cNvPr>
        <xdr:cNvGrpSpPr/>
      </xdr:nvGrpSpPr>
      <xdr:grpSpPr>
        <a:xfrm>
          <a:off x="4852670" y="38227000"/>
          <a:ext cx="1280848" cy="554541"/>
          <a:chOff x="1580728" y="2457449"/>
          <a:chExt cx="1013466" cy="381718"/>
        </a:xfrm>
      </xdr:grpSpPr>
      <xdr:sp macro="" textlink="">
        <xdr:nvSpPr>
          <xdr:cNvPr id="147" name="フローチャート: 定義済み処理 146">
            <a:extLst>
              <a:ext uri="{FF2B5EF4-FFF2-40B4-BE49-F238E27FC236}">
                <a16:creationId xmlns:a16="http://schemas.microsoft.com/office/drawing/2014/main" id="{A25B454E-FE2D-FFF8-ECC1-B1BBCC733D92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48" name="正方形/長方形 48">
            <a:extLst>
              <a:ext uri="{FF2B5EF4-FFF2-40B4-BE49-F238E27FC236}">
                <a16:creationId xmlns:a16="http://schemas.microsoft.com/office/drawing/2014/main" id="{8A0971FF-1BF1-6D89-A056-DC7E0BE765D2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立替金データ転記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101267</xdr:colOff>
      <xdr:row>213</xdr:row>
      <xdr:rowOff>30030</xdr:rowOff>
    </xdr:from>
    <xdr:to>
      <xdr:col>32</xdr:col>
      <xdr:colOff>74958</xdr:colOff>
      <xdr:row>214</xdr:row>
      <xdr:rowOff>152399</xdr:rowOff>
    </xdr:to>
    <xdr:cxnSp macro="">
      <xdr:nvCxnSpPr>
        <xdr:cNvPr id="149" name="コネクタ: カギ線 148">
          <a:extLst>
            <a:ext uri="{FF2B5EF4-FFF2-40B4-BE49-F238E27FC236}">
              <a16:creationId xmlns:a16="http://schemas.microsoft.com/office/drawing/2014/main" id="{4692FD04-735B-43CD-B31B-5A06C298DE35}"/>
            </a:ext>
          </a:extLst>
        </xdr:cNvPr>
        <xdr:cNvCxnSpPr>
          <a:cxnSpLocks/>
          <a:stCxn id="85" idx="2"/>
          <a:endCxn id="147" idx="0"/>
        </xdr:cNvCxnSpPr>
      </xdr:nvCxnSpPr>
      <xdr:spPr>
        <a:xfrm rot="5400000">
          <a:off x="5641915" y="41685757"/>
          <a:ext cx="293819" cy="137386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188445</xdr:colOff>
      <xdr:row>209</xdr:row>
      <xdr:rowOff>160616</xdr:rowOff>
    </xdr:from>
    <xdr:to>
      <xdr:col>48</xdr:col>
      <xdr:colOff>192061</xdr:colOff>
      <xdr:row>213</xdr:row>
      <xdr:rowOff>50343</xdr:rowOff>
    </xdr:to>
    <xdr:grpSp>
      <xdr:nvGrpSpPr>
        <xdr:cNvPr id="152" name="グループ化 151">
          <a:extLst>
            <a:ext uri="{FF2B5EF4-FFF2-40B4-BE49-F238E27FC236}">
              <a16:creationId xmlns:a16="http://schemas.microsoft.com/office/drawing/2014/main" id="{C8004C08-73A9-440B-AD56-51E0070E1478}"/>
            </a:ext>
          </a:extLst>
        </xdr:cNvPr>
        <xdr:cNvGrpSpPr/>
      </xdr:nvGrpSpPr>
      <xdr:grpSpPr>
        <a:xfrm>
          <a:off x="9472145" y="37348121"/>
          <a:ext cx="1083116" cy="602832"/>
          <a:chOff x="7113625" y="2892425"/>
          <a:chExt cx="914621" cy="594025"/>
        </a:xfrm>
      </xdr:grpSpPr>
      <xdr:sp macro="" textlink="">
        <xdr:nvSpPr>
          <xdr:cNvPr id="153" name="フローチャート: 磁気ディスク 152">
            <a:extLst>
              <a:ext uri="{FF2B5EF4-FFF2-40B4-BE49-F238E27FC236}">
                <a16:creationId xmlns:a16="http://schemas.microsoft.com/office/drawing/2014/main" id="{A5D44B98-B5B2-02E4-5D34-CF23B633AEA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1EB0A11D-ECC6-E719-BE65-7FDB3E02F34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34</xdr:col>
      <xdr:colOff>159476</xdr:colOff>
      <xdr:row>211</xdr:row>
      <xdr:rowOff>77649</xdr:rowOff>
    </xdr:from>
    <xdr:to>
      <xdr:col>44</xdr:col>
      <xdr:colOff>87683</xdr:colOff>
      <xdr:row>211</xdr:row>
      <xdr:rowOff>95701</xdr:rowOff>
    </xdr:to>
    <xdr:cxnSp macro="">
      <xdr:nvCxnSpPr>
        <xdr:cNvPr id="168" name="コネクタ: カギ線 167">
          <a:extLst>
            <a:ext uri="{FF2B5EF4-FFF2-40B4-BE49-F238E27FC236}">
              <a16:creationId xmlns:a16="http://schemas.microsoft.com/office/drawing/2014/main" id="{2875B2B7-8C08-45E6-999D-A1EB0CDD7BD6}"/>
            </a:ext>
          </a:extLst>
        </xdr:cNvPr>
        <xdr:cNvCxnSpPr>
          <a:cxnSpLocks/>
          <a:stCxn id="84" idx="3"/>
          <a:endCxn id="153" idx="2"/>
        </xdr:cNvCxnSpPr>
      </xdr:nvCxnSpPr>
      <xdr:spPr>
        <a:xfrm flipV="1">
          <a:off x="6960326" y="41930499"/>
          <a:ext cx="1928457" cy="18052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163045</xdr:colOff>
      <xdr:row>214</xdr:row>
      <xdr:rowOff>151967</xdr:rowOff>
    </xdr:from>
    <xdr:to>
      <xdr:col>48</xdr:col>
      <xdr:colOff>169836</xdr:colOff>
      <xdr:row>218</xdr:row>
      <xdr:rowOff>35344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C3053C6C-3C8C-449A-808A-67C39643DD38}"/>
            </a:ext>
          </a:extLst>
        </xdr:cNvPr>
        <xdr:cNvGrpSpPr/>
      </xdr:nvGrpSpPr>
      <xdr:grpSpPr>
        <a:xfrm>
          <a:off x="9448650" y="38226567"/>
          <a:ext cx="1088196" cy="594577"/>
          <a:chOff x="7113625" y="2892425"/>
          <a:chExt cx="914621" cy="594025"/>
        </a:xfrm>
      </xdr:grpSpPr>
      <xdr:sp macro="" textlink="">
        <xdr:nvSpPr>
          <xdr:cNvPr id="184" name="フローチャート: 磁気ディスク 183">
            <a:extLst>
              <a:ext uri="{FF2B5EF4-FFF2-40B4-BE49-F238E27FC236}">
                <a16:creationId xmlns:a16="http://schemas.microsoft.com/office/drawing/2014/main" id="{DEC27DD4-B760-72D2-4DBF-4C912F0EEE8C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4AE52545-54CF-DD03-BF32-B131559C1657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27</xdr:col>
      <xdr:colOff>197645</xdr:colOff>
      <xdr:row>225</xdr:row>
      <xdr:rowOff>68124</xdr:rowOff>
    </xdr:from>
    <xdr:to>
      <xdr:col>44</xdr:col>
      <xdr:colOff>52130</xdr:colOff>
      <xdr:row>225</xdr:row>
      <xdr:rowOff>82188</xdr:rowOff>
    </xdr:to>
    <xdr:cxnSp macro="">
      <xdr:nvCxnSpPr>
        <xdr:cNvPr id="192" name="コネクタ: カギ線 191">
          <a:extLst>
            <a:ext uri="{FF2B5EF4-FFF2-40B4-BE49-F238E27FC236}">
              <a16:creationId xmlns:a16="http://schemas.microsoft.com/office/drawing/2014/main" id="{C709744B-A69F-42A9-B19C-F651E1385DF1}"/>
            </a:ext>
          </a:extLst>
        </xdr:cNvPr>
        <xdr:cNvCxnSpPr>
          <a:cxnSpLocks/>
          <a:stCxn id="222" idx="2"/>
          <a:endCxn id="257" idx="3"/>
        </xdr:cNvCxnSpPr>
      </xdr:nvCxnSpPr>
      <xdr:spPr>
        <a:xfrm rot="10800000" flipV="1">
          <a:off x="5598320" y="44321274"/>
          <a:ext cx="3254910" cy="14064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98092</xdr:colOff>
      <xdr:row>217</xdr:row>
      <xdr:rowOff>159885</xdr:rowOff>
    </xdr:from>
    <xdr:to>
      <xdr:col>25</xdr:col>
      <xdr:colOff>114964</xdr:colOff>
      <xdr:row>223</xdr:row>
      <xdr:rowOff>164352</xdr:rowOff>
    </xdr:to>
    <xdr:cxnSp macro="">
      <xdr:nvCxnSpPr>
        <xdr:cNvPr id="194" name="コネクタ: カギ線 193">
          <a:extLst>
            <a:ext uri="{FF2B5EF4-FFF2-40B4-BE49-F238E27FC236}">
              <a16:creationId xmlns:a16="http://schemas.microsoft.com/office/drawing/2014/main" id="{1B41F9A5-1D98-40FF-A997-6674D4F4BF97}"/>
            </a:ext>
          </a:extLst>
        </xdr:cNvPr>
        <xdr:cNvCxnSpPr>
          <a:cxnSpLocks/>
          <a:stCxn id="147" idx="2"/>
          <a:endCxn id="257" idx="0"/>
        </xdr:cNvCxnSpPr>
      </xdr:nvCxnSpPr>
      <xdr:spPr>
        <a:xfrm rot="16200000" flipH="1">
          <a:off x="4933469" y="43206683"/>
          <a:ext cx="347367" cy="1687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114300</xdr:colOff>
      <xdr:row>233</xdr:row>
      <xdr:rowOff>0</xdr:rowOff>
    </xdr:from>
    <xdr:to>
      <xdr:col>30</xdr:col>
      <xdr:colOff>1452</xdr:colOff>
      <xdr:row>235</xdr:row>
      <xdr:rowOff>25774</xdr:rowOff>
    </xdr:to>
    <xdr:grpSp>
      <xdr:nvGrpSpPr>
        <xdr:cNvPr id="203" name="グループ化 202">
          <a:extLst>
            <a:ext uri="{FF2B5EF4-FFF2-40B4-BE49-F238E27FC236}">
              <a16:creationId xmlns:a16="http://schemas.microsoft.com/office/drawing/2014/main" id="{48867893-7738-44FC-B23B-E126D2D79486}"/>
            </a:ext>
          </a:extLst>
        </xdr:cNvPr>
        <xdr:cNvGrpSpPr>
          <a:grpSpLocks noChangeAspect="1"/>
        </xdr:cNvGrpSpPr>
      </xdr:nvGrpSpPr>
      <xdr:grpSpPr>
        <a:xfrm>
          <a:off x="5727700" y="41452800"/>
          <a:ext cx="750752" cy="377564"/>
          <a:chOff x="2791278" y="18514786"/>
          <a:chExt cx="773793" cy="417285"/>
        </a:xfrm>
      </xdr:grpSpPr>
      <xdr:sp macro="" textlink="">
        <xdr:nvSpPr>
          <xdr:cNvPr id="204" name="フローチャート: 書類 203">
            <a:extLst>
              <a:ext uri="{FF2B5EF4-FFF2-40B4-BE49-F238E27FC236}">
                <a16:creationId xmlns:a16="http://schemas.microsoft.com/office/drawing/2014/main" id="{D86D8E94-A927-6507-A417-ADA378A61862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5529BC6F-4AD3-326D-BFC7-5DD50813F42E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立替金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43</xdr:col>
      <xdr:colOff>153520</xdr:colOff>
      <xdr:row>223</xdr:row>
      <xdr:rowOff>151091</xdr:rowOff>
    </xdr:from>
    <xdr:to>
      <xdr:col>48</xdr:col>
      <xdr:colOff>150786</xdr:colOff>
      <xdr:row>227</xdr:row>
      <xdr:rowOff>40818</xdr:rowOff>
    </xdr:to>
    <xdr:grpSp>
      <xdr:nvGrpSpPr>
        <xdr:cNvPr id="221" name="グループ化 220">
          <a:extLst>
            <a:ext uri="{FF2B5EF4-FFF2-40B4-BE49-F238E27FC236}">
              <a16:creationId xmlns:a16="http://schemas.microsoft.com/office/drawing/2014/main" id="{C0311FBA-4A5C-4A26-B63A-E9F4A5E62D7C}"/>
            </a:ext>
          </a:extLst>
        </xdr:cNvPr>
        <xdr:cNvGrpSpPr/>
      </xdr:nvGrpSpPr>
      <xdr:grpSpPr>
        <a:xfrm>
          <a:off x="9437220" y="39825891"/>
          <a:ext cx="1076766" cy="600927"/>
          <a:chOff x="7113625" y="2892425"/>
          <a:chExt cx="914621" cy="594025"/>
        </a:xfrm>
      </xdr:grpSpPr>
      <xdr:sp macro="" textlink="">
        <xdr:nvSpPr>
          <xdr:cNvPr id="222" name="フローチャート: 磁気ディスク 221">
            <a:extLst>
              <a:ext uri="{FF2B5EF4-FFF2-40B4-BE49-F238E27FC236}">
                <a16:creationId xmlns:a16="http://schemas.microsoft.com/office/drawing/2014/main" id="{4CA3605D-900C-1A49-891F-40AF3CCF66D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3" name="正方形/長方形 222">
            <a:extLst>
              <a:ext uri="{FF2B5EF4-FFF2-40B4-BE49-F238E27FC236}">
                <a16:creationId xmlns:a16="http://schemas.microsoft.com/office/drawing/2014/main" id="{F172E931-5010-BE33-5179-F0A59BE5B878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</a:p>
        </xdr:txBody>
      </xdr:sp>
    </xdr:grpSp>
    <xdr:clientData/>
  </xdr:twoCellAnchor>
  <xdr:twoCellAnchor>
    <xdr:from>
      <xdr:col>27</xdr:col>
      <xdr:colOff>174300</xdr:colOff>
      <xdr:row>216</xdr:row>
      <xdr:rowOff>66259</xdr:rowOff>
    </xdr:from>
    <xdr:to>
      <xdr:col>44</xdr:col>
      <xdr:colOff>64093</xdr:colOff>
      <xdr:row>216</xdr:row>
      <xdr:rowOff>70765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67AA6F89-0383-4484-859E-89CBC4A42351}"/>
            </a:ext>
          </a:extLst>
        </xdr:cNvPr>
        <xdr:cNvCxnSpPr>
          <a:cxnSpLocks/>
          <a:stCxn id="147" idx="3"/>
          <a:endCxn id="184" idx="2"/>
        </xdr:cNvCxnSpPr>
      </xdr:nvCxnSpPr>
      <xdr:spPr>
        <a:xfrm flipV="1">
          <a:off x="5495162" y="42620018"/>
          <a:ext cx="3239965" cy="4506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163417</xdr:colOff>
      <xdr:row>53</xdr:row>
      <xdr:rowOff>39596</xdr:rowOff>
    </xdr:from>
    <xdr:to>
      <xdr:col>55</xdr:col>
      <xdr:colOff>168153</xdr:colOff>
      <xdr:row>56</xdr:row>
      <xdr:rowOff>122996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639E2F71-EF2D-4580-9027-EA0E6003B056}"/>
            </a:ext>
          </a:extLst>
        </xdr:cNvPr>
        <xdr:cNvGrpSpPr/>
      </xdr:nvGrpSpPr>
      <xdr:grpSpPr>
        <a:xfrm>
          <a:off x="10960322" y="9488396"/>
          <a:ext cx="1086141" cy="618705"/>
          <a:chOff x="7113625" y="2892425"/>
          <a:chExt cx="914621" cy="594025"/>
        </a:xfrm>
      </xdr:grpSpPr>
      <xdr:sp macro="" textlink="">
        <xdr:nvSpPr>
          <xdr:cNvPr id="56" name="フローチャート: 磁気ディスク 55">
            <a:extLst>
              <a:ext uri="{FF2B5EF4-FFF2-40B4-BE49-F238E27FC236}">
                <a16:creationId xmlns:a16="http://schemas.microsoft.com/office/drawing/2014/main" id="{77413F50-2054-323D-5CED-F3D091A907AF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800">
                <a:solidFill>
                  <a:srgbClr val="FF0000"/>
                </a:solidFill>
              </a:rPr>
              <a:t>BtoB</a:t>
            </a:r>
          </a:p>
          <a:p>
            <a:pPr algn="ctr"/>
            <a:r>
              <a:rPr kumimoji="1" lang="ja-JP" altLang="en-US" sz="800">
                <a:solidFill>
                  <a:srgbClr val="FF0000"/>
                </a:solidFill>
              </a:rPr>
              <a:t>プラットフォーム</a:t>
            </a: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0F159C47-A1DC-AA4D-ADD7-EB331184E675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86257</xdr:colOff>
      <xdr:row>54</xdr:row>
      <xdr:rowOff>112248</xdr:rowOff>
    </xdr:from>
    <xdr:to>
      <xdr:col>51</xdr:col>
      <xdr:colOff>61916</xdr:colOff>
      <xdr:row>54</xdr:row>
      <xdr:rowOff>138248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DC984E2E-0537-4ECE-B84F-AB3A16A06EF7}"/>
            </a:ext>
          </a:extLst>
        </xdr:cNvPr>
        <xdr:cNvCxnSpPr>
          <a:cxnSpLocks/>
          <a:stCxn id="281" idx="3"/>
          <a:endCxn id="56" idx="2"/>
        </xdr:cNvCxnSpPr>
      </xdr:nvCxnSpPr>
      <xdr:spPr>
        <a:xfrm>
          <a:off x="5734022" y="9405660"/>
          <a:ext cx="4614894" cy="26000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134470</xdr:colOff>
      <xdr:row>27</xdr:row>
      <xdr:rowOff>104775</xdr:rowOff>
    </xdr:from>
    <xdr:to>
      <xdr:col>56</xdr:col>
      <xdr:colOff>166687</xdr:colOff>
      <xdr:row>57</xdr:row>
      <xdr:rowOff>12325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23F0B921-C90E-4DB2-97EF-7F3661C0F3ED}"/>
            </a:ext>
          </a:extLst>
        </xdr:cNvPr>
        <xdr:cNvSpPr/>
      </xdr:nvSpPr>
      <xdr:spPr>
        <a:xfrm>
          <a:off x="4182595" y="4629150"/>
          <a:ext cx="7318842" cy="4908175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150345</xdr:colOff>
      <xdr:row>203</xdr:row>
      <xdr:rowOff>17741</xdr:rowOff>
    </xdr:from>
    <xdr:to>
      <xdr:col>55</xdr:col>
      <xdr:colOff>153961</xdr:colOff>
      <xdr:row>206</xdr:row>
      <xdr:rowOff>78918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790BC98-7BF4-486A-A7E3-2531B0148EFB}"/>
            </a:ext>
          </a:extLst>
        </xdr:cNvPr>
        <xdr:cNvGrpSpPr/>
      </xdr:nvGrpSpPr>
      <xdr:grpSpPr>
        <a:xfrm>
          <a:off x="10355702" y="35958015"/>
          <a:ext cx="1024152" cy="588046"/>
          <a:chOff x="7113625" y="2892425"/>
          <a:chExt cx="914621" cy="594025"/>
        </a:xfrm>
      </xdr:grpSpPr>
      <xdr:sp macro="" textlink="">
        <xdr:nvSpPr>
          <xdr:cNvPr id="3" name="フローチャート: 磁気ディスク 2">
            <a:extLst>
              <a:ext uri="{FF2B5EF4-FFF2-40B4-BE49-F238E27FC236}">
                <a16:creationId xmlns:a16="http://schemas.microsoft.com/office/drawing/2014/main" id="{6D131740-A956-7CC7-8790-3EE4392BBD5D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F1DF2D5-F0E9-08F6-76AB-5B2FA655469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10</xdr:col>
      <xdr:colOff>11019</xdr:colOff>
      <xdr:row>10</xdr:row>
      <xdr:rowOff>142501</xdr:rowOff>
    </xdr:from>
    <xdr:to>
      <xdr:col>13</xdr:col>
      <xdr:colOff>113147</xdr:colOff>
      <xdr:row>12</xdr:row>
      <xdr:rowOff>46567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2032B381-3007-4869-8AA5-D00C051A9474}"/>
            </a:ext>
          </a:extLst>
        </xdr:cNvPr>
        <xdr:cNvSpPr/>
      </xdr:nvSpPr>
      <xdr:spPr>
        <a:xfrm>
          <a:off x="2008094" y="1879226"/>
          <a:ext cx="705378" cy="24696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21</xdr:col>
      <xdr:colOff>179295</xdr:colOff>
      <xdr:row>29</xdr:row>
      <xdr:rowOff>86471</xdr:rowOff>
    </xdr:from>
    <xdr:to>
      <xdr:col>28</xdr:col>
      <xdr:colOff>502</xdr:colOff>
      <xdr:row>32</xdr:row>
      <xdr:rowOff>103802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62B1EB7A-0A9A-4243-A55F-AC0CAB2528EF}"/>
            </a:ext>
          </a:extLst>
        </xdr:cNvPr>
        <xdr:cNvGrpSpPr/>
      </xdr:nvGrpSpPr>
      <xdr:grpSpPr>
        <a:xfrm>
          <a:off x="4463640" y="5245483"/>
          <a:ext cx="1251862" cy="544200"/>
          <a:chOff x="1580728" y="2457449"/>
          <a:chExt cx="1013466" cy="381718"/>
        </a:xfrm>
      </xdr:grpSpPr>
      <xdr:sp macro="" textlink="">
        <xdr:nvSpPr>
          <xdr:cNvPr id="7" name="フローチャート: 定義済み処理 6">
            <a:extLst>
              <a:ext uri="{FF2B5EF4-FFF2-40B4-BE49-F238E27FC236}">
                <a16:creationId xmlns:a16="http://schemas.microsoft.com/office/drawing/2014/main" id="{701110E5-EDAD-A314-6C53-B18B6243D248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" name="正方形/長方形 48">
            <a:extLst>
              <a:ext uri="{FF2B5EF4-FFF2-40B4-BE49-F238E27FC236}">
                <a16:creationId xmlns:a16="http://schemas.microsoft.com/office/drawing/2014/main" id="{5EA0DC9C-36C6-73E4-73E5-0407BA5879CA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債権登録・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承認申請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58</xdr:col>
      <xdr:colOff>30442</xdr:colOff>
      <xdr:row>29</xdr:row>
      <xdr:rowOff>86475</xdr:rowOff>
    </xdr:from>
    <xdr:to>
      <xdr:col>63</xdr:col>
      <xdr:colOff>38354</xdr:colOff>
      <xdr:row>32</xdr:row>
      <xdr:rowOff>160351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37991F08-74A9-49B3-A22D-0473DC8F9501}"/>
            </a:ext>
          </a:extLst>
        </xdr:cNvPr>
        <xdr:cNvGrpSpPr/>
      </xdr:nvGrpSpPr>
      <xdr:grpSpPr>
        <a:xfrm>
          <a:off x="11866751" y="5245487"/>
          <a:ext cx="1030353" cy="604555"/>
          <a:chOff x="7113625" y="2892425"/>
          <a:chExt cx="914621" cy="594025"/>
        </a:xfrm>
      </xdr:grpSpPr>
      <xdr:sp macro="" textlink="">
        <xdr:nvSpPr>
          <xdr:cNvPr id="10" name="フローチャート: 磁気ディスク 9">
            <a:extLst>
              <a:ext uri="{FF2B5EF4-FFF2-40B4-BE49-F238E27FC236}">
                <a16:creationId xmlns:a16="http://schemas.microsoft.com/office/drawing/2014/main" id="{D7EE4CD0-8119-50A0-2693-88C597850E33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rgbClr val="FF0000"/>
              </a:solidFill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B3E8057-28C8-9A16-9FB9-005E43743C0D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</a:rPr>
              <a:t>楽楽精算</a:t>
            </a:r>
            <a:endParaRPr kumimoji="1" lang="en-US" altLang="ja-JP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27</xdr:col>
      <xdr:colOff>89298</xdr:colOff>
      <xdr:row>31</xdr:row>
      <xdr:rowOff>4489</xdr:rowOff>
    </xdr:from>
    <xdr:to>
      <xdr:col>58</xdr:col>
      <xdr:colOff>127269</xdr:colOff>
      <xdr:row>31</xdr:row>
      <xdr:rowOff>8937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83225FAD-0767-4372-ADEA-95259DBFA38E}"/>
            </a:ext>
          </a:extLst>
        </xdr:cNvPr>
        <xdr:cNvCxnSpPr>
          <a:cxnSpLocks/>
          <a:stCxn id="7" idx="3"/>
          <a:endCxn id="10" idx="2"/>
        </xdr:cNvCxnSpPr>
      </xdr:nvCxnSpPr>
      <xdr:spPr>
        <a:xfrm>
          <a:off x="5486798" y="5341664"/>
          <a:ext cx="4838571" cy="444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157513</xdr:colOff>
      <xdr:row>12</xdr:row>
      <xdr:rowOff>49742</xdr:rowOff>
    </xdr:from>
    <xdr:to>
      <xdr:col>11</xdr:col>
      <xdr:colOff>160508</xdr:colOff>
      <xdr:row>14</xdr:row>
      <xdr:rowOff>7462</xdr:rowOff>
    </xdr:to>
    <xdr:cxnSp macro="">
      <xdr:nvCxnSpPr>
        <xdr:cNvPr id="13" name="直線矢印コネクタ 27">
          <a:extLst>
            <a:ext uri="{FF2B5EF4-FFF2-40B4-BE49-F238E27FC236}">
              <a16:creationId xmlns:a16="http://schemas.microsoft.com/office/drawing/2014/main" id="{55C5671C-F588-4A52-A0F9-E53585E07021}"/>
            </a:ext>
          </a:extLst>
        </xdr:cNvPr>
        <xdr:cNvCxnSpPr>
          <a:cxnSpLocks/>
          <a:stCxn id="5" idx="2"/>
          <a:endCxn id="168" idx="0"/>
        </xdr:cNvCxnSpPr>
      </xdr:nvCxnSpPr>
      <xdr:spPr>
        <a:xfrm flipH="1">
          <a:off x="2360963" y="2123017"/>
          <a:ext cx="2995" cy="3069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67288</xdr:colOff>
      <xdr:row>73</xdr:row>
      <xdr:rowOff>161583</xdr:rowOff>
    </xdr:from>
    <xdr:to>
      <xdr:col>27</xdr:col>
      <xdr:colOff>94059</xdr:colOff>
      <xdr:row>76</xdr:row>
      <xdr:rowOff>107198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7BD28339-C6E5-4F35-970B-388EC67F5C2C}"/>
            </a:ext>
          </a:extLst>
        </xdr:cNvPr>
        <xdr:cNvGrpSpPr/>
      </xdr:nvGrpSpPr>
      <xdr:grpSpPr>
        <a:xfrm>
          <a:off x="4759847" y="13103881"/>
          <a:ext cx="848915" cy="472483"/>
          <a:chOff x="1362076" y="5733093"/>
          <a:chExt cx="754741" cy="470823"/>
        </a:xfrm>
      </xdr:grpSpPr>
      <xdr:sp macro="" textlink="">
        <xdr:nvSpPr>
          <xdr:cNvPr id="15" name="フローチャート: 他ページ結合子 14">
            <a:extLst>
              <a:ext uri="{FF2B5EF4-FFF2-40B4-BE49-F238E27FC236}">
                <a16:creationId xmlns:a16="http://schemas.microsoft.com/office/drawing/2014/main" id="{18CACEA5-2E80-D800-4070-EB57A5FD0AF1}"/>
              </a:ext>
            </a:extLst>
          </xdr:cNvPr>
          <xdr:cNvSpPr/>
        </xdr:nvSpPr>
        <xdr:spPr>
          <a:xfrm>
            <a:off x="1435390" y="5759416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6" name="正方形/長方形 48">
            <a:extLst>
              <a:ext uri="{FF2B5EF4-FFF2-40B4-BE49-F238E27FC236}">
                <a16:creationId xmlns:a16="http://schemas.microsoft.com/office/drawing/2014/main" id="{5CA13C3D-13F6-D0EE-ADE4-FA606B6CE06F}"/>
              </a:ext>
            </a:extLst>
          </xdr:cNvPr>
          <xdr:cNvSpPr/>
        </xdr:nvSpPr>
        <xdr:spPr>
          <a:xfrm>
            <a:off x="1362076" y="5733093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8.1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入金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10</xdr:col>
      <xdr:colOff>5229</xdr:colOff>
      <xdr:row>164</xdr:row>
      <xdr:rowOff>18677</xdr:rowOff>
    </xdr:from>
    <xdr:to>
      <xdr:col>13</xdr:col>
      <xdr:colOff>104742</xdr:colOff>
      <xdr:row>165</xdr:row>
      <xdr:rowOff>74955</xdr:rowOff>
    </xdr:to>
    <xdr:sp macro="" textlink="">
      <xdr:nvSpPr>
        <xdr:cNvPr id="17" name="フローチャート: 端子 16">
          <a:extLst>
            <a:ext uri="{FF2B5EF4-FFF2-40B4-BE49-F238E27FC236}">
              <a16:creationId xmlns:a16="http://schemas.microsoft.com/office/drawing/2014/main" id="{E426A8A1-855C-4B44-9C0F-1ADA786A7490}"/>
            </a:ext>
          </a:extLst>
        </xdr:cNvPr>
        <xdr:cNvSpPr/>
      </xdr:nvSpPr>
      <xdr:spPr>
        <a:xfrm>
          <a:off x="2008654" y="32098877"/>
          <a:ext cx="699588" cy="22772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50</xdr:col>
      <xdr:colOff>189359</xdr:colOff>
      <xdr:row>86</xdr:row>
      <xdr:rowOff>8002</xdr:rowOff>
    </xdr:from>
    <xdr:to>
      <xdr:col>55</xdr:col>
      <xdr:colOff>193519</xdr:colOff>
      <xdr:row>89</xdr:row>
      <xdr:rowOff>113540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A0F4C850-FEB5-4586-8C07-4255BAF3B83B}"/>
            </a:ext>
          </a:extLst>
        </xdr:cNvPr>
        <xdr:cNvGrpSpPr/>
      </xdr:nvGrpSpPr>
      <xdr:grpSpPr>
        <a:xfrm>
          <a:off x="10394716" y="15249907"/>
          <a:ext cx="1024696" cy="634312"/>
          <a:chOff x="7113625" y="2892425"/>
          <a:chExt cx="914621" cy="583743"/>
        </a:xfrm>
      </xdr:grpSpPr>
      <xdr:sp macro="" textlink="">
        <xdr:nvSpPr>
          <xdr:cNvPr id="19" name="フローチャート: 磁気ディスク 18">
            <a:extLst>
              <a:ext uri="{FF2B5EF4-FFF2-40B4-BE49-F238E27FC236}">
                <a16:creationId xmlns:a16="http://schemas.microsoft.com/office/drawing/2014/main" id="{2D40FBD7-CF79-BE0A-449C-4E22069729B7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AE435F44-D2B3-E9BE-989F-AAB8EA8B3650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51</xdr:col>
      <xdr:colOff>4</xdr:colOff>
      <xdr:row>83</xdr:row>
      <xdr:rowOff>145204</xdr:rowOff>
    </xdr:from>
    <xdr:to>
      <xdr:col>56</xdr:col>
      <xdr:colOff>1565</xdr:colOff>
      <xdr:row>87</xdr:row>
      <xdr:rowOff>54258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C05B164-185B-45DB-B70E-4FB9E8128EC5}"/>
            </a:ext>
          </a:extLst>
        </xdr:cNvPr>
        <xdr:cNvGrpSpPr/>
      </xdr:nvGrpSpPr>
      <xdr:grpSpPr>
        <a:xfrm>
          <a:off x="10409468" y="14852620"/>
          <a:ext cx="1022097" cy="622341"/>
          <a:chOff x="7113625" y="2892425"/>
          <a:chExt cx="914621" cy="583743"/>
        </a:xfrm>
      </xdr:grpSpPr>
      <xdr:sp macro="" textlink="">
        <xdr:nvSpPr>
          <xdr:cNvPr id="22" name="フローチャート: 磁気ディスク 21">
            <a:extLst>
              <a:ext uri="{FF2B5EF4-FFF2-40B4-BE49-F238E27FC236}">
                <a16:creationId xmlns:a16="http://schemas.microsoft.com/office/drawing/2014/main" id="{C4B3CA31-0A20-7653-32BD-76F4109A6737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FBD011FC-2432-8060-B8E9-C7FDBC226B77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</xdr:txBody>
      </xdr:sp>
    </xdr:grpSp>
    <xdr:clientData/>
  </xdr:twoCellAnchor>
  <xdr:twoCellAnchor>
    <xdr:from>
      <xdr:col>42</xdr:col>
      <xdr:colOff>98370</xdr:colOff>
      <xdr:row>85</xdr:row>
      <xdr:rowOff>73923</xdr:rowOff>
    </xdr:from>
    <xdr:to>
      <xdr:col>51</xdr:col>
      <xdr:colOff>95039</xdr:colOff>
      <xdr:row>85</xdr:row>
      <xdr:rowOff>74739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31E45A6-35B5-4C7C-88DC-8CBEA2A69F90}"/>
            </a:ext>
          </a:extLst>
        </xdr:cNvPr>
        <xdr:cNvCxnSpPr>
          <a:cxnSpLocks/>
          <a:stCxn id="22" idx="2"/>
          <a:endCxn id="60" idx="3"/>
        </xdr:cNvCxnSpPr>
      </xdr:nvCxnSpPr>
      <xdr:spPr>
        <a:xfrm flipH="1">
          <a:off x="8499420" y="14837673"/>
          <a:ext cx="396719" cy="816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47217</xdr:colOff>
      <xdr:row>108</xdr:row>
      <xdr:rowOff>47656</xdr:rowOff>
    </xdr:from>
    <xdr:to>
      <xdr:col>58</xdr:col>
      <xdr:colOff>160470</xdr:colOff>
      <xdr:row>108</xdr:row>
      <xdr:rowOff>52368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1A5AE54C-AD0B-460F-9B52-C0E571C93867}"/>
            </a:ext>
          </a:extLst>
        </xdr:cNvPr>
        <xdr:cNvCxnSpPr>
          <a:cxnSpLocks/>
          <a:stCxn id="75" idx="3"/>
          <a:endCxn id="27" idx="2"/>
        </xdr:cNvCxnSpPr>
      </xdr:nvCxnSpPr>
      <xdr:spPr>
        <a:xfrm flipV="1">
          <a:off x="8451442" y="18751581"/>
          <a:ext cx="1913478" cy="471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60232</xdr:colOff>
      <xdr:row>106</xdr:row>
      <xdr:rowOff>112056</xdr:rowOff>
    </xdr:from>
    <xdr:to>
      <xdr:col>63</xdr:col>
      <xdr:colOff>64968</xdr:colOff>
      <xdr:row>110</xdr:row>
      <xdr:rowOff>27370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9CC9B8DE-F312-40EF-AF78-319374B61C78}"/>
            </a:ext>
          </a:extLst>
        </xdr:cNvPr>
        <xdr:cNvGrpSpPr/>
      </xdr:nvGrpSpPr>
      <xdr:grpSpPr>
        <a:xfrm>
          <a:off x="11894636" y="18889913"/>
          <a:ext cx="1027177" cy="620981"/>
          <a:chOff x="7113625" y="2892425"/>
          <a:chExt cx="914621" cy="583743"/>
        </a:xfrm>
      </xdr:grpSpPr>
      <xdr:sp macro="" textlink="">
        <xdr:nvSpPr>
          <xdr:cNvPr id="27" name="フローチャート: 磁気ディスク 26">
            <a:extLst>
              <a:ext uri="{FF2B5EF4-FFF2-40B4-BE49-F238E27FC236}">
                <a16:creationId xmlns:a16="http://schemas.microsoft.com/office/drawing/2014/main" id="{0BB8AFD1-2B69-1619-D667-2D21206D8BB4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EFE766A0-3E6D-1D10-196D-37EF37662A3D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</a:p>
        </xdr:txBody>
      </xdr:sp>
    </xdr:grpSp>
    <xdr:clientData/>
  </xdr:twoCellAnchor>
  <xdr:twoCellAnchor>
    <xdr:from>
      <xdr:col>42</xdr:col>
      <xdr:colOff>30781</xdr:colOff>
      <xdr:row>115</xdr:row>
      <xdr:rowOff>20278</xdr:rowOff>
    </xdr:from>
    <xdr:to>
      <xdr:col>58</xdr:col>
      <xdr:colOff>190619</xdr:colOff>
      <xdr:row>115</xdr:row>
      <xdr:rowOff>22568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FECC7EC1-7952-48C4-ADCF-219533595A01}"/>
            </a:ext>
          </a:extLst>
        </xdr:cNvPr>
        <xdr:cNvCxnSpPr>
          <a:cxnSpLocks/>
          <a:stCxn id="88" idx="3"/>
          <a:endCxn id="31" idx="2"/>
        </xdr:cNvCxnSpPr>
      </xdr:nvCxnSpPr>
      <xdr:spPr>
        <a:xfrm>
          <a:off x="8428656" y="19927528"/>
          <a:ext cx="1963238" cy="546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86892</xdr:colOff>
      <xdr:row>113</xdr:row>
      <xdr:rowOff>84608</xdr:rowOff>
    </xdr:from>
    <xdr:to>
      <xdr:col>63</xdr:col>
      <xdr:colOff>94803</xdr:colOff>
      <xdr:row>117</xdr:row>
      <xdr:rowOff>7672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BA2CF946-915C-4B6A-B8A5-52825FA9865B}"/>
            </a:ext>
          </a:extLst>
        </xdr:cNvPr>
        <xdr:cNvGrpSpPr/>
      </xdr:nvGrpSpPr>
      <xdr:grpSpPr>
        <a:xfrm>
          <a:off x="11927011" y="20102620"/>
          <a:ext cx="1030352" cy="630636"/>
          <a:chOff x="7113625" y="2892425"/>
          <a:chExt cx="914621" cy="583743"/>
        </a:xfrm>
      </xdr:grpSpPr>
      <xdr:sp macro="" textlink="">
        <xdr:nvSpPr>
          <xdr:cNvPr id="31" name="フローチャート: 磁気ディスク 30">
            <a:extLst>
              <a:ext uri="{FF2B5EF4-FFF2-40B4-BE49-F238E27FC236}">
                <a16:creationId xmlns:a16="http://schemas.microsoft.com/office/drawing/2014/main" id="{32DFFADF-BDF2-77EA-E099-B2E80F7ACFF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7B132E02-EE97-F2C0-E999-72D3CE39A7AE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</a:rPr>
              <a:t>楽楽精算</a:t>
            </a:r>
            <a:endParaRPr kumimoji="1" lang="en-US" altLang="ja-JP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29</xdr:col>
      <xdr:colOff>123825</xdr:colOff>
      <xdr:row>35</xdr:row>
      <xdr:rowOff>9525</xdr:rowOff>
    </xdr:from>
    <xdr:to>
      <xdr:col>35</xdr:col>
      <xdr:colOff>105463</xdr:colOff>
      <xdr:row>38</xdr:row>
      <xdr:rowOff>26856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677C022D-7A44-4275-98CF-B28324ED5F43}"/>
            </a:ext>
          </a:extLst>
        </xdr:cNvPr>
        <xdr:cNvGrpSpPr/>
      </xdr:nvGrpSpPr>
      <xdr:grpSpPr>
        <a:xfrm>
          <a:off x="6044837" y="6229894"/>
          <a:ext cx="1202471" cy="544200"/>
          <a:chOff x="1580728" y="2457449"/>
          <a:chExt cx="1013466" cy="381718"/>
        </a:xfrm>
      </xdr:grpSpPr>
      <xdr:sp macro="" textlink="">
        <xdr:nvSpPr>
          <xdr:cNvPr id="38" name="フローチャート: 定義済み処理 37">
            <a:extLst>
              <a:ext uri="{FF2B5EF4-FFF2-40B4-BE49-F238E27FC236}">
                <a16:creationId xmlns:a16="http://schemas.microsoft.com/office/drawing/2014/main" id="{6A2E9758-4C35-6CC1-6A68-7BC0AA14A44D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9" name="正方形/長方形 48">
            <a:extLst>
              <a:ext uri="{FF2B5EF4-FFF2-40B4-BE49-F238E27FC236}">
                <a16:creationId xmlns:a16="http://schemas.microsoft.com/office/drawing/2014/main" id="{DFBD1CEC-D07A-2AA9-C969-C648112F5935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登録内容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確認・承認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24</xdr:col>
      <xdr:colOff>198242</xdr:colOff>
      <xdr:row>32</xdr:row>
      <xdr:rowOff>97201</xdr:rowOff>
    </xdr:from>
    <xdr:to>
      <xdr:col>32</xdr:col>
      <xdr:colOff>120364</xdr:colOff>
      <xdr:row>35</xdr:row>
      <xdr:rowOff>9525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BD3305E3-421F-4808-9996-89F39B818DC2}"/>
            </a:ext>
          </a:extLst>
        </xdr:cNvPr>
        <xdr:cNvCxnSpPr>
          <a:cxnSpLocks/>
          <a:stCxn id="7" idx="2"/>
          <a:endCxn id="38" idx="0"/>
        </xdr:cNvCxnSpPr>
      </xdr:nvCxnSpPr>
      <xdr:spPr>
        <a:xfrm rot="16200000" flipH="1">
          <a:off x="5551428" y="5053240"/>
          <a:ext cx="423499" cy="152232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65932</xdr:colOff>
      <xdr:row>141</xdr:row>
      <xdr:rowOff>125692</xdr:rowOff>
    </xdr:from>
    <xdr:to>
      <xdr:col>56</xdr:col>
      <xdr:colOff>67493</xdr:colOff>
      <xdr:row>145</xdr:row>
      <xdr:rowOff>49971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5B4613CC-1D79-4E48-B976-DFC230CAA969}"/>
            </a:ext>
          </a:extLst>
        </xdr:cNvPr>
        <xdr:cNvGrpSpPr/>
      </xdr:nvGrpSpPr>
      <xdr:grpSpPr>
        <a:xfrm>
          <a:off x="10473491" y="25096704"/>
          <a:ext cx="1022097" cy="633756"/>
          <a:chOff x="7113625" y="2892425"/>
          <a:chExt cx="914621" cy="583743"/>
        </a:xfrm>
      </xdr:grpSpPr>
      <xdr:sp macro="" textlink="">
        <xdr:nvSpPr>
          <xdr:cNvPr id="43" name="フローチャート: 磁気ディスク 42">
            <a:extLst>
              <a:ext uri="{FF2B5EF4-FFF2-40B4-BE49-F238E27FC236}">
                <a16:creationId xmlns:a16="http://schemas.microsoft.com/office/drawing/2014/main" id="{D4E4B4D1-E904-C4B3-AC0E-A3EDC1F80D3E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80BAD61F-74A7-2270-24CC-C09E9CE65FE8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51</xdr:col>
      <xdr:colOff>56033</xdr:colOff>
      <xdr:row>139</xdr:row>
      <xdr:rowOff>25586</xdr:rowOff>
    </xdr:from>
    <xdr:to>
      <xdr:col>56</xdr:col>
      <xdr:colOff>63944</xdr:colOff>
      <xdr:row>142</xdr:row>
      <xdr:rowOff>122249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8620ED57-9435-42D6-B030-1EF036367536}"/>
            </a:ext>
          </a:extLst>
        </xdr:cNvPr>
        <xdr:cNvGrpSpPr/>
      </xdr:nvGrpSpPr>
      <xdr:grpSpPr>
        <a:xfrm>
          <a:off x="10469307" y="24637097"/>
          <a:ext cx="1020827" cy="633057"/>
          <a:chOff x="7113625" y="2892425"/>
          <a:chExt cx="914621" cy="583743"/>
        </a:xfrm>
      </xdr:grpSpPr>
      <xdr:sp macro="" textlink="">
        <xdr:nvSpPr>
          <xdr:cNvPr id="46" name="フローチャート: 磁気ディスク 45">
            <a:extLst>
              <a:ext uri="{FF2B5EF4-FFF2-40B4-BE49-F238E27FC236}">
                <a16:creationId xmlns:a16="http://schemas.microsoft.com/office/drawing/2014/main" id="{8A161C84-AD8F-C897-A664-6DD25493279F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F8DEA560-ABB9-1567-123D-E33AA5CB3A7C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</xdr:txBody>
      </xdr:sp>
    </xdr:grpSp>
    <xdr:clientData/>
  </xdr:twoCellAnchor>
  <xdr:twoCellAnchor>
    <xdr:from>
      <xdr:col>41</xdr:col>
      <xdr:colOff>182516</xdr:colOff>
      <xdr:row>140</xdr:row>
      <xdr:rowOff>138274</xdr:rowOff>
    </xdr:from>
    <xdr:to>
      <xdr:col>51</xdr:col>
      <xdr:colOff>153172</xdr:colOff>
      <xdr:row>140</xdr:row>
      <xdr:rowOff>148886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7397B98F-D64A-45E4-A482-13F7D15871E5}"/>
            </a:ext>
          </a:extLst>
        </xdr:cNvPr>
        <xdr:cNvCxnSpPr>
          <a:cxnSpLocks/>
          <a:stCxn id="46" idx="2"/>
          <a:endCxn id="125" idx="3"/>
        </xdr:cNvCxnSpPr>
      </xdr:nvCxnSpPr>
      <xdr:spPr>
        <a:xfrm flipH="1">
          <a:off x="8380366" y="28106849"/>
          <a:ext cx="573906" cy="426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37353</xdr:colOff>
      <xdr:row>152</xdr:row>
      <xdr:rowOff>103608</xdr:rowOff>
    </xdr:from>
    <xdr:to>
      <xdr:col>63</xdr:col>
      <xdr:colOff>48439</xdr:colOff>
      <xdr:row>156</xdr:row>
      <xdr:rowOff>31061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2E2853A3-6F0B-4289-98E3-C0C5F8771924}"/>
            </a:ext>
          </a:extLst>
        </xdr:cNvPr>
        <xdr:cNvGrpSpPr/>
      </xdr:nvGrpSpPr>
      <xdr:grpSpPr>
        <a:xfrm>
          <a:off x="11875567" y="27016632"/>
          <a:ext cx="1033527" cy="635024"/>
          <a:chOff x="7113625" y="2892425"/>
          <a:chExt cx="914621" cy="583743"/>
        </a:xfrm>
      </xdr:grpSpPr>
      <xdr:sp macro="" textlink="">
        <xdr:nvSpPr>
          <xdr:cNvPr id="50" name="フローチャート: 磁気ディスク 49">
            <a:extLst>
              <a:ext uri="{FF2B5EF4-FFF2-40B4-BE49-F238E27FC236}">
                <a16:creationId xmlns:a16="http://schemas.microsoft.com/office/drawing/2014/main" id="{9BE12A15-D01A-30C3-EE9E-4BBBDE03C83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92C6D2F9-B740-B4D0-C98F-AE2A1DDD4192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</a:rPr>
              <a:t>楽楽精算</a:t>
            </a:r>
            <a:endParaRPr kumimoji="1" lang="en-US" altLang="ja-JP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41</xdr:col>
      <xdr:colOff>172814</xdr:colOff>
      <xdr:row>154</xdr:row>
      <xdr:rowOff>27048</xdr:rowOff>
    </xdr:from>
    <xdr:to>
      <xdr:col>58</xdr:col>
      <xdr:colOff>138219</xdr:colOff>
      <xdr:row>154</xdr:row>
      <xdr:rowOff>43585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BAB18079-F32D-4ACA-8825-621C60D69C9D}"/>
            </a:ext>
          </a:extLst>
        </xdr:cNvPr>
        <xdr:cNvCxnSpPr>
          <a:cxnSpLocks/>
          <a:stCxn id="138" idx="3"/>
          <a:endCxn id="50" idx="2"/>
        </xdr:cNvCxnSpPr>
      </xdr:nvCxnSpPr>
      <xdr:spPr>
        <a:xfrm>
          <a:off x="8373839" y="30395923"/>
          <a:ext cx="1968830" cy="1653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140820</xdr:colOff>
      <xdr:row>181</xdr:row>
      <xdr:rowOff>122516</xdr:rowOff>
    </xdr:from>
    <xdr:to>
      <xdr:col>55</xdr:col>
      <xdr:colOff>144436</xdr:colOff>
      <xdr:row>185</xdr:row>
      <xdr:rowOff>12243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83B6E475-3B75-4B58-87F5-9B89B407938A}"/>
            </a:ext>
          </a:extLst>
        </xdr:cNvPr>
        <xdr:cNvGrpSpPr/>
      </xdr:nvGrpSpPr>
      <xdr:grpSpPr>
        <a:xfrm>
          <a:off x="10342367" y="32169242"/>
          <a:ext cx="1026057" cy="599204"/>
          <a:chOff x="7113625" y="2892425"/>
          <a:chExt cx="914621" cy="594025"/>
        </a:xfrm>
      </xdr:grpSpPr>
      <xdr:sp macro="" textlink="">
        <xdr:nvSpPr>
          <xdr:cNvPr id="54" name="フローチャート: 磁気ディスク 53">
            <a:extLst>
              <a:ext uri="{FF2B5EF4-FFF2-40B4-BE49-F238E27FC236}">
                <a16:creationId xmlns:a16="http://schemas.microsoft.com/office/drawing/2014/main" id="{3E166BEB-3C3A-94CF-2DD7-77E505EB7CB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F0631B7A-77AC-26A5-7063-BE21223E2202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11</xdr:col>
      <xdr:colOff>159013</xdr:colOff>
      <xdr:row>165</xdr:row>
      <xdr:rowOff>74955</xdr:rowOff>
    </xdr:from>
    <xdr:to>
      <xdr:col>11</xdr:col>
      <xdr:colOff>160237</xdr:colOff>
      <xdr:row>167</xdr:row>
      <xdr:rowOff>167290</xdr:rowOff>
    </xdr:to>
    <xdr:cxnSp macro="">
      <xdr:nvCxnSpPr>
        <xdr:cNvPr id="56" name="直線矢印コネクタ 27">
          <a:extLst>
            <a:ext uri="{FF2B5EF4-FFF2-40B4-BE49-F238E27FC236}">
              <a16:creationId xmlns:a16="http://schemas.microsoft.com/office/drawing/2014/main" id="{74A571AB-1357-4AD5-A070-041EB7FE4AED}"/>
            </a:ext>
          </a:extLst>
        </xdr:cNvPr>
        <xdr:cNvCxnSpPr>
          <a:cxnSpLocks/>
          <a:stCxn id="17" idx="2"/>
          <a:endCxn id="196" idx="0"/>
        </xdr:cNvCxnSpPr>
      </xdr:nvCxnSpPr>
      <xdr:spPr>
        <a:xfrm>
          <a:off x="2362463" y="32326605"/>
          <a:ext cx="1224" cy="43206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194690</xdr:colOff>
      <xdr:row>183</xdr:row>
      <xdr:rowOff>39549</xdr:rowOff>
    </xdr:from>
    <xdr:to>
      <xdr:col>51</xdr:col>
      <xdr:colOff>40058</xdr:colOff>
      <xdr:row>183</xdr:row>
      <xdr:rowOff>98935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9C2C4DC7-FDA2-44E8-9DE2-B18934B845AB}"/>
            </a:ext>
          </a:extLst>
        </xdr:cNvPr>
        <xdr:cNvCxnSpPr>
          <a:cxnSpLocks/>
          <a:stCxn id="142" idx="3"/>
          <a:endCxn id="54" idx="2"/>
        </xdr:cNvCxnSpPr>
      </xdr:nvCxnSpPr>
      <xdr:spPr>
        <a:xfrm flipV="1">
          <a:off x="5598540" y="35377299"/>
          <a:ext cx="3242618" cy="6256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45198</xdr:colOff>
      <xdr:row>81</xdr:row>
      <xdr:rowOff>28761</xdr:rowOff>
    </xdr:from>
    <xdr:to>
      <xdr:col>41</xdr:col>
      <xdr:colOff>132011</xdr:colOff>
      <xdr:row>82</xdr:row>
      <xdr:rowOff>85040</xdr:rowOff>
    </xdr:to>
    <xdr:sp macro="" textlink="">
      <xdr:nvSpPr>
        <xdr:cNvPr id="58" name="フローチャート: 端子 57">
          <a:extLst>
            <a:ext uri="{FF2B5EF4-FFF2-40B4-BE49-F238E27FC236}">
              <a16:creationId xmlns:a16="http://schemas.microsoft.com/office/drawing/2014/main" id="{58DF0299-FCF4-41CF-891F-8BCA48763D8F}"/>
            </a:ext>
          </a:extLst>
        </xdr:cNvPr>
        <xdr:cNvSpPr/>
      </xdr:nvSpPr>
      <xdr:spPr>
        <a:xfrm>
          <a:off x="7649323" y="14103536"/>
          <a:ext cx="683713" cy="23407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181349</xdr:colOff>
      <xdr:row>83</xdr:row>
      <xdr:rowOff>164921</xdr:rowOff>
    </xdr:from>
    <xdr:to>
      <xdr:col>42</xdr:col>
      <xdr:colOff>154045</xdr:colOff>
      <xdr:row>86</xdr:row>
      <xdr:rowOff>120977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B6469D0E-C071-407E-B86C-7906F87513FB}"/>
            </a:ext>
          </a:extLst>
        </xdr:cNvPr>
        <xdr:cNvGrpSpPr/>
      </xdr:nvGrpSpPr>
      <xdr:grpSpPr>
        <a:xfrm>
          <a:off x="7527301" y="14878052"/>
          <a:ext cx="1199244" cy="484830"/>
          <a:chOff x="1612900" y="2427475"/>
          <a:chExt cx="933032" cy="404625"/>
        </a:xfrm>
      </xdr:grpSpPr>
      <xdr:sp macro="" textlink="">
        <xdr:nvSpPr>
          <xdr:cNvPr id="60" name="フローチャート: 定義済み処理 59">
            <a:extLst>
              <a:ext uri="{FF2B5EF4-FFF2-40B4-BE49-F238E27FC236}">
                <a16:creationId xmlns:a16="http://schemas.microsoft.com/office/drawing/2014/main" id="{BC2B934D-4FF0-37A5-795B-0CF5BE1598F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122EE3B7-DED4-0AE7-0D28-EDE4A62EABC3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預り金情報抽出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168533</xdr:colOff>
      <xdr:row>86</xdr:row>
      <xdr:rowOff>118929</xdr:rowOff>
    </xdr:from>
    <xdr:to>
      <xdr:col>39</xdr:col>
      <xdr:colOff>169286</xdr:colOff>
      <xdr:row>90</xdr:row>
      <xdr:rowOff>40186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45559DAD-F18E-4223-B11A-CD780AB89644}"/>
            </a:ext>
          </a:extLst>
        </xdr:cNvPr>
        <xdr:cNvCxnSpPr>
          <a:cxnSpLocks/>
          <a:stCxn id="61" idx="2"/>
          <a:endCxn id="65" idx="0"/>
        </xdr:cNvCxnSpPr>
      </xdr:nvCxnSpPr>
      <xdr:spPr>
        <a:xfrm rot="5400000">
          <a:off x="7667944" y="15358868"/>
          <a:ext cx="603882" cy="75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27080</xdr:colOff>
      <xdr:row>90</xdr:row>
      <xdr:rowOff>0</xdr:rowOff>
    </xdr:from>
    <xdr:to>
      <xdr:col>42</xdr:col>
      <xdr:colOff>111452</xdr:colOff>
      <xdr:row>92</xdr:row>
      <xdr:rowOff>130549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2E56FDE4-4AE5-4541-B981-42D5A9089EF3}"/>
            </a:ext>
          </a:extLst>
        </xdr:cNvPr>
        <xdr:cNvGrpSpPr/>
      </xdr:nvGrpSpPr>
      <xdr:grpSpPr>
        <a:xfrm>
          <a:off x="7577139" y="15947571"/>
          <a:ext cx="1106813" cy="488145"/>
          <a:chOff x="1612900" y="2457450"/>
          <a:chExt cx="933032" cy="374650"/>
        </a:xfrm>
      </xdr:grpSpPr>
      <xdr:sp macro="" textlink="">
        <xdr:nvSpPr>
          <xdr:cNvPr id="64" name="フローチャート: 処理 63">
            <a:extLst>
              <a:ext uri="{FF2B5EF4-FFF2-40B4-BE49-F238E27FC236}">
                <a16:creationId xmlns:a16="http://schemas.microsoft.com/office/drawing/2014/main" id="{2D8C24A4-6803-75D6-05B6-E847855581A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5" name="正方形/長方形 48">
            <a:extLst>
              <a:ext uri="{FF2B5EF4-FFF2-40B4-BE49-F238E27FC236}">
                <a16:creationId xmlns:a16="http://schemas.microsoft.com/office/drawing/2014/main" id="{22930728-D155-8CFB-5519-7FBDE0DE1785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預り金台帳作成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40</xdr:col>
      <xdr:colOff>105519</xdr:colOff>
      <xdr:row>92</xdr:row>
      <xdr:rowOff>36793</xdr:rowOff>
    </xdr:from>
    <xdr:to>
      <xdr:col>44</xdr:col>
      <xdr:colOff>63500</xdr:colOff>
      <xdr:row>94</xdr:row>
      <xdr:rowOff>56216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3F0444F0-B865-4300-BC2C-78936D97C662}"/>
            </a:ext>
          </a:extLst>
        </xdr:cNvPr>
        <xdr:cNvGrpSpPr>
          <a:grpSpLocks noChangeAspect="1"/>
        </xdr:cNvGrpSpPr>
      </xdr:nvGrpSpPr>
      <xdr:grpSpPr>
        <a:xfrm>
          <a:off x="8267900" y="16338150"/>
          <a:ext cx="772504" cy="377019"/>
          <a:chOff x="2791278" y="18514786"/>
          <a:chExt cx="773793" cy="417285"/>
        </a:xfrm>
      </xdr:grpSpPr>
      <xdr:sp macro="" textlink="">
        <xdr:nvSpPr>
          <xdr:cNvPr id="67" name="フローチャート: 書類 66">
            <a:extLst>
              <a:ext uri="{FF2B5EF4-FFF2-40B4-BE49-F238E27FC236}">
                <a16:creationId xmlns:a16="http://schemas.microsoft.com/office/drawing/2014/main" id="{8E1CC83B-0DBB-8543-F3C5-C43DF80CF68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DE52353-6FBF-E5AC-B98A-42AE3342732E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預り金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38</xdr:col>
      <xdr:colOff>38287</xdr:colOff>
      <xdr:row>99</xdr:row>
      <xdr:rowOff>8031</xdr:rowOff>
    </xdr:from>
    <xdr:to>
      <xdr:col>41</xdr:col>
      <xdr:colOff>128275</xdr:colOff>
      <xdr:row>100</xdr:row>
      <xdr:rowOff>38909</xdr:rowOff>
    </xdr:to>
    <xdr:sp macro="" textlink="">
      <xdr:nvSpPr>
        <xdr:cNvPr id="69" name="フローチャート: 端子 68">
          <a:extLst>
            <a:ext uri="{FF2B5EF4-FFF2-40B4-BE49-F238E27FC236}">
              <a16:creationId xmlns:a16="http://schemas.microsoft.com/office/drawing/2014/main" id="{A5CE83B5-3B6E-40FF-B3BA-4B588F959585}"/>
            </a:ext>
          </a:extLst>
        </xdr:cNvPr>
        <xdr:cNvSpPr/>
      </xdr:nvSpPr>
      <xdr:spPr>
        <a:xfrm>
          <a:off x="7639237" y="17175256"/>
          <a:ext cx="686888" cy="19915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39</xdr:col>
      <xdr:colOff>185609</xdr:colOff>
      <xdr:row>82</xdr:row>
      <xdr:rowOff>85039</xdr:rowOff>
    </xdr:from>
    <xdr:to>
      <xdr:col>39</xdr:col>
      <xdr:colOff>189459</xdr:colOff>
      <xdr:row>84</xdr:row>
      <xdr:rowOff>25323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9ACC9D37-853A-4D87-BEA2-2115D6DFD272}"/>
            </a:ext>
          </a:extLst>
        </xdr:cNvPr>
        <xdr:cNvCxnSpPr>
          <a:cxnSpLocks/>
          <a:stCxn id="58" idx="2"/>
          <a:endCxn id="60" idx="0"/>
        </xdr:cNvCxnSpPr>
      </xdr:nvCxnSpPr>
      <xdr:spPr>
        <a:xfrm rot="5400000">
          <a:off x="7845330" y="14475693"/>
          <a:ext cx="283184" cy="702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178812</xdr:colOff>
      <xdr:row>92</xdr:row>
      <xdr:rowOff>130549</xdr:rowOff>
    </xdr:from>
    <xdr:to>
      <xdr:col>39</xdr:col>
      <xdr:colOff>181897</xdr:colOff>
      <xdr:row>99</xdr:row>
      <xdr:rowOff>11206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EC5BA52A-05F5-4579-A512-B515B95E2484}"/>
            </a:ext>
          </a:extLst>
        </xdr:cNvPr>
        <xdr:cNvCxnSpPr>
          <a:cxnSpLocks/>
          <a:stCxn id="64" idx="2"/>
          <a:endCxn id="69" idx="0"/>
        </xdr:cNvCxnSpPr>
      </xdr:nvCxnSpPr>
      <xdr:spPr>
        <a:xfrm rot="5400000">
          <a:off x="7442515" y="16634896"/>
          <a:ext cx="1077630" cy="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132605</xdr:colOff>
      <xdr:row>104</xdr:row>
      <xdr:rowOff>22411</xdr:rowOff>
    </xdr:from>
    <xdr:to>
      <xdr:col>41</xdr:col>
      <xdr:colOff>25183</xdr:colOff>
      <xdr:row>105</xdr:row>
      <xdr:rowOff>78690</xdr:rowOff>
    </xdr:to>
    <xdr:sp macro="" textlink="">
      <xdr:nvSpPr>
        <xdr:cNvPr id="72" name="フローチャート: 端子 71">
          <a:extLst>
            <a:ext uri="{FF2B5EF4-FFF2-40B4-BE49-F238E27FC236}">
              <a16:creationId xmlns:a16="http://schemas.microsoft.com/office/drawing/2014/main" id="{13C2A7C3-ABC4-4EFF-801E-262D06A5132C}"/>
            </a:ext>
          </a:extLst>
        </xdr:cNvPr>
        <xdr:cNvSpPr/>
      </xdr:nvSpPr>
      <xdr:spPr>
        <a:xfrm>
          <a:off x="7533530" y="18046886"/>
          <a:ext cx="695853" cy="22455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84046</xdr:colOff>
      <xdr:row>106</xdr:row>
      <xdr:rowOff>161746</xdr:rowOff>
    </xdr:from>
    <xdr:to>
      <xdr:col>42</xdr:col>
      <xdr:colOff>47217</xdr:colOff>
      <xdr:row>109</xdr:row>
      <xdr:rowOff>114627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CD6C43F1-05F4-4577-9527-C87F7057BCA7}"/>
            </a:ext>
          </a:extLst>
        </xdr:cNvPr>
        <xdr:cNvGrpSpPr/>
      </xdr:nvGrpSpPr>
      <xdr:grpSpPr>
        <a:xfrm>
          <a:off x="7433808" y="18941508"/>
          <a:ext cx="1187814" cy="481655"/>
          <a:chOff x="1612900" y="2427475"/>
          <a:chExt cx="933032" cy="404625"/>
        </a:xfrm>
      </xdr:grpSpPr>
      <xdr:sp macro="" textlink="">
        <xdr:nvSpPr>
          <xdr:cNvPr id="74" name="フローチャート: 定義済み処理 73">
            <a:extLst>
              <a:ext uri="{FF2B5EF4-FFF2-40B4-BE49-F238E27FC236}">
                <a16:creationId xmlns:a16="http://schemas.microsoft.com/office/drawing/2014/main" id="{B20FCEEC-B4FF-145B-7924-8163DA906AB5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D8A429C8-1264-FE30-75F0-9AABB86328DF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預り金登録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62457</xdr:colOff>
      <xdr:row>109</xdr:row>
      <xdr:rowOff>109473</xdr:rowOff>
    </xdr:from>
    <xdr:to>
      <xdr:col>39</xdr:col>
      <xdr:colOff>70150</xdr:colOff>
      <xdr:row>113</xdr:row>
      <xdr:rowOff>163522</xdr:rowOff>
    </xdr:to>
    <xdr:cxnSp macro="">
      <xdr:nvCxnSpPr>
        <xdr:cNvPr id="76" name="コネクタ: カギ線 75">
          <a:extLst>
            <a:ext uri="{FF2B5EF4-FFF2-40B4-BE49-F238E27FC236}">
              <a16:creationId xmlns:a16="http://schemas.microsoft.com/office/drawing/2014/main" id="{68ED6083-DD75-4AC2-911D-3373BD83D7EE}"/>
            </a:ext>
          </a:extLst>
        </xdr:cNvPr>
        <xdr:cNvCxnSpPr>
          <a:cxnSpLocks/>
          <a:stCxn id="75" idx="2"/>
          <a:endCxn id="87" idx="0"/>
        </xdr:cNvCxnSpPr>
      </xdr:nvCxnSpPr>
      <xdr:spPr>
        <a:xfrm rot="16200000" flipH="1">
          <a:off x="7497354" y="19354101"/>
          <a:ext cx="739849" cy="134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103011</xdr:colOff>
      <xdr:row>120</xdr:row>
      <xdr:rowOff>124323</xdr:rowOff>
    </xdr:from>
    <xdr:to>
      <xdr:col>42</xdr:col>
      <xdr:colOff>58</xdr:colOff>
      <xdr:row>123</xdr:row>
      <xdr:rowOff>89772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22ECE57F-17B8-4B2B-ACE0-8F47A4D2ECE9}"/>
            </a:ext>
          </a:extLst>
        </xdr:cNvPr>
        <xdr:cNvGrpSpPr/>
      </xdr:nvGrpSpPr>
      <xdr:grpSpPr>
        <a:xfrm>
          <a:off x="7448963" y="21380585"/>
          <a:ext cx="1123595" cy="498033"/>
          <a:chOff x="1612900" y="2457450"/>
          <a:chExt cx="933032" cy="374650"/>
        </a:xfrm>
      </xdr:grpSpPr>
      <xdr:sp macro="" textlink="">
        <xdr:nvSpPr>
          <xdr:cNvPr id="78" name="フローチャート: 処理 77">
            <a:extLst>
              <a:ext uri="{FF2B5EF4-FFF2-40B4-BE49-F238E27FC236}">
                <a16:creationId xmlns:a16="http://schemas.microsoft.com/office/drawing/2014/main" id="{F198C527-9152-450B-C529-908E07F03E3C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9" name="正方形/長方形 48">
            <a:extLst>
              <a:ext uri="{FF2B5EF4-FFF2-40B4-BE49-F238E27FC236}">
                <a16:creationId xmlns:a16="http://schemas.microsoft.com/office/drawing/2014/main" id="{EAFDE91C-CBCC-EC4F-9E0D-5B7DE33A918F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預り金台帳更新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183963</xdr:colOff>
      <xdr:row>123</xdr:row>
      <xdr:rowOff>27268</xdr:rowOff>
    </xdr:from>
    <xdr:to>
      <xdr:col>43</xdr:col>
      <xdr:colOff>117929</xdr:colOff>
      <xdr:row>125</xdr:row>
      <xdr:rowOff>46691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559FCBFF-E436-4128-B259-F31A3E4FAEA4}"/>
            </a:ext>
          </a:extLst>
        </xdr:cNvPr>
        <xdr:cNvGrpSpPr>
          <a:grpSpLocks noChangeAspect="1"/>
        </xdr:cNvGrpSpPr>
      </xdr:nvGrpSpPr>
      <xdr:grpSpPr>
        <a:xfrm>
          <a:off x="8142237" y="21810399"/>
          <a:ext cx="752299" cy="377018"/>
          <a:chOff x="2791278" y="18514786"/>
          <a:chExt cx="773793" cy="417285"/>
        </a:xfrm>
      </xdr:grpSpPr>
      <xdr:sp macro="" textlink="">
        <xdr:nvSpPr>
          <xdr:cNvPr id="81" name="フローチャート: 書類 80">
            <a:extLst>
              <a:ext uri="{FF2B5EF4-FFF2-40B4-BE49-F238E27FC236}">
                <a16:creationId xmlns:a16="http://schemas.microsoft.com/office/drawing/2014/main" id="{29CA9086-A26E-C128-208A-1973CECA0519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F51EC5D9-0468-841C-73EF-D20412179F0A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預り金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37</xdr:col>
      <xdr:colOff>109518</xdr:colOff>
      <xdr:row>129</xdr:row>
      <xdr:rowOff>97391</xdr:rowOff>
    </xdr:from>
    <xdr:to>
      <xdr:col>41</xdr:col>
      <xdr:colOff>7309</xdr:colOff>
      <xdr:row>130</xdr:row>
      <xdr:rowOff>118744</xdr:rowOff>
    </xdr:to>
    <xdr:sp macro="" textlink="">
      <xdr:nvSpPr>
        <xdr:cNvPr id="83" name="フローチャート: 端子 82">
          <a:extLst>
            <a:ext uri="{FF2B5EF4-FFF2-40B4-BE49-F238E27FC236}">
              <a16:creationId xmlns:a16="http://schemas.microsoft.com/office/drawing/2014/main" id="{DE2FD631-BE81-4DD7-A4DF-C550953F4B84}"/>
            </a:ext>
          </a:extLst>
        </xdr:cNvPr>
        <xdr:cNvSpPr/>
      </xdr:nvSpPr>
      <xdr:spPr>
        <a:xfrm>
          <a:off x="7296224" y="29837803"/>
          <a:ext cx="674732" cy="19317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39</xdr:col>
      <xdr:colOff>78692</xdr:colOff>
      <xdr:row>105</xdr:row>
      <xdr:rowOff>78690</xdr:rowOff>
    </xdr:from>
    <xdr:to>
      <xdr:col>39</xdr:col>
      <xdr:colOff>78894</xdr:colOff>
      <xdr:row>107</xdr:row>
      <xdr:rowOff>21679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D432F12A-A8F0-4F1D-A247-608A1E8C6806}"/>
            </a:ext>
          </a:extLst>
        </xdr:cNvPr>
        <xdr:cNvCxnSpPr>
          <a:cxnSpLocks/>
          <a:stCxn id="72" idx="2"/>
          <a:endCxn id="74" idx="0"/>
        </xdr:cNvCxnSpPr>
      </xdr:nvCxnSpPr>
      <xdr:spPr>
        <a:xfrm rot="5400000">
          <a:off x="7736823" y="18414284"/>
          <a:ext cx="285889" cy="20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58415</xdr:colOff>
      <xdr:row>123</xdr:row>
      <xdr:rowOff>89772</xdr:rowOff>
    </xdr:from>
    <xdr:to>
      <xdr:col>39</xdr:col>
      <xdr:colOff>66236</xdr:colOff>
      <xdr:row>129</xdr:row>
      <xdr:rowOff>97391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E9B4EF49-1F49-4CBE-A98C-6FF73C91410A}"/>
            </a:ext>
          </a:extLst>
        </xdr:cNvPr>
        <xdr:cNvCxnSpPr>
          <a:cxnSpLocks/>
          <a:stCxn id="78" idx="2"/>
          <a:endCxn id="83" idx="0"/>
        </xdr:cNvCxnSpPr>
      </xdr:nvCxnSpPr>
      <xdr:spPr>
        <a:xfrm rot="5400000">
          <a:off x="5314074" y="27510465"/>
          <a:ext cx="4646855" cy="782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73960</xdr:colOff>
      <xdr:row>113</xdr:row>
      <xdr:rowOff>124946</xdr:rowOff>
    </xdr:from>
    <xdr:to>
      <xdr:col>42</xdr:col>
      <xdr:colOff>30781</xdr:colOff>
      <xdr:row>116</xdr:row>
      <xdr:rowOff>87351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DA17B20A-6B00-406C-AC81-9DB52E44B6A3}"/>
            </a:ext>
          </a:extLst>
        </xdr:cNvPr>
        <xdr:cNvGrpSpPr/>
      </xdr:nvGrpSpPr>
      <xdr:grpSpPr>
        <a:xfrm>
          <a:off x="7421817" y="20142958"/>
          <a:ext cx="1179559" cy="493084"/>
          <a:chOff x="1612900" y="2427475"/>
          <a:chExt cx="933032" cy="404625"/>
        </a:xfrm>
      </xdr:grpSpPr>
      <xdr:sp macro="" textlink="">
        <xdr:nvSpPr>
          <xdr:cNvPr id="87" name="フローチャート: 定義済み処理 86">
            <a:extLst>
              <a:ext uri="{FF2B5EF4-FFF2-40B4-BE49-F238E27FC236}">
                <a16:creationId xmlns:a16="http://schemas.microsoft.com/office/drawing/2014/main" id="{06842113-CF76-CC5A-978B-30AF587048F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F50765E2-4CF8-E1F1-E917-E30BC9C6BED9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返金処理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69481</xdr:colOff>
      <xdr:row>116</xdr:row>
      <xdr:rowOff>87350</xdr:rowOff>
    </xdr:from>
    <xdr:to>
      <xdr:col>39</xdr:col>
      <xdr:colOff>69513</xdr:colOff>
      <xdr:row>120</xdr:row>
      <xdr:rowOff>121147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F4658732-783B-447E-9690-A63E593FB7C0}"/>
            </a:ext>
          </a:extLst>
        </xdr:cNvPr>
        <xdr:cNvCxnSpPr>
          <a:cxnSpLocks/>
          <a:stCxn id="87" idx="2"/>
          <a:endCxn id="78" idx="0"/>
        </xdr:cNvCxnSpPr>
      </xdr:nvCxnSpPr>
      <xdr:spPr>
        <a:xfrm rot="5400000">
          <a:off x="7613067" y="19963858"/>
          <a:ext cx="700547" cy="3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75267</xdr:colOff>
      <xdr:row>64</xdr:row>
      <xdr:rowOff>145677</xdr:rowOff>
    </xdr:from>
    <xdr:to>
      <xdr:col>6</xdr:col>
      <xdr:colOff>180603</xdr:colOff>
      <xdr:row>67</xdr:row>
      <xdr:rowOff>162776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B0FC7AC7-D89A-4B9B-A917-34EB38410605}"/>
            </a:ext>
          </a:extLst>
        </xdr:cNvPr>
        <xdr:cNvGrpSpPr/>
      </xdr:nvGrpSpPr>
      <xdr:grpSpPr>
        <a:xfrm>
          <a:off x="279374" y="11492129"/>
          <a:ext cx="1123967" cy="551588"/>
          <a:chOff x="1612900" y="2452118"/>
          <a:chExt cx="933032" cy="382461"/>
        </a:xfrm>
      </xdr:grpSpPr>
      <xdr:sp macro="" textlink="">
        <xdr:nvSpPr>
          <xdr:cNvPr id="105" name="フローチャート: 処理 104">
            <a:extLst>
              <a:ext uri="{FF2B5EF4-FFF2-40B4-BE49-F238E27FC236}">
                <a16:creationId xmlns:a16="http://schemas.microsoft.com/office/drawing/2014/main" id="{3FC0B6B1-AE15-FFA7-1790-70337C28010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6" name="正方形/長方形 48">
            <a:extLst>
              <a:ext uri="{FF2B5EF4-FFF2-40B4-BE49-F238E27FC236}">
                <a16:creationId xmlns:a16="http://schemas.microsoft.com/office/drawing/2014/main" id="{C2661749-CDCA-D27E-BBF8-58CA878364E8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9</a:t>
            </a:r>
            <a:r>
              <a:rPr kumimoji="1" lang="ja-JP" altLang="en-US" sz="900"/>
              <a:t>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143204</xdr:colOff>
      <xdr:row>67</xdr:row>
      <xdr:rowOff>46739</xdr:rowOff>
    </xdr:from>
    <xdr:to>
      <xdr:col>7</xdr:col>
      <xdr:colOff>162153</xdr:colOff>
      <xdr:row>69</xdr:row>
      <xdr:rowOff>65304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47279539-7EAC-40EF-BCC7-86081CFC2B38}"/>
            </a:ext>
          </a:extLst>
        </xdr:cNvPr>
        <xdr:cNvGrpSpPr>
          <a:grpSpLocks noChangeAspect="1"/>
        </xdr:cNvGrpSpPr>
      </xdr:nvGrpSpPr>
      <xdr:grpSpPr>
        <a:xfrm>
          <a:off x="957728" y="11927680"/>
          <a:ext cx="635080" cy="368540"/>
          <a:chOff x="2791277" y="18512804"/>
          <a:chExt cx="771974" cy="419267"/>
        </a:xfrm>
      </xdr:grpSpPr>
      <xdr:sp macro="" textlink="">
        <xdr:nvSpPr>
          <xdr:cNvPr id="108" name="フローチャート: 書類 107">
            <a:extLst>
              <a:ext uri="{FF2B5EF4-FFF2-40B4-BE49-F238E27FC236}">
                <a16:creationId xmlns:a16="http://schemas.microsoft.com/office/drawing/2014/main" id="{84B21943-7F5B-4BF1-53EB-414BF42F0B1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B12E4CB2-1717-4C79-5AF0-7BFEFB1C9020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4</xdr:col>
      <xdr:colOff>42493</xdr:colOff>
      <xdr:row>61</xdr:row>
      <xdr:rowOff>140772</xdr:rowOff>
    </xdr:from>
    <xdr:to>
      <xdr:col>25</xdr:col>
      <xdr:colOff>139433</xdr:colOff>
      <xdr:row>64</xdr:row>
      <xdr:rowOff>152946</xdr:rowOff>
    </xdr:to>
    <xdr:cxnSp macro="">
      <xdr:nvCxnSpPr>
        <xdr:cNvPr id="110" name="コネクタ: カギ線 109">
          <a:extLst>
            <a:ext uri="{FF2B5EF4-FFF2-40B4-BE49-F238E27FC236}">
              <a16:creationId xmlns:a16="http://schemas.microsoft.com/office/drawing/2014/main" id="{7FE1AFEF-3404-48EB-88AF-101EF85B6028}"/>
            </a:ext>
          </a:extLst>
        </xdr:cNvPr>
        <xdr:cNvCxnSpPr>
          <a:cxnSpLocks/>
          <a:stCxn id="154" idx="2"/>
          <a:endCxn id="105" idx="0"/>
        </xdr:cNvCxnSpPr>
      </xdr:nvCxnSpPr>
      <xdr:spPr>
        <a:xfrm rot="5400000">
          <a:off x="2732826" y="8734389"/>
          <a:ext cx="523349" cy="429746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152959</xdr:colOff>
      <xdr:row>47</xdr:row>
      <xdr:rowOff>121960</xdr:rowOff>
    </xdr:from>
    <xdr:to>
      <xdr:col>62</xdr:col>
      <xdr:colOff>160870</xdr:colOff>
      <xdr:row>51</xdr:row>
      <xdr:rowOff>27187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FD342A9B-0F34-4A41-8475-47DBFD347CE6}"/>
            </a:ext>
          </a:extLst>
        </xdr:cNvPr>
        <xdr:cNvGrpSpPr/>
      </xdr:nvGrpSpPr>
      <xdr:grpSpPr>
        <a:xfrm>
          <a:off x="11787066" y="8465044"/>
          <a:ext cx="1030352" cy="608988"/>
          <a:chOff x="7113625" y="2892425"/>
          <a:chExt cx="914621" cy="594025"/>
        </a:xfrm>
      </xdr:grpSpPr>
      <xdr:sp macro="" textlink="">
        <xdr:nvSpPr>
          <xdr:cNvPr id="112" name="フローチャート: 磁気ディスク 111">
            <a:extLst>
              <a:ext uri="{FF2B5EF4-FFF2-40B4-BE49-F238E27FC236}">
                <a16:creationId xmlns:a16="http://schemas.microsoft.com/office/drawing/2014/main" id="{ADFB3F79-A4B2-2068-5F90-AEDB7B78FE6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800">
                <a:solidFill>
                  <a:srgbClr val="FF0000"/>
                </a:solidFill>
              </a:rPr>
              <a:t>BtoB</a:t>
            </a:r>
          </a:p>
          <a:p>
            <a:pPr algn="ctr"/>
            <a:r>
              <a:rPr kumimoji="1" lang="ja-JP" altLang="en-US" sz="800">
                <a:solidFill>
                  <a:srgbClr val="FF0000"/>
                </a:solidFill>
              </a:rPr>
              <a:t>プラットフォーム</a:t>
            </a: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3FAAC7EB-BDBE-3DD5-71BA-15184C586015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88769</xdr:colOff>
      <xdr:row>49</xdr:row>
      <xdr:rowOff>44262</xdr:rowOff>
    </xdr:from>
    <xdr:to>
      <xdr:col>58</xdr:col>
      <xdr:colOff>51458</xdr:colOff>
      <xdr:row>49</xdr:row>
      <xdr:rowOff>45615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1C088385-B3AA-4A18-AA83-B93BB27B20A6}"/>
            </a:ext>
          </a:extLst>
        </xdr:cNvPr>
        <xdr:cNvCxnSpPr>
          <a:cxnSpLocks/>
          <a:stCxn id="112" idx="2"/>
          <a:endCxn id="157" idx="3"/>
        </xdr:cNvCxnSpPr>
      </xdr:nvCxnSpPr>
      <xdr:spPr>
        <a:xfrm rot="10800000">
          <a:off x="5686294" y="8467537"/>
          <a:ext cx="4563264" cy="1353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26046</xdr:colOff>
      <xdr:row>49</xdr:row>
      <xdr:rowOff>26952</xdr:rowOff>
    </xdr:from>
    <xdr:to>
      <xdr:col>32</xdr:col>
      <xdr:colOff>49439</xdr:colOff>
      <xdr:row>51</xdr:row>
      <xdr:rowOff>39166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289D4DB9-94BD-47DD-AF09-214EA82E0759}"/>
            </a:ext>
          </a:extLst>
        </xdr:cNvPr>
        <xdr:cNvGrpSpPr>
          <a:grpSpLocks noChangeAspect="1"/>
        </xdr:cNvGrpSpPr>
      </xdr:nvGrpSpPr>
      <xdr:grpSpPr>
        <a:xfrm>
          <a:off x="5941343" y="8720011"/>
          <a:ext cx="641430" cy="367905"/>
          <a:chOff x="2791277" y="18512804"/>
          <a:chExt cx="771974" cy="419267"/>
        </a:xfrm>
      </xdr:grpSpPr>
      <xdr:sp macro="" textlink="">
        <xdr:nvSpPr>
          <xdr:cNvPr id="116" name="フローチャート: 書類 115">
            <a:extLst>
              <a:ext uri="{FF2B5EF4-FFF2-40B4-BE49-F238E27FC236}">
                <a16:creationId xmlns:a16="http://schemas.microsoft.com/office/drawing/2014/main" id="{2BFBA013-61DD-D4C6-04A1-C377D11279A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D2EB9619-8413-9344-A0FF-8B436B196557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4</xdr:col>
      <xdr:colOff>45712</xdr:colOff>
      <xdr:row>67</xdr:row>
      <xdr:rowOff>159323</xdr:rowOff>
    </xdr:from>
    <xdr:to>
      <xdr:col>25</xdr:col>
      <xdr:colOff>80675</xdr:colOff>
      <xdr:row>73</xdr:row>
      <xdr:rowOff>161582</xdr:rowOff>
    </xdr:to>
    <xdr:cxnSp macro="">
      <xdr:nvCxnSpPr>
        <xdr:cNvPr id="118" name="コネクタ: カギ線 117">
          <a:extLst>
            <a:ext uri="{FF2B5EF4-FFF2-40B4-BE49-F238E27FC236}">
              <a16:creationId xmlns:a16="http://schemas.microsoft.com/office/drawing/2014/main" id="{58735E82-E9BB-4D2D-813E-75B0F98E2148}"/>
            </a:ext>
          </a:extLst>
        </xdr:cNvPr>
        <xdr:cNvCxnSpPr>
          <a:cxnSpLocks/>
          <a:stCxn id="105" idx="2"/>
          <a:endCxn id="16" idx="0"/>
        </xdr:cNvCxnSpPr>
      </xdr:nvCxnSpPr>
      <xdr:spPr>
        <a:xfrm rot="16200000" flipH="1">
          <a:off x="387034" y="12122060"/>
          <a:ext cx="4985141" cy="411390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16435</xdr:colOff>
      <xdr:row>35</xdr:row>
      <xdr:rowOff>8408</xdr:rowOff>
    </xdr:from>
    <xdr:to>
      <xdr:col>63</xdr:col>
      <xdr:colOff>40222</xdr:colOff>
      <xdr:row>38</xdr:row>
      <xdr:rowOff>79109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9A7F0FD9-3D06-42AA-9854-96B95908409A}"/>
            </a:ext>
          </a:extLst>
        </xdr:cNvPr>
        <xdr:cNvGrpSpPr/>
      </xdr:nvGrpSpPr>
      <xdr:grpSpPr>
        <a:xfrm>
          <a:off x="11858459" y="6228777"/>
          <a:ext cx="1040513" cy="599475"/>
          <a:chOff x="7113625" y="2892425"/>
          <a:chExt cx="914621" cy="594025"/>
        </a:xfrm>
      </xdr:grpSpPr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0F350FAB-9E01-5DD5-59FA-E5C613A9BDB0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rgbClr val="FF0000"/>
              </a:solidFill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6CC42975-2609-013E-6670-B7FCD4ABD469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</a:rPr>
              <a:t>楽楽精算</a:t>
            </a:r>
            <a:endParaRPr kumimoji="1" lang="en-US" altLang="ja-JP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37</xdr:col>
      <xdr:colOff>124763</xdr:colOff>
      <xdr:row>136</xdr:row>
      <xdr:rowOff>56030</xdr:rowOff>
    </xdr:from>
    <xdr:to>
      <xdr:col>41</xdr:col>
      <xdr:colOff>30041</xdr:colOff>
      <xdr:row>137</xdr:row>
      <xdr:rowOff>112308</xdr:rowOff>
    </xdr:to>
    <xdr:sp macro="" textlink="">
      <xdr:nvSpPr>
        <xdr:cNvPr id="123" name="フローチャート: 端子 122">
          <a:extLst>
            <a:ext uri="{FF2B5EF4-FFF2-40B4-BE49-F238E27FC236}">
              <a16:creationId xmlns:a16="http://schemas.microsoft.com/office/drawing/2014/main" id="{20F85373-A737-4684-B162-39D142B44D2C}"/>
            </a:ext>
          </a:extLst>
        </xdr:cNvPr>
        <xdr:cNvSpPr/>
      </xdr:nvSpPr>
      <xdr:spPr>
        <a:xfrm>
          <a:off x="7522513" y="27335630"/>
          <a:ext cx="705378" cy="22772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66119</xdr:colOff>
      <xdr:row>139</xdr:row>
      <xdr:rowOff>67244</xdr:rowOff>
    </xdr:from>
    <xdr:to>
      <xdr:col>42</xdr:col>
      <xdr:colOff>45166</xdr:colOff>
      <xdr:row>142</xdr:row>
      <xdr:rowOff>29650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2E80C1FB-36AE-49CF-8D1C-3F244CA2A2B3}"/>
            </a:ext>
          </a:extLst>
        </xdr:cNvPr>
        <xdr:cNvGrpSpPr/>
      </xdr:nvGrpSpPr>
      <xdr:grpSpPr>
        <a:xfrm>
          <a:off x="7412071" y="24680660"/>
          <a:ext cx="1207500" cy="493085"/>
          <a:chOff x="1612900" y="2427475"/>
          <a:chExt cx="933032" cy="404625"/>
        </a:xfrm>
      </xdr:grpSpPr>
      <xdr:sp macro="" textlink="">
        <xdr:nvSpPr>
          <xdr:cNvPr id="125" name="フローチャート: 定義済み処理 124">
            <a:extLst>
              <a:ext uri="{FF2B5EF4-FFF2-40B4-BE49-F238E27FC236}">
                <a16:creationId xmlns:a16="http://schemas.microsoft.com/office/drawing/2014/main" id="{7CE31C7C-BE24-F329-9CF9-6DA6C2AC37B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50275704-9DBF-F2F9-2A33-1DECEB1148FE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業務委託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36</xdr:col>
      <xdr:colOff>98056</xdr:colOff>
      <xdr:row>145</xdr:row>
      <xdr:rowOff>6536</xdr:rowOff>
    </xdr:from>
    <xdr:to>
      <xdr:col>41</xdr:col>
      <xdr:colOff>182429</xdr:colOff>
      <xdr:row>147</xdr:row>
      <xdr:rowOff>130548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E3A5C6C3-9F34-487B-B9BC-3D923B262E6F}"/>
            </a:ext>
          </a:extLst>
        </xdr:cNvPr>
        <xdr:cNvGrpSpPr/>
      </xdr:nvGrpSpPr>
      <xdr:grpSpPr>
        <a:xfrm>
          <a:off x="7442103" y="25685120"/>
          <a:ext cx="1106814" cy="479702"/>
          <a:chOff x="1612900" y="2457450"/>
          <a:chExt cx="933032" cy="374650"/>
        </a:xfrm>
      </xdr:grpSpPr>
      <xdr:sp macro="" textlink="">
        <xdr:nvSpPr>
          <xdr:cNvPr id="128" name="フローチャート: 処理 127">
            <a:extLst>
              <a:ext uri="{FF2B5EF4-FFF2-40B4-BE49-F238E27FC236}">
                <a16:creationId xmlns:a16="http://schemas.microsoft.com/office/drawing/2014/main" id="{DF80D229-4397-EBFD-EB13-3BA9039F3FF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9" name="正方形/長方形 48">
            <a:extLst>
              <a:ext uri="{FF2B5EF4-FFF2-40B4-BE49-F238E27FC236}">
                <a16:creationId xmlns:a16="http://schemas.microsoft.com/office/drawing/2014/main" id="{1720D2FC-B901-60FA-4785-0DE81456F46F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台帳更新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173322</xdr:colOff>
      <xdr:row>147</xdr:row>
      <xdr:rowOff>27267</xdr:rowOff>
    </xdr:from>
    <xdr:to>
      <xdr:col>43</xdr:col>
      <xdr:colOff>54429</xdr:colOff>
      <xdr:row>149</xdr:row>
      <xdr:rowOff>56215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40563630-3D11-4A10-85D3-172BADE4D605}"/>
            </a:ext>
          </a:extLst>
        </xdr:cNvPr>
        <xdr:cNvGrpSpPr>
          <a:grpSpLocks noChangeAspect="1"/>
        </xdr:cNvGrpSpPr>
      </xdr:nvGrpSpPr>
      <xdr:grpSpPr>
        <a:xfrm>
          <a:off x="8129691" y="26055826"/>
          <a:ext cx="705155" cy="388449"/>
          <a:chOff x="2791278" y="18514786"/>
          <a:chExt cx="773793" cy="417285"/>
        </a:xfrm>
      </xdr:grpSpPr>
      <xdr:sp macro="" textlink="">
        <xdr:nvSpPr>
          <xdr:cNvPr id="131" name="フローチャート: 書類 130">
            <a:extLst>
              <a:ext uri="{FF2B5EF4-FFF2-40B4-BE49-F238E27FC236}">
                <a16:creationId xmlns:a16="http://schemas.microsoft.com/office/drawing/2014/main" id="{D01D12A1-2A30-7159-87A7-6CDF3AECA6B3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17FD32FC-1587-1002-29EF-85A4EA899D15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39</xdr:col>
      <xdr:colOff>53391</xdr:colOff>
      <xdr:row>142</xdr:row>
      <xdr:rowOff>24449</xdr:rowOff>
    </xdr:from>
    <xdr:to>
      <xdr:col>39</xdr:col>
      <xdr:colOff>57231</xdr:colOff>
      <xdr:row>145</xdr:row>
      <xdr:rowOff>275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3B587FBA-968C-4646-A4E9-A2FCFB04BEC6}"/>
            </a:ext>
          </a:extLst>
        </xdr:cNvPr>
        <xdr:cNvCxnSpPr>
          <a:cxnSpLocks/>
          <a:stCxn id="126" idx="2"/>
          <a:endCxn id="128" idx="0"/>
        </xdr:cNvCxnSpPr>
      </xdr:nvCxnSpPr>
      <xdr:spPr>
        <a:xfrm rot="5400000">
          <a:off x="7611198" y="28575917"/>
          <a:ext cx="487001" cy="701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53391</xdr:colOff>
      <xdr:row>147</xdr:row>
      <xdr:rowOff>130547</xdr:rowOff>
    </xdr:from>
    <xdr:to>
      <xdr:col>39</xdr:col>
      <xdr:colOff>61346</xdr:colOff>
      <xdr:row>152</xdr:row>
      <xdr:rowOff>147314</xdr:rowOff>
    </xdr:to>
    <xdr:cxnSp macro="">
      <xdr:nvCxnSpPr>
        <xdr:cNvPr id="134" name="コネクタ: カギ線 133">
          <a:extLst>
            <a:ext uri="{FF2B5EF4-FFF2-40B4-BE49-F238E27FC236}">
              <a16:creationId xmlns:a16="http://schemas.microsoft.com/office/drawing/2014/main" id="{67153E07-0804-41B2-BD49-7512183167A8}"/>
            </a:ext>
          </a:extLst>
        </xdr:cNvPr>
        <xdr:cNvCxnSpPr>
          <a:cxnSpLocks/>
          <a:stCxn id="128" idx="2"/>
          <a:endCxn id="138" idx="0"/>
        </xdr:cNvCxnSpPr>
      </xdr:nvCxnSpPr>
      <xdr:spPr>
        <a:xfrm rot="16200000" flipH="1">
          <a:off x="7422923" y="29724365"/>
          <a:ext cx="870842" cy="1430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73555</xdr:colOff>
      <xdr:row>137</xdr:row>
      <xdr:rowOff>112307</xdr:rowOff>
    </xdr:from>
    <xdr:to>
      <xdr:col>39</xdr:col>
      <xdr:colOff>77403</xdr:colOff>
      <xdr:row>139</xdr:row>
      <xdr:rowOff>102645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5F07B69F-231D-4A27-92F3-A8D12D8EC151}"/>
            </a:ext>
          </a:extLst>
        </xdr:cNvPr>
        <xdr:cNvCxnSpPr>
          <a:cxnSpLocks/>
          <a:stCxn id="123" idx="2"/>
          <a:endCxn id="125" idx="0"/>
        </xdr:cNvCxnSpPr>
      </xdr:nvCxnSpPr>
      <xdr:spPr>
        <a:xfrm rot="5400000">
          <a:off x="7708247" y="27729640"/>
          <a:ext cx="336413" cy="384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89845</xdr:colOff>
      <xdr:row>159</xdr:row>
      <xdr:rowOff>62940</xdr:rowOff>
    </xdr:from>
    <xdr:to>
      <xdr:col>41</xdr:col>
      <xdr:colOff>5192</xdr:colOff>
      <xdr:row>160</xdr:row>
      <xdr:rowOff>103903</xdr:rowOff>
    </xdr:to>
    <xdr:sp macro="" textlink="">
      <xdr:nvSpPr>
        <xdr:cNvPr id="136" name="フローチャート: 端子 135">
          <a:extLst>
            <a:ext uri="{FF2B5EF4-FFF2-40B4-BE49-F238E27FC236}">
              <a16:creationId xmlns:a16="http://schemas.microsoft.com/office/drawing/2014/main" id="{B6EB459A-881E-4C91-B99D-9B8C2C3BA488}"/>
            </a:ext>
          </a:extLst>
        </xdr:cNvPr>
        <xdr:cNvSpPr/>
      </xdr:nvSpPr>
      <xdr:spPr>
        <a:xfrm>
          <a:off x="7276551" y="27397822"/>
          <a:ext cx="692288" cy="21278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36</xdr:col>
      <xdr:colOff>67436</xdr:colOff>
      <xdr:row>152</xdr:row>
      <xdr:rowOff>112058</xdr:rowOff>
    </xdr:from>
    <xdr:to>
      <xdr:col>42</xdr:col>
      <xdr:colOff>25752</xdr:colOff>
      <xdr:row>155</xdr:row>
      <xdr:rowOff>74464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1B85AE10-8ED2-486A-AFDA-DB7FA49C8B8C}"/>
            </a:ext>
          </a:extLst>
        </xdr:cNvPr>
        <xdr:cNvGrpSpPr/>
      </xdr:nvGrpSpPr>
      <xdr:grpSpPr>
        <a:xfrm>
          <a:off x="7413388" y="27026987"/>
          <a:ext cx="1181054" cy="493084"/>
          <a:chOff x="1612900" y="2427475"/>
          <a:chExt cx="933032" cy="404625"/>
        </a:xfrm>
      </xdr:grpSpPr>
      <xdr:sp macro="" textlink="">
        <xdr:nvSpPr>
          <xdr:cNvPr id="138" name="フローチャート: 定義済み処理 137">
            <a:extLst>
              <a:ext uri="{FF2B5EF4-FFF2-40B4-BE49-F238E27FC236}">
                <a16:creationId xmlns:a16="http://schemas.microsoft.com/office/drawing/2014/main" id="{106DCA7F-D045-7C75-6C41-B0D3BA9E706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0551C64C-A669-8ED0-20E7-0A0FC90F3465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３．振替処理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39</xdr:col>
      <xdr:colOff>46596</xdr:colOff>
      <xdr:row>155</xdr:row>
      <xdr:rowOff>69240</xdr:rowOff>
    </xdr:from>
    <xdr:to>
      <xdr:col>39</xdr:col>
      <xdr:colOff>47520</xdr:colOff>
      <xdr:row>159</xdr:row>
      <xdr:rowOff>62939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77ECA9AC-F760-44D5-A049-DE0115CC64D6}"/>
            </a:ext>
          </a:extLst>
        </xdr:cNvPr>
        <xdr:cNvCxnSpPr>
          <a:cxnSpLocks/>
          <a:stCxn id="139" idx="2"/>
          <a:endCxn id="136" idx="0"/>
        </xdr:cNvCxnSpPr>
      </xdr:nvCxnSpPr>
      <xdr:spPr>
        <a:xfrm rot="16200000" flipH="1">
          <a:off x="7281737" y="27056863"/>
          <a:ext cx="680993" cy="92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120650</xdr:colOff>
      <xdr:row>182</xdr:row>
      <xdr:rowOff>6350</xdr:rowOff>
    </xdr:from>
    <xdr:to>
      <xdr:col>28</xdr:col>
      <xdr:colOff>102288</xdr:colOff>
      <xdr:row>185</xdr:row>
      <xdr:rowOff>30031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C994E4DD-7295-4B2B-A76A-DFC46326C3C4}"/>
            </a:ext>
          </a:extLst>
        </xdr:cNvPr>
        <xdr:cNvGrpSpPr/>
      </xdr:nvGrpSpPr>
      <xdr:grpSpPr>
        <a:xfrm>
          <a:off x="4612912" y="32229969"/>
          <a:ext cx="1200566" cy="550550"/>
          <a:chOff x="1580728" y="2457449"/>
          <a:chExt cx="1013466" cy="381718"/>
        </a:xfrm>
      </xdr:grpSpPr>
      <xdr:sp macro="" textlink="">
        <xdr:nvSpPr>
          <xdr:cNvPr id="142" name="フローチャート: 定義済み処理 141">
            <a:extLst>
              <a:ext uri="{FF2B5EF4-FFF2-40B4-BE49-F238E27FC236}">
                <a16:creationId xmlns:a16="http://schemas.microsoft.com/office/drawing/2014/main" id="{25DC5033-9C15-5539-F371-5C0BCCF6EF30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43" name="正方形/長方形 48">
            <a:extLst>
              <a:ext uri="{FF2B5EF4-FFF2-40B4-BE49-F238E27FC236}">
                <a16:creationId xmlns:a16="http://schemas.microsoft.com/office/drawing/2014/main" id="{8B11A67D-8B8C-B2B4-A19E-D1DA61754E13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立替金登録・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112061</xdr:colOff>
      <xdr:row>200</xdr:row>
      <xdr:rowOff>164353</xdr:rowOff>
    </xdr:from>
    <xdr:to>
      <xdr:col>28</xdr:col>
      <xdr:colOff>106399</xdr:colOff>
      <xdr:row>204</xdr:row>
      <xdr:rowOff>9860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309D0D00-A5EE-494B-9FB5-9CC2BF33A4D1}"/>
            </a:ext>
          </a:extLst>
        </xdr:cNvPr>
        <xdr:cNvGrpSpPr/>
      </xdr:nvGrpSpPr>
      <xdr:grpSpPr>
        <a:xfrm>
          <a:off x="4602418" y="35573949"/>
          <a:ext cx="1217076" cy="551173"/>
          <a:chOff x="1580728" y="2457449"/>
          <a:chExt cx="1013466" cy="381718"/>
        </a:xfrm>
      </xdr:grpSpPr>
      <xdr:sp macro="" textlink="">
        <xdr:nvSpPr>
          <xdr:cNvPr id="145" name="フローチャート: 定義済み処理 144">
            <a:extLst>
              <a:ext uri="{FF2B5EF4-FFF2-40B4-BE49-F238E27FC236}">
                <a16:creationId xmlns:a16="http://schemas.microsoft.com/office/drawing/2014/main" id="{156B4A34-4E18-60A7-F725-9739014CB6C4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46" name="正方形/長方形 48">
            <a:extLst>
              <a:ext uri="{FF2B5EF4-FFF2-40B4-BE49-F238E27FC236}">
                <a16:creationId xmlns:a16="http://schemas.microsoft.com/office/drawing/2014/main" id="{C2E05735-2D55-F798-7E3F-67E43BB9E712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6.</a:t>
            </a:r>
            <a:r>
              <a:rPr kumimoji="1" lang="ja-JP" altLang="en-US" sz="900"/>
              <a:t>立替金情報抽出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・請求金額決定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93602</xdr:colOff>
      <xdr:row>204</xdr:row>
      <xdr:rowOff>9859</xdr:rowOff>
    </xdr:from>
    <xdr:to>
      <xdr:col>25</xdr:col>
      <xdr:colOff>106056</xdr:colOff>
      <xdr:row>207</xdr:row>
      <xdr:rowOff>163284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DB31CB83-8D21-4404-BE02-7EC838ED5224}"/>
            </a:ext>
          </a:extLst>
        </xdr:cNvPr>
        <xdr:cNvCxnSpPr>
          <a:cxnSpLocks/>
          <a:stCxn id="146" idx="2"/>
          <a:endCxn id="149" idx="0"/>
        </xdr:cNvCxnSpPr>
      </xdr:nvCxnSpPr>
      <xdr:spPr>
        <a:xfrm rot="5400000">
          <a:off x="4764979" y="39274132"/>
          <a:ext cx="667775" cy="927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136071</xdr:colOff>
      <xdr:row>207</xdr:row>
      <xdr:rowOff>163285</xdr:rowOff>
    </xdr:from>
    <xdr:to>
      <xdr:col>28</xdr:col>
      <xdr:colOff>20872</xdr:colOff>
      <xdr:row>210</xdr:row>
      <xdr:rowOff>122383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CA4E9D62-2A3F-4B9A-AA23-D2BD3F062224}"/>
            </a:ext>
          </a:extLst>
        </xdr:cNvPr>
        <xdr:cNvGrpSpPr/>
      </xdr:nvGrpSpPr>
      <xdr:grpSpPr>
        <a:xfrm>
          <a:off x="4622618" y="36809226"/>
          <a:ext cx="1109444" cy="489776"/>
          <a:chOff x="1612900" y="2457450"/>
          <a:chExt cx="933032" cy="374650"/>
        </a:xfrm>
      </xdr:grpSpPr>
      <xdr:sp macro="" textlink="">
        <xdr:nvSpPr>
          <xdr:cNvPr id="149" name="フローチャート: 処理 148">
            <a:extLst>
              <a:ext uri="{FF2B5EF4-FFF2-40B4-BE49-F238E27FC236}">
                <a16:creationId xmlns:a16="http://schemas.microsoft.com/office/drawing/2014/main" id="{760F723D-FD8A-B7EB-6FB3-5E840ABF9E46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0" name="正方形/長方形 48">
            <a:extLst>
              <a:ext uri="{FF2B5EF4-FFF2-40B4-BE49-F238E27FC236}">
                <a16:creationId xmlns:a16="http://schemas.microsoft.com/office/drawing/2014/main" id="{85AC075C-651F-4B6E-8CCC-88E48FACB046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7.</a:t>
            </a:r>
            <a:r>
              <a:rPr kumimoji="1" lang="ja-JP" altLang="en-US" sz="900"/>
              <a:t>立替金請求書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作成・請求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93445</xdr:colOff>
      <xdr:row>210</xdr:row>
      <xdr:rowOff>122382</xdr:rowOff>
    </xdr:from>
    <xdr:to>
      <xdr:col>25</xdr:col>
      <xdr:colOff>97783</xdr:colOff>
      <xdr:row>213</xdr:row>
      <xdr:rowOff>99783</xdr:rowOff>
    </xdr:to>
    <xdr:cxnSp macro="">
      <xdr:nvCxnSpPr>
        <xdr:cNvPr id="151" name="コネクタ: カギ線 150">
          <a:extLst>
            <a:ext uri="{FF2B5EF4-FFF2-40B4-BE49-F238E27FC236}">
              <a16:creationId xmlns:a16="http://schemas.microsoft.com/office/drawing/2014/main" id="{219532D7-77F2-482A-908B-891999D8EC74}"/>
            </a:ext>
          </a:extLst>
        </xdr:cNvPr>
        <xdr:cNvCxnSpPr>
          <a:cxnSpLocks/>
          <a:stCxn id="149" idx="2"/>
          <a:endCxn id="152" idx="0"/>
        </xdr:cNvCxnSpPr>
      </xdr:nvCxnSpPr>
      <xdr:spPr>
        <a:xfrm rot="16200000" flipH="1">
          <a:off x="4850363" y="40336164"/>
          <a:ext cx="491751" cy="433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145143</xdr:colOff>
      <xdr:row>213</xdr:row>
      <xdr:rowOff>99784</xdr:rowOff>
    </xdr:from>
    <xdr:to>
      <xdr:col>27</xdr:col>
      <xdr:colOff>50421</xdr:colOff>
      <xdr:row>214</xdr:row>
      <xdr:rowOff>141281</xdr:rowOff>
    </xdr:to>
    <xdr:sp macro="" textlink="">
      <xdr:nvSpPr>
        <xdr:cNvPr id="152" name="フローチャート: 端子 151">
          <a:extLst>
            <a:ext uri="{FF2B5EF4-FFF2-40B4-BE49-F238E27FC236}">
              <a16:creationId xmlns:a16="http://schemas.microsoft.com/office/drawing/2014/main" id="{351AD1E1-64DA-496B-8DCA-5058CFEE301F}"/>
            </a:ext>
          </a:extLst>
        </xdr:cNvPr>
        <xdr:cNvSpPr/>
      </xdr:nvSpPr>
      <xdr:spPr>
        <a:xfrm>
          <a:off x="4742543" y="40584209"/>
          <a:ext cx="705378" cy="21294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183300</xdr:colOff>
      <xdr:row>58</xdr:row>
      <xdr:rowOff>123265</xdr:rowOff>
    </xdr:from>
    <xdr:to>
      <xdr:col>28</xdr:col>
      <xdr:colOff>65340</xdr:colOff>
      <xdr:row>61</xdr:row>
      <xdr:rowOff>144175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8DAB84C2-E5FD-4680-AE96-AB5FB0114530}"/>
            </a:ext>
          </a:extLst>
        </xdr:cNvPr>
        <xdr:cNvGrpSpPr/>
      </xdr:nvGrpSpPr>
      <xdr:grpSpPr>
        <a:xfrm>
          <a:off x="4671752" y="10412170"/>
          <a:ext cx="1106683" cy="547779"/>
          <a:chOff x="1612900" y="2452118"/>
          <a:chExt cx="933032" cy="382461"/>
        </a:xfrm>
      </xdr:grpSpPr>
      <xdr:sp macro="" textlink="">
        <xdr:nvSpPr>
          <xdr:cNvPr id="154" name="フローチャート: 処理 153">
            <a:extLst>
              <a:ext uri="{FF2B5EF4-FFF2-40B4-BE49-F238E27FC236}">
                <a16:creationId xmlns:a16="http://schemas.microsoft.com/office/drawing/2014/main" id="{55168C02-D293-8EFD-A3CB-83D280CDEBE5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5" name="正方形/長方形 48">
            <a:extLst>
              <a:ext uri="{FF2B5EF4-FFF2-40B4-BE49-F238E27FC236}">
                <a16:creationId xmlns:a16="http://schemas.microsoft.com/office/drawing/2014/main" id="{D95462C1-791D-E449-AE19-B9657DD0F46F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8</a:t>
            </a:r>
            <a:r>
              <a:rPr kumimoji="1" lang="ja-JP" altLang="en-US" sz="900"/>
              <a:t>．請求書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の送付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59385</xdr:colOff>
      <xdr:row>47</xdr:row>
      <xdr:rowOff>123265</xdr:rowOff>
    </xdr:from>
    <xdr:to>
      <xdr:col>29</xdr:col>
      <xdr:colOff>8088</xdr:colOff>
      <xdr:row>50</xdr:row>
      <xdr:rowOff>140596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79C91B59-BA93-4D64-A242-8B44CE38F770}"/>
            </a:ext>
          </a:extLst>
        </xdr:cNvPr>
        <xdr:cNvGrpSpPr/>
      </xdr:nvGrpSpPr>
      <xdr:grpSpPr>
        <a:xfrm>
          <a:off x="4545932" y="8466349"/>
          <a:ext cx="1383168" cy="542294"/>
          <a:chOff x="1580728" y="2457449"/>
          <a:chExt cx="1013466" cy="381718"/>
        </a:xfrm>
      </xdr:grpSpPr>
      <xdr:sp macro="" textlink="">
        <xdr:nvSpPr>
          <xdr:cNvPr id="157" name="フローチャート: 定義済み処理 156">
            <a:extLst>
              <a:ext uri="{FF2B5EF4-FFF2-40B4-BE49-F238E27FC236}">
                <a16:creationId xmlns:a16="http://schemas.microsoft.com/office/drawing/2014/main" id="{663F18C0-2A18-B659-5F07-E5B9BE138E2A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8" name="正方形/長方形 48">
            <a:extLst>
              <a:ext uri="{FF2B5EF4-FFF2-40B4-BE49-F238E27FC236}">
                <a16:creationId xmlns:a16="http://schemas.microsoft.com/office/drawing/2014/main" id="{E66D39E0-4894-9585-3534-167DEF8BC5D5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</a:t>
            </a:r>
            <a:r>
              <a:rPr kumimoji="1" lang="ja-JP" altLang="en-US" sz="900"/>
              <a:t>．請求書の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8117</xdr:colOff>
      <xdr:row>61</xdr:row>
      <xdr:rowOff>21910</xdr:rowOff>
    </xdr:from>
    <xdr:to>
      <xdr:col>29</xdr:col>
      <xdr:colOff>31509</xdr:colOff>
      <xdr:row>63</xdr:row>
      <xdr:rowOff>46823</xdr:rowOff>
    </xdr:to>
    <xdr:grpSp>
      <xdr:nvGrpSpPr>
        <xdr:cNvPr id="159" name="グループ化 158">
          <a:extLst>
            <a:ext uri="{FF2B5EF4-FFF2-40B4-BE49-F238E27FC236}">
              <a16:creationId xmlns:a16="http://schemas.microsoft.com/office/drawing/2014/main" id="{33360AA3-BCDF-4955-A793-2669916D0981}"/>
            </a:ext>
          </a:extLst>
        </xdr:cNvPr>
        <xdr:cNvGrpSpPr>
          <a:grpSpLocks noChangeAspect="1"/>
        </xdr:cNvGrpSpPr>
      </xdr:nvGrpSpPr>
      <xdr:grpSpPr>
        <a:xfrm>
          <a:off x="5316808" y="10835779"/>
          <a:ext cx="631903" cy="384413"/>
          <a:chOff x="2791277" y="18512804"/>
          <a:chExt cx="771974" cy="419267"/>
        </a:xfrm>
      </xdr:grpSpPr>
      <xdr:sp macro="" textlink="">
        <xdr:nvSpPr>
          <xdr:cNvPr id="160" name="フローチャート: 書類 159">
            <a:extLst>
              <a:ext uri="{FF2B5EF4-FFF2-40B4-BE49-F238E27FC236}">
                <a16:creationId xmlns:a16="http://schemas.microsoft.com/office/drawing/2014/main" id="{5671E674-50AE-2028-F7A5-96E6DE963C1E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1" name="正方形/長方形 160">
            <a:extLst>
              <a:ext uri="{FF2B5EF4-FFF2-40B4-BE49-F238E27FC236}">
                <a16:creationId xmlns:a16="http://schemas.microsoft.com/office/drawing/2014/main" id="{47B24DE0-F6FC-93D9-C8F1-1653A29FE6EE}"/>
              </a:ext>
            </a:extLst>
          </xdr:cNvPr>
          <xdr:cNvSpPr/>
        </xdr:nvSpPr>
        <xdr:spPr>
          <a:xfrm>
            <a:off x="2791277" y="18512804"/>
            <a:ext cx="771974" cy="3344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25</xdr:col>
      <xdr:colOff>136178</xdr:colOff>
      <xdr:row>50</xdr:row>
      <xdr:rowOff>143770</xdr:rowOff>
    </xdr:from>
    <xdr:to>
      <xdr:col>25</xdr:col>
      <xdr:colOff>143098</xdr:colOff>
      <xdr:row>53</xdr:row>
      <xdr:rowOff>17928</xdr:rowOff>
    </xdr:to>
    <xdr:cxnSp macro="">
      <xdr:nvCxnSpPr>
        <xdr:cNvPr id="162" name="コネクタ: カギ線 161">
          <a:extLst>
            <a:ext uri="{FF2B5EF4-FFF2-40B4-BE49-F238E27FC236}">
              <a16:creationId xmlns:a16="http://schemas.microsoft.com/office/drawing/2014/main" id="{831A8202-1FE1-443A-BF82-93D9F8725AB3}"/>
            </a:ext>
          </a:extLst>
        </xdr:cNvPr>
        <xdr:cNvCxnSpPr>
          <a:cxnSpLocks/>
          <a:stCxn id="158" idx="2"/>
          <a:endCxn id="164" idx="0"/>
        </xdr:cNvCxnSpPr>
      </xdr:nvCxnSpPr>
      <xdr:spPr>
        <a:xfrm rot="16200000" flipH="1">
          <a:off x="4942834" y="8926114"/>
          <a:ext cx="391683" cy="374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59759</xdr:colOff>
      <xdr:row>53</xdr:row>
      <xdr:rowOff>17929</xdr:rowOff>
    </xdr:from>
    <xdr:to>
      <xdr:col>29</xdr:col>
      <xdr:colOff>11637</xdr:colOff>
      <xdr:row>56</xdr:row>
      <xdr:rowOff>47961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A2F21146-F870-4D28-9296-191B069BB4A1}"/>
            </a:ext>
          </a:extLst>
        </xdr:cNvPr>
        <xdr:cNvGrpSpPr/>
      </xdr:nvGrpSpPr>
      <xdr:grpSpPr>
        <a:xfrm>
          <a:off x="4546306" y="9424275"/>
          <a:ext cx="1388248" cy="558805"/>
          <a:chOff x="1580728" y="2457449"/>
          <a:chExt cx="1013466" cy="381718"/>
        </a:xfrm>
      </xdr:grpSpPr>
      <xdr:sp macro="" textlink="">
        <xdr:nvSpPr>
          <xdr:cNvPr id="164" name="フローチャート: 定義済み処理 163">
            <a:extLst>
              <a:ext uri="{FF2B5EF4-FFF2-40B4-BE49-F238E27FC236}">
                <a16:creationId xmlns:a16="http://schemas.microsoft.com/office/drawing/2014/main" id="{0B2CB3C5-D205-3851-FE3C-3164163B4663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65" name="正方形/長方形 48">
            <a:extLst>
              <a:ext uri="{FF2B5EF4-FFF2-40B4-BE49-F238E27FC236}">
                <a16:creationId xmlns:a16="http://schemas.microsoft.com/office/drawing/2014/main" id="{5741AD94-C26C-953E-5291-7D0C1D38017F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7</a:t>
            </a:r>
            <a:r>
              <a:rPr kumimoji="1" lang="ja-JP" altLang="en-US" sz="900"/>
              <a:t>．請求書保存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136551</xdr:colOff>
      <xdr:row>56</xdr:row>
      <xdr:rowOff>47960</xdr:rowOff>
    </xdr:from>
    <xdr:to>
      <xdr:col>25</xdr:col>
      <xdr:colOff>139520</xdr:colOff>
      <xdr:row>58</xdr:row>
      <xdr:rowOff>133672</xdr:rowOff>
    </xdr:to>
    <xdr:cxnSp macro="">
      <xdr:nvCxnSpPr>
        <xdr:cNvPr id="166" name="コネクタ: カギ線 165">
          <a:extLst>
            <a:ext uri="{FF2B5EF4-FFF2-40B4-BE49-F238E27FC236}">
              <a16:creationId xmlns:a16="http://schemas.microsoft.com/office/drawing/2014/main" id="{F837F5F6-A611-474F-932D-3FFB17D71FF0}"/>
            </a:ext>
          </a:extLst>
        </xdr:cNvPr>
        <xdr:cNvCxnSpPr>
          <a:cxnSpLocks/>
          <a:stCxn id="165" idx="2"/>
          <a:endCxn id="154" idx="0"/>
        </xdr:cNvCxnSpPr>
      </xdr:nvCxnSpPr>
      <xdr:spPr>
        <a:xfrm rot="16200000" flipH="1">
          <a:off x="4925942" y="9879444"/>
          <a:ext cx="431787" cy="296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1494</xdr:colOff>
      <xdr:row>14</xdr:row>
      <xdr:rowOff>0</xdr:rowOff>
    </xdr:from>
    <xdr:to>
      <xdr:col>14</xdr:col>
      <xdr:colOff>83560</xdr:colOff>
      <xdr:row>17</xdr:row>
      <xdr:rowOff>20909</xdr:rowOff>
    </xdr:to>
    <xdr:grpSp>
      <xdr:nvGrpSpPr>
        <xdr:cNvPr id="167" name="グループ化 166">
          <a:extLst>
            <a:ext uri="{FF2B5EF4-FFF2-40B4-BE49-F238E27FC236}">
              <a16:creationId xmlns:a16="http://schemas.microsoft.com/office/drawing/2014/main" id="{65392E18-AA22-46B4-8A24-79D72DD930C2}"/>
            </a:ext>
          </a:extLst>
        </xdr:cNvPr>
        <xdr:cNvGrpSpPr/>
      </xdr:nvGrpSpPr>
      <xdr:grpSpPr>
        <a:xfrm>
          <a:off x="1838458" y="2503714"/>
          <a:ext cx="1104507" cy="547778"/>
          <a:chOff x="1612900" y="2452118"/>
          <a:chExt cx="933032" cy="382461"/>
        </a:xfrm>
      </xdr:grpSpPr>
      <xdr:sp macro="" textlink="">
        <xdr:nvSpPr>
          <xdr:cNvPr id="168" name="フローチャート: 処理 167">
            <a:extLst>
              <a:ext uri="{FF2B5EF4-FFF2-40B4-BE49-F238E27FC236}">
                <a16:creationId xmlns:a16="http://schemas.microsoft.com/office/drawing/2014/main" id="{2699BBFD-4DA8-B45E-F99A-16B397CC746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69" name="正方形/長方形 48">
            <a:extLst>
              <a:ext uri="{FF2B5EF4-FFF2-40B4-BE49-F238E27FC236}">
                <a16:creationId xmlns:a16="http://schemas.microsoft.com/office/drawing/2014/main" id="{168DA1B3-B5F7-4408-E415-F4496D79D3A5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請求書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発行依頼書作成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27268</xdr:colOff>
      <xdr:row>16</xdr:row>
      <xdr:rowOff>112058</xdr:rowOff>
    </xdr:from>
    <xdr:to>
      <xdr:col>16</xdr:col>
      <xdr:colOff>123970</xdr:colOff>
      <xdr:row>18</xdr:row>
      <xdr:rowOff>131482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229DA94B-B432-4334-BEBE-F2BDB828040A}"/>
            </a:ext>
          </a:extLst>
        </xdr:cNvPr>
        <xdr:cNvGrpSpPr>
          <a:grpSpLocks noChangeAspect="1"/>
        </xdr:cNvGrpSpPr>
      </xdr:nvGrpSpPr>
      <xdr:grpSpPr>
        <a:xfrm>
          <a:off x="2678756" y="2969558"/>
          <a:ext cx="712833" cy="377020"/>
          <a:chOff x="2791278" y="18514786"/>
          <a:chExt cx="773793" cy="417285"/>
        </a:xfrm>
      </xdr:grpSpPr>
      <xdr:sp macro="" textlink="">
        <xdr:nvSpPr>
          <xdr:cNvPr id="171" name="フローチャート: 書類 170">
            <a:extLst>
              <a:ext uri="{FF2B5EF4-FFF2-40B4-BE49-F238E27FC236}">
                <a16:creationId xmlns:a16="http://schemas.microsoft.com/office/drawing/2014/main" id="{02C71405-D692-0B73-105C-6045D9AADA5E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67429BC4-2F4E-8BC4-A188-22645BCB617C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未収入金に伴う発行依頼書</a:t>
            </a:r>
          </a:p>
        </xdr:txBody>
      </xdr:sp>
    </xdr:grpSp>
    <xdr:clientData/>
  </xdr:twoCellAnchor>
  <xdr:twoCellAnchor>
    <xdr:from>
      <xdr:col>16</xdr:col>
      <xdr:colOff>27828</xdr:colOff>
      <xdr:row>16</xdr:row>
      <xdr:rowOff>106081</xdr:rowOff>
    </xdr:from>
    <xdr:to>
      <xdr:col>19</xdr:col>
      <xdr:colOff>115005</xdr:colOff>
      <xdr:row>18</xdr:row>
      <xdr:rowOff>122330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4F65C9C5-C366-4BBB-9745-D29DD930F247}"/>
            </a:ext>
          </a:extLst>
        </xdr:cNvPr>
        <xdr:cNvGrpSpPr>
          <a:grpSpLocks noChangeAspect="1"/>
        </xdr:cNvGrpSpPr>
      </xdr:nvGrpSpPr>
      <xdr:grpSpPr>
        <a:xfrm>
          <a:off x="3291637" y="2961676"/>
          <a:ext cx="701404" cy="373845"/>
          <a:chOff x="2791278" y="18514786"/>
          <a:chExt cx="773793" cy="417285"/>
        </a:xfrm>
      </xdr:grpSpPr>
      <xdr:sp macro="" textlink="">
        <xdr:nvSpPr>
          <xdr:cNvPr id="174" name="フローチャート: 書類 173">
            <a:extLst>
              <a:ext uri="{FF2B5EF4-FFF2-40B4-BE49-F238E27FC236}">
                <a16:creationId xmlns:a16="http://schemas.microsoft.com/office/drawing/2014/main" id="{19F22D9C-BF2D-FD58-D092-526E31D9C4E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B3A79D40-01D3-B0D4-0F94-1072927DAC57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経費明細</a:t>
            </a:r>
          </a:p>
        </xdr:txBody>
      </xdr:sp>
    </xdr:grpSp>
    <xdr:clientData/>
  </xdr:twoCellAnchor>
  <xdr:twoCellAnchor>
    <xdr:from>
      <xdr:col>9</xdr:col>
      <xdr:colOff>8031</xdr:colOff>
      <xdr:row>20</xdr:row>
      <xdr:rowOff>0</xdr:rowOff>
    </xdr:from>
    <xdr:to>
      <xdr:col>14</xdr:col>
      <xdr:colOff>94953</xdr:colOff>
      <xdr:row>23</xdr:row>
      <xdr:rowOff>20909</xdr:rowOff>
    </xdr:to>
    <xdr:grpSp>
      <xdr:nvGrpSpPr>
        <xdr:cNvPr id="176" name="グループ化 175">
          <a:extLst>
            <a:ext uri="{FF2B5EF4-FFF2-40B4-BE49-F238E27FC236}">
              <a16:creationId xmlns:a16="http://schemas.microsoft.com/office/drawing/2014/main" id="{59CE5C70-4834-498A-9743-E3B57A746FD4}"/>
            </a:ext>
          </a:extLst>
        </xdr:cNvPr>
        <xdr:cNvGrpSpPr/>
      </xdr:nvGrpSpPr>
      <xdr:grpSpPr>
        <a:xfrm>
          <a:off x="1846900" y="3565071"/>
          <a:ext cx="1109363" cy="547778"/>
          <a:chOff x="1612900" y="2452118"/>
          <a:chExt cx="933032" cy="382461"/>
        </a:xfrm>
      </xdr:grpSpPr>
      <xdr:sp macro="" textlink="">
        <xdr:nvSpPr>
          <xdr:cNvPr id="177" name="フローチャート: 処理 176">
            <a:extLst>
              <a:ext uri="{FF2B5EF4-FFF2-40B4-BE49-F238E27FC236}">
                <a16:creationId xmlns:a16="http://schemas.microsoft.com/office/drawing/2014/main" id="{970E8EB1-0C99-F100-0985-42CB7045DA35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8" name="正方形/長方形 48">
            <a:extLst>
              <a:ext uri="{FF2B5EF4-FFF2-40B4-BE49-F238E27FC236}">
                <a16:creationId xmlns:a16="http://schemas.microsoft.com/office/drawing/2014/main" id="{74D20032-8256-80DF-CDF8-AB6D97E7A67D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請求書発行依頼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159144</xdr:colOff>
      <xdr:row>17</xdr:row>
      <xdr:rowOff>17438</xdr:rowOff>
    </xdr:from>
    <xdr:to>
      <xdr:col>11</xdr:col>
      <xdr:colOff>166545</xdr:colOff>
      <xdr:row>20</xdr:row>
      <xdr:rowOff>7461</xdr:rowOff>
    </xdr:to>
    <xdr:cxnSp macro="">
      <xdr:nvCxnSpPr>
        <xdr:cNvPr id="179" name="コネクタ: カギ線 178">
          <a:extLst>
            <a:ext uri="{FF2B5EF4-FFF2-40B4-BE49-F238E27FC236}">
              <a16:creationId xmlns:a16="http://schemas.microsoft.com/office/drawing/2014/main" id="{0159732F-01DE-4FCD-B19E-D3925E320133}"/>
            </a:ext>
          </a:extLst>
        </xdr:cNvPr>
        <xdr:cNvCxnSpPr>
          <a:cxnSpLocks/>
          <a:stCxn id="168" idx="2"/>
          <a:endCxn id="177" idx="0"/>
        </xdr:cNvCxnSpPr>
      </xdr:nvCxnSpPr>
      <xdr:spPr>
        <a:xfrm rot="16200000" flipH="1">
          <a:off x="2109346" y="3204386"/>
          <a:ext cx="507548" cy="105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167501</xdr:colOff>
      <xdr:row>23</xdr:row>
      <xdr:rowOff>17505</xdr:rowOff>
    </xdr:from>
    <xdr:to>
      <xdr:col>24</xdr:col>
      <xdr:colOff>196671</xdr:colOff>
      <xdr:row>29</xdr:row>
      <xdr:rowOff>86471</xdr:rowOff>
    </xdr:to>
    <xdr:cxnSp macro="">
      <xdr:nvCxnSpPr>
        <xdr:cNvPr id="180" name="コネクタ: カギ線 179">
          <a:extLst>
            <a:ext uri="{FF2B5EF4-FFF2-40B4-BE49-F238E27FC236}">
              <a16:creationId xmlns:a16="http://schemas.microsoft.com/office/drawing/2014/main" id="{E94AED50-3C7C-423E-980E-99B255E6143E}"/>
            </a:ext>
          </a:extLst>
        </xdr:cNvPr>
        <xdr:cNvCxnSpPr>
          <a:cxnSpLocks/>
          <a:stCxn id="177" idx="2"/>
          <a:endCxn id="7" idx="0"/>
        </xdr:cNvCxnSpPr>
      </xdr:nvCxnSpPr>
      <xdr:spPr>
        <a:xfrm rot="16200000" flipH="1">
          <a:off x="3135278" y="3209228"/>
          <a:ext cx="1094491" cy="263584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184149</xdr:colOff>
      <xdr:row>23</xdr:row>
      <xdr:rowOff>11206</xdr:rowOff>
    </xdr:from>
    <xdr:to>
      <xdr:col>16</xdr:col>
      <xdr:colOff>75971</xdr:colOff>
      <xdr:row>25</xdr:row>
      <xdr:rowOff>30629</xdr:rowOff>
    </xdr:to>
    <xdr:grpSp>
      <xdr:nvGrpSpPr>
        <xdr:cNvPr id="181" name="グループ化 180">
          <a:extLst>
            <a:ext uri="{FF2B5EF4-FFF2-40B4-BE49-F238E27FC236}">
              <a16:creationId xmlns:a16="http://schemas.microsoft.com/office/drawing/2014/main" id="{7AB53C5A-0C21-4856-B4A2-F6DD02C0713D}"/>
            </a:ext>
          </a:extLst>
        </xdr:cNvPr>
        <xdr:cNvGrpSpPr>
          <a:grpSpLocks noChangeAspect="1"/>
        </xdr:cNvGrpSpPr>
      </xdr:nvGrpSpPr>
      <xdr:grpSpPr>
        <a:xfrm>
          <a:off x="2631530" y="4108861"/>
          <a:ext cx="710155" cy="369399"/>
          <a:chOff x="2791278" y="18514786"/>
          <a:chExt cx="773793" cy="417285"/>
        </a:xfrm>
      </xdr:grpSpPr>
      <xdr:sp macro="" textlink="">
        <xdr:nvSpPr>
          <xdr:cNvPr id="182" name="フローチャート: 書類 181">
            <a:extLst>
              <a:ext uri="{FF2B5EF4-FFF2-40B4-BE49-F238E27FC236}">
                <a16:creationId xmlns:a16="http://schemas.microsoft.com/office/drawing/2014/main" id="{A767628A-B928-EB12-0863-F58C96797DDE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E88D6166-D7A1-5FEA-C246-7F730D354122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未収入金に伴う発行依頼書</a:t>
            </a:r>
          </a:p>
        </xdr:txBody>
      </xdr:sp>
    </xdr:grpSp>
    <xdr:clientData/>
  </xdr:twoCellAnchor>
  <xdr:twoCellAnchor>
    <xdr:from>
      <xdr:col>16</xdr:col>
      <xdr:colOff>8404</xdr:colOff>
      <xdr:row>23</xdr:row>
      <xdr:rowOff>27454</xdr:rowOff>
    </xdr:from>
    <xdr:to>
      <xdr:col>19</xdr:col>
      <xdr:colOff>101931</xdr:colOff>
      <xdr:row>25</xdr:row>
      <xdr:rowOff>40527</xdr:rowOff>
    </xdr:to>
    <xdr:grpSp>
      <xdr:nvGrpSpPr>
        <xdr:cNvPr id="184" name="グループ化 183">
          <a:extLst>
            <a:ext uri="{FF2B5EF4-FFF2-40B4-BE49-F238E27FC236}">
              <a16:creationId xmlns:a16="http://schemas.microsoft.com/office/drawing/2014/main" id="{899C998D-66A0-46CA-B5AC-0102ADA51E34}"/>
            </a:ext>
          </a:extLst>
        </xdr:cNvPr>
        <xdr:cNvGrpSpPr>
          <a:grpSpLocks noChangeAspect="1"/>
        </xdr:cNvGrpSpPr>
      </xdr:nvGrpSpPr>
      <xdr:grpSpPr>
        <a:xfrm>
          <a:off x="3276023" y="4121299"/>
          <a:ext cx="700134" cy="368764"/>
          <a:chOff x="2791278" y="18514786"/>
          <a:chExt cx="773793" cy="417285"/>
        </a:xfrm>
      </xdr:grpSpPr>
      <xdr:sp macro="" textlink="">
        <xdr:nvSpPr>
          <xdr:cNvPr id="185" name="フローチャート: 書類 184">
            <a:extLst>
              <a:ext uri="{FF2B5EF4-FFF2-40B4-BE49-F238E27FC236}">
                <a16:creationId xmlns:a16="http://schemas.microsoft.com/office/drawing/2014/main" id="{5ED03BF9-5696-2D3A-99FD-61A71E292439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6" name="正方形/長方形 185">
            <a:extLst>
              <a:ext uri="{FF2B5EF4-FFF2-40B4-BE49-F238E27FC236}">
                <a16:creationId xmlns:a16="http://schemas.microsoft.com/office/drawing/2014/main" id="{43229C80-DF76-BEB8-3AA4-56E0DF5E040F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経費明細</a:t>
            </a:r>
          </a:p>
        </xdr:txBody>
      </xdr:sp>
    </xdr:grpSp>
    <xdr:clientData/>
  </xdr:twoCellAnchor>
  <xdr:twoCellAnchor>
    <xdr:from>
      <xdr:col>34</xdr:col>
      <xdr:colOff>197865</xdr:colOff>
      <xdr:row>36</xdr:row>
      <xdr:rowOff>98993</xdr:rowOff>
    </xdr:from>
    <xdr:to>
      <xdr:col>58</xdr:col>
      <xdr:colOff>117693</xdr:colOff>
      <xdr:row>36</xdr:row>
      <xdr:rowOff>102934</xdr:rowOff>
    </xdr:to>
    <xdr:cxnSp macro="">
      <xdr:nvCxnSpPr>
        <xdr:cNvPr id="193" name="コネクタ: カギ線 192">
          <a:extLst>
            <a:ext uri="{FF2B5EF4-FFF2-40B4-BE49-F238E27FC236}">
              <a16:creationId xmlns:a16="http://schemas.microsoft.com/office/drawing/2014/main" id="{DEDECB2B-FB4D-4AE4-9ED2-10E60E1CC1AA}"/>
            </a:ext>
          </a:extLst>
        </xdr:cNvPr>
        <xdr:cNvCxnSpPr>
          <a:cxnSpLocks/>
          <a:stCxn id="38" idx="3"/>
          <a:endCxn id="120" idx="2"/>
        </xdr:cNvCxnSpPr>
      </xdr:nvCxnSpPr>
      <xdr:spPr>
        <a:xfrm>
          <a:off x="7001890" y="6293418"/>
          <a:ext cx="3320253" cy="394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137134</xdr:colOff>
      <xdr:row>38</xdr:row>
      <xdr:rowOff>16992</xdr:rowOff>
    </xdr:from>
    <xdr:to>
      <xdr:col>32</xdr:col>
      <xdr:colOff>120150</xdr:colOff>
      <xdr:row>47</xdr:row>
      <xdr:rowOff>123266</xdr:rowOff>
    </xdr:to>
    <xdr:cxnSp macro="">
      <xdr:nvCxnSpPr>
        <xdr:cNvPr id="194" name="コネクタ: カギ線 193">
          <a:extLst>
            <a:ext uri="{FF2B5EF4-FFF2-40B4-BE49-F238E27FC236}">
              <a16:creationId xmlns:a16="http://schemas.microsoft.com/office/drawing/2014/main" id="{793E5F19-5EF5-4904-B29B-41D8104BA22E}"/>
            </a:ext>
          </a:extLst>
        </xdr:cNvPr>
        <xdr:cNvCxnSpPr>
          <a:cxnSpLocks/>
          <a:stCxn id="38" idx="2"/>
          <a:endCxn id="157" idx="0"/>
        </xdr:cNvCxnSpPr>
      </xdr:nvCxnSpPr>
      <xdr:spPr>
        <a:xfrm rot="5400000">
          <a:off x="4838005" y="6716238"/>
          <a:ext cx="1652686" cy="134266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167</xdr:row>
      <xdr:rowOff>160057</xdr:rowOff>
    </xdr:from>
    <xdr:to>
      <xdr:col>14</xdr:col>
      <xdr:colOff>88416</xdr:colOff>
      <xdr:row>171</xdr:row>
      <xdr:rowOff>6528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3B23A6C4-8D1B-49B3-BF94-A14DDCD35C2C}"/>
            </a:ext>
          </a:extLst>
        </xdr:cNvPr>
        <xdr:cNvGrpSpPr/>
      </xdr:nvGrpSpPr>
      <xdr:grpSpPr>
        <a:xfrm>
          <a:off x="1836964" y="29730283"/>
          <a:ext cx="1112762" cy="554043"/>
          <a:chOff x="1612900" y="2452118"/>
          <a:chExt cx="933032" cy="382461"/>
        </a:xfrm>
      </xdr:grpSpPr>
      <xdr:sp macro="" textlink="">
        <xdr:nvSpPr>
          <xdr:cNvPr id="196" name="フローチャート: 処理 195">
            <a:extLst>
              <a:ext uri="{FF2B5EF4-FFF2-40B4-BE49-F238E27FC236}">
                <a16:creationId xmlns:a16="http://schemas.microsoft.com/office/drawing/2014/main" id="{8C68C91F-74BD-EEC5-95C5-100DBE0FFCF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E49C8479-C536-47D1-1BE2-567762F5B827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立替金登録依頼情報作成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9</xdr:col>
      <xdr:colOff>21981</xdr:colOff>
      <xdr:row>173</xdr:row>
      <xdr:rowOff>117230</xdr:rowOff>
    </xdr:from>
    <xdr:to>
      <xdr:col>14</xdr:col>
      <xdr:colOff>104047</xdr:colOff>
      <xdr:row>176</xdr:row>
      <xdr:rowOff>141315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8277CB3E-1789-4E3F-90D4-CBF88AE362E0}"/>
            </a:ext>
          </a:extLst>
        </xdr:cNvPr>
        <xdr:cNvGrpSpPr/>
      </xdr:nvGrpSpPr>
      <xdr:grpSpPr>
        <a:xfrm>
          <a:off x="1855135" y="30746909"/>
          <a:ext cx="1104507" cy="552858"/>
          <a:chOff x="1612900" y="2452118"/>
          <a:chExt cx="933032" cy="382461"/>
        </a:xfrm>
      </xdr:grpSpPr>
      <xdr:sp macro="" textlink="">
        <xdr:nvSpPr>
          <xdr:cNvPr id="199" name="フローチャート: 処理 198">
            <a:extLst>
              <a:ext uri="{FF2B5EF4-FFF2-40B4-BE49-F238E27FC236}">
                <a16:creationId xmlns:a16="http://schemas.microsoft.com/office/drawing/2014/main" id="{214D0B98-1698-1BF9-9FB3-2A16002E219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0" name="正方形/長方形 48">
            <a:extLst>
              <a:ext uri="{FF2B5EF4-FFF2-40B4-BE49-F238E27FC236}">
                <a16:creationId xmlns:a16="http://schemas.microsoft.com/office/drawing/2014/main" id="{90806A22-7274-3665-CD9B-866D930CD650}"/>
              </a:ext>
            </a:extLst>
          </xdr:cNvPr>
          <xdr:cNvSpPr/>
        </xdr:nvSpPr>
        <xdr:spPr>
          <a:xfrm>
            <a:off x="1612900" y="2452118"/>
            <a:ext cx="933032" cy="38246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立替金登録依頼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158030</xdr:colOff>
      <xdr:row>171</xdr:row>
      <xdr:rowOff>3154</xdr:rowOff>
    </xdr:from>
    <xdr:to>
      <xdr:col>11</xdr:col>
      <xdr:colOff>163515</xdr:colOff>
      <xdr:row>173</xdr:row>
      <xdr:rowOff>117230</xdr:rowOff>
    </xdr:to>
    <xdr:cxnSp macro="">
      <xdr:nvCxnSpPr>
        <xdr:cNvPr id="201" name="直線矢印コネクタ 27">
          <a:extLst>
            <a:ext uri="{FF2B5EF4-FFF2-40B4-BE49-F238E27FC236}">
              <a16:creationId xmlns:a16="http://schemas.microsoft.com/office/drawing/2014/main" id="{AC89AC43-5237-4573-8B38-6E63F0CFC0E3}"/>
            </a:ext>
          </a:extLst>
        </xdr:cNvPr>
        <xdr:cNvCxnSpPr>
          <a:cxnSpLocks/>
          <a:stCxn id="196" idx="2"/>
          <a:endCxn id="200" idx="0"/>
        </xdr:cNvCxnSpPr>
      </xdr:nvCxnSpPr>
      <xdr:spPr>
        <a:xfrm>
          <a:off x="2361480" y="33283504"/>
          <a:ext cx="0" cy="4569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178000</xdr:colOff>
      <xdr:row>176</xdr:row>
      <xdr:rowOff>137824</xdr:rowOff>
    </xdr:from>
    <xdr:to>
      <xdr:col>25</xdr:col>
      <xdr:colOff>117141</xdr:colOff>
      <xdr:row>182</xdr:row>
      <xdr:rowOff>6349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6357F788-62A7-4CDE-9B37-51F5A70A13BA}"/>
            </a:ext>
          </a:extLst>
        </xdr:cNvPr>
        <xdr:cNvCxnSpPr>
          <a:cxnSpLocks/>
          <a:stCxn id="199" idx="2"/>
          <a:endCxn id="142" idx="0"/>
        </xdr:cNvCxnSpPr>
      </xdr:nvCxnSpPr>
      <xdr:spPr>
        <a:xfrm rot="16200000" flipH="1">
          <a:off x="3300995" y="33359054"/>
          <a:ext cx="897225" cy="273631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177</xdr:row>
      <xdr:rowOff>57150</xdr:rowOff>
    </xdr:from>
    <xdr:to>
      <xdr:col>16</xdr:col>
      <xdr:colOff>160202</xdr:colOff>
      <xdr:row>179</xdr:row>
      <xdr:rowOff>86099</xdr:rowOff>
    </xdr:to>
    <xdr:grpSp>
      <xdr:nvGrpSpPr>
        <xdr:cNvPr id="203" name="グループ化 202">
          <a:extLst>
            <a:ext uri="{FF2B5EF4-FFF2-40B4-BE49-F238E27FC236}">
              <a16:creationId xmlns:a16="http://schemas.microsoft.com/office/drawing/2014/main" id="{02589C52-04A8-402F-8B50-C4C3F07751DD}"/>
            </a:ext>
          </a:extLst>
        </xdr:cNvPr>
        <xdr:cNvGrpSpPr>
          <a:grpSpLocks noChangeAspect="1"/>
        </xdr:cNvGrpSpPr>
      </xdr:nvGrpSpPr>
      <xdr:grpSpPr>
        <a:xfrm>
          <a:off x="2729593" y="31390590"/>
          <a:ext cx="698228" cy="388450"/>
          <a:chOff x="2791278" y="18514786"/>
          <a:chExt cx="773793" cy="417285"/>
        </a:xfrm>
      </xdr:grpSpPr>
      <xdr:sp macro="" textlink="">
        <xdr:nvSpPr>
          <xdr:cNvPr id="204" name="フローチャート: 書類 203">
            <a:extLst>
              <a:ext uri="{FF2B5EF4-FFF2-40B4-BE49-F238E27FC236}">
                <a16:creationId xmlns:a16="http://schemas.microsoft.com/office/drawing/2014/main" id="{33C3ABF4-1C89-7868-4678-B2B24D51F38E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718939D2-0AC6-297D-3328-EBAE15521A49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依頼書</a:t>
            </a:r>
          </a:p>
        </xdr:txBody>
      </xdr:sp>
    </xdr:grpSp>
    <xdr:clientData/>
  </xdr:twoCellAnchor>
  <xdr:twoCellAnchor>
    <xdr:from>
      <xdr:col>8</xdr:col>
      <xdr:colOff>36647</xdr:colOff>
      <xdr:row>166</xdr:row>
      <xdr:rowOff>43224</xdr:rowOff>
    </xdr:from>
    <xdr:to>
      <xdr:col>30</xdr:col>
      <xdr:colOff>87447</xdr:colOff>
      <xdr:row>179</xdr:row>
      <xdr:rowOff>132125</xdr:rowOff>
    </xdr:to>
    <xdr:sp macro="" textlink="">
      <xdr:nvSpPr>
        <xdr:cNvPr id="206" name="正方形/長方形 205">
          <a:extLst>
            <a:ext uri="{FF2B5EF4-FFF2-40B4-BE49-F238E27FC236}">
              <a16:creationId xmlns:a16="http://schemas.microsoft.com/office/drawing/2014/main" id="{845177FD-B539-459F-AC39-0F012B75F6C6}"/>
            </a:ext>
          </a:extLst>
        </xdr:cNvPr>
        <xdr:cNvSpPr/>
      </xdr:nvSpPr>
      <xdr:spPr>
        <a:xfrm>
          <a:off x="1597370" y="32600363"/>
          <a:ext cx="4342788" cy="2326702"/>
        </a:xfrm>
        <a:prstGeom prst="rect">
          <a:avLst/>
        </a:prstGeom>
        <a:solidFill>
          <a:srgbClr val="FFFF00">
            <a:alpha val="36863"/>
          </a:srgbClr>
        </a:solidFill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>
              <a:solidFill>
                <a:srgbClr val="FF0000"/>
              </a:solidFill>
            </a:rPr>
            <a:t>情報収集方法検討中</a:t>
          </a:r>
          <a:endParaRPr kumimoji="1" lang="en-US" altLang="ja-JP" sz="24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82550</xdr:colOff>
      <xdr:row>187</xdr:row>
      <xdr:rowOff>0</xdr:rowOff>
    </xdr:from>
    <xdr:to>
      <xdr:col>35</xdr:col>
      <xdr:colOff>67363</xdr:colOff>
      <xdr:row>190</xdr:row>
      <xdr:rowOff>30031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919018A7-3677-4226-9781-C86080E7FF9C}"/>
            </a:ext>
          </a:extLst>
        </xdr:cNvPr>
        <xdr:cNvGrpSpPr/>
      </xdr:nvGrpSpPr>
      <xdr:grpSpPr>
        <a:xfrm>
          <a:off x="6003562" y="33106179"/>
          <a:ext cx="1205646" cy="558804"/>
          <a:chOff x="1580728" y="2457449"/>
          <a:chExt cx="1013466" cy="381718"/>
        </a:xfrm>
      </xdr:grpSpPr>
      <xdr:sp macro="" textlink="">
        <xdr:nvSpPr>
          <xdr:cNvPr id="208" name="フローチャート: 定義済み処理 207">
            <a:extLst>
              <a:ext uri="{FF2B5EF4-FFF2-40B4-BE49-F238E27FC236}">
                <a16:creationId xmlns:a16="http://schemas.microsoft.com/office/drawing/2014/main" id="{6F21CAA6-BA07-262A-0648-8507E08C8C84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9" name="正方形/長方形 48">
            <a:extLst>
              <a:ext uri="{FF2B5EF4-FFF2-40B4-BE49-F238E27FC236}">
                <a16:creationId xmlns:a16="http://schemas.microsoft.com/office/drawing/2014/main" id="{06296849-B2EB-B2F2-AFE9-80C45142B619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登録内容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確認・承認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117142</xdr:colOff>
      <xdr:row>185</xdr:row>
      <xdr:rowOff>20068</xdr:rowOff>
    </xdr:from>
    <xdr:to>
      <xdr:col>32</xdr:col>
      <xdr:colOff>83820</xdr:colOff>
      <xdr:row>186</xdr:row>
      <xdr:rowOff>171449</xdr:rowOff>
    </xdr:to>
    <xdr:cxnSp macro="">
      <xdr:nvCxnSpPr>
        <xdr:cNvPr id="210" name="コネクタ: カギ線 209">
          <a:extLst>
            <a:ext uri="{FF2B5EF4-FFF2-40B4-BE49-F238E27FC236}">
              <a16:creationId xmlns:a16="http://schemas.microsoft.com/office/drawing/2014/main" id="{D44CE128-2F41-4051-B6D6-C8E29557C88D}"/>
            </a:ext>
          </a:extLst>
        </xdr:cNvPr>
        <xdr:cNvCxnSpPr>
          <a:cxnSpLocks/>
          <a:stCxn id="142" idx="2"/>
          <a:endCxn id="208" idx="0"/>
        </xdr:cNvCxnSpPr>
      </xdr:nvCxnSpPr>
      <xdr:spPr>
        <a:xfrm rot="16200000" flipH="1">
          <a:off x="5641365" y="35177120"/>
          <a:ext cx="322831" cy="137002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191</xdr:row>
      <xdr:rowOff>152400</xdr:rowOff>
    </xdr:from>
    <xdr:to>
      <xdr:col>28</xdr:col>
      <xdr:colOff>83238</xdr:colOff>
      <xdr:row>194</xdr:row>
      <xdr:rowOff>169731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58399CB0-4A59-4222-9C4D-2096DBC9932E}"/>
            </a:ext>
          </a:extLst>
        </xdr:cNvPr>
        <xdr:cNvGrpSpPr/>
      </xdr:nvGrpSpPr>
      <xdr:grpSpPr>
        <a:xfrm>
          <a:off x="4588147" y="33966150"/>
          <a:ext cx="1211996" cy="551820"/>
          <a:chOff x="1580728" y="2457449"/>
          <a:chExt cx="1013466" cy="381718"/>
        </a:xfrm>
      </xdr:grpSpPr>
      <xdr:sp macro="" textlink="">
        <xdr:nvSpPr>
          <xdr:cNvPr id="212" name="フローチャート: 定義済み処理 211">
            <a:extLst>
              <a:ext uri="{FF2B5EF4-FFF2-40B4-BE49-F238E27FC236}">
                <a16:creationId xmlns:a16="http://schemas.microsoft.com/office/drawing/2014/main" id="{DA299A69-09AF-8F63-09ED-AEB944CB23E7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13" name="正方形/長方形 48">
            <a:extLst>
              <a:ext uri="{FF2B5EF4-FFF2-40B4-BE49-F238E27FC236}">
                <a16:creationId xmlns:a16="http://schemas.microsoft.com/office/drawing/2014/main" id="{1D5134E4-EB46-DADB-D8D8-0CCD0F922B1F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立替金データ転記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101267</xdr:colOff>
      <xdr:row>190</xdr:row>
      <xdr:rowOff>30030</xdr:rowOff>
    </xdr:from>
    <xdr:to>
      <xdr:col>32</xdr:col>
      <xdr:colOff>74958</xdr:colOff>
      <xdr:row>191</xdr:row>
      <xdr:rowOff>152399</xdr:rowOff>
    </xdr:to>
    <xdr:cxnSp macro="">
      <xdr:nvCxnSpPr>
        <xdr:cNvPr id="214" name="コネクタ: カギ線 213">
          <a:extLst>
            <a:ext uri="{FF2B5EF4-FFF2-40B4-BE49-F238E27FC236}">
              <a16:creationId xmlns:a16="http://schemas.microsoft.com/office/drawing/2014/main" id="{AB2CAEBB-179D-4FF9-9B86-DD6285E15A4B}"/>
            </a:ext>
          </a:extLst>
        </xdr:cNvPr>
        <xdr:cNvCxnSpPr>
          <a:cxnSpLocks/>
          <a:stCxn id="209" idx="2"/>
          <a:endCxn id="212" idx="0"/>
        </xdr:cNvCxnSpPr>
      </xdr:nvCxnSpPr>
      <xdr:spPr>
        <a:xfrm rot="5400000">
          <a:off x="5641916" y="36027906"/>
          <a:ext cx="296994" cy="137069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188445</xdr:colOff>
      <xdr:row>186</xdr:row>
      <xdr:rowOff>163791</xdr:rowOff>
    </xdr:from>
    <xdr:to>
      <xdr:col>55</xdr:col>
      <xdr:colOff>192061</xdr:colOff>
      <xdr:row>190</xdr:row>
      <xdr:rowOff>47168</xdr:rowOff>
    </xdr:to>
    <xdr:grpSp>
      <xdr:nvGrpSpPr>
        <xdr:cNvPr id="215" name="グループ化 214">
          <a:extLst>
            <a:ext uri="{FF2B5EF4-FFF2-40B4-BE49-F238E27FC236}">
              <a16:creationId xmlns:a16="http://schemas.microsoft.com/office/drawing/2014/main" id="{AF6241BC-AC12-4610-B060-806A6B1F6FC7}"/>
            </a:ext>
          </a:extLst>
        </xdr:cNvPr>
        <xdr:cNvGrpSpPr/>
      </xdr:nvGrpSpPr>
      <xdr:grpSpPr>
        <a:xfrm>
          <a:off x="10393802" y="33094982"/>
          <a:ext cx="1024152" cy="590948"/>
          <a:chOff x="7113625" y="2892425"/>
          <a:chExt cx="914621" cy="594025"/>
        </a:xfrm>
      </xdr:grpSpPr>
      <xdr:sp macro="" textlink="">
        <xdr:nvSpPr>
          <xdr:cNvPr id="216" name="フローチャート: 磁気ディスク 215">
            <a:extLst>
              <a:ext uri="{FF2B5EF4-FFF2-40B4-BE49-F238E27FC236}">
                <a16:creationId xmlns:a16="http://schemas.microsoft.com/office/drawing/2014/main" id="{CD4FC958-2099-B33D-6669-3704EAE63F9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17" name="正方形/長方形 216">
            <a:extLst>
              <a:ext uri="{FF2B5EF4-FFF2-40B4-BE49-F238E27FC236}">
                <a16:creationId xmlns:a16="http://schemas.microsoft.com/office/drawing/2014/main" id="{4D9E4D5F-4204-32AA-C995-A1C8D7419A0C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34</xdr:col>
      <xdr:colOff>159476</xdr:colOff>
      <xdr:row>188</xdr:row>
      <xdr:rowOff>77649</xdr:rowOff>
    </xdr:from>
    <xdr:to>
      <xdr:col>51</xdr:col>
      <xdr:colOff>87683</xdr:colOff>
      <xdr:row>188</xdr:row>
      <xdr:rowOff>95701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6DF2E08C-BDEE-427F-83A5-41DC8C249D0E}"/>
            </a:ext>
          </a:extLst>
        </xdr:cNvPr>
        <xdr:cNvCxnSpPr>
          <a:cxnSpLocks/>
          <a:stCxn id="208" idx="3"/>
          <a:endCxn id="216" idx="2"/>
        </xdr:cNvCxnSpPr>
      </xdr:nvCxnSpPr>
      <xdr:spPr>
        <a:xfrm flipV="1">
          <a:off x="6963501" y="36272649"/>
          <a:ext cx="1922107" cy="18052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159870</xdr:colOff>
      <xdr:row>191</xdr:row>
      <xdr:rowOff>151967</xdr:rowOff>
    </xdr:from>
    <xdr:to>
      <xdr:col>55</xdr:col>
      <xdr:colOff>169836</xdr:colOff>
      <xdr:row>195</xdr:row>
      <xdr:rowOff>35344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id="{2B1B2C73-CE5F-4652-BEDC-4753AF3F5DD9}"/>
            </a:ext>
          </a:extLst>
        </xdr:cNvPr>
        <xdr:cNvGrpSpPr/>
      </xdr:nvGrpSpPr>
      <xdr:grpSpPr>
        <a:xfrm>
          <a:off x="10367132" y="33965717"/>
          <a:ext cx="1032407" cy="590948"/>
          <a:chOff x="7113625" y="2892425"/>
          <a:chExt cx="914621" cy="594025"/>
        </a:xfrm>
      </xdr:grpSpPr>
      <xdr:sp macro="" textlink="">
        <xdr:nvSpPr>
          <xdr:cNvPr id="220" name="フローチャート: 磁気ディスク 219">
            <a:extLst>
              <a:ext uri="{FF2B5EF4-FFF2-40B4-BE49-F238E27FC236}">
                <a16:creationId xmlns:a16="http://schemas.microsoft.com/office/drawing/2014/main" id="{B43D37B8-E327-3D17-5CFF-21F385EB605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28140523-2F3F-FD61-4D19-844255D16AE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27</xdr:col>
      <xdr:colOff>197645</xdr:colOff>
      <xdr:row>202</xdr:row>
      <xdr:rowOff>68124</xdr:rowOff>
    </xdr:from>
    <xdr:to>
      <xdr:col>51</xdr:col>
      <xdr:colOff>52130</xdr:colOff>
      <xdr:row>202</xdr:row>
      <xdr:rowOff>82188</xdr:rowOff>
    </xdr:to>
    <xdr:cxnSp macro="">
      <xdr:nvCxnSpPr>
        <xdr:cNvPr id="222" name="コネクタ: カギ線 221">
          <a:extLst>
            <a:ext uri="{FF2B5EF4-FFF2-40B4-BE49-F238E27FC236}">
              <a16:creationId xmlns:a16="http://schemas.microsoft.com/office/drawing/2014/main" id="{8E2EAA6B-55DB-49AC-825F-468559DCD3B6}"/>
            </a:ext>
          </a:extLst>
        </xdr:cNvPr>
        <xdr:cNvCxnSpPr>
          <a:cxnSpLocks/>
          <a:stCxn id="228" idx="2"/>
          <a:endCxn id="145" idx="3"/>
        </xdr:cNvCxnSpPr>
      </xdr:nvCxnSpPr>
      <xdr:spPr>
        <a:xfrm rot="10800000" flipV="1">
          <a:off x="5601495" y="38660249"/>
          <a:ext cx="3248560" cy="20414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98092</xdr:colOff>
      <xdr:row>194</xdr:row>
      <xdr:rowOff>159885</xdr:rowOff>
    </xdr:from>
    <xdr:to>
      <xdr:col>25</xdr:col>
      <xdr:colOff>114964</xdr:colOff>
      <xdr:row>200</xdr:row>
      <xdr:rowOff>164352</xdr:rowOff>
    </xdr:to>
    <xdr:cxnSp macro="">
      <xdr:nvCxnSpPr>
        <xdr:cNvPr id="223" name="コネクタ: カギ線 222">
          <a:extLst>
            <a:ext uri="{FF2B5EF4-FFF2-40B4-BE49-F238E27FC236}">
              <a16:creationId xmlns:a16="http://schemas.microsoft.com/office/drawing/2014/main" id="{A054B087-4CBC-4C34-A99C-D9351018914A}"/>
            </a:ext>
          </a:extLst>
        </xdr:cNvPr>
        <xdr:cNvCxnSpPr>
          <a:cxnSpLocks/>
          <a:stCxn id="212" idx="2"/>
          <a:endCxn id="145" idx="0"/>
        </xdr:cNvCxnSpPr>
      </xdr:nvCxnSpPr>
      <xdr:spPr>
        <a:xfrm rot="16200000" flipH="1">
          <a:off x="4593744" y="37891733"/>
          <a:ext cx="1026817" cy="1687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114300</xdr:colOff>
      <xdr:row>210</xdr:row>
      <xdr:rowOff>0</xdr:rowOff>
    </xdr:from>
    <xdr:to>
      <xdr:col>30</xdr:col>
      <xdr:colOff>1452</xdr:colOff>
      <xdr:row>212</xdr:row>
      <xdr:rowOff>28949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AEA0AC23-963C-44C2-8B18-C865B5E06DA8}"/>
            </a:ext>
          </a:extLst>
        </xdr:cNvPr>
        <xdr:cNvGrpSpPr>
          <a:grpSpLocks noChangeAspect="1"/>
        </xdr:cNvGrpSpPr>
      </xdr:nvGrpSpPr>
      <xdr:grpSpPr>
        <a:xfrm>
          <a:off x="5421086" y="37174714"/>
          <a:ext cx="703580" cy="380830"/>
          <a:chOff x="2791278" y="18514786"/>
          <a:chExt cx="773793" cy="417285"/>
        </a:xfrm>
      </xdr:grpSpPr>
      <xdr:sp macro="" textlink="">
        <xdr:nvSpPr>
          <xdr:cNvPr id="225" name="フローチャート: 書類 224">
            <a:extLst>
              <a:ext uri="{FF2B5EF4-FFF2-40B4-BE49-F238E27FC236}">
                <a16:creationId xmlns:a16="http://schemas.microsoft.com/office/drawing/2014/main" id="{56218B06-0013-6A38-D3B1-A276EE90584F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8E53F15B-FA1E-0DDF-FDDE-26EC29ABB98B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立替金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請求書</a:t>
            </a:r>
          </a:p>
        </xdr:txBody>
      </xdr:sp>
    </xdr:grpSp>
    <xdr:clientData/>
  </xdr:twoCellAnchor>
  <xdr:twoCellAnchor>
    <xdr:from>
      <xdr:col>50</xdr:col>
      <xdr:colOff>153520</xdr:colOff>
      <xdr:row>200</xdr:row>
      <xdr:rowOff>151091</xdr:rowOff>
    </xdr:from>
    <xdr:to>
      <xdr:col>55</xdr:col>
      <xdr:colOff>150786</xdr:colOff>
      <xdr:row>204</xdr:row>
      <xdr:rowOff>40818</xdr:rowOff>
    </xdr:to>
    <xdr:grpSp>
      <xdr:nvGrpSpPr>
        <xdr:cNvPr id="227" name="グループ化 226">
          <a:extLst>
            <a:ext uri="{FF2B5EF4-FFF2-40B4-BE49-F238E27FC236}">
              <a16:creationId xmlns:a16="http://schemas.microsoft.com/office/drawing/2014/main" id="{8302CFCF-8C7A-4238-B971-BC0967F29721}"/>
            </a:ext>
          </a:extLst>
        </xdr:cNvPr>
        <xdr:cNvGrpSpPr/>
      </xdr:nvGrpSpPr>
      <xdr:grpSpPr>
        <a:xfrm>
          <a:off x="10358877" y="35556877"/>
          <a:ext cx="1017802" cy="597298"/>
          <a:chOff x="7113625" y="2892425"/>
          <a:chExt cx="914621" cy="594025"/>
        </a:xfrm>
      </xdr:grpSpPr>
      <xdr:sp macro="" textlink="">
        <xdr:nvSpPr>
          <xdr:cNvPr id="228" name="フローチャート: 磁気ディスク 227">
            <a:extLst>
              <a:ext uri="{FF2B5EF4-FFF2-40B4-BE49-F238E27FC236}">
                <a16:creationId xmlns:a16="http://schemas.microsoft.com/office/drawing/2014/main" id="{2D7D130A-1E47-B713-2381-B3C5D82F8389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9" name="正方形/長方形 228">
            <a:extLst>
              <a:ext uri="{FF2B5EF4-FFF2-40B4-BE49-F238E27FC236}">
                <a16:creationId xmlns:a16="http://schemas.microsoft.com/office/drawing/2014/main" id="{8D9346AA-2F7F-E0C2-747F-419E34493C9B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</a:p>
        </xdr:txBody>
      </xdr:sp>
    </xdr:grpSp>
    <xdr:clientData/>
  </xdr:twoCellAnchor>
  <xdr:twoCellAnchor>
    <xdr:from>
      <xdr:col>27</xdr:col>
      <xdr:colOff>174300</xdr:colOff>
      <xdr:row>193</xdr:row>
      <xdr:rowOff>66259</xdr:rowOff>
    </xdr:from>
    <xdr:to>
      <xdr:col>51</xdr:col>
      <xdr:colOff>64093</xdr:colOff>
      <xdr:row>193</xdr:row>
      <xdr:rowOff>70765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D87AE57C-1A54-4A91-AC15-D3752E789E06}"/>
            </a:ext>
          </a:extLst>
        </xdr:cNvPr>
        <xdr:cNvCxnSpPr>
          <a:cxnSpLocks/>
          <a:stCxn id="212" idx="3"/>
          <a:endCxn id="220" idx="2"/>
        </xdr:cNvCxnSpPr>
      </xdr:nvCxnSpPr>
      <xdr:spPr>
        <a:xfrm flipV="1">
          <a:off x="5574975" y="37121684"/>
          <a:ext cx="3293393" cy="0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160242</xdr:colOff>
      <xdr:row>53</xdr:row>
      <xdr:rowOff>39596</xdr:rowOff>
    </xdr:from>
    <xdr:to>
      <xdr:col>62</xdr:col>
      <xdr:colOff>164978</xdr:colOff>
      <xdr:row>56</xdr:row>
      <xdr:rowOff>126171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399E43CE-B64C-4808-BFE8-F93A446036B3}"/>
            </a:ext>
          </a:extLst>
        </xdr:cNvPr>
        <xdr:cNvGrpSpPr/>
      </xdr:nvGrpSpPr>
      <xdr:grpSpPr>
        <a:xfrm>
          <a:off x="11796254" y="9442132"/>
          <a:ext cx="1027177" cy="621063"/>
          <a:chOff x="7113625" y="2892425"/>
          <a:chExt cx="914621" cy="594025"/>
        </a:xfrm>
      </xdr:grpSpPr>
      <xdr:sp macro="" textlink="">
        <xdr:nvSpPr>
          <xdr:cNvPr id="232" name="フローチャート: 磁気ディスク 231">
            <a:extLst>
              <a:ext uri="{FF2B5EF4-FFF2-40B4-BE49-F238E27FC236}">
                <a16:creationId xmlns:a16="http://schemas.microsoft.com/office/drawing/2014/main" id="{97E37E85-16BD-F012-FBE3-A4589D32993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800">
                <a:solidFill>
                  <a:srgbClr val="FF0000"/>
                </a:solidFill>
              </a:rPr>
              <a:t>BtoB</a:t>
            </a:r>
          </a:p>
          <a:p>
            <a:pPr algn="ctr"/>
            <a:r>
              <a:rPr kumimoji="1" lang="ja-JP" altLang="en-US" sz="800">
                <a:solidFill>
                  <a:srgbClr val="FF0000"/>
                </a:solidFill>
              </a:rPr>
              <a:t>プラットフォーム</a:t>
            </a:r>
          </a:p>
        </xdr:txBody>
      </xdr:sp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D7F3A6CC-FA60-47AF-4DED-49132F41BD50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86257</xdr:colOff>
      <xdr:row>54</xdr:row>
      <xdr:rowOff>112248</xdr:rowOff>
    </xdr:from>
    <xdr:to>
      <xdr:col>58</xdr:col>
      <xdr:colOff>61916</xdr:colOff>
      <xdr:row>54</xdr:row>
      <xdr:rowOff>138248</xdr:rowOff>
    </xdr:to>
    <xdr:cxnSp macro="">
      <xdr:nvCxnSpPr>
        <xdr:cNvPr id="234" name="コネクタ: カギ線 233">
          <a:extLst>
            <a:ext uri="{FF2B5EF4-FFF2-40B4-BE49-F238E27FC236}">
              <a16:creationId xmlns:a16="http://schemas.microsoft.com/office/drawing/2014/main" id="{A07E0B05-E7A0-4AE1-9C09-DDDEB3CCDC01}"/>
            </a:ext>
          </a:extLst>
        </xdr:cNvPr>
        <xdr:cNvCxnSpPr>
          <a:cxnSpLocks/>
          <a:stCxn id="164" idx="3"/>
          <a:endCxn id="232" idx="2"/>
        </xdr:cNvCxnSpPr>
      </xdr:nvCxnSpPr>
      <xdr:spPr>
        <a:xfrm>
          <a:off x="5683782" y="9389598"/>
          <a:ext cx="4582584" cy="2917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79260</xdr:colOff>
      <xdr:row>117</xdr:row>
      <xdr:rowOff>70435</xdr:rowOff>
    </xdr:from>
    <xdr:to>
      <xdr:col>56</xdr:col>
      <xdr:colOff>109396</xdr:colOff>
      <xdr:row>121</xdr:row>
      <xdr:rowOff>8475</xdr:rowOff>
    </xdr:to>
    <xdr:grpSp>
      <xdr:nvGrpSpPr>
        <xdr:cNvPr id="236" name="グループ化 235">
          <a:extLst>
            <a:ext uri="{FF2B5EF4-FFF2-40B4-BE49-F238E27FC236}">
              <a16:creationId xmlns:a16="http://schemas.microsoft.com/office/drawing/2014/main" id="{F67EA732-9B65-AF41-539F-A6217772E1C2}"/>
            </a:ext>
          </a:extLst>
        </xdr:cNvPr>
        <xdr:cNvGrpSpPr/>
      </xdr:nvGrpSpPr>
      <xdr:grpSpPr>
        <a:xfrm>
          <a:off x="10488724" y="20792209"/>
          <a:ext cx="1048767" cy="649421"/>
          <a:chOff x="7113625" y="2892425"/>
          <a:chExt cx="914621" cy="583743"/>
        </a:xfrm>
      </xdr:grpSpPr>
      <xdr:sp macro="" textlink="">
        <xdr:nvSpPr>
          <xdr:cNvPr id="237" name="フローチャート: 磁気ディスク 236">
            <a:extLst>
              <a:ext uri="{FF2B5EF4-FFF2-40B4-BE49-F238E27FC236}">
                <a16:creationId xmlns:a16="http://schemas.microsoft.com/office/drawing/2014/main" id="{4AD5A160-98F3-3415-B543-22E767E1E01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38" name="正方形/長方形 237">
            <a:extLst>
              <a:ext uri="{FF2B5EF4-FFF2-40B4-BE49-F238E27FC236}">
                <a16:creationId xmlns:a16="http://schemas.microsoft.com/office/drawing/2014/main" id="{BB2E0DBD-8A9A-2A5C-985E-AD42DC96F141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55</xdr:col>
      <xdr:colOff>176958</xdr:colOff>
      <xdr:row>116</xdr:row>
      <xdr:rowOff>130175</xdr:rowOff>
    </xdr:from>
    <xdr:to>
      <xdr:col>60</xdr:col>
      <xdr:colOff>174447</xdr:colOff>
      <xdr:row>119</xdr:row>
      <xdr:rowOff>14190</xdr:rowOff>
    </xdr:to>
    <xdr:cxnSp macro="">
      <xdr:nvCxnSpPr>
        <xdr:cNvPr id="266" name="直線矢印コネクタ 7571">
          <a:extLst>
            <a:ext uri="{FF2B5EF4-FFF2-40B4-BE49-F238E27FC236}">
              <a16:creationId xmlns:a16="http://schemas.microsoft.com/office/drawing/2014/main" id="{4E99B99C-DD43-4443-B51C-7E137231CF13}"/>
            </a:ext>
          </a:extLst>
        </xdr:cNvPr>
        <xdr:cNvCxnSpPr>
          <a:cxnSpLocks/>
          <a:stCxn id="31" idx="3"/>
          <a:endCxn id="237" idx="4"/>
        </xdr:cNvCxnSpPr>
      </xdr:nvCxnSpPr>
      <xdr:spPr>
        <a:xfrm rot="5400000">
          <a:off x="9784842" y="23743997"/>
          <a:ext cx="399485" cy="968666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44823</xdr:colOff>
      <xdr:row>38</xdr:row>
      <xdr:rowOff>164378</xdr:rowOff>
    </xdr:from>
    <xdr:to>
      <xdr:col>56</xdr:col>
      <xdr:colOff>74959</xdr:colOff>
      <xdr:row>42</xdr:row>
      <xdr:rowOff>102418</xdr:rowOff>
    </xdr:to>
    <xdr:grpSp>
      <xdr:nvGrpSpPr>
        <xdr:cNvPr id="285" name="グループ化 284">
          <a:extLst>
            <a:ext uri="{FF2B5EF4-FFF2-40B4-BE49-F238E27FC236}">
              <a16:creationId xmlns:a16="http://schemas.microsoft.com/office/drawing/2014/main" id="{7394F2D5-BFBC-4761-8250-57ADAC88FF89}"/>
            </a:ext>
          </a:extLst>
        </xdr:cNvPr>
        <xdr:cNvGrpSpPr/>
      </xdr:nvGrpSpPr>
      <xdr:grpSpPr>
        <a:xfrm>
          <a:off x="10456192" y="6917331"/>
          <a:ext cx="1048767" cy="637991"/>
          <a:chOff x="7113625" y="2892425"/>
          <a:chExt cx="914621" cy="583743"/>
        </a:xfrm>
      </xdr:grpSpPr>
      <xdr:sp macro="" textlink="">
        <xdr:nvSpPr>
          <xdr:cNvPr id="286" name="フローチャート: 磁気ディスク 285">
            <a:extLst>
              <a:ext uri="{FF2B5EF4-FFF2-40B4-BE49-F238E27FC236}">
                <a16:creationId xmlns:a16="http://schemas.microsoft.com/office/drawing/2014/main" id="{599974D3-9815-0994-22BD-1AF5641761A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87" name="正方形/長方形 286">
            <a:extLst>
              <a:ext uri="{FF2B5EF4-FFF2-40B4-BE49-F238E27FC236}">
                <a16:creationId xmlns:a16="http://schemas.microsoft.com/office/drawing/2014/main" id="{0421EA8D-5298-C71D-D282-B5773C881CCE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55</xdr:col>
      <xdr:colOff>142520</xdr:colOff>
      <xdr:row>38</xdr:row>
      <xdr:rowOff>22420</xdr:rowOff>
    </xdr:from>
    <xdr:to>
      <xdr:col>60</xdr:col>
      <xdr:colOff>111708</xdr:colOff>
      <xdr:row>40</xdr:row>
      <xdr:rowOff>108135</xdr:rowOff>
    </xdr:to>
    <xdr:cxnSp macro="">
      <xdr:nvCxnSpPr>
        <xdr:cNvPr id="288" name="直線矢印コネクタ 7571">
          <a:extLst>
            <a:ext uri="{FF2B5EF4-FFF2-40B4-BE49-F238E27FC236}">
              <a16:creationId xmlns:a16="http://schemas.microsoft.com/office/drawing/2014/main" id="{ABADE622-E9CA-4942-9FE9-ED5D59172026}"/>
            </a:ext>
          </a:extLst>
        </xdr:cNvPr>
        <xdr:cNvCxnSpPr>
          <a:cxnSpLocks/>
          <a:stCxn id="120" idx="3"/>
          <a:endCxn id="286" idx="4"/>
        </xdr:cNvCxnSpPr>
      </xdr:nvCxnSpPr>
      <xdr:spPr>
        <a:xfrm rot="5400000">
          <a:off x="9721316" y="6311153"/>
          <a:ext cx="429362" cy="940365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134470</xdr:colOff>
      <xdr:row>27</xdr:row>
      <xdr:rowOff>22412</xdr:rowOff>
    </xdr:from>
    <xdr:to>
      <xdr:col>63</xdr:col>
      <xdr:colOff>166687</xdr:colOff>
      <xdr:row>57</xdr:row>
      <xdr:rowOff>12325</xdr:rowOff>
    </xdr:to>
    <xdr:sp macro="" textlink="">
      <xdr:nvSpPr>
        <xdr:cNvPr id="235" name="正方形/長方形 234">
          <a:extLst>
            <a:ext uri="{FF2B5EF4-FFF2-40B4-BE49-F238E27FC236}">
              <a16:creationId xmlns:a16="http://schemas.microsoft.com/office/drawing/2014/main" id="{F0EDCA7A-C70F-4A0E-B64A-02343EB69078}"/>
            </a:ext>
          </a:extLst>
        </xdr:cNvPr>
        <xdr:cNvSpPr/>
      </xdr:nvSpPr>
      <xdr:spPr>
        <a:xfrm>
          <a:off x="4019176" y="4676588"/>
          <a:ext cx="7024687" cy="5144619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51</xdr:col>
      <xdr:colOff>67235</xdr:colOff>
      <xdr:row>155</xdr:row>
      <xdr:rowOff>67260</xdr:rowOff>
    </xdr:from>
    <xdr:to>
      <xdr:col>56</xdr:col>
      <xdr:colOff>97371</xdr:colOff>
      <xdr:row>159</xdr:row>
      <xdr:rowOff>5300</xdr:rowOff>
    </xdr:to>
    <xdr:grpSp>
      <xdr:nvGrpSpPr>
        <xdr:cNvPr id="290" name="グループ化 289">
          <a:extLst>
            <a:ext uri="{FF2B5EF4-FFF2-40B4-BE49-F238E27FC236}">
              <a16:creationId xmlns:a16="http://schemas.microsoft.com/office/drawing/2014/main" id="{4C5FF09B-73EE-4E14-ADEF-EB79ED482603}"/>
            </a:ext>
          </a:extLst>
        </xdr:cNvPr>
        <xdr:cNvGrpSpPr/>
      </xdr:nvGrpSpPr>
      <xdr:grpSpPr>
        <a:xfrm>
          <a:off x="10474794" y="27510962"/>
          <a:ext cx="1048767" cy="649422"/>
          <a:chOff x="7113625" y="2892425"/>
          <a:chExt cx="914621" cy="583743"/>
        </a:xfrm>
      </xdr:grpSpPr>
      <xdr:sp macro="" textlink="">
        <xdr:nvSpPr>
          <xdr:cNvPr id="295" name="フローチャート: 磁気ディスク 294">
            <a:extLst>
              <a:ext uri="{FF2B5EF4-FFF2-40B4-BE49-F238E27FC236}">
                <a16:creationId xmlns:a16="http://schemas.microsoft.com/office/drawing/2014/main" id="{6EBF747B-14CB-0A86-E737-6475CCB4BCA7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6" name="正方形/長方形 295">
            <a:extLst>
              <a:ext uri="{FF2B5EF4-FFF2-40B4-BE49-F238E27FC236}">
                <a16:creationId xmlns:a16="http://schemas.microsoft.com/office/drawing/2014/main" id="{BE6C74D6-215C-D305-D9BC-CAB1AA60CDA4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55</xdr:col>
      <xdr:colOff>164933</xdr:colOff>
      <xdr:row>155</xdr:row>
      <xdr:rowOff>153211</xdr:rowOff>
    </xdr:from>
    <xdr:to>
      <xdr:col>60</xdr:col>
      <xdr:colOff>126452</xdr:colOff>
      <xdr:row>157</xdr:row>
      <xdr:rowOff>11015</xdr:rowOff>
    </xdr:to>
    <xdr:cxnSp macro="">
      <xdr:nvCxnSpPr>
        <xdr:cNvPr id="297" name="直線矢印コネクタ 7571">
          <a:extLst>
            <a:ext uri="{FF2B5EF4-FFF2-40B4-BE49-F238E27FC236}">
              <a16:creationId xmlns:a16="http://schemas.microsoft.com/office/drawing/2014/main" id="{B55B9033-D9F0-4CD9-8CB5-4BDCCAA9B54E}"/>
            </a:ext>
          </a:extLst>
        </xdr:cNvPr>
        <xdr:cNvCxnSpPr>
          <a:cxnSpLocks/>
          <a:stCxn id="50" idx="3"/>
          <a:endCxn id="295" idx="4"/>
        </xdr:cNvCxnSpPr>
      </xdr:nvCxnSpPr>
      <xdr:spPr>
        <a:xfrm rot="5400000">
          <a:off x="9853849" y="26435177"/>
          <a:ext cx="201451" cy="932696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104403</xdr:colOff>
      <xdr:row>224</xdr:row>
      <xdr:rowOff>92822</xdr:rowOff>
    </xdr:from>
    <xdr:to>
      <xdr:col>26</xdr:col>
      <xdr:colOff>188041</xdr:colOff>
      <xdr:row>225</xdr:row>
      <xdr:rowOff>155451</xdr:rowOff>
    </xdr:to>
    <xdr:sp macro="" textlink="">
      <xdr:nvSpPr>
        <xdr:cNvPr id="92" name="フローチャート: 端子 91">
          <a:extLst>
            <a:ext uri="{FF2B5EF4-FFF2-40B4-BE49-F238E27FC236}">
              <a16:creationId xmlns:a16="http://schemas.microsoft.com/office/drawing/2014/main" id="{16A8189F-4400-4D6C-9FEE-54D957DD1C80}"/>
            </a:ext>
          </a:extLst>
        </xdr:cNvPr>
        <xdr:cNvSpPr/>
      </xdr:nvSpPr>
      <xdr:spPr>
        <a:xfrm>
          <a:off x="4485903" y="37766998"/>
          <a:ext cx="655138" cy="23071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44</xdr:col>
      <xdr:colOff>137593</xdr:colOff>
      <xdr:row>257</xdr:row>
      <xdr:rowOff>33646</xdr:rowOff>
    </xdr:from>
    <xdr:to>
      <xdr:col>48</xdr:col>
      <xdr:colOff>37081</xdr:colOff>
      <xdr:row>258</xdr:row>
      <xdr:rowOff>65617</xdr:rowOff>
    </xdr:to>
    <xdr:sp macro="" textlink="">
      <xdr:nvSpPr>
        <xdr:cNvPr id="103" name="フローチャート: 端子 102">
          <a:extLst>
            <a:ext uri="{FF2B5EF4-FFF2-40B4-BE49-F238E27FC236}">
              <a16:creationId xmlns:a16="http://schemas.microsoft.com/office/drawing/2014/main" id="{A122CCDC-15F6-42FD-AA09-5DC67D352A1D}"/>
            </a:ext>
          </a:extLst>
        </xdr:cNvPr>
        <xdr:cNvSpPr/>
      </xdr:nvSpPr>
      <xdr:spPr>
        <a:xfrm>
          <a:off x="8519593" y="44347575"/>
          <a:ext cx="661488" cy="20432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89647</xdr:colOff>
      <xdr:row>230</xdr:row>
      <xdr:rowOff>17778</xdr:rowOff>
    </xdr:from>
    <xdr:to>
      <xdr:col>28</xdr:col>
      <xdr:colOff>5508</xdr:colOff>
      <xdr:row>233</xdr:row>
      <xdr:rowOff>7890</xdr:rowOff>
    </xdr:to>
    <xdr:grpSp>
      <xdr:nvGrpSpPr>
        <xdr:cNvPr id="188" name="グループ化 187">
          <a:extLst>
            <a:ext uri="{FF2B5EF4-FFF2-40B4-BE49-F238E27FC236}">
              <a16:creationId xmlns:a16="http://schemas.microsoft.com/office/drawing/2014/main" id="{2E4D3AF2-85E8-40B4-A6B4-9B23B1219ECC}"/>
            </a:ext>
          </a:extLst>
        </xdr:cNvPr>
        <xdr:cNvGrpSpPr/>
      </xdr:nvGrpSpPr>
      <xdr:grpSpPr>
        <a:xfrm>
          <a:off x="4583814" y="40734159"/>
          <a:ext cx="1138599" cy="518886"/>
          <a:chOff x="1612900" y="2427475"/>
          <a:chExt cx="933032" cy="404625"/>
        </a:xfrm>
      </xdr:grpSpPr>
      <xdr:sp macro="" textlink="">
        <xdr:nvSpPr>
          <xdr:cNvPr id="189" name="フローチャート: 定義済み処理 188">
            <a:extLst>
              <a:ext uri="{FF2B5EF4-FFF2-40B4-BE49-F238E27FC236}">
                <a16:creationId xmlns:a16="http://schemas.microsoft.com/office/drawing/2014/main" id="{0B1021C5-CD85-8FA7-3519-D502F26FF2F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0" name="正方形/長方形 189">
            <a:extLst>
              <a:ext uri="{FF2B5EF4-FFF2-40B4-BE49-F238E27FC236}">
                <a16:creationId xmlns:a16="http://schemas.microsoft.com/office/drawing/2014/main" id="{0A91AEE1-040C-2AEF-DA2E-8B6AAAFD8C77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収益計上の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振替伝票登録</a:t>
            </a:r>
          </a:p>
        </xdr:txBody>
      </xdr:sp>
    </xdr:grpSp>
    <xdr:clientData/>
  </xdr:twoCellAnchor>
  <xdr:twoCellAnchor>
    <xdr:from>
      <xdr:col>27</xdr:col>
      <xdr:colOff>146038</xdr:colOff>
      <xdr:row>231</xdr:row>
      <xdr:rowOff>117682</xdr:rowOff>
    </xdr:from>
    <xdr:to>
      <xdr:col>51</xdr:col>
      <xdr:colOff>133299</xdr:colOff>
      <xdr:row>231</xdr:row>
      <xdr:rowOff>117799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2A833FDF-3494-474A-8194-B76C387D5A04}"/>
            </a:ext>
          </a:extLst>
        </xdr:cNvPr>
        <xdr:cNvCxnSpPr>
          <a:stCxn id="189" idx="3"/>
          <a:endCxn id="34" idx="2"/>
        </xdr:cNvCxnSpPr>
      </xdr:nvCxnSpPr>
      <xdr:spPr>
        <a:xfrm flipV="1">
          <a:off x="5289538" y="39950325"/>
          <a:ext cx="3225761" cy="11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36289</xdr:colOff>
      <xdr:row>230</xdr:row>
      <xdr:rowOff>18141</xdr:rowOff>
    </xdr:from>
    <xdr:to>
      <xdr:col>56</xdr:col>
      <xdr:colOff>3740</xdr:colOff>
      <xdr:row>233</xdr:row>
      <xdr:rowOff>93925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3D979132-7F63-45D0-B448-8112B0D3BD4E}"/>
            </a:ext>
          </a:extLst>
        </xdr:cNvPr>
        <xdr:cNvGrpSpPr>
          <a:grpSpLocks noChangeAspect="1"/>
        </xdr:cNvGrpSpPr>
      </xdr:nvGrpSpPr>
      <xdr:grpSpPr>
        <a:xfrm>
          <a:off x="10445753" y="40734522"/>
          <a:ext cx="987987" cy="606463"/>
          <a:chOff x="7112003" y="2892425"/>
          <a:chExt cx="873125" cy="584984"/>
        </a:xfrm>
      </xdr:grpSpPr>
      <xdr:sp macro="" textlink="">
        <xdr:nvSpPr>
          <xdr:cNvPr id="34" name="フローチャート: 磁気ディスク 33">
            <a:extLst>
              <a:ext uri="{FF2B5EF4-FFF2-40B4-BE49-F238E27FC236}">
                <a16:creationId xmlns:a16="http://schemas.microsoft.com/office/drawing/2014/main" id="{BC855644-8713-2728-6CCD-9ECCB6D972A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52D60257-B136-74DB-BE5A-21E49596A90A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アップロード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145146</xdr:colOff>
      <xdr:row>236</xdr:row>
      <xdr:rowOff>10268</xdr:rowOff>
    </xdr:from>
    <xdr:to>
      <xdr:col>27</xdr:col>
      <xdr:colOff>181430</xdr:colOff>
      <xdr:row>239</xdr:row>
      <xdr:rowOff>35898</xdr:rowOff>
    </xdr:to>
    <xdr:grpSp>
      <xdr:nvGrpSpPr>
        <xdr:cNvPr id="91" name="グループ化 8">
          <a:extLst>
            <a:ext uri="{FF2B5EF4-FFF2-40B4-BE49-F238E27FC236}">
              <a16:creationId xmlns:a16="http://schemas.microsoft.com/office/drawing/2014/main" id="{53695AE8-1E35-4B3D-8853-60DD62B52976}"/>
            </a:ext>
          </a:extLst>
        </xdr:cNvPr>
        <xdr:cNvGrpSpPr/>
      </xdr:nvGrpSpPr>
      <xdr:grpSpPr>
        <a:xfrm>
          <a:off x="4633598" y="41786102"/>
          <a:ext cx="1056820" cy="554403"/>
          <a:chOff x="1633113" y="2430783"/>
          <a:chExt cx="908902" cy="422628"/>
        </a:xfrm>
      </xdr:grpSpPr>
      <xdr:sp macro="" textlink="">
        <xdr:nvSpPr>
          <xdr:cNvPr id="93" name="フローチャート: 定義済み処理 9">
            <a:extLst>
              <a:ext uri="{FF2B5EF4-FFF2-40B4-BE49-F238E27FC236}">
                <a16:creationId xmlns:a16="http://schemas.microsoft.com/office/drawing/2014/main" id="{5050ABC6-0581-4E5A-9FBA-166A2BC20CDE}"/>
              </a:ext>
            </a:extLst>
          </xdr:cNvPr>
          <xdr:cNvSpPr/>
        </xdr:nvSpPr>
        <xdr:spPr>
          <a:xfrm>
            <a:off x="1680274" y="2456029"/>
            <a:ext cx="821559" cy="373592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94" name="正方形/長方形 48">
            <a:extLst>
              <a:ext uri="{FF2B5EF4-FFF2-40B4-BE49-F238E27FC236}">
                <a16:creationId xmlns:a16="http://schemas.microsoft.com/office/drawing/2014/main" id="{3CB25163-C577-7408-6C1E-14D292170388}"/>
              </a:ext>
            </a:extLst>
          </xdr:cNvPr>
          <xdr:cNvSpPr/>
        </xdr:nvSpPr>
        <xdr:spPr>
          <a:xfrm>
            <a:off x="1633113" y="2430783"/>
            <a:ext cx="908902" cy="4226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承認依頼</a:t>
            </a:r>
          </a:p>
        </xdr:txBody>
      </xdr:sp>
    </xdr:grpSp>
    <xdr:clientData/>
  </xdr:twoCellAnchor>
  <xdr:twoCellAnchor>
    <xdr:from>
      <xdr:col>51</xdr:col>
      <xdr:colOff>43215</xdr:colOff>
      <xdr:row>236</xdr:row>
      <xdr:rowOff>9072</xdr:rowOff>
    </xdr:from>
    <xdr:to>
      <xdr:col>56</xdr:col>
      <xdr:colOff>10666</xdr:colOff>
      <xdr:row>239</xdr:row>
      <xdr:rowOff>94230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5664FAD8-EF58-4565-BF42-BBC810EFB419}"/>
            </a:ext>
          </a:extLst>
        </xdr:cNvPr>
        <xdr:cNvGrpSpPr>
          <a:grpSpLocks noChangeAspect="1"/>
        </xdr:cNvGrpSpPr>
      </xdr:nvGrpSpPr>
      <xdr:grpSpPr>
        <a:xfrm>
          <a:off x="10454584" y="41784906"/>
          <a:ext cx="987987" cy="617741"/>
          <a:chOff x="7112003" y="2892425"/>
          <a:chExt cx="873125" cy="584984"/>
        </a:xfrm>
      </xdr:grpSpPr>
      <xdr:sp macro="" textlink="">
        <xdr:nvSpPr>
          <xdr:cNvPr id="96" name="フローチャート: 磁気ディスク 95">
            <a:extLst>
              <a:ext uri="{FF2B5EF4-FFF2-40B4-BE49-F238E27FC236}">
                <a16:creationId xmlns:a16="http://schemas.microsoft.com/office/drawing/2014/main" id="{8F233C1E-577E-C705-55E3-5469DFA87CF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3D6D96FF-F9BD-3ADA-806D-6828D6BB2AFC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29</xdr:col>
      <xdr:colOff>161777</xdr:colOff>
      <xdr:row>242</xdr:row>
      <xdr:rowOff>132563</xdr:rowOff>
    </xdr:from>
    <xdr:to>
      <xdr:col>35</xdr:col>
      <xdr:colOff>103360</xdr:colOff>
      <xdr:row>245</xdr:row>
      <xdr:rowOff>158194</xdr:rowOff>
    </xdr:to>
    <xdr:grpSp>
      <xdr:nvGrpSpPr>
        <xdr:cNvPr id="98" name="グループ化 8">
          <a:extLst>
            <a:ext uri="{FF2B5EF4-FFF2-40B4-BE49-F238E27FC236}">
              <a16:creationId xmlns:a16="http://schemas.microsoft.com/office/drawing/2014/main" id="{935F158E-4B0A-424D-B250-B6B51768294B}"/>
            </a:ext>
          </a:extLst>
        </xdr:cNvPr>
        <xdr:cNvGrpSpPr/>
      </xdr:nvGrpSpPr>
      <xdr:grpSpPr>
        <a:xfrm>
          <a:off x="6082789" y="42971659"/>
          <a:ext cx="1162416" cy="554404"/>
          <a:chOff x="1633113" y="2430783"/>
          <a:chExt cx="908902" cy="422628"/>
        </a:xfrm>
      </xdr:grpSpPr>
      <xdr:sp macro="" textlink="">
        <xdr:nvSpPr>
          <xdr:cNvPr id="99" name="フローチャート: 定義済み処理 9">
            <a:extLst>
              <a:ext uri="{FF2B5EF4-FFF2-40B4-BE49-F238E27FC236}">
                <a16:creationId xmlns:a16="http://schemas.microsoft.com/office/drawing/2014/main" id="{5B180064-2E82-DACC-98EE-E06B28F6692E}"/>
              </a:ext>
            </a:extLst>
          </xdr:cNvPr>
          <xdr:cNvSpPr/>
        </xdr:nvSpPr>
        <xdr:spPr>
          <a:xfrm>
            <a:off x="1680274" y="2456029"/>
            <a:ext cx="821559" cy="373592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0" name="正方形/長方形 48">
            <a:extLst>
              <a:ext uri="{FF2B5EF4-FFF2-40B4-BE49-F238E27FC236}">
                <a16:creationId xmlns:a16="http://schemas.microsoft.com/office/drawing/2014/main" id="{A28C2D5C-7551-F13F-D6A8-5FCE035E8F7B}"/>
              </a:ext>
            </a:extLst>
          </xdr:cNvPr>
          <xdr:cNvSpPr/>
        </xdr:nvSpPr>
        <xdr:spPr>
          <a:xfrm>
            <a:off x="1633113" y="2430783"/>
            <a:ext cx="908902" cy="4226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３</a:t>
            </a:r>
            <a:r>
              <a:rPr kumimoji="1" lang="en-US" altLang="ja-JP" sz="900"/>
              <a:t>.</a:t>
            </a:r>
            <a:r>
              <a:rPr kumimoji="1" lang="ja-JP" altLang="en-US" sz="900"/>
              <a:t>承認</a:t>
            </a:r>
          </a:p>
        </xdr:txBody>
      </xdr:sp>
    </xdr:grpSp>
    <xdr:clientData/>
  </xdr:twoCellAnchor>
  <xdr:twoCellAnchor>
    <xdr:from>
      <xdr:col>51</xdr:col>
      <xdr:colOff>43218</xdr:colOff>
      <xdr:row>242</xdr:row>
      <xdr:rowOff>124108</xdr:rowOff>
    </xdr:from>
    <xdr:to>
      <xdr:col>56</xdr:col>
      <xdr:colOff>10669</xdr:colOff>
      <xdr:row>246</xdr:row>
      <xdr:rowOff>23503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5E51E7B4-E1E1-4D58-B432-58F55DF4656E}"/>
            </a:ext>
          </a:extLst>
        </xdr:cNvPr>
        <xdr:cNvGrpSpPr>
          <a:grpSpLocks noChangeAspect="1"/>
        </xdr:cNvGrpSpPr>
      </xdr:nvGrpSpPr>
      <xdr:grpSpPr>
        <a:xfrm>
          <a:off x="10454587" y="42961299"/>
          <a:ext cx="987987" cy="601251"/>
          <a:chOff x="7112003" y="2892425"/>
          <a:chExt cx="873125" cy="584984"/>
        </a:xfrm>
      </xdr:grpSpPr>
      <xdr:sp macro="" textlink="">
        <xdr:nvSpPr>
          <xdr:cNvPr id="102" name="フローチャート: 磁気ディスク 101">
            <a:extLst>
              <a:ext uri="{FF2B5EF4-FFF2-40B4-BE49-F238E27FC236}">
                <a16:creationId xmlns:a16="http://schemas.microsoft.com/office/drawing/2014/main" id="{49C02FE2-2CB8-7C21-E2A0-D206EC943A2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45" name="正方形/長方形 244">
            <a:extLst>
              <a:ext uri="{FF2B5EF4-FFF2-40B4-BE49-F238E27FC236}">
                <a16:creationId xmlns:a16="http://schemas.microsoft.com/office/drawing/2014/main" id="{7FA35B3F-6B0F-9EAC-970B-209D8A594BDE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43</xdr:col>
      <xdr:colOff>111880</xdr:colOff>
      <xdr:row>252</xdr:row>
      <xdr:rowOff>24883</xdr:rowOff>
    </xdr:from>
    <xdr:to>
      <xdr:col>49</xdr:col>
      <xdr:colOff>53463</xdr:colOff>
      <xdr:row>255</xdr:row>
      <xdr:rowOff>50514</xdr:rowOff>
    </xdr:to>
    <xdr:grpSp>
      <xdr:nvGrpSpPr>
        <xdr:cNvPr id="246" name="グループ化 8">
          <a:extLst>
            <a:ext uri="{FF2B5EF4-FFF2-40B4-BE49-F238E27FC236}">
              <a16:creationId xmlns:a16="http://schemas.microsoft.com/office/drawing/2014/main" id="{C13CD9C2-DC3C-4B9C-B3CE-05DC0F857129}"/>
            </a:ext>
          </a:extLst>
        </xdr:cNvPr>
        <xdr:cNvGrpSpPr/>
      </xdr:nvGrpSpPr>
      <xdr:grpSpPr>
        <a:xfrm>
          <a:off x="8888487" y="44625287"/>
          <a:ext cx="1170036" cy="563930"/>
          <a:chOff x="1633113" y="2430783"/>
          <a:chExt cx="908902" cy="422628"/>
        </a:xfrm>
      </xdr:grpSpPr>
      <xdr:sp macro="" textlink="">
        <xdr:nvSpPr>
          <xdr:cNvPr id="247" name="フローチャート: 定義済み処理 9">
            <a:extLst>
              <a:ext uri="{FF2B5EF4-FFF2-40B4-BE49-F238E27FC236}">
                <a16:creationId xmlns:a16="http://schemas.microsoft.com/office/drawing/2014/main" id="{4D7478B1-653B-84C0-93D6-0D4635C92FFF}"/>
              </a:ext>
            </a:extLst>
          </xdr:cNvPr>
          <xdr:cNvSpPr/>
        </xdr:nvSpPr>
        <xdr:spPr>
          <a:xfrm>
            <a:off x="1680274" y="2456029"/>
            <a:ext cx="821559" cy="373592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48" name="正方形/長方形 48">
            <a:extLst>
              <a:ext uri="{FF2B5EF4-FFF2-40B4-BE49-F238E27FC236}">
                <a16:creationId xmlns:a16="http://schemas.microsoft.com/office/drawing/2014/main" id="{DB421882-2B96-A3DE-8CF7-46F03CE7860B}"/>
              </a:ext>
            </a:extLst>
          </xdr:cNvPr>
          <xdr:cNvSpPr/>
        </xdr:nvSpPr>
        <xdr:spPr>
          <a:xfrm>
            <a:off x="1633113" y="2430783"/>
            <a:ext cx="908902" cy="4226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４</a:t>
            </a:r>
            <a:r>
              <a:rPr kumimoji="1" lang="en-US" altLang="ja-JP" sz="900"/>
              <a:t>.</a:t>
            </a:r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51</xdr:col>
      <xdr:colOff>61361</xdr:colOff>
      <xdr:row>252</xdr:row>
      <xdr:rowOff>28355</xdr:rowOff>
    </xdr:from>
    <xdr:to>
      <xdr:col>56</xdr:col>
      <xdr:colOff>28812</xdr:colOff>
      <xdr:row>255</xdr:row>
      <xdr:rowOff>100108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28F709B5-7B6D-4E7B-AB34-6AB204C4E8DB}"/>
            </a:ext>
          </a:extLst>
        </xdr:cNvPr>
        <xdr:cNvGrpSpPr>
          <a:grpSpLocks noChangeAspect="1"/>
        </xdr:cNvGrpSpPr>
      </xdr:nvGrpSpPr>
      <xdr:grpSpPr>
        <a:xfrm>
          <a:off x="10467015" y="44630664"/>
          <a:ext cx="989892" cy="600527"/>
          <a:chOff x="7112003" y="2892425"/>
          <a:chExt cx="873125" cy="584984"/>
        </a:xfrm>
      </xdr:grpSpPr>
      <xdr:sp macro="" textlink="">
        <xdr:nvSpPr>
          <xdr:cNvPr id="251" name="フローチャート: 磁気ディスク 250">
            <a:extLst>
              <a:ext uri="{FF2B5EF4-FFF2-40B4-BE49-F238E27FC236}">
                <a16:creationId xmlns:a16="http://schemas.microsoft.com/office/drawing/2014/main" id="{4E0B2B0C-854B-E091-D2D2-72A529CA73F8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2A02AE88-4F68-667E-6C51-A3D88098D008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27</xdr:col>
      <xdr:colOff>137717</xdr:colOff>
      <xdr:row>237</xdr:row>
      <xdr:rowOff>110197</xdr:rowOff>
    </xdr:from>
    <xdr:to>
      <xdr:col>51</xdr:col>
      <xdr:colOff>140225</xdr:colOff>
      <xdr:row>237</xdr:row>
      <xdr:rowOff>112912</xdr:rowOff>
    </xdr:to>
    <xdr:cxnSp macro="">
      <xdr:nvCxnSpPr>
        <xdr:cNvPr id="253" name="直線矢印コネクタ 252">
          <a:extLst>
            <a:ext uri="{FF2B5EF4-FFF2-40B4-BE49-F238E27FC236}">
              <a16:creationId xmlns:a16="http://schemas.microsoft.com/office/drawing/2014/main" id="{1FAEB8C1-DAF8-43ED-B064-F14E9312B2BD}"/>
            </a:ext>
          </a:extLst>
        </xdr:cNvPr>
        <xdr:cNvCxnSpPr>
          <a:stCxn id="93" idx="3"/>
          <a:endCxn id="96" idx="2"/>
        </xdr:cNvCxnSpPr>
      </xdr:nvCxnSpPr>
      <xdr:spPr>
        <a:xfrm>
          <a:off x="5281217" y="40976983"/>
          <a:ext cx="3241008" cy="271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71835</xdr:colOff>
      <xdr:row>239</xdr:row>
      <xdr:rowOff>5349</xdr:rowOff>
    </xdr:from>
    <xdr:to>
      <xdr:col>32</xdr:col>
      <xdr:colOff>136733</xdr:colOff>
      <xdr:row>242</xdr:row>
      <xdr:rowOff>164982</xdr:rowOff>
    </xdr:to>
    <xdr:cxnSp macro="">
      <xdr:nvCxnSpPr>
        <xdr:cNvPr id="254" name="コネクタ: カギ線 253">
          <a:extLst>
            <a:ext uri="{FF2B5EF4-FFF2-40B4-BE49-F238E27FC236}">
              <a16:creationId xmlns:a16="http://schemas.microsoft.com/office/drawing/2014/main" id="{6E4CB2B9-24D4-4A4C-A55A-18558B0AA421}"/>
            </a:ext>
          </a:extLst>
        </xdr:cNvPr>
        <xdr:cNvCxnSpPr>
          <a:stCxn id="93" idx="2"/>
          <a:endCxn id="99" idx="0"/>
        </xdr:cNvCxnSpPr>
      </xdr:nvCxnSpPr>
      <xdr:spPr>
        <a:xfrm rot="16200000" flipH="1">
          <a:off x="5195182" y="40856002"/>
          <a:ext cx="676704" cy="139839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55412</xdr:colOff>
      <xdr:row>244</xdr:row>
      <xdr:rowOff>49442</xdr:rowOff>
    </xdr:from>
    <xdr:to>
      <xdr:col>51</xdr:col>
      <xdr:colOff>140228</xdr:colOff>
      <xdr:row>244</xdr:row>
      <xdr:rowOff>60135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EC83278A-6DE9-461F-88BA-EB9C8F3EBF4E}"/>
            </a:ext>
          </a:extLst>
        </xdr:cNvPr>
        <xdr:cNvCxnSpPr>
          <a:stCxn id="99" idx="3"/>
          <a:endCxn id="102" idx="2"/>
        </xdr:cNvCxnSpPr>
      </xdr:nvCxnSpPr>
      <xdr:spPr>
        <a:xfrm flipV="1">
          <a:off x="6722912" y="42122728"/>
          <a:ext cx="1799316" cy="1069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136733</xdr:colOff>
      <xdr:row>245</xdr:row>
      <xdr:rowOff>127644</xdr:rowOff>
    </xdr:from>
    <xdr:to>
      <xdr:col>46</xdr:col>
      <xdr:colOff>86836</xdr:colOff>
      <xdr:row>252</xdr:row>
      <xdr:rowOff>57301</xdr:rowOff>
    </xdr:to>
    <xdr:cxnSp macro="">
      <xdr:nvCxnSpPr>
        <xdr:cNvPr id="256" name="コネクタ: カギ線 255">
          <a:extLst>
            <a:ext uri="{FF2B5EF4-FFF2-40B4-BE49-F238E27FC236}">
              <a16:creationId xmlns:a16="http://schemas.microsoft.com/office/drawing/2014/main" id="{BD550179-0574-4CAE-A9BC-6EA0BE5D11E2}"/>
            </a:ext>
          </a:extLst>
        </xdr:cNvPr>
        <xdr:cNvCxnSpPr>
          <a:stCxn id="99" idx="2"/>
          <a:endCxn id="247" idx="0"/>
        </xdr:cNvCxnSpPr>
      </xdr:nvCxnSpPr>
      <xdr:spPr>
        <a:xfrm rot="16200000" flipH="1">
          <a:off x="6973206" y="41632814"/>
          <a:ext cx="1136157" cy="261710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5515</xdr:colOff>
      <xdr:row>253</xdr:row>
      <xdr:rowOff>124812</xdr:rowOff>
    </xdr:from>
    <xdr:to>
      <xdr:col>51</xdr:col>
      <xdr:colOff>158371</xdr:colOff>
      <xdr:row>253</xdr:row>
      <xdr:rowOff>126047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94AC3E5B-025F-4542-B860-B3B2821C3D5C}"/>
            </a:ext>
          </a:extLst>
        </xdr:cNvPr>
        <xdr:cNvCxnSpPr>
          <a:stCxn id="247" idx="3"/>
          <a:endCxn id="251" idx="2"/>
        </xdr:cNvCxnSpPr>
      </xdr:nvCxnSpPr>
      <xdr:spPr>
        <a:xfrm>
          <a:off x="9340015" y="43749312"/>
          <a:ext cx="533856" cy="123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86836</xdr:colOff>
      <xdr:row>255</xdr:row>
      <xdr:rowOff>19965</xdr:rowOff>
    </xdr:from>
    <xdr:to>
      <xdr:col>46</xdr:col>
      <xdr:colOff>87337</xdr:colOff>
      <xdr:row>257</xdr:row>
      <xdr:rowOff>33646</xdr:rowOff>
    </xdr:to>
    <xdr:cxnSp macro="">
      <xdr:nvCxnSpPr>
        <xdr:cNvPr id="316" name="直線矢印コネクタ 315">
          <a:extLst>
            <a:ext uri="{FF2B5EF4-FFF2-40B4-BE49-F238E27FC236}">
              <a16:creationId xmlns:a16="http://schemas.microsoft.com/office/drawing/2014/main" id="{97B89644-78F3-43A6-B64E-D82D044F951F}"/>
            </a:ext>
          </a:extLst>
        </xdr:cNvPr>
        <xdr:cNvCxnSpPr>
          <a:cxnSpLocks/>
          <a:stCxn id="247" idx="2"/>
          <a:endCxn id="103" idx="0"/>
        </xdr:cNvCxnSpPr>
      </xdr:nvCxnSpPr>
      <xdr:spPr>
        <a:xfrm>
          <a:off x="8849836" y="43989179"/>
          <a:ext cx="501" cy="35839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47578</xdr:colOff>
      <xdr:row>225</xdr:row>
      <xdr:rowOff>155451</xdr:rowOff>
    </xdr:from>
    <xdr:to>
      <xdr:col>25</xdr:col>
      <xdr:colOff>50972</xdr:colOff>
      <xdr:row>230</xdr:row>
      <xdr:rowOff>17778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7A9072A0-0B78-49E8-AEFD-9D34F6EBCD1A}"/>
            </a:ext>
          </a:extLst>
        </xdr:cNvPr>
        <xdr:cNvCxnSpPr>
          <a:cxnSpLocks/>
          <a:stCxn id="92" idx="2"/>
          <a:endCxn id="190" idx="0"/>
        </xdr:cNvCxnSpPr>
      </xdr:nvCxnSpPr>
      <xdr:spPr>
        <a:xfrm flipH="1">
          <a:off x="4810078" y="38953951"/>
          <a:ext cx="3394" cy="7241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62228</xdr:colOff>
      <xdr:row>233</xdr:row>
      <xdr:rowOff>7890</xdr:rowOff>
    </xdr:from>
    <xdr:to>
      <xdr:col>25</xdr:col>
      <xdr:colOff>71835</xdr:colOff>
      <xdr:row>236</xdr:row>
      <xdr:rowOff>42687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5E5C64E9-2E87-48C0-B872-C2233C85E9D3}"/>
            </a:ext>
          </a:extLst>
        </xdr:cNvPr>
        <xdr:cNvCxnSpPr>
          <a:cxnSpLocks/>
          <a:stCxn id="189" idx="2"/>
          <a:endCxn id="93" idx="0"/>
        </xdr:cNvCxnSpPr>
      </xdr:nvCxnSpPr>
      <xdr:spPr>
        <a:xfrm>
          <a:off x="4824728" y="40185247"/>
          <a:ext cx="9607" cy="55186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123050</xdr:colOff>
      <xdr:row>67</xdr:row>
      <xdr:rowOff>105597</xdr:rowOff>
    </xdr:from>
    <xdr:to>
      <xdr:col>67</xdr:col>
      <xdr:colOff>124236</xdr:colOff>
      <xdr:row>69</xdr:row>
      <xdr:rowOff>135610</xdr:rowOff>
    </xdr:to>
    <xdr:cxnSp macro="">
      <xdr:nvCxnSpPr>
        <xdr:cNvPr id="44" name="直線矢印コネクタ 27">
          <a:extLst>
            <a:ext uri="{FF2B5EF4-FFF2-40B4-BE49-F238E27FC236}">
              <a16:creationId xmlns:a16="http://schemas.microsoft.com/office/drawing/2014/main" id="{57B58FCA-134E-47D2-8516-0B8C498BAAE8}"/>
            </a:ext>
          </a:extLst>
        </xdr:cNvPr>
        <xdr:cNvCxnSpPr>
          <a:cxnSpLocks/>
          <a:stCxn id="62" idx="2"/>
          <a:endCxn id="46" idx="0"/>
        </xdr:cNvCxnSpPr>
      </xdr:nvCxnSpPr>
      <xdr:spPr>
        <a:xfrm>
          <a:off x="11746779" y="11944580"/>
          <a:ext cx="1186" cy="3744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154651</xdr:colOff>
      <xdr:row>69</xdr:row>
      <xdr:rowOff>99323</xdr:rowOff>
    </xdr:from>
    <xdr:to>
      <xdr:col>70</xdr:col>
      <xdr:colOff>64162</xdr:colOff>
      <xdr:row>72</xdr:row>
      <xdr:rowOff>72546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BF8604E3-3957-42E3-B404-9548B1DC0D93}"/>
            </a:ext>
          </a:extLst>
        </xdr:cNvPr>
        <xdr:cNvGrpSpPr/>
      </xdr:nvGrpSpPr>
      <xdr:grpSpPr>
        <a:xfrm>
          <a:off x="13217508" y="12396370"/>
          <a:ext cx="1130344" cy="507712"/>
          <a:chOff x="1612900" y="2427475"/>
          <a:chExt cx="933032" cy="404625"/>
        </a:xfrm>
      </xdr:grpSpPr>
      <xdr:sp macro="" textlink="">
        <xdr:nvSpPr>
          <xdr:cNvPr id="46" name="フローチャート: 定義済み処理 45">
            <a:extLst>
              <a:ext uri="{FF2B5EF4-FFF2-40B4-BE49-F238E27FC236}">
                <a16:creationId xmlns:a16="http://schemas.microsoft.com/office/drawing/2014/main" id="{7E4FDE20-84AF-4DBC-B674-030BDB16AA1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176FC932-8340-4CA7-AA5B-57B76CFEF3F6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２．入金データ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登録</a:t>
            </a:r>
          </a:p>
        </xdr:txBody>
      </xdr:sp>
    </xdr:grpSp>
    <xdr:clientData/>
  </xdr:twoCellAnchor>
  <xdr:twoCellAnchor>
    <xdr:from>
      <xdr:col>70</xdr:col>
      <xdr:colOff>13577</xdr:colOff>
      <xdr:row>71</xdr:row>
      <xdr:rowOff>1384</xdr:rowOff>
    </xdr:from>
    <xdr:to>
      <xdr:col>82</xdr:col>
      <xdr:colOff>48024</xdr:colOff>
      <xdr:row>71</xdr:row>
      <xdr:rowOff>17976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7730DF03-E5F6-4A4C-A3DF-1F92C8E1FC18}"/>
            </a:ext>
          </a:extLst>
        </xdr:cNvPr>
        <xdr:cNvCxnSpPr>
          <a:stCxn id="46" idx="3"/>
          <a:endCxn id="102" idx="2"/>
        </xdr:cNvCxnSpPr>
      </xdr:nvCxnSpPr>
      <xdr:spPr>
        <a:xfrm flipV="1">
          <a:off x="12218492" y="12529181"/>
          <a:ext cx="2359193" cy="1659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138979</xdr:colOff>
      <xdr:row>65</xdr:row>
      <xdr:rowOff>23616</xdr:rowOff>
    </xdr:from>
    <xdr:to>
      <xdr:col>70</xdr:col>
      <xdr:colOff>41533</xdr:colOff>
      <xdr:row>67</xdr:row>
      <xdr:rowOff>161842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1B20C2F8-515C-46DB-ABBE-E5DF3543A1C2}"/>
            </a:ext>
          </a:extLst>
        </xdr:cNvPr>
        <xdr:cNvGrpSpPr/>
      </xdr:nvGrpSpPr>
      <xdr:grpSpPr>
        <a:xfrm>
          <a:off x="13198026" y="11613092"/>
          <a:ext cx="1131007" cy="497726"/>
          <a:chOff x="1645074" y="2381128"/>
          <a:chExt cx="872913" cy="453373"/>
        </a:xfrm>
      </xdr:grpSpPr>
      <xdr:sp macro="" textlink="">
        <xdr:nvSpPr>
          <xdr:cNvPr id="62" name="フローチャート: 処理 61">
            <a:extLst>
              <a:ext uri="{FF2B5EF4-FFF2-40B4-BE49-F238E27FC236}">
                <a16:creationId xmlns:a16="http://schemas.microsoft.com/office/drawing/2014/main" id="{D43980AC-C5DD-4888-8098-3F2E43ADD5D4}"/>
              </a:ext>
            </a:extLst>
          </xdr:cNvPr>
          <xdr:cNvSpPr/>
        </xdr:nvSpPr>
        <xdr:spPr>
          <a:xfrm>
            <a:off x="1698837" y="2407016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3" name="正方形/長方形 48">
            <a:extLst>
              <a:ext uri="{FF2B5EF4-FFF2-40B4-BE49-F238E27FC236}">
                <a16:creationId xmlns:a16="http://schemas.microsoft.com/office/drawing/2014/main" id="{C2B8AAA2-4F28-4755-B041-37D63F42167F}"/>
              </a:ext>
            </a:extLst>
          </xdr:cNvPr>
          <xdr:cNvSpPr/>
        </xdr:nvSpPr>
        <xdr:spPr>
          <a:xfrm>
            <a:off x="1645074" y="2381128"/>
            <a:ext cx="863323" cy="4533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１．銀行振込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67</xdr:col>
      <xdr:colOff>121482</xdr:colOff>
      <xdr:row>62</xdr:row>
      <xdr:rowOff>64474</xdr:rowOff>
    </xdr:from>
    <xdr:to>
      <xdr:col>67</xdr:col>
      <xdr:colOff>123050</xdr:colOff>
      <xdr:row>65</xdr:row>
      <xdr:rowOff>51175</xdr:rowOff>
    </xdr:to>
    <xdr:cxnSp macro="">
      <xdr:nvCxnSpPr>
        <xdr:cNvPr id="64" name="直線矢印コネクタ 27">
          <a:extLst>
            <a:ext uri="{FF2B5EF4-FFF2-40B4-BE49-F238E27FC236}">
              <a16:creationId xmlns:a16="http://schemas.microsoft.com/office/drawing/2014/main" id="{E286E740-EFEB-41F4-A557-B365D87BD987}"/>
            </a:ext>
          </a:extLst>
        </xdr:cNvPr>
        <xdr:cNvCxnSpPr>
          <a:cxnSpLocks/>
          <a:stCxn id="207" idx="2"/>
          <a:endCxn id="62" idx="0"/>
        </xdr:cNvCxnSpPr>
      </xdr:nvCxnSpPr>
      <xdr:spPr>
        <a:xfrm>
          <a:off x="11745211" y="11042440"/>
          <a:ext cx="1568" cy="50331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46315</xdr:colOff>
      <xdr:row>10</xdr:row>
      <xdr:rowOff>142501</xdr:rowOff>
    </xdr:from>
    <xdr:to>
      <xdr:col>24</xdr:col>
      <xdr:colOff>0</xdr:colOff>
      <xdr:row>13</xdr:row>
      <xdr:rowOff>131295</xdr:rowOff>
    </xdr:to>
    <xdr:grpSp>
      <xdr:nvGrpSpPr>
        <xdr:cNvPr id="191" name="グループ化 190">
          <a:extLst>
            <a:ext uri="{FF2B5EF4-FFF2-40B4-BE49-F238E27FC236}">
              <a16:creationId xmlns:a16="http://schemas.microsoft.com/office/drawing/2014/main" id="{263CB36C-18E2-4648-9641-E21B57C2B0E5}"/>
            </a:ext>
          </a:extLst>
        </xdr:cNvPr>
        <xdr:cNvGrpSpPr/>
      </xdr:nvGrpSpPr>
      <xdr:grpSpPr>
        <a:xfrm>
          <a:off x="3926256" y="2004775"/>
          <a:ext cx="972315" cy="525187"/>
          <a:chOff x="424630" y="5751575"/>
          <a:chExt cx="754741" cy="470825"/>
        </a:xfrm>
      </xdr:grpSpPr>
      <xdr:sp macro="" textlink="">
        <xdr:nvSpPr>
          <xdr:cNvPr id="192" name="フローチャート: 他ページ結合子 191">
            <a:extLst>
              <a:ext uri="{FF2B5EF4-FFF2-40B4-BE49-F238E27FC236}">
                <a16:creationId xmlns:a16="http://schemas.microsoft.com/office/drawing/2014/main" id="{6137EDB1-E162-4BBA-8455-707CFE07B5CA}"/>
              </a:ext>
            </a:extLst>
          </xdr:cNvPr>
          <xdr:cNvSpPr/>
        </xdr:nvSpPr>
        <xdr:spPr>
          <a:xfrm>
            <a:off x="489263" y="5777900"/>
            <a:ext cx="605616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6" name="正方形/長方形 48">
            <a:extLst>
              <a:ext uri="{FF2B5EF4-FFF2-40B4-BE49-F238E27FC236}">
                <a16:creationId xmlns:a16="http://schemas.microsoft.com/office/drawing/2014/main" id="{974D7624-46EB-4C7A-B162-E17F5378DAB1}"/>
              </a:ext>
            </a:extLst>
          </xdr:cNvPr>
          <xdr:cNvSpPr/>
        </xdr:nvSpPr>
        <xdr:spPr>
          <a:xfrm>
            <a:off x="424630" y="5751575"/>
            <a:ext cx="754741" cy="466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</a:rPr>
              <a:t>7.1</a:t>
            </a: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</a:rPr>
              <a:t>未収入金計上</a:t>
            </a:r>
            <a:endParaRPr kumimoji="1" lang="en-US" altLang="ja-JP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73214</xdr:colOff>
      <xdr:row>53</xdr:row>
      <xdr:rowOff>112058</xdr:rowOff>
    </xdr:from>
    <xdr:to>
      <xdr:col>36</xdr:col>
      <xdr:colOff>84327</xdr:colOff>
      <xdr:row>56</xdr:row>
      <xdr:rowOff>55537</xdr:rowOff>
    </xdr:to>
    <xdr:grpSp>
      <xdr:nvGrpSpPr>
        <xdr:cNvPr id="204" name="グループ化 203">
          <a:extLst>
            <a:ext uri="{FF2B5EF4-FFF2-40B4-BE49-F238E27FC236}">
              <a16:creationId xmlns:a16="http://schemas.microsoft.com/office/drawing/2014/main" id="{3F732E13-D759-4C7A-BF9B-B4FB885C2DB6}"/>
            </a:ext>
          </a:extLst>
        </xdr:cNvPr>
        <xdr:cNvGrpSpPr/>
      </xdr:nvGrpSpPr>
      <xdr:grpSpPr>
        <a:xfrm>
          <a:off x="6400535" y="9582629"/>
          <a:ext cx="1033554" cy="477968"/>
          <a:chOff x="309100" y="5676232"/>
          <a:chExt cx="988512" cy="491455"/>
        </a:xfrm>
      </xdr:grpSpPr>
      <xdr:sp macro="" textlink="">
        <xdr:nvSpPr>
          <xdr:cNvPr id="205" name="フローチャート: 他ページ結合子 204">
            <a:extLst>
              <a:ext uri="{FF2B5EF4-FFF2-40B4-BE49-F238E27FC236}">
                <a16:creationId xmlns:a16="http://schemas.microsoft.com/office/drawing/2014/main" id="{4E98B8FA-63F9-472C-B6AB-B8C0B5533C3F}"/>
              </a:ext>
            </a:extLst>
          </xdr:cNvPr>
          <xdr:cNvSpPr/>
        </xdr:nvSpPr>
        <xdr:spPr>
          <a:xfrm>
            <a:off x="492124" y="5699794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6" name="正方形/長方形 48">
            <a:extLst>
              <a:ext uri="{FF2B5EF4-FFF2-40B4-BE49-F238E27FC236}">
                <a16:creationId xmlns:a16="http://schemas.microsoft.com/office/drawing/2014/main" id="{08934EAF-81DB-4864-8258-FC7BCD527622}"/>
              </a:ext>
            </a:extLst>
          </xdr:cNvPr>
          <xdr:cNvSpPr/>
        </xdr:nvSpPr>
        <xdr:spPr>
          <a:xfrm>
            <a:off x="309100" y="5676232"/>
            <a:ext cx="988512" cy="4914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9.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入金消込</a:t>
            </a:r>
          </a:p>
        </xdr:txBody>
      </xdr:sp>
    </xdr:grpSp>
    <xdr:clientData/>
  </xdr:twoCellAnchor>
  <xdr:twoCellAnchor>
    <xdr:from>
      <xdr:col>65</xdr:col>
      <xdr:colOff>173606</xdr:colOff>
      <xdr:row>60</xdr:row>
      <xdr:rowOff>166759</xdr:rowOff>
    </xdr:from>
    <xdr:to>
      <xdr:col>69</xdr:col>
      <xdr:colOff>69358</xdr:colOff>
      <xdr:row>62</xdr:row>
      <xdr:rowOff>64474</xdr:rowOff>
    </xdr:to>
    <xdr:sp macro="" textlink="">
      <xdr:nvSpPr>
        <xdr:cNvPr id="207" name="フローチャート: 端子 206">
          <a:extLst>
            <a:ext uri="{FF2B5EF4-FFF2-40B4-BE49-F238E27FC236}">
              <a16:creationId xmlns:a16="http://schemas.microsoft.com/office/drawing/2014/main" id="{D8CC003B-AF42-4B1E-87EB-284BDE6BBA8C}"/>
            </a:ext>
          </a:extLst>
        </xdr:cNvPr>
        <xdr:cNvSpPr/>
      </xdr:nvSpPr>
      <xdr:spPr>
        <a:xfrm>
          <a:off x="11409877" y="10800318"/>
          <a:ext cx="670667" cy="24212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81</xdr:col>
      <xdr:colOff>146120</xdr:colOff>
      <xdr:row>69</xdr:row>
      <xdr:rowOff>81545</xdr:rowOff>
    </xdr:from>
    <xdr:to>
      <xdr:col>86</xdr:col>
      <xdr:colOff>144508</xdr:colOff>
      <xdr:row>72</xdr:row>
      <xdr:rowOff>150012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15758494-4FC6-4F41-9945-AE1CAC4F311E}"/>
            </a:ext>
          </a:extLst>
        </xdr:cNvPr>
        <xdr:cNvGrpSpPr/>
      </xdr:nvGrpSpPr>
      <xdr:grpSpPr>
        <a:xfrm>
          <a:off x="16676894" y="12384307"/>
          <a:ext cx="1018923" cy="597241"/>
          <a:chOff x="7113625" y="2892425"/>
          <a:chExt cx="914621" cy="594025"/>
        </a:xfrm>
      </xdr:grpSpPr>
      <xdr:sp macro="" textlink="">
        <xdr:nvSpPr>
          <xdr:cNvPr id="102" name="フローチャート: 磁気ディスク 101">
            <a:extLst>
              <a:ext uri="{FF2B5EF4-FFF2-40B4-BE49-F238E27FC236}">
                <a16:creationId xmlns:a16="http://schemas.microsoft.com/office/drawing/2014/main" id="{B5ABFFE3-8EAB-E516-519A-2445F1FA0E41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548C074A-DAF7-9B0C-FABE-BFCBB1379C9B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</a:rPr>
              <a:t>楽楽精算</a:t>
            </a:r>
          </a:p>
        </xdr:txBody>
      </xdr:sp>
    </xdr:grpSp>
    <xdr:clientData/>
  </xdr:twoCellAnchor>
  <xdr:twoCellAnchor>
    <xdr:from>
      <xdr:col>34</xdr:col>
      <xdr:colOff>133691</xdr:colOff>
      <xdr:row>93</xdr:row>
      <xdr:rowOff>162418</xdr:rowOff>
    </xdr:from>
    <xdr:to>
      <xdr:col>34</xdr:col>
      <xdr:colOff>134977</xdr:colOff>
      <xdr:row>97</xdr:row>
      <xdr:rowOff>104028</xdr:rowOff>
    </xdr:to>
    <xdr:cxnSp macro="">
      <xdr:nvCxnSpPr>
        <xdr:cNvPr id="104" name="直線矢印コネクタ 27">
          <a:extLst>
            <a:ext uri="{FF2B5EF4-FFF2-40B4-BE49-F238E27FC236}">
              <a16:creationId xmlns:a16="http://schemas.microsoft.com/office/drawing/2014/main" id="{258A74B7-ED41-4D56-98C7-D9DD71DC311F}"/>
            </a:ext>
          </a:extLst>
        </xdr:cNvPr>
        <xdr:cNvCxnSpPr>
          <a:cxnSpLocks/>
          <a:stCxn id="118" idx="2"/>
          <a:endCxn id="139" idx="0"/>
        </xdr:cNvCxnSpPr>
      </xdr:nvCxnSpPr>
      <xdr:spPr>
        <a:xfrm flipH="1">
          <a:off x="7042491" y="21536518"/>
          <a:ext cx="1286" cy="114176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35883</xdr:colOff>
      <xdr:row>99</xdr:row>
      <xdr:rowOff>15947</xdr:rowOff>
    </xdr:from>
    <xdr:to>
      <xdr:col>75</xdr:col>
      <xdr:colOff>59355</xdr:colOff>
      <xdr:row>99</xdr:row>
      <xdr:rowOff>21461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EB0A9D1E-AC85-41F4-9853-054D600787F4}"/>
            </a:ext>
          </a:extLst>
        </xdr:cNvPr>
        <xdr:cNvCxnSpPr>
          <a:stCxn id="138" idx="3"/>
          <a:endCxn id="141" idx="2"/>
        </xdr:cNvCxnSpPr>
      </xdr:nvCxnSpPr>
      <xdr:spPr>
        <a:xfrm>
          <a:off x="7420026" y="22540304"/>
          <a:ext cx="3615758" cy="551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163286</xdr:colOff>
      <xdr:row>91</xdr:row>
      <xdr:rowOff>29029</xdr:rowOff>
    </xdr:from>
    <xdr:to>
      <xdr:col>37</xdr:col>
      <xdr:colOff>75365</xdr:colOff>
      <xdr:row>93</xdr:row>
      <xdr:rowOff>162418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9F50A558-D6A6-4BAA-8428-8B4DB102F566}"/>
            </a:ext>
          </a:extLst>
        </xdr:cNvPr>
        <xdr:cNvGrpSpPr/>
      </xdr:nvGrpSpPr>
      <xdr:grpSpPr>
        <a:xfrm>
          <a:off x="6492512" y="16219624"/>
          <a:ext cx="1134817" cy="490985"/>
          <a:chOff x="1612900" y="2457450"/>
          <a:chExt cx="933032" cy="374650"/>
        </a:xfrm>
      </xdr:grpSpPr>
      <xdr:sp macro="" textlink="">
        <xdr:nvSpPr>
          <xdr:cNvPr id="118" name="フローチャート: 処理 117">
            <a:extLst>
              <a:ext uri="{FF2B5EF4-FFF2-40B4-BE49-F238E27FC236}">
                <a16:creationId xmlns:a16="http://schemas.microsoft.com/office/drawing/2014/main" id="{F6050B33-59AE-B2B2-B5BB-D0BB9A74B97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9" name="正方形/長方形 48">
            <a:extLst>
              <a:ext uri="{FF2B5EF4-FFF2-40B4-BE49-F238E27FC236}">
                <a16:creationId xmlns:a16="http://schemas.microsoft.com/office/drawing/2014/main" id="{1FBE27F8-285E-AA65-F24C-196A9F33852B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１．銀行振込確認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34</xdr:col>
      <xdr:colOff>137200</xdr:colOff>
      <xdr:row>100</xdr:row>
      <xdr:rowOff>68370</xdr:rowOff>
    </xdr:from>
    <xdr:to>
      <xdr:col>34</xdr:col>
      <xdr:colOff>148946</xdr:colOff>
      <xdr:row>108</xdr:row>
      <xdr:rowOff>123675</xdr:rowOff>
    </xdr:to>
    <xdr:cxnSp macro="">
      <xdr:nvCxnSpPr>
        <xdr:cNvPr id="126" name="直線矢印コネクタ 27">
          <a:extLst>
            <a:ext uri="{FF2B5EF4-FFF2-40B4-BE49-F238E27FC236}">
              <a16:creationId xmlns:a16="http://schemas.microsoft.com/office/drawing/2014/main" id="{F5327BC6-01F0-4608-9DB4-80E53CED76A6}"/>
            </a:ext>
          </a:extLst>
        </xdr:cNvPr>
        <xdr:cNvCxnSpPr>
          <a:cxnSpLocks/>
          <a:stCxn id="138" idx="2"/>
          <a:endCxn id="150" idx="0"/>
        </xdr:cNvCxnSpPr>
      </xdr:nvCxnSpPr>
      <xdr:spPr>
        <a:xfrm flipH="1">
          <a:off x="6938050" y="22652145"/>
          <a:ext cx="11746" cy="12554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115070</xdr:colOff>
      <xdr:row>86</xdr:row>
      <xdr:rowOff>56278</xdr:rowOff>
    </xdr:from>
    <xdr:to>
      <xdr:col>34</xdr:col>
      <xdr:colOff>135069</xdr:colOff>
      <xdr:row>91</xdr:row>
      <xdr:rowOff>29029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E4F9CDCC-4437-41B6-8DF5-01DB9B784E21}"/>
            </a:ext>
          </a:extLst>
        </xdr:cNvPr>
        <xdr:cNvCxnSpPr>
          <a:cxnSpLocks/>
          <a:stCxn id="176" idx="2"/>
          <a:endCxn id="118" idx="0"/>
        </xdr:cNvCxnSpPr>
      </xdr:nvCxnSpPr>
      <xdr:spPr>
        <a:xfrm rot="16200000" flipH="1">
          <a:off x="6657108" y="20598371"/>
          <a:ext cx="828620" cy="1999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179294</xdr:colOff>
      <xdr:row>97</xdr:row>
      <xdr:rowOff>104028</xdr:rowOff>
    </xdr:from>
    <xdr:to>
      <xdr:col>37</xdr:col>
      <xdr:colOff>88088</xdr:colOff>
      <xdr:row>100</xdr:row>
      <xdr:rowOff>141230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C59F0432-A457-44A4-A80B-485259277A26}"/>
            </a:ext>
          </a:extLst>
        </xdr:cNvPr>
        <xdr:cNvGrpSpPr/>
      </xdr:nvGrpSpPr>
      <xdr:grpSpPr>
        <a:xfrm>
          <a:off x="6504710" y="17355980"/>
          <a:ext cx="1139152" cy="567881"/>
          <a:chOff x="1612900" y="2427474"/>
          <a:chExt cx="933032" cy="469326"/>
        </a:xfrm>
      </xdr:grpSpPr>
      <xdr:sp macro="" textlink="">
        <xdr:nvSpPr>
          <xdr:cNvPr id="138" name="フローチャート: 定義済み処理 137">
            <a:extLst>
              <a:ext uri="{FF2B5EF4-FFF2-40B4-BE49-F238E27FC236}">
                <a16:creationId xmlns:a16="http://schemas.microsoft.com/office/drawing/2014/main" id="{6D5FF96C-C054-6171-DEF6-4D8F3CEBDD3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C55BB3F1-2A79-B3D4-5D68-D1FAF7B2A589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入金データ</a:t>
            </a:r>
          </a:p>
          <a:p>
            <a:pPr algn="ctr"/>
            <a:r>
              <a:rPr kumimoji="1" lang="ja-JP" altLang="en-US" sz="900"/>
              <a:t>登録</a:t>
            </a:r>
          </a:p>
          <a:p>
            <a:pPr algn="ctr"/>
            <a:endParaRPr kumimoji="1" lang="en-US" altLang="ja-JP" sz="900"/>
          </a:p>
        </xdr:txBody>
      </xdr:sp>
    </xdr:grpSp>
    <xdr:clientData/>
  </xdr:twoCellAnchor>
  <xdr:twoCellAnchor>
    <xdr:from>
      <xdr:col>74</xdr:col>
      <xdr:colOff>160091</xdr:colOff>
      <xdr:row>97</xdr:row>
      <xdr:rowOff>105013</xdr:rowOff>
    </xdr:from>
    <xdr:to>
      <xdr:col>79</xdr:col>
      <xdr:colOff>161654</xdr:colOff>
      <xdr:row>100</xdr:row>
      <xdr:rowOff>166190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D881C332-FE76-4AFA-B765-8A8B43C07269}"/>
            </a:ext>
          </a:extLst>
        </xdr:cNvPr>
        <xdr:cNvGrpSpPr/>
      </xdr:nvGrpSpPr>
      <xdr:grpSpPr>
        <a:xfrm>
          <a:off x="15265925" y="17356965"/>
          <a:ext cx="1022098" cy="597571"/>
          <a:chOff x="7113625" y="2892425"/>
          <a:chExt cx="914621" cy="594025"/>
        </a:xfrm>
      </xdr:grpSpPr>
      <xdr:sp macro="" textlink="">
        <xdr:nvSpPr>
          <xdr:cNvPr id="141" name="フローチャート: 磁気ディスク 140">
            <a:extLst>
              <a:ext uri="{FF2B5EF4-FFF2-40B4-BE49-F238E27FC236}">
                <a16:creationId xmlns:a16="http://schemas.microsoft.com/office/drawing/2014/main" id="{92CEEFBD-95BD-59FC-9F34-AD82FD9DA4E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0017A296-E45E-C4B7-54F8-923C7E7286F8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31</xdr:col>
      <xdr:colOff>178442</xdr:colOff>
      <xdr:row>108</xdr:row>
      <xdr:rowOff>88639</xdr:rowOff>
    </xdr:from>
    <xdr:to>
      <xdr:col>37</xdr:col>
      <xdr:colOff>65865</xdr:colOff>
      <xdr:row>111</xdr:row>
      <xdr:rowOff>47229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B24F5960-5602-448F-8E3F-A7A1FCB4B374}"/>
            </a:ext>
          </a:extLst>
        </xdr:cNvPr>
        <xdr:cNvGrpSpPr/>
      </xdr:nvGrpSpPr>
      <xdr:grpSpPr>
        <a:xfrm>
          <a:off x="6501953" y="19292128"/>
          <a:ext cx="1113971" cy="487363"/>
          <a:chOff x="1612900" y="2427475"/>
          <a:chExt cx="933032" cy="404625"/>
        </a:xfrm>
      </xdr:grpSpPr>
      <xdr:sp macro="" textlink="">
        <xdr:nvSpPr>
          <xdr:cNvPr id="150" name="フローチャート: 定義済み処理 149">
            <a:extLst>
              <a:ext uri="{FF2B5EF4-FFF2-40B4-BE49-F238E27FC236}">
                <a16:creationId xmlns:a16="http://schemas.microsoft.com/office/drawing/2014/main" id="{74B45B63-0A2C-8B63-E753-3526DB2EE2D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47E72D76-7823-DE56-A817-806D2335B75C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伝票承認申請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45</xdr:col>
      <xdr:colOff>83298</xdr:colOff>
      <xdr:row>113</xdr:row>
      <xdr:rowOff>55024</xdr:rowOff>
    </xdr:from>
    <xdr:to>
      <xdr:col>50</xdr:col>
      <xdr:colOff>179231</xdr:colOff>
      <xdr:row>116</xdr:row>
      <xdr:rowOff>29489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DD288E2F-D3ED-44FC-A870-89FC68978289}"/>
            </a:ext>
          </a:extLst>
        </xdr:cNvPr>
        <xdr:cNvGrpSpPr/>
      </xdr:nvGrpSpPr>
      <xdr:grpSpPr>
        <a:xfrm>
          <a:off x="9270024" y="20142977"/>
          <a:ext cx="1112659" cy="499428"/>
          <a:chOff x="1612900" y="2427475"/>
          <a:chExt cx="933032" cy="404625"/>
        </a:xfrm>
      </xdr:grpSpPr>
      <xdr:sp macro="" textlink="">
        <xdr:nvSpPr>
          <xdr:cNvPr id="154" name="フローチャート: 定義済み処理 153">
            <a:extLst>
              <a:ext uri="{FF2B5EF4-FFF2-40B4-BE49-F238E27FC236}">
                <a16:creationId xmlns:a16="http://schemas.microsoft.com/office/drawing/2014/main" id="{A9FA2037-4FD3-E08F-0A45-E5C82A9089E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630200E7-7731-60F7-3AE4-39094D0D3C36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伝票承認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34</xdr:col>
      <xdr:colOff>137200</xdr:colOff>
      <xdr:row>111</xdr:row>
      <xdr:rowOff>47229</xdr:rowOff>
    </xdr:from>
    <xdr:to>
      <xdr:col>48</xdr:col>
      <xdr:colOff>49592</xdr:colOff>
      <xdr:row>113</xdr:row>
      <xdr:rowOff>91001</xdr:rowOff>
    </xdr:to>
    <xdr:cxnSp macro="">
      <xdr:nvCxnSpPr>
        <xdr:cNvPr id="156" name="コネクタ: カギ線 155">
          <a:extLst>
            <a:ext uri="{FF2B5EF4-FFF2-40B4-BE49-F238E27FC236}">
              <a16:creationId xmlns:a16="http://schemas.microsoft.com/office/drawing/2014/main" id="{5E9CA3FD-1CE6-4533-B78E-9593FDBCF48C}"/>
            </a:ext>
          </a:extLst>
        </xdr:cNvPr>
        <xdr:cNvCxnSpPr>
          <a:cxnSpLocks/>
          <a:stCxn id="150" idx="2"/>
          <a:endCxn id="154" idx="0"/>
        </xdr:cNvCxnSpPr>
      </xdr:nvCxnSpPr>
      <xdr:spPr>
        <a:xfrm rot="16200000" flipH="1">
          <a:off x="8101085" y="23182469"/>
          <a:ext cx="386672" cy="271274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65865</xdr:colOff>
      <xdr:row>109</xdr:row>
      <xdr:rowOff>99898</xdr:rowOff>
    </xdr:from>
    <xdr:to>
      <xdr:col>75</xdr:col>
      <xdr:colOff>144813</xdr:colOff>
      <xdr:row>109</xdr:row>
      <xdr:rowOff>149558</xdr:rowOff>
    </xdr:to>
    <xdr:cxnSp macro="">
      <xdr:nvCxnSpPr>
        <xdr:cNvPr id="157" name="コネクタ: カギ線 156">
          <a:extLst>
            <a:ext uri="{FF2B5EF4-FFF2-40B4-BE49-F238E27FC236}">
              <a16:creationId xmlns:a16="http://schemas.microsoft.com/office/drawing/2014/main" id="{2B45E5D3-9149-41F6-BA1F-C206F23335D3}"/>
            </a:ext>
          </a:extLst>
        </xdr:cNvPr>
        <xdr:cNvCxnSpPr>
          <a:cxnSpLocks/>
          <a:stCxn id="152" idx="3"/>
          <a:endCxn id="159" idx="2"/>
        </xdr:cNvCxnSpPr>
      </xdr:nvCxnSpPr>
      <xdr:spPr>
        <a:xfrm flipV="1">
          <a:off x="7425745" y="24291103"/>
          <a:ext cx="3659429" cy="49660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45475</xdr:colOff>
      <xdr:row>108</xdr:row>
      <xdr:rowOff>9946</xdr:rowOff>
    </xdr:from>
    <xdr:to>
      <xdr:col>80</xdr:col>
      <xdr:colOff>61804</xdr:colOff>
      <xdr:row>111</xdr:row>
      <xdr:rowOff>74110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8493E61A-16E8-43A8-97BD-8382E6F6BE94}"/>
            </a:ext>
          </a:extLst>
        </xdr:cNvPr>
        <xdr:cNvGrpSpPr/>
      </xdr:nvGrpSpPr>
      <xdr:grpSpPr>
        <a:xfrm>
          <a:off x="15355416" y="19211530"/>
          <a:ext cx="1031149" cy="592937"/>
          <a:chOff x="7113907" y="2892425"/>
          <a:chExt cx="917588" cy="591189"/>
        </a:xfrm>
      </xdr:grpSpPr>
      <xdr:sp macro="" textlink="">
        <xdr:nvSpPr>
          <xdr:cNvPr id="159" name="フローチャート: 磁気ディスク 158">
            <a:extLst>
              <a:ext uri="{FF2B5EF4-FFF2-40B4-BE49-F238E27FC236}">
                <a16:creationId xmlns:a16="http://schemas.microsoft.com/office/drawing/2014/main" id="{AD097209-B9A2-41E2-514E-42BF25F7A262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EEF00083-9F0E-A463-0A1B-5AE82C7D2BC3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74</xdr:col>
      <xdr:colOff>165056</xdr:colOff>
      <xdr:row>113</xdr:row>
      <xdr:rowOff>55285</xdr:rowOff>
    </xdr:from>
    <xdr:to>
      <xdr:col>80</xdr:col>
      <xdr:colOff>1973</xdr:colOff>
      <xdr:row>116</xdr:row>
      <xdr:rowOff>119637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AE0CFFF1-955D-4AD8-948D-B1DCBA88DA1F}"/>
            </a:ext>
          </a:extLst>
        </xdr:cNvPr>
        <xdr:cNvGrpSpPr/>
      </xdr:nvGrpSpPr>
      <xdr:grpSpPr>
        <a:xfrm>
          <a:off x="15272795" y="20143238"/>
          <a:ext cx="1057749" cy="593125"/>
          <a:chOff x="7113907" y="2892425"/>
          <a:chExt cx="917588" cy="591189"/>
        </a:xfrm>
      </xdr:grpSpPr>
      <xdr:sp macro="" textlink="">
        <xdr:nvSpPr>
          <xdr:cNvPr id="164" name="フローチャート: 磁気ディスク 163">
            <a:extLst>
              <a:ext uri="{FF2B5EF4-FFF2-40B4-BE49-F238E27FC236}">
                <a16:creationId xmlns:a16="http://schemas.microsoft.com/office/drawing/2014/main" id="{11C7F74D-AC33-72D7-1D77-2C72A506CF94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108D1F0F-1384-33B8-4931-00CC4B463802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50</xdr:col>
      <xdr:colOff>126756</xdr:colOff>
      <xdr:row>114</xdr:row>
      <xdr:rowOff>146088</xdr:rowOff>
    </xdr:from>
    <xdr:to>
      <xdr:col>75</xdr:col>
      <xdr:colOff>65280</xdr:colOff>
      <xdr:row>114</xdr:row>
      <xdr:rowOff>146456</xdr:rowOff>
    </xdr:to>
    <xdr:cxnSp macro="">
      <xdr:nvCxnSpPr>
        <xdr:cNvPr id="166" name="コネクタ: カギ線 165">
          <a:extLst>
            <a:ext uri="{FF2B5EF4-FFF2-40B4-BE49-F238E27FC236}">
              <a16:creationId xmlns:a16="http://schemas.microsoft.com/office/drawing/2014/main" id="{3AB84038-E06A-4511-92ED-C0C44288CB0F}"/>
            </a:ext>
          </a:extLst>
        </xdr:cNvPr>
        <xdr:cNvCxnSpPr>
          <a:cxnSpLocks/>
          <a:stCxn id="154" idx="3"/>
          <a:endCxn id="164" idx="2"/>
        </xdr:cNvCxnSpPr>
      </xdr:nvCxnSpPr>
      <xdr:spPr>
        <a:xfrm>
          <a:off x="10105327" y="9916017"/>
          <a:ext cx="936382" cy="36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39189</xdr:colOff>
      <xdr:row>116</xdr:row>
      <xdr:rowOff>21117</xdr:rowOff>
    </xdr:from>
    <xdr:to>
      <xdr:col>57</xdr:col>
      <xdr:colOff>84306</xdr:colOff>
      <xdr:row>119</xdr:row>
      <xdr:rowOff>94621</xdr:rowOff>
    </xdr:to>
    <xdr:cxnSp macro="">
      <xdr:nvCxnSpPr>
        <xdr:cNvPr id="170" name="コネクタ: カギ線 169">
          <a:extLst>
            <a:ext uri="{FF2B5EF4-FFF2-40B4-BE49-F238E27FC236}">
              <a16:creationId xmlns:a16="http://schemas.microsoft.com/office/drawing/2014/main" id="{AB18EF72-A02A-44E5-8E5D-D537CE2C3932}"/>
            </a:ext>
          </a:extLst>
        </xdr:cNvPr>
        <xdr:cNvCxnSpPr>
          <a:cxnSpLocks/>
          <a:stCxn id="155" idx="2"/>
          <a:endCxn id="34" idx="0"/>
        </xdr:cNvCxnSpPr>
      </xdr:nvCxnSpPr>
      <xdr:spPr>
        <a:xfrm rot="16200000" flipH="1">
          <a:off x="9521981" y="21836354"/>
          <a:ext cx="1082034" cy="175961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101809</xdr:colOff>
      <xdr:row>122</xdr:row>
      <xdr:rowOff>69235</xdr:rowOff>
    </xdr:from>
    <xdr:to>
      <xdr:col>57</xdr:col>
      <xdr:colOff>54233</xdr:colOff>
      <xdr:row>124</xdr:row>
      <xdr:rowOff>87541</xdr:rowOff>
    </xdr:to>
    <xdr:cxnSp macro="">
      <xdr:nvCxnSpPr>
        <xdr:cNvPr id="171" name="コネクタ: カギ線 170">
          <a:extLst>
            <a:ext uri="{FF2B5EF4-FFF2-40B4-BE49-F238E27FC236}">
              <a16:creationId xmlns:a16="http://schemas.microsoft.com/office/drawing/2014/main" id="{1E4E12A5-7DFD-42C8-88FA-AF3F668BF50C}"/>
            </a:ext>
          </a:extLst>
        </xdr:cNvPr>
        <xdr:cNvCxnSpPr>
          <a:cxnSpLocks/>
          <a:stCxn id="39" idx="2"/>
          <a:endCxn id="182" idx="0"/>
        </xdr:cNvCxnSpPr>
      </xdr:nvCxnSpPr>
      <xdr:spPr>
        <a:xfrm rot="5400000">
          <a:off x="8568530" y="21746338"/>
          <a:ext cx="354482" cy="433392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166914</xdr:colOff>
      <xdr:row>85</xdr:row>
      <xdr:rowOff>0</xdr:rowOff>
    </xdr:from>
    <xdr:to>
      <xdr:col>36</xdr:col>
      <xdr:colOff>63228</xdr:colOff>
      <xdr:row>86</xdr:row>
      <xdr:rowOff>56278</xdr:rowOff>
    </xdr:to>
    <xdr:sp macro="" textlink="">
      <xdr:nvSpPr>
        <xdr:cNvPr id="176" name="フローチャート: 端子 175">
          <a:extLst>
            <a:ext uri="{FF2B5EF4-FFF2-40B4-BE49-F238E27FC236}">
              <a16:creationId xmlns:a16="http://schemas.microsoft.com/office/drawing/2014/main" id="{7BF765F0-2C5A-486E-AC0C-7714C886020D}"/>
            </a:ext>
          </a:extLst>
        </xdr:cNvPr>
        <xdr:cNvSpPr/>
      </xdr:nvSpPr>
      <xdr:spPr>
        <a:xfrm>
          <a:off x="6669314" y="20002500"/>
          <a:ext cx="709114" cy="22772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32</xdr:col>
      <xdr:colOff>154212</xdr:colOff>
      <xdr:row>124</xdr:row>
      <xdr:rowOff>90716</xdr:rowOff>
    </xdr:from>
    <xdr:to>
      <xdr:col>36</xdr:col>
      <xdr:colOff>52581</xdr:colOff>
      <xdr:row>125</xdr:row>
      <xdr:rowOff>121594</xdr:rowOff>
    </xdr:to>
    <xdr:sp macro="" textlink="">
      <xdr:nvSpPr>
        <xdr:cNvPr id="182" name="フローチャート: 端子 181">
          <a:extLst>
            <a:ext uri="{FF2B5EF4-FFF2-40B4-BE49-F238E27FC236}">
              <a16:creationId xmlns:a16="http://schemas.microsoft.com/office/drawing/2014/main" id="{BD2244F2-7C5A-400B-AA3A-0E8A964C8A6C}"/>
            </a:ext>
          </a:extLst>
        </xdr:cNvPr>
        <xdr:cNvSpPr/>
      </xdr:nvSpPr>
      <xdr:spPr>
        <a:xfrm>
          <a:off x="6540498" y="27441073"/>
          <a:ext cx="696654" cy="20323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31</xdr:col>
      <xdr:colOff>6863</xdr:colOff>
      <xdr:row>28</xdr:row>
      <xdr:rowOff>24203</xdr:rowOff>
    </xdr:from>
    <xdr:to>
      <xdr:col>36</xdr:col>
      <xdr:colOff>84520</xdr:colOff>
      <xdr:row>30</xdr:row>
      <xdr:rowOff>166250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3D4F704F-568D-4586-89D8-30ED530E4E97}"/>
            </a:ext>
          </a:extLst>
        </xdr:cNvPr>
        <xdr:cNvGrpSpPr/>
      </xdr:nvGrpSpPr>
      <xdr:grpSpPr>
        <a:xfrm>
          <a:off x="6336089" y="5068643"/>
          <a:ext cx="1098193" cy="503453"/>
          <a:chOff x="1612900" y="2427475"/>
          <a:chExt cx="933032" cy="404625"/>
        </a:xfrm>
      </xdr:grpSpPr>
      <xdr:sp macro="" textlink="">
        <xdr:nvSpPr>
          <xdr:cNvPr id="11" name="フローチャート: 定義済み処理 10">
            <a:extLst>
              <a:ext uri="{FF2B5EF4-FFF2-40B4-BE49-F238E27FC236}">
                <a16:creationId xmlns:a16="http://schemas.microsoft.com/office/drawing/2014/main" id="{F6CA8C3F-18FA-BC1F-6EA3-5BC6080DB40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EA24D51F-AC82-3D20-952F-6A7B6E2759ED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</a:t>
            </a:r>
            <a:r>
              <a:rPr kumimoji="1" lang="ja-JP" altLang="en-US" sz="900"/>
              <a:t>．</a:t>
            </a:r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取り込み</a:t>
            </a:r>
            <a:endParaRPr kumimoji="1" lang="en-US" altLang="ja-JP" sz="900"/>
          </a:p>
        </xdr:txBody>
      </xdr:sp>
    </xdr:grpSp>
    <xdr:clientData/>
  </xdr:twoCellAnchor>
  <xdr:twoCellAnchor>
    <xdr:from>
      <xdr:col>12</xdr:col>
      <xdr:colOff>58596</xdr:colOff>
      <xdr:row>18</xdr:row>
      <xdr:rowOff>109716</xdr:rowOff>
    </xdr:from>
    <xdr:to>
      <xdr:col>33</xdr:col>
      <xdr:colOff>161312</xdr:colOff>
      <xdr:row>22</xdr:row>
      <xdr:rowOff>44024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CF320DE8-1098-40F3-B31E-72B18E02A222}"/>
            </a:ext>
          </a:extLst>
        </xdr:cNvPr>
        <xdr:cNvCxnSpPr>
          <a:cxnSpLocks/>
          <a:stCxn id="113" idx="2"/>
          <a:endCxn id="120" idx="0"/>
        </xdr:cNvCxnSpPr>
      </xdr:nvCxnSpPr>
      <xdr:spPr>
        <a:xfrm rot="16200000" flipH="1">
          <a:off x="4288442" y="1495084"/>
          <a:ext cx="623737" cy="429371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67357</xdr:colOff>
      <xdr:row>21</xdr:row>
      <xdr:rowOff>142404</xdr:rowOff>
    </xdr:from>
    <xdr:to>
      <xdr:col>86</xdr:col>
      <xdr:colOff>56177</xdr:colOff>
      <xdr:row>25</xdr:row>
      <xdr:rowOff>127914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67A64F79-4845-4786-B73C-6484C9BB73DA}"/>
            </a:ext>
          </a:extLst>
        </xdr:cNvPr>
        <xdr:cNvGrpSpPr>
          <a:grpSpLocks noChangeAspect="1"/>
        </xdr:cNvGrpSpPr>
      </xdr:nvGrpSpPr>
      <xdr:grpSpPr>
        <a:xfrm>
          <a:off x="16598131" y="3950499"/>
          <a:ext cx="1015070" cy="698796"/>
          <a:chOff x="7112000" y="2892425"/>
          <a:chExt cx="873125" cy="584982"/>
        </a:xfrm>
      </xdr:grpSpPr>
      <xdr:sp macro="" textlink="">
        <xdr:nvSpPr>
          <xdr:cNvPr id="85" name="フローチャート: 磁気ディスク 84">
            <a:extLst>
              <a:ext uri="{FF2B5EF4-FFF2-40B4-BE49-F238E27FC236}">
                <a16:creationId xmlns:a16="http://schemas.microsoft.com/office/drawing/2014/main" id="{4C9D6C25-3303-3894-2438-970CC90D610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9295E463-A592-117A-EF46-09A551FBCEDA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銀行システム</a:t>
            </a:r>
          </a:p>
        </xdr:txBody>
      </xdr:sp>
    </xdr:grpSp>
    <xdr:clientData/>
  </xdr:twoCellAnchor>
  <xdr:twoCellAnchor>
    <xdr:from>
      <xdr:col>9</xdr:col>
      <xdr:colOff>125185</xdr:colOff>
      <xdr:row>15</xdr:row>
      <xdr:rowOff>152399</xdr:rowOff>
    </xdr:from>
    <xdr:to>
      <xdr:col>14</xdr:col>
      <xdr:colOff>191576</xdr:colOff>
      <xdr:row>18</xdr:row>
      <xdr:rowOff>109717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053D87C9-6446-4C39-B4E5-CAC3036A6FFD}"/>
            </a:ext>
          </a:extLst>
        </xdr:cNvPr>
        <xdr:cNvGrpSpPr/>
      </xdr:nvGrpSpPr>
      <xdr:grpSpPr>
        <a:xfrm>
          <a:off x="1964054" y="2901042"/>
          <a:ext cx="1085022" cy="486091"/>
          <a:chOff x="1612900" y="2439903"/>
          <a:chExt cx="933032" cy="405753"/>
        </a:xfrm>
      </xdr:grpSpPr>
      <xdr:sp macro="" textlink="">
        <xdr:nvSpPr>
          <xdr:cNvPr id="112" name="フローチャート: 処理 111">
            <a:extLst>
              <a:ext uri="{FF2B5EF4-FFF2-40B4-BE49-F238E27FC236}">
                <a16:creationId xmlns:a16="http://schemas.microsoft.com/office/drawing/2014/main" id="{E5127E2A-1975-1A45-A743-BF271E7E608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3" name="正方形/長方形 48">
            <a:extLst>
              <a:ext uri="{FF2B5EF4-FFF2-40B4-BE49-F238E27FC236}">
                <a16:creationId xmlns:a16="http://schemas.microsoft.com/office/drawing/2014/main" id="{B7123C53-56DD-900C-8E26-D2917B0CA9BD}"/>
              </a:ext>
            </a:extLst>
          </xdr:cNvPr>
          <xdr:cNvSpPr/>
        </xdr:nvSpPr>
        <xdr:spPr>
          <a:xfrm>
            <a:off x="1612900" y="2439903"/>
            <a:ext cx="933032" cy="4057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</a:t>
            </a:r>
            <a:r>
              <a:rPr kumimoji="1" lang="ja-JP" altLang="en-US" sz="900"/>
              <a:t>．入金情報提示</a:t>
            </a:r>
            <a:endParaRPr kumimoji="1" lang="en-US" altLang="ja-JP" sz="900"/>
          </a:p>
        </xdr:txBody>
      </xdr:sp>
    </xdr:grpSp>
    <xdr:clientData/>
  </xdr:twoCellAnchor>
  <xdr:twoCellAnchor>
    <xdr:from>
      <xdr:col>36</xdr:col>
      <xdr:colOff>31525</xdr:colOff>
      <xdr:row>29</xdr:row>
      <xdr:rowOff>113029</xdr:rowOff>
    </xdr:from>
    <xdr:to>
      <xdr:col>74</xdr:col>
      <xdr:colOff>178434</xdr:colOff>
      <xdr:row>29</xdr:row>
      <xdr:rowOff>121877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FF0814AD-1D98-417E-84EA-F57F581BCDEE}"/>
            </a:ext>
          </a:extLst>
        </xdr:cNvPr>
        <xdr:cNvCxnSpPr>
          <a:cxnSpLocks/>
          <a:stCxn id="11" idx="3"/>
          <a:endCxn id="130" idx="2"/>
        </xdr:cNvCxnSpPr>
      </xdr:nvCxnSpPr>
      <xdr:spPr>
        <a:xfrm>
          <a:off x="7216096" y="5229315"/>
          <a:ext cx="3739195" cy="884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190785</xdr:colOff>
      <xdr:row>22</xdr:row>
      <xdr:rowOff>9499</xdr:rowOff>
    </xdr:from>
    <xdr:to>
      <xdr:col>36</xdr:col>
      <xdr:colOff>101182</xdr:colOff>
      <xdr:row>24</xdr:row>
      <xdr:rowOff>130842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E83B8C6E-4EF0-4D08-9053-0E9579DB89E6}"/>
            </a:ext>
          </a:extLst>
        </xdr:cNvPr>
        <xdr:cNvGrpSpPr/>
      </xdr:nvGrpSpPr>
      <xdr:grpSpPr>
        <a:xfrm>
          <a:off x="6313999" y="3998297"/>
          <a:ext cx="1131230" cy="477034"/>
          <a:chOff x="1612900" y="2427475"/>
          <a:chExt cx="933032" cy="404625"/>
        </a:xfrm>
      </xdr:grpSpPr>
      <xdr:sp macro="" textlink="">
        <xdr:nvSpPr>
          <xdr:cNvPr id="120" name="フローチャート: 定義済み処理 119">
            <a:extLst>
              <a:ext uri="{FF2B5EF4-FFF2-40B4-BE49-F238E27FC236}">
                <a16:creationId xmlns:a16="http://schemas.microsoft.com/office/drawing/2014/main" id="{5E7BBEF5-1385-3FF3-5061-A45D3DCC332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7F63CB50-9820-FA4D-91D2-53193C6EE9D6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</a:t>
            </a:r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ダウンロード</a:t>
            </a:r>
            <a:endParaRPr kumimoji="1" lang="en-US" altLang="ja-JP" sz="900"/>
          </a:p>
        </xdr:txBody>
      </xdr:sp>
    </xdr:grpSp>
    <xdr:clientData/>
  </xdr:twoCellAnchor>
  <xdr:twoCellAnchor>
    <xdr:from>
      <xdr:col>36</xdr:col>
      <xdr:colOff>46362</xdr:colOff>
      <xdr:row>23</xdr:row>
      <xdr:rowOff>87407</xdr:rowOff>
    </xdr:from>
    <xdr:to>
      <xdr:col>81</xdr:col>
      <xdr:colOff>176133</xdr:colOff>
      <xdr:row>23</xdr:row>
      <xdr:rowOff>107094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78A77AF3-AC31-4259-9E14-BB23D60D43C4}"/>
            </a:ext>
          </a:extLst>
        </xdr:cNvPr>
        <xdr:cNvCxnSpPr>
          <a:cxnSpLocks/>
          <a:stCxn id="85" idx="2"/>
          <a:endCxn id="120" idx="3"/>
        </xdr:cNvCxnSpPr>
      </xdr:nvCxnSpPr>
      <xdr:spPr>
        <a:xfrm flipH="1" flipV="1">
          <a:off x="7230933" y="4169550"/>
          <a:ext cx="5119057" cy="1968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28842</xdr:colOff>
      <xdr:row>24</xdr:row>
      <xdr:rowOff>20863</xdr:rowOff>
    </xdr:from>
    <xdr:to>
      <xdr:col>40</xdr:col>
      <xdr:colOff>50888</xdr:colOff>
      <xdr:row>26</xdr:row>
      <xdr:rowOff>88812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4DBFBF20-9AF4-4E10-8F6A-BD3CBDFE565F}"/>
            </a:ext>
          </a:extLst>
        </xdr:cNvPr>
        <xdr:cNvGrpSpPr/>
      </xdr:nvGrpSpPr>
      <xdr:grpSpPr>
        <a:xfrm>
          <a:off x="7170687" y="4357732"/>
          <a:ext cx="1048297" cy="429354"/>
          <a:chOff x="4305300" y="5730875"/>
          <a:chExt cx="1003300" cy="425450"/>
        </a:xfrm>
      </xdr:grpSpPr>
      <xdr:sp macro="" textlink="">
        <xdr:nvSpPr>
          <xdr:cNvPr id="124" name="AutoShape 49">
            <a:extLst>
              <a:ext uri="{FF2B5EF4-FFF2-40B4-BE49-F238E27FC236}">
                <a16:creationId xmlns:a16="http://schemas.microsoft.com/office/drawing/2014/main" id="{557D64B5-DB00-3662-617A-08CC081651A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25" name="正方形/長方形 48">
            <a:extLst>
              <a:ext uri="{FF2B5EF4-FFF2-40B4-BE49-F238E27FC236}">
                <a16:creationId xmlns:a16="http://schemas.microsoft.com/office/drawing/2014/main" id="{ECA53554-33CD-F8D2-71B3-DF9165E5CD5D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</a:p>
        </xdr:txBody>
      </xdr:sp>
    </xdr:grpSp>
    <xdr:clientData/>
  </xdr:twoCellAnchor>
  <xdr:twoCellAnchor>
    <xdr:from>
      <xdr:col>33</xdr:col>
      <xdr:colOff>145478</xdr:colOff>
      <xdr:row>30</xdr:row>
      <xdr:rowOff>161087</xdr:rowOff>
    </xdr:from>
    <xdr:to>
      <xdr:col>33</xdr:col>
      <xdr:colOff>156320</xdr:colOff>
      <xdr:row>36</xdr:row>
      <xdr:rowOff>158741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04F4198C-2564-46AD-BB5F-205E373D454B}"/>
            </a:ext>
          </a:extLst>
        </xdr:cNvPr>
        <xdr:cNvCxnSpPr>
          <a:cxnSpLocks/>
          <a:stCxn id="12" idx="2"/>
          <a:endCxn id="178" idx="0"/>
        </xdr:cNvCxnSpPr>
      </xdr:nvCxnSpPr>
      <xdr:spPr>
        <a:xfrm rot="16200000" flipH="1">
          <a:off x="6307036" y="5874029"/>
          <a:ext cx="859440" cy="1084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140562</xdr:colOff>
      <xdr:row>24</xdr:row>
      <xdr:rowOff>131015</xdr:rowOff>
    </xdr:from>
    <xdr:to>
      <xdr:col>33</xdr:col>
      <xdr:colOff>140562</xdr:colOff>
      <xdr:row>28</xdr:row>
      <xdr:rowOff>26331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B77DD379-6842-492D-A68B-62D125A02A17}"/>
            </a:ext>
          </a:extLst>
        </xdr:cNvPr>
        <xdr:cNvCxnSpPr>
          <a:cxnSpLocks/>
          <a:stCxn id="121" idx="2"/>
          <a:endCxn id="12" idx="0"/>
        </xdr:cNvCxnSpPr>
      </xdr:nvCxnSpPr>
      <xdr:spPr>
        <a:xfrm rot="5400000">
          <a:off x="6434046" y="4677888"/>
          <a:ext cx="584745" cy="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76882</xdr:colOff>
      <xdr:row>28</xdr:row>
      <xdr:rowOff>29883</xdr:rowOff>
    </xdr:from>
    <xdr:to>
      <xdr:col>79</xdr:col>
      <xdr:colOff>67641</xdr:colOff>
      <xdr:row>31</xdr:row>
      <xdr:rowOff>95622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DD6D0FBE-4743-4B84-B785-94E2A016854C}"/>
            </a:ext>
          </a:extLst>
        </xdr:cNvPr>
        <xdr:cNvGrpSpPr/>
      </xdr:nvGrpSpPr>
      <xdr:grpSpPr>
        <a:xfrm>
          <a:off x="15180811" y="5076228"/>
          <a:ext cx="1009389" cy="594513"/>
          <a:chOff x="7113907" y="2892425"/>
          <a:chExt cx="917588" cy="591189"/>
        </a:xfrm>
      </xdr:grpSpPr>
      <xdr:sp macro="" textlink="">
        <xdr:nvSpPr>
          <xdr:cNvPr id="130" name="フローチャート: 磁気ディスク 129">
            <a:extLst>
              <a:ext uri="{FF2B5EF4-FFF2-40B4-BE49-F238E27FC236}">
                <a16:creationId xmlns:a16="http://schemas.microsoft.com/office/drawing/2014/main" id="{5A913E91-E722-E197-D28C-21F38CD4304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7332217A-D5F0-D48D-78BC-AEE044460F33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</a:p>
        </xdr:txBody>
      </xdr:sp>
    </xdr:grpSp>
    <xdr:clientData/>
  </xdr:twoCellAnchor>
  <xdr:twoCellAnchor>
    <xdr:from>
      <xdr:col>35</xdr:col>
      <xdr:colOff>48265</xdr:colOff>
      <xdr:row>29</xdr:row>
      <xdr:rowOff>169474</xdr:rowOff>
    </xdr:from>
    <xdr:to>
      <xdr:col>40</xdr:col>
      <xdr:colOff>79836</xdr:colOff>
      <xdr:row>32</xdr:row>
      <xdr:rowOff>53086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7F380314-695F-4422-90C9-512670A952F5}"/>
            </a:ext>
          </a:extLst>
        </xdr:cNvPr>
        <xdr:cNvGrpSpPr/>
      </xdr:nvGrpSpPr>
      <xdr:grpSpPr>
        <a:xfrm>
          <a:off x="7193920" y="5398427"/>
          <a:ext cx="1050202" cy="414290"/>
          <a:chOff x="4305300" y="5730875"/>
          <a:chExt cx="1003300" cy="425450"/>
        </a:xfrm>
      </xdr:grpSpPr>
      <xdr:sp macro="" textlink="">
        <xdr:nvSpPr>
          <xdr:cNvPr id="133" name="AutoShape 49">
            <a:extLst>
              <a:ext uri="{FF2B5EF4-FFF2-40B4-BE49-F238E27FC236}">
                <a16:creationId xmlns:a16="http://schemas.microsoft.com/office/drawing/2014/main" id="{081CBB4D-3008-4C9A-DE63-7DFB2DADE66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34" name="正方形/長方形 48">
            <a:extLst>
              <a:ext uri="{FF2B5EF4-FFF2-40B4-BE49-F238E27FC236}">
                <a16:creationId xmlns:a16="http://schemas.microsoft.com/office/drawing/2014/main" id="{59323EE1-AF95-C18E-ACA3-2088488C75E9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EB</a:t>
            </a:r>
            <a:r>
              <a:rPr kumimoji="1" lang="ja-JP" altLang="en-US" sz="900"/>
              <a:t>データ</a:t>
            </a:r>
          </a:p>
        </xdr:txBody>
      </xdr:sp>
    </xdr:grpSp>
    <xdr:clientData/>
  </xdr:twoCellAnchor>
  <xdr:twoCellAnchor>
    <xdr:from>
      <xdr:col>31</xdr:col>
      <xdr:colOff>5555</xdr:colOff>
      <xdr:row>36</xdr:row>
      <xdr:rowOff>116839</xdr:rowOff>
    </xdr:from>
    <xdr:to>
      <xdr:col>36</xdr:col>
      <xdr:colOff>73687</xdr:colOff>
      <xdr:row>39</xdr:row>
      <xdr:rowOff>86527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00157FBE-6EA2-4277-B931-2820DBAF3E3D}"/>
            </a:ext>
          </a:extLst>
        </xdr:cNvPr>
        <xdr:cNvGrpSpPr/>
      </xdr:nvGrpSpPr>
      <xdr:grpSpPr>
        <a:xfrm>
          <a:off x="6334781" y="6580232"/>
          <a:ext cx="1086763" cy="502271"/>
          <a:chOff x="1612900" y="2427475"/>
          <a:chExt cx="933032" cy="404625"/>
        </a:xfrm>
      </xdr:grpSpPr>
      <xdr:sp macro="" textlink="">
        <xdr:nvSpPr>
          <xdr:cNvPr id="178" name="フローチャート: 定義済み処理 177">
            <a:extLst>
              <a:ext uri="{FF2B5EF4-FFF2-40B4-BE49-F238E27FC236}">
                <a16:creationId xmlns:a16="http://schemas.microsoft.com/office/drawing/2014/main" id="{8EDAAD02-0321-B4F3-A88A-26566FFC71C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9" name="正方形/長方形 178">
            <a:extLst>
              <a:ext uri="{FF2B5EF4-FFF2-40B4-BE49-F238E27FC236}">
                <a16:creationId xmlns:a16="http://schemas.microsoft.com/office/drawing/2014/main" id="{749D874F-2015-3992-4545-688544A5A47C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伝票承認申請</a:t>
            </a:r>
            <a:endParaRPr kumimoji="1" lang="en-US" altLang="ja-JP" sz="900"/>
          </a:p>
        </xdr:txBody>
      </xdr:sp>
    </xdr:grpSp>
    <xdr:clientData/>
  </xdr:twoCellAnchor>
  <xdr:twoCellAnchor>
    <xdr:from>
      <xdr:col>44</xdr:col>
      <xdr:colOff>40773</xdr:colOff>
      <xdr:row>41</xdr:row>
      <xdr:rowOff>86906</xdr:rowOff>
    </xdr:from>
    <xdr:to>
      <xdr:col>49</xdr:col>
      <xdr:colOff>112079</xdr:colOff>
      <xdr:row>44</xdr:row>
      <xdr:rowOff>59769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C70552A8-ECC0-4CBF-9C42-E143B6C88CBA}"/>
            </a:ext>
          </a:extLst>
        </xdr:cNvPr>
        <xdr:cNvGrpSpPr/>
      </xdr:nvGrpSpPr>
      <xdr:grpSpPr>
        <a:xfrm>
          <a:off x="9021487" y="7436668"/>
          <a:ext cx="1091842" cy="497827"/>
          <a:chOff x="1612900" y="2427475"/>
          <a:chExt cx="933032" cy="404625"/>
        </a:xfrm>
      </xdr:grpSpPr>
      <xdr:sp macro="" textlink="">
        <xdr:nvSpPr>
          <xdr:cNvPr id="181" name="フローチャート: 定義済み処理 180">
            <a:extLst>
              <a:ext uri="{FF2B5EF4-FFF2-40B4-BE49-F238E27FC236}">
                <a16:creationId xmlns:a16="http://schemas.microsoft.com/office/drawing/2014/main" id="{26372D5E-184F-34F4-CA53-4C71A60AB3A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6" name="正方形/長方形 185">
            <a:extLst>
              <a:ext uri="{FF2B5EF4-FFF2-40B4-BE49-F238E27FC236}">
                <a16:creationId xmlns:a16="http://schemas.microsoft.com/office/drawing/2014/main" id="{434A4E14-84F4-3852-61F7-CAE17EE198C2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伝票承認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46</xdr:col>
      <xdr:colOff>185842</xdr:colOff>
      <xdr:row>44</xdr:row>
      <xdr:rowOff>59769</xdr:rowOff>
    </xdr:from>
    <xdr:to>
      <xdr:col>57</xdr:col>
      <xdr:colOff>15572</xdr:colOff>
      <xdr:row>47</xdr:row>
      <xdr:rowOff>85844</xdr:rowOff>
    </xdr:to>
    <xdr:cxnSp macro="">
      <xdr:nvCxnSpPr>
        <xdr:cNvPr id="187" name="コネクタ: カギ線 186">
          <a:extLst>
            <a:ext uri="{FF2B5EF4-FFF2-40B4-BE49-F238E27FC236}">
              <a16:creationId xmlns:a16="http://schemas.microsoft.com/office/drawing/2014/main" id="{EF987A22-D298-4BD5-84D1-9A05797EE089}"/>
            </a:ext>
          </a:extLst>
        </xdr:cNvPr>
        <xdr:cNvCxnSpPr>
          <a:cxnSpLocks/>
          <a:stCxn id="181" idx="2"/>
          <a:endCxn id="17" idx="0"/>
        </xdr:cNvCxnSpPr>
      </xdr:nvCxnSpPr>
      <xdr:spPr>
        <a:xfrm rot="16200000" flipH="1">
          <a:off x="9646287" y="6892677"/>
          <a:ext cx="530340" cy="192523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156320</xdr:colOff>
      <xdr:row>39</xdr:row>
      <xdr:rowOff>86526</xdr:rowOff>
    </xdr:from>
    <xdr:to>
      <xdr:col>46</xdr:col>
      <xdr:colOff>191625</xdr:colOff>
      <xdr:row>41</xdr:row>
      <xdr:rowOff>126105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3B3DF66E-6CF5-40F2-A2F2-32345FF9308A}"/>
            </a:ext>
          </a:extLst>
        </xdr:cNvPr>
        <xdr:cNvCxnSpPr>
          <a:cxnSpLocks/>
          <a:stCxn id="178" idx="2"/>
          <a:endCxn id="181" idx="0"/>
        </xdr:cNvCxnSpPr>
      </xdr:nvCxnSpPr>
      <xdr:spPr>
        <a:xfrm rot="16200000" flipH="1">
          <a:off x="7864897" y="5631306"/>
          <a:ext cx="384293" cy="262973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20842</xdr:colOff>
      <xdr:row>38</xdr:row>
      <xdr:rowOff>12304</xdr:rowOff>
    </xdr:from>
    <xdr:to>
      <xdr:col>74</xdr:col>
      <xdr:colOff>180809</xdr:colOff>
      <xdr:row>38</xdr:row>
      <xdr:rowOff>33680</xdr:rowOff>
    </xdr:to>
    <xdr:cxnSp macro="">
      <xdr:nvCxnSpPr>
        <xdr:cNvPr id="189" name="コネクタ: カギ線 188">
          <a:extLst>
            <a:ext uri="{FF2B5EF4-FFF2-40B4-BE49-F238E27FC236}">
              <a16:creationId xmlns:a16="http://schemas.microsoft.com/office/drawing/2014/main" id="{22929832-5A6F-4E6E-B51E-F1FD4385EC93}"/>
            </a:ext>
          </a:extLst>
        </xdr:cNvPr>
        <xdr:cNvCxnSpPr>
          <a:cxnSpLocks/>
          <a:stCxn id="178" idx="3"/>
          <a:endCxn id="193" idx="2"/>
        </xdr:cNvCxnSpPr>
      </xdr:nvCxnSpPr>
      <xdr:spPr>
        <a:xfrm flipV="1">
          <a:off x="7205413" y="6507447"/>
          <a:ext cx="3752253" cy="21376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79257</xdr:colOff>
      <xdr:row>36</xdr:row>
      <xdr:rowOff>90769</xdr:rowOff>
    </xdr:from>
    <xdr:to>
      <xdr:col>79</xdr:col>
      <xdr:colOff>70016</xdr:colOff>
      <xdr:row>39</xdr:row>
      <xdr:rowOff>160243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D705C348-4CA7-4B45-932F-DB0C1CD5511D}"/>
            </a:ext>
          </a:extLst>
        </xdr:cNvPr>
        <xdr:cNvGrpSpPr/>
      </xdr:nvGrpSpPr>
      <xdr:grpSpPr>
        <a:xfrm>
          <a:off x="15183186" y="6557972"/>
          <a:ext cx="1009389" cy="598247"/>
          <a:chOff x="7113907" y="2892425"/>
          <a:chExt cx="917588" cy="591189"/>
        </a:xfrm>
      </xdr:grpSpPr>
      <xdr:sp macro="" textlink="">
        <xdr:nvSpPr>
          <xdr:cNvPr id="193" name="フローチャート: 磁気ディスク 192">
            <a:extLst>
              <a:ext uri="{FF2B5EF4-FFF2-40B4-BE49-F238E27FC236}">
                <a16:creationId xmlns:a16="http://schemas.microsoft.com/office/drawing/2014/main" id="{4EA21442-B5AA-69B9-74E3-E506EF9D5D05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4" name="正方形/長方形 193">
            <a:extLst>
              <a:ext uri="{FF2B5EF4-FFF2-40B4-BE49-F238E27FC236}">
                <a16:creationId xmlns:a16="http://schemas.microsoft.com/office/drawing/2014/main" id="{AC02EAC9-7D0F-A9A5-49A7-BBFB6B8FBFA0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74</xdr:col>
      <xdr:colOff>64316</xdr:colOff>
      <xdr:row>41</xdr:row>
      <xdr:rowOff>78390</xdr:rowOff>
    </xdr:from>
    <xdr:to>
      <xdr:col>79</xdr:col>
      <xdr:colOff>55074</xdr:colOff>
      <xdr:row>44</xdr:row>
      <xdr:rowOff>144689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7812BCDB-62BD-4928-BFE3-6F6285985656}"/>
            </a:ext>
          </a:extLst>
        </xdr:cNvPr>
        <xdr:cNvGrpSpPr/>
      </xdr:nvGrpSpPr>
      <xdr:grpSpPr>
        <a:xfrm>
          <a:off x="15164435" y="7426247"/>
          <a:ext cx="1018913" cy="595073"/>
          <a:chOff x="7113907" y="2892425"/>
          <a:chExt cx="917588" cy="591189"/>
        </a:xfrm>
      </xdr:grpSpPr>
      <xdr:sp macro="" textlink="">
        <xdr:nvSpPr>
          <xdr:cNvPr id="197" name="フローチャート: 磁気ディスク 196">
            <a:extLst>
              <a:ext uri="{FF2B5EF4-FFF2-40B4-BE49-F238E27FC236}">
                <a16:creationId xmlns:a16="http://schemas.microsoft.com/office/drawing/2014/main" id="{AD3337DF-E251-C38A-C336-DC476CFDE393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8" name="正方形/長方形 197">
            <a:extLst>
              <a:ext uri="{FF2B5EF4-FFF2-40B4-BE49-F238E27FC236}">
                <a16:creationId xmlns:a16="http://schemas.microsoft.com/office/drawing/2014/main" id="{9DD7920E-5555-7F5F-7D73-B7B6608A26AE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顧客支払仕訳帳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49</xdr:col>
      <xdr:colOff>68049</xdr:colOff>
      <xdr:row>42</xdr:row>
      <xdr:rowOff>170842</xdr:rowOff>
    </xdr:from>
    <xdr:to>
      <xdr:col>74</xdr:col>
      <xdr:colOff>156903</xdr:colOff>
      <xdr:row>43</xdr:row>
      <xdr:rowOff>5452</xdr:rowOff>
    </xdr:to>
    <xdr:cxnSp macro="">
      <xdr:nvCxnSpPr>
        <xdr:cNvPr id="199" name="コネクタ: カギ線 198">
          <a:extLst>
            <a:ext uri="{FF2B5EF4-FFF2-40B4-BE49-F238E27FC236}">
              <a16:creationId xmlns:a16="http://schemas.microsoft.com/office/drawing/2014/main" id="{989E914E-A48D-4988-83F1-0B85D9F475F2}"/>
            </a:ext>
          </a:extLst>
        </xdr:cNvPr>
        <xdr:cNvCxnSpPr>
          <a:cxnSpLocks/>
          <a:stCxn id="181" idx="3"/>
          <a:endCxn id="197" idx="2"/>
        </xdr:cNvCxnSpPr>
      </xdr:nvCxnSpPr>
      <xdr:spPr>
        <a:xfrm flipV="1">
          <a:off x="9847049" y="7355413"/>
          <a:ext cx="1086711" cy="696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73319</xdr:colOff>
      <xdr:row>13</xdr:row>
      <xdr:rowOff>131295</xdr:rowOff>
    </xdr:from>
    <xdr:to>
      <xdr:col>21</xdr:col>
      <xdr:colOff>110424</xdr:colOff>
      <xdr:row>16</xdr:row>
      <xdr:rowOff>557</xdr:rowOff>
    </xdr:to>
    <xdr:cxnSp macro="">
      <xdr:nvCxnSpPr>
        <xdr:cNvPr id="201" name="コネクタ: カギ線 200">
          <a:extLst>
            <a:ext uri="{FF2B5EF4-FFF2-40B4-BE49-F238E27FC236}">
              <a16:creationId xmlns:a16="http://schemas.microsoft.com/office/drawing/2014/main" id="{572C5BFD-7EA8-415B-AE6E-AA27FD88D798}"/>
            </a:ext>
          </a:extLst>
        </xdr:cNvPr>
        <xdr:cNvCxnSpPr>
          <a:cxnSpLocks/>
          <a:stCxn id="192" idx="2"/>
          <a:endCxn id="112" idx="0"/>
        </xdr:cNvCxnSpPr>
      </xdr:nvCxnSpPr>
      <xdr:spPr>
        <a:xfrm rot="5400000">
          <a:off x="3191633" y="1766409"/>
          <a:ext cx="386334" cy="183324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153995</xdr:colOff>
      <xdr:row>77</xdr:row>
      <xdr:rowOff>49119</xdr:rowOff>
    </xdr:from>
    <xdr:to>
      <xdr:col>69</xdr:col>
      <xdr:colOff>56476</xdr:colOff>
      <xdr:row>78</xdr:row>
      <xdr:rowOff>67806</xdr:rowOff>
    </xdr:to>
    <xdr:sp macro="" textlink="">
      <xdr:nvSpPr>
        <xdr:cNvPr id="107" name="フローチャート: 端子 106">
          <a:extLst>
            <a:ext uri="{FF2B5EF4-FFF2-40B4-BE49-F238E27FC236}">
              <a16:creationId xmlns:a16="http://schemas.microsoft.com/office/drawing/2014/main" id="{236CAB64-BE24-4991-9993-2418D7F7E3BA}"/>
            </a:ext>
          </a:extLst>
        </xdr:cNvPr>
        <xdr:cNvSpPr/>
      </xdr:nvSpPr>
      <xdr:spPr>
        <a:xfrm>
          <a:off x="12536495" y="13126384"/>
          <a:ext cx="664481" cy="1867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74</xdr:col>
      <xdr:colOff>102347</xdr:colOff>
      <xdr:row>46</xdr:row>
      <xdr:rowOff>145677</xdr:rowOff>
    </xdr:from>
    <xdr:to>
      <xdr:col>79</xdr:col>
      <xdr:colOff>103911</xdr:colOff>
      <xdr:row>50</xdr:row>
      <xdr:rowOff>38765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16A0282-DACF-45C5-91F7-2960543F5CA3}"/>
            </a:ext>
          </a:extLst>
        </xdr:cNvPr>
        <xdr:cNvGrpSpPr/>
      </xdr:nvGrpSpPr>
      <xdr:grpSpPr>
        <a:xfrm>
          <a:off x="15202466" y="8376093"/>
          <a:ext cx="1024004" cy="602565"/>
          <a:chOff x="7113907" y="2892425"/>
          <a:chExt cx="917588" cy="591189"/>
        </a:xfrm>
      </xdr:grpSpPr>
      <xdr:sp macro="" textlink="">
        <xdr:nvSpPr>
          <xdr:cNvPr id="5" name="フローチャート: 磁気ディスク 4">
            <a:extLst>
              <a:ext uri="{FF2B5EF4-FFF2-40B4-BE49-F238E27FC236}">
                <a16:creationId xmlns:a16="http://schemas.microsoft.com/office/drawing/2014/main" id="{79F9BF77-249F-C2DB-45E1-0DB99CD555C0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F9E56C49-7FB5-4970-1D6A-0C848C7F0B83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59</xdr:col>
      <xdr:colOff>129249</xdr:colOff>
      <xdr:row>48</xdr:row>
      <xdr:rowOff>64369</xdr:rowOff>
    </xdr:from>
    <xdr:to>
      <xdr:col>75</xdr:col>
      <xdr:colOff>8774</xdr:colOff>
      <xdr:row>48</xdr:row>
      <xdr:rowOff>150021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DF607A47-082E-4866-87BC-733B06FEF125}"/>
            </a:ext>
          </a:extLst>
        </xdr:cNvPr>
        <xdr:cNvCxnSpPr>
          <a:cxnSpLocks/>
          <a:stCxn id="17" idx="3"/>
          <a:endCxn id="5" idx="2"/>
        </xdr:cNvCxnSpPr>
      </xdr:nvCxnSpPr>
      <xdr:spPr>
        <a:xfrm flipV="1">
          <a:off x="11368749" y="8267075"/>
          <a:ext cx="2927525" cy="85652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8032</xdr:colOff>
      <xdr:row>47</xdr:row>
      <xdr:rowOff>55094</xdr:rowOff>
    </xdr:from>
    <xdr:to>
      <xdr:col>59</xdr:col>
      <xdr:colOff>153288</xdr:colOff>
      <xdr:row>50</xdr:row>
      <xdr:rowOff>72410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69EA38BD-59CD-4709-98F3-E1E7756D30E9}"/>
            </a:ext>
          </a:extLst>
        </xdr:cNvPr>
        <xdr:cNvGrpSpPr/>
      </xdr:nvGrpSpPr>
      <xdr:grpSpPr>
        <a:xfrm>
          <a:off x="11031723" y="8468118"/>
          <a:ext cx="1163886" cy="544185"/>
          <a:chOff x="1612901" y="2432650"/>
          <a:chExt cx="908902" cy="420662"/>
        </a:xfrm>
      </xdr:grpSpPr>
      <xdr:sp macro="" textlink="">
        <xdr:nvSpPr>
          <xdr:cNvPr id="17" name="フローチャート: 定義済み処理 16">
            <a:extLst>
              <a:ext uri="{FF2B5EF4-FFF2-40B4-BE49-F238E27FC236}">
                <a16:creationId xmlns:a16="http://schemas.microsoft.com/office/drawing/2014/main" id="{CB03F09E-1B5A-4A4D-CB3E-EF942FAE131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" name="正方形/長方形 48">
            <a:extLst>
              <a:ext uri="{FF2B5EF4-FFF2-40B4-BE49-F238E27FC236}">
                <a16:creationId xmlns:a16="http://schemas.microsoft.com/office/drawing/2014/main" id="{8614C1C2-7279-06AB-4E48-D7D4D88FFCD9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33</xdr:col>
      <xdr:colOff>175609</xdr:colOff>
      <xdr:row>50</xdr:row>
      <xdr:rowOff>46109</xdr:rowOff>
    </xdr:from>
    <xdr:to>
      <xdr:col>57</xdr:col>
      <xdr:colOff>15573</xdr:colOff>
      <xdr:row>53</xdr:row>
      <xdr:rowOff>112057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CA563EE8-238D-4164-A4C9-026CCE23FAA1}"/>
            </a:ext>
          </a:extLst>
        </xdr:cNvPr>
        <xdr:cNvCxnSpPr>
          <a:cxnSpLocks/>
          <a:stCxn id="17" idx="2"/>
          <a:endCxn id="206" idx="0"/>
        </xdr:cNvCxnSpPr>
      </xdr:nvCxnSpPr>
      <xdr:spPr>
        <a:xfrm rot="5400000">
          <a:off x="8382984" y="6664116"/>
          <a:ext cx="570213" cy="441196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172757</xdr:colOff>
      <xdr:row>119</xdr:row>
      <xdr:rowOff>49681</xdr:rowOff>
    </xdr:from>
    <xdr:to>
      <xdr:col>79</xdr:col>
      <xdr:colOff>174321</xdr:colOff>
      <xdr:row>122</xdr:row>
      <xdr:rowOff>117207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B848F7D8-AD8D-4224-910F-5D275CF44914}"/>
            </a:ext>
          </a:extLst>
        </xdr:cNvPr>
        <xdr:cNvGrpSpPr/>
      </xdr:nvGrpSpPr>
      <xdr:grpSpPr>
        <a:xfrm>
          <a:off x="15272876" y="21198991"/>
          <a:ext cx="1022099" cy="594395"/>
          <a:chOff x="7113907" y="2892425"/>
          <a:chExt cx="917588" cy="591189"/>
        </a:xfrm>
      </xdr:grpSpPr>
      <xdr:sp macro="" textlink="">
        <xdr:nvSpPr>
          <xdr:cNvPr id="30" name="フローチャート: 磁気ディスク 29">
            <a:extLst>
              <a:ext uri="{FF2B5EF4-FFF2-40B4-BE49-F238E27FC236}">
                <a16:creationId xmlns:a16="http://schemas.microsoft.com/office/drawing/2014/main" id="{A1C979E6-4040-1515-5908-39268801842B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5A7286D1-9226-B07E-B3D9-A4A5A17FCBD0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60</xdr:col>
      <xdr:colOff>6054</xdr:colOff>
      <xdr:row>120</xdr:row>
      <xdr:rowOff>141078</xdr:rowOff>
    </xdr:from>
    <xdr:to>
      <xdr:col>75</xdr:col>
      <xdr:colOff>76009</xdr:colOff>
      <xdr:row>120</xdr:row>
      <xdr:rowOff>153143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6D4EBEE0-DC11-437C-A81D-EE11A74B403E}"/>
            </a:ext>
          </a:extLst>
        </xdr:cNvPr>
        <xdr:cNvCxnSpPr>
          <a:cxnSpLocks/>
          <a:stCxn id="34" idx="3"/>
          <a:endCxn id="30" idx="2"/>
        </xdr:cNvCxnSpPr>
      </xdr:nvCxnSpPr>
      <xdr:spPr>
        <a:xfrm flipV="1">
          <a:off x="11436054" y="24480254"/>
          <a:ext cx="2927455" cy="1206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78442</xdr:colOff>
      <xdr:row>119</xdr:row>
      <xdr:rowOff>61445</xdr:rowOff>
    </xdr:from>
    <xdr:to>
      <xdr:col>60</xdr:col>
      <xdr:colOff>33198</xdr:colOff>
      <xdr:row>122</xdr:row>
      <xdr:rowOff>72410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802068D9-1931-43B9-916F-476C43D6E1CF}"/>
            </a:ext>
          </a:extLst>
        </xdr:cNvPr>
        <xdr:cNvGrpSpPr/>
      </xdr:nvGrpSpPr>
      <xdr:grpSpPr>
        <a:xfrm>
          <a:off x="11100228" y="21203135"/>
          <a:ext cx="1177494" cy="545454"/>
          <a:chOff x="1612901" y="2432650"/>
          <a:chExt cx="908902" cy="420662"/>
        </a:xfrm>
      </xdr:grpSpPr>
      <xdr:sp macro="" textlink="">
        <xdr:nvSpPr>
          <xdr:cNvPr id="34" name="フローチャート: 定義済み処理 33">
            <a:extLst>
              <a:ext uri="{FF2B5EF4-FFF2-40B4-BE49-F238E27FC236}">
                <a16:creationId xmlns:a16="http://schemas.microsoft.com/office/drawing/2014/main" id="{789B1609-FB8C-E0BB-C121-DFB60CE41E7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9" name="正方形/長方形 48">
            <a:extLst>
              <a:ext uri="{FF2B5EF4-FFF2-40B4-BE49-F238E27FC236}">
                <a16:creationId xmlns:a16="http://schemas.microsoft.com/office/drawing/2014/main" id="{370377A3-25C4-8C60-6AF9-0925EB22244F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6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67</xdr:col>
      <xdr:colOff>105236</xdr:colOff>
      <xdr:row>72</xdr:row>
      <xdr:rowOff>64222</xdr:rowOff>
    </xdr:from>
    <xdr:to>
      <xdr:col>67</xdr:col>
      <xdr:colOff>110994</xdr:colOff>
      <xdr:row>77</xdr:row>
      <xdr:rowOff>45944</xdr:rowOff>
    </xdr:to>
    <xdr:cxnSp macro="">
      <xdr:nvCxnSpPr>
        <xdr:cNvPr id="53" name="直線矢印コネクタ 27">
          <a:extLst>
            <a:ext uri="{FF2B5EF4-FFF2-40B4-BE49-F238E27FC236}">
              <a16:creationId xmlns:a16="http://schemas.microsoft.com/office/drawing/2014/main" id="{E5290326-9292-4D60-9BEE-B2C3286E0B1B}"/>
            </a:ext>
          </a:extLst>
        </xdr:cNvPr>
        <xdr:cNvCxnSpPr>
          <a:cxnSpLocks/>
          <a:stCxn id="47" idx="2"/>
          <a:endCxn id="107" idx="0"/>
        </xdr:cNvCxnSpPr>
      </xdr:nvCxnSpPr>
      <xdr:spPr>
        <a:xfrm flipH="1">
          <a:off x="12868736" y="12301046"/>
          <a:ext cx="5758" cy="82216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67233</xdr:colOff>
      <xdr:row>74</xdr:row>
      <xdr:rowOff>112083</xdr:rowOff>
    </xdr:from>
    <xdr:to>
      <xdr:col>80</xdr:col>
      <xdr:colOff>97368</xdr:colOff>
      <xdr:row>78</xdr:row>
      <xdr:rowOff>50123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D77C03DD-12E8-4600-B7F2-71046F80963C}"/>
            </a:ext>
          </a:extLst>
        </xdr:cNvPr>
        <xdr:cNvGrpSpPr/>
      </xdr:nvGrpSpPr>
      <xdr:grpSpPr>
        <a:xfrm>
          <a:off x="15373364" y="13297404"/>
          <a:ext cx="1048765" cy="649422"/>
          <a:chOff x="7113625" y="2892425"/>
          <a:chExt cx="914621" cy="583743"/>
        </a:xfrm>
      </xdr:grpSpPr>
      <xdr:sp macro="" textlink="">
        <xdr:nvSpPr>
          <xdr:cNvPr id="69" name="フローチャート: 磁気ディスク 68">
            <a:extLst>
              <a:ext uri="{FF2B5EF4-FFF2-40B4-BE49-F238E27FC236}">
                <a16:creationId xmlns:a16="http://schemas.microsoft.com/office/drawing/2014/main" id="{F8483FF7-CA1A-EDD0-9B86-4E23B8FCB8C9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0BC51657-E5A1-366D-F632-98EFDF6DAEF1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79</xdr:col>
      <xdr:colOff>164931</xdr:colOff>
      <xdr:row>72</xdr:row>
      <xdr:rowOff>93538</xdr:rowOff>
    </xdr:from>
    <xdr:to>
      <xdr:col>84</xdr:col>
      <xdr:colOff>34811</xdr:colOff>
      <xdr:row>76</xdr:row>
      <xdr:rowOff>55839</xdr:rowOff>
    </xdr:to>
    <xdr:cxnSp macro="">
      <xdr:nvCxnSpPr>
        <xdr:cNvPr id="72" name="直線矢印コネクタ 7571">
          <a:extLst>
            <a:ext uri="{FF2B5EF4-FFF2-40B4-BE49-F238E27FC236}">
              <a16:creationId xmlns:a16="http://schemas.microsoft.com/office/drawing/2014/main" id="{980F41C2-1840-4875-9B25-812B80E54547}"/>
            </a:ext>
          </a:extLst>
        </xdr:cNvPr>
        <xdr:cNvCxnSpPr>
          <a:cxnSpLocks/>
          <a:stCxn id="102" idx="3"/>
          <a:endCxn id="69" idx="4"/>
        </xdr:cNvCxnSpPr>
      </xdr:nvCxnSpPr>
      <xdr:spPr>
        <a:xfrm rot="5400000">
          <a:off x="15605250" y="12488631"/>
          <a:ext cx="649595" cy="841057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40832</xdr:colOff>
      <xdr:row>138</xdr:row>
      <xdr:rowOff>105561</xdr:rowOff>
    </xdr:from>
    <xdr:to>
      <xdr:col>34</xdr:col>
      <xdr:colOff>42347</xdr:colOff>
      <xdr:row>140</xdr:row>
      <xdr:rowOff>135644</xdr:rowOff>
    </xdr:to>
    <xdr:cxnSp macro="">
      <xdr:nvCxnSpPr>
        <xdr:cNvPr id="3" name="直線矢印コネクタ 27">
          <a:extLst>
            <a:ext uri="{FF2B5EF4-FFF2-40B4-BE49-F238E27FC236}">
              <a16:creationId xmlns:a16="http://schemas.microsoft.com/office/drawing/2014/main" id="{78D9C612-7E37-4742-A5AD-A44D3E35D5DB}"/>
            </a:ext>
          </a:extLst>
        </xdr:cNvPr>
        <xdr:cNvCxnSpPr>
          <a:cxnSpLocks/>
          <a:stCxn id="19" idx="2"/>
          <a:endCxn id="7" idx="0"/>
        </xdr:cNvCxnSpPr>
      </xdr:nvCxnSpPr>
      <xdr:spPr>
        <a:xfrm>
          <a:off x="6517832" y="24008775"/>
          <a:ext cx="1515" cy="37479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73029</xdr:colOff>
      <xdr:row>140</xdr:row>
      <xdr:rowOff>99323</xdr:rowOff>
    </xdr:from>
    <xdr:to>
      <xdr:col>36</xdr:col>
      <xdr:colOff>173040</xdr:colOff>
      <xdr:row>143</xdr:row>
      <xdr:rowOff>72546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85CE662-E6AE-463E-9C29-B82254CB71B0}"/>
            </a:ext>
          </a:extLst>
        </xdr:cNvPr>
        <xdr:cNvGrpSpPr/>
      </xdr:nvGrpSpPr>
      <xdr:grpSpPr>
        <a:xfrm>
          <a:off x="6400350" y="24955763"/>
          <a:ext cx="1116737" cy="507712"/>
          <a:chOff x="1612900" y="2427475"/>
          <a:chExt cx="933032" cy="404625"/>
        </a:xfrm>
      </xdr:grpSpPr>
      <xdr:sp macro="" textlink="">
        <xdr:nvSpPr>
          <xdr:cNvPr id="7" name="フローチャート: 定義済み処理 6">
            <a:extLst>
              <a:ext uri="{FF2B5EF4-FFF2-40B4-BE49-F238E27FC236}">
                <a16:creationId xmlns:a16="http://schemas.microsoft.com/office/drawing/2014/main" id="{C9FF7CAB-C3B1-8C65-D834-9C2F5A8E879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8A86389B-428E-5864-3B54-476F7FD515D6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２．入金データ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登録</a:t>
            </a:r>
          </a:p>
        </xdr:txBody>
      </xdr:sp>
    </xdr:grpSp>
    <xdr:clientData/>
  </xdr:twoCellAnchor>
  <xdr:twoCellAnchor>
    <xdr:from>
      <xdr:col>36</xdr:col>
      <xdr:colOff>123370</xdr:colOff>
      <xdr:row>142</xdr:row>
      <xdr:rowOff>1286</xdr:rowOff>
    </xdr:from>
    <xdr:to>
      <xdr:col>82</xdr:col>
      <xdr:colOff>49657</xdr:colOff>
      <xdr:row>142</xdr:row>
      <xdr:rowOff>17917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6E4AF49B-1C7D-461D-9427-129A57549DEC}"/>
            </a:ext>
          </a:extLst>
        </xdr:cNvPr>
        <xdr:cNvCxnSpPr>
          <a:stCxn id="7" idx="3"/>
          <a:endCxn id="25" idx="2"/>
        </xdr:cNvCxnSpPr>
      </xdr:nvCxnSpPr>
      <xdr:spPr>
        <a:xfrm flipV="1">
          <a:off x="6981370" y="24593929"/>
          <a:ext cx="8689287" cy="1663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57357</xdr:colOff>
      <xdr:row>136</xdr:row>
      <xdr:rowOff>23616</xdr:rowOff>
    </xdr:from>
    <xdr:to>
      <xdr:col>36</xdr:col>
      <xdr:colOff>150411</xdr:colOff>
      <xdr:row>138</xdr:row>
      <xdr:rowOff>161842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D9059920-FBBB-4ECF-9332-4F0A68CEF670}"/>
            </a:ext>
          </a:extLst>
        </xdr:cNvPr>
        <xdr:cNvGrpSpPr/>
      </xdr:nvGrpSpPr>
      <xdr:grpSpPr>
        <a:xfrm>
          <a:off x="6380868" y="24172485"/>
          <a:ext cx="1117400" cy="497726"/>
          <a:chOff x="1645074" y="2381128"/>
          <a:chExt cx="872913" cy="453373"/>
        </a:xfrm>
      </xdr:grpSpPr>
      <xdr:sp macro="" textlink="">
        <xdr:nvSpPr>
          <xdr:cNvPr id="19" name="フローチャート: 処理 18">
            <a:extLst>
              <a:ext uri="{FF2B5EF4-FFF2-40B4-BE49-F238E27FC236}">
                <a16:creationId xmlns:a16="http://schemas.microsoft.com/office/drawing/2014/main" id="{A09101CB-ABA5-EF54-AA29-8C307C8C2EDE}"/>
              </a:ext>
            </a:extLst>
          </xdr:cNvPr>
          <xdr:cNvSpPr/>
        </xdr:nvSpPr>
        <xdr:spPr>
          <a:xfrm>
            <a:off x="1698837" y="2407016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1" name="正方形/長方形 48">
            <a:extLst>
              <a:ext uri="{FF2B5EF4-FFF2-40B4-BE49-F238E27FC236}">
                <a16:creationId xmlns:a16="http://schemas.microsoft.com/office/drawing/2014/main" id="{45B22B1A-90DD-B14D-EFF1-02C1F0BE794F}"/>
              </a:ext>
            </a:extLst>
          </xdr:cNvPr>
          <xdr:cNvSpPr/>
        </xdr:nvSpPr>
        <xdr:spPr>
          <a:xfrm>
            <a:off x="1645074" y="2381128"/>
            <a:ext cx="863323" cy="4533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１．銀行振込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34</xdr:col>
      <xdr:colOff>39860</xdr:colOff>
      <xdr:row>133</xdr:row>
      <xdr:rowOff>64474</xdr:rowOff>
    </xdr:from>
    <xdr:to>
      <xdr:col>34</xdr:col>
      <xdr:colOff>40832</xdr:colOff>
      <xdr:row>136</xdr:row>
      <xdr:rowOff>51192</xdr:rowOff>
    </xdr:to>
    <xdr:cxnSp macro="">
      <xdr:nvCxnSpPr>
        <xdr:cNvPr id="22" name="直線矢印コネクタ 27">
          <a:extLst>
            <a:ext uri="{FF2B5EF4-FFF2-40B4-BE49-F238E27FC236}">
              <a16:creationId xmlns:a16="http://schemas.microsoft.com/office/drawing/2014/main" id="{949FF6C3-9A65-410A-A365-17931749EF8E}"/>
            </a:ext>
          </a:extLst>
        </xdr:cNvPr>
        <xdr:cNvCxnSpPr>
          <a:cxnSpLocks/>
          <a:stCxn id="23" idx="2"/>
          <a:endCxn id="19" idx="0"/>
        </xdr:cNvCxnSpPr>
      </xdr:nvCxnSpPr>
      <xdr:spPr>
        <a:xfrm>
          <a:off x="6516860" y="23105903"/>
          <a:ext cx="972" cy="5037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91984</xdr:colOff>
      <xdr:row>131</xdr:row>
      <xdr:rowOff>166759</xdr:rowOff>
    </xdr:from>
    <xdr:to>
      <xdr:col>35</xdr:col>
      <xdr:colOff>178236</xdr:colOff>
      <xdr:row>133</xdr:row>
      <xdr:rowOff>64474</xdr:rowOff>
    </xdr:to>
    <xdr:sp macro="" textlink="">
      <xdr:nvSpPr>
        <xdr:cNvPr id="23" name="フローチャート: 端子 22">
          <a:extLst>
            <a:ext uri="{FF2B5EF4-FFF2-40B4-BE49-F238E27FC236}">
              <a16:creationId xmlns:a16="http://schemas.microsoft.com/office/drawing/2014/main" id="{AE6B1FB4-8877-4DD4-BBB6-EE8A1974C011}"/>
            </a:ext>
          </a:extLst>
        </xdr:cNvPr>
        <xdr:cNvSpPr/>
      </xdr:nvSpPr>
      <xdr:spPr>
        <a:xfrm>
          <a:off x="6187984" y="22863473"/>
          <a:ext cx="657752" cy="24243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81</xdr:col>
      <xdr:colOff>146120</xdr:colOff>
      <xdr:row>140</xdr:row>
      <xdr:rowOff>81545</xdr:rowOff>
    </xdr:from>
    <xdr:to>
      <xdr:col>86</xdr:col>
      <xdr:colOff>144508</xdr:colOff>
      <xdr:row>143</xdr:row>
      <xdr:rowOff>150012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E35CE9BC-1CA9-422A-9A37-A745780BE8BF}"/>
            </a:ext>
          </a:extLst>
        </xdr:cNvPr>
        <xdr:cNvGrpSpPr/>
      </xdr:nvGrpSpPr>
      <xdr:grpSpPr>
        <a:xfrm>
          <a:off x="16676894" y="24943700"/>
          <a:ext cx="1018923" cy="597241"/>
          <a:chOff x="7113625" y="2892425"/>
          <a:chExt cx="914621" cy="594025"/>
        </a:xfrm>
      </xdr:grpSpPr>
      <xdr:sp macro="" textlink="">
        <xdr:nvSpPr>
          <xdr:cNvPr id="25" name="フローチャート: 磁気ディスク 24">
            <a:extLst>
              <a:ext uri="{FF2B5EF4-FFF2-40B4-BE49-F238E27FC236}">
                <a16:creationId xmlns:a16="http://schemas.microsoft.com/office/drawing/2014/main" id="{7844DE17-2A67-366E-97CA-9A698D8F4697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51B0719F-5A7C-AC4D-05B6-47985FFE1356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</a:rPr>
              <a:t>楽楽精算</a:t>
            </a:r>
          </a:p>
        </xdr:txBody>
      </xdr:sp>
    </xdr:grpSp>
    <xdr:clientData/>
  </xdr:twoCellAnchor>
  <xdr:twoCellAnchor>
    <xdr:from>
      <xdr:col>32</xdr:col>
      <xdr:colOff>72373</xdr:colOff>
      <xdr:row>148</xdr:row>
      <xdr:rowOff>49119</xdr:rowOff>
    </xdr:from>
    <xdr:to>
      <xdr:col>35</xdr:col>
      <xdr:colOff>165354</xdr:colOff>
      <xdr:row>149</xdr:row>
      <xdr:rowOff>67806</xdr:rowOff>
    </xdr:to>
    <xdr:sp macro="" textlink="">
      <xdr:nvSpPr>
        <xdr:cNvPr id="27" name="フローチャート: 端子 26">
          <a:extLst>
            <a:ext uri="{FF2B5EF4-FFF2-40B4-BE49-F238E27FC236}">
              <a16:creationId xmlns:a16="http://schemas.microsoft.com/office/drawing/2014/main" id="{3965A023-2C2A-468B-B26B-1DE46A1E94E2}"/>
            </a:ext>
          </a:extLst>
        </xdr:cNvPr>
        <xdr:cNvSpPr/>
      </xdr:nvSpPr>
      <xdr:spPr>
        <a:xfrm>
          <a:off x="6168373" y="25675905"/>
          <a:ext cx="664481" cy="19104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34</xdr:col>
      <xdr:colOff>23614</xdr:colOff>
      <xdr:row>143</xdr:row>
      <xdr:rowOff>67188</xdr:rowOff>
    </xdr:from>
    <xdr:to>
      <xdr:col>34</xdr:col>
      <xdr:colOff>27785</xdr:colOff>
      <xdr:row>148</xdr:row>
      <xdr:rowOff>49119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4745517E-A82D-4A30-B8F7-DAB7E80AC275}"/>
            </a:ext>
          </a:extLst>
        </xdr:cNvPr>
        <xdr:cNvCxnSpPr>
          <a:cxnSpLocks/>
          <a:stCxn id="8" idx="2"/>
          <a:endCxn id="27" idx="0"/>
        </xdr:cNvCxnSpPr>
      </xdr:nvCxnSpPr>
      <xdr:spPr>
        <a:xfrm flipH="1">
          <a:off x="6500614" y="24832188"/>
          <a:ext cx="4171" cy="84371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67233</xdr:colOff>
      <xdr:row>145</xdr:row>
      <xdr:rowOff>112083</xdr:rowOff>
    </xdr:from>
    <xdr:to>
      <xdr:col>80</xdr:col>
      <xdr:colOff>97368</xdr:colOff>
      <xdr:row>149</xdr:row>
      <xdr:rowOff>50123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546578DD-0D6F-457A-B816-DC74EE0A96C0}"/>
            </a:ext>
          </a:extLst>
        </xdr:cNvPr>
        <xdr:cNvGrpSpPr/>
      </xdr:nvGrpSpPr>
      <xdr:grpSpPr>
        <a:xfrm>
          <a:off x="15373364" y="25856797"/>
          <a:ext cx="1048765" cy="649422"/>
          <a:chOff x="7113625" y="2892425"/>
          <a:chExt cx="914621" cy="583743"/>
        </a:xfrm>
      </xdr:grpSpPr>
      <xdr:sp macro="" textlink="">
        <xdr:nvSpPr>
          <xdr:cNvPr id="36" name="フローチャート: 磁気ディスク 35">
            <a:extLst>
              <a:ext uri="{FF2B5EF4-FFF2-40B4-BE49-F238E27FC236}">
                <a16:creationId xmlns:a16="http://schemas.microsoft.com/office/drawing/2014/main" id="{AF501720-35B2-9E77-D6F2-700BE34B6F24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64578888-0CA9-2410-6D1C-7FF1FC77082C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79</xdr:col>
      <xdr:colOff>164931</xdr:colOff>
      <xdr:row>143</xdr:row>
      <xdr:rowOff>93538</xdr:rowOff>
    </xdr:from>
    <xdr:to>
      <xdr:col>84</xdr:col>
      <xdr:colOff>34811</xdr:colOff>
      <xdr:row>147</xdr:row>
      <xdr:rowOff>55839</xdr:rowOff>
    </xdr:to>
    <xdr:cxnSp macro="">
      <xdr:nvCxnSpPr>
        <xdr:cNvPr id="38" name="直線矢印コネクタ 7571">
          <a:extLst>
            <a:ext uri="{FF2B5EF4-FFF2-40B4-BE49-F238E27FC236}">
              <a16:creationId xmlns:a16="http://schemas.microsoft.com/office/drawing/2014/main" id="{6EAD48B2-5A96-4494-9B25-F63088BD5B01}"/>
            </a:ext>
          </a:extLst>
        </xdr:cNvPr>
        <xdr:cNvCxnSpPr>
          <a:cxnSpLocks/>
          <a:stCxn id="25" idx="3"/>
          <a:endCxn id="36" idx="4"/>
        </xdr:cNvCxnSpPr>
      </xdr:nvCxnSpPr>
      <xdr:spPr>
        <a:xfrm rot="5400000">
          <a:off x="15299756" y="12535856"/>
          <a:ext cx="651729" cy="822380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141288</xdr:colOff>
      <xdr:row>15</xdr:row>
      <xdr:rowOff>84111</xdr:rowOff>
    </xdr:from>
    <xdr:to>
      <xdr:col>17</xdr:col>
      <xdr:colOff>44450</xdr:colOff>
      <xdr:row>18</xdr:row>
      <xdr:rowOff>48361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73E31F65-0774-44B0-9539-591F025AE02D}"/>
            </a:ext>
          </a:extLst>
        </xdr:cNvPr>
        <xdr:cNvGrpSpPr/>
      </xdr:nvGrpSpPr>
      <xdr:grpSpPr>
        <a:xfrm>
          <a:off x="2444433" y="2829216"/>
          <a:ext cx="1164272" cy="488125"/>
          <a:chOff x="1612900" y="2427475"/>
          <a:chExt cx="933032" cy="404625"/>
        </a:xfrm>
      </xdr:grpSpPr>
      <xdr:sp macro="" textlink="">
        <xdr:nvSpPr>
          <xdr:cNvPr id="31" name="フローチャート: 定義済み処理 30">
            <a:extLst>
              <a:ext uri="{FF2B5EF4-FFF2-40B4-BE49-F238E27FC236}">
                <a16:creationId xmlns:a16="http://schemas.microsoft.com/office/drawing/2014/main" id="{C3041282-1D99-4CC3-BF0E-3BEAF8BCEC8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4B84D082-8227-421A-BFCF-2B8B53C4E488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１．入金消込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179389</xdr:colOff>
      <xdr:row>15</xdr:row>
      <xdr:rowOff>25402</xdr:rowOff>
    </xdr:from>
    <xdr:to>
      <xdr:col>27</xdr:col>
      <xdr:colOff>183</xdr:colOff>
      <xdr:row>19</xdr:row>
      <xdr:rowOff>9527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BE6B6F57-7C06-46CC-87FD-FA5531EFC6B8}"/>
            </a:ext>
          </a:extLst>
        </xdr:cNvPr>
        <xdr:cNvGrpSpPr>
          <a:grpSpLocks noChangeAspect="1"/>
        </xdr:cNvGrpSpPr>
      </xdr:nvGrpSpPr>
      <xdr:grpSpPr>
        <a:xfrm>
          <a:off x="4578034" y="2764792"/>
          <a:ext cx="1079999" cy="694690"/>
          <a:chOff x="7112000" y="2892425"/>
          <a:chExt cx="873125" cy="584982"/>
        </a:xfrm>
      </xdr:grpSpPr>
      <xdr:sp macro="" textlink="">
        <xdr:nvSpPr>
          <xdr:cNvPr id="34" name="フローチャート: 磁気ディスク 33">
            <a:extLst>
              <a:ext uri="{FF2B5EF4-FFF2-40B4-BE49-F238E27FC236}">
                <a16:creationId xmlns:a16="http://schemas.microsoft.com/office/drawing/2014/main" id="{E61B9BBD-B061-4234-B989-9FD63CF0B07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B69CF4DB-4F8B-4643-A3ED-8EB29BB3F5B3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トランザクションの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決済</a:t>
            </a:r>
          </a:p>
        </xdr:txBody>
      </xdr:sp>
    </xdr:grpSp>
    <xdr:clientData/>
  </xdr:twoCellAnchor>
  <xdr:twoCellAnchor>
    <xdr:from>
      <xdr:col>16</xdr:col>
      <xdr:colOff>189232</xdr:colOff>
      <xdr:row>16</xdr:row>
      <xdr:rowOff>177477</xdr:rowOff>
    </xdr:from>
    <xdr:to>
      <xdr:col>22</xdr:col>
      <xdr:colOff>83517</xdr:colOff>
      <xdr:row>16</xdr:row>
      <xdr:rowOff>180155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4DA0BCFC-B3D9-4345-BF77-B61F7C01C3CE}"/>
            </a:ext>
          </a:extLst>
        </xdr:cNvPr>
        <xdr:cNvCxnSpPr>
          <a:stCxn id="31" idx="3"/>
          <a:endCxn id="34" idx="2"/>
        </xdr:cNvCxnSpPr>
      </xdr:nvCxnSpPr>
      <xdr:spPr>
        <a:xfrm flipV="1">
          <a:off x="3389632" y="3076252"/>
          <a:ext cx="1097610" cy="267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104959</xdr:colOff>
      <xdr:row>18</xdr:row>
      <xdr:rowOff>51536</xdr:rowOff>
    </xdr:from>
    <xdr:to>
      <xdr:col>14</xdr:col>
      <xdr:colOff>107950</xdr:colOff>
      <xdr:row>20</xdr:row>
      <xdr:rowOff>87307</xdr:rowOff>
    </xdr:to>
    <xdr:cxnSp macro="">
      <xdr:nvCxnSpPr>
        <xdr:cNvPr id="37" name="直線矢印コネクタ 27">
          <a:extLst>
            <a:ext uri="{FF2B5EF4-FFF2-40B4-BE49-F238E27FC236}">
              <a16:creationId xmlns:a16="http://schemas.microsoft.com/office/drawing/2014/main" id="{02FAC90B-C801-4C5A-8FFD-472DD51313F7}"/>
            </a:ext>
          </a:extLst>
        </xdr:cNvPr>
        <xdr:cNvCxnSpPr>
          <a:cxnSpLocks/>
          <a:stCxn id="31" idx="2"/>
          <a:endCxn id="41" idx="0"/>
        </xdr:cNvCxnSpPr>
      </xdr:nvCxnSpPr>
      <xdr:spPr>
        <a:xfrm>
          <a:off x="2902134" y="3296386"/>
          <a:ext cx="2991" cy="3786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8070</xdr:colOff>
      <xdr:row>10</xdr:row>
      <xdr:rowOff>95794</xdr:rowOff>
    </xdr:from>
    <xdr:to>
      <xdr:col>18</xdr:col>
      <xdr:colOff>2989</xdr:colOff>
      <xdr:row>14</xdr:row>
      <xdr:rowOff>55245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90954532-5962-489A-BED8-27AB87B51A63}"/>
            </a:ext>
          </a:extLst>
        </xdr:cNvPr>
        <xdr:cNvGrpSpPr/>
      </xdr:nvGrpSpPr>
      <xdr:grpSpPr>
        <a:xfrm>
          <a:off x="2315025" y="1920784"/>
          <a:ext cx="1459864" cy="710021"/>
          <a:chOff x="194298" y="5744160"/>
          <a:chExt cx="1376152" cy="666295"/>
        </a:xfrm>
      </xdr:grpSpPr>
      <xdr:sp macro="" textlink="">
        <xdr:nvSpPr>
          <xdr:cNvPr id="39" name="フローチャート: 他ページ結合子 38">
            <a:extLst>
              <a:ext uri="{FF2B5EF4-FFF2-40B4-BE49-F238E27FC236}">
                <a16:creationId xmlns:a16="http://schemas.microsoft.com/office/drawing/2014/main" id="{81922E81-B65A-4434-B8FF-AC96436780E8}"/>
              </a:ext>
            </a:extLst>
          </xdr:cNvPr>
          <xdr:cNvSpPr/>
        </xdr:nvSpPr>
        <xdr:spPr>
          <a:xfrm>
            <a:off x="492124" y="5781674"/>
            <a:ext cx="760814" cy="567634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0" name="正方形/長方形 48">
            <a:extLst>
              <a:ext uri="{FF2B5EF4-FFF2-40B4-BE49-F238E27FC236}">
                <a16:creationId xmlns:a16="http://schemas.microsoft.com/office/drawing/2014/main" id="{EA88A774-8604-4C5F-B8CC-F032F32914D0}"/>
              </a:ext>
            </a:extLst>
          </xdr:cNvPr>
          <xdr:cNvSpPr/>
        </xdr:nvSpPr>
        <xdr:spPr>
          <a:xfrm>
            <a:off x="194298" y="5744160"/>
            <a:ext cx="1376152" cy="6662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8.</a:t>
            </a:r>
            <a:r>
              <a:rPr kumimoji="1" lang="ja-JP" altLang="en-US" sz="900"/>
              <a:t>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入金</a:t>
            </a:r>
            <a:endParaRPr kumimoji="1" lang="en-US" altLang="ja-JP" sz="900"/>
          </a:p>
        </xdr:txBody>
      </xdr:sp>
    </xdr:grpSp>
    <xdr:clientData/>
  </xdr:twoCellAnchor>
  <xdr:twoCellAnchor>
    <xdr:from>
      <xdr:col>12</xdr:col>
      <xdr:colOff>158749</xdr:colOff>
      <xdr:row>20</xdr:row>
      <xdr:rowOff>87307</xdr:rowOff>
    </xdr:from>
    <xdr:to>
      <xdr:col>16</xdr:col>
      <xdr:colOff>57150</xdr:colOff>
      <xdr:row>21</xdr:row>
      <xdr:rowOff>173032</xdr:rowOff>
    </xdr:to>
    <xdr:sp macro="" textlink="">
      <xdr:nvSpPr>
        <xdr:cNvPr id="41" name="フローチャート: 端子 40">
          <a:extLst>
            <a:ext uri="{FF2B5EF4-FFF2-40B4-BE49-F238E27FC236}">
              <a16:creationId xmlns:a16="http://schemas.microsoft.com/office/drawing/2014/main" id="{043E91EF-CD6B-4DAE-A06D-8C8BEF8DBE7E}"/>
            </a:ext>
          </a:extLst>
        </xdr:cNvPr>
        <xdr:cNvSpPr/>
      </xdr:nvSpPr>
      <xdr:spPr>
        <a:xfrm>
          <a:off x="2562224" y="3675057"/>
          <a:ext cx="695326" cy="2603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14</xdr:col>
      <xdr:colOff>95563</xdr:colOff>
      <xdr:row>13</xdr:row>
      <xdr:rowOff>162234</xdr:rowOff>
    </xdr:from>
    <xdr:to>
      <xdr:col>14</xdr:col>
      <xdr:colOff>96044</xdr:colOff>
      <xdr:row>15</xdr:row>
      <xdr:rowOff>87285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36C6CD1F-7A73-465D-A8FF-A701454A56FB}"/>
            </a:ext>
          </a:extLst>
        </xdr:cNvPr>
        <xdr:cNvCxnSpPr>
          <a:cxnSpLocks/>
          <a:stCxn id="39" idx="2"/>
          <a:endCxn id="32" idx="0"/>
        </xdr:cNvCxnSpPr>
      </xdr:nvCxnSpPr>
      <xdr:spPr>
        <a:xfrm rot="16200000" flipH="1">
          <a:off x="2762178" y="2686744"/>
          <a:ext cx="267951" cy="48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99401</xdr:colOff>
      <xdr:row>178</xdr:row>
      <xdr:rowOff>158537</xdr:rowOff>
    </xdr:from>
    <xdr:to>
      <xdr:col>48</xdr:col>
      <xdr:colOff>151335</xdr:colOff>
      <xdr:row>183</xdr:row>
      <xdr:rowOff>6171</xdr:rowOff>
    </xdr:to>
    <xdr:grpSp>
      <xdr:nvGrpSpPr>
        <xdr:cNvPr id="306" name="グループ化 305">
          <a:extLst>
            <a:ext uri="{FF2B5EF4-FFF2-40B4-BE49-F238E27FC236}">
              <a16:creationId xmlns:a16="http://schemas.microsoft.com/office/drawing/2014/main" id="{9BCE9C00-FE0E-4463-A522-433327A8756F}"/>
            </a:ext>
          </a:extLst>
        </xdr:cNvPr>
        <xdr:cNvGrpSpPr>
          <a:grpSpLocks noChangeAspect="1"/>
        </xdr:cNvGrpSpPr>
      </xdr:nvGrpSpPr>
      <xdr:grpSpPr>
        <a:xfrm>
          <a:off x="9250797" y="32086001"/>
          <a:ext cx="1120303" cy="744104"/>
          <a:chOff x="7112000" y="2892425"/>
          <a:chExt cx="873125" cy="584982"/>
        </a:xfrm>
      </xdr:grpSpPr>
      <xdr:sp macro="" textlink="">
        <xdr:nvSpPr>
          <xdr:cNvPr id="307" name="フローチャート: 磁気ディスク 306">
            <a:extLst>
              <a:ext uri="{FF2B5EF4-FFF2-40B4-BE49-F238E27FC236}">
                <a16:creationId xmlns:a16="http://schemas.microsoft.com/office/drawing/2014/main" id="{CFD79BB4-3436-4592-B564-57DBB65A8F9E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19" name="正方形/長方形 318">
            <a:extLst>
              <a:ext uri="{FF2B5EF4-FFF2-40B4-BE49-F238E27FC236}">
                <a16:creationId xmlns:a16="http://schemas.microsoft.com/office/drawing/2014/main" id="{301365D0-98B3-4F0D-AB10-669ADF96F9C2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36</xdr:col>
      <xdr:colOff>110916</xdr:colOff>
      <xdr:row>117</xdr:row>
      <xdr:rowOff>78828</xdr:rowOff>
    </xdr:from>
    <xdr:to>
      <xdr:col>41</xdr:col>
      <xdr:colOff>118828</xdr:colOff>
      <xdr:row>121</xdr:row>
      <xdr:rowOff>582</xdr:rowOff>
    </xdr:to>
    <xdr:grpSp>
      <xdr:nvGrpSpPr>
        <xdr:cNvPr id="316" name="グループ化 315">
          <a:extLst>
            <a:ext uri="{FF2B5EF4-FFF2-40B4-BE49-F238E27FC236}">
              <a16:creationId xmlns:a16="http://schemas.microsoft.com/office/drawing/2014/main" id="{0018EA58-0405-44DA-9BC5-AAB740D30F70}"/>
            </a:ext>
          </a:extLst>
        </xdr:cNvPr>
        <xdr:cNvGrpSpPr/>
      </xdr:nvGrpSpPr>
      <xdr:grpSpPr>
        <a:xfrm>
          <a:off x="7775740" y="21067446"/>
          <a:ext cx="1074375" cy="638930"/>
          <a:chOff x="7113625" y="2892425"/>
          <a:chExt cx="914621" cy="583743"/>
        </a:xfrm>
      </xdr:grpSpPr>
      <xdr:sp macro="" textlink="">
        <xdr:nvSpPr>
          <xdr:cNvPr id="317" name="フローチャート: 磁気ディスク 316">
            <a:extLst>
              <a:ext uri="{FF2B5EF4-FFF2-40B4-BE49-F238E27FC236}">
                <a16:creationId xmlns:a16="http://schemas.microsoft.com/office/drawing/2014/main" id="{92848E63-2366-4D53-A78F-97147FFB38B5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18" name="正方形/長方形 317">
            <a:extLst>
              <a:ext uri="{FF2B5EF4-FFF2-40B4-BE49-F238E27FC236}">
                <a16:creationId xmlns:a16="http://schemas.microsoft.com/office/drawing/2014/main" id="{F0E2F900-7666-4577-83FA-31D4AD4D3D0E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44</xdr:col>
      <xdr:colOff>1</xdr:colOff>
      <xdr:row>14</xdr:row>
      <xdr:rowOff>100852</xdr:rowOff>
    </xdr:from>
    <xdr:to>
      <xdr:col>49</xdr:col>
      <xdr:colOff>11088</xdr:colOff>
      <xdr:row>17</xdr:row>
      <xdr:rowOff>165204</xdr:rowOff>
    </xdr:to>
    <xdr:grpSp>
      <xdr:nvGrpSpPr>
        <xdr:cNvPr id="162" name="グループ化 161">
          <a:extLst>
            <a:ext uri="{FF2B5EF4-FFF2-40B4-BE49-F238E27FC236}">
              <a16:creationId xmlns:a16="http://schemas.microsoft.com/office/drawing/2014/main" id="{87D0FBD0-4BD7-4214-9B7C-77EB0A9F03D6}"/>
            </a:ext>
          </a:extLst>
        </xdr:cNvPr>
        <xdr:cNvGrpSpPr/>
      </xdr:nvGrpSpPr>
      <xdr:grpSpPr>
        <a:xfrm>
          <a:off x="9368119" y="2651983"/>
          <a:ext cx="1077550" cy="609855"/>
          <a:chOff x="7113625" y="2892425"/>
          <a:chExt cx="914621" cy="594025"/>
        </a:xfrm>
      </xdr:grpSpPr>
      <xdr:sp macro="" textlink="">
        <xdr:nvSpPr>
          <xdr:cNvPr id="163" name="フローチャート: 磁気ディスク 162">
            <a:extLst>
              <a:ext uri="{FF2B5EF4-FFF2-40B4-BE49-F238E27FC236}">
                <a16:creationId xmlns:a16="http://schemas.microsoft.com/office/drawing/2014/main" id="{DA597AF0-CA8E-4B34-ABE9-7E6440CF9DF9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4761C4BC-CA86-4879-B974-2AB9C2BEFF11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通販ダイレクト</a:t>
            </a:r>
            <a:endParaRPr kumimoji="1" lang="en-US" altLang="ja-JP" sz="900"/>
          </a:p>
        </xdr:txBody>
      </xdr:sp>
    </xdr:grpSp>
    <xdr:clientData/>
  </xdr:twoCellAnchor>
  <xdr:twoCellAnchor>
    <xdr:from>
      <xdr:col>37</xdr:col>
      <xdr:colOff>125134</xdr:colOff>
      <xdr:row>28</xdr:row>
      <xdr:rowOff>57607</xdr:rowOff>
    </xdr:from>
    <xdr:to>
      <xdr:col>42</xdr:col>
      <xdr:colOff>126696</xdr:colOff>
      <xdr:row>31</xdr:row>
      <xdr:rowOff>138020</xdr:rowOff>
    </xdr:to>
    <xdr:grpSp>
      <xdr:nvGrpSpPr>
        <xdr:cNvPr id="168" name="グループ化 167">
          <a:extLst>
            <a:ext uri="{FF2B5EF4-FFF2-40B4-BE49-F238E27FC236}">
              <a16:creationId xmlns:a16="http://schemas.microsoft.com/office/drawing/2014/main" id="{60E42F0E-F5EC-449A-80C6-773E4FDBABC2}"/>
            </a:ext>
          </a:extLst>
        </xdr:cNvPr>
        <xdr:cNvGrpSpPr/>
      </xdr:nvGrpSpPr>
      <xdr:grpSpPr>
        <a:xfrm>
          <a:off x="8004774" y="5107650"/>
          <a:ext cx="1068026" cy="618295"/>
          <a:chOff x="7113625" y="2892425"/>
          <a:chExt cx="914621" cy="594025"/>
        </a:xfrm>
      </xdr:grpSpPr>
      <xdr:sp macro="" textlink="">
        <xdr:nvSpPr>
          <xdr:cNvPr id="169" name="フローチャート: 磁気ディスク 168">
            <a:extLst>
              <a:ext uri="{FF2B5EF4-FFF2-40B4-BE49-F238E27FC236}">
                <a16:creationId xmlns:a16="http://schemas.microsoft.com/office/drawing/2014/main" id="{D721B127-8A15-4022-850F-41A640398AE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D977299F-5D23-4A5B-B862-1408B733CB99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28035</xdr:colOff>
      <xdr:row>16</xdr:row>
      <xdr:rowOff>21795</xdr:rowOff>
    </xdr:from>
    <xdr:to>
      <xdr:col>44</xdr:col>
      <xdr:colOff>100520</xdr:colOff>
      <xdr:row>16</xdr:row>
      <xdr:rowOff>31620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1C05FFD7-9CFC-4F4B-BDB8-62625651EA3E}"/>
            </a:ext>
          </a:extLst>
        </xdr:cNvPr>
        <xdr:cNvCxnSpPr>
          <a:cxnSpLocks/>
          <a:stCxn id="163" idx="2"/>
          <a:endCxn id="249" idx="3"/>
        </xdr:cNvCxnSpPr>
      </xdr:nvCxnSpPr>
      <xdr:spPr>
        <a:xfrm flipH="1">
          <a:off x="2851917" y="2778442"/>
          <a:ext cx="3299779" cy="982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15650</xdr:colOff>
      <xdr:row>29</xdr:row>
      <xdr:rowOff>153738</xdr:rowOff>
    </xdr:from>
    <xdr:to>
      <xdr:col>38</xdr:col>
      <xdr:colOff>25280</xdr:colOff>
      <xdr:row>29</xdr:row>
      <xdr:rowOff>167961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128AB3C3-B0C7-4584-BB14-079953F10196}"/>
            </a:ext>
          </a:extLst>
        </xdr:cNvPr>
        <xdr:cNvCxnSpPr>
          <a:cxnSpLocks/>
          <a:stCxn id="169" idx="2"/>
          <a:endCxn id="252" idx="3"/>
        </xdr:cNvCxnSpPr>
      </xdr:nvCxnSpPr>
      <xdr:spPr>
        <a:xfrm flipH="1">
          <a:off x="5554804" y="5114065"/>
          <a:ext cx="1987899" cy="1422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171263</xdr:colOff>
      <xdr:row>40</xdr:row>
      <xdr:rowOff>115234</xdr:rowOff>
    </xdr:from>
    <xdr:to>
      <xdr:col>48</xdr:col>
      <xdr:colOff>179175</xdr:colOff>
      <xdr:row>44</xdr:row>
      <xdr:rowOff>5147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4A90B59E-3FBF-4CE2-80C1-305C6F770B75}"/>
            </a:ext>
          </a:extLst>
        </xdr:cNvPr>
        <xdr:cNvGrpSpPr/>
      </xdr:nvGrpSpPr>
      <xdr:grpSpPr>
        <a:xfrm>
          <a:off x="9330279" y="7320616"/>
          <a:ext cx="1066756" cy="608995"/>
          <a:chOff x="7113625" y="2892425"/>
          <a:chExt cx="914621" cy="594025"/>
        </a:xfrm>
      </xdr:grpSpPr>
      <xdr:sp macro="" textlink="">
        <xdr:nvSpPr>
          <xdr:cNvPr id="225" name="フローチャート: 磁気ディスク 224">
            <a:extLst>
              <a:ext uri="{FF2B5EF4-FFF2-40B4-BE49-F238E27FC236}">
                <a16:creationId xmlns:a16="http://schemas.microsoft.com/office/drawing/2014/main" id="{175A51AF-EBFE-4A88-ACB3-237113AC057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E2B5FD1C-E1A5-4CC3-9B76-8320290C71C5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通販ダイレクト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51323</xdr:colOff>
      <xdr:row>42</xdr:row>
      <xdr:rowOff>26038</xdr:rowOff>
    </xdr:from>
    <xdr:to>
      <xdr:col>44</xdr:col>
      <xdr:colOff>69321</xdr:colOff>
      <xdr:row>42</xdr:row>
      <xdr:rowOff>32351</xdr:rowOff>
    </xdr:to>
    <xdr:cxnSp macro="">
      <xdr:nvCxnSpPr>
        <xdr:cNvPr id="227" name="直線矢印コネクタ 226">
          <a:extLst>
            <a:ext uri="{FF2B5EF4-FFF2-40B4-BE49-F238E27FC236}">
              <a16:creationId xmlns:a16="http://schemas.microsoft.com/office/drawing/2014/main" id="{C2B6C22E-0097-4843-A124-31943B718C7F}"/>
            </a:ext>
          </a:extLst>
        </xdr:cNvPr>
        <xdr:cNvCxnSpPr>
          <a:cxnSpLocks/>
          <a:stCxn id="225" idx="2"/>
          <a:endCxn id="273" idx="3"/>
        </xdr:cNvCxnSpPr>
      </xdr:nvCxnSpPr>
      <xdr:spPr>
        <a:xfrm flipH="1" flipV="1">
          <a:off x="5740923" y="7277738"/>
          <a:ext cx="3269198" cy="631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153706</xdr:colOff>
      <xdr:row>42</xdr:row>
      <xdr:rowOff>23398</xdr:rowOff>
    </xdr:from>
    <xdr:to>
      <xdr:col>37</xdr:col>
      <xdr:colOff>156883</xdr:colOff>
      <xdr:row>46</xdr:row>
      <xdr:rowOff>151866</xdr:rowOff>
    </xdr:to>
    <xdr:grpSp>
      <xdr:nvGrpSpPr>
        <xdr:cNvPr id="243" name="グループ化 242">
          <a:extLst>
            <a:ext uri="{FF2B5EF4-FFF2-40B4-BE49-F238E27FC236}">
              <a16:creationId xmlns:a16="http://schemas.microsoft.com/office/drawing/2014/main" id="{22A6F2DF-B672-426C-AAB7-0F2DCB2CA3BB}"/>
            </a:ext>
          </a:extLst>
        </xdr:cNvPr>
        <xdr:cNvGrpSpPr>
          <a:grpSpLocks noChangeAspect="1"/>
        </xdr:cNvGrpSpPr>
      </xdr:nvGrpSpPr>
      <xdr:grpSpPr>
        <a:xfrm>
          <a:off x="5689412" y="7583559"/>
          <a:ext cx="2347111" cy="849454"/>
          <a:chOff x="1861763" y="18614016"/>
          <a:chExt cx="2739618" cy="1131703"/>
        </a:xfrm>
      </xdr:grpSpPr>
      <xdr:sp macro="" textlink="">
        <xdr:nvSpPr>
          <xdr:cNvPr id="244" name="フローチャート: 書類 243">
            <a:extLst>
              <a:ext uri="{FF2B5EF4-FFF2-40B4-BE49-F238E27FC236}">
                <a16:creationId xmlns:a16="http://schemas.microsoft.com/office/drawing/2014/main" id="{70504D3D-D045-4FB2-A068-184DF66E2664}"/>
              </a:ext>
            </a:extLst>
          </xdr:cNvPr>
          <xdr:cNvSpPr/>
        </xdr:nvSpPr>
        <xdr:spPr>
          <a:xfrm>
            <a:off x="2611773" y="18614016"/>
            <a:ext cx="1399278" cy="1131703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5" name="正方形/長方形 244">
            <a:extLst>
              <a:ext uri="{FF2B5EF4-FFF2-40B4-BE49-F238E27FC236}">
                <a16:creationId xmlns:a16="http://schemas.microsoft.com/office/drawing/2014/main" id="{EFF52AFB-5969-46E2-BE10-2DC0F866FD84}"/>
              </a:ext>
            </a:extLst>
          </xdr:cNvPr>
          <xdr:cNvSpPr/>
        </xdr:nvSpPr>
        <xdr:spPr>
          <a:xfrm>
            <a:off x="1861763" y="18664141"/>
            <a:ext cx="2739618" cy="10480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・入金照合リスト</a:t>
            </a:r>
          </a:p>
          <a:p>
            <a:pPr algn="ctr"/>
            <a:r>
              <a:rPr kumimoji="1" lang="ja-JP" altLang="en-US" sz="900"/>
              <a:t>・クレジット売上表</a:t>
            </a:r>
          </a:p>
          <a:p>
            <a:pPr algn="ctr"/>
            <a:r>
              <a:rPr kumimoji="1" lang="ja-JP" altLang="en-US" sz="900"/>
              <a:t>・クレジット経理仕訳伝票</a:t>
            </a:r>
          </a:p>
          <a:p>
            <a:pPr algn="ctr"/>
            <a:r>
              <a:rPr kumimoji="1" lang="ja-JP" altLang="en-US" sz="900"/>
              <a:t>　他</a:t>
            </a:r>
          </a:p>
        </xdr:txBody>
      </xdr:sp>
    </xdr:grpSp>
    <xdr:clientData/>
  </xdr:twoCellAnchor>
  <xdr:twoCellAnchor>
    <xdr:from>
      <xdr:col>23</xdr:col>
      <xdr:colOff>171076</xdr:colOff>
      <xdr:row>11</xdr:row>
      <xdr:rowOff>104027</xdr:rowOff>
    </xdr:from>
    <xdr:to>
      <xdr:col>27</xdr:col>
      <xdr:colOff>73179</xdr:colOff>
      <xdr:row>12</xdr:row>
      <xdr:rowOff>163481</xdr:rowOff>
    </xdr:to>
    <xdr:sp macro="" textlink="">
      <xdr:nvSpPr>
        <xdr:cNvPr id="247" name="フローチャート: 端子 246">
          <a:extLst>
            <a:ext uri="{FF2B5EF4-FFF2-40B4-BE49-F238E27FC236}">
              <a16:creationId xmlns:a16="http://schemas.microsoft.com/office/drawing/2014/main" id="{B118733F-0326-4841-872E-FF78C7516FEB}"/>
            </a:ext>
          </a:extLst>
        </xdr:cNvPr>
        <xdr:cNvSpPr/>
      </xdr:nvSpPr>
      <xdr:spPr>
        <a:xfrm>
          <a:off x="4844676" y="2040777"/>
          <a:ext cx="714903" cy="23090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126440</xdr:colOff>
      <xdr:row>14</xdr:row>
      <xdr:rowOff>112059</xdr:rowOff>
    </xdr:from>
    <xdr:to>
      <xdr:col>28</xdr:col>
      <xdr:colOff>86436</xdr:colOff>
      <xdr:row>17</xdr:row>
      <xdr:rowOff>87166</xdr:rowOff>
    </xdr:to>
    <xdr:grpSp>
      <xdr:nvGrpSpPr>
        <xdr:cNvPr id="248" name="グループ化 247">
          <a:extLst>
            <a:ext uri="{FF2B5EF4-FFF2-40B4-BE49-F238E27FC236}">
              <a16:creationId xmlns:a16="http://schemas.microsoft.com/office/drawing/2014/main" id="{90479B9E-19D7-49DB-9CC2-77650D54C3D0}"/>
            </a:ext>
          </a:extLst>
        </xdr:cNvPr>
        <xdr:cNvGrpSpPr/>
      </xdr:nvGrpSpPr>
      <xdr:grpSpPr>
        <a:xfrm>
          <a:off x="4814309" y="2667000"/>
          <a:ext cx="1235561" cy="514895"/>
          <a:chOff x="1612900" y="2427475"/>
          <a:chExt cx="933032" cy="404625"/>
        </a:xfrm>
      </xdr:grpSpPr>
      <xdr:sp macro="" textlink="">
        <xdr:nvSpPr>
          <xdr:cNvPr id="249" name="フローチャート: 定義済み処理 248">
            <a:extLst>
              <a:ext uri="{FF2B5EF4-FFF2-40B4-BE49-F238E27FC236}">
                <a16:creationId xmlns:a16="http://schemas.microsoft.com/office/drawing/2014/main" id="{6C7C88B1-001B-483A-A8FA-5018F5D1CBA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A847AACF-A5E6-4709-BB15-7261E11BF392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１．通販入金予定抽出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112806</xdr:colOff>
      <xdr:row>28</xdr:row>
      <xdr:rowOff>88340</xdr:rowOff>
    </xdr:from>
    <xdr:to>
      <xdr:col>28</xdr:col>
      <xdr:colOff>72802</xdr:colOff>
      <xdr:row>31</xdr:row>
      <xdr:rowOff>50746</xdr:rowOff>
    </xdr:to>
    <xdr:grpSp>
      <xdr:nvGrpSpPr>
        <xdr:cNvPr id="251" name="グループ化 250">
          <a:extLst>
            <a:ext uri="{FF2B5EF4-FFF2-40B4-BE49-F238E27FC236}">
              <a16:creationId xmlns:a16="http://schemas.microsoft.com/office/drawing/2014/main" id="{11FCA7A8-05FC-4C31-966B-AB476D5B3378}"/>
            </a:ext>
          </a:extLst>
        </xdr:cNvPr>
        <xdr:cNvGrpSpPr/>
      </xdr:nvGrpSpPr>
      <xdr:grpSpPr>
        <a:xfrm>
          <a:off x="4796865" y="5146003"/>
          <a:ext cx="1237466" cy="500288"/>
          <a:chOff x="1612900" y="2427475"/>
          <a:chExt cx="933032" cy="404625"/>
        </a:xfrm>
      </xdr:grpSpPr>
      <xdr:sp macro="" textlink="">
        <xdr:nvSpPr>
          <xdr:cNvPr id="252" name="フローチャート: 定義済み処理 251">
            <a:extLst>
              <a:ext uri="{FF2B5EF4-FFF2-40B4-BE49-F238E27FC236}">
                <a16:creationId xmlns:a16="http://schemas.microsoft.com/office/drawing/2014/main" id="{3C3C2B9F-F029-489B-B3F1-E8182836844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00B0E8CE-EDE7-4FF6-B635-548FAF1CE101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 baseline="0"/>
              <a:t>3.</a:t>
            </a:r>
            <a:r>
              <a:rPr kumimoji="1" lang="ja-JP" altLang="en-US" sz="900" baseline="0"/>
              <a:t>通販入金実績</a:t>
            </a:r>
            <a:endParaRPr kumimoji="1" lang="en-US" altLang="ja-JP" sz="900" baseline="0"/>
          </a:p>
          <a:p>
            <a:pPr algn="ctr"/>
            <a:r>
              <a:rPr kumimoji="1" lang="ja-JP" altLang="en-US" sz="900"/>
              <a:t>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122128</xdr:colOff>
      <xdr:row>12</xdr:row>
      <xdr:rowOff>163480</xdr:rowOff>
    </xdr:from>
    <xdr:to>
      <xdr:col>25</xdr:col>
      <xdr:colOff>122753</xdr:colOff>
      <xdr:row>14</xdr:row>
      <xdr:rowOff>148317</xdr:rowOff>
    </xdr:to>
    <xdr:cxnSp macro="">
      <xdr:nvCxnSpPr>
        <xdr:cNvPr id="254" name="コネクタ: カギ線 253">
          <a:extLst>
            <a:ext uri="{FF2B5EF4-FFF2-40B4-BE49-F238E27FC236}">
              <a16:creationId xmlns:a16="http://schemas.microsoft.com/office/drawing/2014/main" id="{CCD63A8C-2076-45CE-A62E-37CBC1F454D1}"/>
            </a:ext>
          </a:extLst>
        </xdr:cNvPr>
        <xdr:cNvCxnSpPr>
          <a:cxnSpLocks/>
          <a:stCxn id="247" idx="2"/>
          <a:endCxn id="249" idx="0"/>
        </xdr:cNvCxnSpPr>
      </xdr:nvCxnSpPr>
      <xdr:spPr>
        <a:xfrm rot="16200000" flipH="1">
          <a:off x="5038572" y="2435236"/>
          <a:ext cx="327737" cy="62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143997</xdr:colOff>
      <xdr:row>19</xdr:row>
      <xdr:rowOff>44823</xdr:rowOff>
    </xdr:from>
    <xdr:to>
      <xdr:col>28</xdr:col>
      <xdr:colOff>28344</xdr:colOff>
      <xdr:row>22</xdr:row>
      <xdr:rowOff>7284</xdr:rowOff>
    </xdr:to>
    <xdr:grpSp>
      <xdr:nvGrpSpPr>
        <xdr:cNvPr id="255" name="グループ化 254">
          <a:extLst>
            <a:ext uri="{FF2B5EF4-FFF2-40B4-BE49-F238E27FC236}">
              <a16:creationId xmlns:a16="http://schemas.microsoft.com/office/drawing/2014/main" id="{2C1DE230-4105-4C44-9069-0744A45D7AB4}"/>
            </a:ext>
          </a:extLst>
        </xdr:cNvPr>
        <xdr:cNvGrpSpPr/>
      </xdr:nvGrpSpPr>
      <xdr:grpSpPr>
        <a:xfrm>
          <a:off x="4826151" y="3498140"/>
          <a:ext cx="1161817" cy="489137"/>
          <a:chOff x="1612900" y="2457450"/>
          <a:chExt cx="933032" cy="374650"/>
        </a:xfrm>
      </xdr:grpSpPr>
      <xdr:sp macro="" textlink="">
        <xdr:nvSpPr>
          <xdr:cNvPr id="256" name="フローチャート: 処理 255">
            <a:extLst>
              <a:ext uri="{FF2B5EF4-FFF2-40B4-BE49-F238E27FC236}">
                <a16:creationId xmlns:a16="http://schemas.microsoft.com/office/drawing/2014/main" id="{319BEED1-56D9-415F-89F7-0F0C4D89A5A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57" name="正方形/長方形 48">
            <a:extLst>
              <a:ext uri="{FF2B5EF4-FFF2-40B4-BE49-F238E27FC236}">
                <a16:creationId xmlns:a16="http://schemas.microsoft.com/office/drawing/2014/main" id="{EC0E3A16-8C71-444F-ABB3-5F0F52DC1F47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入金予定記入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28762</xdr:colOff>
      <xdr:row>21</xdr:row>
      <xdr:rowOff>75266</xdr:rowOff>
    </xdr:from>
    <xdr:to>
      <xdr:col>29</xdr:col>
      <xdr:colOff>112202</xdr:colOff>
      <xdr:row>23</xdr:row>
      <xdr:rowOff>94689</xdr:rowOff>
    </xdr:to>
    <xdr:grpSp>
      <xdr:nvGrpSpPr>
        <xdr:cNvPr id="258" name="グループ化 257">
          <a:extLst>
            <a:ext uri="{FF2B5EF4-FFF2-40B4-BE49-F238E27FC236}">
              <a16:creationId xmlns:a16="http://schemas.microsoft.com/office/drawing/2014/main" id="{21781458-4BF3-428C-B956-28FF284C4E5C}"/>
            </a:ext>
          </a:extLst>
        </xdr:cNvPr>
        <xdr:cNvGrpSpPr>
          <a:grpSpLocks noChangeAspect="1"/>
        </xdr:cNvGrpSpPr>
      </xdr:nvGrpSpPr>
      <xdr:grpSpPr>
        <a:xfrm>
          <a:off x="5562563" y="3874060"/>
          <a:ext cx="724080" cy="381821"/>
          <a:chOff x="2791278" y="18514786"/>
          <a:chExt cx="773793" cy="417285"/>
        </a:xfrm>
      </xdr:grpSpPr>
      <xdr:sp macro="" textlink="">
        <xdr:nvSpPr>
          <xdr:cNvPr id="259" name="フローチャート: 書類 258">
            <a:extLst>
              <a:ext uri="{FF2B5EF4-FFF2-40B4-BE49-F238E27FC236}">
                <a16:creationId xmlns:a16="http://schemas.microsoft.com/office/drawing/2014/main" id="{0B17B93B-17A3-488D-85F2-237A9D9DCCBA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0" name="正方形/長方形 259">
            <a:extLst>
              <a:ext uri="{FF2B5EF4-FFF2-40B4-BE49-F238E27FC236}">
                <a16:creationId xmlns:a16="http://schemas.microsoft.com/office/drawing/2014/main" id="{B43FC2D9-3F2F-46DA-8C2D-2FBFCD8BB3DB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債権管理台帳</a:t>
            </a:r>
          </a:p>
        </xdr:txBody>
      </xdr:sp>
    </xdr:grpSp>
    <xdr:clientData/>
  </xdr:twoCellAnchor>
  <xdr:twoCellAnchor>
    <xdr:from>
      <xdr:col>25</xdr:col>
      <xdr:colOff>103921</xdr:colOff>
      <xdr:row>17</xdr:row>
      <xdr:rowOff>85760</xdr:rowOff>
    </xdr:from>
    <xdr:to>
      <xdr:col>25</xdr:col>
      <xdr:colOff>103921</xdr:colOff>
      <xdr:row>19</xdr:row>
      <xdr:rowOff>45479</xdr:rowOff>
    </xdr:to>
    <xdr:cxnSp macro="">
      <xdr:nvCxnSpPr>
        <xdr:cNvPr id="261" name="コネクタ: カギ線 260">
          <a:extLst>
            <a:ext uri="{FF2B5EF4-FFF2-40B4-BE49-F238E27FC236}">
              <a16:creationId xmlns:a16="http://schemas.microsoft.com/office/drawing/2014/main" id="{BD2A9D09-A8B9-4705-B258-101B1A0D7D0A}"/>
            </a:ext>
          </a:extLst>
        </xdr:cNvPr>
        <xdr:cNvCxnSpPr>
          <a:cxnSpLocks/>
          <a:stCxn id="250" idx="2"/>
          <a:endCxn id="256" idx="0"/>
        </xdr:cNvCxnSpPr>
      </xdr:nvCxnSpPr>
      <xdr:spPr>
        <a:xfrm rot="5400000">
          <a:off x="3586679" y="3158443"/>
          <a:ext cx="302246" cy="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101375</xdr:colOff>
      <xdr:row>22</xdr:row>
      <xdr:rowOff>10459</xdr:rowOff>
    </xdr:from>
    <xdr:to>
      <xdr:col>25</xdr:col>
      <xdr:colOff>107336</xdr:colOff>
      <xdr:row>28</xdr:row>
      <xdr:rowOff>121088</xdr:rowOff>
    </xdr:to>
    <xdr:cxnSp macro="">
      <xdr:nvCxnSpPr>
        <xdr:cNvPr id="262" name="コネクタ: カギ線 261">
          <a:extLst>
            <a:ext uri="{FF2B5EF4-FFF2-40B4-BE49-F238E27FC236}">
              <a16:creationId xmlns:a16="http://schemas.microsoft.com/office/drawing/2014/main" id="{9896B2A2-6528-4AF3-B17F-A32CE066C5CD}"/>
            </a:ext>
          </a:extLst>
        </xdr:cNvPr>
        <xdr:cNvCxnSpPr>
          <a:cxnSpLocks/>
          <a:stCxn id="256" idx="2"/>
          <a:endCxn id="252" idx="0"/>
        </xdr:cNvCxnSpPr>
      </xdr:nvCxnSpPr>
      <xdr:spPr>
        <a:xfrm rot="16200000" flipH="1">
          <a:off x="4561170" y="4466064"/>
          <a:ext cx="1155658" cy="596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132791</xdr:colOff>
      <xdr:row>35</xdr:row>
      <xdr:rowOff>36792</xdr:rowOff>
    </xdr:from>
    <xdr:to>
      <xdr:col>28</xdr:col>
      <xdr:colOff>17138</xdr:colOff>
      <xdr:row>37</xdr:row>
      <xdr:rowOff>164166</xdr:rowOff>
    </xdr:to>
    <xdr:grpSp>
      <xdr:nvGrpSpPr>
        <xdr:cNvPr id="263" name="グループ化 262">
          <a:extLst>
            <a:ext uri="{FF2B5EF4-FFF2-40B4-BE49-F238E27FC236}">
              <a16:creationId xmlns:a16="http://schemas.microsoft.com/office/drawing/2014/main" id="{A5EC6020-45D7-4488-96FC-DA6CB95F4031}"/>
            </a:ext>
          </a:extLst>
        </xdr:cNvPr>
        <xdr:cNvGrpSpPr/>
      </xdr:nvGrpSpPr>
      <xdr:grpSpPr>
        <a:xfrm>
          <a:off x="4820660" y="6345704"/>
          <a:ext cx="1161817" cy="489772"/>
          <a:chOff x="1612900" y="2457450"/>
          <a:chExt cx="933032" cy="374650"/>
        </a:xfrm>
      </xdr:grpSpPr>
      <xdr:sp macro="" textlink="">
        <xdr:nvSpPr>
          <xdr:cNvPr id="264" name="フローチャート: 処理 263">
            <a:extLst>
              <a:ext uri="{FF2B5EF4-FFF2-40B4-BE49-F238E27FC236}">
                <a16:creationId xmlns:a16="http://schemas.microsoft.com/office/drawing/2014/main" id="{C609611C-426F-4988-8537-27E64B30B23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65" name="正方形/長方形 48">
            <a:extLst>
              <a:ext uri="{FF2B5EF4-FFF2-40B4-BE49-F238E27FC236}">
                <a16:creationId xmlns:a16="http://schemas.microsoft.com/office/drawing/2014/main" id="{98EC879E-5DCC-4BD6-9CAB-4AB9159616C6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入金実績記入・差異確認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17556</xdr:colOff>
      <xdr:row>37</xdr:row>
      <xdr:rowOff>67235</xdr:rowOff>
    </xdr:from>
    <xdr:to>
      <xdr:col>29</xdr:col>
      <xdr:colOff>107346</xdr:colOff>
      <xdr:row>39</xdr:row>
      <xdr:rowOff>83484</xdr:rowOff>
    </xdr:to>
    <xdr:grpSp>
      <xdr:nvGrpSpPr>
        <xdr:cNvPr id="266" name="グループ化 265">
          <a:extLst>
            <a:ext uri="{FF2B5EF4-FFF2-40B4-BE49-F238E27FC236}">
              <a16:creationId xmlns:a16="http://schemas.microsoft.com/office/drawing/2014/main" id="{ADC71C4F-89D3-4289-9AA8-B7839C5AF65A}"/>
            </a:ext>
          </a:extLst>
        </xdr:cNvPr>
        <xdr:cNvGrpSpPr>
          <a:grpSpLocks noChangeAspect="1"/>
        </xdr:cNvGrpSpPr>
      </xdr:nvGrpSpPr>
      <xdr:grpSpPr>
        <a:xfrm>
          <a:off x="5557072" y="6732830"/>
          <a:ext cx="722810" cy="378647"/>
          <a:chOff x="2791278" y="18514786"/>
          <a:chExt cx="773793" cy="417285"/>
        </a:xfrm>
      </xdr:grpSpPr>
      <xdr:sp macro="" textlink="">
        <xdr:nvSpPr>
          <xdr:cNvPr id="267" name="フローチャート: 書類 266">
            <a:extLst>
              <a:ext uri="{FF2B5EF4-FFF2-40B4-BE49-F238E27FC236}">
                <a16:creationId xmlns:a16="http://schemas.microsoft.com/office/drawing/2014/main" id="{8A0D765E-FFA7-4D25-AC6B-4655FF39E308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58C4E674-B1C3-4EED-BDC7-9899690E5D47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債権管理台帳</a:t>
            </a:r>
          </a:p>
        </xdr:txBody>
      </xdr:sp>
    </xdr:grpSp>
    <xdr:clientData/>
  </xdr:twoCellAnchor>
  <xdr:twoCellAnchor>
    <xdr:from>
      <xdr:col>25</xdr:col>
      <xdr:colOff>90233</xdr:colOff>
      <xdr:row>31</xdr:row>
      <xdr:rowOff>45537</xdr:rowOff>
    </xdr:from>
    <xdr:to>
      <xdr:col>25</xdr:col>
      <xdr:colOff>92804</xdr:colOff>
      <xdr:row>35</xdr:row>
      <xdr:rowOff>36793</xdr:rowOff>
    </xdr:to>
    <xdr:cxnSp macro="">
      <xdr:nvCxnSpPr>
        <xdr:cNvPr id="269" name="コネクタ: カギ線 268">
          <a:extLst>
            <a:ext uri="{FF2B5EF4-FFF2-40B4-BE49-F238E27FC236}">
              <a16:creationId xmlns:a16="http://schemas.microsoft.com/office/drawing/2014/main" id="{544E7813-9435-4032-9F8C-E09E2E08F9BE}"/>
            </a:ext>
          </a:extLst>
        </xdr:cNvPr>
        <xdr:cNvCxnSpPr>
          <a:cxnSpLocks/>
          <a:stCxn id="253" idx="2"/>
          <a:endCxn id="264" idx="0"/>
        </xdr:cNvCxnSpPr>
      </xdr:nvCxnSpPr>
      <xdr:spPr>
        <a:xfrm rot="5400000">
          <a:off x="4832991" y="5748529"/>
          <a:ext cx="677056" cy="257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138578</xdr:colOff>
      <xdr:row>48</xdr:row>
      <xdr:rowOff>132789</xdr:rowOff>
    </xdr:from>
    <xdr:to>
      <xdr:col>27</xdr:col>
      <xdr:colOff>40681</xdr:colOff>
      <xdr:row>50</xdr:row>
      <xdr:rowOff>17804</xdr:rowOff>
    </xdr:to>
    <xdr:sp macro="" textlink="">
      <xdr:nvSpPr>
        <xdr:cNvPr id="270" name="フローチャート: 端子 269">
          <a:extLst>
            <a:ext uri="{FF2B5EF4-FFF2-40B4-BE49-F238E27FC236}">
              <a16:creationId xmlns:a16="http://schemas.microsoft.com/office/drawing/2014/main" id="{B1E6B874-AE49-4D59-9282-BE3D4F0D2209}"/>
            </a:ext>
          </a:extLst>
        </xdr:cNvPr>
        <xdr:cNvSpPr/>
      </xdr:nvSpPr>
      <xdr:spPr>
        <a:xfrm>
          <a:off x="4812178" y="8413189"/>
          <a:ext cx="714903" cy="22791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91327</xdr:colOff>
      <xdr:row>40</xdr:row>
      <xdr:rowOff>133164</xdr:rowOff>
    </xdr:from>
    <xdr:to>
      <xdr:col>28</xdr:col>
      <xdr:colOff>51323</xdr:colOff>
      <xdr:row>43</xdr:row>
      <xdr:rowOff>95571</xdr:rowOff>
    </xdr:to>
    <xdr:grpSp>
      <xdr:nvGrpSpPr>
        <xdr:cNvPr id="271" name="グループ化 270">
          <a:extLst>
            <a:ext uri="{FF2B5EF4-FFF2-40B4-BE49-F238E27FC236}">
              <a16:creationId xmlns:a16="http://schemas.microsoft.com/office/drawing/2014/main" id="{8362DE24-3663-4063-ACE4-403B202CF436}"/>
            </a:ext>
          </a:extLst>
        </xdr:cNvPr>
        <xdr:cNvGrpSpPr/>
      </xdr:nvGrpSpPr>
      <xdr:grpSpPr>
        <a:xfrm>
          <a:off x="4779196" y="7342356"/>
          <a:ext cx="1237466" cy="492670"/>
          <a:chOff x="1612900" y="2427475"/>
          <a:chExt cx="933032" cy="404625"/>
        </a:xfrm>
      </xdr:grpSpPr>
      <xdr:sp macro="" textlink="">
        <xdr:nvSpPr>
          <xdr:cNvPr id="272" name="フローチャート: 定義済み処理 271">
            <a:extLst>
              <a:ext uri="{FF2B5EF4-FFF2-40B4-BE49-F238E27FC236}">
                <a16:creationId xmlns:a16="http://schemas.microsoft.com/office/drawing/2014/main" id="{C71FF82E-AC91-4DEE-AAA0-A84DBDFF4125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73" name="正方形/長方形 272">
            <a:extLst>
              <a:ext uri="{FF2B5EF4-FFF2-40B4-BE49-F238E27FC236}">
                <a16:creationId xmlns:a16="http://schemas.microsoft.com/office/drawing/2014/main" id="{8ADD4775-145D-4A8E-937C-C6F9F76DDD34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必要帳票出力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87641</xdr:colOff>
      <xdr:row>37</xdr:row>
      <xdr:rowOff>164166</xdr:rowOff>
    </xdr:from>
    <xdr:to>
      <xdr:col>25</xdr:col>
      <xdr:colOff>90234</xdr:colOff>
      <xdr:row>40</xdr:row>
      <xdr:rowOff>168483</xdr:rowOff>
    </xdr:to>
    <xdr:cxnSp macro="">
      <xdr:nvCxnSpPr>
        <xdr:cNvPr id="274" name="コネクタ: カギ線 273">
          <a:extLst>
            <a:ext uri="{FF2B5EF4-FFF2-40B4-BE49-F238E27FC236}">
              <a16:creationId xmlns:a16="http://schemas.microsoft.com/office/drawing/2014/main" id="{8DF563EB-0FD4-4096-8AE0-E58BB840EE53}"/>
            </a:ext>
          </a:extLst>
        </xdr:cNvPr>
        <xdr:cNvCxnSpPr>
          <a:cxnSpLocks/>
          <a:stCxn id="264" idx="2"/>
          <a:endCxn id="272" idx="0"/>
        </xdr:cNvCxnSpPr>
      </xdr:nvCxnSpPr>
      <xdr:spPr>
        <a:xfrm rot="5400000">
          <a:off x="4909604" y="6816653"/>
          <a:ext cx="518667" cy="259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87640</xdr:colOff>
      <xdr:row>43</xdr:row>
      <xdr:rowOff>95571</xdr:rowOff>
    </xdr:from>
    <xdr:to>
      <xdr:col>25</xdr:col>
      <xdr:colOff>89630</xdr:colOff>
      <xdr:row>48</xdr:row>
      <xdr:rowOff>132789</xdr:rowOff>
    </xdr:to>
    <xdr:cxnSp macro="">
      <xdr:nvCxnSpPr>
        <xdr:cNvPr id="275" name="コネクタ: カギ線 274">
          <a:extLst>
            <a:ext uri="{FF2B5EF4-FFF2-40B4-BE49-F238E27FC236}">
              <a16:creationId xmlns:a16="http://schemas.microsoft.com/office/drawing/2014/main" id="{D6057283-65E2-4220-95D5-A368586A26DD}"/>
            </a:ext>
          </a:extLst>
        </xdr:cNvPr>
        <xdr:cNvCxnSpPr>
          <a:cxnSpLocks/>
          <a:stCxn id="272" idx="2"/>
          <a:endCxn id="270" idx="0"/>
        </xdr:cNvCxnSpPr>
      </xdr:nvCxnSpPr>
      <xdr:spPr>
        <a:xfrm rot="16200000" flipH="1">
          <a:off x="4721401" y="7964960"/>
          <a:ext cx="894468" cy="199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132111</xdr:colOff>
      <xdr:row>77</xdr:row>
      <xdr:rowOff>47999</xdr:rowOff>
    </xdr:from>
    <xdr:to>
      <xdr:col>34</xdr:col>
      <xdr:colOff>37388</xdr:colOff>
      <xdr:row>78</xdr:row>
      <xdr:rowOff>94752</xdr:rowOff>
    </xdr:to>
    <xdr:sp macro="" textlink="">
      <xdr:nvSpPr>
        <xdr:cNvPr id="276" name="フローチャート: 端子 275">
          <a:extLst>
            <a:ext uri="{FF2B5EF4-FFF2-40B4-BE49-F238E27FC236}">
              <a16:creationId xmlns:a16="http://schemas.microsoft.com/office/drawing/2014/main" id="{3694C21C-FA3E-4CD0-BCD0-39B6AA78623B}"/>
            </a:ext>
          </a:extLst>
        </xdr:cNvPr>
        <xdr:cNvSpPr/>
      </xdr:nvSpPr>
      <xdr:spPr>
        <a:xfrm>
          <a:off x="6066919" y="13097249"/>
          <a:ext cx="696584" cy="21527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37</xdr:col>
      <xdr:colOff>153713</xdr:colOff>
      <xdr:row>81</xdr:row>
      <xdr:rowOff>55090</xdr:rowOff>
    </xdr:from>
    <xdr:to>
      <xdr:col>42</xdr:col>
      <xdr:colOff>161624</xdr:colOff>
      <xdr:row>84</xdr:row>
      <xdr:rowOff>151379</xdr:rowOff>
    </xdr:to>
    <xdr:grpSp>
      <xdr:nvGrpSpPr>
        <xdr:cNvPr id="280" name="グループ化 279">
          <a:extLst>
            <a:ext uri="{FF2B5EF4-FFF2-40B4-BE49-F238E27FC236}">
              <a16:creationId xmlns:a16="http://schemas.microsoft.com/office/drawing/2014/main" id="{73C18211-B2D1-4822-BE2D-303226E9659A}"/>
            </a:ext>
          </a:extLst>
        </xdr:cNvPr>
        <xdr:cNvGrpSpPr/>
      </xdr:nvGrpSpPr>
      <xdr:grpSpPr>
        <a:xfrm>
          <a:off x="8031448" y="14592929"/>
          <a:ext cx="1074375" cy="630362"/>
          <a:chOff x="7113625" y="2892425"/>
          <a:chExt cx="914621" cy="583743"/>
        </a:xfrm>
      </xdr:grpSpPr>
      <xdr:sp macro="" textlink="">
        <xdr:nvSpPr>
          <xdr:cNvPr id="281" name="フローチャート: 磁気ディスク 280">
            <a:extLst>
              <a:ext uri="{FF2B5EF4-FFF2-40B4-BE49-F238E27FC236}">
                <a16:creationId xmlns:a16="http://schemas.microsoft.com/office/drawing/2014/main" id="{6E82B7E4-EF98-4626-8875-D3C1E596F24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AB9A7313-E09C-4417-87D4-2815708AE23F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未処理トランザクションレポート</a:t>
            </a:r>
            <a:endParaRPr kumimoji="1" lang="en-US" altLang="ja-JP" sz="900"/>
          </a:p>
        </xdr:txBody>
      </xdr:sp>
    </xdr:grpSp>
    <xdr:clientData/>
  </xdr:twoCellAnchor>
  <xdr:twoCellAnchor>
    <xdr:from>
      <xdr:col>34</xdr:col>
      <xdr:colOff>203723</xdr:colOff>
      <xdr:row>82</xdr:row>
      <xdr:rowOff>164184</xdr:rowOff>
    </xdr:from>
    <xdr:to>
      <xdr:col>38</xdr:col>
      <xdr:colOff>51213</xdr:colOff>
      <xdr:row>83</xdr:row>
      <xdr:rowOff>1214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3E19C22C-C90C-4805-9550-4F562F0238F8}"/>
            </a:ext>
          </a:extLst>
        </xdr:cNvPr>
        <xdr:cNvCxnSpPr>
          <a:cxnSpLocks/>
          <a:stCxn id="281" idx="2"/>
          <a:endCxn id="285" idx="3"/>
        </xdr:cNvCxnSpPr>
      </xdr:nvCxnSpPr>
      <xdr:spPr>
        <a:xfrm flipH="1">
          <a:off x="7150071" y="14250141"/>
          <a:ext cx="664707" cy="820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86310</xdr:colOff>
      <xdr:row>81</xdr:row>
      <xdr:rowOff>87969</xdr:rowOff>
    </xdr:from>
    <xdr:to>
      <xdr:col>35</xdr:col>
      <xdr:colOff>55830</xdr:colOff>
      <xdr:row>84</xdr:row>
      <xdr:rowOff>50375</xdr:rowOff>
    </xdr:to>
    <xdr:grpSp>
      <xdr:nvGrpSpPr>
        <xdr:cNvPr id="284" name="グループ化 283">
          <a:extLst>
            <a:ext uri="{FF2B5EF4-FFF2-40B4-BE49-F238E27FC236}">
              <a16:creationId xmlns:a16="http://schemas.microsoft.com/office/drawing/2014/main" id="{E0FFD572-EA28-4ED3-8995-30F2DA519430}"/>
            </a:ext>
          </a:extLst>
        </xdr:cNvPr>
        <xdr:cNvGrpSpPr/>
      </xdr:nvGrpSpPr>
      <xdr:grpSpPr>
        <a:xfrm>
          <a:off x="6262656" y="14625808"/>
          <a:ext cx="1248896" cy="500289"/>
          <a:chOff x="1612900" y="2427475"/>
          <a:chExt cx="933032" cy="404625"/>
        </a:xfrm>
      </xdr:grpSpPr>
      <xdr:sp macro="" textlink="">
        <xdr:nvSpPr>
          <xdr:cNvPr id="285" name="フローチャート: 定義済み処理 284">
            <a:extLst>
              <a:ext uri="{FF2B5EF4-FFF2-40B4-BE49-F238E27FC236}">
                <a16:creationId xmlns:a16="http://schemas.microsoft.com/office/drawing/2014/main" id="{FE28D594-EE15-45D8-A100-7BAB1E3F1E9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0FF5224E-81DC-435B-B886-9D3183A4EB8A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取引先毎の債権残高明細情報抽出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32</xdr:col>
      <xdr:colOff>84750</xdr:colOff>
      <xdr:row>78</xdr:row>
      <xdr:rowOff>94751</xdr:rowOff>
    </xdr:from>
    <xdr:to>
      <xdr:col>32</xdr:col>
      <xdr:colOff>85528</xdr:colOff>
      <xdr:row>81</xdr:row>
      <xdr:rowOff>119460</xdr:rowOff>
    </xdr:to>
    <xdr:cxnSp macro="">
      <xdr:nvCxnSpPr>
        <xdr:cNvPr id="287" name="コネクタ: カギ線 286">
          <a:extLst>
            <a:ext uri="{FF2B5EF4-FFF2-40B4-BE49-F238E27FC236}">
              <a16:creationId xmlns:a16="http://schemas.microsoft.com/office/drawing/2014/main" id="{B0A5CDEF-EFFA-4774-894B-531A3B434619}"/>
            </a:ext>
          </a:extLst>
        </xdr:cNvPr>
        <xdr:cNvCxnSpPr>
          <a:cxnSpLocks/>
          <a:stCxn id="276" idx="2"/>
          <a:endCxn id="285" idx="0"/>
        </xdr:cNvCxnSpPr>
      </xdr:nvCxnSpPr>
      <xdr:spPr>
        <a:xfrm rot="16200000" flipH="1">
          <a:off x="6150467" y="13577265"/>
          <a:ext cx="530267" cy="77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193677</xdr:colOff>
      <xdr:row>105</xdr:row>
      <xdr:rowOff>103894</xdr:rowOff>
    </xdr:from>
    <xdr:to>
      <xdr:col>13</xdr:col>
      <xdr:colOff>98954</xdr:colOff>
      <xdr:row>106</xdr:row>
      <xdr:rowOff>154383</xdr:rowOff>
    </xdr:to>
    <xdr:sp macro="" textlink="">
      <xdr:nvSpPr>
        <xdr:cNvPr id="291" name="フローチャート: 端子 290">
          <a:extLst>
            <a:ext uri="{FF2B5EF4-FFF2-40B4-BE49-F238E27FC236}">
              <a16:creationId xmlns:a16="http://schemas.microsoft.com/office/drawing/2014/main" id="{077204BD-833D-4731-83A7-C86A58D9C021}"/>
            </a:ext>
          </a:extLst>
        </xdr:cNvPr>
        <xdr:cNvSpPr/>
      </xdr:nvSpPr>
      <xdr:spPr>
        <a:xfrm>
          <a:off x="1941795" y="18197659"/>
          <a:ext cx="682218" cy="22231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29</xdr:col>
      <xdr:colOff>111574</xdr:colOff>
      <xdr:row>86</xdr:row>
      <xdr:rowOff>78440</xdr:rowOff>
    </xdr:from>
    <xdr:to>
      <xdr:col>34</xdr:col>
      <xdr:colOff>203976</xdr:colOff>
      <xdr:row>89</xdr:row>
      <xdr:rowOff>40901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9F0D8095-5FD7-48C3-AB94-D70ADB57CCC5}"/>
            </a:ext>
          </a:extLst>
        </xdr:cNvPr>
        <xdr:cNvGrpSpPr/>
      </xdr:nvGrpSpPr>
      <xdr:grpSpPr>
        <a:xfrm>
          <a:off x="6286015" y="15508940"/>
          <a:ext cx="1160771" cy="500343"/>
          <a:chOff x="1612900" y="2457450"/>
          <a:chExt cx="933032" cy="374650"/>
        </a:xfrm>
      </xdr:grpSpPr>
      <xdr:sp macro="" textlink="">
        <xdr:nvSpPr>
          <xdr:cNvPr id="297" name="フローチャート: 処理 296">
            <a:extLst>
              <a:ext uri="{FF2B5EF4-FFF2-40B4-BE49-F238E27FC236}">
                <a16:creationId xmlns:a16="http://schemas.microsoft.com/office/drawing/2014/main" id="{E2C514E5-A130-44C1-ADD1-340F2CFAECB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98" name="正方形/長方形 48">
            <a:extLst>
              <a:ext uri="{FF2B5EF4-FFF2-40B4-BE49-F238E27FC236}">
                <a16:creationId xmlns:a16="http://schemas.microsoft.com/office/drawing/2014/main" id="{6A9A69E1-EFE7-41FF-B8F5-5CE198C885C2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債権残高明細確認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32</xdr:col>
      <xdr:colOff>71035</xdr:colOff>
      <xdr:row>84</xdr:row>
      <xdr:rowOff>45175</xdr:rowOff>
    </xdr:from>
    <xdr:to>
      <xdr:col>32</xdr:col>
      <xdr:colOff>71070</xdr:colOff>
      <xdr:row>86</xdr:row>
      <xdr:rowOff>78441</xdr:rowOff>
    </xdr:to>
    <xdr:cxnSp macro="">
      <xdr:nvCxnSpPr>
        <xdr:cNvPr id="302" name="コネクタ: カギ線 301">
          <a:extLst>
            <a:ext uri="{FF2B5EF4-FFF2-40B4-BE49-F238E27FC236}">
              <a16:creationId xmlns:a16="http://schemas.microsoft.com/office/drawing/2014/main" id="{80D0863B-5CD3-4222-AB66-C386C207AACD}"/>
            </a:ext>
          </a:extLst>
        </xdr:cNvPr>
        <xdr:cNvCxnSpPr>
          <a:cxnSpLocks/>
          <a:stCxn id="286" idx="2"/>
          <a:endCxn id="297" idx="0"/>
        </xdr:cNvCxnSpPr>
      </xdr:nvCxnSpPr>
      <xdr:spPr>
        <a:xfrm rot="5400000">
          <a:off x="6420985" y="14661268"/>
          <a:ext cx="375614" cy="3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71035</xdr:colOff>
      <xdr:row>89</xdr:row>
      <xdr:rowOff>40900</xdr:rowOff>
    </xdr:from>
    <xdr:to>
      <xdr:col>32</xdr:col>
      <xdr:colOff>74402</xdr:colOff>
      <xdr:row>91</xdr:row>
      <xdr:rowOff>108317</xdr:rowOff>
    </xdr:to>
    <xdr:cxnSp macro="">
      <xdr:nvCxnSpPr>
        <xdr:cNvPr id="305" name="コネクタ: カギ線 304">
          <a:extLst>
            <a:ext uri="{FF2B5EF4-FFF2-40B4-BE49-F238E27FC236}">
              <a16:creationId xmlns:a16="http://schemas.microsoft.com/office/drawing/2014/main" id="{99F0936D-6303-4A0D-9D61-274ECD1C2F79}"/>
            </a:ext>
          </a:extLst>
        </xdr:cNvPr>
        <xdr:cNvCxnSpPr>
          <a:cxnSpLocks/>
          <a:stCxn id="297" idx="2"/>
          <a:endCxn id="37" idx="0"/>
        </xdr:cNvCxnSpPr>
      </xdr:nvCxnSpPr>
      <xdr:spPr>
        <a:xfrm rot="16200000" flipH="1">
          <a:off x="6405575" y="15528273"/>
          <a:ext cx="409765" cy="336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20282</xdr:colOff>
      <xdr:row>112</xdr:row>
      <xdr:rowOff>33618</xdr:rowOff>
    </xdr:from>
    <xdr:to>
      <xdr:col>27</xdr:col>
      <xdr:colOff>119234</xdr:colOff>
      <xdr:row>113</xdr:row>
      <xdr:rowOff>83546</xdr:rowOff>
    </xdr:to>
    <xdr:sp macro="" textlink="">
      <xdr:nvSpPr>
        <xdr:cNvPr id="308" name="フローチャート: 端子 307">
          <a:extLst>
            <a:ext uri="{FF2B5EF4-FFF2-40B4-BE49-F238E27FC236}">
              <a16:creationId xmlns:a16="http://schemas.microsoft.com/office/drawing/2014/main" id="{DBEF9DDA-1564-4005-BFD2-A8D54277274F}"/>
            </a:ext>
          </a:extLst>
        </xdr:cNvPr>
        <xdr:cNvSpPr/>
      </xdr:nvSpPr>
      <xdr:spPr>
        <a:xfrm>
          <a:off x="4897082" y="19286818"/>
          <a:ext cx="708552" cy="22137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112061</xdr:colOff>
      <xdr:row>115</xdr:row>
      <xdr:rowOff>6983</xdr:rowOff>
    </xdr:from>
    <xdr:to>
      <xdr:col>41</xdr:col>
      <xdr:colOff>119973</xdr:colOff>
      <xdr:row>118</xdr:row>
      <xdr:rowOff>102996</xdr:rowOff>
    </xdr:to>
    <xdr:grpSp>
      <xdr:nvGrpSpPr>
        <xdr:cNvPr id="309" name="グループ化 308">
          <a:extLst>
            <a:ext uri="{FF2B5EF4-FFF2-40B4-BE49-F238E27FC236}">
              <a16:creationId xmlns:a16="http://schemas.microsoft.com/office/drawing/2014/main" id="{DD9110F4-EF53-4B81-93E6-7851B88B235F}"/>
            </a:ext>
          </a:extLst>
        </xdr:cNvPr>
        <xdr:cNvGrpSpPr/>
      </xdr:nvGrpSpPr>
      <xdr:grpSpPr>
        <a:xfrm>
          <a:off x="7776885" y="20638917"/>
          <a:ext cx="1074375" cy="630086"/>
          <a:chOff x="7113625" y="2892425"/>
          <a:chExt cx="914621" cy="583743"/>
        </a:xfrm>
      </xdr:grpSpPr>
      <xdr:sp macro="" textlink="">
        <xdr:nvSpPr>
          <xdr:cNvPr id="310" name="フローチャート: 磁気ディスク 309">
            <a:extLst>
              <a:ext uri="{FF2B5EF4-FFF2-40B4-BE49-F238E27FC236}">
                <a16:creationId xmlns:a16="http://schemas.microsoft.com/office/drawing/2014/main" id="{4062ACE6-274E-4911-9717-FA6E73246BF7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11" name="正方形/長方形 310">
            <a:extLst>
              <a:ext uri="{FF2B5EF4-FFF2-40B4-BE49-F238E27FC236}">
                <a16:creationId xmlns:a16="http://schemas.microsoft.com/office/drawing/2014/main" id="{D5DFAFFB-6699-44CE-9D68-15F64070B425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86463</xdr:colOff>
      <xdr:row>116</xdr:row>
      <xdr:rowOff>115950</xdr:rowOff>
    </xdr:from>
    <xdr:to>
      <xdr:col>37</xdr:col>
      <xdr:colOff>9561</xdr:colOff>
      <xdr:row>116</xdr:row>
      <xdr:rowOff>122900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7AE88047-FCAB-41C9-88E5-350E7B4C9EB4}"/>
            </a:ext>
          </a:extLst>
        </xdr:cNvPr>
        <xdr:cNvCxnSpPr>
          <a:cxnSpLocks/>
          <a:stCxn id="310" idx="2"/>
          <a:endCxn id="314" idx="3"/>
        </xdr:cNvCxnSpPr>
      </xdr:nvCxnSpPr>
      <xdr:spPr>
        <a:xfrm flipH="1">
          <a:off x="5806985" y="20021820"/>
          <a:ext cx="1761837" cy="695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170329</xdr:colOff>
      <xdr:row>115</xdr:row>
      <xdr:rowOff>38482</xdr:rowOff>
    </xdr:from>
    <xdr:to>
      <xdr:col>28</xdr:col>
      <xdr:colOff>143024</xdr:colOff>
      <xdr:row>118</xdr:row>
      <xdr:rowOff>888</xdr:rowOff>
    </xdr:to>
    <xdr:grpSp>
      <xdr:nvGrpSpPr>
        <xdr:cNvPr id="3" name="グループ化 312">
          <a:extLst>
            <a:ext uri="{FF2B5EF4-FFF2-40B4-BE49-F238E27FC236}">
              <a16:creationId xmlns:a16="http://schemas.microsoft.com/office/drawing/2014/main" id="{4AFC204E-D071-464E-82A8-BB153660FC7D}"/>
            </a:ext>
          </a:extLst>
        </xdr:cNvPr>
        <xdr:cNvGrpSpPr/>
      </xdr:nvGrpSpPr>
      <xdr:grpSpPr>
        <a:xfrm>
          <a:off x="4858198" y="20668511"/>
          <a:ext cx="1244450" cy="500289"/>
          <a:chOff x="1612900" y="2427475"/>
          <a:chExt cx="933032" cy="404625"/>
        </a:xfrm>
      </xdr:grpSpPr>
      <xdr:sp macro="" textlink="">
        <xdr:nvSpPr>
          <xdr:cNvPr id="4" name="フローチャート: 定義済み処理 313">
            <a:extLst>
              <a:ext uri="{FF2B5EF4-FFF2-40B4-BE49-F238E27FC236}">
                <a16:creationId xmlns:a16="http://schemas.microsoft.com/office/drawing/2014/main" id="{EDF9B04B-234A-4823-BB86-88B50910DAE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3" name="正方形/長方形 314">
            <a:extLst>
              <a:ext uri="{FF2B5EF4-FFF2-40B4-BE49-F238E27FC236}">
                <a16:creationId xmlns:a16="http://schemas.microsoft.com/office/drawing/2014/main" id="{E5FCCF52-8A51-415F-A784-E2B4D551733D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預り金情報抽出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192741</xdr:colOff>
      <xdr:row>120</xdr:row>
      <xdr:rowOff>145676</xdr:rowOff>
    </xdr:from>
    <xdr:to>
      <xdr:col>28</xdr:col>
      <xdr:colOff>88293</xdr:colOff>
      <xdr:row>123</xdr:row>
      <xdr:rowOff>108136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651448B4-EC54-47A0-A07D-797A9F147E73}"/>
            </a:ext>
          </a:extLst>
        </xdr:cNvPr>
        <xdr:cNvGrpSpPr/>
      </xdr:nvGrpSpPr>
      <xdr:grpSpPr>
        <a:xfrm>
          <a:off x="4876800" y="21670271"/>
          <a:ext cx="1176832" cy="500342"/>
          <a:chOff x="1612900" y="2457450"/>
          <a:chExt cx="933032" cy="374650"/>
        </a:xfrm>
      </xdr:grpSpPr>
      <xdr:sp macro="" textlink="">
        <xdr:nvSpPr>
          <xdr:cNvPr id="76" name="フローチャート: 処理 75">
            <a:extLst>
              <a:ext uri="{FF2B5EF4-FFF2-40B4-BE49-F238E27FC236}">
                <a16:creationId xmlns:a16="http://schemas.microsoft.com/office/drawing/2014/main" id="{F719FC6D-D2FC-4AFB-834F-D4B70FB2A9A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7" name="正方形/長方形 48">
            <a:extLst>
              <a:ext uri="{FF2B5EF4-FFF2-40B4-BE49-F238E27FC236}">
                <a16:creationId xmlns:a16="http://schemas.microsoft.com/office/drawing/2014/main" id="{A65FF30D-AD71-44D4-8DF3-3ECA3A451756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預り金台帳更新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79187</xdr:colOff>
      <xdr:row>123</xdr:row>
      <xdr:rowOff>8030</xdr:rowOff>
    </xdr:from>
    <xdr:to>
      <xdr:col>29</xdr:col>
      <xdr:colOff>160946</xdr:colOff>
      <xdr:row>125</xdr:row>
      <xdr:rowOff>27454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6980CD50-98E5-42E7-B045-2070B6EFB899}"/>
            </a:ext>
          </a:extLst>
        </xdr:cNvPr>
        <xdr:cNvGrpSpPr>
          <a:grpSpLocks noChangeAspect="1"/>
        </xdr:cNvGrpSpPr>
      </xdr:nvGrpSpPr>
      <xdr:grpSpPr>
        <a:xfrm>
          <a:off x="5614893" y="22074317"/>
          <a:ext cx="722399" cy="374203"/>
          <a:chOff x="2791278" y="18514786"/>
          <a:chExt cx="773793" cy="417285"/>
        </a:xfrm>
      </xdr:grpSpPr>
      <xdr:sp macro="" textlink="">
        <xdr:nvSpPr>
          <xdr:cNvPr id="79" name="フローチャート: 書類 78">
            <a:extLst>
              <a:ext uri="{FF2B5EF4-FFF2-40B4-BE49-F238E27FC236}">
                <a16:creationId xmlns:a16="http://schemas.microsoft.com/office/drawing/2014/main" id="{441AA7D8-B211-4472-BC9D-BEF0D7CBD29B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6B7AD077-726F-4D13-9DB7-3F3BF825A670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預り金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台帳</a:t>
            </a:r>
          </a:p>
        </xdr:txBody>
      </xdr:sp>
    </xdr:grpSp>
    <xdr:clientData/>
  </xdr:twoCellAnchor>
  <xdr:twoCellAnchor>
    <xdr:from>
      <xdr:col>25</xdr:col>
      <xdr:colOff>156033</xdr:colOff>
      <xdr:row>117</xdr:row>
      <xdr:rowOff>166861</xdr:rowOff>
    </xdr:from>
    <xdr:to>
      <xdr:col>25</xdr:col>
      <xdr:colOff>156678</xdr:colOff>
      <xdr:row>120</xdr:row>
      <xdr:rowOff>145676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4BD41DF1-BE36-4364-836A-626384D16009}"/>
            </a:ext>
          </a:extLst>
        </xdr:cNvPr>
        <xdr:cNvCxnSpPr>
          <a:cxnSpLocks/>
          <a:stCxn id="315" idx="2"/>
          <a:endCxn id="76" idx="0"/>
        </xdr:cNvCxnSpPr>
      </xdr:nvCxnSpPr>
      <xdr:spPr>
        <a:xfrm rot="5400000">
          <a:off x="5017796" y="20489750"/>
          <a:ext cx="492337" cy="64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18303</xdr:colOff>
      <xdr:row>128</xdr:row>
      <xdr:rowOff>58698</xdr:rowOff>
    </xdr:from>
    <xdr:to>
      <xdr:col>27</xdr:col>
      <xdr:colOff>120430</xdr:colOff>
      <xdr:row>129</xdr:row>
      <xdr:rowOff>95927</xdr:rowOff>
    </xdr:to>
    <xdr:sp macro="" textlink="">
      <xdr:nvSpPr>
        <xdr:cNvPr id="84" name="フローチャート: 端子 83">
          <a:extLst>
            <a:ext uri="{FF2B5EF4-FFF2-40B4-BE49-F238E27FC236}">
              <a16:creationId xmlns:a16="http://schemas.microsoft.com/office/drawing/2014/main" id="{2B78B863-66B6-4DD7-8F85-D90E8A91041F}"/>
            </a:ext>
          </a:extLst>
        </xdr:cNvPr>
        <xdr:cNvSpPr/>
      </xdr:nvSpPr>
      <xdr:spPr>
        <a:xfrm>
          <a:off x="3364753" y="16740148"/>
          <a:ext cx="692677" cy="20867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25</xdr:col>
      <xdr:colOff>153321</xdr:colOff>
      <xdr:row>123</xdr:row>
      <xdr:rowOff>104961</xdr:rowOff>
    </xdr:from>
    <xdr:to>
      <xdr:col>25</xdr:col>
      <xdr:colOff>170966</xdr:colOff>
      <xdr:row>128</xdr:row>
      <xdr:rowOff>58698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123DAECA-9390-40CC-AF4C-A1123A47F229}"/>
            </a:ext>
          </a:extLst>
        </xdr:cNvPr>
        <xdr:cNvCxnSpPr>
          <a:cxnSpLocks/>
          <a:stCxn id="76" idx="2"/>
          <a:endCxn id="84" idx="0"/>
        </xdr:cNvCxnSpPr>
      </xdr:nvCxnSpPr>
      <xdr:spPr>
        <a:xfrm rot="16200000" flipH="1">
          <a:off x="3299950" y="16325832"/>
          <a:ext cx="810987" cy="1764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171358</xdr:colOff>
      <xdr:row>113</xdr:row>
      <xdr:rowOff>83545</xdr:rowOff>
    </xdr:from>
    <xdr:to>
      <xdr:col>25</xdr:col>
      <xdr:colOff>173167</xdr:colOff>
      <xdr:row>115</xdr:row>
      <xdr:rowOff>73800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29D20DBB-1DFC-4B36-BFEE-E0DF08675C91}"/>
            </a:ext>
          </a:extLst>
        </xdr:cNvPr>
        <xdr:cNvCxnSpPr>
          <a:cxnSpLocks/>
          <a:stCxn id="308" idx="2"/>
          <a:endCxn id="314" idx="0"/>
        </xdr:cNvCxnSpPr>
      </xdr:nvCxnSpPr>
      <xdr:spPr>
        <a:xfrm rot="16200000" flipH="1">
          <a:off x="5085685" y="19673868"/>
          <a:ext cx="333155" cy="180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132788</xdr:colOff>
      <xdr:row>134</xdr:row>
      <xdr:rowOff>47999</xdr:rowOff>
    </xdr:from>
    <xdr:to>
      <xdr:col>27</xdr:col>
      <xdr:colOff>34891</xdr:colOff>
      <xdr:row>135</xdr:row>
      <xdr:rowOff>97927</xdr:rowOff>
    </xdr:to>
    <xdr:sp macro="" textlink="">
      <xdr:nvSpPr>
        <xdr:cNvPr id="94" name="フローチャート: 端子 93">
          <a:extLst>
            <a:ext uri="{FF2B5EF4-FFF2-40B4-BE49-F238E27FC236}">
              <a16:creationId xmlns:a16="http://schemas.microsoft.com/office/drawing/2014/main" id="{D7EEB4A6-4051-4735-95FE-D8CBB459D25E}"/>
            </a:ext>
          </a:extLst>
        </xdr:cNvPr>
        <xdr:cNvSpPr/>
      </xdr:nvSpPr>
      <xdr:spPr>
        <a:xfrm>
          <a:off x="3360082" y="17428323"/>
          <a:ext cx="708927" cy="21801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82707</xdr:colOff>
      <xdr:row>137</xdr:row>
      <xdr:rowOff>49686</xdr:rowOff>
    </xdr:from>
    <xdr:to>
      <xdr:col>28</xdr:col>
      <xdr:colOff>55403</xdr:colOff>
      <xdr:row>140</xdr:row>
      <xdr:rowOff>12094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9AD4FF64-3344-4E0A-BC86-8CA6B21E1673}"/>
            </a:ext>
          </a:extLst>
        </xdr:cNvPr>
        <xdr:cNvGrpSpPr/>
      </xdr:nvGrpSpPr>
      <xdr:grpSpPr>
        <a:xfrm>
          <a:off x="4768671" y="24627996"/>
          <a:ext cx="1252071" cy="500290"/>
          <a:chOff x="1612900" y="2427475"/>
          <a:chExt cx="933032" cy="404627"/>
        </a:xfrm>
      </xdr:grpSpPr>
      <xdr:sp macro="" textlink="">
        <xdr:nvSpPr>
          <xdr:cNvPr id="100" name="フローチャート: 定義済み処理 99">
            <a:extLst>
              <a:ext uri="{FF2B5EF4-FFF2-40B4-BE49-F238E27FC236}">
                <a16:creationId xmlns:a16="http://schemas.microsoft.com/office/drawing/2014/main" id="{92C53E2C-7193-43CF-969E-956C17541275}"/>
              </a:ext>
            </a:extLst>
          </xdr:cNvPr>
          <xdr:cNvSpPr/>
        </xdr:nvSpPr>
        <xdr:spPr>
          <a:xfrm>
            <a:off x="1682749" y="2457452"/>
            <a:ext cx="819149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F95573DE-E495-4311-B2BB-D38EA18E5E37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未消込・消込済情報抽出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126439</xdr:colOff>
      <xdr:row>144</xdr:row>
      <xdr:rowOff>160057</xdr:rowOff>
    </xdr:from>
    <xdr:to>
      <xdr:col>28</xdr:col>
      <xdr:colOff>10786</xdr:colOff>
      <xdr:row>147</xdr:row>
      <xdr:rowOff>112992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074952AB-82E4-4C9C-AFDC-471A165F0C00}"/>
            </a:ext>
          </a:extLst>
        </xdr:cNvPr>
        <xdr:cNvGrpSpPr/>
      </xdr:nvGrpSpPr>
      <xdr:grpSpPr>
        <a:xfrm>
          <a:off x="4814308" y="25991521"/>
          <a:ext cx="1159912" cy="488912"/>
          <a:chOff x="1612900" y="2457450"/>
          <a:chExt cx="933032" cy="374650"/>
        </a:xfrm>
      </xdr:grpSpPr>
      <xdr:sp macro="" textlink="">
        <xdr:nvSpPr>
          <xdr:cNvPr id="103" name="フローチャート: 処理 102">
            <a:extLst>
              <a:ext uri="{FF2B5EF4-FFF2-40B4-BE49-F238E27FC236}">
                <a16:creationId xmlns:a16="http://schemas.microsoft.com/office/drawing/2014/main" id="{A0BE215A-9A70-4493-84A2-CD868A16CBE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4" name="正方形/長方形 48">
            <a:extLst>
              <a:ext uri="{FF2B5EF4-FFF2-40B4-BE49-F238E27FC236}">
                <a16:creationId xmlns:a16="http://schemas.microsoft.com/office/drawing/2014/main" id="{C8C266EE-4C55-4450-8AD8-B3290C82C1C5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営業報告用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69056</xdr:colOff>
      <xdr:row>140</xdr:row>
      <xdr:rowOff>6897</xdr:rowOff>
    </xdr:from>
    <xdr:to>
      <xdr:col>25</xdr:col>
      <xdr:colOff>84044</xdr:colOff>
      <xdr:row>144</xdr:row>
      <xdr:rowOff>160057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4258CB1C-9365-4D04-8572-BD0DF15B9112}"/>
            </a:ext>
          </a:extLst>
        </xdr:cNvPr>
        <xdr:cNvCxnSpPr>
          <a:cxnSpLocks/>
          <a:stCxn id="101" idx="2"/>
          <a:endCxn id="103" idx="0"/>
        </xdr:cNvCxnSpPr>
      </xdr:nvCxnSpPr>
      <xdr:spPr>
        <a:xfrm rot="16200000" flipH="1">
          <a:off x="4786893" y="24401368"/>
          <a:ext cx="837006" cy="1498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83840</xdr:colOff>
      <xdr:row>135</xdr:row>
      <xdr:rowOff>97927</xdr:rowOff>
    </xdr:from>
    <xdr:to>
      <xdr:col>25</xdr:col>
      <xdr:colOff>85544</xdr:colOff>
      <xdr:row>137</xdr:row>
      <xdr:rowOff>84805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D5D54325-BFA2-493B-905D-02029DAF1C22}"/>
            </a:ext>
          </a:extLst>
        </xdr:cNvPr>
        <xdr:cNvCxnSpPr>
          <a:cxnSpLocks/>
          <a:stCxn id="94" idx="2"/>
          <a:endCxn id="100" idx="0"/>
        </xdr:cNvCxnSpPr>
      </xdr:nvCxnSpPr>
      <xdr:spPr>
        <a:xfrm rot="16200000" flipH="1">
          <a:off x="5000710" y="23338771"/>
          <a:ext cx="327964" cy="170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78442</xdr:colOff>
      <xdr:row>147</xdr:row>
      <xdr:rowOff>0</xdr:rowOff>
    </xdr:from>
    <xdr:to>
      <xdr:col>29</xdr:col>
      <xdr:colOff>161883</xdr:colOff>
      <xdr:row>149</xdr:row>
      <xdr:rowOff>19423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9D29DD95-B1F5-4E8D-B4CF-A85D0D2266A0}"/>
            </a:ext>
          </a:extLst>
        </xdr:cNvPr>
        <xdr:cNvGrpSpPr>
          <a:grpSpLocks noChangeAspect="1"/>
        </xdr:cNvGrpSpPr>
      </xdr:nvGrpSpPr>
      <xdr:grpSpPr>
        <a:xfrm>
          <a:off x="5614148" y="26367441"/>
          <a:ext cx="724081" cy="374201"/>
          <a:chOff x="2791278" y="18514786"/>
          <a:chExt cx="773793" cy="417285"/>
        </a:xfrm>
      </xdr:grpSpPr>
      <xdr:sp macro="" textlink="">
        <xdr:nvSpPr>
          <xdr:cNvPr id="159" name="フローチャート: 書類 158">
            <a:extLst>
              <a:ext uri="{FF2B5EF4-FFF2-40B4-BE49-F238E27FC236}">
                <a16:creationId xmlns:a16="http://schemas.microsoft.com/office/drawing/2014/main" id="{AB811A26-0BE6-4EA2-9C3D-6097B3F3457A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7D4385AC-3D84-4428-B4E8-97FFFB871055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回収報告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110751</xdr:colOff>
      <xdr:row>159</xdr:row>
      <xdr:rowOff>144368</xdr:rowOff>
    </xdr:from>
    <xdr:to>
      <xdr:col>20</xdr:col>
      <xdr:colOff>196805</xdr:colOff>
      <xdr:row>162</xdr:row>
      <xdr:rowOff>94128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FB99490B-EBEF-4091-B504-ADD6DE00E91E}"/>
            </a:ext>
          </a:extLst>
        </xdr:cNvPr>
        <xdr:cNvGrpSpPr/>
      </xdr:nvGrpSpPr>
      <xdr:grpSpPr>
        <a:xfrm>
          <a:off x="3304427" y="28661434"/>
          <a:ext cx="1152518" cy="493357"/>
          <a:chOff x="1612900" y="2457450"/>
          <a:chExt cx="933032" cy="374650"/>
        </a:xfrm>
      </xdr:grpSpPr>
      <xdr:sp macro="" textlink="">
        <xdr:nvSpPr>
          <xdr:cNvPr id="165" name="フローチャート: 処理 164">
            <a:extLst>
              <a:ext uri="{FF2B5EF4-FFF2-40B4-BE49-F238E27FC236}">
                <a16:creationId xmlns:a16="http://schemas.microsoft.com/office/drawing/2014/main" id="{55B04FC2-3333-4334-A46E-E06505B941B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66" name="正方形/長方形 48">
            <a:extLst>
              <a:ext uri="{FF2B5EF4-FFF2-40B4-BE49-F238E27FC236}">
                <a16:creationId xmlns:a16="http://schemas.microsoft.com/office/drawing/2014/main" id="{30094219-F710-4370-B7A8-EAB9FED44B44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営業報告用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27</xdr:col>
      <xdr:colOff>73957</xdr:colOff>
      <xdr:row>148</xdr:row>
      <xdr:rowOff>85167</xdr:rowOff>
    </xdr:from>
    <xdr:to>
      <xdr:col>31</xdr:col>
      <xdr:colOff>145675</xdr:colOff>
      <xdr:row>150</xdr:row>
      <xdr:rowOff>104590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359D09C7-9BCC-45A4-9211-410C0EEE23F0}"/>
            </a:ext>
          </a:extLst>
        </xdr:cNvPr>
        <xdr:cNvGrpSpPr>
          <a:grpSpLocks noChangeAspect="1"/>
        </xdr:cNvGrpSpPr>
      </xdr:nvGrpSpPr>
      <xdr:grpSpPr>
        <a:xfrm>
          <a:off x="5822575" y="26633807"/>
          <a:ext cx="921460" cy="374202"/>
          <a:chOff x="2791278" y="18514786"/>
          <a:chExt cx="773793" cy="417285"/>
        </a:xfrm>
      </xdr:grpSpPr>
      <xdr:sp macro="" textlink="">
        <xdr:nvSpPr>
          <xdr:cNvPr id="176" name="フローチャート: 書類 175">
            <a:extLst>
              <a:ext uri="{FF2B5EF4-FFF2-40B4-BE49-F238E27FC236}">
                <a16:creationId xmlns:a16="http://schemas.microsoft.com/office/drawing/2014/main" id="{21F96881-DF99-44EF-991C-AC1F0C27C91B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1999E808-D32D-4499-BFC0-F6D4C0583604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未回収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過入金リスト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24</xdr:col>
      <xdr:colOff>199364</xdr:colOff>
      <xdr:row>147</xdr:row>
      <xdr:rowOff>112992</xdr:rowOff>
    </xdr:from>
    <xdr:to>
      <xdr:col>25</xdr:col>
      <xdr:colOff>80582</xdr:colOff>
      <xdr:row>152</xdr:row>
      <xdr:rowOff>163605</xdr:rowOff>
    </xdr:to>
    <xdr:cxnSp macro="">
      <xdr:nvCxnSpPr>
        <xdr:cNvPr id="178" name="コネクタ: カギ線 177">
          <a:extLst>
            <a:ext uri="{FF2B5EF4-FFF2-40B4-BE49-F238E27FC236}">
              <a16:creationId xmlns:a16="http://schemas.microsoft.com/office/drawing/2014/main" id="{545F3C6F-0739-4EF5-96D1-37A4BBC22F8B}"/>
            </a:ext>
          </a:extLst>
        </xdr:cNvPr>
        <xdr:cNvCxnSpPr>
          <a:cxnSpLocks/>
          <a:stCxn id="103" idx="2"/>
          <a:endCxn id="180" idx="0"/>
        </xdr:cNvCxnSpPr>
      </xdr:nvCxnSpPr>
      <xdr:spPr>
        <a:xfrm rot="5400000">
          <a:off x="3224299" y="19746351"/>
          <a:ext cx="891054" cy="8292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40340</xdr:colOff>
      <xdr:row>152</xdr:row>
      <xdr:rowOff>166780</xdr:rowOff>
    </xdr:from>
    <xdr:to>
      <xdr:col>27</xdr:col>
      <xdr:colOff>129568</xdr:colOff>
      <xdr:row>155</xdr:row>
      <xdr:rowOff>119715</xdr:rowOff>
    </xdr:to>
    <xdr:grpSp>
      <xdr:nvGrpSpPr>
        <xdr:cNvPr id="179" name="グループ化 178">
          <a:extLst>
            <a:ext uri="{FF2B5EF4-FFF2-40B4-BE49-F238E27FC236}">
              <a16:creationId xmlns:a16="http://schemas.microsoft.com/office/drawing/2014/main" id="{862AC5D6-A1F1-4634-AA45-CDAEEE807E81}"/>
            </a:ext>
          </a:extLst>
        </xdr:cNvPr>
        <xdr:cNvGrpSpPr/>
      </xdr:nvGrpSpPr>
      <xdr:grpSpPr>
        <a:xfrm>
          <a:off x="4724399" y="27434502"/>
          <a:ext cx="1157597" cy="488912"/>
          <a:chOff x="1612900" y="2457450"/>
          <a:chExt cx="933032" cy="374650"/>
        </a:xfrm>
      </xdr:grpSpPr>
      <xdr:sp macro="" textlink="">
        <xdr:nvSpPr>
          <xdr:cNvPr id="180" name="フローチャート: 処理 179">
            <a:extLst>
              <a:ext uri="{FF2B5EF4-FFF2-40B4-BE49-F238E27FC236}">
                <a16:creationId xmlns:a16="http://schemas.microsoft.com/office/drawing/2014/main" id="{EA991D3C-1C37-4C8E-9784-CFE101BFB90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1" name="正方形/長方形 48">
            <a:extLst>
              <a:ext uri="{FF2B5EF4-FFF2-40B4-BE49-F238E27FC236}">
                <a16:creationId xmlns:a16="http://schemas.microsoft.com/office/drawing/2014/main" id="{F26F4384-3D8C-44E3-8545-4FAFD6EA48F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営業報告用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資料提出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66586</xdr:colOff>
      <xdr:row>155</xdr:row>
      <xdr:rowOff>119715</xdr:rowOff>
    </xdr:from>
    <xdr:to>
      <xdr:col>24</xdr:col>
      <xdr:colOff>202960</xdr:colOff>
      <xdr:row>159</xdr:row>
      <xdr:rowOff>144368</xdr:rowOff>
    </xdr:to>
    <xdr:cxnSp macro="">
      <xdr:nvCxnSpPr>
        <xdr:cNvPr id="182" name="コネクタ: カギ線 181">
          <a:extLst>
            <a:ext uri="{FF2B5EF4-FFF2-40B4-BE49-F238E27FC236}">
              <a16:creationId xmlns:a16="http://schemas.microsoft.com/office/drawing/2014/main" id="{458577F6-C61A-43E7-9EC1-88C474429720}"/>
            </a:ext>
          </a:extLst>
        </xdr:cNvPr>
        <xdr:cNvCxnSpPr>
          <a:cxnSpLocks/>
          <a:stCxn id="180" idx="2"/>
          <a:endCxn id="165" idx="0"/>
        </xdr:cNvCxnSpPr>
      </xdr:nvCxnSpPr>
      <xdr:spPr>
        <a:xfrm rot="5400000">
          <a:off x="4088754" y="26338201"/>
          <a:ext cx="708499" cy="136729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48560</xdr:colOff>
      <xdr:row>155</xdr:row>
      <xdr:rowOff>52294</xdr:rowOff>
    </xdr:from>
    <xdr:to>
      <xdr:col>28</xdr:col>
      <xdr:colOff>135175</xdr:colOff>
      <xdr:row>157</xdr:row>
      <xdr:rowOff>71717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A9EC71C8-5C9A-4407-A856-312BBCC8C05D}"/>
            </a:ext>
          </a:extLst>
        </xdr:cNvPr>
        <xdr:cNvGrpSpPr>
          <a:grpSpLocks noChangeAspect="1"/>
        </xdr:cNvGrpSpPr>
      </xdr:nvGrpSpPr>
      <xdr:grpSpPr>
        <a:xfrm>
          <a:off x="5373259" y="27857898"/>
          <a:ext cx="719635" cy="372296"/>
          <a:chOff x="2791278" y="18514786"/>
          <a:chExt cx="773793" cy="417285"/>
        </a:xfrm>
      </xdr:grpSpPr>
      <xdr:sp macro="" textlink="">
        <xdr:nvSpPr>
          <xdr:cNvPr id="184" name="フローチャート: 書類 183">
            <a:extLst>
              <a:ext uri="{FF2B5EF4-FFF2-40B4-BE49-F238E27FC236}">
                <a16:creationId xmlns:a16="http://schemas.microsoft.com/office/drawing/2014/main" id="{E7F902F9-9EBD-4443-BCB2-274F70D5E66B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2D1A1787-2710-4CE2-9659-ED80EE6B7BE1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回収報告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44075</xdr:colOff>
      <xdr:row>156</xdr:row>
      <xdr:rowOff>144370</xdr:rowOff>
    </xdr:from>
    <xdr:to>
      <xdr:col>30</xdr:col>
      <xdr:colOff>112617</xdr:colOff>
      <xdr:row>158</xdr:row>
      <xdr:rowOff>163794</xdr:rowOff>
    </xdr:to>
    <xdr:grpSp>
      <xdr:nvGrpSpPr>
        <xdr:cNvPr id="186" name="グループ化 185">
          <a:extLst>
            <a:ext uri="{FF2B5EF4-FFF2-40B4-BE49-F238E27FC236}">
              <a16:creationId xmlns:a16="http://schemas.microsoft.com/office/drawing/2014/main" id="{32D367F7-5075-45C8-BEBA-E1733B78FBBB}"/>
            </a:ext>
          </a:extLst>
        </xdr:cNvPr>
        <xdr:cNvGrpSpPr>
          <a:grpSpLocks noChangeAspect="1"/>
        </xdr:cNvGrpSpPr>
      </xdr:nvGrpSpPr>
      <xdr:grpSpPr>
        <a:xfrm>
          <a:off x="5581686" y="28123553"/>
          <a:ext cx="918284" cy="381822"/>
          <a:chOff x="2791278" y="18514786"/>
          <a:chExt cx="773793" cy="417285"/>
        </a:xfrm>
      </xdr:grpSpPr>
      <xdr:sp macro="" textlink="">
        <xdr:nvSpPr>
          <xdr:cNvPr id="187" name="フローチャート: 書類 186">
            <a:extLst>
              <a:ext uri="{FF2B5EF4-FFF2-40B4-BE49-F238E27FC236}">
                <a16:creationId xmlns:a16="http://schemas.microsoft.com/office/drawing/2014/main" id="{16C77A9B-2B95-4929-8CA4-CAB145E881E6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8" name="正方形/長方形 187">
            <a:extLst>
              <a:ext uri="{FF2B5EF4-FFF2-40B4-BE49-F238E27FC236}">
                <a16:creationId xmlns:a16="http://schemas.microsoft.com/office/drawing/2014/main" id="{F5485A48-E6A0-4C6E-B772-B7D0F5983EC6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未回収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過入金リスト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55403</xdr:colOff>
      <xdr:row>138</xdr:row>
      <xdr:rowOff>113773</xdr:rowOff>
    </xdr:from>
    <xdr:to>
      <xdr:col>44</xdr:col>
      <xdr:colOff>29308</xdr:colOff>
      <xdr:row>138</xdr:row>
      <xdr:rowOff>117231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7E876FEB-1E36-4AA4-A6E7-B345E3FFE864}"/>
            </a:ext>
          </a:extLst>
        </xdr:cNvPr>
        <xdr:cNvCxnSpPr>
          <a:cxnSpLocks/>
          <a:endCxn id="101" idx="3"/>
        </xdr:cNvCxnSpPr>
      </xdr:nvCxnSpPr>
      <xdr:spPr>
        <a:xfrm flipH="1" flipV="1">
          <a:off x="5799711" y="23755311"/>
          <a:ext cx="3256366" cy="345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134471</xdr:colOff>
      <xdr:row>165</xdr:row>
      <xdr:rowOff>56030</xdr:rowOff>
    </xdr:from>
    <xdr:to>
      <xdr:col>20</xdr:col>
      <xdr:colOff>36574</xdr:colOff>
      <xdr:row>166</xdr:row>
      <xdr:rowOff>93258</xdr:rowOff>
    </xdr:to>
    <xdr:sp macro="" textlink="">
      <xdr:nvSpPr>
        <xdr:cNvPr id="193" name="フローチャート: 端子 192">
          <a:extLst>
            <a:ext uri="{FF2B5EF4-FFF2-40B4-BE49-F238E27FC236}">
              <a16:creationId xmlns:a16="http://schemas.microsoft.com/office/drawing/2014/main" id="{32A58547-8250-4016-AA40-634597BD934C}"/>
            </a:ext>
          </a:extLst>
        </xdr:cNvPr>
        <xdr:cNvSpPr/>
      </xdr:nvSpPr>
      <xdr:spPr>
        <a:xfrm>
          <a:off x="1949824" y="22310912"/>
          <a:ext cx="708926" cy="20531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68156</xdr:colOff>
      <xdr:row>162</xdr:row>
      <xdr:rowOff>94128</xdr:rowOff>
    </xdr:from>
    <xdr:to>
      <xdr:col>18</xdr:col>
      <xdr:colOff>85521</xdr:colOff>
      <xdr:row>165</xdr:row>
      <xdr:rowOff>56030</xdr:rowOff>
    </xdr:to>
    <xdr:cxnSp macro="">
      <xdr:nvCxnSpPr>
        <xdr:cNvPr id="195" name="コネクタ: カギ線 194">
          <a:extLst>
            <a:ext uri="{FF2B5EF4-FFF2-40B4-BE49-F238E27FC236}">
              <a16:creationId xmlns:a16="http://schemas.microsoft.com/office/drawing/2014/main" id="{EC491847-67AE-4472-97A4-171E0E16C059}"/>
            </a:ext>
          </a:extLst>
        </xdr:cNvPr>
        <xdr:cNvCxnSpPr>
          <a:cxnSpLocks/>
          <a:stCxn id="165" idx="2"/>
          <a:endCxn id="193" idx="0"/>
        </xdr:cNvCxnSpPr>
      </xdr:nvCxnSpPr>
      <xdr:spPr>
        <a:xfrm rot="16200000" flipH="1">
          <a:off x="2062521" y="22069146"/>
          <a:ext cx="466166" cy="1736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110955</xdr:colOff>
      <xdr:row>187</xdr:row>
      <xdr:rowOff>87650</xdr:rowOff>
    </xdr:from>
    <xdr:to>
      <xdr:col>41</xdr:col>
      <xdr:colOff>112517</xdr:colOff>
      <xdr:row>191</xdr:row>
      <xdr:rowOff>22015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F4828108-AE5E-4B66-AFB0-705DCF675228}"/>
            </a:ext>
          </a:extLst>
        </xdr:cNvPr>
        <xdr:cNvGrpSpPr/>
      </xdr:nvGrpSpPr>
      <xdr:grpSpPr>
        <a:xfrm>
          <a:off x="7775779" y="33630666"/>
          <a:ext cx="1066120" cy="643921"/>
          <a:chOff x="7113625" y="2892425"/>
          <a:chExt cx="914621" cy="583743"/>
        </a:xfrm>
      </xdr:grpSpPr>
      <xdr:sp macro="" textlink="">
        <xdr:nvSpPr>
          <xdr:cNvPr id="199" name="フローチャート: 磁気ディスク 198">
            <a:extLst>
              <a:ext uri="{FF2B5EF4-FFF2-40B4-BE49-F238E27FC236}">
                <a16:creationId xmlns:a16="http://schemas.microsoft.com/office/drawing/2014/main" id="{41232E0A-DA12-4F54-8ECC-76CD7FAE21B2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F53F4E34-B51E-4116-97BC-E49F555274B9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146837</xdr:colOff>
      <xdr:row>173</xdr:row>
      <xdr:rowOff>41649</xdr:rowOff>
    </xdr:from>
    <xdr:to>
      <xdr:col>27</xdr:col>
      <xdr:colOff>48940</xdr:colOff>
      <xdr:row>174</xdr:row>
      <xdr:rowOff>97927</xdr:rowOff>
    </xdr:to>
    <xdr:sp macro="" textlink="">
      <xdr:nvSpPr>
        <xdr:cNvPr id="201" name="フローチャート: 端子 200">
          <a:extLst>
            <a:ext uri="{FF2B5EF4-FFF2-40B4-BE49-F238E27FC236}">
              <a16:creationId xmlns:a16="http://schemas.microsoft.com/office/drawing/2014/main" id="{9F103A01-D5AB-4CAA-BD92-D06708D30E99}"/>
            </a:ext>
          </a:extLst>
        </xdr:cNvPr>
        <xdr:cNvSpPr/>
      </xdr:nvSpPr>
      <xdr:spPr>
        <a:xfrm>
          <a:off x="4865375" y="29666841"/>
          <a:ext cx="722719" cy="22724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104027</xdr:colOff>
      <xdr:row>186</xdr:row>
      <xdr:rowOff>46513</xdr:rowOff>
    </xdr:from>
    <xdr:to>
      <xdr:col>28</xdr:col>
      <xdr:colOff>73548</xdr:colOff>
      <xdr:row>189</xdr:row>
      <xdr:rowOff>8919</xdr:rowOff>
    </xdr:to>
    <xdr:grpSp>
      <xdr:nvGrpSpPr>
        <xdr:cNvPr id="202" name="グループ化 201">
          <a:extLst>
            <a:ext uri="{FF2B5EF4-FFF2-40B4-BE49-F238E27FC236}">
              <a16:creationId xmlns:a16="http://schemas.microsoft.com/office/drawing/2014/main" id="{5AD8446F-4A70-4EC1-8260-1301BCB6883B}"/>
            </a:ext>
          </a:extLst>
        </xdr:cNvPr>
        <xdr:cNvGrpSpPr/>
      </xdr:nvGrpSpPr>
      <xdr:grpSpPr>
        <a:xfrm>
          <a:off x="4786181" y="33408330"/>
          <a:ext cx="1248896" cy="500288"/>
          <a:chOff x="1612900" y="2427475"/>
          <a:chExt cx="933032" cy="404625"/>
        </a:xfrm>
      </xdr:grpSpPr>
      <xdr:sp macro="" textlink="">
        <xdr:nvSpPr>
          <xdr:cNvPr id="203" name="フローチャート: 定義済み処理 202">
            <a:extLst>
              <a:ext uri="{FF2B5EF4-FFF2-40B4-BE49-F238E27FC236}">
                <a16:creationId xmlns:a16="http://schemas.microsoft.com/office/drawing/2014/main" id="{69101851-0124-4907-98C1-72F6D954CD1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4" name="正方形/長方形 203">
            <a:extLst>
              <a:ext uri="{FF2B5EF4-FFF2-40B4-BE49-F238E27FC236}">
                <a16:creationId xmlns:a16="http://schemas.microsoft.com/office/drawing/2014/main" id="{F46687D5-F9F0-448C-A0D1-96F1330D99BA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売掛金等の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情報抽出（</a:t>
            </a:r>
            <a:r>
              <a:rPr kumimoji="1" lang="en-US" altLang="ja-JP" sz="900"/>
              <a:t>FO</a:t>
            </a:r>
            <a:r>
              <a:rPr kumimoji="1" lang="ja-JP" altLang="en-US" sz="900"/>
              <a:t>）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123264</xdr:colOff>
      <xdr:row>191</xdr:row>
      <xdr:rowOff>163232</xdr:rowOff>
    </xdr:from>
    <xdr:to>
      <xdr:col>28</xdr:col>
      <xdr:colOff>7611</xdr:colOff>
      <xdr:row>194</xdr:row>
      <xdr:rowOff>112992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7CDBBA7B-41FF-4BF0-ACF9-3E7AC5C8458C}"/>
            </a:ext>
          </a:extLst>
        </xdr:cNvPr>
        <xdr:cNvGrpSpPr/>
      </xdr:nvGrpSpPr>
      <xdr:grpSpPr>
        <a:xfrm>
          <a:off x="4809228" y="34421519"/>
          <a:ext cx="1161817" cy="485738"/>
          <a:chOff x="1612900" y="2457450"/>
          <a:chExt cx="933032" cy="374650"/>
        </a:xfrm>
      </xdr:grpSpPr>
      <xdr:sp macro="" textlink="">
        <xdr:nvSpPr>
          <xdr:cNvPr id="206" name="フローチャート: 処理 205">
            <a:extLst>
              <a:ext uri="{FF2B5EF4-FFF2-40B4-BE49-F238E27FC236}">
                <a16:creationId xmlns:a16="http://schemas.microsoft.com/office/drawing/2014/main" id="{E26AA863-BC49-4A7F-9F2C-6132F55999F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7" name="正方形/長方形 48">
            <a:extLst>
              <a:ext uri="{FF2B5EF4-FFF2-40B4-BE49-F238E27FC236}">
                <a16:creationId xmlns:a16="http://schemas.microsoft.com/office/drawing/2014/main" id="{F3885450-CC87-405E-AA6A-27D7BFE5EBD7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80869</xdr:colOff>
      <xdr:row>189</xdr:row>
      <xdr:rowOff>3726</xdr:rowOff>
    </xdr:from>
    <xdr:to>
      <xdr:col>25</xdr:col>
      <xdr:colOff>88788</xdr:colOff>
      <xdr:row>191</xdr:row>
      <xdr:rowOff>163233</xdr:rowOff>
    </xdr:to>
    <xdr:cxnSp macro="">
      <xdr:nvCxnSpPr>
        <xdr:cNvPr id="208" name="コネクタ: カギ線 207">
          <a:extLst>
            <a:ext uri="{FF2B5EF4-FFF2-40B4-BE49-F238E27FC236}">
              <a16:creationId xmlns:a16="http://schemas.microsoft.com/office/drawing/2014/main" id="{A24C99C4-25AD-471E-85D3-D0C122990129}"/>
            </a:ext>
          </a:extLst>
        </xdr:cNvPr>
        <xdr:cNvCxnSpPr>
          <a:cxnSpLocks/>
          <a:stCxn id="204" idx="2"/>
          <a:endCxn id="206" idx="0"/>
        </xdr:cNvCxnSpPr>
      </xdr:nvCxnSpPr>
      <xdr:spPr>
        <a:xfrm rot="5400000">
          <a:off x="4962960" y="32611058"/>
          <a:ext cx="501430" cy="791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90852</xdr:colOff>
      <xdr:row>174</xdr:row>
      <xdr:rowOff>97928</xdr:rowOff>
    </xdr:from>
    <xdr:to>
      <xdr:col>25</xdr:col>
      <xdr:colOff>97889</xdr:colOff>
      <xdr:row>178</xdr:row>
      <xdr:rowOff>34936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89AC63BF-92D6-4A46-A0B4-18C34CD35B25}"/>
            </a:ext>
          </a:extLst>
        </xdr:cNvPr>
        <xdr:cNvCxnSpPr>
          <a:cxnSpLocks/>
          <a:stCxn id="201" idx="2"/>
          <a:endCxn id="293" idx="0"/>
        </xdr:cNvCxnSpPr>
      </xdr:nvCxnSpPr>
      <xdr:spPr>
        <a:xfrm rot="5400000">
          <a:off x="4912790" y="30200990"/>
          <a:ext cx="620854" cy="703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113569</xdr:colOff>
      <xdr:row>185</xdr:row>
      <xdr:rowOff>68389</xdr:rowOff>
    </xdr:from>
    <xdr:to>
      <xdr:col>41</xdr:col>
      <xdr:colOff>92906</xdr:colOff>
      <xdr:row>188</xdr:row>
      <xdr:rowOff>94642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0DFFB8B1-8680-4BEE-ABD1-B02EEAF93621}"/>
            </a:ext>
          </a:extLst>
        </xdr:cNvPr>
        <xdr:cNvGrpSpPr/>
      </xdr:nvGrpSpPr>
      <xdr:grpSpPr>
        <a:xfrm>
          <a:off x="7778393" y="33247102"/>
          <a:ext cx="1047705" cy="569850"/>
          <a:chOff x="7113625" y="2892425"/>
          <a:chExt cx="914621" cy="583743"/>
        </a:xfrm>
      </xdr:grpSpPr>
      <xdr:sp macro="" textlink="">
        <xdr:nvSpPr>
          <xdr:cNvPr id="211" name="フローチャート: 磁気ディスク 210">
            <a:extLst>
              <a:ext uri="{FF2B5EF4-FFF2-40B4-BE49-F238E27FC236}">
                <a16:creationId xmlns:a16="http://schemas.microsoft.com/office/drawing/2014/main" id="{A6314920-D159-4C36-885C-A7F7A70510E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12" name="正方形/長方形 211">
            <a:extLst>
              <a:ext uri="{FF2B5EF4-FFF2-40B4-BE49-F238E27FC236}">
                <a16:creationId xmlns:a16="http://schemas.microsoft.com/office/drawing/2014/main" id="{811E7616-CCD3-48FE-BC45-628636728BB8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78442</xdr:colOff>
      <xdr:row>194</xdr:row>
      <xdr:rowOff>0</xdr:rowOff>
    </xdr:from>
    <xdr:to>
      <xdr:col>29</xdr:col>
      <xdr:colOff>165058</xdr:colOff>
      <xdr:row>196</xdr:row>
      <xdr:rowOff>19423</xdr:rowOff>
    </xdr:to>
    <xdr:grpSp>
      <xdr:nvGrpSpPr>
        <xdr:cNvPr id="213" name="グループ化 212">
          <a:extLst>
            <a:ext uri="{FF2B5EF4-FFF2-40B4-BE49-F238E27FC236}">
              <a16:creationId xmlns:a16="http://schemas.microsoft.com/office/drawing/2014/main" id="{BECE7FA8-E37C-4D39-9452-1EF1F6990AF9}"/>
            </a:ext>
          </a:extLst>
        </xdr:cNvPr>
        <xdr:cNvGrpSpPr>
          <a:grpSpLocks noChangeAspect="1"/>
        </xdr:cNvGrpSpPr>
      </xdr:nvGrpSpPr>
      <xdr:grpSpPr>
        <a:xfrm>
          <a:off x="5614148" y="34794265"/>
          <a:ext cx="729161" cy="374201"/>
          <a:chOff x="2791278" y="18514786"/>
          <a:chExt cx="773793" cy="417285"/>
        </a:xfrm>
      </xdr:grpSpPr>
      <xdr:sp macro="" textlink="">
        <xdr:nvSpPr>
          <xdr:cNvPr id="214" name="フローチャート: 書類 213">
            <a:extLst>
              <a:ext uri="{FF2B5EF4-FFF2-40B4-BE49-F238E27FC236}">
                <a16:creationId xmlns:a16="http://schemas.microsoft.com/office/drawing/2014/main" id="{33D2369B-A939-4C3E-8FE5-CA53B57B86AC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11F94B13-3AEC-4BE9-9399-908D8485F176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107576</xdr:colOff>
      <xdr:row>206</xdr:row>
      <xdr:rowOff>141193</xdr:rowOff>
    </xdr:from>
    <xdr:to>
      <xdr:col>20</xdr:col>
      <xdr:colOff>199980</xdr:colOff>
      <xdr:row>209</xdr:row>
      <xdr:rowOff>94128</xdr:rowOff>
    </xdr:to>
    <xdr:grpSp>
      <xdr:nvGrpSpPr>
        <xdr:cNvPr id="216" name="グループ化 215">
          <a:extLst>
            <a:ext uri="{FF2B5EF4-FFF2-40B4-BE49-F238E27FC236}">
              <a16:creationId xmlns:a16="http://schemas.microsoft.com/office/drawing/2014/main" id="{14D1E9F1-3A32-4B56-81B7-A8B8810849EC}"/>
            </a:ext>
          </a:extLst>
        </xdr:cNvPr>
        <xdr:cNvGrpSpPr/>
      </xdr:nvGrpSpPr>
      <xdr:grpSpPr>
        <a:xfrm>
          <a:off x="3299347" y="37085082"/>
          <a:ext cx="1160773" cy="496532"/>
          <a:chOff x="1612900" y="2457450"/>
          <a:chExt cx="933032" cy="374650"/>
        </a:xfrm>
      </xdr:grpSpPr>
      <xdr:sp macro="" textlink="">
        <xdr:nvSpPr>
          <xdr:cNvPr id="217" name="フローチャート: 処理 216">
            <a:extLst>
              <a:ext uri="{FF2B5EF4-FFF2-40B4-BE49-F238E27FC236}">
                <a16:creationId xmlns:a16="http://schemas.microsoft.com/office/drawing/2014/main" id="{FA3066F5-5C9B-434B-B22D-0FB12412C14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18" name="正方形/長方形 48">
            <a:extLst>
              <a:ext uri="{FF2B5EF4-FFF2-40B4-BE49-F238E27FC236}">
                <a16:creationId xmlns:a16="http://schemas.microsoft.com/office/drawing/2014/main" id="{9724BA82-F2CD-4F47-8AE1-7FCF3F3A250A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79218</xdr:colOff>
      <xdr:row>194</xdr:row>
      <xdr:rowOff>112993</xdr:rowOff>
    </xdr:from>
    <xdr:to>
      <xdr:col>25</xdr:col>
      <xdr:colOff>80869</xdr:colOff>
      <xdr:row>199</xdr:row>
      <xdr:rowOff>163606</xdr:rowOff>
    </xdr:to>
    <xdr:cxnSp macro="">
      <xdr:nvCxnSpPr>
        <xdr:cNvPr id="222" name="コネクタ: カギ線 221">
          <a:extLst>
            <a:ext uri="{FF2B5EF4-FFF2-40B4-BE49-F238E27FC236}">
              <a16:creationId xmlns:a16="http://schemas.microsoft.com/office/drawing/2014/main" id="{6B2C91F7-6E48-428F-8F0A-68573C527950}"/>
            </a:ext>
          </a:extLst>
        </xdr:cNvPr>
        <xdr:cNvCxnSpPr>
          <a:cxnSpLocks/>
          <a:stCxn id="206" idx="2"/>
          <a:endCxn id="228" idx="0"/>
        </xdr:cNvCxnSpPr>
      </xdr:nvCxnSpPr>
      <xdr:spPr>
        <a:xfrm rot="5400000">
          <a:off x="4756180" y="33780262"/>
          <a:ext cx="905420" cy="165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123385</xdr:colOff>
      <xdr:row>199</xdr:row>
      <xdr:rowOff>163605</xdr:rowOff>
    </xdr:from>
    <xdr:to>
      <xdr:col>28</xdr:col>
      <xdr:colOff>4284</xdr:colOff>
      <xdr:row>202</xdr:row>
      <xdr:rowOff>122890</xdr:rowOff>
    </xdr:to>
    <xdr:grpSp>
      <xdr:nvGrpSpPr>
        <xdr:cNvPr id="223" name="グループ化 222">
          <a:extLst>
            <a:ext uri="{FF2B5EF4-FFF2-40B4-BE49-F238E27FC236}">
              <a16:creationId xmlns:a16="http://schemas.microsoft.com/office/drawing/2014/main" id="{CC2F3F53-EDC9-489D-933E-F8DEFB6A7A11}"/>
            </a:ext>
          </a:extLst>
        </xdr:cNvPr>
        <xdr:cNvGrpSpPr/>
      </xdr:nvGrpSpPr>
      <xdr:grpSpPr>
        <a:xfrm>
          <a:off x="4809349" y="35856245"/>
          <a:ext cx="1158369" cy="497168"/>
          <a:chOff x="1612900" y="2457450"/>
          <a:chExt cx="933032" cy="374650"/>
        </a:xfrm>
      </xdr:grpSpPr>
      <xdr:sp macro="" textlink="">
        <xdr:nvSpPr>
          <xdr:cNvPr id="228" name="フローチャート: 処理 227">
            <a:extLst>
              <a:ext uri="{FF2B5EF4-FFF2-40B4-BE49-F238E27FC236}">
                <a16:creationId xmlns:a16="http://schemas.microsoft.com/office/drawing/2014/main" id="{E55EFC83-E05C-4B6D-9115-2FE286BD502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29" name="正方形/長方形 48">
            <a:extLst>
              <a:ext uri="{FF2B5EF4-FFF2-40B4-BE49-F238E27FC236}">
                <a16:creationId xmlns:a16="http://schemas.microsoft.com/office/drawing/2014/main" id="{113E817C-36D4-432F-8D2A-D5F097A40639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資料提出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66673</xdr:colOff>
      <xdr:row>202</xdr:row>
      <xdr:rowOff>122890</xdr:rowOff>
    </xdr:from>
    <xdr:to>
      <xdr:col>25</xdr:col>
      <xdr:colOff>79219</xdr:colOff>
      <xdr:row>206</xdr:row>
      <xdr:rowOff>141193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457C9E28-BC2A-49CD-91BE-EACFF695DB6D}"/>
            </a:ext>
          </a:extLst>
        </xdr:cNvPr>
        <xdr:cNvCxnSpPr>
          <a:cxnSpLocks/>
          <a:stCxn id="228" idx="2"/>
          <a:endCxn id="217" idx="0"/>
        </xdr:cNvCxnSpPr>
      </xdr:nvCxnSpPr>
      <xdr:spPr>
        <a:xfrm rot="5400000">
          <a:off x="4132679" y="34332730"/>
          <a:ext cx="702149" cy="144862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73548</xdr:colOff>
      <xdr:row>187</xdr:row>
      <xdr:rowOff>97692</xdr:rowOff>
    </xdr:from>
    <xdr:to>
      <xdr:col>36</xdr:col>
      <xdr:colOff>200270</xdr:colOff>
      <xdr:row>187</xdr:row>
      <xdr:rowOff>110600</xdr:rowOff>
    </xdr:to>
    <xdr:cxnSp macro="">
      <xdr:nvCxnSpPr>
        <xdr:cNvPr id="237" name="直線矢印コネクタ 236">
          <a:extLst>
            <a:ext uri="{FF2B5EF4-FFF2-40B4-BE49-F238E27FC236}">
              <a16:creationId xmlns:a16="http://schemas.microsoft.com/office/drawing/2014/main" id="{21E97DAC-DF44-431A-B9E8-B8984C71C2B7}"/>
            </a:ext>
          </a:extLst>
        </xdr:cNvPr>
        <xdr:cNvCxnSpPr>
          <a:cxnSpLocks/>
          <a:endCxn id="204" idx="3"/>
        </xdr:cNvCxnSpPr>
      </xdr:nvCxnSpPr>
      <xdr:spPr>
        <a:xfrm flipH="1">
          <a:off x="5817856" y="32116346"/>
          <a:ext cx="1767952" cy="1290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134471</xdr:colOff>
      <xdr:row>212</xdr:row>
      <xdr:rowOff>56030</xdr:rowOff>
    </xdr:from>
    <xdr:to>
      <xdr:col>20</xdr:col>
      <xdr:colOff>36574</xdr:colOff>
      <xdr:row>213</xdr:row>
      <xdr:rowOff>93258</xdr:rowOff>
    </xdr:to>
    <xdr:sp macro="" textlink="">
      <xdr:nvSpPr>
        <xdr:cNvPr id="238" name="フローチャート: 端子 237">
          <a:extLst>
            <a:ext uri="{FF2B5EF4-FFF2-40B4-BE49-F238E27FC236}">
              <a16:creationId xmlns:a16="http://schemas.microsoft.com/office/drawing/2014/main" id="{10E5C862-A363-4AF5-B358-713DA8695948}"/>
            </a:ext>
          </a:extLst>
        </xdr:cNvPr>
        <xdr:cNvSpPr/>
      </xdr:nvSpPr>
      <xdr:spPr>
        <a:xfrm>
          <a:off x="1949824" y="22310912"/>
          <a:ext cx="708926" cy="20531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68156</xdr:colOff>
      <xdr:row>209</xdr:row>
      <xdr:rowOff>94128</xdr:rowOff>
    </xdr:from>
    <xdr:to>
      <xdr:col>18</xdr:col>
      <xdr:colOff>85521</xdr:colOff>
      <xdr:row>212</xdr:row>
      <xdr:rowOff>56030</xdr:rowOff>
    </xdr:to>
    <xdr:cxnSp macro="">
      <xdr:nvCxnSpPr>
        <xdr:cNvPr id="239" name="コネクタ: カギ線 238">
          <a:extLst>
            <a:ext uri="{FF2B5EF4-FFF2-40B4-BE49-F238E27FC236}">
              <a16:creationId xmlns:a16="http://schemas.microsoft.com/office/drawing/2014/main" id="{F8B280DD-0782-4191-B627-3DA714135A4D}"/>
            </a:ext>
          </a:extLst>
        </xdr:cNvPr>
        <xdr:cNvCxnSpPr>
          <a:cxnSpLocks/>
          <a:stCxn id="217" idx="2"/>
          <a:endCxn id="238" idx="0"/>
        </xdr:cNvCxnSpPr>
      </xdr:nvCxnSpPr>
      <xdr:spPr>
        <a:xfrm rot="16200000" flipH="1">
          <a:off x="2062521" y="22065971"/>
          <a:ext cx="466166" cy="2371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85546</xdr:colOff>
      <xdr:row>178</xdr:row>
      <xdr:rowOff>13944</xdr:rowOff>
    </xdr:from>
    <xdr:to>
      <xdr:col>28</xdr:col>
      <xdr:colOff>105085</xdr:colOff>
      <xdr:row>180</xdr:row>
      <xdr:rowOff>139577</xdr:rowOff>
    </xdr:to>
    <xdr:grpSp>
      <xdr:nvGrpSpPr>
        <xdr:cNvPr id="292" name="グループ化 291">
          <a:extLst>
            <a:ext uri="{FF2B5EF4-FFF2-40B4-BE49-F238E27FC236}">
              <a16:creationId xmlns:a16="http://schemas.microsoft.com/office/drawing/2014/main" id="{D537B45D-11D1-41B1-926D-F38217B475BF}"/>
            </a:ext>
          </a:extLst>
        </xdr:cNvPr>
        <xdr:cNvGrpSpPr/>
      </xdr:nvGrpSpPr>
      <xdr:grpSpPr>
        <a:xfrm>
          <a:off x="4771510" y="31943313"/>
          <a:ext cx="1293199" cy="476601"/>
          <a:chOff x="1607165" y="2439483"/>
          <a:chExt cx="977299" cy="400203"/>
        </a:xfrm>
      </xdr:grpSpPr>
      <xdr:sp macro="" textlink="">
        <xdr:nvSpPr>
          <xdr:cNvPr id="293" name="フローチャート: 定義済み処理 292">
            <a:extLst>
              <a:ext uri="{FF2B5EF4-FFF2-40B4-BE49-F238E27FC236}">
                <a16:creationId xmlns:a16="http://schemas.microsoft.com/office/drawing/2014/main" id="{21714F85-FB0A-4A05-AE32-EFB7ED4060E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94" name="正方形/長方形 293">
            <a:extLst>
              <a:ext uri="{FF2B5EF4-FFF2-40B4-BE49-F238E27FC236}">
                <a16:creationId xmlns:a16="http://schemas.microsoft.com/office/drawing/2014/main" id="{520D0599-040D-429F-89C3-98826F6B2178}"/>
              </a:ext>
            </a:extLst>
          </xdr:cNvPr>
          <xdr:cNvSpPr/>
        </xdr:nvSpPr>
        <xdr:spPr>
          <a:xfrm>
            <a:off x="1607165" y="2439483"/>
            <a:ext cx="977299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売掛金等の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情報抽出（</a:t>
            </a:r>
            <a:r>
              <a:rPr kumimoji="1" lang="en-US" altLang="ja-JP" sz="900"/>
              <a:t>FO</a:t>
            </a:r>
            <a:r>
              <a:rPr kumimoji="1" lang="ja-JP" altLang="en-US" sz="900"/>
              <a:t>以外）</a:t>
            </a:r>
            <a:endParaRPr kumimoji="1" lang="en-US" altLang="ja-JP" sz="900"/>
          </a:p>
        </xdr:txBody>
      </xdr:sp>
    </xdr:grpSp>
    <xdr:clientData/>
  </xdr:twoCellAnchor>
  <xdr:twoCellAnchor>
    <xdr:from>
      <xdr:col>43</xdr:col>
      <xdr:colOff>91371</xdr:colOff>
      <xdr:row>176</xdr:row>
      <xdr:rowOff>31605</xdr:rowOff>
    </xdr:from>
    <xdr:to>
      <xdr:col>48</xdr:col>
      <xdr:colOff>140130</xdr:colOff>
      <xdr:row>180</xdr:row>
      <xdr:rowOff>18452</xdr:rowOff>
    </xdr:to>
    <xdr:grpSp>
      <xdr:nvGrpSpPr>
        <xdr:cNvPr id="295" name="グループ化 294">
          <a:extLst>
            <a:ext uri="{FF2B5EF4-FFF2-40B4-BE49-F238E27FC236}">
              <a16:creationId xmlns:a16="http://schemas.microsoft.com/office/drawing/2014/main" id="{25DC9BE5-B04F-4187-A16B-BD2D594D76EC}"/>
            </a:ext>
          </a:extLst>
        </xdr:cNvPr>
        <xdr:cNvGrpSpPr>
          <a:grpSpLocks noChangeAspect="1"/>
        </xdr:cNvGrpSpPr>
      </xdr:nvGrpSpPr>
      <xdr:grpSpPr>
        <a:xfrm>
          <a:off x="9250387" y="31596671"/>
          <a:ext cx="1105698" cy="709738"/>
          <a:chOff x="7112000" y="2892425"/>
          <a:chExt cx="873125" cy="584982"/>
        </a:xfrm>
      </xdr:grpSpPr>
      <xdr:sp macro="" textlink="">
        <xdr:nvSpPr>
          <xdr:cNvPr id="303" name="フローチャート: 磁気ディスク 302">
            <a:extLst>
              <a:ext uri="{FF2B5EF4-FFF2-40B4-BE49-F238E27FC236}">
                <a16:creationId xmlns:a16="http://schemas.microsoft.com/office/drawing/2014/main" id="{11234168-38F3-44AA-BF23-AC675B360C6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04" name="正方形/長方形 303">
            <a:extLst>
              <a:ext uri="{FF2B5EF4-FFF2-40B4-BE49-F238E27FC236}">
                <a16:creationId xmlns:a16="http://schemas.microsoft.com/office/drawing/2014/main" id="{0A48581F-4012-4057-8B36-F2C466A961CC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</a:p>
        </xdr:txBody>
      </xdr:sp>
    </xdr:grpSp>
    <xdr:clientData/>
  </xdr:twoCellAnchor>
  <xdr:twoCellAnchor>
    <xdr:from>
      <xdr:col>27</xdr:col>
      <xdr:colOff>199430</xdr:colOff>
      <xdr:row>179</xdr:row>
      <xdr:rowOff>57150</xdr:rowOff>
    </xdr:from>
    <xdr:to>
      <xdr:col>43</xdr:col>
      <xdr:colOff>133350</xdr:colOff>
      <xdr:row>179</xdr:row>
      <xdr:rowOff>82920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94A2C882-C1CA-414B-B53B-7779C7B7851B}"/>
            </a:ext>
          </a:extLst>
        </xdr:cNvPr>
        <xdr:cNvCxnSpPr>
          <a:cxnSpLocks/>
          <a:endCxn id="293" idx="3"/>
        </xdr:cNvCxnSpPr>
      </xdr:nvCxnSpPr>
      <xdr:spPr>
        <a:xfrm flipH="1">
          <a:off x="5600105" y="30803850"/>
          <a:ext cx="3134320" cy="2577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22412</xdr:colOff>
      <xdr:row>202</xdr:row>
      <xdr:rowOff>22412</xdr:rowOff>
    </xdr:from>
    <xdr:to>
      <xdr:col>29</xdr:col>
      <xdr:colOff>109028</xdr:colOff>
      <xdr:row>204</xdr:row>
      <xdr:rowOff>41835</xdr:rowOff>
    </xdr:to>
    <xdr:grpSp>
      <xdr:nvGrpSpPr>
        <xdr:cNvPr id="324" name="グループ化 323">
          <a:extLst>
            <a:ext uri="{FF2B5EF4-FFF2-40B4-BE49-F238E27FC236}">
              <a16:creationId xmlns:a16="http://schemas.microsoft.com/office/drawing/2014/main" id="{2FFFF04F-3869-4E6D-A331-DB813D09A170}"/>
            </a:ext>
          </a:extLst>
        </xdr:cNvPr>
        <xdr:cNvGrpSpPr>
          <a:grpSpLocks noChangeAspect="1"/>
        </xdr:cNvGrpSpPr>
      </xdr:nvGrpSpPr>
      <xdr:grpSpPr>
        <a:xfrm>
          <a:off x="5554308" y="36247220"/>
          <a:ext cx="727256" cy="381821"/>
          <a:chOff x="2791278" y="18514786"/>
          <a:chExt cx="773793" cy="417285"/>
        </a:xfrm>
      </xdr:grpSpPr>
      <xdr:sp macro="" textlink="">
        <xdr:nvSpPr>
          <xdr:cNvPr id="325" name="フローチャート: 書類 324">
            <a:extLst>
              <a:ext uri="{FF2B5EF4-FFF2-40B4-BE49-F238E27FC236}">
                <a16:creationId xmlns:a16="http://schemas.microsoft.com/office/drawing/2014/main" id="{F7BC3220-2903-49A3-BBD3-C5098499EF61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6" name="正方形/長方形 325">
            <a:extLst>
              <a:ext uri="{FF2B5EF4-FFF2-40B4-BE49-F238E27FC236}">
                <a16:creationId xmlns:a16="http://schemas.microsoft.com/office/drawing/2014/main" id="{9000EEC0-8624-4694-B294-DA77FCB27802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88789</xdr:colOff>
      <xdr:row>180</xdr:row>
      <xdr:rowOff>130714</xdr:rowOff>
    </xdr:from>
    <xdr:to>
      <xdr:col>25</xdr:col>
      <xdr:colOff>90853</xdr:colOff>
      <xdr:row>186</xdr:row>
      <xdr:rowOff>46512</xdr:rowOff>
    </xdr:to>
    <xdr:cxnSp macro="">
      <xdr:nvCxnSpPr>
        <xdr:cNvPr id="331" name="コネクタ: カギ線 330">
          <a:extLst>
            <a:ext uri="{FF2B5EF4-FFF2-40B4-BE49-F238E27FC236}">
              <a16:creationId xmlns:a16="http://schemas.microsoft.com/office/drawing/2014/main" id="{7FB681BC-313B-4396-8A40-DF550C0B630B}"/>
            </a:ext>
          </a:extLst>
        </xdr:cNvPr>
        <xdr:cNvCxnSpPr>
          <a:cxnSpLocks/>
          <a:stCxn id="293" idx="2"/>
          <a:endCxn id="204" idx="0"/>
        </xdr:cNvCxnSpPr>
      </xdr:nvCxnSpPr>
      <xdr:spPr>
        <a:xfrm rot="5400000">
          <a:off x="4747883" y="31422389"/>
          <a:ext cx="941567" cy="206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123265</xdr:colOff>
      <xdr:row>138</xdr:row>
      <xdr:rowOff>11291</xdr:rowOff>
    </xdr:from>
    <xdr:to>
      <xdr:col>48</xdr:col>
      <xdr:colOff>149009</xdr:colOff>
      <xdr:row>142</xdr:row>
      <xdr:rowOff>1766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36D20131-1B94-4A29-8D0A-13BDED0007F6}"/>
            </a:ext>
          </a:extLst>
        </xdr:cNvPr>
        <xdr:cNvGrpSpPr>
          <a:grpSpLocks noChangeAspect="1"/>
        </xdr:cNvGrpSpPr>
      </xdr:nvGrpSpPr>
      <xdr:grpSpPr>
        <a:xfrm>
          <a:off x="9280376" y="24766990"/>
          <a:ext cx="1088398" cy="705747"/>
          <a:chOff x="7112000" y="2892425"/>
          <a:chExt cx="873125" cy="584982"/>
        </a:xfrm>
      </xdr:grpSpPr>
      <xdr:sp macro="" textlink="">
        <xdr:nvSpPr>
          <xdr:cNvPr id="194" name="フローチャート: 磁気ディスク 193">
            <a:extLst>
              <a:ext uri="{FF2B5EF4-FFF2-40B4-BE49-F238E27FC236}">
                <a16:creationId xmlns:a16="http://schemas.microsoft.com/office/drawing/2014/main" id="{D21BD9E3-567C-444B-BDD7-8460816D4BE9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6" name="正方形/長方形 195">
            <a:extLst>
              <a:ext uri="{FF2B5EF4-FFF2-40B4-BE49-F238E27FC236}">
                <a16:creationId xmlns:a16="http://schemas.microsoft.com/office/drawing/2014/main" id="{5BB0D07F-23A7-46DD-B6CD-2213C9B53979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</a:p>
        </xdr:txBody>
      </xdr:sp>
    </xdr:grpSp>
    <xdr:clientData/>
  </xdr:twoCellAnchor>
  <xdr:twoCellAnchor>
    <xdr:from>
      <xdr:col>43</xdr:col>
      <xdr:colOff>124759</xdr:colOff>
      <xdr:row>135</xdr:row>
      <xdr:rowOff>112059</xdr:rowOff>
    </xdr:from>
    <xdr:to>
      <xdr:col>48</xdr:col>
      <xdr:colOff>143124</xdr:colOff>
      <xdr:row>139</xdr:row>
      <xdr:rowOff>70496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46EF7298-2326-4BDB-A663-4873A3D97E15}"/>
            </a:ext>
          </a:extLst>
        </xdr:cNvPr>
        <xdr:cNvGrpSpPr>
          <a:grpSpLocks noChangeAspect="1"/>
        </xdr:cNvGrpSpPr>
      </xdr:nvGrpSpPr>
      <xdr:grpSpPr>
        <a:xfrm>
          <a:off x="9281870" y="24327971"/>
          <a:ext cx="1079114" cy="673708"/>
          <a:chOff x="7112000" y="2892425"/>
          <a:chExt cx="873125" cy="584982"/>
        </a:xfrm>
      </xdr:grpSpPr>
      <xdr:sp macro="" textlink="">
        <xdr:nvSpPr>
          <xdr:cNvPr id="219" name="フローチャート: 磁気ディスク 218">
            <a:extLst>
              <a:ext uri="{FF2B5EF4-FFF2-40B4-BE49-F238E27FC236}">
                <a16:creationId xmlns:a16="http://schemas.microsoft.com/office/drawing/2014/main" id="{A25EC716-BF21-4CDC-A5E5-F5046360FDE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0532BCD9-1705-437C-A2B4-67D47CBE0E8F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19</xdr:col>
      <xdr:colOff>155106</xdr:colOff>
      <xdr:row>135</xdr:row>
      <xdr:rowOff>106051</xdr:rowOff>
    </xdr:from>
    <xdr:to>
      <xdr:col>48</xdr:col>
      <xdr:colOff>203103</xdr:colOff>
      <xdr:row>143</xdr:row>
      <xdr:rowOff>2234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4E1C133B-ED34-411B-8FB5-3CD74CD8A66B}"/>
            </a:ext>
          </a:extLst>
        </xdr:cNvPr>
        <xdr:cNvSpPr/>
      </xdr:nvSpPr>
      <xdr:spPr>
        <a:xfrm>
          <a:off x="4053029" y="23234705"/>
          <a:ext cx="5997459" cy="1263875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73</xdr:col>
      <xdr:colOff>141939</xdr:colOff>
      <xdr:row>77</xdr:row>
      <xdr:rowOff>146796</xdr:rowOff>
    </xdr:from>
    <xdr:to>
      <xdr:col>101</xdr:col>
      <xdr:colOff>31936</xdr:colOff>
      <xdr:row>86</xdr:row>
      <xdr:rowOff>7471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1E2F7DB5-6A37-4E37-BCF2-86CE27C1C1D0}"/>
            </a:ext>
          </a:extLst>
        </xdr:cNvPr>
        <xdr:cNvSpPr/>
      </xdr:nvSpPr>
      <xdr:spPr>
        <a:xfrm>
          <a:off x="13454527" y="13829178"/>
          <a:ext cx="5537762" cy="1373469"/>
        </a:xfrm>
        <a:prstGeom prst="wedgeRoundRectCallout">
          <a:avLst>
            <a:gd name="adj1" fmla="val -57224"/>
            <a:gd name="adj2" fmla="val 2015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クレジット精算金額：カスタマーサービス</a:t>
          </a:r>
          <a:r>
            <a:rPr kumimoji="1" lang="en-US" altLang="ja-JP" sz="1100" b="1"/>
            <a:t>G</a:t>
          </a:r>
          <a:r>
            <a:rPr kumimoji="1" lang="ja-JP" altLang="en-US" sz="1100" b="1"/>
            <a:t>が担当</a:t>
          </a:r>
          <a:endParaRPr kumimoji="1" lang="en-US" altLang="ja-JP" sz="1100" b="1"/>
        </a:p>
        <a:p>
          <a:pPr algn="l"/>
          <a:r>
            <a:rPr kumimoji="1" lang="ja-JP" altLang="en-US" sz="1100" b="1"/>
            <a:t>売掛金以外の債権残高：事務管理</a:t>
          </a:r>
          <a:r>
            <a:rPr kumimoji="1" lang="en-US" altLang="ja-JP" sz="1100" b="1"/>
            <a:t>G</a:t>
          </a:r>
          <a:r>
            <a:rPr kumimoji="1" lang="ja-JP" altLang="en-US" sz="1100" b="1"/>
            <a:t>で確認している（</a:t>
          </a:r>
          <a:r>
            <a:rPr kumimoji="1" lang="en-US" altLang="ja-JP" sz="1100" b="1"/>
            <a:t>SSJ</a:t>
          </a:r>
          <a:r>
            <a:rPr kumimoji="1" lang="ja-JP" altLang="en-US" sz="1100" b="1"/>
            <a:t>）</a:t>
          </a:r>
          <a:endParaRPr kumimoji="1" lang="en-US" altLang="ja-JP" sz="1100" b="1"/>
        </a:p>
        <a:p>
          <a:pPr algn="l"/>
          <a:r>
            <a:rPr kumimoji="1" lang="ja-JP" altLang="en-US" sz="1100" b="1"/>
            <a:t>　→毎月残高を</a:t>
          </a:r>
          <a:r>
            <a:rPr kumimoji="1" lang="en-US" altLang="ja-JP" sz="1100" b="1"/>
            <a:t>R/3</a:t>
          </a:r>
          <a:r>
            <a:rPr kumimoji="1" lang="ja-JP" altLang="en-US" sz="1100" b="1"/>
            <a:t>から抽出して取引先毎の残高明細を出力している。</a:t>
          </a:r>
          <a:endParaRPr kumimoji="1" lang="en-US" altLang="ja-JP" sz="1100" b="1"/>
        </a:p>
        <a:p>
          <a:pPr algn="l"/>
          <a:r>
            <a:rPr kumimoji="1" lang="ja-JP" altLang="en-US" sz="1100" b="1"/>
            <a:t>　　</a:t>
          </a:r>
          <a:r>
            <a:rPr kumimoji="1" lang="en-US" altLang="ja-JP" sz="1100" b="1"/>
            <a:t>※</a:t>
          </a:r>
          <a:r>
            <a:rPr kumimoji="1" lang="ja-JP" altLang="en-US" sz="1100" b="1"/>
            <a:t>決算</a:t>
          </a:r>
          <a:r>
            <a:rPr kumimoji="1" lang="en-US" altLang="ja-JP" sz="1100" b="1"/>
            <a:t>G</a:t>
          </a:r>
          <a:r>
            <a:rPr kumimoji="1" lang="ja-JP" altLang="en-US" sz="1100" b="1"/>
            <a:t>への報告資料</a:t>
          </a:r>
        </a:p>
      </xdr:txBody>
    </xdr:sp>
    <xdr:clientData/>
  </xdr:twoCellAnchor>
  <xdr:twoCellAnchor>
    <xdr:from>
      <xdr:col>24</xdr:col>
      <xdr:colOff>6449</xdr:colOff>
      <xdr:row>55</xdr:row>
      <xdr:rowOff>44824</xdr:rowOff>
    </xdr:from>
    <xdr:to>
      <xdr:col>27</xdr:col>
      <xdr:colOff>110497</xdr:colOff>
      <xdr:row>56</xdr:row>
      <xdr:rowOff>94752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1F8A27D7-08B8-4457-B7F5-C9DA20818890}"/>
            </a:ext>
          </a:extLst>
        </xdr:cNvPr>
        <xdr:cNvSpPr/>
      </xdr:nvSpPr>
      <xdr:spPr>
        <a:xfrm>
          <a:off x="4839706" y="9673238"/>
          <a:ext cx="708205" cy="2241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36</xdr:col>
      <xdr:colOff>108883</xdr:colOff>
      <xdr:row>59</xdr:row>
      <xdr:rowOff>70965</xdr:rowOff>
    </xdr:from>
    <xdr:to>
      <xdr:col>41</xdr:col>
      <xdr:colOff>113620</xdr:colOff>
      <xdr:row>62</xdr:row>
      <xdr:rowOff>167254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460A531-60D8-43CB-9B3A-EE9B8A55F7F3}"/>
            </a:ext>
          </a:extLst>
        </xdr:cNvPr>
        <xdr:cNvGrpSpPr/>
      </xdr:nvGrpSpPr>
      <xdr:grpSpPr>
        <a:xfrm>
          <a:off x="7771802" y="10669825"/>
          <a:ext cx="1071200" cy="639886"/>
          <a:chOff x="7113625" y="2892425"/>
          <a:chExt cx="914621" cy="583743"/>
        </a:xfrm>
      </xdr:grpSpPr>
      <xdr:sp macro="" textlink="">
        <xdr:nvSpPr>
          <xdr:cNvPr id="7" name="フローチャート: 磁気ディスク 6">
            <a:extLst>
              <a:ext uri="{FF2B5EF4-FFF2-40B4-BE49-F238E27FC236}">
                <a16:creationId xmlns:a16="http://schemas.microsoft.com/office/drawing/2014/main" id="{D8371414-64AA-BEEE-BC83-97B41BE3085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19976398-390C-F7EB-B0F6-50EEBD9243B7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69735</xdr:colOff>
      <xdr:row>61</xdr:row>
      <xdr:rowOff>1107</xdr:rowOff>
    </xdr:from>
    <xdr:to>
      <xdr:col>37</xdr:col>
      <xdr:colOff>6627</xdr:colOff>
      <xdr:row>61</xdr:row>
      <xdr:rowOff>8714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68DED499-9AFD-4029-A9F8-270C0E6A3A85}"/>
            </a:ext>
          </a:extLst>
        </xdr:cNvPr>
        <xdr:cNvCxnSpPr>
          <a:cxnSpLocks/>
          <a:stCxn id="7" idx="2"/>
          <a:endCxn id="11" idx="3"/>
        </xdr:cNvCxnSpPr>
      </xdr:nvCxnSpPr>
      <xdr:spPr>
        <a:xfrm flipH="1" flipV="1">
          <a:off x="5759335" y="10510357"/>
          <a:ext cx="1765692" cy="760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156313</xdr:colOff>
      <xdr:row>59</xdr:row>
      <xdr:rowOff>87969</xdr:rowOff>
    </xdr:from>
    <xdr:to>
      <xdr:col>28</xdr:col>
      <xdr:colOff>125833</xdr:colOff>
      <xdr:row>62</xdr:row>
      <xdr:rowOff>50375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F0B0261F-5306-4F6B-AD0B-EFF513643455}"/>
            </a:ext>
          </a:extLst>
        </xdr:cNvPr>
        <xdr:cNvGrpSpPr/>
      </xdr:nvGrpSpPr>
      <xdr:grpSpPr>
        <a:xfrm>
          <a:off x="4842277" y="10692544"/>
          <a:ext cx="1248895" cy="500288"/>
          <a:chOff x="1612900" y="2427475"/>
          <a:chExt cx="933032" cy="404625"/>
        </a:xfrm>
      </xdr:grpSpPr>
      <xdr:sp macro="" textlink="">
        <xdr:nvSpPr>
          <xdr:cNvPr id="11" name="フローチャート: 定義済み処理 10">
            <a:extLst>
              <a:ext uri="{FF2B5EF4-FFF2-40B4-BE49-F238E27FC236}">
                <a16:creationId xmlns:a16="http://schemas.microsoft.com/office/drawing/2014/main" id="{DDA47070-F21C-D382-69AF-81A0F0081C4A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D59BC382-3DE5-BFE8-DEB0-11B79A1ABAA9}"/>
              </a:ext>
            </a:extLst>
          </xdr:cNvPr>
          <xdr:cNvSpPr/>
        </xdr:nvSpPr>
        <xdr:spPr>
          <a:xfrm>
            <a:off x="1612900" y="2427475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クレジット精算金額明細情報抽出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157282</xdr:colOff>
      <xdr:row>56</xdr:row>
      <xdr:rowOff>94752</xdr:rowOff>
    </xdr:from>
    <xdr:to>
      <xdr:col>25</xdr:col>
      <xdr:colOff>159167</xdr:colOff>
      <xdr:row>59</xdr:row>
      <xdr:rowOff>120717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736C5D7A-5D2D-4920-A28E-AF2774A1861E}"/>
            </a:ext>
          </a:extLst>
        </xdr:cNvPr>
        <xdr:cNvCxnSpPr>
          <a:cxnSpLocks/>
          <a:stCxn id="5" idx="2"/>
          <a:endCxn id="11" idx="0"/>
        </xdr:cNvCxnSpPr>
      </xdr:nvCxnSpPr>
      <xdr:spPr>
        <a:xfrm rot="5400000">
          <a:off x="4918628" y="10170635"/>
          <a:ext cx="548479" cy="188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6902</xdr:colOff>
      <xdr:row>70</xdr:row>
      <xdr:rowOff>141247</xdr:rowOff>
    </xdr:from>
    <xdr:to>
      <xdr:col>27</xdr:col>
      <xdr:colOff>106414</xdr:colOff>
      <xdr:row>72</xdr:row>
      <xdr:rowOff>19912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AB62A6F2-9290-48D9-92FA-EC5F6A2B275F}"/>
            </a:ext>
          </a:extLst>
        </xdr:cNvPr>
        <xdr:cNvSpPr/>
      </xdr:nvSpPr>
      <xdr:spPr>
        <a:xfrm>
          <a:off x="3308902" y="12736659"/>
          <a:ext cx="682218" cy="22231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175552</xdr:colOff>
      <xdr:row>64</xdr:row>
      <xdr:rowOff>78440</xdr:rowOff>
    </xdr:from>
    <xdr:to>
      <xdr:col>28</xdr:col>
      <xdr:colOff>73719</xdr:colOff>
      <xdr:row>67</xdr:row>
      <xdr:rowOff>40901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22CF6258-E9FF-43B0-A1E9-43EF915922A5}"/>
            </a:ext>
          </a:extLst>
        </xdr:cNvPr>
        <xdr:cNvGrpSpPr/>
      </xdr:nvGrpSpPr>
      <xdr:grpSpPr>
        <a:xfrm>
          <a:off x="4855801" y="11575675"/>
          <a:ext cx="1179447" cy="500344"/>
          <a:chOff x="1612900" y="2457450"/>
          <a:chExt cx="933032" cy="374650"/>
        </a:xfrm>
      </xdr:grpSpPr>
      <xdr:sp macro="" textlink="">
        <xdr:nvSpPr>
          <xdr:cNvPr id="16" name="フローチャート: 処理 15">
            <a:extLst>
              <a:ext uri="{FF2B5EF4-FFF2-40B4-BE49-F238E27FC236}">
                <a16:creationId xmlns:a16="http://schemas.microsoft.com/office/drawing/2014/main" id="{0E340301-EA31-BE47-E680-FCFC3B63859C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" name="正方形/長方形 48">
            <a:extLst>
              <a:ext uri="{FF2B5EF4-FFF2-40B4-BE49-F238E27FC236}">
                <a16:creationId xmlns:a16="http://schemas.microsoft.com/office/drawing/2014/main" id="{D1782887-2C87-5983-9F50-8A03F43E9713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クレジット精算金額明細確認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26</xdr:col>
      <xdr:colOff>42199</xdr:colOff>
      <xdr:row>66</xdr:row>
      <xdr:rowOff>108883</xdr:rowOff>
    </xdr:from>
    <xdr:to>
      <xdr:col>29</xdr:col>
      <xdr:colOff>124520</xdr:colOff>
      <xdr:row>68</xdr:row>
      <xdr:rowOff>128306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9660E085-96D5-4522-A725-BD0C6396F44E}"/>
            </a:ext>
          </a:extLst>
        </xdr:cNvPr>
        <xdr:cNvGrpSpPr>
          <a:grpSpLocks noChangeAspect="1"/>
        </xdr:cNvGrpSpPr>
      </xdr:nvGrpSpPr>
      <xdr:grpSpPr>
        <a:xfrm>
          <a:off x="5579810" y="11962802"/>
          <a:ext cx="721056" cy="383726"/>
          <a:chOff x="2791278" y="18514786"/>
          <a:chExt cx="773793" cy="417285"/>
        </a:xfrm>
      </xdr:grpSpPr>
      <xdr:sp macro="" textlink="">
        <xdr:nvSpPr>
          <xdr:cNvPr id="19" name="フローチャート: 書類 18">
            <a:extLst>
              <a:ext uri="{FF2B5EF4-FFF2-40B4-BE49-F238E27FC236}">
                <a16:creationId xmlns:a16="http://schemas.microsoft.com/office/drawing/2014/main" id="{6BD35A58-0965-8B57-096C-676EBDB023BD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51985AB4-E408-2F32-5B8C-B0AAB39B5189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管理台帳</a:t>
            </a:r>
          </a:p>
        </xdr:txBody>
      </xdr:sp>
    </xdr:grpSp>
    <xdr:clientData/>
  </xdr:twoCellAnchor>
  <xdr:twoCellAnchor>
    <xdr:from>
      <xdr:col>25</xdr:col>
      <xdr:colOff>140096</xdr:colOff>
      <xdr:row>62</xdr:row>
      <xdr:rowOff>45164</xdr:rowOff>
    </xdr:from>
    <xdr:to>
      <xdr:col>25</xdr:col>
      <xdr:colOff>141074</xdr:colOff>
      <xdr:row>64</xdr:row>
      <xdr:rowOff>78439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A8694F30-D98A-42C9-9F95-08EF1C1449B9}"/>
            </a:ext>
          </a:extLst>
        </xdr:cNvPr>
        <xdr:cNvCxnSpPr>
          <a:cxnSpLocks/>
          <a:stCxn id="12" idx="2"/>
          <a:endCxn id="16" idx="0"/>
        </xdr:cNvCxnSpPr>
      </xdr:nvCxnSpPr>
      <xdr:spPr>
        <a:xfrm rot="5400000">
          <a:off x="5032497" y="10913463"/>
          <a:ext cx="376175" cy="97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139351</xdr:colOff>
      <xdr:row>67</xdr:row>
      <xdr:rowOff>40900</xdr:rowOff>
    </xdr:from>
    <xdr:to>
      <xdr:col>25</xdr:col>
      <xdr:colOff>153776</xdr:colOff>
      <xdr:row>70</xdr:row>
      <xdr:rowOff>141246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9DAD6D44-87DA-4F13-989F-D0CB5EC45036}"/>
            </a:ext>
          </a:extLst>
        </xdr:cNvPr>
        <xdr:cNvCxnSpPr>
          <a:cxnSpLocks/>
          <a:stCxn id="16" idx="2"/>
          <a:endCxn id="14" idx="0"/>
        </xdr:cNvCxnSpPr>
      </xdr:nvCxnSpPr>
      <xdr:spPr>
        <a:xfrm rot="16200000" flipH="1">
          <a:off x="4522714" y="12077890"/>
          <a:ext cx="959463" cy="1442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112059</xdr:colOff>
      <xdr:row>83</xdr:row>
      <xdr:rowOff>123264</xdr:rowOff>
    </xdr:from>
    <xdr:to>
      <xdr:col>38</xdr:col>
      <xdr:colOff>152416</xdr:colOff>
      <xdr:row>86</xdr:row>
      <xdr:rowOff>29882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619A7F4E-D198-461D-949C-49A7B8C97005}"/>
            </a:ext>
          </a:extLst>
        </xdr:cNvPr>
        <xdr:cNvGrpSpPr>
          <a:grpSpLocks noChangeAspect="1"/>
        </xdr:cNvGrpSpPr>
      </xdr:nvGrpSpPr>
      <xdr:grpSpPr>
        <a:xfrm>
          <a:off x="7351059" y="15017787"/>
          <a:ext cx="892004" cy="440690"/>
          <a:chOff x="2791278" y="18514786"/>
          <a:chExt cx="773793" cy="417285"/>
        </a:xfrm>
      </xdr:grpSpPr>
      <xdr:sp macro="" textlink="">
        <xdr:nvSpPr>
          <xdr:cNvPr id="28" name="フローチャート: 書類 27">
            <a:extLst>
              <a:ext uri="{FF2B5EF4-FFF2-40B4-BE49-F238E27FC236}">
                <a16:creationId xmlns:a16="http://schemas.microsoft.com/office/drawing/2014/main" id="{7020A0EA-D482-1245-2080-FE45F76FBA9D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3597BED4-591B-8EBE-EF05-D1559241060A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未処理トランザクション</a:t>
            </a:r>
          </a:p>
        </xdr:txBody>
      </xdr:sp>
    </xdr:grpSp>
    <xdr:clientData/>
  </xdr:twoCellAnchor>
  <xdr:twoCellAnchor>
    <xdr:from>
      <xdr:col>29</xdr:col>
      <xdr:colOff>113474</xdr:colOff>
      <xdr:row>91</xdr:row>
      <xdr:rowOff>108318</xdr:rowOff>
    </xdr:from>
    <xdr:to>
      <xdr:col>35</xdr:col>
      <xdr:colOff>4427</xdr:colOff>
      <xdr:row>94</xdr:row>
      <xdr:rowOff>70778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26525BD1-481A-BF45-DAF8-A44FA7B2B5D0}"/>
            </a:ext>
          </a:extLst>
        </xdr:cNvPr>
        <xdr:cNvGrpSpPr/>
      </xdr:nvGrpSpPr>
      <xdr:grpSpPr>
        <a:xfrm>
          <a:off x="6287915" y="16433384"/>
          <a:ext cx="1170329" cy="500342"/>
          <a:chOff x="1612900" y="2457450"/>
          <a:chExt cx="933032" cy="374650"/>
        </a:xfrm>
      </xdr:grpSpPr>
      <xdr:sp macro="" textlink="">
        <xdr:nvSpPr>
          <xdr:cNvPr id="37" name="フローチャート: 処理 36">
            <a:extLst>
              <a:ext uri="{FF2B5EF4-FFF2-40B4-BE49-F238E27FC236}">
                <a16:creationId xmlns:a16="http://schemas.microsoft.com/office/drawing/2014/main" id="{DA1E321A-1D6F-A084-14B0-DFD32D356DB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8" name="正方形/長方形 48">
            <a:extLst>
              <a:ext uri="{FF2B5EF4-FFF2-40B4-BE49-F238E27FC236}">
                <a16:creationId xmlns:a16="http://schemas.microsoft.com/office/drawing/2014/main" id="{70DB3BC9-10CF-2E21-C41F-F7851A184CAE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決算</a:t>
            </a:r>
            <a:r>
              <a:rPr kumimoji="1" lang="en-US" altLang="ja-JP" sz="900"/>
              <a:t>G</a:t>
            </a:r>
          </a:p>
          <a:p>
            <a:pPr algn="ctr"/>
            <a:r>
              <a:rPr kumimoji="1" lang="ja-JP" altLang="en-US" sz="900"/>
              <a:t>報告用資料作成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29</xdr:col>
      <xdr:colOff>112059</xdr:colOff>
      <xdr:row>97</xdr:row>
      <xdr:rowOff>29883</xdr:rowOff>
    </xdr:from>
    <xdr:to>
      <xdr:col>35</xdr:col>
      <xdr:colOff>10226</xdr:colOff>
      <xdr:row>99</xdr:row>
      <xdr:rowOff>164167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3AF25CD2-D8E8-4A44-8C2F-F4915C59FE05}"/>
            </a:ext>
          </a:extLst>
        </xdr:cNvPr>
        <xdr:cNvGrpSpPr/>
      </xdr:nvGrpSpPr>
      <xdr:grpSpPr>
        <a:xfrm>
          <a:off x="6286500" y="17430713"/>
          <a:ext cx="1177543" cy="498588"/>
          <a:chOff x="1612900" y="2457450"/>
          <a:chExt cx="933032" cy="374650"/>
        </a:xfrm>
      </xdr:grpSpPr>
      <xdr:sp macro="" textlink="">
        <xdr:nvSpPr>
          <xdr:cNvPr id="44" name="フローチャート: 処理 43">
            <a:extLst>
              <a:ext uri="{FF2B5EF4-FFF2-40B4-BE49-F238E27FC236}">
                <a16:creationId xmlns:a16="http://schemas.microsoft.com/office/drawing/2014/main" id="{0FEBA765-4C3A-AE34-F7B0-4C395C1D1A4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5" name="正方形/長方形 48">
            <a:extLst>
              <a:ext uri="{FF2B5EF4-FFF2-40B4-BE49-F238E27FC236}">
                <a16:creationId xmlns:a16="http://schemas.microsoft.com/office/drawing/2014/main" id="{00001D5E-0B03-31F7-AC42-DCABBD9B2794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決算</a:t>
            </a:r>
            <a:r>
              <a:rPr kumimoji="1" lang="en-US" altLang="ja-JP" sz="900"/>
              <a:t>G</a:t>
            </a:r>
          </a:p>
          <a:p>
            <a:pPr algn="ctr"/>
            <a:r>
              <a:rPr kumimoji="1" lang="ja-JP" altLang="en-US" sz="900"/>
              <a:t>報告用資料提出</a:t>
            </a:r>
            <a:endParaRPr kumimoji="1" lang="en-US" altLang="ja-JP" sz="900"/>
          </a:p>
        </xdr:txBody>
      </xdr:sp>
    </xdr:grpSp>
    <xdr:clientData/>
  </xdr:twoCellAnchor>
  <xdr:twoCellAnchor>
    <xdr:from>
      <xdr:col>32</xdr:col>
      <xdr:colOff>74165</xdr:colOff>
      <xdr:row>94</xdr:row>
      <xdr:rowOff>70778</xdr:rowOff>
    </xdr:from>
    <xdr:to>
      <xdr:col>32</xdr:col>
      <xdr:colOff>76457</xdr:colOff>
      <xdr:row>97</xdr:row>
      <xdr:rowOff>29883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E3C8F9BC-AEE7-4544-AA6B-A76CCBE36E19}"/>
            </a:ext>
          </a:extLst>
        </xdr:cNvPr>
        <xdr:cNvCxnSpPr>
          <a:cxnSpLocks/>
          <a:stCxn id="37" idx="2"/>
          <a:endCxn id="44" idx="0"/>
        </xdr:cNvCxnSpPr>
      </xdr:nvCxnSpPr>
      <xdr:spPr>
        <a:xfrm rot="16200000" flipH="1">
          <a:off x="6285914" y="16416857"/>
          <a:ext cx="471484" cy="229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186765</xdr:colOff>
      <xdr:row>101</xdr:row>
      <xdr:rowOff>44826</xdr:rowOff>
    </xdr:from>
    <xdr:to>
      <xdr:col>14</xdr:col>
      <xdr:colOff>84931</xdr:colOff>
      <xdr:row>104</xdr:row>
      <xdr:rowOff>7287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FE9A4C74-53A8-4C42-B54F-1F797023072A}"/>
            </a:ext>
          </a:extLst>
        </xdr:cNvPr>
        <xdr:cNvGrpSpPr/>
      </xdr:nvGrpSpPr>
      <xdr:grpSpPr>
        <a:xfrm>
          <a:off x="1890059" y="18166643"/>
          <a:ext cx="1177542" cy="500343"/>
          <a:chOff x="1612900" y="2457450"/>
          <a:chExt cx="933032" cy="374650"/>
        </a:xfrm>
      </xdr:grpSpPr>
      <xdr:sp macro="" textlink="">
        <xdr:nvSpPr>
          <xdr:cNvPr id="50" name="フローチャート: 処理 49">
            <a:extLst>
              <a:ext uri="{FF2B5EF4-FFF2-40B4-BE49-F238E27FC236}">
                <a16:creationId xmlns:a16="http://schemas.microsoft.com/office/drawing/2014/main" id="{42EF3710-96F5-9785-A748-E6108738B2D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1" name="正方形/長方形 48">
            <a:extLst>
              <a:ext uri="{FF2B5EF4-FFF2-40B4-BE49-F238E27FC236}">
                <a16:creationId xmlns:a16="http://schemas.microsoft.com/office/drawing/2014/main" id="{F82B39A4-F3D6-BC2E-C6CC-856156226834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決算</a:t>
            </a:r>
            <a:r>
              <a:rPr kumimoji="1" lang="en-US" altLang="ja-JP" sz="900"/>
              <a:t>G</a:t>
            </a:r>
          </a:p>
          <a:p>
            <a:pPr algn="ctr"/>
            <a:r>
              <a:rPr kumimoji="1" lang="ja-JP" altLang="en-US" sz="900"/>
              <a:t>報告用資料受領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33</xdr:col>
      <xdr:colOff>22412</xdr:colOff>
      <xdr:row>93</xdr:row>
      <xdr:rowOff>141941</xdr:rowOff>
    </xdr:from>
    <xdr:to>
      <xdr:col>36</xdr:col>
      <xdr:colOff>109028</xdr:colOff>
      <xdr:row>95</xdr:row>
      <xdr:rowOff>161363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C49856C1-3133-4411-8471-4A2BE2DFDA77}"/>
            </a:ext>
          </a:extLst>
        </xdr:cNvPr>
        <xdr:cNvGrpSpPr>
          <a:grpSpLocks noChangeAspect="1"/>
        </xdr:cNvGrpSpPr>
      </xdr:nvGrpSpPr>
      <xdr:grpSpPr>
        <a:xfrm>
          <a:off x="7044690" y="16825595"/>
          <a:ext cx="727257" cy="381820"/>
          <a:chOff x="2791278" y="18514786"/>
          <a:chExt cx="773793" cy="417285"/>
        </a:xfrm>
      </xdr:grpSpPr>
      <xdr:sp macro="" textlink="">
        <xdr:nvSpPr>
          <xdr:cNvPr id="53" name="フローチャート: 書類 52">
            <a:extLst>
              <a:ext uri="{FF2B5EF4-FFF2-40B4-BE49-F238E27FC236}">
                <a16:creationId xmlns:a16="http://schemas.microsoft.com/office/drawing/2014/main" id="{78894D35-0959-EB4F-32A5-A8C0F5B4122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19FBE366-E257-E473-8957-456ACF34BDCE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150782</xdr:colOff>
      <xdr:row>99</xdr:row>
      <xdr:rowOff>164166</xdr:rowOff>
    </xdr:from>
    <xdr:to>
      <xdr:col>32</xdr:col>
      <xdr:colOff>76076</xdr:colOff>
      <xdr:row>101</xdr:row>
      <xdr:rowOff>44825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3A8D0630-4F8D-4062-9926-EF2FA6FEBBCD}"/>
            </a:ext>
          </a:extLst>
        </xdr:cNvPr>
        <xdr:cNvCxnSpPr>
          <a:cxnSpLocks/>
          <a:stCxn id="44" idx="2"/>
          <a:endCxn id="50" idx="0"/>
        </xdr:cNvCxnSpPr>
      </xdr:nvCxnSpPr>
      <xdr:spPr>
        <a:xfrm rot="5400000">
          <a:off x="4233924" y="15956524"/>
          <a:ext cx="223559" cy="405914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135218</xdr:colOff>
      <xdr:row>99</xdr:row>
      <xdr:rowOff>125878</xdr:rowOff>
    </xdr:from>
    <xdr:to>
      <xdr:col>36</xdr:col>
      <xdr:colOff>27598</xdr:colOff>
      <xdr:row>101</xdr:row>
      <xdr:rowOff>145300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49D70C2F-521E-E86D-2EAB-92E42039D7B2}"/>
            </a:ext>
          </a:extLst>
        </xdr:cNvPr>
        <xdr:cNvGrpSpPr>
          <a:grpSpLocks noChangeAspect="1"/>
        </xdr:cNvGrpSpPr>
      </xdr:nvGrpSpPr>
      <xdr:grpSpPr>
        <a:xfrm>
          <a:off x="6944584" y="17891012"/>
          <a:ext cx="745933" cy="372295"/>
          <a:chOff x="2791278" y="18514786"/>
          <a:chExt cx="773793" cy="417285"/>
        </a:xfrm>
      </xdr:grpSpPr>
      <xdr:sp macro="" textlink="">
        <xdr:nvSpPr>
          <xdr:cNvPr id="61" name="フローチャート: 書類 60">
            <a:extLst>
              <a:ext uri="{FF2B5EF4-FFF2-40B4-BE49-F238E27FC236}">
                <a16:creationId xmlns:a16="http://schemas.microsoft.com/office/drawing/2014/main" id="{435AA5D3-32EE-A9BD-944B-62DCC874CCA3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12EE9437-2230-08DA-FA5C-5FCCCEBCDDEA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146317</xdr:colOff>
      <xdr:row>104</xdr:row>
      <xdr:rowOff>7287</xdr:rowOff>
    </xdr:from>
    <xdr:to>
      <xdr:col>11</xdr:col>
      <xdr:colOff>150564</xdr:colOff>
      <xdr:row>105</xdr:row>
      <xdr:rowOff>103894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3E6D6BE8-4088-4C1D-AB18-0A2539E6FE5C}"/>
            </a:ext>
          </a:extLst>
        </xdr:cNvPr>
        <xdr:cNvCxnSpPr>
          <a:cxnSpLocks/>
          <a:stCxn id="50" idx="2"/>
          <a:endCxn id="291" idx="0"/>
        </xdr:cNvCxnSpPr>
      </xdr:nvCxnSpPr>
      <xdr:spPr>
        <a:xfrm rot="5400000">
          <a:off x="2150813" y="18061320"/>
          <a:ext cx="268431" cy="424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164354</xdr:colOff>
      <xdr:row>208</xdr:row>
      <xdr:rowOff>52294</xdr:rowOff>
    </xdr:from>
    <xdr:to>
      <xdr:col>23</xdr:col>
      <xdr:colOff>56735</xdr:colOff>
      <xdr:row>210</xdr:row>
      <xdr:rowOff>71717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A79155B7-5450-E333-0250-08E1E730B000}"/>
            </a:ext>
          </a:extLst>
        </xdr:cNvPr>
        <xdr:cNvGrpSpPr>
          <a:grpSpLocks noChangeAspect="1"/>
        </xdr:cNvGrpSpPr>
      </xdr:nvGrpSpPr>
      <xdr:grpSpPr>
        <a:xfrm>
          <a:off x="4213488" y="37360486"/>
          <a:ext cx="744028" cy="372297"/>
          <a:chOff x="2791278" y="18514786"/>
          <a:chExt cx="773793" cy="417285"/>
        </a:xfrm>
      </xdr:grpSpPr>
      <xdr:sp macro="" textlink="">
        <xdr:nvSpPr>
          <xdr:cNvPr id="68" name="フローチャート: 書類 67">
            <a:extLst>
              <a:ext uri="{FF2B5EF4-FFF2-40B4-BE49-F238E27FC236}">
                <a16:creationId xmlns:a16="http://schemas.microsoft.com/office/drawing/2014/main" id="{CDA71143-2514-9278-50AB-C36478489EAC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F142952E-D82E-37B0-7541-560A74E80052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  <a:endParaRPr kumimoji="1" lang="en-US" altLang="ja-JP" sz="900"/>
          </a:p>
        </xdr:txBody>
      </xdr:sp>
    </xdr:grpSp>
    <xdr:clientData/>
  </xdr:twoCellAnchor>
  <xdr:twoCellAnchor>
    <xdr:from>
      <xdr:col>20</xdr:col>
      <xdr:colOff>3736</xdr:colOff>
      <xdr:row>161</xdr:row>
      <xdr:rowOff>89647</xdr:rowOff>
    </xdr:from>
    <xdr:to>
      <xdr:col>23</xdr:col>
      <xdr:colOff>90351</xdr:colOff>
      <xdr:row>163</xdr:row>
      <xdr:rowOff>109069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83501352-CD28-22D2-2704-F3590DB4164F}"/>
            </a:ext>
          </a:extLst>
        </xdr:cNvPr>
        <xdr:cNvGrpSpPr>
          <a:grpSpLocks noChangeAspect="1"/>
        </xdr:cNvGrpSpPr>
      </xdr:nvGrpSpPr>
      <xdr:grpSpPr>
        <a:xfrm>
          <a:off x="4261971" y="28971016"/>
          <a:ext cx="729161" cy="372295"/>
          <a:chOff x="2791278" y="18514786"/>
          <a:chExt cx="773793" cy="417285"/>
        </a:xfrm>
      </xdr:grpSpPr>
      <xdr:sp macro="" textlink="">
        <xdr:nvSpPr>
          <xdr:cNvPr id="71" name="フローチャート: 書類 70">
            <a:extLst>
              <a:ext uri="{FF2B5EF4-FFF2-40B4-BE49-F238E27FC236}">
                <a16:creationId xmlns:a16="http://schemas.microsoft.com/office/drawing/2014/main" id="{621395C5-E43A-14BB-52E6-22EE05E1EE6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0CC25AF1-82BF-CD4E-5413-409F93228FB3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回収報告</a:t>
            </a:r>
            <a:endParaRPr kumimoji="1" lang="en-US" altLang="ja-JP" sz="900"/>
          </a:p>
        </xdr:txBody>
      </xdr:sp>
    </xdr:grpSp>
    <xdr:clientData/>
  </xdr:twoCellAnchor>
  <xdr:twoCellAnchor>
    <xdr:from>
      <xdr:col>20</xdr:col>
      <xdr:colOff>186017</xdr:colOff>
      <xdr:row>163</xdr:row>
      <xdr:rowOff>62193</xdr:rowOff>
    </xdr:from>
    <xdr:to>
      <xdr:col>25</xdr:col>
      <xdr:colOff>60324</xdr:colOff>
      <xdr:row>165</xdr:row>
      <xdr:rowOff>81617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6ADEA440-554B-4FBC-DE7E-BD1251375D70}"/>
            </a:ext>
          </a:extLst>
        </xdr:cNvPr>
        <xdr:cNvGrpSpPr>
          <a:grpSpLocks noChangeAspect="1"/>
        </xdr:cNvGrpSpPr>
      </xdr:nvGrpSpPr>
      <xdr:grpSpPr>
        <a:xfrm>
          <a:off x="4442347" y="29294530"/>
          <a:ext cx="936961" cy="383727"/>
          <a:chOff x="2791278" y="18514786"/>
          <a:chExt cx="773793" cy="417285"/>
        </a:xfrm>
      </xdr:grpSpPr>
      <xdr:sp macro="" textlink="">
        <xdr:nvSpPr>
          <xdr:cNvPr id="74" name="フローチャート: 書類 73">
            <a:extLst>
              <a:ext uri="{FF2B5EF4-FFF2-40B4-BE49-F238E27FC236}">
                <a16:creationId xmlns:a16="http://schemas.microsoft.com/office/drawing/2014/main" id="{C6ED0487-427D-0251-2DCD-F55E25E17CB8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0E2CE56B-E509-DB86-2C99-0AE996809D7F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未回収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過入金リスト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120276</xdr:colOff>
      <xdr:row>103</xdr:row>
      <xdr:rowOff>110937</xdr:rowOff>
    </xdr:from>
    <xdr:to>
      <xdr:col>17</xdr:col>
      <xdr:colOff>12657</xdr:colOff>
      <xdr:row>105</xdr:row>
      <xdr:rowOff>130359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99EDC67A-F0D7-AEC3-2CB6-EFD5D7459665}"/>
            </a:ext>
          </a:extLst>
        </xdr:cNvPr>
        <xdr:cNvGrpSpPr>
          <a:grpSpLocks noChangeAspect="1"/>
        </xdr:cNvGrpSpPr>
      </xdr:nvGrpSpPr>
      <xdr:grpSpPr>
        <a:xfrm>
          <a:off x="2890034" y="18589437"/>
          <a:ext cx="745933" cy="381820"/>
          <a:chOff x="2791278" y="18514786"/>
          <a:chExt cx="773793" cy="417285"/>
        </a:xfrm>
      </xdr:grpSpPr>
      <xdr:sp macro="" textlink="">
        <xdr:nvSpPr>
          <xdr:cNvPr id="86" name="フローチャート: 書類 85">
            <a:extLst>
              <a:ext uri="{FF2B5EF4-FFF2-40B4-BE49-F238E27FC236}">
                <a16:creationId xmlns:a16="http://schemas.microsoft.com/office/drawing/2014/main" id="{3D76B699-B4AA-29C2-0481-2A3DA97958BF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6672EC88-752F-DFB7-417D-9F34A51266E2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  <a:endParaRPr kumimoji="1" lang="en-US" altLang="ja-JP" sz="9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133817</xdr:colOff>
      <xdr:row>12</xdr:row>
      <xdr:rowOff>34645</xdr:rowOff>
    </xdr:from>
    <xdr:to>
      <xdr:col>4</xdr:col>
      <xdr:colOff>137502</xdr:colOff>
      <xdr:row>14</xdr:row>
      <xdr:rowOff>45504</xdr:rowOff>
    </xdr:to>
    <xdr:cxnSp macro="">
      <xdr:nvCxnSpPr>
        <xdr:cNvPr id="2" name="直線矢印コネクタ 27">
          <a:extLst>
            <a:ext uri="{FF2B5EF4-FFF2-40B4-BE49-F238E27FC236}">
              <a16:creationId xmlns:a16="http://schemas.microsoft.com/office/drawing/2014/main" id="{4494C881-FC30-4840-BEAA-049B6D42DBE1}"/>
            </a:ext>
          </a:extLst>
        </xdr:cNvPr>
        <xdr:cNvCxnSpPr>
          <a:cxnSpLocks/>
          <a:endCxn id="8" idx="0"/>
        </xdr:cNvCxnSpPr>
      </xdr:nvCxnSpPr>
      <xdr:spPr>
        <a:xfrm flipH="1">
          <a:off x="940641" y="2118939"/>
          <a:ext cx="3685" cy="3470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179116</xdr:colOff>
      <xdr:row>15</xdr:row>
      <xdr:rowOff>70557</xdr:rowOff>
    </xdr:from>
    <xdr:to>
      <xdr:col>44</xdr:col>
      <xdr:colOff>86409</xdr:colOff>
      <xdr:row>15</xdr:row>
      <xdr:rowOff>71328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2A2DE3E-A858-4BB7-A775-24678A364DB4}"/>
            </a:ext>
          </a:extLst>
        </xdr:cNvPr>
        <xdr:cNvCxnSpPr>
          <a:stCxn id="5" idx="2"/>
          <a:endCxn id="8" idx="3"/>
        </xdr:cNvCxnSpPr>
      </xdr:nvCxnSpPr>
      <xdr:spPr>
        <a:xfrm flipH="1" flipV="1">
          <a:off x="1389351" y="2659116"/>
          <a:ext cx="6160176" cy="77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179392</xdr:colOff>
      <xdr:row>13</xdr:row>
      <xdr:rowOff>106997</xdr:rowOff>
    </xdr:from>
    <xdr:to>
      <xdr:col>49</xdr:col>
      <xdr:colOff>186</xdr:colOff>
      <xdr:row>17</xdr:row>
      <xdr:rowOff>89882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0447B201-1746-42E3-BF6B-8E5E7EA8E5B1}"/>
            </a:ext>
          </a:extLst>
        </xdr:cNvPr>
        <xdr:cNvGrpSpPr>
          <a:grpSpLocks noChangeAspect="1"/>
        </xdr:cNvGrpSpPr>
      </xdr:nvGrpSpPr>
      <xdr:grpSpPr>
        <a:xfrm>
          <a:off x="9154473" y="2440674"/>
          <a:ext cx="1075302" cy="706237"/>
          <a:chOff x="7112003" y="2892425"/>
          <a:chExt cx="873125" cy="584984"/>
        </a:xfrm>
      </xdr:grpSpPr>
      <xdr:sp macro="" textlink="">
        <xdr:nvSpPr>
          <xdr:cNvPr id="5" name="フローチャート: 磁気ディスク 4">
            <a:extLst>
              <a:ext uri="{FF2B5EF4-FFF2-40B4-BE49-F238E27FC236}">
                <a16:creationId xmlns:a16="http://schemas.microsoft.com/office/drawing/2014/main" id="{0F0644BB-AC21-413F-B4FB-8725ABC9618E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75F0A1D3-7B31-492A-A23B-F2B5A3B56EBA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1</xdr:col>
      <xdr:colOff>197782</xdr:colOff>
      <xdr:row>14</xdr:row>
      <xdr:rowOff>14005</xdr:rowOff>
    </xdr:from>
    <xdr:to>
      <xdr:col>7</xdr:col>
      <xdr:colOff>101152</xdr:colOff>
      <xdr:row>16</xdr:row>
      <xdr:rowOff>152693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E9AC83C-370F-431A-9FB9-DAC4570A74C3}"/>
            </a:ext>
          </a:extLst>
        </xdr:cNvPr>
        <xdr:cNvGrpSpPr/>
      </xdr:nvGrpSpPr>
      <xdr:grpSpPr>
        <a:xfrm>
          <a:off x="408454" y="2536068"/>
          <a:ext cx="1150258" cy="487173"/>
          <a:chOff x="1596812" y="2429175"/>
          <a:chExt cx="1021509" cy="452408"/>
        </a:xfrm>
      </xdr:grpSpPr>
      <xdr:sp macro="" textlink="">
        <xdr:nvSpPr>
          <xdr:cNvPr id="8" name="フローチャート: 定義済み処理 7">
            <a:extLst>
              <a:ext uri="{FF2B5EF4-FFF2-40B4-BE49-F238E27FC236}">
                <a16:creationId xmlns:a16="http://schemas.microsoft.com/office/drawing/2014/main" id="{4BA0F166-BE57-4889-9A1C-E55C909E1EA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9" name="正方形/長方形 48">
            <a:extLst>
              <a:ext uri="{FF2B5EF4-FFF2-40B4-BE49-F238E27FC236}">
                <a16:creationId xmlns:a16="http://schemas.microsoft.com/office/drawing/2014/main" id="{36F726F1-73FC-45B4-B746-493668FDD336}"/>
              </a:ext>
            </a:extLst>
          </xdr:cNvPr>
          <xdr:cNvSpPr/>
        </xdr:nvSpPr>
        <xdr:spPr>
          <a:xfrm>
            <a:off x="1596812" y="2429175"/>
            <a:ext cx="1021509" cy="4524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１．未回収</a:t>
            </a:r>
            <a:endParaRPr lang="ja-JP" altLang="ja-JP" sz="900">
              <a:effectLst/>
            </a:endParaRPr>
          </a:p>
          <a:p>
            <a:pPr algn="ctr"/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データ確認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2</xdr:col>
      <xdr:colOff>146983</xdr:colOff>
      <xdr:row>10</xdr:row>
      <xdr:rowOff>99733</xdr:rowOff>
    </xdr:from>
    <xdr:to>
      <xdr:col>6</xdr:col>
      <xdr:colOff>52278</xdr:colOff>
      <xdr:row>12</xdr:row>
      <xdr:rowOff>23533</xdr:rowOff>
    </xdr:to>
    <xdr:sp macro="" textlink="">
      <xdr:nvSpPr>
        <xdr:cNvPr id="10" name="フローチャート: 端子 26">
          <a:extLst>
            <a:ext uri="{FF2B5EF4-FFF2-40B4-BE49-F238E27FC236}">
              <a16:creationId xmlns:a16="http://schemas.microsoft.com/office/drawing/2014/main" id="{FFA47970-82BF-4F36-9934-3F7A91D12E25}"/>
            </a:ext>
          </a:extLst>
        </xdr:cNvPr>
        <xdr:cNvSpPr/>
      </xdr:nvSpPr>
      <xdr:spPr>
        <a:xfrm>
          <a:off x="550395" y="1847851"/>
          <a:ext cx="712118" cy="25997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</xdr:col>
      <xdr:colOff>8028</xdr:colOff>
      <xdr:row>43</xdr:row>
      <xdr:rowOff>0</xdr:rowOff>
    </xdr:from>
    <xdr:to>
      <xdr:col>7</xdr:col>
      <xdr:colOff>46801</xdr:colOff>
      <xdr:row>46</xdr:row>
      <xdr:rowOff>11199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DE161FC3-935B-4E2A-9BAD-FD99DBCE0CE2}"/>
            </a:ext>
          </a:extLst>
        </xdr:cNvPr>
        <xdr:cNvGrpSpPr/>
      </xdr:nvGrpSpPr>
      <xdr:grpSpPr>
        <a:xfrm>
          <a:off x="427467" y="7802671"/>
          <a:ext cx="1082609" cy="561118"/>
          <a:chOff x="287474" y="4845794"/>
          <a:chExt cx="1021504" cy="505814"/>
        </a:xfrm>
      </xdr:grpSpPr>
      <xdr:sp macro="" textlink="">
        <xdr:nvSpPr>
          <xdr:cNvPr id="12" name="フローチャート: 判断 11">
            <a:extLst>
              <a:ext uri="{FF2B5EF4-FFF2-40B4-BE49-F238E27FC236}">
                <a16:creationId xmlns:a16="http://schemas.microsoft.com/office/drawing/2014/main" id="{30A2FEEC-A926-448B-AFF8-04F9C67E04CD}"/>
              </a:ext>
            </a:extLst>
          </xdr:cNvPr>
          <xdr:cNvSpPr/>
        </xdr:nvSpPr>
        <xdr:spPr>
          <a:xfrm>
            <a:off x="368300" y="4845794"/>
            <a:ext cx="848033" cy="484567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48">
            <a:extLst>
              <a:ext uri="{FF2B5EF4-FFF2-40B4-BE49-F238E27FC236}">
                <a16:creationId xmlns:a16="http://schemas.microsoft.com/office/drawing/2014/main" id="{5E7B2CA9-5A5D-4CE5-9B84-B5E81303CD19}"/>
              </a:ext>
            </a:extLst>
          </xdr:cNvPr>
          <xdr:cNvSpPr/>
        </xdr:nvSpPr>
        <xdr:spPr>
          <a:xfrm>
            <a:off x="287474" y="4856050"/>
            <a:ext cx="1021504" cy="495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与信額変更</a:t>
            </a:r>
            <a:br>
              <a:rPr kumimoji="1" lang="en-US" altLang="ja-JP" sz="900"/>
            </a:br>
            <a:r>
              <a:rPr kumimoji="1" lang="ja-JP" altLang="en-US" sz="900"/>
              <a:t>必要</a:t>
            </a:r>
            <a:r>
              <a:rPr kumimoji="1" lang="en-US" altLang="ja-JP" sz="900"/>
              <a:t>?</a:t>
            </a:r>
            <a:endParaRPr kumimoji="1" lang="ja-JP" altLang="en-US" sz="900"/>
          </a:p>
        </xdr:txBody>
      </xdr:sp>
    </xdr:grpSp>
    <xdr:clientData/>
  </xdr:twoCellAnchor>
  <xdr:twoCellAnchor>
    <xdr:from>
      <xdr:col>2</xdr:col>
      <xdr:colOff>92378</xdr:colOff>
      <xdr:row>44</xdr:row>
      <xdr:rowOff>76442</xdr:rowOff>
    </xdr:from>
    <xdr:to>
      <xdr:col>5</xdr:col>
      <xdr:colOff>16703</xdr:colOff>
      <xdr:row>60</xdr:row>
      <xdr:rowOff>78207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859349AB-0CEB-41A0-94FC-F93F6C718AC9}"/>
            </a:ext>
          </a:extLst>
        </xdr:cNvPr>
        <xdr:cNvCxnSpPr>
          <a:cxnSpLocks/>
          <a:stCxn id="12" idx="1"/>
          <a:endCxn id="46" idx="0"/>
        </xdr:cNvCxnSpPr>
      </xdr:nvCxnSpPr>
      <xdr:spPr>
        <a:xfrm rot="10800000" flipH="1" flipV="1">
          <a:off x="495790" y="7539560"/>
          <a:ext cx="529442" cy="2691176"/>
        </a:xfrm>
        <a:prstGeom prst="bentConnector4">
          <a:avLst>
            <a:gd name="adj1" fmla="val -29322"/>
            <a:gd name="adj2" fmla="val 94117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130209</xdr:colOff>
      <xdr:row>45</xdr:row>
      <xdr:rowOff>141924</xdr:rowOff>
    </xdr:from>
    <xdr:to>
      <xdr:col>4</xdr:col>
      <xdr:colOff>149852</xdr:colOff>
      <xdr:row>47</xdr:row>
      <xdr:rowOff>105218</xdr:rowOff>
    </xdr:to>
    <xdr:cxnSp macro="">
      <xdr:nvCxnSpPr>
        <xdr:cNvPr id="15" name="直線矢印コネクタ 27">
          <a:extLst>
            <a:ext uri="{FF2B5EF4-FFF2-40B4-BE49-F238E27FC236}">
              <a16:creationId xmlns:a16="http://schemas.microsoft.com/office/drawing/2014/main" id="{A6C92B10-A182-4041-AF73-2FDFB0F72985}"/>
            </a:ext>
          </a:extLst>
        </xdr:cNvPr>
        <xdr:cNvCxnSpPr>
          <a:cxnSpLocks/>
        </xdr:cNvCxnSpPr>
      </xdr:nvCxnSpPr>
      <xdr:spPr>
        <a:xfrm>
          <a:off x="937033" y="7773130"/>
          <a:ext cx="19643" cy="2994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101600</xdr:colOff>
      <xdr:row>26</xdr:row>
      <xdr:rowOff>15875</xdr:rowOff>
    </xdr:from>
    <xdr:to>
      <xdr:col>7</xdr:col>
      <xdr:colOff>9825</xdr:colOff>
      <xdr:row>28</xdr:row>
      <xdr:rowOff>164275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3DED9E1A-8FDE-4DFF-BB7D-1F4436567786}"/>
            </a:ext>
          </a:extLst>
        </xdr:cNvPr>
        <xdr:cNvGrpSpPr/>
      </xdr:nvGrpSpPr>
      <xdr:grpSpPr>
        <a:xfrm>
          <a:off x="306557" y="4716945"/>
          <a:ext cx="1166543" cy="513743"/>
          <a:chOff x="5057775" y="3267075"/>
          <a:chExt cx="1105200" cy="484950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238DCC6C-CD24-4E4B-BD8D-F494216308CA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1" name="正方形/長方形 48">
            <a:extLst>
              <a:ext uri="{FF2B5EF4-FFF2-40B4-BE49-F238E27FC236}">
                <a16:creationId xmlns:a16="http://schemas.microsoft.com/office/drawing/2014/main" id="{DBD6C368-C3CC-483C-9FBE-DADBFB905F8F}"/>
              </a:ext>
            </a:extLst>
          </xdr:cNvPr>
          <xdr:cNvSpPr/>
        </xdr:nvSpPr>
        <xdr:spPr>
          <a:xfrm>
            <a:off x="5057775" y="3267075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期日超過</a:t>
            </a:r>
            <a:endParaRPr lang="ja-JP" altLang="ja-JP" sz="900">
              <a:effectLst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債権原因調査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4</xdr:col>
      <xdr:colOff>36007</xdr:colOff>
      <xdr:row>28</xdr:row>
      <xdr:rowOff>106761</xdr:rowOff>
    </xdr:from>
    <xdr:to>
      <xdr:col>4</xdr:col>
      <xdr:colOff>56517</xdr:colOff>
      <xdr:row>30</xdr:row>
      <xdr:rowOff>56534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BFDD6514-2F3A-4A69-8FAE-CBA9BE10F95B}"/>
            </a:ext>
          </a:extLst>
        </xdr:cNvPr>
        <xdr:cNvCxnSpPr>
          <a:cxnSpLocks/>
          <a:stCxn id="20" idx="2"/>
          <a:endCxn id="26" idx="0"/>
        </xdr:cNvCxnSpPr>
      </xdr:nvCxnSpPr>
      <xdr:spPr>
        <a:xfrm rot="16200000" flipH="1">
          <a:off x="702747" y="5165907"/>
          <a:ext cx="298116" cy="2051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30</xdr:row>
      <xdr:rowOff>0</xdr:rowOff>
    </xdr:from>
    <xdr:to>
      <xdr:col>7</xdr:col>
      <xdr:colOff>38400</xdr:colOff>
      <xdr:row>32</xdr:row>
      <xdr:rowOff>145225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C6FDE0C0-D717-4E52-9732-10C491B45E54}"/>
            </a:ext>
          </a:extLst>
        </xdr:cNvPr>
        <xdr:cNvGrpSpPr/>
      </xdr:nvGrpSpPr>
      <xdr:grpSpPr>
        <a:xfrm>
          <a:off x="338307" y="5427945"/>
          <a:ext cx="1161463" cy="508663"/>
          <a:chOff x="5067300" y="3238500"/>
          <a:chExt cx="1105200" cy="484950"/>
        </a:xfrm>
      </xdr:grpSpPr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936171EF-715D-430D-8F09-B736C6E5F168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7" name="正方形/長方形 48">
            <a:extLst>
              <a:ext uri="{FF2B5EF4-FFF2-40B4-BE49-F238E27FC236}">
                <a16:creationId xmlns:a16="http://schemas.microsoft.com/office/drawing/2014/main" id="{080BC585-27CB-4D75-8D84-C45DEBE1455E}"/>
              </a:ext>
            </a:extLst>
          </xdr:cNvPr>
          <xdr:cNvSpPr/>
        </xdr:nvSpPr>
        <xdr:spPr>
          <a:xfrm>
            <a:off x="5067300" y="3238500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滞留債権報告作成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報告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1</xdr:col>
      <xdr:colOff>190684</xdr:colOff>
      <xdr:row>47</xdr:row>
      <xdr:rowOff>6353</xdr:rowOff>
    </xdr:from>
    <xdr:to>
      <xdr:col>7</xdr:col>
      <xdr:colOff>92560</xdr:colOff>
      <xdr:row>49</xdr:row>
      <xdr:rowOff>164164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A372990B-5EDC-4B79-B665-D0180E631188}"/>
            </a:ext>
          </a:extLst>
        </xdr:cNvPr>
        <xdr:cNvGrpSpPr/>
      </xdr:nvGrpSpPr>
      <xdr:grpSpPr>
        <a:xfrm>
          <a:off x="399451" y="8541614"/>
          <a:ext cx="1158289" cy="525059"/>
          <a:chOff x="4971968" y="3210664"/>
          <a:chExt cx="1105200" cy="487971"/>
        </a:xfrm>
      </xdr:grpSpPr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0DD178CD-7A5B-47AD-BB1E-F5888EA6DA6E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0" name="正方形/長方形 48">
            <a:extLst>
              <a:ext uri="{FF2B5EF4-FFF2-40B4-BE49-F238E27FC236}">
                <a16:creationId xmlns:a16="http://schemas.microsoft.com/office/drawing/2014/main" id="{ADCD8BB6-AC16-416A-90D7-CD4B32321898}"/>
              </a:ext>
            </a:extLst>
          </xdr:cNvPr>
          <xdr:cNvSpPr/>
        </xdr:nvSpPr>
        <xdr:spPr>
          <a:xfrm>
            <a:off x="4971968" y="3210664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与信額変更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申請書作成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申請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8</xdr:col>
      <xdr:colOff>130359</xdr:colOff>
      <xdr:row>51</xdr:row>
      <xdr:rowOff>123825</xdr:rowOff>
    </xdr:from>
    <xdr:to>
      <xdr:col>14</xdr:col>
      <xdr:colOff>73510</xdr:colOff>
      <xdr:row>54</xdr:row>
      <xdr:rowOff>97600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B1923CF2-E21F-4876-B7FD-647DD63919CD}"/>
            </a:ext>
          </a:extLst>
        </xdr:cNvPr>
        <xdr:cNvGrpSpPr/>
      </xdr:nvGrpSpPr>
      <xdr:grpSpPr>
        <a:xfrm>
          <a:off x="1804306" y="9389771"/>
          <a:ext cx="1191944" cy="516074"/>
          <a:chOff x="5057775" y="3267075"/>
          <a:chExt cx="1105200" cy="484950"/>
        </a:xfrm>
      </xdr:grpSpPr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93112B49-ECCA-42EB-A660-CD621FD492C9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3" name="正方形/長方形 48">
            <a:extLst>
              <a:ext uri="{FF2B5EF4-FFF2-40B4-BE49-F238E27FC236}">
                <a16:creationId xmlns:a16="http://schemas.microsoft.com/office/drawing/2014/main" id="{71757620-16C1-4987-8E4A-1BAB3224AB15}"/>
              </a:ext>
            </a:extLst>
          </xdr:cNvPr>
          <xdr:cNvSpPr/>
        </xdr:nvSpPr>
        <xdr:spPr>
          <a:xfrm>
            <a:off x="5057775" y="3267075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与信額変更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申請書承認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4</xdr:col>
      <xdr:colOff>200753</xdr:colOff>
      <xdr:row>45</xdr:row>
      <xdr:rowOff>159989</xdr:rowOff>
    </xdr:from>
    <xdr:to>
      <xdr:col>7</xdr:col>
      <xdr:colOff>133178</xdr:colOff>
      <xdr:row>47</xdr:row>
      <xdr:rowOff>40708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DCDC58CC-D91D-4709-9F3C-1AC1904AC038}"/>
            </a:ext>
          </a:extLst>
        </xdr:cNvPr>
        <xdr:cNvSpPr txBox="1"/>
      </xdr:nvSpPr>
      <xdr:spPr>
        <a:xfrm>
          <a:off x="1007577" y="7791195"/>
          <a:ext cx="537542" cy="21689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</xdr:col>
      <xdr:colOff>46627</xdr:colOff>
      <xdr:row>43</xdr:row>
      <xdr:rowOff>9525</xdr:rowOff>
    </xdr:from>
    <xdr:to>
      <xdr:col>3</xdr:col>
      <xdr:colOff>130227</xdr:colOff>
      <xdr:row>44</xdr:row>
      <xdr:rowOff>2075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B89434E5-DA83-48EB-93CE-ECCE8C620A1C}"/>
            </a:ext>
          </a:extLst>
        </xdr:cNvPr>
        <xdr:cNvSpPr txBox="1"/>
      </xdr:nvSpPr>
      <xdr:spPr>
        <a:xfrm>
          <a:off x="248333" y="7304554"/>
          <a:ext cx="487012" cy="160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4</xdr:col>
      <xdr:colOff>141622</xdr:colOff>
      <xdr:row>49</xdr:row>
      <xdr:rowOff>157895</xdr:rowOff>
    </xdr:from>
    <xdr:to>
      <xdr:col>11</xdr:col>
      <xdr:colOff>81496</xdr:colOff>
      <xdr:row>51</xdr:row>
      <xdr:rowOff>148800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E43F7FC1-755D-4F38-BA17-9E6CDE5F4957}"/>
            </a:ext>
          </a:extLst>
        </xdr:cNvPr>
        <xdr:cNvCxnSpPr>
          <a:cxnSpLocks/>
          <a:stCxn id="30" idx="2"/>
          <a:endCxn id="32" idx="0"/>
        </xdr:cNvCxnSpPr>
      </xdr:nvCxnSpPr>
      <xdr:spPr>
        <a:xfrm rot="16200000" flipH="1">
          <a:off x="1452328" y="8230675"/>
          <a:ext cx="339248" cy="134957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46554</xdr:colOff>
      <xdr:row>56</xdr:row>
      <xdr:rowOff>19420</xdr:rowOff>
    </xdr:from>
    <xdr:to>
      <xdr:col>7</xdr:col>
      <xdr:colOff>185891</xdr:colOff>
      <xdr:row>58</xdr:row>
      <xdr:rowOff>162503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30B52283-3277-47A4-9F0D-B9CEFA6AFA65}"/>
            </a:ext>
          </a:extLst>
        </xdr:cNvPr>
        <xdr:cNvGrpSpPr/>
      </xdr:nvGrpSpPr>
      <xdr:grpSpPr>
        <a:xfrm>
          <a:off x="465993" y="10193007"/>
          <a:ext cx="1179363" cy="514141"/>
          <a:chOff x="1596812" y="2429175"/>
          <a:chExt cx="1021509" cy="452408"/>
        </a:xfrm>
      </xdr:grpSpPr>
      <xdr:sp macro="" textlink="">
        <xdr:nvSpPr>
          <xdr:cNvPr id="38" name="フローチャート: 定義済み処理 37">
            <a:extLst>
              <a:ext uri="{FF2B5EF4-FFF2-40B4-BE49-F238E27FC236}">
                <a16:creationId xmlns:a16="http://schemas.microsoft.com/office/drawing/2014/main" id="{30CC5BD8-FA60-4AD0-A02B-279EF2D3145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9" name="正方形/長方形 48">
            <a:extLst>
              <a:ext uri="{FF2B5EF4-FFF2-40B4-BE49-F238E27FC236}">
                <a16:creationId xmlns:a16="http://schemas.microsoft.com/office/drawing/2014/main" id="{9BF90E6B-CF3F-4591-B87B-E1547AC90F43}"/>
              </a:ext>
            </a:extLst>
          </xdr:cNvPr>
          <xdr:cNvSpPr/>
        </xdr:nvSpPr>
        <xdr:spPr>
          <a:xfrm>
            <a:off x="1596812" y="2429175"/>
            <a:ext cx="1021509" cy="4524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7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与信限度額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変更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5</xdr:col>
      <xdr:colOff>15530</xdr:colOff>
      <xdr:row>54</xdr:row>
      <xdr:rowOff>42612</xdr:rowOff>
    </xdr:from>
    <xdr:to>
      <xdr:col>11</xdr:col>
      <xdr:colOff>81497</xdr:colOff>
      <xdr:row>56</xdr:row>
      <xdr:rowOff>19420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F8A7ED7C-B7F7-45AA-8E68-CE345CBF36AC}"/>
            </a:ext>
          </a:extLst>
        </xdr:cNvPr>
        <xdr:cNvCxnSpPr>
          <a:cxnSpLocks/>
          <a:stCxn id="32" idx="2"/>
          <a:endCxn id="39" idx="0"/>
        </xdr:cNvCxnSpPr>
      </xdr:nvCxnSpPr>
      <xdr:spPr>
        <a:xfrm rot="5400000">
          <a:off x="1497024" y="9016847"/>
          <a:ext cx="325151" cy="127428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52618</xdr:colOff>
      <xdr:row>57</xdr:row>
      <xdr:rowOff>76806</xdr:rowOff>
    </xdr:from>
    <xdr:to>
      <xdr:col>44</xdr:col>
      <xdr:colOff>116759</xdr:colOff>
      <xdr:row>57</xdr:row>
      <xdr:rowOff>78215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7593C065-D714-4D4B-B796-91C7C72A7767}"/>
            </a:ext>
          </a:extLst>
        </xdr:cNvPr>
        <xdr:cNvCxnSpPr>
          <a:stCxn id="38" idx="3"/>
          <a:endCxn id="92" idx="2"/>
        </xdr:cNvCxnSpPr>
      </xdr:nvCxnSpPr>
      <xdr:spPr>
        <a:xfrm flipV="1">
          <a:off x="1464559" y="9725071"/>
          <a:ext cx="3291435" cy="1409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92185</xdr:colOff>
      <xdr:row>60</xdr:row>
      <xdr:rowOff>78207</xdr:rowOff>
    </xdr:from>
    <xdr:to>
      <xdr:col>7</xdr:col>
      <xdr:colOff>131788</xdr:colOff>
      <xdr:row>63</xdr:row>
      <xdr:rowOff>86231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3CA22417-ADDE-4375-9DC8-B3560830F832}"/>
            </a:ext>
          </a:extLst>
        </xdr:cNvPr>
        <xdr:cNvGrpSpPr/>
      </xdr:nvGrpSpPr>
      <xdr:grpSpPr>
        <a:xfrm>
          <a:off x="513529" y="10986289"/>
          <a:ext cx="1083439" cy="557943"/>
          <a:chOff x="287474" y="4845794"/>
          <a:chExt cx="1021504" cy="505814"/>
        </a:xfrm>
      </xdr:grpSpPr>
      <xdr:sp macro="" textlink="">
        <xdr:nvSpPr>
          <xdr:cNvPr id="46" name="フローチャート: 判断 45">
            <a:extLst>
              <a:ext uri="{FF2B5EF4-FFF2-40B4-BE49-F238E27FC236}">
                <a16:creationId xmlns:a16="http://schemas.microsoft.com/office/drawing/2014/main" id="{24FC7674-BE98-432C-8E35-66A2EE2B2D7C}"/>
              </a:ext>
            </a:extLst>
          </xdr:cNvPr>
          <xdr:cNvSpPr/>
        </xdr:nvSpPr>
        <xdr:spPr>
          <a:xfrm>
            <a:off x="368300" y="4845794"/>
            <a:ext cx="848033" cy="484567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正方形/長方形 48">
            <a:extLst>
              <a:ext uri="{FF2B5EF4-FFF2-40B4-BE49-F238E27FC236}">
                <a16:creationId xmlns:a16="http://schemas.microsoft.com/office/drawing/2014/main" id="{12F7F265-98E3-439E-A032-8F6B27A11CA2}"/>
              </a:ext>
            </a:extLst>
          </xdr:cNvPr>
          <xdr:cNvSpPr/>
        </xdr:nvSpPr>
        <xdr:spPr>
          <a:xfrm>
            <a:off x="287474" y="4856050"/>
            <a:ext cx="1021504" cy="495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貸倒引当</a:t>
            </a:r>
            <a:br>
              <a:rPr kumimoji="1" lang="en-US" altLang="ja-JP" sz="900"/>
            </a:br>
            <a:r>
              <a:rPr kumimoji="1" lang="ja-JP" altLang="en-US" sz="900"/>
              <a:t>必要</a:t>
            </a:r>
            <a:r>
              <a:rPr kumimoji="1" lang="en-US" altLang="ja-JP" sz="900"/>
              <a:t>?</a:t>
            </a:r>
            <a:endParaRPr kumimoji="1" lang="ja-JP" altLang="en-US" sz="900"/>
          </a:p>
        </xdr:txBody>
      </xdr:sp>
    </xdr:grpSp>
    <xdr:clientData/>
  </xdr:twoCellAnchor>
  <xdr:twoCellAnchor>
    <xdr:from>
      <xdr:col>2</xdr:col>
      <xdr:colOff>186387</xdr:colOff>
      <xdr:row>61</xdr:row>
      <xdr:rowOff>153129</xdr:rowOff>
    </xdr:from>
    <xdr:to>
      <xdr:col>4</xdr:col>
      <xdr:colOff>93370</xdr:colOff>
      <xdr:row>96</xdr:row>
      <xdr:rowOff>155058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601C356A-2B01-4929-B9A1-710CC7E01098}"/>
            </a:ext>
          </a:extLst>
        </xdr:cNvPr>
        <xdr:cNvCxnSpPr>
          <a:cxnSpLocks/>
          <a:stCxn id="46" idx="1"/>
          <a:endCxn id="72" idx="0"/>
        </xdr:cNvCxnSpPr>
      </xdr:nvCxnSpPr>
      <xdr:spPr>
        <a:xfrm rot="10800000" flipH="1" flipV="1">
          <a:off x="589799" y="10473747"/>
          <a:ext cx="310395" cy="3027517"/>
        </a:xfrm>
        <a:prstGeom prst="bentConnector4">
          <a:avLst>
            <a:gd name="adj1" fmla="val -75563"/>
            <a:gd name="adj2" fmla="val 78457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16666</xdr:colOff>
      <xdr:row>63</xdr:row>
      <xdr:rowOff>47647</xdr:rowOff>
    </xdr:from>
    <xdr:to>
      <xdr:col>5</xdr:col>
      <xdr:colOff>17259</xdr:colOff>
      <xdr:row>65</xdr:row>
      <xdr:rowOff>10941</xdr:rowOff>
    </xdr:to>
    <xdr:cxnSp macro="">
      <xdr:nvCxnSpPr>
        <xdr:cNvPr id="49" name="直線矢印コネクタ 27">
          <a:extLst>
            <a:ext uri="{FF2B5EF4-FFF2-40B4-BE49-F238E27FC236}">
              <a16:creationId xmlns:a16="http://schemas.microsoft.com/office/drawing/2014/main" id="{3E215164-B4DA-44A1-A301-BCD439AD012A}"/>
            </a:ext>
          </a:extLst>
        </xdr:cNvPr>
        <xdr:cNvCxnSpPr>
          <a:cxnSpLocks/>
        </xdr:cNvCxnSpPr>
      </xdr:nvCxnSpPr>
      <xdr:spPr>
        <a:xfrm>
          <a:off x="1025195" y="10704441"/>
          <a:ext cx="593" cy="2994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16703</xdr:colOff>
      <xdr:row>58</xdr:row>
      <xdr:rowOff>162503</xdr:rowOff>
    </xdr:from>
    <xdr:to>
      <xdr:col>5</xdr:col>
      <xdr:colOff>17372</xdr:colOff>
      <xdr:row>60</xdr:row>
      <xdr:rowOff>78207</xdr:rowOff>
    </xdr:to>
    <xdr:cxnSp macro="">
      <xdr:nvCxnSpPr>
        <xdr:cNvPr id="50" name="直線矢印コネクタ 27">
          <a:extLst>
            <a:ext uri="{FF2B5EF4-FFF2-40B4-BE49-F238E27FC236}">
              <a16:creationId xmlns:a16="http://schemas.microsoft.com/office/drawing/2014/main" id="{240CBE2E-0277-47A9-93EA-0B22B2940778}"/>
            </a:ext>
          </a:extLst>
        </xdr:cNvPr>
        <xdr:cNvCxnSpPr>
          <a:cxnSpLocks/>
          <a:stCxn id="39" idx="2"/>
          <a:endCxn id="46" idx="0"/>
        </xdr:cNvCxnSpPr>
      </xdr:nvCxnSpPr>
      <xdr:spPr>
        <a:xfrm flipH="1">
          <a:off x="1025232" y="9978856"/>
          <a:ext cx="669" cy="25188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91891</xdr:colOff>
      <xdr:row>63</xdr:row>
      <xdr:rowOff>75106</xdr:rowOff>
    </xdr:from>
    <xdr:to>
      <xdr:col>7</xdr:col>
      <xdr:colOff>172875</xdr:colOff>
      <xdr:row>64</xdr:row>
      <xdr:rowOff>106084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14D70E2A-A67E-4D3C-8C16-AA85FBB57CA6}"/>
            </a:ext>
          </a:extLst>
        </xdr:cNvPr>
        <xdr:cNvSpPr txBox="1"/>
      </xdr:nvSpPr>
      <xdr:spPr>
        <a:xfrm>
          <a:off x="1100420" y="10731900"/>
          <a:ext cx="484396" cy="199066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</xdr:col>
      <xdr:colOff>74612</xdr:colOff>
      <xdr:row>60</xdr:row>
      <xdr:rowOff>58123</xdr:rowOff>
    </xdr:from>
    <xdr:to>
      <xdr:col>3</xdr:col>
      <xdr:colOff>186787</xdr:colOff>
      <xdr:row>61</xdr:row>
      <xdr:rowOff>40888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CFFC4AF8-2C38-43ED-83BA-80EF5A90187B}"/>
            </a:ext>
          </a:extLst>
        </xdr:cNvPr>
        <xdr:cNvSpPr txBox="1"/>
      </xdr:nvSpPr>
      <xdr:spPr>
        <a:xfrm>
          <a:off x="276318" y="10210652"/>
          <a:ext cx="515587" cy="15085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16</xdr:col>
      <xdr:colOff>62155</xdr:colOff>
      <xdr:row>74</xdr:row>
      <xdr:rowOff>9525</xdr:rowOff>
    </xdr:from>
    <xdr:to>
      <xdr:col>21</xdr:col>
      <xdr:colOff>172916</xdr:colOff>
      <xdr:row>76</xdr:row>
      <xdr:rowOff>139909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94EA000E-AEC8-4021-B8EA-B92046E82534}"/>
            </a:ext>
          </a:extLst>
        </xdr:cNvPr>
        <xdr:cNvGrpSpPr/>
      </xdr:nvGrpSpPr>
      <xdr:grpSpPr>
        <a:xfrm>
          <a:off x="3398619" y="13476909"/>
          <a:ext cx="1154597" cy="490012"/>
          <a:chOff x="1596812" y="2429175"/>
          <a:chExt cx="1021509" cy="452408"/>
        </a:xfrm>
      </xdr:grpSpPr>
      <xdr:sp macro="" textlink="">
        <xdr:nvSpPr>
          <xdr:cNvPr id="54" name="フローチャート: 定義済み処理 53">
            <a:extLst>
              <a:ext uri="{FF2B5EF4-FFF2-40B4-BE49-F238E27FC236}">
                <a16:creationId xmlns:a16="http://schemas.microsoft.com/office/drawing/2014/main" id="{8AA0521B-9F13-4809-A5D1-018C358E01AB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5" name="正方形/長方形 48">
            <a:extLst>
              <a:ext uri="{FF2B5EF4-FFF2-40B4-BE49-F238E27FC236}">
                <a16:creationId xmlns:a16="http://schemas.microsoft.com/office/drawing/2014/main" id="{3AB73DFA-B178-437F-BDF5-1B72BBC09714}"/>
              </a:ext>
            </a:extLst>
          </xdr:cNvPr>
          <xdr:cNvSpPr/>
        </xdr:nvSpPr>
        <xdr:spPr>
          <a:xfrm>
            <a:off x="1596812" y="2429175"/>
            <a:ext cx="1021509" cy="4524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引当額登録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承認申請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2</xdr:col>
      <xdr:colOff>54747</xdr:colOff>
      <xdr:row>64</xdr:row>
      <xdr:rowOff>121834</xdr:rowOff>
    </xdr:from>
    <xdr:to>
      <xdr:col>7</xdr:col>
      <xdr:colOff>155154</xdr:colOff>
      <xdr:row>67</xdr:row>
      <xdr:rowOff>104061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98AB5769-745D-40F4-A35C-72BEF1A4DC71}"/>
            </a:ext>
          </a:extLst>
        </xdr:cNvPr>
        <xdr:cNvGrpSpPr/>
      </xdr:nvGrpSpPr>
      <xdr:grpSpPr>
        <a:xfrm>
          <a:off x="476091" y="11762506"/>
          <a:ext cx="1140433" cy="526431"/>
          <a:chOff x="4971968" y="3210664"/>
          <a:chExt cx="1105200" cy="484950"/>
        </a:xfrm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71D5ECEC-6EBE-42A1-8904-704D9C68EDC2}"/>
              </a:ext>
            </a:extLst>
          </xdr:cNvPr>
          <xdr:cNvSpPr/>
        </xdr:nvSpPr>
        <xdr:spPr>
          <a:xfrm>
            <a:off x="5103135" y="328712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8" name="正方形/長方形 48">
            <a:extLst>
              <a:ext uri="{FF2B5EF4-FFF2-40B4-BE49-F238E27FC236}">
                <a16:creationId xmlns:a16="http://schemas.microsoft.com/office/drawing/2014/main" id="{C1C96F7C-CC94-496A-9272-3A959F5712EA}"/>
              </a:ext>
            </a:extLst>
          </xdr:cNvPr>
          <xdr:cNvSpPr/>
        </xdr:nvSpPr>
        <xdr:spPr>
          <a:xfrm>
            <a:off x="4971968" y="3210664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8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貸倒引当額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算定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21</xdr:col>
      <xdr:colOff>48355</xdr:colOff>
      <xdr:row>75</xdr:row>
      <xdr:rowOff>56833</xdr:rowOff>
    </xdr:from>
    <xdr:to>
      <xdr:col>37</xdr:col>
      <xdr:colOff>33088</xdr:colOff>
      <xdr:row>75</xdr:row>
      <xdr:rowOff>63507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15C39ACC-465B-475D-AA7A-76B7DE923CB8}"/>
            </a:ext>
          </a:extLst>
        </xdr:cNvPr>
        <xdr:cNvCxnSpPr>
          <a:cxnSpLocks/>
          <a:stCxn id="54" idx="3"/>
          <a:endCxn id="95" idx="2"/>
        </xdr:cNvCxnSpPr>
      </xdr:nvCxnSpPr>
      <xdr:spPr>
        <a:xfrm flipV="1">
          <a:off x="4186803" y="12932005"/>
          <a:ext cx="1758354" cy="667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171436</xdr:colOff>
      <xdr:row>79</xdr:row>
      <xdr:rowOff>0</xdr:rowOff>
    </xdr:from>
    <xdr:to>
      <xdr:col>28</xdr:col>
      <xdr:colOff>16673</xdr:colOff>
      <xdr:row>82</xdr:row>
      <xdr:rowOff>39847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152A72F5-5B29-4B32-AA0D-EE8BAC84B08E}"/>
            </a:ext>
          </a:extLst>
        </xdr:cNvPr>
        <xdr:cNvGrpSpPr/>
      </xdr:nvGrpSpPr>
      <xdr:grpSpPr>
        <a:xfrm>
          <a:off x="4768123" y="14378836"/>
          <a:ext cx="1097839" cy="587860"/>
          <a:chOff x="1612901" y="2432650"/>
          <a:chExt cx="908902" cy="420662"/>
        </a:xfrm>
      </xdr:grpSpPr>
      <xdr:sp macro="" textlink="">
        <xdr:nvSpPr>
          <xdr:cNvPr id="65" name="フローチャート: 定義済み処理 64">
            <a:extLst>
              <a:ext uri="{FF2B5EF4-FFF2-40B4-BE49-F238E27FC236}">
                <a16:creationId xmlns:a16="http://schemas.microsoft.com/office/drawing/2014/main" id="{E286A634-F467-4EE4-B58C-82CFE52DB3EC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6" name="正方形/長方形 48">
            <a:extLst>
              <a:ext uri="{FF2B5EF4-FFF2-40B4-BE49-F238E27FC236}">
                <a16:creationId xmlns:a16="http://schemas.microsoft.com/office/drawing/2014/main" id="{A43E7BC0-F594-43E2-B58E-DC22AC6715D7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11</a:t>
            </a:r>
            <a:r>
              <a:rPr kumimoji="1" lang="ja-JP" altLang="en-US" sz="900"/>
              <a:t>．貸倒引当の承認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5</xdr:col>
      <xdr:colOff>14555</xdr:colOff>
      <xdr:row>72</xdr:row>
      <xdr:rowOff>69696</xdr:rowOff>
    </xdr:from>
    <xdr:to>
      <xdr:col>18</xdr:col>
      <xdr:colOff>201687</xdr:colOff>
      <xdr:row>74</xdr:row>
      <xdr:rowOff>39151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EAF14A95-BB97-46F0-AFDD-53D87FB643FE}"/>
            </a:ext>
          </a:extLst>
        </xdr:cNvPr>
        <xdr:cNvCxnSpPr>
          <a:cxnSpLocks/>
          <a:stCxn id="102" idx="2"/>
          <a:endCxn id="54" idx="0"/>
        </xdr:cNvCxnSpPr>
      </xdr:nvCxnSpPr>
      <xdr:spPr>
        <a:xfrm rot="16200000" flipH="1">
          <a:off x="2271188" y="11237710"/>
          <a:ext cx="313102" cy="280930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16673</xdr:colOff>
      <xdr:row>80</xdr:row>
      <xdr:rowOff>90307</xdr:rowOff>
    </xdr:from>
    <xdr:to>
      <xdr:col>37</xdr:col>
      <xdr:colOff>42251</xdr:colOff>
      <xdr:row>80</xdr:row>
      <xdr:rowOff>105320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6EF2CBD-20B6-418B-9B89-3D031B41A7DB}"/>
            </a:ext>
          </a:extLst>
        </xdr:cNvPr>
        <xdr:cNvCxnSpPr>
          <a:stCxn id="66" idx="3"/>
          <a:endCxn id="98" idx="2"/>
        </xdr:cNvCxnSpPr>
      </xdr:nvCxnSpPr>
      <xdr:spPr>
        <a:xfrm flipV="1">
          <a:off x="5534604" y="13819445"/>
          <a:ext cx="419716" cy="1501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112564</xdr:colOff>
      <xdr:row>96</xdr:row>
      <xdr:rowOff>155058</xdr:rowOff>
    </xdr:from>
    <xdr:to>
      <xdr:col>6</xdr:col>
      <xdr:colOff>55129</xdr:colOff>
      <xdr:row>98</xdr:row>
      <xdr:rowOff>75683</xdr:rowOff>
    </xdr:to>
    <xdr:sp macro="" textlink="">
      <xdr:nvSpPr>
        <xdr:cNvPr id="72" name="フローチャート: 端子 26">
          <a:extLst>
            <a:ext uri="{FF2B5EF4-FFF2-40B4-BE49-F238E27FC236}">
              <a16:creationId xmlns:a16="http://schemas.microsoft.com/office/drawing/2014/main" id="{FADF5232-2751-47FC-A8E2-0E98E397C75D}"/>
            </a:ext>
          </a:extLst>
        </xdr:cNvPr>
        <xdr:cNvSpPr/>
      </xdr:nvSpPr>
      <xdr:spPr>
        <a:xfrm>
          <a:off x="515976" y="13501264"/>
          <a:ext cx="749388" cy="25680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25</xdr:col>
      <xdr:colOff>122069</xdr:colOff>
      <xdr:row>82</xdr:row>
      <xdr:rowOff>12176</xdr:rowOff>
    </xdr:from>
    <xdr:to>
      <xdr:col>32</xdr:col>
      <xdr:colOff>19128</xdr:colOff>
      <xdr:row>84</xdr:row>
      <xdr:rowOff>12648</xdr:rowOff>
    </xdr:to>
    <xdr:cxnSp macro="">
      <xdr:nvCxnSpPr>
        <xdr:cNvPr id="73" name="コネクタ: カギ線 72">
          <a:extLst>
            <a:ext uri="{FF2B5EF4-FFF2-40B4-BE49-F238E27FC236}">
              <a16:creationId xmlns:a16="http://schemas.microsoft.com/office/drawing/2014/main" id="{8207B2A5-6574-40C0-A829-3823117E9FB1}"/>
            </a:ext>
          </a:extLst>
        </xdr:cNvPr>
        <xdr:cNvCxnSpPr>
          <a:cxnSpLocks/>
          <a:stCxn id="65" idx="2"/>
          <a:endCxn id="61" idx="0"/>
        </xdr:cNvCxnSpPr>
      </xdr:nvCxnSpPr>
      <xdr:spPr>
        <a:xfrm rot="16200000" flipH="1">
          <a:off x="5478735" y="13522838"/>
          <a:ext cx="339719" cy="126709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35972</xdr:colOff>
      <xdr:row>16</xdr:row>
      <xdr:rowOff>100407</xdr:rowOff>
    </xdr:from>
    <xdr:to>
      <xdr:col>4</xdr:col>
      <xdr:colOff>136026</xdr:colOff>
      <xdr:row>26</xdr:row>
      <xdr:rowOff>43007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F543C708-6727-42CB-AC15-CB130022FF56}"/>
            </a:ext>
          </a:extLst>
        </xdr:cNvPr>
        <xdr:cNvCxnSpPr>
          <a:cxnSpLocks/>
          <a:stCxn id="8" idx="2"/>
          <a:endCxn id="20" idx="0"/>
        </xdr:cNvCxnSpPr>
      </xdr:nvCxnSpPr>
      <xdr:spPr>
        <a:xfrm rot="5400000">
          <a:off x="81082" y="3618768"/>
          <a:ext cx="1623482" cy="10005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75674</xdr:colOff>
      <xdr:row>34</xdr:row>
      <xdr:rowOff>25099</xdr:rowOff>
    </xdr:from>
    <xdr:to>
      <xdr:col>13</xdr:col>
      <xdr:colOff>193437</xdr:colOff>
      <xdr:row>37</xdr:row>
      <xdr:rowOff>4164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6672DFED-F74A-46D2-9C7D-8EBE31FE11E3}"/>
            </a:ext>
          </a:extLst>
        </xdr:cNvPr>
        <xdr:cNvGrpSpPr/>
      </xdr:nvGrpSpPr>
      <xdr:grpSpPr>
        <a:xfrm>
          <a:off x="1745811" y="6179919"/>
          <a:ext cx="1161599" cy="532794"/>
          <a:chOff x="5060408" y="3251024"/>
          <a:chExt cx="1105200" cy="484950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F73DA4FD-49F6-485B-9DA1-4122E0C4F14B}"/>
              </a:ext>
            </a:extLst>
          </xdr:cNvPr>
          <xdr:cNvSpPr/>
        </xdr:nvSpPr>
        <xdr:spPr>
          <a:xfrm>
            <a:off x="5153357" y="3294050"/>
            <a:ext cx="877757" cy="40164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0" name="正方形/長方形 48">
            <a:extLst>
              <a:ext uri="{FF2B5EF4-FFF2-40B4-BE49-F238E27FC236}">
                <a16:creationId xmlns:a16="http://schemas.microsoft.com/office/drawing/2014/main" id="{23BD393B-48F1-4133-8617-C40C8972AEAE}"/>
              </a:ext>
            </a:extLst>
          </xdr:cNvPr>
          <xdr:cNvSpPr/>
        </xdr:nvSpPr>
        <xdr:spPr>
          <a:xfrm>
            <a:off x="5060408" y="3251024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滞留債権報告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確認・承認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4</xdr:col>
      <xdr:colOff>56517</xdr:colOff>
      <xdr:row>32</xdr:row>
      <xdr:rowOff>116955</xdr:rowOff>
    </xdr:from>
    <xdr:to>
      <xdr:col>11</xdr:col>
      <xdr:colOff>12724</xdr:colOff>
      <xdr:row>34</xdr:row>
      <xdr:rowOff>69602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18550059-6356-40CA-AD07-713BAFA117C1}"/>
            </a:ext>
          </a:extLst>
        </xdr:cNvPr>
        <xdr:cNvCxnSpPr>
          <a:cxnSpLocks/>
          <a:stCxn id="26" idx="2"/>
          <a:endCxn id="79" idx="0"/>
        </xdr:cNvCxnSpPr>
      </xdr:nvCxnSpPr>
      <xdr:spPr>
        <a:xfrm rot="16200000" flipH="1">
          <a:off x="1394519" y="5201525"/>
          <a:ext cx="300989" cy="136590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7948</xdr:colOff>
      <xdr:row>55</xdr:row>
      <xdr:rowOff>113931</xdr:rowOff>
    </xdr:from>
    <xdr:to>
      <xdr:col>49</xdr:col>
      <xdr:colOff>31278</xdr:colOff>
      <xdr:row>59</xdr:row>
      <xdr:rowOff>93641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2EB81A77-2A32-4B66-9FDD-856EBDF0E10E}"/>
            </a:ext>
          </a:extLst>
        </xdr:cNvPr>
        <xdr:cNvGrpSpPr>
          <a:grpSpLocks noChangeAspect="1"/>
        </xdr:cNvGrpSpPr>
      </xdr:nvGrpSpPr>
      <xdr:grpSpPr>
        <a:xfrm>
          <a:off x="9195606" y="10108657"/>
          <a:ext cx="1063356" cy="714205"/>
          <a:chOff x="7112003" y="2892425"/>
          <a:chExt cx="873125" cy="584984"/>
        </a:xfrm>
      </xdr:grpSpPr>
      <xdr:sp macro="" textlink="">
        <xdr:nvSpPr>
          <xdr:cNvPr id="92" name="フローチャート: 磁気ディスク 91">
            <a:extLst>
              <a:ext uri="{FF2B5EF4-FFF2-40B4-BE49-F238E27FC236}">
                <a16:creationId xmlns:a16="http://schemas.microsoft.com/office/drawing/2014/main" id="{2B1D577F-078E-46B8-881F-41E7EC34A20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42D326A7-3823-4F35-8BB2-9A6074CA267C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MDM</a:t>
            </a:r>
            <a:endParaRPr kumimoji="1" lang="ja-JP" altLang="en-US" sz="900"/>
          </a:p>
        </xdr:txBody>
      </xdr:sp>
    </xdr:grpSp>
    <xdr:clientData/>
  </xdr:twoCellAnchor>
  <xdr:twoCellAnchor>
    <xdr:from>
      <xdr:col>36</xdr:col>
      <xdr:colOff>123121</xdr:colOff>
      <xdr:row>73</xdr:row>
      <xdr:rowOff>100229</xdr:rowOff>
    </xdr:from>
    <xdr:to>
      <xdr:col>41</xdr:col>
      <xdr:colOff>152801</xdr:colOff>
      <xdr:row>77</xdr:row>
      <xdr:rowOff>67239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B523CD32-87A3-4645-A2BF-3807D09125CD}"/>
            </a:ext>
          </a:extLst>
        </xdr:cNvPr>
        <xdr:cNvGrpSpPr>
          <a:grpSpLocks noChangeAspect="1"/>
        </xdr:cNvGrpSpPr>
      </xdr:nvGrpSpPr>
      <xdr:grpSpPr>
        <a:xfrm>
          <a:off x="7640642" y="13379227"/>
          <a:ext cx="1071611" cy="699600"/>
          <a:chOff x="7112003" y="2892425"/>
          <a:chExt cx="873125" cy="584984"/>
        </a:xfrm>
      </xdr:grpSpPr>
      <xdr:sp macro="" textlink="">
        <xdr:nvSpPr>
          <xdr:cNvPr id="95" name="フローチャート: 磁気ディスク 94">
            <a:extLst>
              <a:ext uri="{FF2B5EF4-FFF2-40B4-BE49-F238E27FC236}">
                <a16:creationId xmlns:a16="http://schemas.microsoft.com/office/drawing/2014/main" id="{D63EA9EE-8223-4ACA-946C-F8E2E57A470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77AA7D2B-28D3-4D08-9F7B-7774DC473C70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36</xdr:col>
      <xdr:colOff>133289</xdr:colOff>
      <xdr:row>78</xdr:row>
      <xdr:rowOff>130792</xdr:rowOff>
    </xdr:from>
    <xdr:to>
      <xdr:col>41</xdr:col>
      <xdr:colOff>153444</xdr:colOff>
      <xdr:row>82</xdr:row>
      <xdr:rowOff>104152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4C8D1F62-82DE-42B3-8435-375C053D33A4}"/>
            </a:ext>
          </a:extLst>
        </xdr:cNvPr>
        <xdr:cNvGrpSpPr>
          <a:grpSpLocks noChangeAspect="1"/>
        </xdr:cNvGrpSpPr>
      </xdr:nvGrpSpPr>
      <xdr:grpSpPr>
        <a:xfrm>
          <a:off x="7652715" y="14330766"/>
          <a:ext cx="1060181" cy="698330"/>
          <a:chOff x="7112003" y="2892425"/>
          <a:chExt cx="873125" cy="584984"/>
        </a:xfrm>
      </xdr:grpSpPr>
      <xdr:sp macro="" textlink="">
        <xdr:nvSpPr>
          <xdr:cNvPr id="98" name="フローチャート: 磁気ディスク 97">
            <a:extLst>
              <a:ext uri="{FF2B5EF4-FFF2-40B4-BE49-F238E27FC236}">
                <a16:creationId xmlns:a16="http://schemas.microsoft.com/office/drawing/2014/main" id="{3B6FFAF0-3396-4912-902B-573540F3D92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EFC26F70-7FEB-459A-88A7-D9F557D0B469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0</xdr:col>
      <xdr:colOff>163790</xdr:colOff>
      <xdr:row>12</xdr:row>
      <xdr:rowOff>141383</xdr:rowOff>
    </xdr:from>
    <xdr:to>
      <xdr:col>49</xdr:col>
      <xdr:colOff>112059</xdr:colOff>
      <xdr:row>23</xdr:row>
      <xdr:rowOff>83298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219B175B-C953-412F-81EC-C8A235D7A11D}"/>
            </a:ext>
          </a:extLst>
        </xdr:cNvPr>
        <xdr:cNvSpPr/>
      </xdr:nvSpPr>
      <xdr:spPr>
        <a:xfrm>
          <a:off x="163790" y="2225677"/>
          <a:ext cx="5596034" cy="1790886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</xdr:col>
      <xdr:colOff>131283</xdr:colOff>
      <xdr:row>36</xdr:row>
      <xdr:rowOff>136677</xdr:rowOff>
    </xdr:from>
    <xdr:to>
      <xdr:col>11</xdr:col>
      <xdr:colOff>12725</xdr:colOff>
      <xdr:row>43</xdr:row>
      <xdr:rowOff>10756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13A3A9D0-43AF-4E46-97E0-A4DEDAFB00E1}"/>
            </a:ext>
          </a:extLst>
        </xdr:cNvPr>
        <xdr:cNvCxnSpPr>
          <a:cxnSpLocks/>
          <a:stCxn id="79" idx="2"/>
          <a:endCxn id="13" idx="0"/>
        </xdr:cNvCxnSpPr>
      </xdr:nvCxnSpPr>
      <xdr:spPr>
        <a:xfrm rot="5400000">
          <a:off x="1035757" y="6351460"/>
          <a:ext cx="1093279" cy="129114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112059</xdr:colOff>
      <xdr:row>55</xdr:row>
      <xdr:rowOff>25588</xdr:rowOff>
    </xdr:from>
    <xdr:to>
      <xdr:col>49</xdr:col>
      <xdr:colOff>123264</xdr:colOff>
      <xdr:row>59</xdr:row>
      <xdr:rowOff>161739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F6E77069-DAAB-4027-A557-FD773C3C2F7A}"/>
            </a:ext>
          </a:extLst>
        </xdr:cNvPr>
        <xdr:cNvSpPr/>
      </xdr:nvSpPr>
      <xdr:spPr>
        <a:xfrm>
          <a:off x="112059" y="9337676"/>
          <a:ext cx="5658970" cy="808504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</xdr:col>
      <xdr:colOff>83847</xdr:colOff>
      <xdr:row>86</xdr:row>
      <xdr:rowOff>126621</xdr:rowOff>
    </xdr:from>
    <xdr:to>
      <xdr:col>32</xdr:col>
      <xdr:colOff>19128</xdr:colOff>
      <xdr:row>96</xdr:row>
      <xdr:rowOff>155057</xdr:rowOff>
    </xdr:to>
    <xdr:cxnSp macro="">
      <xdr:nvCxnSpPr>
        <xdr:cNvPr id="76" name="コネクタ: カギ線 75">
          <a:extLst>
            <a:ext uri="{FF2B5EF4-FFF2-40B4-BE49-F238E27FC236}">
              <a16:creationId xmlns:a16="http://schemas.microsoft.com/office/drawing/2014/main" id="{4FAF1C41-BE42-4033-AEF6-CF5099C63239}"/>
            </a:ext>
          </a:extLst>
        </xdr:cNvPr>
        <xdr:cNvCxnSpPr>
          <a:cxnSpLocks/>
          <a:stCxn id="61" idx="2"/>
          <a:endCxn id="72" idx="0"/>
        </xdr:cNvCxnSpPr>
      </xdr:nvCxnSpPr>
      <xdr:spPr>
        <a:xfrm rot="5400000">
          <a:off x="2712098" y="12934089"/>
          <a:ext cx="1724669" cy="541541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77905</xdr:colOff>
      <xdr:row>69</xdr:row>
      <xdr:rowOff>165943</xdr:rowOff>
    </xdr:from>
    <xdr:to>
      <xdr:col>7</xdr:col>
      <xdr:colOff>152912</xdr:colOff>
      <xdr:row>72</xdr:row>
      <xdr:rowOff>69696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3D1887F6-0AD1-48B1-BC45-2E610C75BCB5}"/>
            </a:ext>
          </a:extLst>
        </xdr:cNvPr>
        <xdr:cNvGrpSpPr/>
      </xdr:nvGrpSpPr>
      <xdr:grpSpPr>
        <a:xfrm>
          <a:off x="495439" y="12721876"/>
          <a:ext cx="1118843" cy="446052"/>
          <a:chOff x="4971968" y="3287127"/>
          <a:chExt cx="1105200" cy="408486"/>
        </a:xfrm>
      </xdr:grpSpPr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8A9E918B-0877-6C07-2D18-44F974AA7CCF}"/>
              </a:ext>
            </a:extLst>
          </xdr:cNvPr>
          <xdr:cNvSpPr/>
        </xdr:nvSpPr>
        <xdr:spPr>
          <a:xfrm>
            <a:off x="5103135" y="328712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2" name="正方形/長方形 48">
            <a:extLst>
              <a:ext uri="{FF2B5EF4-FFF2-40B4-BE49-F238E27FC236}">
                <a16:creationId xmlns:a16="http://schemas.microsoft.com/office/drawing/2014/main" id="{7EC7260A-3050-191A-94B9-1045DCFADCAB}"/>
              </a:ext>
            </a:extLst>
          </xdr:cNvPr>
          <xdr:cNvSpPr/>
        </xdr:nvSpPr>
        <xdr:spPr>
          <a:xfrm>
            <a:off x="4971968" y="3314693"/>
            <a:ext cx="1105200" cy="3809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貸倒引当金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登録依頼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5</xdr:col>
      <xdr:colOff>23132</xdr:colOff>
      <xdr:row>67</xdr:row>
      <xdr:rowOff>99629</xdr:rowOff>
    </xdr:from>
    <xdr:to>
      <xdr:col>5</xdr:col>
      <xdr:colOff>33156</xdr:colOff>
      <xdr:row>69</xdr:row>
      <xdr:rowOff>162768</xdr:rowOff>
    </xdr:to>
    <xdr:cxnSp macro="">
      <xdr:nvCxnSpPr>
        <xdr:cNvPr id="103" name="直線矢印コネクタ 27">
          <a:extLst>
            <a:ext uri="{FF2B5EF4-FFF2-40B4-BE49-F238E27FC236}">
              <a16:creationId xmlns:a16="http://schemas.microsoft.com/office/drawing/2014/main" id="{3E8EAB81-1538-4012-BEA3-435A969905E8}"/>
            </a:ext>
          </a:extLst>
        </xdr:cNvPr>
        <xdr:cNvCxnSpPr>
          <a:cxnSpLocks/>
          <a:stCxn id="57" idx="2"/>
          <a:endCxn id="101" idx="0"/>
        </xdr:cNvCxnSpPr>
      </xdr:nvCxnSpPr>
      <xdr:spPr>
        <a:xfrm>
          <a:off x="1030061" y="11812658"/>
          <a:ext cx="10024" cy="41148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2295</xdr:colOff>
      <xdr:row>76</xdr:row>
      <xdr:rowOff>90841</xdr:rowOff>
    </xdr:from>
    <xdr:to>
      <xdr:col>25</xdr:col>
      <xdr:colOff>122860</xdr:colOff>
      <xdr:row>79</xdr:row>
      <xdr:rowOff>32494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D90C27BE-453C-4D8A-B772-9988CA41CA83}"/>
            </a:ext>
          </a:extLst>
        </xdr:cNvPr>
        <xdr:cNvCxnSpPr>
          <a:cxnSpLocks/>
          <a:stCxn id="54" idx="2"/>
          <a:endCxn id="65" idx="0"/>
        </xdr:cNvCxnSpPr>
      </xdr:nvCxnSpPr>
      <xdr:spPr>
        <a:xfrm rot="16200000" flipH="1">
          <a:off x="4247659" y="12669635"/>
          <a:ext cx="452995" cy="132372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179301</xdr:colOff>
      <xdr:row>83</xdr:row>
      <xdr:rowOff>159751</xdr:rowOff>
    </xdr:from>
    <xdr:to>
      <xdr:col>41</xdr:col>
      <xdr:colOff>164294</xdr:colOff>
      <xdr:row>87</xdr:row>
      <xdr:rowOff>53049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4ECDAC6-9A5C-4EDA-A747-9C707CD57482}"/>
            </a:ext>
          </a:extLst>
        </xdr:cNvPr>
        <xdr:cNvGrpSpPr/>
      </xdr:nvGrpSpPr>
      <xdr:grpSpPr>
        <a:xfrm>
          <a:off x="7693012" y="15271177"/>
          <a:ext cx="1034544" cy="625887"/>
          <a:chOff x="7113907" y="2892425"/>
          <a:chExt cx="917588" cy="591189"/>
        </a:xfrm>
      </xdr:grpSpPr>
      <xdr:sp macro="" textlink="">
        <xdr:nvSpPr>
          <xdr:cNvPr id="18" name="フローチャート: 磁気ディスク 17">
            <a:extLst>
              <a:ext uri="{FF2B5EF4-FFF2-40B4-BE49-F238E27FC236}">
                <a16:creationId xmlns:a16="http://schemas.microsoft.com/office/drawing/2014/main" id="{BA4ADDE1-323B-2FB7-252A-0B0C5D2BAA2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54FA857B-D437-565E-0044-F430E0E51CDE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34</xdr:col>
      <xdr:colOff>121287</xdr:colOff>
      <xdr:row>85</xdr:row>
      <xdr:rowOff>69636</xdr:rowOff>
    </xdr:from>
    <xdr:to>
      <xdr:col>37</xdr:col>
      <xdr:colOff>78269</xdr:colOff>
      <xdr:row>85</xdr:row>
      <xdr:rowOff>79990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CFED1B25-70EC-4941-B3D1-38C867C25A4A}"/>
            </a:ext>
          </a:extLst>
        </xdr:cNvPr>
        <xdr:cNvCxnSpPr>
          <a:cxnSpLocks/>
          <a:stCxn id="61" idx="3"/>
          <a:endCxn id="18" idx="2"/>
        </xdr:cNvCxnSpPr>
      </xdr:nvCxnSpPr>
      <xdr:spPr>
        <a:xfrm>
          <a:off x="6775739" y="14552855"/>
          <a:ext cx="544140" cy="10354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156575</xdr:colOff>
      <xdr:row>83</xdr:row>
      <xdr:rowOff>152271</xdr:rowOff>
    </xdr:from>
    <xdr:to>
      <xdr:col>34</xdr:col>
      <xdr:colOff>145255</xdr:colOff>
      <xdr:row>86</xdr:row>
      <xdr:rowOff>152282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67F540AC-C2A1-492C-916A-A082A8DDB9C5}"/>
            </a:ext>
          </a:extLst>
        </xdr:cNvPr>
        <xdr:cNvGrpSpPr/>
      </xdr:nvGrpSpPr>
      <xdr:grpSpPr>
        <a:xfrm>
          <a:off x="6003959" y="15261792"/>
          <a:ext cx="1237473" cy="548024"/>
          <a:chOff x="1556092" y="2432650"/>
          <a:chExt cx="965711" cy="420662"/>
        </a:xfrm>
      </xdr:grpSpPr>
      <xdr:sp macro="" textlink="">
        <xdr:nvSpPr>
          <xdr:cNvPr id="61" name="フローチャート: 定義済み処理 60">
            <a:extLst>
              <a:ext uri="{FF2B5EF4-FFF2-40B4-BE49-F238E27FC236}">
                <a16:creationId xmlns:a16="http://schemas.microsoft.com/office/drawing/2014/main" id="{38A1842B-6E3C-8192-E69D-F8D8F565310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4" name="正方形/長方形 48">
            <a:extLst>
              <a:ext uri="{FF2B5EF4-FFF2-40B4-BE49-F238E27FC236}">
                <a16:creationId xmlns:a16="http://schemas.microsoft.com/office/drawing/2014/main" id="{42AB5BAF-475B-18EB-DAD7-B47AAE1A703E}"/>
              </a:ext>
            </a:extLst>
          </xdr:cNvPr>
          <xdr:cNvSpPr/>
        </xdr:nvSpPr>
        <xdr:spPr>
          <a:xfrm>
            <a:off x="1556092" y="2432650"/>
            <a:ext cx="965711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12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179765</xdr:colOff>
      <xdr:row>13</xdr:row>
      <xdr:rowOff>70577</xdr:rowOff>
    </xdr:from>
    <xdr:to>
      <xdr:col>49</xdr:col>
      <xdr:colOff>10084</xdr:colOff>
      <xdr:row>17</xdr:row>
      <xdr:rowOff>56637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F0B7856-10FB-4360-BB71-EFE287D26192}"/>
            </a:ext>
          </a:extLst>
        </xdr:cNvPr>
        <xdr:cNvGrpSpPr>
          <a:grpSpLocks noChangeAspect="1"/>
        </xdr:cNvGrpSpPr>
      </xdr:nvGrpSpPr>
      <xdr:grpSpPr>
        <a:xfrm>
          <a:off x="9279527" y="2381886"/>
          <a:ext cx="1104129" cy="702371"/>
          <a:chOff x="7112003" y="2892425"/>
          <a:chExt cx="873125" cy="584984"/>
        </a:xfrm>
      </xdr:grpSpPr>
      <xdr:sp macro="" textlink="">
        <xdr:nvSpPr>
          <xdr:cNvPr id="3" name="フローチャート: 磁気ディスク 2">
            <a:extLst>
              <a:ext uri="{FF2B5EF4-FFF2-40B4-BE49-F238E27FC236}">
                <a16:creationId xmlns:a16="http://schemas.microsoft.com/office/drawing/2014/main" id="{C1FE9B6D-D094-3688-52CE-627CA715003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BA42B2A3-4F22-90D1-1296-EB520209C3BC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顧客窓口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支援システム</a:t>
            </a:r>
          </a:p>
        </xdr:txBody>
      </xdr:sp>
    </xdr:grpSp>
    <xdr:clientData/>
  </xdr:twoCellAnchor>
  <xdr:twoCellAnchor>
    <xdr:from>
      <xdr:col>4</xdr:col>
      <xdr:colOff>133817</xdr:colOff>
      <xdr:row>12</xdr:row>
      <xdr:rowOff>34645</xdr:rowOff>
    </xdr:from>
    <xdr:to>
      <xdr:col>4</xdr:col>
      <xdr:colOff>137502</xdr:colOff>
      <xdr:row>14</xdr:row>
      <xdr:rowOff>45504</xdr:rowOff>
    </xdr:to>
    <xdr:cxnSp macro="">
      <xdr:nvCxnSpPr>
        <xdr:cNvPr id="5" name="直線矢印コネクタ 27">
          <a:extLst>
            <a:ext uri="{FF2B5EF4-FFF2-40B4-BE49-F238E27FC236}">
              <a16:creationId xmlns:a16="http://schemas.microsoft.com/office/drawing/2014/main" id="{2E3F7B7F-38F6-4564-83C4-813D081C06CE}"/>
            </a:ext>
          </a:extLst>
        </xdr:cNvPr>
        <xdr:cNvCxnSpPr>
          <a:cxnSpLocks/>
          <a:endCxn id="11" idx="0"/>
        </xdr:cNvCxnSpPr>
      </xdr:nvCxnSpPr>
      <xdr:spPr>
        <a:xfrm flipH="1">
          <a:off x="933917" y="2146020"/>
          <a:ext cx="6860" cy="3601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179116</xdr:colOff>
      <xdr:row>15</xdr:row>
      <xdr:rowOff>70557</xdr:rowOff>
    </xdr:from>
    <xdr:to>
      <xdr:col>44</xdr:col>
      <xdr:colOff>86409</xdr:colOff>
      <xdr:row>15</xdr:row>
      <xdr:rowOff>71328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71A081D-D6F7-4D52-8489-4FB8A3FFAAB5}"/>
            </a:ext>
          </a:extLst>
        </xdr:cNvPr>
        <xdr:cNvCxnSpPr>
          <a:cxnSpLocks/>
          <a:endCxn id="11" idx="3"/>
        </xdr:cNvCxnSpPr>
      </xdr:nvCxnSpPr>
      <xdr:spPr>
        <a:xfrm flipH="1" flipV="1">
          <a:off x="1382441" y="2696282"/>
          <a:ext cx="3301368" cy="77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932</xdr:colOff>
      <xdr:row>14</xdr:row>
      <xdr:rowOff>10830</xdr:rowOff>
    </xdr:from>
    <xdr:to>
      <xdr:col>7</xdr:col>
      <xdr:colOff>104327</xdr:colOff>
      <xdr:row>16</xdr:row>
      <xdr:rowOff>152693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611C822E-65CD-42D9-AE1C-DAC0288C91DB}"/>
            </a:ext>
          </a:extLst>
        </xdr:cNvPr>
        <xdr:cNvGrpSpPr/>
      </xdr:nvGrpSpPr>
      <xdr:grpSpPr>
        <a:xfrm>
          <a:off x="424265" y="2507378"/>
          <a:ext cx="1159824" cy="487696"/>
          <a:chOff x="1596812" y="2429175"/>
          <a:chExt cx="1021509" cy="452408"/>
        </a:xfrm>
      </xdr:grpSpPr>
      <xdr:sp macro="" textlink="">
        <xdr:nvSpPr>
          <xdr:cNvPr id="11" name="フローチャート: 定義済み処理 10">
            <a:extLst>
              <a:ext uri="{FF2B5EF4-FFF2-40B4-BE49-F238E27FC236}">
                <a16:creationId xmlns:a16="http://schemas.microsoft.com/office/drawing/2014/main" id="{2ACF73D1-A6D6-5096-C35B-C5684DB3210D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" name="正方形/長方形 48">
            <a:extLst>
              <a:ext uri="{FF2B5EF4-FFF2-40B4-BE49-F238E27FC236}">
                <a16:creationId xmlns:a16="http://schemas.microsoft.com/office/drawing/2014/main" id="{3D882370-E1F9-7200-F3DD-491CA32574C3}"/>
              </a:ext>
            </a:extLst>
          </xdr:cNvPr>
          <xdr:cNvSpPr/>
        </xdr:nvSpPr>
        <xdr:spPr>
          <a:xfrm>
            <a:off x="1596812" y="2429175"/>
            <a:ext cx="1021509" cy="4524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１．未回収</a:t>
            </a:r>
            <a:endParaRPr lang="ja-JP" altLang="ja-JP" sz="900">
              <a:effectLst/>
            </a:endParaRPr>
          </a:p>
          <a:p>
            <a:pPr algn="ctr"/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データ確認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2</xdr:col>
      <xdr:colOff>146983</xdr:colOff>
      <xdr:row>10</xdr:row>
      <xdr:rowOff>99733</xdr:rowOff>
    </xdr:from>
    <xdr:to>
      <xdr:col>6</xdr:col>
      <xdr:colOff>52278</xdr:colOff>
      <xdr:row>12</xdr:row>
      <xdr:rowOff>23533</xdr:rowOff>
    </xdr:to>
    <xdr:sp macro="" textlink="">
      <xdr:nvSpPr>
        <xdr:cNvPr id="13" name="フローチャート: 端子 26">
          <a:extLst>
            <a:ext uri="{FF2B5EF4-FFF2-40B4-BE49-F238E27FC236}">
              <a16:creationId xmlns:a16="http://schemas.microsoft.com/office/drawing/2014/main" id="{232A6C4D-F9CC-413F-96E1-F27903A19335}"/>
            </a:ext>
          </a:extLst>
        </xdr:cNvPr>
        <xdr:cNvSpPr/>
      </xdr:nvSpPr>
      <xdr:spPr>
        <a:xfrm>
          <a:off x="543858" y="1874558"/>
          <a:ext cx="705395" cy="2667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</xdr:col>
      <xdr:colOff>11203</xdr:colOff>
      <xdr:row>43</xdr:row>
      <xdr:rowOff>0</xdr:rowOff>
    </xdr:from>
    <xdr:to>
      <xdr:col>7</xdr:col>
      <xdr:colOff>49976</xdr:colOff>
      <xdr:row>46</xdr:row>
      <xdr:rowOff>8024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DF576153-2D09-4A85-8857-DF7CA1437C44}"/>
            </a:ext>
          </a:extLst>
        </xdr:cNvPr>
        <xdr:cNvGrpSpPr/>
      </xdr:nvGrpSpPr>
      <xdr:grpSpPr>
        <a:xfrm>
          <a:off x="436441" y="7740952"/>
          <a:ext cx="1099012" cy="554215"/>
          <a:chOff x="287474" y="4845794"/>
          <a:chExt cx="1021504" cy="505814"/>
        </a:xfrm>
      </xdr:grpSpPr>
      <xdr:sp macro="" textlink="">
        <xdr:nvSpPr>
          <xdr:cNvPr id="15" name="フローチャート: 判断 14">
            <a:extLst>
              <a:ext uri="{FF2B5EF4-FFF2-40B4-BE49-F238E27FC236}">
                <a16:creationId xmlns:a16="http://schemas.microsoft.com/office/drawing/2014/main" id="{EE044F28-AC41-6EC0-E038-16F1E7D33B54}"/>
              </a:ext>
            </a:extLst>
          </xdr:cNvPr>
          <xdr:cNvSpPr/>
        </xdr:nvSpPr>
        <xdr:spPr>
          <a:xfrm>
            <a:off x="368300" y="4845794"/>
            <a:ext cx="848033" cy="484567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48">
            <a:extLst>
              <a:ext uri="{FF2B5EF4-FFF2-40B4-BE49-F238E27FC236}">
                <a16:creationId xmlns:a16="http://schemas.microsoft.com/office/drawing/2014/main" id="{027CD0E6-A140-9055-5B91-820ADCC68553}"/>
              </a:ext>
            </a:extLst>
          </xdr:cNvPr>
          <xdr:cNvSpPr/>
        </xdr:nvSpPr>
        <xdr:spPr>
          <a:xfrm>
            <a:off x="287474" y="4856050"/>
            <a:ext cx="1021504" cy="495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与信額変更</a:t>
            </a:r>
            <a:br>
              <a:rPr kumimoji="1" lang="en-US" altLang="ja-JP" sz="900"/>
            </a:br>
            <a:r>
              <a:rPr kumimoji="1" lang="ja-JP" altLang="en-US" sz="900"/>
              <a:t>必要</a:t>
            </a:r>
            <a:r>
              <a:rPr kumimoji="1" lang="en-US" altLang="ja-JP" sz="900"/>
              <a:t>?</a:t>
            </a:r>
            <a:endParaRPr kumimoji="1" lang="ja-JP" altLang="en-US" sz="900"/>
          </a:p>
        </xdr:txBody>
      </xdr:sp>
    </xdr:grpSp>
    <xdr:clientData/>
  </xdr:twoCellAnchor>
  <xdr:twoCellAnchor>
    <xdr:from>
      <xdr:col>2</xdr:col>
      <xdr:colOff>92378</xdr:colOff>
      <xdr:row>44</xdr:row>
      <xdr:rowOff>76442</xdr:rowOff>
    </xdr:from>
    <xdr:to>
      <xdr:col>5</xdr:col>
      <xdr:colOff>16703</xdr:colOff>
      <xdr:row>60</xdr:row>
      <xdr:rowOff>78207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904AC4C6-B7F8-4BB5-97ED-0259B1C7BB99}"/>
            </a:ext>
          </a:extLst>
        </xdr:cNvPr>
        <xdr:cNvCxnSpPr>
          <a:cxnSpLocks/>
          <a:stCxn id="15" idx="1"/>
          <a:endCxn id="41" idx="0"/>
        </xdr:cNvCxnSpPr>
      </xdr:nvCxnSpPr>
      <xdr:spPr>
        <a:xfrm rot="10800000" flipH="1" flipV="1">
          <a:off x="492428" y="7677392"/>
          <a:ext cx="524400" cy="2744965"/>
        </a:xfrm>
        <a:prstGeom prst="bentConnector4">
          <a:avLst>
            <a:gd name="adj1" fmla="val -29322"/>
            <a:gd name="adj2" fmla="val 94117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130209</xdr:colOff>
      <xdr:row>45</xdr:row>
      <xdr:rowOff>141924</xdr:rowOff>
    </xdr:from>
    <xdr:to>
      <xdr:col>4</xdr:col>
      <xdr:colOff>149852</xdr:colOff>
      <xdr:row>47</xdr:row>
      <xdr:rowOff>105218</xdr:rowOff>
    </xdr:to>
    <xdr:cxnSp macro="">
      <xdr:nvCxnSpPr>
        <xdr:cNvPr id="18" name="直線矢印コネクタ 27">
          <a:extLst>
            <a:ext uri="{FF2B5EF4-FFF2-40B4-BE49-F238E27FC236}">
              <a16:creationId xmlns:a16="http://schemas.microsoft.com/office/drawing/2014/main" id="{F0042E64-23B3-451A-A864-F5AE51B3EC3A}"/>
            </a:ext>
          </a:extLst>
        </xdr:cNvPr>
        <xdr:cNvCxnSpPr>
          <a:cxnSpLocks/>
        </xdr:cNvCxnSpPr>
      </xdr:nvCxnSpPr>
      <xdr:spPr>
        <a:xfrm>
          <a:off x="930309" y="7917499"/>
          <a:ext cx="19643" cy="29984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26</xdr:row>
      <xdr:rowOff>15875</xdr:rowOff>
    </xdr:from>
    <xdr:to>
      <xdr:col>7</xdr:col>
      <xdr:colOff>6650</xdr:colOff>
      <xdr:row>28</xdr:row>
      <xdr:rowOff>161100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E794EA69-6E5E-4381-A751-1D3E770D3026}"/>
            </a:ext>
          </a:extLst>
        </xdr:cNvPr>
        <xdr:cNvGrpSpPr/>
      </xdr:nvGrpSpPr>
      <xdr:grpSpPr>
        <a:xfrm>
          <a:off x="314537" y="4676352"/>
          <a:ext cx="1175685" cy="506177"/>
          <a:chOff x="5057775" y="3267075"/>
          <a:chExt cx="1105200" cy="484950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EFB5F6A6-3E8E-4185-8834-FE39FA645715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1" name="正方形/長方形 48">
            <a:extLst>
              <a:ext uri="{FF2B5EF4-FFF2-40B4-BE49-F238E27FC236}">
                <a16:creationId xmlns:a16="http://schemas.microsoft.com/office/drawing/2014/main" id="{FB622D6C-8745-2BE9-CF57-42F025000A1E}"/>
              </a:ext>
            </a:extLst>
          </xdr:cNvPr>
          <xdr:cNvSpPr/>
        </xdr:nvSpPr>
        <xdr:spPr>
          <a:xfrm>
            <a:off x="5057775" y="3267075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期日超過</a:t>
            </a:r>
            <a:endParaRPr lang="ja-JP" altLang="ja-JP" sz="900">
              <a:effectLst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債権原因調査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4</xdr:col>
      <xdr:colOff>35785</xdr:colOff>
      <xdr:row>28</xdr:row>
      <xdr:rowOff>109923</xdr:rowOff>
    </xdr:from>
    <xdr:to>
      <xdr:col>4</xdr:col>
      <xdr:colOff>56356</xdr:colOff>
      <xdr:row>30</xdr:row>
      <xdr:rowOff>56547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AE3BBBF5-E70D-4B25-BBA2-36394B53C38C}"/>
            </a:ext>
          </a:extLst>
        </xdr:cNvPr>
        <xdr:cNvCxnSpPr>
          <a:cxnSpLocks/>
          <a:stCxn id="20" idx="2"/>
          <a:endCxn id="24" idx="0"/>
        </xdr:cNvCxnSpPr>
      </xdr:nvCxnSpPr>
      <xdr:spPr>
        <a:xfrm rot="16200000" flipH="1">
          <a:off x="709743" y="5127153"/>
          <a:ext cx="291905" cy="2057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30</xdr:row>
      <xdr:rowOff>0</xdr:rowOff>
    </xdr:from>
    <xdr:to>
      <xdr:col>7</xdr:col>
      <xdr:colOff>38400</xdr:colOff>
      <xdr:row>32</xdr:row>
      <xdr:rowOff>142050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E3C15A92-2717-413C-9A6D-A9071971E7F8}"/>
            </a:ext>
          </a:extLst>
        </xdr:cNvPr>
        <xdr:cNvGrpSpPr/>
      </xdr:nvGrpSpPr>
      <xdr:grpSpPr>
        <a:xfrm>
          <a:off x="341207" y="5382381"/>
          <a:ext cx="1178860" cy="503002"/>
          <a:chOff x="5067300" y="3238500"/>
          <a:chExt cx="1105200" cy="484950"/>
        </a:xfrm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9FF77AFD-1EB9-64CF-AA28-2092C49CFB95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5" name="正方形/長方形 48">
            <a:extLst>
              <a:ext uri="{FF2B5EF4-FFF2-40B4-BE49-F238E27FC236}">
                <a16:creationId xmlns:a16="http://schemas.microsoft.com/office/drawing/2014/main" id="{05BB9CF1-7272-9ED2-F639-3CECE52CA9F6}"/>
              </a:ext>
            </a:extLst>
          </xdr:cNvPr>
          <xdr:cNvSpPr/>
        </xdr:nvSpPr>
        <xdr:spPr>
          <a:xfrm>
            <a:off x="5067300" y="3238500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滞留債権報告作成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報告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1</xdr:col>
      <xdr:colOff>190684</xdr:colOff>
      <xdr:row>47</xdr:row>
      <xdr:rowOff>9528</xdr:rowOff>
    </xdr:from>
    <xdr:to>
      <xdr:col>7</xdr:col>
      <xdr:colOff>92560</xdr:colOff>
      <xdr:row>49</xdr:row>
      <xdr:rowOff>160989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42E52DA6-7F5E-4386-A7D2-14829B65E1EC}"/>
            </a:ext>
          </a:extLst>
        </xdr:cNvPr>
        <xdr:cNvGrpSpPr/>
      </xdr:nvGrpSpPr>
      <xdr:grpSpPr>
        <a:xfrm>
          <a:off x="402351" y="8478100"/>
          <a:ext cx="1175686" cy="514318"/>
          <a:chOff x="4971968" y="3210664"/>
          <a:chExt cx="1105200" cy="487971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78F57733-1F1C-D343-F8D4-A7C886E98A8F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8" name="正方形/長方形 48">
            <a:extLst>
              <a:ext uri="{FF2B5EF4-FFF2-40B4-BE49-F238E27FC236}">
                <a16:creationId xmlns:a16="http://schemas.microsoft.com/office/drawing/2014/main" id="{EDE21C8F-4F7D-3C41-B888-5537384E44E8}"/>
              </a:ext>
            </a:extLst>
          </xdr:cNvPr>
          <xdr:cNvSpPr/>
        </xdr:nvSpPr>
        <xdr:spPr>
          <a:xfrm>
            <a:off x="4971968" y="3210664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与信額変更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申請書作成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申請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8</xdr:col>
      <xdr:colOff>130359</xdr:colOff>
      <xdr:row>51</xdr:row>
      <xdr:rowOff>120650</xdr:rowOff>
    </xdr:from>
    <xdr:to>
      <xdr:col>14</xdr:col>
      <xdr:colOff>73510</xdr:colOff>
      <xdr:row>54</xdr:row>
      <xdr:rowOff>97600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1F79213C-2F78-4449-9104-A35B96894E49}"/>
            </a:ext>
          </a:extLst>
        </xdr:cNvPr>
        <xdr:cNvGrpSpPr/>
      </xdr:nvGrpSpPr>
      <xdr:grpSpPr>
        <a:xfrm>
          <a:off x="1827502" y="9314936"/>
          <a:ext cx="1209341" cy="515521"/>
          <a:chOff x="5057775" y="3267075"/>
          <a:chExt cx="1105200" cy="484950"/>
        </a:xfrm>
      </xdr:grpSpPr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19B0E35F-AAF6-28D0-631F-3D13749016C4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1" name="正方形/長方形 48">
            <a:extLst>
              <a:ext uri="{FF2B5EF4-FFF2-40B4-BE49-F238E27FC236}">
                <a16:creationId xmlns:a16="http://schemas.microsoft.com/office/drawing/2014/main" id="{21E883E2-C228-C5BA-EC12-4F472E2E2182}"/>
              </a:ext>
            </a:extLst>
          </xdr:cNvPr>
          <xdr:cNvSpPr/>
        </xdr:nvSpPr>
        <xdr:spPr>
          <a:xfrm>
            <a:off x="5057775" y="3267075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与信額変更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申請書承認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4</xdr:col>
      <xdr:colOff>200753</xdr:colOff>
      <xdr:row>45</xdr:row>
      <xdr:rowOff>159989</xdr:rowOff>
    </xdr:from>
    <xdr:to>
      <xdr:col>7</xdr:col>
      <xdr:colOff>133178</xdr:colOff>
      <xdr:row>47</xdr:row>
      <xdr:rowOff>40708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9F490A57-9711-40C8-A0DE-95223C943178}"/>
            </a:ext>
          </a:extLst>
        </xdr:cNvPr>
        <xdr:cNvSpPr txBox="1"/>
      </xdr:nvSpPr>
      <xdr:spPr>
        <a:xfrm>
          <a:off x="997678" y="7935564"/>
          <a:ext cx="535675" cy="22044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</xdr:col>
      <xdr:colOff>46627</xdr:colOff>
      <xdr:row>43</xdr:row>
      <xdr:rowOff>9525</xdr:rowOff>
    </xdr:from>
    <xdr:to>
      <xdr:col>3</xdr:col>
      <xdr:colOff>130227</xdr:colOff>
      <xdr:row>44</xdr:row>
      <xdr:rowOff>2075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135D5C4B-784A-4AE8-9350-F27587BB0D1C}"/>
            </a:ext>
          </a:extLst>
        </xdr:cNvPr>
        <xdr:cNvSpPr txBox="1"/>
      </xdr:nvSpPr>
      <xdr:spPr>
        <a:xfrm>
          <a:off x="249827" y="7435850"/>
          <a:ext cx="480475" cy="16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4</xdr:col>
      <xdr:colOff>141623</xdr:colOff>
      <xdr:row>49</xdr:row>
      <xdr:rowOff>161048</xdr:rowOff>
    </xdr:from>
    <xdr:to>
      <xdr:col>11</xdr:col>
      <xdr:colOff>81389</xdr:colOff>
      <xdr:row>51</xdr:row>
      <xdr:rowOff>151536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C5B9E635-A0E6-45F1-95C4-85E994677352}"/>
            </a:ext>
          </a:extLst>
        </xdr:cNvPr>
        <xdr:cNvCxnSpPr>
          <a:cxnSpLocks/>
          <a:stCxn id="28" idx="2"/>
          <a:endCxn id="30" idx="0"/>
        </xdr:cNvCxnSpPr>
      </xdr:nvCxnSpPr>
      <xdr:spPr>
        <a:xfrm rot="16200000" flipH="1">
          <a:off x="1461668" y="8157644"/>
          <a:ext cx="335769" cy="135661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49729</xdr:colOff>
      <xdr:row>56</xdr:row>
      <xdr:rowOff>19420</xdr:rowOff>
    </xdr:from>
    <xdr:to>
      <xdr:col>7</xdr:col>
      <xdr:colOff>182716</xdr:colOff>
      <xdr:row>58</xdr:row>
      <xdr:rowOff>159328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E7600F59-E437-4425-9FCB-DCE9F5CB4A73}"/>
            </a:ext>
          </a:extLst>
        </xdr:cNvPr>
        <xdr:cNvGrpSpPr/>
      </xdr:nvGrpSpPr>
      <xdr:grpSpPr>
        <a:xfrm>
          <a:off x="476872" y="10115134"/>
          <a:ext cx="1185606" cy="508480"/>
          <a:chOff x="1596812" y="2429175"/>
          <a:chExt cx="1021509" cy="452408"/>
        </a:xfrm>
      </xdr:grpSpPr>
      <xdr:sp macro="" textlink="">
        <xdr:nvSpPr>
          <xdr:cNvPr id="36" name="フローチャート: 定義済み処理 35">
            <a:extLst>
              <a:ext uri="{FF2B5EF4-FFF2-40B4-BE49-F238E27FC236}">
                <a16:creationId xmlns:a16="http://schemas.microsoft.com/office/drawing/2014/main" id="{B9FE54DF-2620-797E-7A28-9CB0389268F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7" name="正方形/長方形 48">
            <a:extLst>
              <a:ext uri="{FF2B5EF4-FFF2-40B4-BE49-F238E27FC236}">
                <a16:creationId xmlns:a16="http://schemas.microsoft.com/office/drawing/2014/main" id="{685A1EE3-CA6E-6B6D-A520-8A081833FE76}"/>
              </a:ext>
            </a:extLst>
          </xdr:cNvPr>
          <xdr:cNvSpPr/>
        </xdr:nvSpPr>
        <xdr:spPr>
          <a:xfrm>
            <a:off x="1596812" y="2429175"/>
            <a:ext cx="1021509" cy="4524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7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与信限度額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変更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5</xdr:col>
      <xdr:colOff>13153</xdr:colOff>
      <xdr:row>54</xdr:row>
      <xdr:rowOff>43706</xdr:rowOff>
    </xdr:from>
    <xdr:to>
      <xdr:col>11</xdr:col>
      <xdr:colOff>81666</xdr:colOff>
      <xdr:row>56</xdr:row>
      <xdr:rowOff>19419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41EC08D4-5690-4228-8FCC-53B9D9CF4EE6}"/>
            </a:ext>
          </a:extLst>
        </xdr:cNvPr>
        <xdr:cNvCxnSpPr>
          <a:cxnSpLocks/>
          <a:stCxn id="30" idx="2"/>
          <a:endCxn id="37" idx="0"/>
        </xdr:cNvCxnSpPr>
      </xdr:nvCxnSpPr>
      <xdr:spPr>
        <a:xfrm rot="5400000">
          <a:off x="1485979" y="8908989"/>
          <a:ext cx="319543" cy="126727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52618</xdr:colOff>
      <xdr:row>57</xdr:row>
      <xdr:rowOff>76806</xdr:rowOff>
    </xdr:from>
    <xdr:to>
      <xdr:col>44</xdr:col>
      <xdr:colOff>116759</xdr:colOff>
      <xdr:row>57</xdr:row>
      <xdr:rowOff>78215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F6659382-98DC-45C9-85DE-B81D3E372481}"/>
            </a:ext>
          </a:extLst>
        </xdr:cNvPr>
        <xdr:cNvCxnSpPr>
          <a:stCxn id="36" idx="3"/>
          <a:endCxn id="69" idx="2"/>
        </xdr:cNvCxnSpPr>
      </xdr:nvCxnSpPr>
      <xdr:spPr>
        <a:xfrm flipV="1">
          <a:off x="1449618" y="9906606"/>
          <a:ext cx="3267716" cy="1409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92185</xdr:colOff>
      <xdr:row>60</xdr:row>
      <xdr:rowOff>78207</xdr:rowOff>
    </xdr:from>
    <xdr:to>
      <xdr:col>7</xdr:col>
      <xdr:colOff>131788</xdr:colOff>
      <xdr:row>63</xdr:row>
      <xdr:rowOff>83056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49E69C15-CC11-46CE-BE3C-961E1546AEC2}"/>
            </a:ext>
          </a:extLst>
        </xdr:cNvPr>
        <xdr:cNvGrpSpPr/>
      </xdr:nvGrpSpPr>
      <xdr:grpSpPr>
        <a:xfrm>
          <a:off x="519328" y="10903445"/>
          <a:ext cx="1097937" cy="551040"/>
          <a:chOff x="287474" y="4845794"/>
          <a:chExt cx="1021504" cy="505814"/>
        </a:xfrm>
      </xdr:grpSpPr>
      <xdr:sp macro="" textlink="">
        <xdr:nvSpPr>
          <xdr:cNvPr id="41" name="フローチャート: 判断 40">
            <a:extLst>
              <a:ext uri="{FF2B5EF4-FFF2-40B4-BE49-F238E27FC236}">
                <a16:creationId xmlns:a16="http://schemas.microsoft.com/office/drawing/2014/main" id="{E23F4741-EB8A-D503-F41C-C106569EC011}"/>
              </a:ext>
            </a:extLst>
          </xdr:cNvPr>
          <xdr:cNvSpPr/>
        </xdr:nvSpPr>
        <xdr:spPr>
          <a:xfrm>
            <a:off x="368300" y="4845794"/>
            <a:ext cx="848033" cy="484567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2" name="正方形/長方形 48">
            <a:extLst>
              <a:ext uri="{FF2B5EF4-FFF2-40B4-BE49-F238E27FC236}">
                <a16:creationId xmlns:a16="http://schemas.microsoft.com/office/drawing/2014/main" id="{00D642C7-D973-0D3C-0DDC-3E6237A169DA}"/>
              </a:ext>
            </a:extLst>
          </xdr:cNvPr>
          <xdr:cNvSpPr/>
        </xdr:nvSpPr>
        <xdr:spPr>
          <a:xfrm>
            <a:off x="287474" y="4856050"/>
            <a:ext cx="1021504" cy="495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貸倒引当</a:t>
            </a:r>
            <a:br>
              <a:rPr kumimoji="1" lang="en-US" altLang="ja-JP" sz="900"/>
            </a:br>
            <a:r>
              <a:rPr kumimoji="1" lang="ja-JP" altLang="en-US" sz="900"/>
              <a:t>必要</a:t>
            </a:r>
            <a:r>
              <a:rPr kumimoji="1" lang="en-US" altLang="ja-JP" sz="900"/>
              <a:t>?</a:t>
            </a:r>
            <a:endParaRPr kumimoji="1" lang="ja-JP" altLang="en-US" sz="900"/>
          </a:p>
        </xdr:txBody>
      </xdr:sp>
    </xdr:grpSp>
    <xdr:clientData/>
  </xdr:twoCellAnchor>
  <xdr:twoCellAnchor>
    <xdr:from>
      <xdr:col>2</xdr:col>
      <xdr:colOff>186387</xdr:colOff>
      <xdr:row>61</xdr:row>
      <xdr:rowOff>153129</xdr:rowOff>
    </xdr:from>
    <xdr:to>
      <xdr:col>4</xdr:col>
      <xdr:colOff>93370</xdr:colOff>
      <xdr:row>97</xdr:row>
      <xdr:rowOff>155058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963BA18E-43EA-4CC3-9D2B-B6E3FA4A33BB}"/>
            </a:ext>
          </a:extLst>
        </xdr:cNvPr>
        <xdr:cNvCxnSpPr>
          <a:cxnSpLocks/>
          <a:stCxn id="41" idx="1"/>
          <a:endCxn id="61" idx="0"/>
        </xdr:cNvCxnSpPr>
      </xdr:nvCxnSpPr>
      <xdr:spPr>
        <a:xfrm rot="10800000" flipH="1" flipV="1">
          <a:off x="583262" y="10668729"/>
          <a:ext cx="310208" cy="5145429"/>
        </a:xfrm>
        <a:prstGeom prst="bentConnector4">
          <a:avLst>
            <a:gd name="adj1" fmla="val -75563"/>
            <a:gd name="adj2" fmla="val 78457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16666</xdr:colOff>
      <xdr:row>63</xdr:row>
      <xdr:rowOff>47647</xdr:rowOff>
    </xdr:from>
    <xdr:to>
      <xdr:col>5</xdr:col>
      <xdr:colOff>17259</xdr:colOff>
      <xdr:row>65</xdr:row>
      <xdr:rowOff>10941</xdr:rowOff>
    </xdr:to>
    <xdr:cxnSp macro="">
      <xdr:nvCxnSpPr>
        <xdr:cNvPr id="44" name="直線矢印コネクタ 27">
          <a:extLst>
            <a:ext uri="{FF2B5EF4-FFF2-40B4-BE49-F238E27FC236}">
              <a16:creationId xmlns:a16="http://schemas.microsoft.com/office/drawing/2014/main" id="{BED09020-F634-4416-A2EA-26B401D498BC}"/>
            </a:ext>
          </a:extLst>
        </xdr:cNvPr>
        <xdr:cNvCxnSpPr>
          <a:cxnSpLocks/>
        </xdr:cNvCxnSpPr>
      </xdr:nvCxnSpPr>
      <xdr:spPr>
        <a:xfrm>
          <a:off x="1016791" y="10902972"/>
          <a:ext cx="593" cy="3061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16703</xdr:colOff>
      <xdr:row>58</xdr:row>
      <xdr:rowOff>162503</xdr:rowOff>
    </xdr:from>
    <xdr:to>
      <xdr:col>5</xdr:col>
      <xdr:colOff>17372</xdr:colOff>
      <xdr:row>60</xdr:row>
      <xdr:rowOff>78207</xdr:rowOff>
    </xdr:to>
    <xdr:cxnSp macro="">
      <xdr:nvCxnSpPr>
        <xdr:cNvPr id="45" name="直線矢印コネクタ 27">
          <a:extLst>
            <a:ext uri="{FF2B5EF4-FFF2-40B4-BE49-F238E27FC236}">
              <a16:creationId xmlns:a16="http://schemas.microsoft.com/office/drawing/2014/main" id="{48C6DF18-C09B-403D-A5B7-99A2E3F98050}"/>
            </a:ext>
          </a:extLst>
        </xdr:cNvPr>
        <xdr:cNvCxnSpPr>
          <a:cxnSpLocks/>
          <a:stCxn id="37" idx="2"/>
          <a:endCxn id="41" idx="0"/>
        </xdr:cNvCxnSpPr>
      </xdr:nvCxnSpPr>
      <xdr:spPr>
        <a:xfrm flipH="1">
          <a:off x="1016828" y="10160578"/>
          <a:ext cx="669" cy="26177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91891</xdr:colOff>
      <xdr:row>63</xdr:row>
      <xdr:rowOff>75106</xdr:rowOff>
    </xdr:from>
    <xdr:to>
      <xdr:col>7</xdr:col>
      <xdr:colOff>172875</xdr:colOff>
      <xdr:row>64</xdr:row>
      <xdr:rowOff>106084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88C1AB1-C8C2-475C-8B6A-C693D76C8B47}"/>
            </a:ext>
          </a:extLst>
        </xdr:cNvPr>
        <xdr:cNvSpPr txBox="1"/>
      </xdr:nvSpPr>
      <xdr:spPr>
        <a:xfrm>
          <a:off x="1088841" y="10933606"/>
          <a:ext cx="484209" cy="199253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はい</a:t>
          </a:r>
        </a:p>
      </xdr:txBody>
    </xdr:sp>
    <xdr:clientData/>
  </xdr:twoCellAnchor>
  <xdr:twoCellAnchor>
    <xdr:from>
      <xdr:col>1</xdr:col>
      <xdr:colOff>74612</xdr:colOff>
      <xdr:row>60</xdr:row>
      <xdr:rowOff>58123</xdr:rowOff>
    </xdr:from>
    <xdr:to>
      <xdr:col>3</xdr:col>
      <xdr:colOff>186787</xdr:colOff>
      <xdr:row>61</xdr:row>
      <xdr:rowOff>40888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F5B32EC9-94E6-4E32-85A8-8E592F527B63}"/>
            </a:ext>
          </a:extLst>
        </xdr:cNvPr>
        <xdr:cNvSpPr txBox="1"/>
      </xdr:nvSpPr>
      <xdr:spPr>
        <a:xfrm>
          <a:off x="274637" y="10402273"/>
          <a:ext cx="509050" cy="15421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いいえ</a:t>
          </a:r>
        </a:p>
      </xdr:txBody>
    </xdr:sp>
    <xdr:clientData/>
  </xdr:twoCellAnchor>
  <xdr:twoCellAnchor>
    <xdr:from>
      <xdr:col>16</xdr:col>
      <xdr:colOff>6689</xdr:colOff>
      <xdr:row>75</xdr:row>
      <xdr:rowOff>6350</xdr:rowOff>
    </xdr:from>
    <xdr:to>
      <xdr:col>21</xdr:col>
      <xdr:colOff>120625</xdr:colOff>
      <xdr:row>77</xdr:row>
      <xdr:rowOff>143084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E76A5BB2-49C8-4050-82D6-07AFF114955A}"/>
            </a:ext>
          </a:extLst>
        </xdr:cNvPr>
        <xdr:cNvGrpSpPr/>
      </xdr:nvGrpSpPr>
      <xdr:grpSpPr>
        <a:xfrm>
          <a:off x="3395261" y="13554922"/>
          <a:ext cx="1172269" cy="495781"/>
          <a:chOff x="1596812" y="2429175"/>
          <a:chExt cx="1021509" cy="452408"/>
        </a:xfrm>
      </xdr:grpSpPr>
      <xdr:sp macro="" textlink="">
        <xdr:nvSpPr>
          <xdr:cNvPr id="49" name="フローチャート: 定義済み処理 48">
            <a:extLst>
              <a:ext uri="{FF2B5EF4-FFF2-40B4-BE49-F238E27FC236}">
                <a16:creationId xmlns:a16="http://schemas.microsoft.com/office/drawing/2014/main" id="{C320D9F0-9F0E-AEA8-0B10-A98CDEDBF8EB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" name="正方形/長方形 48">
            <a:extLst>
              <a:ext uri="{FF2B5EF4-FFF2-40B4-BE49-F238E27FC236}">
                <a16:creationId xmlns:a16="http://schemas.microsoft.com/office/drawing/2014/main" id="{DB8FA0D2-3753-6D1E-4B2D-D5E7DF051683}"/>
              </a:ext>
            </a:extLst>
          </xdr:cNvPr>
          <xdr:cNvSpPr/>
        </xdr:nvSpPr>
        <xdr:spPr>
          <a:xfrm>
            <a:off x="1596812" y="2429175"/>
            <a:ext cx="1021509" cy="4524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引当額登録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承認申請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2</xdr:col>
      <xdr:colOff>64272</xdr:colOff>
      <xdr:row>64</xdr:row>
      <xdr:rowOff>125009</xdr:rowOff>
    </xdr:from>
    <xdr:to>
      <xdr:col>7</xdr:col>
      <xdr:colOff>145629</xdr:colOff>
      <xdr:row>67</xdr:row>
      <xdr:rowOff>107236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B55B70E0-AFFD-4505-BD19-6888C2EB1F85}"/>
            </a:ext>
          </a:extLst>
        </xdr:cNvPr>
        <xdr:cNvGrpSpPr/>
      </xdr:nvGrpSpPr>
      <xdr:grpSpPr>
        <a:xfrm>
          <a:off x="483795" y="11677866"/>
          <a:ext cx="1141596" cy="522703"/>
          <a:chOff x="4971968" y="3210664"/>
          <a:chExt cx="1105200" cy="484950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B5FAF1AA-8E41-BEBC-2782-038B97DE9504}"/>
              </a:ext>
            </a:extLst>
          </xdr:cNvPr>
          <xdr:cNvSpPr/>
        </xdr:nvSpPr>
        <xdr:spPr>
          <a:xfrm>
            <a:off x="5103135" y="328712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" name="正方形/長方形 48">
            <a:extLst>
              <a:ext uri="{FF2B5EF4-FFF2-40B4-BE49-F238E27FC236}">
                <a16:creationId xmlns:a16="http://schemas.microsoft.com/office/drawing/2014/main" id="{7CFEC5CA-CE6A-A451-398C-BCB9A9A61BC1}"/>
              </a:ext>
            </a:extLst>
          </xdr:cNvPr>
          <xdr:cNvSpPr/>
        </xdr:nvSpPr>
        <xdr:spPr>
          <a:xfrm>
            <a:off x="4971968" y="3210664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8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貸倒引当額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算定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5</xdr:col>
      <xdr:colOff>24489</xdr:colOff>
      <xdr:row>67</xdr:row>
      <xdr:rowOff>99718</xdr:rowOff>
    </xdr:from>
    <xdr:to>
      <xdr:col>5</xdr:col>
      <xdr:colOff>34452</xdr:colOff>
      <xdr:row>69</xdr:row>
      <xdr:rowOff>134471</xdr:rowOff>
    </xdr:to>
    <xdr:cxnSp macro="">
      <xdr:nvCxnSpPr>
        <xdr:cNvPr id="54" name="直線矢印コネクタ 27">
          <a:extLst>
            <a:ext uri="{FF2B5EF4-FFF2-40B4-BE49-F238E27FC236}">
              <a16:creationId xmlns:a16="http://schemas.microsoft.com/office/drawing/2014/main" id="{B2A50CEB-B603-4197-BF37-10CAF7DABCC0}"/>
            </a:ext>
          </a:extLst>
        </xdr:cNvPr>
        <xdr:cNvCxnSpPr>
          <a:cxnSpLocks/>
          <a:stCxn id="52" idx="2"/>
          <a:endCxn id="103" idx="0"/>
        </xdr:cNvCxnSpPr>
      </xdr:nvCxnSpPr>
      <xdr:spPr>
        <a:xfrm>
          <a:off x="1009834" y="11608546"/>
          <a:ext cx="9963" cy="3763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115970</xdr:colOff>
      <xdr:row>80</xdr:row>
      <xdr:rowOff>0</xdr:rowOff>
    </xdr:from>
    <xdr:to>
      <xdr:col>27</xdr:col>
      <xdr:colOff>169263</xdr:colOff>
      <xdr:row>83</xdr:row>
      <xdr:rowOff>39847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E7E5D067-A4FF-46BB-B2B6-8073A8C30FAE}"/>
            </a:ext>
          </a:extLst>
        </xdr:cNvPr>
        <xdr:cNvGrpSpPr/>
      </xdr:nvGrpSpPr>
      <xdr:grpSpPr>
        <a:xfrm>
          <a:off x="4772637" y="14453810"/>
          <a:ext cx="1115436" cy="584132"/>
          <a:chOff x="1612901" y="2432650"/>
          <a:chExt cx="908902" cy="420662"/>
        </a:xfrm>
      </xdr:grpSpPr>
      <xdr:sp macro="" textlink="">
        <xdr:nvSpPr>
          <xdr:cNvPr id="57" name="フローチャート: 定義済み処理 56">
            <a:extLst>
              <a:ext uri="{FF2B5EF4-FFF2-40B4-BE49-F238E27FC236}">
                <a16:creationId xmlns:a16="http://schemas.microsoft.com/office/drawing/2014/main" id="{A730C9D0-4771-E370-DA76-A9425F8D2767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8" name="正方形/長方形 48">
            <a:extLst>
              <a:ext uri="{FF2B5EF4-FFF2-40B4-BE49-F238E27FC236}">
                <a16:creationId xmlns:a16="http://schemas.microsoft.com/office/drawing/2014/main" id="{0916BA46-92EC-0A5C-E8AA-A52647AA9A54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11</a:t>
            </a:r>
            <a:r>
              <a:rPr kumimoji="1" lang="ja-JP" altLang="en-US" sz="900"/>
              <a:t>．貸倒引当の承認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150123</xdr:colOff>
      <xdr:row>77</xdr:row>
      <xdr:rowOff>88041</xdr:rowOff>
    </xdr:from>
    <xdr:to>
      <xdr:col>25</xdr:col>
      <xdr:colOff>71631</xdr:colOff>
      <xdr:row>80</xdr:row>
      <xdr:rowOff>32755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4DC45745-EA02-48F4-994A-9F73F393366B}"/>
            </a:ext>
          </a:extLst>
        </xdr:cNvPr>
        <xdr:cNvCxnSpPr>
          <a:cxnSpLocks/>
          <a:stCxn id="49" idx="2"/>
          <a:endCxn id="57" idx="0"/>
        </xdr:cNvCxnSpPr>
      </xdr:nvCxnSpPr>
      <xdr:spPr>
        <a:xfrm rot="16200000" flipH="1">
          <a:off x="4176191" y="12951424"/>
          <a:ext cx="460458" cy="132005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169263</xdr:colOff>
      <xdr:row>81</xdr:row>
      <xdr:rowOff>89333</xdr:rowOff>
    </xdr:from>
    <xdr:to>
      <xdr:col>37</xdr:col>
      <xdr:colOff>33396</xdr:colOff>
      <xdr:row>81</xdr:row>
      <xdr:rowOff>105320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B0838ED2-1AB8-41B4-AA5D-4042A2ED4E5A}"/>
            </a:ext>
          </a:extLst>
        </xdr:cNvPr>
        <xdr:cNvCxnSpPr>
          <a:stCxn id="58" idx="3"/>
          <a:endCxn id="75" idx="2"/>
        </xdr:cNvCxnSpPr>
      </xdr:nvCxnSpPr>
      <xdr:spPr>
        <a:xfrm flipV="1">
          <a:off x="5490125" y="13989264"/>
          <a:ext cx="455340" cy="1598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112564</xdr:colOff>
      <xdr:row>97</xdr:row>
      <xdr:rowOff>155058</xdr:rowOff>
    </xdr:from>
    <xdr:to>
      <xdr:col>6</xdr:col>
      <xdr:colOff>55129</xdr:colOff>
      <xdr:row>99</xdr:row>
      <xdr:rowOff>75683</xdr:rowOff>
    </xdr:to>
    <xdr:sp macro="" textlink="">
      <xdr:nvSpPr>
        <xdr:cNvPr id="61" name="フローチャート: 端子 26">
          <a:extLst>
            <a:ext uri="{FF2B5EF4-FFF2-40B4-BE49-F238E27FC236}">
              <a16:creationId xmlns:a16="http://schemas.microsoft.com/office/drawing/2014/main" id="{4D498332-095A-4586-8A4F-064A668CF035}"/>
            </a:ext>
          </a:extLst>
        </xdr:cNvPr>
        <xdr:cNvSpPr/>
      </xdr:nvSpPr>
      <xdr:spPr>
        <a:xfrm>
          <a:off x="512614" y="15814158"/>
          <a:ext cx="742665" cy="26352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25</xdr:col>
      <xdr:colOff>44344</xdr:colOff>
      <xdr:row>83</xdr:row>
      <xdr:rowOff>39846</xdr:rowOff>
    </xdr:from>
    <xdr:to>
      <xdr:col>32</xdr:col>
      <xdr:colOff>101143</xdr:colOff>
      <xdr:row>84</xdr:row>
      <xdr:rowOff>153566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B41D41EF-8CDD-488B-B89B-D156AEF2734C}"/>
            </a:ext>
          </a:extLst>
        </xdr:cNvPr>
        <xdr:cNvCxnSpPr>
          <a:cxnSpLocks/>
          <a:stCxn id="58" idx="2"/>
          <a:endCxn id="73" idx="0"/>
        </xdr:cNvCxnSpPr>
      </xdr:nvCxnSpPr>
      <xdr:spPr>
        <a:xfrm rot="16200000" flipH="1">
          <a:off x="5534336" y="13342830"/>
          <a:ext cx="280029" cy="143263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35972</xdr:colOff>
      <xdr:row>16</xdr:row>
      <xdr:rowOff>100407</xdr:rowOff>
    </xdr:from>
    <xdr:to>
      <xdr:col>4</xdr:col>
      <xdr:colOff>136026</xdr:colOff>
      <xdr:row>26</xdr:row>
      <xdr:rowOff>43007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AB149550-39F8-40B8-A386-E1C54CAB04D8}"/>
            </a:ext>
          </a:extLst>
        </xdr:cNvPr>
        <xdr:cNvCxnSpPr>
          <a:cxnSpLocks/>
          <a:stCxn id="11" idx="2"/>
          <a:endCxn id="20" idx="0"/>
        </xdr:cNvCxnSpPr>
      </xdr:nvCxnSpPr>
      <xdr:spPr>
        <a:xfrm rot="5400000">
          <a:off x="57549" y="3682455"/>
          <a:ext cx="1657100" cy="10005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80212</xdr:colOff>
      <xdr:row>34</xdr:row>
      <xdr:rowOff>37766</xdr:rowOff>
    </xdr:from>
    <xdr:to>
      <xdr:col>13</xdr:col>
      <xdr:colOff>188963</xdr:colOff>
      <xdr:row>37</xdr:row>
      <xdr:rowOff>15718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6D576B6F-D9E6-4554-8A6E-CEE85DE9C936}"/>
            </a:ext>
          </a:extLst>
        </xdr:cNvPr>
        <xdr:cNvGrpSpPr/>
      </xdr:nvGrpSpPr>
      <xdr:grpSpPr>
        <a:xfrm>
          <a:off x="1775450" y="6145861"/>
          <a:ext cx="1165180" cy="526048"/>
          <a:chOff x="5052345" y="3263343"/>
          <a:chExt cx="1105200" cy="484950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327080CF-2E98-C8DC-0523-EEE3BD38839D}"/>
              </a:ext>
            </a:extLst>
          </xdr:cNvPr>
          <xdr:cNvSpPr/>
        </xdr:nvSpPr>
        <xdr:spPr>
          <a:xfrm>
            <a:off x="5150487" y="329440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6" name="正方形/長方形 48">
            <a:extLst>
              <a:ext uri="{FF2B5EF4-FFF2-40B4-BE49-F238E27FC236}">
                <a16:creationId xmlns:a16="http://schemas.microsoft.com/office/drawing/2014/main" id="{DBD3235A-BBB7-ED81-8AB6-C5DE814DBA1B}"/>
              </a:ext>
            </a:extLst>
          </xdr:cNvPr>
          <xdr:cNvSpPr/>
        </xdr:nvSpPr>
        <xdr:spPr>
          <a:xfrm>
            <a:off x="5052345" y="3263343"/>
            <a:ext cx="1105200" cy="4849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滞留債権報告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確認・承認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4</xdr:col>
      <xdr:colOff>56652</xdr:colOff>
      <xdr:row>32</xdr:row>
      <xdr:rowOff>120350</xdr:rowOff>
    </xdr:from>
    <xdr:to>
      <xdr:col>11</xdr:col>
      <xdr:colOff>20057</xdr:colOff>
      <xdr:row>34</xdr:row>
      <xdr:rowOff>69108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BA192EF6-80BA-49F5-831D-4EED5C4577BB}"/>
            </a:ext>
          </a:extLst>
        </xdr:cNvPr>
        <xdr:cNvCxnSpPr>
          <a:cxnSpLocks/>
          <a:stCxn id="24" idx="2"/>
          <a:endCxn id="65" idx="0"/>
        </xdr:cNvCxnSpPr>
      </xdr:nvCxnSpPr>
      <xdr:spPr>
        <a:xfrm rot="16200000" flipH="1">
          <a:off x="1397476" y="5096105"/>
          <a:ext cx="289652" cy="136708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11123</xdr:colOff>
      <xdr:row>55</xdr:row>
      <xdr:rowOff>113931</xdr:rowOff>
    </xdr:from>
    <xdr:to>
      <xdr:col>49</xdr:col>
      <xdr:colOff>28103</xdr:colOff>
      <xdr:row>59</xdr:row>
      <xdr:rowOff>93641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1B6FB485-EF86-41A9-9B30-FF0BED0101D5}"/>
            </a:ext>
          </a:extLst>
        </xdr:cNvPr>
        <xdr:cNvGrpSpPr>
          <a:grpSpLocks noChangeAspect="1"/>
        </xdr:cNvGrpSpPr>
      </xdr:nvGrpSpPr>
      <xdr:grpSpPr>
        <a:xfrm>
          <a:off x="9326361" y="10032026"/>
          <a:ext cx="1071504" cy="709235"/>
          <a:chOff x="7112003" y="2892425"/>
          <a:chExt cx="873125" cy="584984"/>
        </a:xfrm>
      </xdr:grpSpPr>
      <xdr:sp macro="" textlink="">
        <xdr:nvSpPr>
          <xdr:cNvPr id="69" name="フローチャート: 磁気ディスク 68">
            <a:extLst>
              <a:ext uri="{FF2B5EF4-FFF2-40B4-BE49-F238E27FC236}">
                <a16:creationId xmlns:a16="http://schemas.microsoft.com/office/drawing/2014/main" id="{CDC4252E-B685-E711-CCD2-707B18C2CCE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1A716772-3C41-671B-2CFC-9DF64D9A0FD6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MDM</a:t>
            </a:r>
            <a:endParaRPr kumimoji="1" lang="ja-JP" altLang="en-US" sz="900"/>
          </a:p>
        </xdr:txBody>
      </xdr:sp>
    </xdr:grpSp>
    <xdr:clientData/>
  </xdr:twoCellAnchor>
  <xdr:twoCellAnchor>
    <xdr:from>
      <xdr:col>36</xdr:col>
      <xdr:colOff>123764</xdr:colOff>
      <xdr:row>79</xdr:row>
      <xdr:rowOff>134186</xdr:rowOff>
    </xdr:from>
    <xdr:to>
      <xdr:col>41</xdr:col>
      <xdr:colOff>150269</xdr:colOff>
      <xdr:row>83</xdr:row>
      <xdr:rowOff>98021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0770EBE0-BFDF-4410-82EE-213286CD2915}"/>
            </a:ext>
          </a:extLst>
        </xdr:cNvPr>
        <xdr:cNvGrpSpPr>
          <a:grpSpLocks noChangeAspect="1"/>
        </xdr:cNvGrpSpPr>
      </xdr:nvGrpSpPr>
      <xdr:grpSpPr>
        <a:xfrm>
          <a:off x="7745669" y="14402757"/>
          <a:ext cx="1082933" cy="689549"/>
          <a:chOff x="7112003" y="2892425"/>
          <a:chExt cx="873125" cy="584984"/>
        </a:xfrm>
      </xdr:grpSpPr>
      <xdr:sp macro="" textlink="">
        <xdr:nvSpPr>
          <xdr:cNvPr id="75" name="フローチャート: 磁気ディスク 74">
            <a:extLst>
              <a:ext uri="{FF2B5EF4-FFF2-40B4-BE49-F238E27FC236}">
                <a16:creationId xmlns:a16="http://schemas.microsoft.com/office/drawing/2014/main" id="{8F4C4274-4EF0-210A-C10D-BCA8B97061AE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E9039220-D7C6-D526-6479-BF9E594C3357}"/>
              </a:ext>
            </a:extLst>
          </xdr:cNvPr>
          <xdr:cNvSpPr/>
        </xdr:nvSpPr>
        <xdr:spPr>
          <a:xfrm>
            <a:off x="7112003" y="2971802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0</xdr:col>
      <xdr:colOff>163790</xdr:colOff>
      <xdr:row>12</xdr:row>
      <xdr:rowOff>141383</xdr:rowOff>
    </xdr:from>
    <xdr:to>
      <xdr:col>49</xdr:col>
      <xdr:colOff>123264</xdr:colOff>
      <xdr:row>23</xdr:row>
      <xdr:rowOff>83298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58A6CA59-680C-4AEF-ADBA-ED97CFCFB39F}"/>
            </a:ext>
          </a:extLst>
        </xdr:cNvPr>
        <xdr:cNvSpPr/>
      </xdr:nvSpPr>
      <xdr:spPr>
        <a:xfrm>
          <a:off x="163790" y="2225677"/>
          <a:ext cx="5607239" cy="1790886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</xdr:col>
      <xdr:colOff>127678</xdr:colOff>
      <xdr:row>36</xdr:row>
      <xdr:rowOff>136063</xdr:rowOff>
    </xdr:from>
    <xdr:to>
      <xdr:col>11</xdr:col>
      <xdr:colOff>20058</xdr:colOff>
      <xdr:row>43</xdr:row>
      <xdr:rowOff>10595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1C427118-F7E3-4A78-8278-2EB14318A89E}"/>
            </a:ext>
          </a:extLst>
        </xdr:cNvPr>
        <xdr:cNvCxnSpPr>
          <a:cxnSpLocks/>
          <a:stCxn id="65" idx="2"/>
          <a:endCxn id="16" idx="0"/>
        </xdr:cNvCxnSpPr>
      </xdr:nvCxnSpPr>
      <xdr:spPr>
        <a:xfrm rot="5400000">
          <a:off x="1043983" y="6218126"/>
          <a:ext cx="1067664" cy="129606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112059</xdr:colOff>
      <xdr:row>55</xdr:row>
      <xdr:rowOff>25588</xdr:rowOff>
    </xdr:from>
    <xdr:to>
      <xdr:col>49</xdr:col>
      <xdr:colOff>123264</xdr:colOff>
      <xdr:row>59</xdr:row>
      <xdr:rowOff>161739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46AE8035-5135-4274-9A7A-B8B3D636B4F6}"/>
            </a:ext>
          </a:extLst>
        </xdr:cNvPr>
        <xdr:cNvSpPr/>
      </xdr:nvSpPr>
      <xdr:spPr>
        <a:xfrm>
          <a:off x="112059" y="9515663"/>
          <a:ext cx="5615080" cy="821951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</xdr:col>
      <xdr:colOff>83848</xdr:colOff>
      <xdr:row>87</xdr:row>
      <xdr:rowOff>124554</xdr:rowOff>
    </xdr:from>
    <xdr:to>
      <xdr:col>32</xdr:col>
      <xdr:colOff>37213</xdr:colOff>
      <xdr:row>97</xdr:row>
      <xdr:rowOff>155058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940728F6-898B-4779-BC67-B9EE6535AC75}"/>
            </a:ext>
          </a:extLst>
        </xdr:cNvPr>
        <xdr:cNvCxnSpPr>
          <a:cxnSpLocks/>
          <a:stCxn id="78" idx="2"/>
          <a:endCxn id="61" idx="0"/>
        </xdr:cNvCxnSpPr>
      </xdr:nvCxnSpPr>
      <xdr:spPr>
        <a:xfrm rot="5400000">
          <a:off x="2751588" y="12787528"/>
          <a:ext cx="1693599" cy="545669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77410</xdr:colOff>
      <xdr:row>69</xdr:row>
      <xdr:rowOff>134471</xdr:rowOff>
    </xdr:from>
    <xdr:to>
      <xdr:col>7</xdr:col>
      <xdr:colOff>152417</xdr:colOff>
      <xdr:row>72</xdr:row>
      <xdr:rowOff>38225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514AE5EC-A6A9-476D-AC86-4E511A8D56AC}"/>
            </a:ext>
          </a:extLst>
        </xdr:cNvPr>
        <xdr:cNvGrpSpPr/>
      </xdr:nvGrpSpPr>
      <xdr:grpSpPr>
        <a:xfrm>
          <a:off x="500743" y="12588756"/>
          <a:ext cx="1133341" cy="451850"/>
          <a:chOff x="4971968" y="3287127"/>
          <a:chExt cx="1105200" cy="408486"/>
        </a:xfrm>
      </xdr:grpSpPr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DA34E2C9-B9B3-7539-F991-4F683A81C3B2}"/>
              </a:ext>
            </a:extLst>
          </xdr:cNvPr>
          <xdr:cNvSpPr/>
        </xdr:nvSpPr>
        <xdr:spPr>
          <a:xfrm>
            <a:off x="5103135" y="3287127"/>
            <a:ext cx="880541" cy="404228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4" name="正方形/長方形 48">
            <a:extLst>
              <a:ext uri="{FF2B5EF4-FFF2-40B4-BE49-F238E27FC236}">
                <a16:creationId xmlns:a16="http://schemas.microsoft.com/office/drawing/2014/main" id="{E2F2B292-61B5-2DA3-D2C5-92287B9DB53A}"/>
              </a:ext>
            </a:extLst>
          </xdr:cNvPr>
          <xdr:cNvSpPr/>
        </xdr:nvSpPr>
        <xdr:spPr>
          <a:xfrm>
            <a:off x="4971968" y="3314693"/>
            <a:ext cx="1105200" cy="3809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．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貸倒引当金</a:t>
            </a:r>
            <a:endPara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kumimoji="1" lang="ja-JP" altLang="en-US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登録依頼</a:t>
            </a:r>
            <a:endParaRPr lang="ja-JP" altLang="ja-JP" sz="900">
              <a:effectLst/>
            </a:endParaRPr>
          </a:p>
        </xdr:txBody>
      </xdr:sp>
    </xdr:grpSp>
    <xdr:clientData/>
  </xdr:twoCellAnchor>
  <xdr:twoCellAnchor>
    <xdr:from>
      <xdr:col>5</xdr:col>
      <xdr:colOff>16380</xdr:colOff>
      <xdr:row>72</xdr:row>
      <xdr:rowOff>38224</xdr:rowOff>
    </xdr:from>
    <xdr:to>
      <xdr:col>18</xdr:col>
      <xdr:colOff>148966</xdr:colOff>
      <xdr:row>75</xdr:row>
      <xdr:rowOff>39022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2919D0E6-FB15-4BAA-8E24-336DF040A092}"/>
            </a:ext>
          </a:extLst>
        </xdr:cNvPr>
        <xdr:cNvCxnSpPr>
          <a:cxnSpLocks/>
          <a:stCxn id="104" idx="2"/>
          <a:endCxn id="49" idx="0"/>
        </xdr:cNvCxnSpPr>
      </xdr:nvCxnSpPr>
      <xdr:spPr>
        <a:xfrm rot="16200000" flipH="1">
          <a:off x="2092377" y="11310365"/>
          <a:ext cx="513177" cy="269448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61455</xdr:colOff>
      <xdr:row>84</xdr:row>
      <xdr:rowOff>128433</xdr:rowOff>
    </xdr:from>
    <xdr:to>
      <xdr:col>42</xdr:col>
      <xdr:colOff>32781</xdr:colOff>
      <xdr:row>88</xdr:row>
      <xdr:rowOff>31811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EDF8229F-E5B1-4F74-898E-A9ABED143D58}"/>
            </a:ext>
          </a:extLst>
        </xdr:cNvPr>
        <xdr:cNvGrpSpPr/>
      </xdr:nvGrpSpPr>
      <xdr:grpSpPr>
        <a:xfrm>
          <a:off x="7889312" y="15311767"/>
          <a:ext cx="1031564" cy="623377"/>
          <a:chOff x="7113907" y="2892425"/>
          <a:chExt cx="917588" cy="591189"/>
        </a:xfrm>
      </xdr:grpSpPr>
      <xdr:sp macro="" textlink="">
        <xdr:nvSpPr>
          <xdr:cNvPr id="9" name="フローチャート: 磁気ディスク 8">
            <a:extLst>
              <a:ext uri="{FF2B5EF4-FFF2-40B4-BE49-F238E27FC236}">
                <a16:creationId xmlns:a16="http://schemas.microsoft.com/office/drawing/2014/main" id="{5A00190A-2843-2BD9-CFC1-16035DB58E22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137533E-BB11-0675-82D2-37C3857A36AE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35</xdr:col>
      <xdr:colOff>8273</xdr:colOff>
      <xdr:row>86</xdr:row>
      <xdr:rowOff>38595</xdr:rowOff>
    </xdr:from>
    <xdr:to>
      <xdr:col>37</xdr:col>
      <xdr:colOff>149793</xdr:colOff>
      <xdr:row>86</xdr:row>
      <xdr:rowOff>61649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7B9EC5B6-B233-4C5D-8222-109C867C235F}"/>
            </a:ext>
          </a:extLst>
        </xdr:cNvPr>
        <xdr:cNvCxnSpPr>
          <a:cxnSpLocks/>
          <a:stCxn id="73" idx="3"/>
          <a:endCxn id="9" idx="2"/>
        </xdr:cNvCxnSpPr>
      </xdr:nvCxnSpPr>
      <xdr:spPr>
        <a:xfrm>
          <a:off x="6887440" y="14416809"/>
          <a:ext cx="534615" cy="23054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45357</xdr:colOff>
      <xdr:row>84</xdr:row>
      <xdr:rowOff>120953</xdr:rowOff>
    </xdr:from>
    <xdr:to>
      <xdr:col>35</xdr:col>
      <xdr:colOff>22716</xdr:colOff>
      <xdr:row>87</xdr:row>
      <xdr:rowOff>127729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E47C56A3-4D87-42A5-8B8B-7A83A148F4A1}"/>
            </a:ext>
          </a:extLst>
        </xdr:cNvPr>
        <xdr:cNvGrpSpPr/>
      </xdr:nvGrpSpPr>
      <xdr:grpSpPr>
        <a:xfrm>
          <a:off x="6185595" y="15302382"/>
          <a:ext cx="1241644" cy="552967"/>
          <a:chOff x="1556092" y="2432650"/>
          <a:chExt cx="965711" cy="420662"/>
        </a:xfrm>
      </xdr:grpSpPr>
      <xdr:sp macro="" textlink="">
        <xdr:nvSpPr>
          <xdr:cNvPr id="73" name="フローチャート: 定義済み処理 72">
            <a:extLst>
              <a:ext uri="{FF2B5EF4-FFF2-40B4-BE49-F238E27FC236}">
                <a16:creationId xmlns:a16="http://schemas.microsoft.com/office/drawing/2014/main" id="{AC3F5522-7861-B8B9-A6F8-4F4B4310FBAC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8" name="正方形/長方形 48">
            <a:extLst>
              <a:ext uri="{FF2B5EF4-FFF2-40B4-BE49-F238E27FC236}">
                <a16:creationId xmlns:a16="http://schemas.microsoft.com/office/drawing/2014/main" id="{4DAB3CF4-8FDC-0A6D-1BD1-00DD48DCD843}"/>
              </a:ext>
            </a:extLst>
          </xdr:cNvPr>
          <xdr:cNvSpPr/>
        </xdr:nvSpPr>
        <xdr:spPr>
          <a:xfrm>
            <a:off x="1556092" y="2432650"/>
            <a:ext cx="965711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12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126116</xdr:colOff>
      <xdr:row>10</xdr:row>
      <xdr:rowOff>120090</xdr:rowOff>
    </xdr:from>
    <xdr:to>
      <xdr:col>20</xdr:col>
      <xdr:colOff>31393</xdr:colOff>
      <xdr:row>12</xdr:row>
      <xdr:rowOff>24156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2F726871-88B4-483F-8B4D-2E476B8EA847}"/>
            </a:ext>
          </a:extLst>
        </xdr:cNvPr>
        <xdr:cNvSpPr/>
      </xdr:nvSpPr>
      <xdr:spPr>
        <a:xfrm>
          <a:off x="3394986" y="1881525"/>
          <a:ext cx="722494" cy="24641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84468</xdr:colOff>
      <xdr:row>14</xdr:row>
      <xdr:rowOff>64060</xdr:rowOff>
    </xdr:from>
    <xdr:to>
      <xdr:col>21</xdr:col>
      <xdr:colOff>66105</xdr:colOff>
      <xdr:row>17</xdr:row>
      <xdr:rowOff>81391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3BC3F821-CE82-4E43-96AC-4BF67E7CBA08}"/>
            </a:ext>
          </a:extLst>
        </xdr:cNvPr>
        <xdr:cNvGrpSpPr/>
      </xdr:nvGrpSpPr>
      <xdr:grpSpPr>
        <a:xfrm>
          <a:off x="3280049" y="2615191"/>
          <a:ext cx="1255298" cy="560929"/>
          <a:chOff x="1580728" y="2457449"/>
          <a:chExt cx="1013466" cy="381718"/>
        </a:xfrm>
      </xdr:grpSpPr>
      <xdr:sp macro="" textlink="">
        <xdr:nvSpPr>
          <xdr:cNvPr id="4" name="フローチャート: 定義済み処理 3">
            <a:extLst>
              <a:ext uri="{FF2B5EF4-FFF2-40B4-BE49-F238E27FC236}">
                <a16:creationId xmlns:a16="http://schemas.microsoft.com/office/drawing/2014/main" id="{6500440A-6FD9-47ED-A8C8-CB39C7467C90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" name="正方形/長方形 48">
            <a:extLst>
              <a:ext uri="{FF2B5EF4-FFF2-40B4-BE49-F238E27FC236}">
                <a16:creationId xmlns:a16="http://schemas.microsoft.com/office/drawing/2014/main" id="{D2E777B6-22D4-46E8-B8CB-D47462AE16B5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１．仮払現金残高確認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75287</xdr:colOff>
      <xdr:row>12</xdr:row>
      <xdr:rowOff>24156</xdr:rowOff>
    </xdr:from>
    <xdr:to>
      <xdr:col>18</xdr:col>
      <xdr:colOff>78755</xdr:colOff>
      <xdr:row>14</xdr:row>
      <xdr:rowOff>78722</xdr:rowOff>
    </xdr:to>
    <xdr:cxnSp macro="">
      <xdr:nvCxnSpPr>
        <xdr:cNvPr id="17" name="直線矢印コネクタ 27">
          <a:extLst>
            <a:ext uri="{FF2B5EF4-FFF2-40B4-BE49-F238E27FC236}">
              <a16:creationId xmlns:a16="http://schemas.microsoft.com/office/drawing/2014/main" id="{8A0DC80A-0A6D-4218-9C6C-6FE008F4724C}"/>
            </a:ext>
          </a:extLst>
        </xdr:cNvPr>
        <xdr:cNvCxnSpPr>
          <a:cxnSpLocks/>
          <a:stCxn id="2" idx="2"/>
          <a:endCxn id="5" idx="0"/>
        </xdr:cNvCxnSpPr>
      </xdr:nvCxnSpPr>
      <xdr:spPr>
        <a:xfrm flipH="1">
          <a:off x="3752765" y="2127939"/>
          <a:ext cx="3468" cy="3969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79139</xdr:colOff>
      <xdr:row>17</xdr:row>
      <xdr:rowOff>71562</xdr:rowOff>
    </xdr:from>
    <xdr:to>
      <xdr:col>18</xdr:col>
      <xdr:colOff>81082</xdr:colOff>
      <xdr:row>20</xdr:row>
      <xdr:rowOff>11205</xdr:rowOff>
    </xdr:to>
    <xdr:cxnSp macro="">
      <xdr:nvCxnSpPr>
        <xdr:cNvPr id="18" name="直線矢印コネクタ 27">
          <a:extLst>
            <a:ext uri="{FF2B5EF4-FFF2-40B4-BE49-F238E27FC236}">
              <a16:creationId xmlns:a16="http://schemas.microsoft.com/office/drawing/2014/main" id="{5D65E3A2-544E-48D0-B74A-9A384DFFD971}"/>
            </a:ext>
          </a:extLst>
        </xdr:cNvPr>
        <xdr:cNvCxnSpPr>
          <a:cxnSpLocks/>
          <a:stCxn id="4" idx="2"/>
          <a:endCxn id="60" idx="0"/>
        </xdr:cNvCxnSpPr>
      </xdr:nvCxnSpPr>
      <xdr:spPr>
        <a:xfrm flipH="1">
          <a:off x="3756617" y="3031214"/>
          <a:ext cx="1943" cy="45316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99839</xdr:colOff>
      <xdr:row>14</xdr:row>
      <xdr:rowOff>45551</xdr:rowOff>
    </xdr:from>
    <xdr:to>
      <xdr:col>35</xdr:col>
      <xdr:colOff>120450</xdr:colOff>
      <xdr:row>17</xdr:row>
      <xdr:rowOff>141565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D566A088-338E-487B-A238-201466CCEE85}"/>
            </a:ext>
          </a:extLst>
        </xdr:cNvPr>
        <xdr:cNvGrpSpPr/>
      </xdr:nvGrpSpPr>
      <xdr:grpSpPr>
        <a:xfrm>
          <a:off x="6483382" y="2602397"/>
          <a:ext cx="1090885" cy="630087"/>
          <a:chOff x="7113625" y="2892425"/>
          <a:chExt cx="914621" cy="583743"/>
        </a:xfrm>
      </xdr:grpSpPr>
      <xdr:sp macro="" textlink="">
        <xdr:nvSpPr>
          <xdr:cNvPr id="54" name="フローチャート: 磁気ディスク 53">
            <a:extLst>
              <a:ext uri="{FF2B5EF4-FFF2-40B4-BE49-F238E27FC236}">
                <a16:creationId xmlns:a16="http://schemas.microsoft.com/office/drawing/2014/main" id="{7B8121EF-BA6E-4721-8ED5-5B7F87EBE7B9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13B33D22-4782-4D74-8105-FAE731708A88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20</xdr:col>
      <xdr:colOff>160448</xdr:colOff>
      <xdr:row>15</xdr:row>
      <xdr:rowOff>153398</xdr:rowOff>
    </xdr:from>
    <xdr:to>
      <xdr:col>30</xdr:col>
      <xdr:colOff>202899</xdr:colOff>
      <xdr:row>15</xdr:row>
      <xdr:rowOff>154519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78D71BF3-32FD-49EA-BF72-3ACD5CC3CD8E}"/>
            </a:ext>
          </a:extLst>
        </xdr:cNvPr>
        <xdr:cNvCxnSpPr>
          <a:cxnSpLocks/>
          <a:stCxn id="54" idx="2"/>
          <a:endCxn id="4" idx="3"/>
        </xdr:cNvCxnSpPr>
      </xdr:nvCxnSpPr>
      <xdr:spPr>
        <a:xfrm flipH="1" flipV="1">
          <a:off x="4246535" y="2770702"/>
          <a:ext cx="2085494" cy="112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122941</xdr:colOff>
      <xdr:row>20</xdr:row>
      <xdr:rowOff>11205</xdr:rowOff>
    </xdr:from>
    <xdr:to>
      <xdr:col>21</xdr:col>
      <xdr:colOff>4689</xdr:colOff>
      <xdr:row>22</xdr:row>
      <xdr:rowOff>135218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7387558A-4DF3-4413-90A8-9C431DACE417}"/>
            </a:ext>
          </a:extLst>
        </xdr:cNvPr>
        <xdr:cNvGrpSpPr/>
      </xdr:nvGrpSpPr>
      <xdr:grpSpPr>
        <a:xfrm>
          <a:off x="3318522" y="3643816"/>
          <a:ext cx="1159219" cy="465680"/>
          <a:chOff x="1612900" y="2457450"/>
          <a:chExt cx="933032" cy="374650"/>
        </a:xfrm>
      </xdr:grpSpPr>
      <xdr:sp macro="" textlink="">
        <xdr:nvSpPr>
          <xdr:cNvPr id="60" name="フローチャート: 処理 59">
            <a:extLst>
              <a:ext uri="{FF2B5EF4-FFF2-40B4-BE49-F238E27FC236}">
                <a16:creationId xmlns:a16="http://schemas.microsoft.com/office/drawing/2014/main" id="{02EA5DCE-5C01-4D1B-9381-05BD089681B1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1" name="正方形/長方形 48">
            <a:extLst>
              <a:ext uri="{FF2B5EF4-FFF2-40B4-BE49-F238E27FC236}">
                <a16:creationId xmlns:a16="http://schemas.microsoft.com/office/drawing/2014/main" id="{E2247C4F-326C-41D2-B79D-A2C23AC6D802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報告資料作成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180974</xdr:colOff>
      <xdr:row>22</xdr:row>
      <xdr:rowOff>38287</xdr:rowOff>
    </xdr:from>
    <xdr:to>
      <xdr:col>23</xdr:col>
      <xdr:colOff>0</xdr:colOff>
      <xdr:row>24</xdr:row>
      <xdr:rowOff>64060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FB92F4C3-ADEF-41C4-836E-0DD7AA4AE9D6}"/>
            </a:ext>
          </a:extLst>
        </xdr:cNvPr>
        <xdr:cNvGrpSpPr>
          <a:grpSpLocks noChangeAspect="1"/>
        </xdr:cNvGrpSpPr>
      </xdr:nvGrpSpPr>
      <xdr:grpSpPr>
        <a:xfrm>
          <a:off x="4011481" y="4016375"/>
          <a:ext cx="885490" cy="380551"/>
          <a:chOff x="2791278" y="18514786"/>
          <a:chExt cx="773793" cy="417285"/>
        </a:xfrm>
      </xdr:grpSpPr>
      <xdr:sp macro="" textlink="">
        <xdr:nvSpPr>
          <xdr:cNvPr id="63" name="フローチャート: 書類 62">
            <a:extLst>
              <a:ext uri="{FF2B5EF4-FFF2-40B4-BE49-F238E27FC236}">
                <a16:creationId xmlns:a16="http://schemas.microsoft.com/office/drawing/2014/main" id="{6C0DB728-B176-487F-9ABC-DCEF3D13A444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76AC02E4-93CB-49BF-9B0D-087F1205507B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</a:p>
        </xdr:txBody>
      </xdr:sp>
    </xdr:grpSp>
    <xdr:clientData/>
  </xdr:twoCellAnchor>
  <xdr:twoCellAnchor>
    <xdr:from>
      <xdr:col>8</xdr:col>
      <xdr:colOff>190500</xdr:colOff>
      <xdr:row>32</xdr:row>
      <xdr:rowOff>8029</xdr:rowOff>
    </xdr:from>
    <xdr:to>
      <xdr:col>14</xdr:col>
      <xdr:colOff>81198</xdr:colOff>
      <xdr:row>34</xdr:row>
      <xdr:rowOff>135403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F0267C5C-3BD4-4B1C-8680-0385BD4E818D}"/>
            </a:ext>
          </a:extLst>
        </xdr:cNvPr>
        <xdr:cNvGrpSpPr/>
      </xdr:nvGrpSpPr>
      <xdr:grpSpPr>
        <a:xfrm>
          <a:off x="1893794" y="5780963"/>
          <a:ext cx="1170074" cy="480248"/>
          <a:chOff x="1612900" y="2457450"/>
          <a:chExt cx="933032" cy="374650"/>
        </a:xfrm>
      </xdr:grpSpPr>
      <xdr:sp macro="" textlink="">
        <xdr:nvSpPr>
          <xdr:cNvPr id="67" name="フローチャート: 処理 66">
            <a:extLst>
              <a:ext uri="{FF2B5EF4-FFF2-40B4-BE49-F238E27FC236}">
                <a16:creationId xmlns:a16="http://schemas.microsoft.com/office/drawing/2014/main" id="{0ACC3294-0293-4CD0-9444-16FF19C0614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8" name="正方形/長方形 48">
            <a:extLst>
              <a:ext uri="{FF2B5EF4-FFF2-40B4-BE49-F238E27FC236}">
                <a16:creationId xmlns:a16="http://schemas.microsoft.com/office/drawing/2014/main" id="{F0C1EA2B-5FB3-45BB-A8B5-CBCC7CC9DCFF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123264</xdr:colOff>
      <xdr:row>25</xdr:row>
      <xdr:rowOff>33617</xdr:rowOff>
    </xdr:from>
    <xdr:to>
      <xdr:col>21</xdr:col>
      <xdr:colOff>7611</xdr:colOff>
      <xdr:row>27</xdr:row>
      <xdr:rowOff>157814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F966A5F7-D3AC-472D-AB0A-1F3324792B0A}"/>
            </a:ext>
          </a:extLst>
        </xdr:cNvPr>
        <xdr:cNvGrpSpPr/>
      </xdr:nvGrpSpPr>
      <xdr:grpSpPr>
        <a:xfrm>
          <a:off x="3318845" y="4547683"/>
          <a:ext cx="1161818" cy="486595"/>
          <a:chOff x="1612900" y="2457450"/>
          <a:chExt cx="933032" cy="374650"/>
        </a:xfrm>
      </xdr:grpSpPr>
      <xdr:sp macro="" textlink="">
        <xdr:nvSpPr>
          <xdr:cNvPr id="70" name="フローチャート: 処理 69">
            <a:extLst>
              <a:ext uri="{FF2B5EF4-FFF2-40B4-BE49-F238E27FC236}">
                <a16:creationId xmlns:a16="http://schemas.microsoft.com/office/drawing/2014/main" id="{63B43F83-C9B0-44F5-88B0-BB9AE63D892B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1" name="正方形/長方形 48">
            <a:extLst>
              <a:ext uri="{FF2B5EF4-FFF2-40B4-BE49-F238E27FC236}">
                <a16:creationId xmlns:a16="http://schemas.microsoft.com/office/drawing/2014/main" id="{2150E208-F749-4C73-8E4B-77E8491008F5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報告用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資料提出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132674</xdr:colOff>
      <xdr:row>27</xdr:row>
      <xdr:rowOff>157814</xdr:rowOff>
    </xdr:from>
    <xdr:to>
      <xdr:col>18</xdr:col>
      <xdr:colOff>83757</xdr:colOff>
      <xdr:row>32</xdr:row>
      <xdr:rowOff>49951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C4CD1C59-91E1-48A2-B00D-AF189043E64A}"/>
            </a:ext>
          </a:extLst>
        </xdr:cNvPr>
        <xdr:cNvCxnSpPr>
          <a:cxnSpLocks/>
          <a:stCxn id="70" idx="2"/>
          <a:endCxn id="68" idx="0"/>
        </xdr:cNvCxnSpPr>
      </xdr:nvCxnSpPr>
      <xdr:spPr>
        <a:xfrm rot="5400000">
          <a:off x="2666662" y="4448209"/>
          <a:ext cx="732578" cy="136302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18864</xdr:colOff>
      <xdr:row>37</xdr:row>
      <xdr:rowOff>97305</xdr:rowOff>
    </xdr:from>
    <xdr:to>
      <xdr:col>13</xdr:col>
      <xdr:colOff>119498</xdr:colOff>
      <xdr:row>38</xdr:row>
      <xdr:rowOff>131358</xdr:rowOff>
    </xdr:to>
    <xdr:sp macro="" textlink="">
      <xdr:nvSpPr>
        <xdr:cNvPr id="73" name="フローチャート: 端子 72">
          <a:extLst>
            <a:ext uri="{FF2B5EF4-FFF2-40B4-BE49-F238E27FC236}">
              <a16:creationId xmlns:a16="http://schemas.microsoft.com/office/drawing/2014/main" id="{D8A99952-DA64-4AF1-89C0-3477175F2152}"/>
            </a:ext>
          </a:extLst>
        </xdr:cNvPr>
        <xdr:cNvSpPr/>
      </xdr:nvSpPr>
      <xdr:spPr>
        <a:xfrm>
          <a:off x="2035923" y="6383805"/>
          <a:ext cx="705751" cy="20214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11</xdr:col>
      <xdr:colOff>151080</xdr:colOff>
      <xdr:row>34</xdr:row>
      <xdr:rowOff>135403</xdr:rowOff>
    </xdr:from>
    <xdr:to>
      <xdr:col>11</xdr:col>
      <xdr:colOff>168445</xdr:colOff>
      <xdr:row>37</xdr:row>
      <xdr:rowOff>97305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A41BC374-6680-4A0E-9FBB-6EF69F0B4220}"/>
            </a:ext>
          </a:extLst>
        </xdr:cNvPr>
        <xdr:cNvCxnSpPr>
          <a:cxnSpLocks/>
          <a:stCxn id="67" idx="2"/>
          <a:endCxn id="73" idx="0"/>
        </xdr:cNvCxnSpPr>
      </xdr:nvCxnSpPr>
      <xdr:spPr>
        <a:xfrm rot="16200000" flipH="1">
          <a:off x="2145444" y="6142039"/>
          <a:ext cx="466167" cy="1736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79139</xdr:colOff>
      <xdr:row>22</xdr:row>
      <xdr:rowOff>135218</xdr:rowOff>
    </xdr:from>
    <xdr:to>
      <xdr:col>18</xdr:col>
      <xdr:colOff>80797</xdr:colOff>
      <xdr:row>25</xdr:row>
      <xdr:rowOff>33617</xdr:rowOff>
    </xdr:to>
    <xdr:cxnSp macro="">
      <xdr:nvCxnSpPr>
        <xdr:cNvPr id="84" name="直線矢印コネクタ 27">
          <a:extLst>
            <a:ext uri="{FF2B5EF4-FFF2-40B4-BE49-F238E27FC236}">
              <a16:creationId xmlns:a16="http://schemas.microsoft.com/office/drawing/2014/main" id="{51D1EE4C-AC08-445D-A469-EB1CF0BBBDD1}"/>
            </a:ext>
          </a:extLst>
        </xdr:cNvPr>
        <xdr:cNvCxnSpPr>
          <a:cxnSpLocks/>
          <a:stCxn id="60" idx="2"/>
          <a:endCxn id="70" idx="0"/>
        </xdr:cNvCxnSpPr>
      </xdr:nvCxnSpPr>
      <xdr:spPr>
        <a:xfrm>
          <a:off x="3756617" y="3950740"/>
          <a:ext cx="1658" cy="4119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98051</xdr:colOff>
      <xdr:row>29</xdr:row>
      <xdr:rowOff>36979</xdr:rowOff>
    </xdr:from>
    <xdr:to>
      <xdr:col>20</xdr:col>
      <xdr:colOff>187841</xdr:colOff>
      <xdr:row>31</xdr:row>
      <xdr:rowOff>56402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2165FB1E-C489-451E-A8AD-A162DF114E7A}"/>
            </a:ext>
          </a:extLst>
        </xdr:cNvPr>
        <xdr:cNvGrpSpPr>
          <a:grpSpLocks noChangeAspect="1"/>
        </xdr:cNvGrpSpPr>
      </xdr:nvGrpSpPr>
      <xdr:grpSpPr>
        <a:xfrm>
          <a:off x="3713741" y="5270126"/>
          <a:ext cx="732335" cy="381821"/>
          <a:chOff x="2791278" y="18514786"/>
          <a:chExt cx="773793" cy="417285"/>
        </a:xfrm>
      </xdr:grpSpPr>
      <xdr:sp macro="" textlink="">
        <xdr:nvSpPr>
          <xdr:cNvPr id="88" name="フローチャート: 書類 87">
            <a:extLst>
              <a:ext uri="{FF2B5EF4-FFF2-40B4-BE49-F238E27FC236}">
                <a16:creationId xmlns:a16="http://schemas.microsoft.com/office/drawing/2014/main" id="{988765B7-3284-4B52-B6E8-FBD06B6B9492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C56FCFC1-DF19-4409-8039-EF2C13246A3F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報告資料</a:t>
            </a:r>
          </a:p>
        </xdr:txBody>
      </xdr:sp>
    </xdr:grpSp>
    <xdr:clientData/>
  </xdr:twoCellAnchor>
  <xdr:twoCellAnchor>
    <xdr:from>
      <xdr:col>16</xdr:col>
      <xdr:colOff>104028</xdr:colOff>
      <xdr:row>41</xdr:row>
      <xdr:rowOff>120090</xdr:rowOff>
    </xdr:from>
    <xdr:to>
      <xdr:col>20</xdr:col>
      <xdr:colOff>9305</xdr:colOff>
      <xdr:row>43</xdr:row>
      <xdr:rowOff>24156</xdr:rowOff>
    </xdr:to>
    <xdr:sp macro="" textlink="">
      <xdr:nvSpPr>
        <xdr:cNvPr id="90" name="フローチャート: 端子 89">
          <a:extLst>
            <a:ext uri="{FF2B5EF4-FFF2-40B4-BE49-F238E27FC236}">
              <a16:creationId xmlns:a16="http://schemas.microsoft.com/office/drawing/2014/main" id="{BE381C09-51DA-45AE-B14C-5FE50F6BEDA1}"/>
            </a:ext>
          </a:extLst>
        </xdr:cNvPr>
        <xdr:cNvSpPr/>
      </xdr:nvSpPr>
      <xdr:spPr>
        <a:xfrm>
          <a:off x="3334497" y="1871383"/>
          <a:ext cx="712101" cy="2402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65555</xdr:colOff>
      <xdr:row>45</xdr:row>
      <xdr:rowOff>67235</xdr:rowOff>
    </xdr:from>
    <xdr:to>
      <xdr:col>21</xdr:col>
      <xdr:colOff>47192</xdr:colOff>
      <xdr:row>48</xdr:row>
      <xdr:rowOff>84566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D6FD90A0-D43E-470C-A139-FC8EA6353434}"/>
            </a:ext>
          </a:extLst>
        </xdr:cNvPr>
        <xdr:cNvGrpSpPr/>
      </xdr:nvGrpSpPr>
      <xdr:grpSpPr>
        <a:xfrm>
          <a:off x="3257326" y="8155977"/>
          <a:ext cx="1262918" cy="559023"/>
          <a:chOff x="1580728" y="2457449"/>
          <a:chExt cx="1013466" cy="381718"/>
        </a:xfrm>
      </xdr:grpSpPr>
      <xdr:sp macro="" textlink="">
        <xdr:nvSpPr>
          <xdr:cNvPr id="92" name="フローチャート: 定義済み処理 91">
            <a:extLst>
              <a:ext uri="{FF2B5EF4-FFF2-40B4-BE49-F238E27FC236}">
                <a16:creationId xmlns:a16="http://schemas.microsoft.com/office/drawing/2014/main" id="{594E1247-CCA6-474A-AC5C-6A9F5E38F82F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93" name="正方形/長方形 48">
            <a:extLst>
              <a:ext uri="{FF2B5EF4-FFF2-40B4-BE49-F238E27FC236}">
                <a16:creationId xmlns:a16="http://schemas.microsoft.com/office/drawing/2014/main" id="{0CC5EC93-293E-4A58-A694-7CC700F79F37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１．外貨別売掛金明細抽出・確認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56374</xdr:colOff>
      <xdr:row>43</xdr:row>
      <xdr:rowOff>27331</xdr:rowOff>
    </xdr:from>
    <xdr:to>
      <xdr:col>18</xdr:col>
      <xdr:colOff>56667</xdr:colOff>
      <xdr:row>45</xdr:row>
      <xdr:rowOff>81641</xdr:rowOff>
    </xdr:to>
    <xdr:cxnSp macro="">
      <xdr:nvCxnSpPr>
        <xdr:cNvPr id="94" name="直線矢印コネクタ 27">
          <a:extLst>
            <a:ext uri="{FF2B5EF4-FFF2-40B4-BE49-F238E27FC236}">
              <a16:creationId xmlns:a16="http://schemas.microsoft.com/office/drawing/2014/main" id="{60543839-AFCA-43F6-B8ED-1AF3DB64F7D0}"/>
            </a:ext>
          </a:extLst>
        </xdr:cNvPr>
        <xdr:cNvCxnSpPr>
          <a:cxnSpLocks/>
          <a:stCxn id="90" idx="2"/>
          <a:endCxn id="93" idx="0"/>
        </xdr:cNvCxnSpPr>
      </xdr:nvCxnSpPr>
      <xdr:spPr>
        <a:xfrm flipH="1">
          <a:off x="3687080" y="2114800"/>
          <a:ext cx="293" cy="39048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49582</xdr:colOff>
      <xdr:row>48</xdr:row>
      <xdr:rowOff>77965</xdr:rowOff>
    </xdr:from>
    <xdr:to>
      <xdr:col>18</xdr:col>
      <xdr:colOff>65269</xdr:colOff>
      <xdr:row>51</xdr:row>
      <xdr:rowOff>144369</xdr:rowOff>
    </xdr:to>
    <xdr:cxnSp macro="">
      <xdr:nvCxnSpPr>
        <xdr:cNvPr id="95" name="直線矢印コネクタ 27">
          <a:extLst>
            <a:ext uri="{FF2B5EF4-FFF2-40B4-BE49-F238E27FC236}">
              <a16:creationId xmlns:a16="http://schemas.microsoft.com/office/drawing/2014/main" id="{E75BB03C-9DE7-4F73-8060-D0BFED862685}"/>
            </a:ext>
          </a:extLst>
        </xdr:cNvPr>
        <xdr:cNvCxnSpPr>
          <a:cxnSpLocks/>
          <a:stCxn id="92" idx="2"/>
          <a:endCxn id="120" idx="0"/>
        </xdr:cNvCxnSpPr>
      </xdr:nvCxnSpPr>
      <xdr:spPr>
        <a:xfrm flipH="1">
          <a:off x="3680288" y="8213436"/>
          <a:ext cx="15687" cy="5706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27268</xdr:colOff>
      <xdr:row>44</xdr:row>
      <xdr:rowOff>166407</xdr:rowOff>
    </xdr:from>
    <xdr:to>
      <xdr:col>35</xdr:col>
      <xdr:colOff>47879</xdr:colOff>
      <xdr:row>48</xdr:row>
      <xdr:rowOff>97596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A6176753-DF8D-440D-8C12-0A399AE134A6}"/>
            </a:ext>
          </a:extLst>
        </xdr:cNvPr>
        <xdr:cNvGrpSpPr/>
      </xdr:nvGrpSpPr>
      <xdr:grpSpPr>
        <a:xfrm>
          <a:off x="6412716" y="8081570"/>
          <a:ext cx="1088980" cy="640745"/>
          <a:chOff x="7113625" y="2892425"/>
          <a:chExt cx="914621" cy="583743"/>
        </a:xfrm>
      </xdr:grpSpPr>
      <xdr:sp macro="" textlink="">
        <xdr:nvSpPr>
          <xdr:cNvPr id="97" name="フローチャート: 磁気ディスク 96">
            <a:extLst>
              <a:ext uri="{FF2B5EF4-FFF2-40B4-BE49-F238E27FC236}">
                <a16:creationId xmlns:a16="http://schemas.microsoft.com/office/drawing/2014/main" id="{EB8E3EF1-EF57-4D71-A7B5-8758476A5768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04572BA7-40AF-4214-9F0D-97BA36C43371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50367</xdr:colOff>
      <xdr:row>46</xdr:row>
      <xdr:rowOff>167236</xdr:rowOff>
    </xdr:from>
    <xdr:to>
      <xdr:col>30</xdr:col>
      <xdr:colOff>27268</xdr:colOff>
      <xdr:row>47</xdr:row>
      <xdr:rowOff>10403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F1535F6C-FDFD-42FF-94D3-3A64FE52E376}"/>
            </a:ext>
          </a:extLst>
        </xdr:cNvPr>
        <xdr:cNvCxnSpPr>
          <a:cxnSpLocks/>
          <a:stCxn id="98" idx="1"/>
          <a:endCxn id="93" idx="3"/>
        </xdr:cNvCxnSpPr>
      </xdr:nvCxnSpPr>
      <xdr:spPr>
        <a:xfrm flipH="1" flipV="1">
          <a:off x="4286191" y="7966530"/>
          <a:ext cx="380312" cy="1125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53043</xdr:colOff>
      <xdr:row>51</xdr:row>
      <xdr:rowOff>144369</xdr:rowOff>
    </xdr:from>
    <xdr:to>
      <xdr:col>21</xdr:col>
      <xdr:colOff>34680</xdr:colOff>
      <xdr:row>54</xdr:row>
      <xdr:rowOff>155350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F006F53A-3F9B-4BE9-A15B-753BBACCF2E1}"/>
            </a:ext>
          </a:extLst>
        </xdr:cNvPr>
        <xdr:cNvGrpSpPr/>
      </xdr:nvGrpSpPr>
      <xdr:grpSpPr>
        <a:xfrm>
          <a:off x="3250529" y="9308876"/>
          <a:ext cx="1255298" cy="539562"/>
          <a:chOff x="1580728" y="2457449"/>
          <a:chExt cx="1013466" cy="381718"/>
        </a:xfrm>
      </xdr:grpSpPr>
      <xdr:sp macro="" textlink="">
        <xdr:nvSpPr>
          <xdr:cNvPr id="120" name="フローチャート: 定義済み処理 119">
            <a:extLst>
              <a:ext uri="{FF2B5EF4-FFF2-40B4-BE49-F238E27FC236}">
                <a16:creationId xmlns:a16="http://schemas.microsoft.com/office/drawing/2014/main" id="{E454C1E1-7CB4-4513-91A2-7BEA6F991A96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21" name="正方形/長方形 48">
            <a:extLst>
              <a:ext uri="{FF2B5EF4-FFF2-40B4-BE49-F238E27FC236}">
                <a16:creationId xmlns:a16="http://schemas.microsoft.com/office/drawing/2014/main" id="{534416D0-7562-4428-A088-BD079F6C4ABF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．外貨再評価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（シミュレーション）</a:t>
            </a:r>
            <a:endParaRPr kumimoji="1" lang="en-US" altLang="ja-JP" sz="900"/>
          </a:p>
        </xdr:txBody>
      </xdr:sp>
    </xdr:grpSp>
    <xdr:clientData/>
  </xdr:twoCellAnchor>
  <xdr:twoCellAnchor>
    <xdr:from>
      <xdr:col>29</xdr:col>
      <xdr:colOff>134469</xdr:colOff>
      <xdr:row>51</xdr:row>
      <xdr:rowOff>125131</xdr:rowOff>
    </xdr:from>
    <xdr:to>
      <xdr:col>35</xdr:col>
      <xdr:colOff>37045</xdr:colOff>
      <xdr:row>55</xdr:row>
      <xdr:rowOff>45114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AF742139-7176-4E73-96CC-18869DA3EB64}"/>
            </a:ext>
          </a:extLst>
        </xdr:cNvPr>
        <xdr:cNvGrpSpPr/>
      </xdr:nvGrpSpPr>
      <xdr:grpSpPr>
        <a:xfrm>
          <a:off x="6305100" y="9293448"/>
          <a:ext cx="1183857" cy="625953"/>
          <a:chOff x="7063670" y="2892425"/>
          <a:chExt cx="994625" cy="572905"/>
        </a:xfrm>
      </xdr:grpSpPr>
      <xdr:sp macro="" textlink="">
        <xdr:nvSpPr>
          <xdr:cNvPr id="124" name="フローチャート: 磁気ディスク 123">
            <a:extLst>
              <a:ext uri="{FF2B5EF4-FFF2-40B4-BE49-F238E27FC236}">
                <a16:creationId xmlns:a16="http://schemas.microsoft.com/office/drawing/2014/main" id="{A214FAEC-8636-4369-8E29-CB4AFF885AC2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871B7ABC-1FF1-44EB-BD6C-805FD6469074}"/>
              </a:ext>
            </a:extLst>
          </xdr:cNvPr>
          <xdr:cNvSpPr/>
        </xdr:nvSpPr>
        <xdr:spPr>
          <a:xfrm>
            <a:off x="7063670" y="2971514"/>
            <a:ext cx="994625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外貨再評価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（シミュレーション）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31505</xdr:colOff>
      <xdr:row>53</xdr:row>
      <xdr:rowOff>71387</xdr:rowOff>
    </xdr:from>
    <xdr:to>
      <xdr:col>30</xdr:col>
      <xdr:colOff>11206</xdr:colOff>
      <xdr:row>53</xdr:row>
      <xdr:rowOff>89647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8267971D-42F9-40D7-BF2D-F09089C8A928}"/>
            </a:ext>
          </a:extLst>
        </xdr:cNvPr>
        <xdr:cNvCxnSpPr>
          <a:cxnSpLocks/>
          <a:stCxn id="121" idx="3"/>
        </xdr:cNvCxnSpPr>
      </xdr:nvCxnSpPr>
      <xdr:spPr>
        <a:xfrm>
          <a:off x="4267329" y="9047299"/>
          <a:ext cx="383112" cy="1826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40687</xdr:colOff>
      <xdr:row>54</xdr:row>
      <xdr:rowOff>155350</xdr:rowOff>
    </xdr:from>
    <xdr:to>
      <xdr:col>18</xdr:col>
      <xdr:colOff>44823</xdr:colOff>
      <xdr:row>57</xdr:row>
      <xdr:rowOff>156882</xdr:rowOff>
    </xdr:to>
    <xdr:cxnSp macro="">
      <xdr:nvCxnSpPr>
        <xdr:cNvPr id="130" name="直線矢印コネクタ 27">
          <a:extLst>
            <a:ext uri="{FF2B5EF4-FFF2-40B4-BE49-F238E27FC236}">
              <a16:creationId xmlns:a16="http://schemas.microsoft.com/office/drawing/2014/main" id="{4C9734DF-686E-49C9-8816-9D52B27745BA}"/>
            </a:ext>
          </a:extLst>
        </xdr:cNvPr>
        <xdr:cNvCxnSpPr>
          <a:cxnSpLocks/>
          <a:stCxn id="121" idx="2"/>
        </xdr:cNvCxnSpPr>
      </xdr:nvCxnSpPr>
      <xdr:spPr>
        <a:xfrm>
          <a:off x="3671393" y="9299350"/>
          <a:ext cx="4136" cy="50579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56030</xdr:colOff>
      <xdr:row>58</xdr:row>
      <xdr:rowOff>22412</xdr:rowOff>
    </xdr:from>
    <xdr:to>
      <xdr:col>21</xdr:col>
      <xdr:colOff>34492</xdr:colOff>
      <xdr:row>61</xdr:row>
      <xdr:rowOff>33393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F96045C5-3303-4143-89E4-9E296518C09D}"/>
            </a:ext>
          </a:extLst>
        </xdr:cNvPr>
        <xdr:cNvGrpSpPr/>
      </xdr:nvGrpSpPr>
      <xdr:grpSpPr>
        <a:xfrm>
          <a:off x="3253516" y="10428867"/>
          <a:ext cx="1252123" cy="550768"/>
          <a:chOff x="1580728" y="2457449"/>
          <a:chExt cx="1013466" cy="381718"/>
        </a:xfrm>
      </xdr:grpSpPr>
      <xdr:sp macro="" textlink="">
        <xdr:nvSpPr>
          <xdr:cNvPr id="134" name="フローチャート: 定義済み処理 133">
            <a:extLst>
              <a:ext uri="{FF2B5EF4-FFF2-40B4-BE49-F238E27FC236}">
                <a16:creationId xmlns:a16="http://schemas.microsoft.com/office/drawing/2014/main" id="{57865166-16EC-44B3-9E30-6C4EE9AAE4C8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5" name="正方形/長方形 48">
            <a:extLst>
              <a:ext uri="{FF2B5EF4-FFF2-40B4-BE49-F238E27FC236}">
                <a16:creationId xmlns:a16="http://schemas.microsoft.com/office/drawing/2014/main" id="{06EA94BC-622D-4835-95DD-5A0D9215E4DD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</a:t>
            </a:r>
            <a:r>
              <a:rPr kumimoji="1" lang="ja-JP" altLang="en-US" sz="900"/>
              <a:t>．外貨再評価</a:t>
            </a:r>
            <a:endParaRPr kumimoji="1" lang="en-US" altLang="ja-JP" sz="900"/>
          </a:p>
        </xdr:txBody>
      </xdr:sp>
    </xdr:grpSp>
    <xdr:clientData/>
  </xdr:twoCellAnchor>
  <xdr:twoCellAnchor>
    <xdr:from>
      <xdr:col>29</xdr:col>
      <xdr:colOff>141192</xdr:colOff>
      <xdr:row>58</xdr:row>
      <xdr:rowOff>5415</xdr:rowOff>
    </xdr:from>
    <xdr:to>
      <xdr:col>35</xdr:col>
      <xdr:colOff>46943</xdr:colOff>
      <xdr:row>61</xdr:row>
      <xdr:rowOff>90311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F3EBD0B5-1A85-4B3F-A296-AB4A2A3CE893}"/>
            </a:ext>
          </a:extLst>
        </xdr:cNvPr>
        <xdr:cNvGrpSpPr/>
      </xdr:nvGrpSpPr>
      <xdr:grpSpPr>
        <a:xfrm>
          <a:off x="6313728" y="10417585"/>
          <a:ext cx="1187032" cy="624683"/>
          <a:chOff x="7063670" y="2892425"/>
          <a:chExt cx="994625" cy="572905"/>
        </a:xfrm>
      </xdr:grpSpPr>
      <xdr:sp macro="" textlink="">
        <xdr:nvSpPr>
          <xdr:cNvPr id="137" name="フローチャート: 磁気ディスク 136">
            <a:extLst>
              <a:ext uri="{FF2B5EF4-FFF2-40B4-BE49-F238E27FC236}">
                <a16:creationId xmlns:a16="http://schemas.microsoft.com/office/drawing/2014/main" id="{FDAD109E-2592-4BE5-9DE1-4067F1266CE6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DB504CAE-B6DF-4689-BADA-4A501BF2DDCC}"/>
              </a:ext>
            </a:extLst>
          </xdr:cNvPr>
          <xdr:cNvSpPr/>
        </xdr:nvSpPr>
        <xdr:spPr>
          <a:xfrm>
            <a:off x="7063670" y="2971514"/>
            <a:ext cx="994625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外貨再評価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31317</xdr:colOff>
      <xdr:row>59</xdr:row>
      <xdr:rowOff>113227</xdr:rowOff>
    </xdr:from>
    <xdr:to>
      <xdr:col>30</xdr:col>
      <xdr:colOff>97023</xdr:colOff>
      <xdr:row>59</xdr:row>
      <xdr:rowOff>118975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20E40668-F376-4ED2-92C8-ED86D858B224}"/>
            </a:ext>
          </a:extLst>
        </xdr:cNvPr>
        <xdr:cNvCxnSpPr>
          <a:cxnSpLocks/>
          <a:stCxn id="135" idx="3"/>
          <a:endCxn id="137" idx="2"/>
        </xdr:cNvCxnSpPr>
      </xdr:nvCxnSpPr>
      <xdr:spPr>
        <a:xfrm flipV="1">
          <a:off x="4267141" y="10097668"/>
          <a:ext cx="469117" cy="574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29492</xdr:colOff>
      <xdr:row>61</xdr:row>
      <xdr:rowOff>20795</xdr:rowOff>
    </xdr:from>
    <xdr:to>
      <xdr:col>18</xdr:col>
      <xdr:colOff>49363</xdr:colOff>
      <xdr:row>63</xdr:row>
      <xdr:rowOff>160057</xdr:rowOff>
    </xdr:to>
    <xdr:cxnSp macro="">
      <xdr:nvCxnSpPr>
        <xdr:cNvPr id="147" name="直線矢印コネクタ 27">
          <a:extLst>
            <a:ext uri="{FF2B5EF4-FFF2-40B4-BE49-F238E27FC236}">
              <a16:creationId xmlns:a16="http://schemas.microsoft.com/office/drawing/2014/main" id="{EA42DDC4-7793-4BAE-941A-903593C34A07}"/>
            </a:ext>
          </a:extLst>
        </xdr:cNvPr>
        <xdr:cNvCxnSpPr>
          <a:cxnSpLocks/>
          <a:stCxn id="134" idx="2"/>
          <a:endCxn id="150" idx="0"/>
        </xdr:cNvCxnSpPr>
      </xdr:nvCxnSpPr>
      <xdr:spPr>
        <a:xfrm flipH="1">
          <a:off x="3660198" y="10341413"/>
          <a:ext cx="19871" cy="4754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78441</xdr:colOff>
      <xdr:row>63</xdr:row>
      <xdr:rowOff>156882</xdr:rowOff>
    </xdr:from>
    <xdr:to>
      <xdr:col>19</xdr:col>
      <xdr:colOff>185424</xdr:colOff>
      <xdr:row>65</xdr:row>
      <xdr:rowOff>19671</xdr:rowOff>
    </xdr:to>
    <xdr:sp macro="" textlink="">
      <xdr:nvSpPr>
        <xdr:cNvPr id="150" name="フローチャート: 端子 149">
          <a:extLst>
            <a:ext uri="{FF2B5EF4-FFF2-40B4-BE49-F238E27FC236}">
              <a16:creationId xmlns:a16="http://schemas.microsoft.com/office/drawing/2014/main" id="{D96B79F7-9E84-4943-9528-069CF20E3174}"/>
            </a:ext>
          </a:extLst>
        </xdr:cNvPr>
        <xdr:cNvSpPr/>
      </xdr:nvSpPr>
      <xdr:spPr>
        <a:xfrm>
          <a:off x="3305735" y="10813676"/>
          <a:ext cx="712101" cy="19896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23</xdr:col>
      <xdr:colOff>119532</xdr:colOff>
      <xdr:row>72</xdr:row>
      <xdr:rowOff>145676</xdr:rowOff>
    </xdr:from>
    <xdr:to>
      <xdr:col>27</xdr:col>
      <xdr:colOff>29105</xdr:colOff>
      <xdr:row>74</xdr:row>
      <xdr:rowOff>46566</xdr:rowOff>
    </xdr:to>
    <xdr:sp macro="" textlink="">
      <xdr:nvSpPr>
        <xdr:cNvPr id="153" name="フローチャート: 端子 152">
          <a:extLst>
            <a:ext uri="{FF2B5EF4-FFF2-40B4-BE49-F238E27FC236}">
              <a16:creationId xmlns:a16="http://schemas.microsoft.com/office/drawing/2014/main" id="{51266235-0AA3-4A30-B0A7-BB421AC0ECE2}"/>
            </a:ext>
          </a:extLst>
        </xdr:cNvPr>
        <xdr:cNvSpPr/>
      </xdr:nvSpPr>
      <xdr:spPr>
        <a:xfrm>
          <a:off x="4586944" y="12569264"/>
          <a:ext cx="686514" cy="24453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25</xdr:col>
      <xdr:colOff>68703</xdr:colOff>
      <xdr:row>74</xdr:row>
      <xdr:rowOff>52916</xdr:rowOff>
    </xdr:from>
    <xdr:to>
      <xdr:col>25</xdr:col>
      <xdr:colOff>68996</xdr:colOff>
      <xdr:row>76</xdr:row>
      <xdr:rowOff>104052</xdr:rowOff>
    </xdr:to>
    <xdr:cxnSp macro="">
      <xdr:nvCxnSpPr>
        <xdr:cNvPr id="154" name="直線矢印コネクタ 27">
          <a:extLst>
            <a:ext uri="{FF2B5EF4-FFF2-40B4-BE49-F238E27FC236}">
              <a16:creationId xmlns:a16="http://schemas.microsoft.com/office/drawing/2014/main" id="{D2F41584-035B-42BB-A82D-19EBF367E599}"/>
            </a:ext>
          </a:extLst>
        </xdr:cNvPr>
        <xdr:cNvCxnSpPr>
          <a:cxnSpLocks/>
          <a:stCxn id="153" idx="2"/>
        </xdr:cNvCxnSpPr>
      </xdr:nvCxnSpPr>
      <xdr:spPr>
        <a:xfrm flipH="1">
          <a:off x="4924585" y="12820151"/>
          <a:ext cx="293" cy="39478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97120</xdr:colOff>
      <xdr:row>76</xdr:row>
      <xdr:rowOff>112059</xdr:rowOff>
    </xdr:from>
    <xdr:to>
      <xdr:col>28</xdr:col>
      <xdr:colOff>75582</xdr:colOff>
      <xdr:row>79</xdr:row>
      <xdr:rowOff>119865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43C65594-EB96-4132-A7E3-299A940921FE}"/>
            </a:ext>
          </a:extLst>
        </xdr:cNvPr>
        <xdr:cNvGrpSpPr/>
      </xdr:nvGrpSpPr>
      <xdr:grpSpPr>
        <a:xfrm>
          <a:off x="4777369" y="13738412"/>
          <a:ext cx="1259742" cy="547593"/>
          <a:chOff x="1580728" y="2457449"/>
          <a:chExt cx="1013466" cy="381718"/>
        </a:xfrm>
      </xdr:grpSpPr>
      <xdr:sp macro="" textlink="">
        <xdr:nvSpPr>
          <xdr:cNvPr id="156" name="フローチャート: 定義済み処理 155">
            <a:extLst>
              <a:ext uri="{FF2B5EF4-FFF2-40B4-BE49-F238E27FC236}">
                <a16:creationId xmlns:a16="http://schemas.microsoft.com/office/drawing/2014/main" id="{A50711BE-2275-49AD-8233-E0F9A7D1C4D3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7" name="正方形/長方形 48">
            <a:extLst>
              <a:ext uri="{FF2B5EF4-FFF2-40B4-BE49-F238E27FC236}">
                <a16:creationId xmlns:a16="http://schemas.microsoft.com/office/drawing/2014/main" id="{C598BA26-354B-4B78-B1B7-8596F4D00A05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 </a:t>
            </a:r>
            <a:r>
              <a:rPr kumimoji="1" lang="ja-JP" altLang="en-US" sz="900"/>
              <a:t>売掛金振替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133913</xdr:colOff>
      <xdr:row>95</xdr:row>
      <xdr:rowOff>163753</xdr:rowOff>
    </xdr:from>
    <xdr:to>
      <xdr:col>27</xdr:col>
      <xdr:colOff>39190</xdr:colOff>
      <xdr:row>97</xdr:row>
      <xdr:rowOff>6399</xdr:rowOff>
    </xdr:to>
    <xdr:sp macro="" textlink="">
      <xdr:nvSpPr>
        <xdr:cNvPr id="165" name="フローチャート: 端子 164">
          <a:extLst>
            <a:ext uri="{FF2B5EF4-FFF2-40B4-BE49-F238E27FC236}">
              <a16:creationId xmlns:a16="http://schemas.microsoft.com/office/drawing/2014/main" id="{01F149AF-871B-4567-8B54-F0A1B6D7D73B}"/>
            </a:ext>
          </a:extLst>
        </xdr:cNvPr>
        <xdr:cNvSpPr/>
      </xdr:nvSpPr>
      <xdr:spPr>
        <a:xfrm>
          <a:off x="4724056" y="16592110"/>
          <a:ext cx="703563" cy="18736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23</xdr:col>
      <xdr:colOff>182657</xdr:colOff>
      <xdr:row>101</xdr:row>
      <xdr:rowOff>0</xdr:rowOff>
    </xdr:from>
    <xdr:to>
      <xdr:col>27</xdr:col>
      <xdr:colOff>94284</xdr:colOff>
      <xdr:row>102</xdr:row>
      <xdr:rowOff>65804</xdr:rowOff>
    </xdr:to>
    <xdr:sp macro="" textlink="">
      <xdr:nvSpPr>
        <xdr:cNvPr id="167" name="フローチャート: 端子 166">
          <a:extLst>
            <a:ext uri="{FF2B5EF4-FFF2-40B4-BE49-F238E27FC236}">
              <a16:creationId xmlns:a16="http://schemas.microsoft.com/office/drawing/2014/main" id="{40A17208-9B13-4D68-8BAF-6CC80D4FB697}"/>
            </a:ext>
          </a:extLst>
        </xdr:cNvPr>
        <xdr:cNvSpPr/>
      </xdr:nvSpPr>
      <xdr:spPr>
        <a:xfrm>
          <a:off x="4821892" y="15531353"/>
          <a:ext cx="718451" cy="23389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144184</xdr:colOff>
      <xdr:row>104</xdr:row>
      <xdr:rowOff>102533</xdr:rowOff>
    </xdr:from>
    <xdr:to>
      <xdr:col>28</xdr:col>
      <xdr:colOff>125821</xdr:colOff>
      <xdr:row>107</xdr:row>
      <xdr:rowOff>132565</xdr:rowOff>
    </xdr:to>
    <xdr:grpSp>
      <xdr:nvGrpSpPr>
        <xdr:cNvPr id="168" name="グループ化 167">
          <a:extLst>
            <a:ext uri="{FF2B5EF4-FFF2-40B4-BE49-F238E27FC236}">
              <a16:creationId xmlns:a16="http://schemas.microsoft.com/office/drawing/2014/main" id="{77BE2931-D91E-4C3E-A558-85B9512B21E3}"/>
            </a:ext>
          </a:extLst>
        </xdr:cNvPr>
        <xdr:cNvGrpSpPr/>
      </xdr:nvGrpSpPr>
      <xdr:grpSpPr>
        <a:xfrm>
          <a:off x="4826338" y="18745311"/>
          <a:ext cx="1264822" cy="575535"/>
          <a:chOff x="1580728" y="2457449"/>
          <a:chExt cx="1013466" cy="381718"/>
        </a:xfrm>
      </xdr:grpSpPr>
      <xdr:sp macro="" textlink="">
        <xdr:nvSpPr>
          <xdr:cNvPr id="169" name="フローチャート: 定義済み処理 168">
            <a:extLst>
              <a:ext uri="{FF2B5EF4-FFF2-40B4-BE49-F238E27FC236}">
                <a16:creationId xmlns:a16="http://schemas.microsoft.com/office/drawing/2014/main" id="{FB2BDA69-1377-413C-9497-D8E173A69EB3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0" name="正方形/長方形 48">
            <a:extLst>
              <a:ext uri="{FF2B5EF4-FFF2-40B4-BE49-F238E27FC236}">
                <a16:creationId xmlns:a16="http://schemas.microsoft.com/office/drawing/2014/main" id="{5C64598B-8CCB-46BA-B497-39F44ED70641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１．未払費用情報抽出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144528</xdr:colOff>
      <xdr:row>102</xdr:row>
      <xdr:rowOff>75329</xdr:rowOff>
    </xdr:from>
    <xdr:to>
      <xdr:col>25</xdr:col>
      <xdr:colOff>144528</xdr:colOff>
      <xdr:row>104</xdr:row>
      <xdr:rowOff>123289</xdr:rowOff>
    </xdr:to>
    <xdr:cxnSp macro="">
      <xdr:nvCxnSpPr>
        <xdr:cNvPr id="171" name="直線矢印コネクタ 27">
          <a:extLst>
            <a:ext uri="{FF2B5EF4-FFF2-40B4-BE49-F238E27FC236}">
              <a16:creationId xmlns:a16="http://schemas.microsoft.com/office/drawing/2014/main" id="{2EE730BA-DF32-4A75-908C-686A3EE5CF91}"/>
            </a:ext>
          </a:extLst>
        </xdr:cNvPr>
        <xdr:cNvCxnSpPr>
          <a:cxnSpLocks/>
          <a:stCxn id="167" idx="2"/>
          <a:endCxn id="170" idx="0"/>
        </xdr:cNvCxnSpPr>
      </xdr:nvCxnSpPr>
      <xdr:spPr>
        <a:xfrm flipH="1">
          <a:off x="5187175" y="15774770"/>
          <a:ext cx="0" cy="38413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145470</xdr:colOff>
      <xdr:row>107</xdr:row>
      <xdr:rowOff>122731</xdr:rowOff>
    </xdr:from>
    <xdr:to>
      <xdr:col>25</xdr:col>
      <xdr:colOff>145470</xdr:colOff>
      <xdr:row>110</xdr:row>
      <xdr:rowOff>163233</xdr:rowOff>
    </xdr:to>
    <xdr:cxnSp macro="">
      <xdr:nvCxnSpPr>
        <xdr:cNvPr id="172" name="直線矢印コネクタ 27">
          <a:extLst>
            <a:ext uri="{FF2B5EF4-FFF2-40B4-BE49-F238E27FC236}">
              <a16:creationId xmlns:a16="http://schemas.microsoft.com/office/drawing/2014/main" id="{465C3B51-F1F9-4441-97F1-0DB85DEFCAA8}"/>
            </a:ext>
          </a:extLst>
        </xdr:cNvPr>
        <xdr:cNvCxnSpPr>
          <a:cxnSpLocks/>
          <a:stCxn id="169" idx="2"/>
          <a:endCxn id="181" idx="0"/>
        </xdr:cNvCxnSpPr>
      </xdr:nvCxnSpPr>
      <xdr:spPr>
        <a:xfrm>
          <a:off x="5188117" y="16662613"/>
          <a:ext cx="0" cy="54476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163419</xdr:colOff>
      <xdr:row>104</xdr:row>
      <xdr:rowOff>84793</xdr:rowOff>
    </xdr:from>
    <xdr:to>
      <xdr:col>34</xdr:col>
      <xdr:colOff>177680</xdr:colOff>
      <xdr:row>108</xdr:row>
      <xdr:rowOff>15423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F2C374FF-FB59-413A-BE26-189AF5A40B92}"/>
            </a:ext>
          </a:extLst>
        </xdr:cNvPr>
        <xdr:cNvGrpSpPr/>
      </xdr:nvGrpSpPr>
      <xdr:grpSpPr>
        <a:xfrm>
          <a:off x="6339765" y="18733286"/>
          <a:ext cx="1073105" cy="649712"/>
          <a:chOff x="7113625" y="2892425"/>
          <a:chExt cx="914621" cy="583743"/>
        </a:xfrm>
      </xdr:grpSpPr>
      <xdr:sp macro="" textlink="">
        <xdr:nvSpPr>
          <xdr:cNvPr id="174" name="フローチャート: 磁気ディスク 173">
            <a:extLst>
              <a:ext uri="{FF2B5EF4-FFF2-40B4-BE49-F238E27FC236}">
                <a16:creationId xmlns:a16="http://schemas.microsoft.com/office/drawing/2014/main" id="{90356961-6312-40D9-86A5-EDC1A0B2672D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28A49B00-7684-4614-A2FC-6824E0968D78}"/>
              </a:ext>
            </a:extLst>
          </xdr:cNvPr>
          <xdr:cNvSpPr/>
        </xdr:nvSpPr>
        <xdr:spPr>
          <a:xfrm>
            <a:off x="7113625" y="2982352"/>
            <a:ext cx="914621" cy="4938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伝票トランザクション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28</xdr:col>
      <xdr:colOff>17280</xdr:colOff>
      <xdr:row>106</xdr:row>
      <xdr:rowOff>25143</xdr:rowOff>
    </xdr:from>
    <xdr:to>
      <xdr:col>30</xdr:col>
      <xdr:colOff>62861</xdr:colOff>
      <xdr:row>106</xdr:row>
      <xdr:rowOff>26587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BD9620F0-2393-402E-BC97-255B39CF019E}"/>
            </a:ext>
          </a:extLst>
        </xdr:cNvPr>
        <xdr:cNvCxnSpPr>
          <a:cxnSpLocks/>
          <a:stCxn id="174" idx="2"/>
          <a:endCxn id="169" idx="3"/>
        </xdr:cNvCxnSpPr>
      </xdr:nvCxnSpPr>
      <xdr:spPr>
        <a:xfrm flipH="1">
          <a:off x="5665045" y="18290731"/>
          <a:ext cx="448992" cy="144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182658</xdr:colOff>
      <xdr:row>110</xdr:row>
      <xdr:rowOff>163233</xdr:rowOff>
    </xdr:from>
    <xdr:to>
      <xdr:col>28</xdr:col>
      <xdr:colOff>76529</xdr:colOff>
      <xdr:row>113</xdr:row>
      <xdr:rowOff>112807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8A28BCFC-B08C-4444-A787-33FD775695A3}"/>
            </a:ext>
          </a:extLst>
        </xdr:cNvPr>
        <xdr:cNvGrpSpPr/>
      </xdr:nvGrpSpPr>
      <xdr:grpSpPr>
        <a:xfrm>
          <a:off x="4864812" y="19887491"/>
          <a:ext cx="1173246" cy="485551"/>
          <a:chOff x="1612900" y="2457450"/>
          <a:chExt cx="933032" cy="374650"/>
        </a:xfrm>
      </xdr:grpSpPr>
      <xdr:sp macro="" textlink="">
        <xdr:nvSpPr>
          <xdr:cNvPr id="181" name="フローチャート: 処理 180">
            <a:extLst>
              <a:ext uri="{FF2B5EF4-FFF2-40B4-BE49-F238E27FC236}">
                <a16:creationId xmlns:a16="http://schemas.microsoft.com/office/drawing/2014/main" id="{9BCB703F-D303-4AB8-AE1F-ED94E9FD415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2" name="正方形/長方形 48">
            <a:extLst>
              <a:ext uri="{FF2B5EF4-FFF2-40B4-BE49-F238E27FC236}">
                <a16:creationId xmlns:a16="http://schemas.microsoft.com/office/drawing/2014/main" id="{CD419606-FC3A-4FB2-BFE7-BA6C3ABAA3D2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請求金額表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182657</xdr:colOff>
      <xdr:row>113</xdr:row>
      <xdr:rowOff>27083</xdr:rowOff>
    </xdr:from>
    <xdr:to>
      <xdr:col>30</xdr:col>
      <xdr:colOff>190</xdr:colOff>
      <xdr:row>115</xdr:row>
      <xdr:rowOff>56032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C6DC2C0F-E05A-4B2F-82A8-182C39A077E6}"/>
            </a:ext>
          </a:extLst>
        </xdr:cNvPr>
        <xdr:cNvGrpSpPr>
          <a:grpSpLocks noChangeAspect="1"/>
        </xdr:cNvGrpSpPr>
      </xdr:nvGrpSpPr>
      <xdr:grpSpPr>
        <a:xfrm>
          <a:off x="5503546" y="20285413"/>
          <a:ext cx="883997" cy="393253"/>
          <a:chOff x="2791278" y="18514786"/>
          <a:chExt cx="773793" cy="417285"/>
        </a:xfrm>
      </xdr:grpSpPr>
      <xdr:sp macro="" textlink="">
        <xdr:nvSpPr>
          <xdr:cNvPr id="184" name="フローチャート: 書類 183">
            <a:extLst>
              <a:ext uri="{FF2B5EF4-FFF2-40B4-BE49-F238E27FC236}">
                <a16:creationId xmlns:a16="http://schemas.microsoft.com/office/drawing/2014/main" id="{9D27F19A-9616-494D-BD93-EEA586999F9F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8160AA39-0A9E-4611-9031-5398C6022507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請求金額表</a:t>
            </a:r>
          </a:p>
        </xdr:txBody>
      </xdr:sp>
    </xdr:grpSp>
    <xdr:clientData/>
  </xdr:twoCellAnchor>
  <xdr:twoCellAnchor>
    <xdr:from>
      <xdr:col>25</xdr:col>
      <xdr:colOff>144250</xdr:colOff>
      <xdr:row>113</xdr:row>
      <xdr:rowOff>112807</xdr:rowOff>
    </xdr:from>
    <xdr:to>
      <xdr:col>25</xdr:col>
      <xdr:colOff>145287</xdr:colOff>
      <xdr:row>116</xdr:row>
      <xdr:rowOff>87194</xdr:rowOff>
    </xdr:to>
    <xdr:cxnSp macro="">
      <xdr:nvCxnSpPr>
        <xdr:cNvPr id="187" name="直線矢印コネクタ 27">
          <a:extLst>
            <a:ext uri="{FF2B5EF4-FFF2-40B4-BE49-F238E27FC236}">
              <a16:creationId xmlns:a16="http://schemas.microsoft.com/office/drawing/2014/main" id="{14B95C61-742C-4B31-A0A4-0C6C94A640A3}"/>
            </a:ext>
          </a:extLst>
        </xdr:cNvPr>
        <xdr:cNvCxnSpPr>
          <a:cxnSpLocks/>
          <a:stCxn id="181" idx="2"/>
          <a:endCxn id="188" idx="0"/>
        </xdr:cNvCxnSpPr>
      </xdr:nvCxnSpPr>
      <xdr:spPr>
        <a:xfrm>
          <a:off x="5000132" y="18034748"/>
          <a:ext cx="1037" cy="4898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190500</xdr:colOff>
      <xdr:row>116</xdr:row>
      <xdr:rowOff>87194</xdr:rowOff>
    </xdr:from>
    <xdr:to>
      <xdr:col>27</xdr:col>
      <xdr:colOff>100073</xdr:colOff>
      <xdr:row>117</xdr:row>
      <xdr:rowOff>102196</xdr:rowOff>
    </xdr:to>
    <xdr:sp macro="" textlink="">
      <xdr:nvSpPr>
        <xdr:cNvPr id="188" name="フローチャート: 端子 187">
          <a:extLst>
            <a:ext uri="{FF2B5EF4-FFF2-40B4-BE49-F238E27FC236}">
              <a16:creationId xmlns:a16="http://schemas.microsoft.com/office/drawing/2014/main" id="{CA487506-99F2-44A0-BD10-79F175FB64B5}"/>
            </a:ext>
          </a:extLst>
        </xdr:cNvPr>
        <xdr:cNvSpPr/>
      </xdr:nvSpPr>
      <xdr:spPr>
        <a:xfrm>
          <a:off x="4657912" y="18524606"/>
          <a:ext cx="686514" cy="18682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</xdr:col>
      <xdr:colOff>0</xdr:colOff>
      <xdr:row>44</xdr:row>
      <xdr:rowOff>8031</xdr:rowOff>
    </xdr:from>
    <xdr:to>
      <xdr:col>64</xdr:col>
      <xdr:colOff>0</xdr:colOff>
      <xdr:row>67</xdr:row>
      <xdr:rowOff>104028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57F851B-E653-4FBA-BB80-6EFE4D992541}"/>
            </a:ext>
          </a:extLst>
        </xdr:cNvPr>
        <xdr:cNvSpPr/>
      </xdr:nvSpPr>
      <xdr:spPr>
        <a:xfrm>
          <a:off x="605118" y="7471149"/>
          <a:ext cx="12304058" cy="3962026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latin typeface="+mj-lt"/>
            </a:rPr>
            <a:t>決算の業務フロー「外貨再評価」参照</a:t>
          </a:r>
        </a:p>
      </xdr:txBody>
    </xdr:sp>
    <xdr:clientData/>
  </xdr:twoCellAnchor>
  <xdr:twoCellAnchor>
    <xdr:from>
      <xdr:col>86</xdr:col>
      <xdr:colOff>0</xdr:colOff>
      <xdr:row>22</xdr:row>
      <xdr:rowOff>0</xdr:rowOff>
    </xdr:from>
    <xdr:to>
      <xdr:col>98</xdr:col>
      <xdr:colOff>52856</xdr:colOff>
      <xdr:row>25</xdr:row>
      <xdr:rowOff>52854</xdr:rowOff>
    </xdr:to>
    <xdr:sp macro="" textlink="">
      <xdr:nvSpPr>
        <xdr:cNvPr id="101" name="吹き出し: 角を丸めた四角形 100">
          <a:extLst>
            <a:ext uri="{FF2B5EF4-FFF2-40B4-BE49-F238E27FC236}">
              <a16:creationId xmlns:a16="http://schemas.microsoft.com/office/drawing/2014/main" id="{451087B9-8748-47AA-901E-8BE9E26C585C}"/>
            </a:ext>
          </a:extLst>
        </xdr:cNvPr>
        <xdr:cNvSpPr/>
      </xdr:nvSpPr>
      <xdr:spPr>
        <a:xfrm>
          <a:off x="15934765" y="3765176"/>
          <a:ext cx="2473326" cy="557119"/>
        </a:xfrm>
        <a:prstGeom prst="wedgeRoundRectCallout">
          <a:avLst>
            <a:gd name="adj1" fmla="val -56869"/>
            <a:gd name="adj2" fmla="val 30621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現行業務ヒアリング</a:t>
          </a:r>
          <a:r>
            <a:rPr kumimoji="1" lang="en-US" altLang="ja-JP" sz="1100"/>
            <a:t>15.1</a:t>
          </a:r>
          <a:endParaRPr kumimoji="1" lang="ja-JP" altLang="en-US" sz="1100"/>
        </a:p>
      </xdr:txBody>
    </xdr:sp>
    <xdr:clientData/>
  </xdr:twoCellAnchor>
  <xdr:twoCellAnchor>
    <xdr:from>
      <xdr:col>88</xdr:col>
      <xdr:colOff>0</xdr:colOff>
      <xdr:row>112</xdr:row>
      <xdr:rowOff>0</xdr:rowOff>
    </xdr:from>
    <xdr:to>
      <xdr:col>100</xdr:col>
      <xdr:colOff>49680</xdr:colOff>
      <xdr:row>115</xdr:row>
      <xdr:rowOff>49680</xdr:rowOff>
    </xdr:to>
    <xdr:sp macro="" textlink="">
      <xdr:nvSpPr>
        <xdr:cNvPr id="104" name="吹き出し: 角を丸めた四角形 103">
          <a:extLst>
            <a:ext uri="{FF2B5EF4-FFF2-40B4-BE49-F238E27FC236}">
              <a16:creationId xmlns:a16="http://schemas.microsoft.com/office/drawing/2014/main" id="{6F783C5D-56FF-4435-933D-5CBA4B8FD6E8}"/>
            </a:ext>
          </a:extLst>
        </xdr:cNvPr>
        <xdr:cNvSpPr/>
      </xdr:nvSpPr>
      <xdr:spPr>
        <a:xfrm>
          <a:off x="16338176" y="17380324"/>
          <a:ext cx="2470151" cy="553944"/>
        </a:xfrm>
        <a:prstGeom prst="wedgeRoundRectCallout">
          <a:avLst>
            <a:gd name="adj1" fmla="val -56869"/>
            <a:gd name="adj2" fmla="val 30621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現行業務ヒアリング</a:t>
          </a:r>
          <a:r>
            <a:rPr kumimoji="1" lang="en-US" altLang="ja-JP" sz="1100"/>
            <a:t>15.4</a:t>
          </a:r>
          <a:endParaRPr kumimoji="1" lang="ja-JP" altLang="en-US" sz="1100"/>
        </a:p>
      </xdr:txBody>
    </xdr:sp>
    <xdr:clientData/>
  </xdr:twoCellAnchor>
  <xdr:twoCellAnchor>
    <xdr:from>
      <xdr:col>36</xdr:col>
      <xdr:colOff>183907</xdr:colOff>
      <xdr:row>76</xdr:row>
      <xdr:rowOff>56928</xdr:rowOff>
    </xdr:from>
    <xdr:to>
      <xdr:col>42</xdr:col>
      <xdr:colOff>49844</xdr:colOff>
      <xdr:row>80</xdr:row>
      <xdr:rowOff>36853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2C1AF59A-B34B-4CA2-9FB8-E186445C8E4A}"/>
            </a:ext>
          </a:extLst>
        </xdr:cNvPr>
        <xdr:cNvGrpSpPr>
          <a:grpSpLocks noChangeAspect="1"/>
        </xdr:cNvGrpSpPr>
      </xdr:nvGrpSpPr>
      <xdr:grpSpPr>
        <a:xfrm>
          <a:off x="7846826" y="13687091"/>
          <a:ext cx="1149122" cy="693291"/>
          <a:chOff x="7112000" y="2892425"/>
          <a:chExt cx="873125" cy="584982"/>
        </a:xfrm>
      </xdr:grpSpPr>
      <xdr:sp macro="" textlink="">
        <xdr:nvSpPr>
          <xdr:cNvPr id="16" name="フローチャート: 磁気ディスク 15">
            <a:extLst>
              <a:ext uri="{FF2B5EF4-FFF2-40B4-BE49-F238E27FC236}">
                <a16:creationId xmlns:a16="http://schemas.microsoft.com/office/drawing/2014/main" id="{7AD8071A-D19B-F3DB-70C7-A3F0BFC4805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1FC6B972-08CA-6F9D-A936-758BB993C388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</a:rPr>
              <a:t>mcframe</a:t>
            </a:r>
          </a:p>
        </xdr:txBody>
      </xdr:sp>
    </xdr:grpSp>
    <xdr:clientData/>
  </xdr:twoCellAnchor>
  <xdr:twoCellAnchor>
    <xdr:from>
      <xdr:col>29</xdr:col>
      <xdr:colOff>193222</xdr:colOff>
      <xdr:row>85</xdr:row>
      <xdr:rowOff>150585</xdr:rowOff>
    </xdr:from>
    <xdr:to>
      <xdr:col>35</xdr:col>
      <xdr:colOff>12234</xdr:colOff>
      <xdr:row>89</xdr:row>
      <xdr:rowOff>37804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49F50628-A9EE-48C4-8ADA-592706D9044F}"/>
            </a:ext>
          </a:extLst>
        </xdr:cNvPr>
        <xdr:cNvGrpSpPr/>
      </xdr:nvGrpSpPr>
      <xdr:grpSpPr>
        <a:xfrm>
          <a:off x="6367663" y="15390585"/>
          <a:ext cx="1100293" cy="604395"/>
          <a:chOff x="7113625" y="2892425"/>
          <a:chExt cx="914621" cy="594025"/>
        </a:xfrm>
      </xdr:grpSpPr>
      <xdr:sp macro="" textlink="">
        <xdr:nvSpPr>
          <xdr:cNvPr id="24" name="フローチャート: 磁気ディスク 23">
            <a:extLst>
              <a:ext uri="{FF2B5EF4-FFF2-40B4-BE49-F238E27FC236}">
                <a16:creationId xmlns:a16="http://schemas.microsoft.com/office/drawing/2014/main" id="{FC56160A-1588-C770-141F-EF901038EF5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CD576AC0-8815-FF51-724B-53005FD13F52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27</xdr:col>
      <xdr:colOff>168919</xdr:colOff>
      <xdr:row>78</xdr:row>
      <xdr:rowOff>19455</xdr:rowOff>
    </xdr:from>
    <xdr:to>
      <xdr:col>37</xdr:col>
      <xdr:colOff>95783</xdr:colOff>
      <xdr:row>78</xdr:row>
      <xdr:rowOff>25750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242F7FDD-13D8-4AAD-B5B8-82CE3EC8C996}"/>
            </a:ext>
          </a:extLst>
        </xdr:cNvPr>
        <xdr:cNvCxnSpPr>
          <a:cxnSpLocks/>
          <a:stCxn id="156" idx="3"/>
          <a:endCxn id="16" idx="2"/>
        </xdr:cNvCxnSpPr>
      </xdr:nvCxnSpPr>
      <xdr:spPr>
        <a:xfrm flipV="1">
          <a:off x="5608022" y="13398248"/>
          <a:ext cx="1941347" cy="629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82283</xdr:colOff>
      <xdr:row>82</xdr:row>
      <xdr:rowOff>44927</xdr:rowOff>
    </xdr:from>
    <xdr:to>
      <xdr:col>28</xdr:col>
      <xdr:colOff>83078</xdr:colOff>
      <xdr:row>85</xdr:row>
      <xdr:rowOff>67007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427199FC-61F8-49DF-9185-234956930AB8}"/>
            </a:ext>
          </a:extLst>
        </xdr:cNvPr>
        <xdr:cNvGrpSpPr/>
      </xdr:nvGrpSpPr>
      <xdr:grpSpPr>
        <a:xfrm>
          <a:off x="4768247" y="14748950"/>
          <a:ext cx="1278265" cy="556152"/>
          <a:chOff x="1580728" y="2457449"/>
          <a:chExt cx="1013466" cy="381719"/>
        </a:xfrm>
      </xdr:grpSpPr>
      <xdr:sp macro="" textlink="">
        <xdr:nvSpPr>
          <xdr:cNvPr id="28" name="フローチャート: 定義済み処理 27">
            <a:extLst>
              <a:ext uri="{FF2B5EF4-FFF2-40B4-BE49-F238E27FC236}">
                <a16:creationId xmlns:a16="http://schemas.microsoft.com/office/drawing/2014/main" id="{42B93FAB-7775-02E8-2A79-5B7DAFD758BF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9" name="正方形/長方形 48">
            <a:extLst>
              <a:ext uri="{FF2B5EF4-FFF2-40B4-BE49-F238E27FC236}">
                <a16:creationId xmlns:a16="http://schemas.microsoft.com/office/drawing/2014/main" id="{5C269B02-8F50-770A-69D7-C5C40AD2EC6B}"/>
              </a:ext>
            </a:extLst>
          </xdr:cNvPr>
          <xdr:cNvSpPr/>
        </xdr:nvSpPr>
        <xdr:spPr>
          <a:xfrm>
            <a:off x="1580728" y="2467993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登録内容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確認・承認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86350</xdr:colOff>
      <xdr:row>79</xdr:row>
      <xdr:rowOff>123040</xdr:rowOff>
    </xdr:from>
    <xdr:to>
      <xdr:col>25</xdr:col>
      <xdr:colOff>88169</xdr:colOff>
      <xdr:row>82</xdr:row>
      <xdr:rowOff>44927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BC9F4EFC-BBD7-4B37-ADA5-FBBDE1864FA8}"/>
            </a:ext>
          </a:extLst>
        </xdr:cNvPr>
        <xdr:cNvCxnSpPr>
          <a:cxnSpLocks/>
          <a:stCxn id="157" idx="2"/>
          <a:endCxn id="28" idx="0"/>
        </xdr:cNvCxnSpPr>
      </xdr:nvCxnSpPr>
      <xdr:spPr>
        <a:xfrm rot="16200000" flipH="1">
          <a:off x="4636684" y="13681412"/>
          <a:ext cx="426152" cy="181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196958</xdr:colOff>
      <xdr:row>81</xdr:row>
      <xdr:rowOff>161311</xdr:rowOff>
    </xdr:from>
    <xdr:to>
      <xdr:col>42</xdr:col>
      <xdr:colOff>62895</xdr:colOff>
      <xdr:row>85</xdr:row>
      <xdr:rowOff>139672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BD7A411A-6507-4547-935B-BCFED574C07B}"/>
            </a:ext>
          </a:extLst>
        </xdr:cNvPr>
        <xdr:cNvGrpSpPr>
          <a:grpSpLocks noChangeAspect="1"/>
        </xdr:cNvGrpSpPr>
      </xdr:nvGrpSpPr>
      <xdr:grpSpPr>
        <a:xfrm>
          <a:off x="7863687" y="14686040"/>
          <a:ext cx="1137692" cy="689822"/>
          <a:chOff x="7112000" y="2892425"/>
          <a:chExt cx="873125" cy="584982"/>
        </a:xfrm>
      </xdr:grpSpPr>
      <xdr:sp macro="" textlink="">
        <xdr:nvSpPr>
          <xdr:cNvPr id="32" name="フローチャート: 磁気ディスク 31">
            <a:extLst>
              <a:ext uri="{FF2B5EF4-FFF2-40B4-BE49-F238E27FC236}">
                <a16:creationId xmlns:a16="http://schemas.microsoft.com/office/drawing/2014/main" id="{4713A552-D3B3-7FE0-4043-5744D9ECDC1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DAED3788-CD73-6244-97BC-6D3F75B97F6A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</a:rPr>
              <a:t>mcframe</a:t>
            </a:r>
          </a:p>
        </xdr:txBody>
      </xdr:sp>
    </xdr:grpSp>
    <xdr:clientData/>
  </xdr:twoCellAnchor>
  <xdr:twoCellAnchor>
    <xdr:from>
      <xdr:col>34</xdr:col>
      <xdr:colOff>83671</xdr:colOff>
      <xdr:row>85</xdr:row>
      <xdr:rowOff>139672</xdr:rowOff>
    </xdr:from>
    <xdr:to>
      <xdr:col>39</xdr:col>
      <xdr:colOff>129928</xdr:colOff>
      <xdr:row>87</xdr:row>
      <xdr:rowOff>66613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AE87C099-930E-4451-AC96-30F78F7B6B76}"/>
            </a:ext>
          </a:extLst>
        </xdr:cNvPr>
        <xdr:cNvCxnSpPr>
          <a:cxnSpLocks/>
          <a:stCxn id="33" idx="2"/>
          <a:endCxn id="24" idx="4"/>
        </xdr:cNvCxnSpPr>
      </xdr:nvCxnSpPr>
      <xdr:spPr>
        <a:xfrm rot="5400000">
          <a:off x="7325398" y="14321531"/>
          <a:ext cx="268527" cy="1053499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169415</xdr:colOff>
      <xdr:row>83</xdr:row>
      <xdr:rowOff>126743</xdr:rowOff>
    </xdr:from>
    <xdr:to>
      <xdr:col>37</xdr:col>
      <xdr:colOff>107509</xdr:colOff>
      <xdr:row>83</xdr:row>
      <xdr:rowOff>135138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FCA01857-0B2A-488F-BCC3-73F546A8A235}"/>
            </a:ext>
          </a:extLst>
        </xdr:cNvPr>
        <xdr:cNvCxnSpPr>
          <a:cxnSpLocks/>
          <a:stCxn id="28" idx="3"/>
          <a:endCxn id="32" idx="2"/>
        </xdr:cNvCxnSpPr>
      </xdr:nvCxnSpPr>
      <xdr:spPr>
        <a:xfrm flipV="1">
          <a:off x="5312915" y="14145302"/>
          <a:ext cx="1843094" cy="839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82680</xdr:colOff>
      <xdr:row>85</xdr:row>
      <xdr:rowOff>67007</xdr:rowOff>
    </xdr:from>
    <xdr:to>
      <xdr:col>25</xdr:col>
      <xdr:colOff>86551</xdr:colOff>
      <xdr:row>95</xdr:row>
      <xdr:rowOff>160578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31800364-8F43-4018-85DA-F8C35B03D2A1}"/>
            </a:ext>
          </a:extLst>
        </xdr:cNvPr>
        <xdr:cNvCxnSpPr>
          <a:cxnSpLocks/>
          <a:stCxn id="29" idx="2"/>
          <a:endCxn id="165" idx="0"/>
        </xdr:cNvCxnSpPr>
      </xdr:nvCxnSpPr>
      <xdr:spPr>
        <a:xfrm rot="16200000" flipH="1">
          <a:off x="3959889" y="15307033"/>
          <a:ext cx="1774454" cy="387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123796</xdr:colOff>
      <xdr:row>11</xdr:row>
      <xdr:rowOff>0</xdr:rowOff>
    </xdr:from>
    <xdr:to>
      <xdr:col>6</xdr:col>
      <xdr:colOff>24858</xdr:colOff>
      <xdr:row>12</xdr:row>
      <xdr:rowOff>65804</xdr:rowOff>
    </xdr:to>
    <xdr:sp macro="" textlink="">
      <xdr:nvSpPr>
        <xdr:cNvPr id="94" name="フローチャート: 端子 93">
          <a:extLst>
            <a:ext uri="{FF2B5EF4-FFF2-40B4-BE49-F238E27FC236}">
              <a16:creationId xmlns:a16="http://schemas.microsoft.com/office/drawing/2014/main" id="{2578531B-4A78-4C96-9BEE-7500FEA00B30}"/>
            </a:ext>
          </a:extLst>
        </xdr:cNvPr>
        <xdr:cNvSpPr/>
      </xdr:nvSpPr>
      <xdr:spPr>
        <a:xfrm>
          <a:off x="522939" y="1950357"/>
          <a:ext cx="699348" cy="23816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</xdr:col>
      <xdr:colOff>112059</xdr:colOff>
      <xdr:row>13</xdr:row>
      <xdr:rowOff>145678</xdr:rowOff>
    </xdr:from>
    <xdr:to>
      <xdr:col>7</xdr:col>
      <xdr:colOff>15456</xdr:colOff>
      <xdr:row>16</xdr:row>
      <xdr:rowOff>108138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B1BFB3CA-0095-4E33-96E1-9612656D06F7}"/>
            </a:ext>
          </a:extLst>
        </xdr:cNvPr>
        <xdr:cNvGrpSpPr/>
      </xdr:nvGrpSpPr>
      <xdr:grpSpPr>
        <a:xfrm>
          <a:off x="324971" y="2519420"/>
          <a:ext cx="1184677" cy="500342"/>
          <a:chOff x="1612900" y="2457450"/>
          <a:chExt cx="933032" cy="374650"/>
        </a:xfrm>
      </xdr:grpSpPr>
      <xdr:sp macro="" textlink="">
        <xdr:nvSpPr>
          <xdr:cNvPr id="96" name="フローチャート: 処理 95">
            <a:extLst>
              <a:ext uri="{FF2B5EF4-FFF2-40B4-BE49-F238E27FC236}">
                <a16:creationId xmlns:a16="http://schemas.microsoft.com/office/drawing/2014/main" id="{1C706323-15E2-7959-C0CA-1B2C3BF57A8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97" name="正方形/長方形 48">
            <a:extLst>
              <a:ext uri="{FF2B5EF4-FFF2-40B4-BE49-F238E27FC236}">
                <a16:creationId xmlns:a16="http://schemas.microsoft.com/office/drawing/2014/main" id="{6ADFD991-DDBD-F114-175B-7971A1C6C806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手形受け渡し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133164</xdr:colOff>
      <xdr:row>18</xdr:row>
      <xdr:rowOff>19611</xdr:rowOff>
    </xdr:from>
    <xdr:to>
      <xdr:col>21</xdr:col>
      <xdr:colOff>30211</xdr:colOff>
      <xdr:row>20</xdr:row>
      <xdr:rowOff>146985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C0F8BDC1-AADF-48F3-8862-E019A8562EE3}"/>
            </a:ext>
          </a:extLst>
        </xdr:cNvPr>
        <xdr:cNvGrpSpPr/>
      </xdr:nvGrpSpPr>
      <xdr:grpSpPr>
        <a:xfrm>
          <a:off x="3330650" y="3287919"/>
          <a:ext cx="1168803" cy="487867"/>
          <a:chOff x="1612900" y="2457450"/>
          <a:chExt cx="933032" cy="374650"/>
        </a:xfrm>
      </xdr:grpSpPr>
      <xdr:sp macro="" textlink="">
        <xdr:nvSpPr>
          <xdr:cNvPr id="99" name="フローチャート: 処理 98">
            <a:extLst>
              <a:ext uri="{FF2B5EF4-FFF2-40B4-BE49-F238E27FC236}">
                <a16:creationId xmlns:a16="http://schemas.microsoft.com/office/drawing/2014/main" id="{A03C82BB-10D6-654E-0D88-09AA1438E7CF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0" name="正方形/長方形 48">
            <a:extLst>
              <a:ext uri="{FF2B5EF4-FFF2-40B4-BE49-F238E27FC236}">
                <a16:creationId xmlns:a16="http://schemas.microsoft.com/office/drawing/2014/main" id="{A878B899-5C9F-0A75-E91A-D3852CC9AE2D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手形受領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74327</xdr:colOff>
      <xdr:row>12</xdr:row>
      <xdr:rowOff>65803</xdr:rowOff>
    </xdr:from>
    <xdr:to>
      <xdr:col>4</xdr:col>
      <xdr:colOff>78988</xdr:colOff>
      <xdr:row>13</xdr:row>
      <xdr:rowOff>145677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A37597E9-A9B1-45DD-9ECF-3A3E1CDD86EA}"/>
            </a:ext>
          </a:extLst>
        </xdr:cNvPr>
        <xdr:cNvCxnSpPr>
          <a:cxnSpLocks/>
          <a:stCxn id="94" idx="2"/>
          <a:endCxn id="96" idx="0"/>
        </xdr:cNvCxnSpPr>
      </xdr:nvCxnSpPr>
      <xdr:spPr>
        <a:xfrm rot="16200000" flipH="1">
          <a:off x="748828" y="2312302"/>
          <a:ext cx="252231" cy="466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77535</xdr:colOff>
      <xdr:row>16</xdr:row>
      <xdr:rowOff>101787</xdr:rowOff>
    </xdr:from>
    <xdr:to>
      <xdr:col>18</xdr:col>
      <xdr:colOff>97008</xdr:colOff>
      <xdr:row>18</xdr:row>
      <xdr:rowOff>19610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E64FE11C-B90A-4A4E-B9FE-61BEDD0D469B}"/>
            </a:ext>
          </a:extLst>
        </xdr:cNvPr>
        <xdr:cNvCxnSpPr>
          <a:cxnSpLocks/>
          <a:stCxn id="96" idx="2"/>
          <a:endCxn id="99" idx="0"/>
        </xdr:cNvCxnSpPr>
      </xdr:nvCxnSpPr>
      <xdr:spPr>
        <a:xfrm rot="16200000" flipH="1">
          <a:off x="1474653" y="2271315"/>
          <a:ext cx="250825" cy="143141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145677</xdr:colOff>
      <xdr:row>23</xdr:row>
      <xdr:rowOff>78441</xdr:rowOff>
    </xdr:from>
    <xdr:to>
      <xdr:col>21</xdr:col>
      <xdr:colOff>48122</xdr:colOff>
      <xdr:row>26</xdr:row>
      <xdr:rowOff>115643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91D09679-06B7-4D4C-BA09-C524A8B8631F}"/>
            </a:ext>
          </a:extLst>
        </xdr:cNvPr>
        <xdr:cNvGrpSpPr/>
      </xdr:nvGrpSpPr>
      <xdr:grpSpPr>
        <a:xfrm>
          <a:off x="3337448" y="4235823"/>
          <a:ext cx="1183726" cy="575085"/>
          <a:chOff x="1612900" y="2427474"/>
          <a:chExt cx="933032" cy="469326"/>
        </a:xfrm>
      </xdr:grpSpPr>
      <xdr:sp macro="" textlink="">
        <xdr:nvSpPr>
          <xdr:cNvPr id="109" name="フローチャート: 定義済み処理 108">
            <a:extLst>
              <a:ext uri="{FF2B5EF4-FFF2-40B4-BE49-F238E27FC236}">
                <a16:creationId xmlns:a16="http://schemas.microsoft.com/office/drawing/2014/main" id="{6B0C0951-9A11-BF8F-848B-EF8BFA72790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AC5460A1-C902-58A2-1B04-E6E0AACE6F64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手形受取処理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93724</xdr:colOff>
      <xdr:row>20</xdr:row>
      <xdr:rowOff>143811</xdr:rowOff>
    </xdr:from>
    <xdr:to>
      <xdr:col>18</xdr:col>
      <xdr:colOff>95375</xdr:colOff>
      <xdr:row>23</xdr:row>
      <xdr:rowOff>78442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C5B87FCF-4A87-4EE1-AE03-1DA9DAD7343A}"/>
            </a:ext>
          </a:extLst>
        </xdr:cNvPr>
        <xdr:cNvCxnSpPr>
          <a:cxnSpLocks/>
          <a:stCxn id="99" idx="2"/>
          <a:endCxn id="110" idx="0"/>
        </xdr:cNvCxnSpPr>
      </xdr:nvCxnSpPr>
      <xdr:spPr>
        <a:xfrm rot="5400000">
          <a:off x="2093867" y="3791433"/>
          <a:ext cx="438896" cy="165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25</xdr:row>
      <xdr:rowOff>66676</xdr:rowOff>
    </xdr:from>
    <xdr:to>
      <xdr:col>56</xdr:col>
      <xdr:colOff>17712</xdr:colOff>
      <xdr:row>29</xdr:row>
      <xdr:rowOff>50801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2D4DB498-C7F6-41DD-93B4-5BA9EE238AAA}"/>
            </a:ext>
          </a:extLst>
        </xdr:cNvPr>
        <xdr:cNvGrpSpPr>
          <a:grpSpLocks noChangeAspect="1"/>
        </xdr:cNvGrpSpPr>
      </xdr:nvGrpSpPr>
      <xdr:grpSpPr>
        <a:xfrm>
          <a:off x="10858500" y="4580742"/>
          <a:ext cx="1086081" cy="707016"/>
          <a:chOff x="7112000" y="2892425"/>
          <a:chExt cx="873125" cy="584982"/>
        </a:xfrm>
      </xdr:grpSpPr>
      <xdr:sp macro="" textlink="">
        <xdr:nvSpPr>
          <xdr:cNvPr id="116" name="フローチャート: 磁気ディスク 115">
            <a:extLst>
              <a:ext uri="{FF2B5EF4-FFF2-40B4-BE49-F238E27FC236}">
                <a16:creationId xmlns:a16="http://schemas.microsoft.com/office/drawing/2014/main" id="{ACDA8871-267F-AF23-14AC-50CA8B8E59B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3A334A4F-5856-1636-5E7D-082FF9BDE637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</a:p>
        </xdr:txBody>
      </xdr:sp>
    </xdr:grpSp>
    <xdr:clientData/>
  </xdr:twoCellAnchor>
  <xdr:twoCellAnchor>
    <xdr:from>
      <xdr:col>51</xdr:col>
      <xdr:colOff>9513</xdr:colOff>
      <xdr:row>23</xdr:row>
      <xdr:rowOff>0</xdr:rowOff>
    </xdr:from>
    <xdr:to>
      <xdr:col>56</xdr:col>
      <xdr:colOff>32012</xdr:colOff>
      <xdr:row>26</xdr:row>
      <xdr:rowOff>152214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AEA45D48-59B0-45B2-94CA-EAEA0F437EF5}"/>
            </a:ext>
          </a:extLst>
        </xdr:cNvPr>
        <xdr:cNvGrpSpPr>
          <a:grpSpLocks noChangeAspect="1"/>
        </xdr:cNvGrpSpPr>
      </xdr:nvGrpSpPr>
      <xdr:grpSpPr>
        <a:xfrm>
          <a:off x="10869918" y="4157382"/>
          <a:ext cx="1083248" cy="690097"/>
          <a:chOff x="7112000" y="2892425"/>
          <a:chExt cx="873125" cy="584982"/>
        </a:xfrm>
      </xdr:grpSpPr>
      <xdr:sp macro="" textlink="">
        <xdr:nvSpPr>
          <xdr:cNvPr id="119" name="フローチャート: 磁気ディスク 118">
            <a:extLst>
              <a:ext uri="{FF2B5EF4-FFF2-40B4-BE49-F238E27FC236}">
                <a16:creationId xmlns:a16="http://schemas.microsoft.com/office/drawing/2014/main" id="{F2ED9AC7-FECA-6483-7A96-F19A17CFA20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5805F673-272E-8E2F-8868-72431E04451B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21</xdr:col>
      <xdr:colOff>44947</xdr:colOff>
      <xdr:row>25</xdr:row>
      <xdr:rowOff>12998</xdr:rowOff>
    </xdr:from>
    <xdr:to>
      <xdr:col>51</xdr:col>
      <xdr:colOff>12688</xdr:colOff>
      <xdr:row>25</xdr:row>
      <xdr:rowOff>36601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D231BFDB-2A49-4434-AD95-BAD51E685449}"/>
            </a:ext>
          </a:extLst>
        </xdr:cNvPr>
        <xdr:cNvCxnSpPr>
          <a:cxnSpLocks/>
          <a:stCxn id="110" idx="3"/>
          <a:endCxn id="120" idx="1"/>
        </xdr:cNvCxnSpPr>
      </xdr:nvCxnSpPr>
      <xdr:spPr>
        <a:xfrm>
          <a:off x="2868829" y="4282439"/>
          <a:ext cx="3195035" cy="2360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22411</xdr:colOff>
      <xdr:row>22</xdr:row>
      <xdr:rowOff>97680</xdr:rowOff>
    </xdr:from>
    <xdr:to>
      <xdr:col>55</xdr:col>
      <xdr:colOff>161737</xdr:colOff>
      <xdr:row>29</xdr:row>
      <xdr:rowOff>25588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8CFE2240-D831-4BAA-9299-CB8CB9EFE8E7}"/>
            </a:ext>
          </a:extLst>
        </xdr:cNvPr>
        <xdr:cNvSpPr/>
      </xdr:nvSpPr>
      <xdr:spPr>
        <a:xfrm>
          <a:off x="3047999" y="3862856"/>
          <a:ext cx="5383679" cy="1104526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4</xdr:col>
      <xdr:colOff>126438</xdr:colOff>
      <xdr:row>16</xdr:row>
      <xdr:rowOff>142501</xdr:rowOff>
    </xdr:from>
    <xdr:to>
      <xdr:col>7</xdr:col>
      <xdr:colOff>67235</xdr:colOff>
      <xdr:row>18</xdr:row>
      <xdr:rowOff>160241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B5E83068-23E0-4DCE-AA2A-AE2CE096769B}"/>
            </a:ext>
          </a:extLst>
        </xdr:cNvPr>
        <xdr:cNvGrpSpPr>
          <a:grpSpLocks noChangeAspect="1"/>
        </xdr:cNvGrpSpPr>
      </xdr:nvGrpSpPr>
      <xdr:grpSpPr>
        <a:xfrm>
          <a:off x="981895" y="3054125"/>
          <a:ext cx="573817" cy="380139"/>
          <a:chOff x="2791278" y="18514786"/>
          <a:chExt cx="773793" cy="417285"/>
        </a:xfrm>
      </xdr:grpSpPr>
      <xdr:sp macro="" textlink="">
        <xdr:nvSpPr>
          <xdr:cNvPr id="126" name="フローチャート: 書類 125">
            <a:extLst>
              <a:ext uri="{FF2B5EF4-FFF2-40B4-BE49-F238E27FC236}">
                <a16:creationId xmlns:a16="http://schemas.microsoft.com/office/drawing/2014/main" id="{AF6DB69F-B32C-EBFB-78A9-26CE534653D6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5BD0A8E2-1C5F-6CED-7D15-5E0581AAEBDF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手形</a:t>
            </a:r>
          </a:p>
        </xdr:txBody>
      </xdr:sp>
    </xdr:grpSp>
    <xdr:clientData/>
  </xdr:twoCellAnchor>
  <xdr:twoCellAnchor>
    <xdr:from>
      <xdr:col>45</xdr:col>
      <xdr:colOff>11205</xdr:colOff>
      <xdr:row>30</xdr:row>
      <xdr:rowOff>4157</xdr:rowOff>
    </xdr:from>
    <xdr:to>
      <xdr:col>50</xdr:col>
      <xdr:colOff>9592</xdr:colOff>
      <xdr:row>33</xdr:row>
      <xdr:rowOff>65333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76A15A32-B770-4420-90EE-14F5EC74E572}"/>
            </a:ext>
          </a:extLst>
        </xdr:cNvPr>
        <xdr:cNvGrpSpPr/>
      </xdr:nvGrpSpPr>
      <xdr:grpSpPr>
        <a:xfrm>
          <a:off x="9594139" y="5418503"/>
          <a:ext cx="1062946" cy="595249"/>
          <a:chOff x="7113625" y="2892425"/>
          <a:chExt cx="914621" cy="594025"/>
        </a:xfrm>
      </xdr:grpSpPr>
      <xdr:sp macro="" textlink="">
        <xdr:nvSpPr>
          <xdr:cNvPr id="129" name="フローチャート: 磁気ディスク 128">
            <a:extLst>
              <a:ext uri="{FF2B5EF4-FFF2-40B4-BE49-F238E27FC236}">
                <a16:creationId xmlns:a16="http://schemas.microsoft.com/office/drawing/2014/main" id="{9586250C-66B2-339A-E07F-FD7396322E6E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35F9DA73-B918-CB72-5D14-FB27F03FE4FF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49</xdr:col>
      <xdr:colOff>80122</xdr:colOff>
      <xdr:row>28</xdr:row>
      <xdr:rowOff>171449</xdr:rowOff>
    </xdr:from>
    <xdr:to>
      <xdr:col>53</xdr:col>
      <xdr:colOff>106902</xdr:colOff>
      <xdr:row>31</xdr:row>
      <xdr:rowOff>95814</xdr:rowOff>
    </xdr:to>
    <xdr:cxnSp macro="">
      <xdr:nvCxnSpPr>
        <xdr:cNvPr id="131" name="コネクタ: カギ線 130">
          <a:extLst>
            <a:ext uri="{FF2B5EF4-FFF2-40B4-BE49-F238E27FC236}">
              <a16:creationId xmlns:a16="http://schemas.microsoft.com/office/drawing/2014/main" id="{34BD2BF7-EF7F-499D-887D-2876A92F65BD}"/>
            </a:ext>
          </a:extLst>
        </xdr:cNvPr>
        <xdr:cNvCxnSpPr>
          <a:cxnSpLocks/>
          <a:endCxn id="129" idx="4"/>
        </xdr:cNvCxnSpPr>
      </xdr:nvCxnSpPr>
      <xdr:spPr>
        <a:xfrm rot="10800000" flipV="1">
          <a:off x="7080997" y="5029199"/>
          <a:ext cx="826880" cy="438715"/>
        </a:xfrm>
        <a:prstGeom prst="bentConnector3">
          <a:avLst>
            <a:gd name="adj1" fmla="val 1245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139141</xdr:colOff>
      <xdr:row>37</xdr:row>
      <xdr:rowOff>75267</xdr:rowOff>
    </xdr:from>
    <xdr:to>
      <xdr:col>21</xdr:col>
      <xdr:colOff>20313</xdr:colOff>
      <xdr:row>40</xdr:row>
      <xdr:rowOff>31377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A8254E68-A84C-476A-B847-C7BCA2EE9EBD}"/>
            </a:ext>
          </a:extLst>
        </xdr:cNvPr>
        <xdr:cNvGrpSpPr/>
      </xdr:nvGrpSpPr>
      <xdr:grpSpPr>
        <a:xfrm>
          <a:off x="3329007" y="6742767"/>
          <a:ext cx="1158643" cy="492087"/>
          <a:chOff x="1612900" y="2457450"/>
          <a:chExt cx="933032" cy="374650"/>
        </a:xfrm>
      </xdr:grpSpPr>
      <xdr:sp macro="" textlink="">
        <xdr:nvSpPr>
          <xdr:cNvPr id="136" name="フローチャート: 処理 135">
            <a:extLst>
              <a:ext uri="{FF2B5EF4-FFF2-40B4-BE49-F238E27FC236}">
                <a16:creationId xmlns:a16="http://schemas.microsoft.com/office/drawing/2014/main" id="{DB564491-57B9-C20B-FBCF-81DDDE4A28CD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7" name="正方形/長方形 48">
            <a:extLst>
              <a:ext uri="{FF2B5EF4-FFF2-40B4-BE49-F238E27FC236}">
                <a16:creationId xmlns:a16="http://schemas.microsoft.com/office/drawing/2014/main" id="{124BCC2F-B341-391C-887B-65EEB6F3F93D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手形受け渡し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93725</xdr:colOff>
      <xdr:row>26</xdr:row>
      <xdr:rowOff>115642</xdr:rowOff>
    </xdr:from>
    <xdr:to>
      <xdr:col>18</xdr:col>
      <xdr:colOff>94828</xdr:colOff>
      <xdr:row>37</xdr:row>
      <xdr:rowOff>75266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978AAAE3-078E-4F54-BD0C-EA6C90123898}"/>
            </a:ext>
          </a:extLst>
        </xdr:cNvPr>
        <xdr:cNvCxnSpPr>
          <a:cxnSpLocks/>
          <a:stCxn id="110" idx="2"/>
          <a:endCxn id="136" idx="0"/>
        </xdr:cNvCxnSpPr>
      </xdr:nvCxnSpPr>
      <xdr:spPr>
        <a:xfrm rot="16200000" flipH="1">
          <a:off x="2820685" y="5456917"/>
          <a:ext cx="1808595" cy="110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96371</xdr:colOff>
      <xdr:row>44</xdr:row>
      <xdr:rowOff>30817</xdr:rowOff>
    </xdr:from>
    <xdr:to>
      <xdr:col>27</xdr:col>
      <xdr:colOff>191948</xdr:colOff>
      <xdr:row>46</xdr:row>
      <xdr:rowOff>164540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627771C7-A917-45F5-A660-21C7B90E89DF}"/>
            </a:ext>
          </a:extLst>
        </xdr:cNvPr>
        <xdr:cNvGrpSpPr/>
      </xdr:nvGrpSpPr>
      <xdr:grpSpPr>
        <a:xfrm>
          <a:off x="4776620" y="7951471"/>
          <a:ext cx="1163946" cy="498026"/>
          <a:chOff x="1612900" y="2457450"/>
          <a:chExt cx="933032" cy="374650"/>
        </a:xfrm>
      </xdr:grpSpPr>
      <xdr:sp macro="" textlink="">
        <xdr:nvSpPr>
          <xdr:cNvPr id="142" name="フローチャート: 処理 141">
            <a:extLst>
              <a:ext uri="{FF2B5EF4-FFF2-40B4-BE49-F238E27FC236}">
                <a16:creationId xmlns:a16="http://schemas.microsoft.com/office/drawing/2014/main" id="{844394B2-27C2-4978-5920-77F3A9C9A56C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43" name="正方形/長方形 48">
            <a:extLst>
              <a:ext uri="{FF2B5EF4-FFF2-40B4-BE49-F238E27FC236}">
                <a16:creationId xmlns:a16="http://schemas.microsoft.com/office/drawing/2014/main" id="{406B11BC-2942-1C1B-6668-D39ED586C779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5.</a:t>
            </a:r>
            <a:r>
              <a:rPr kumimoji="1" lang="ja-JP" altLang="en-US" sz="900"/>
              <a:t>手形受領・保管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94827</xdr:colOff>
      <xdr:row>40</xdr:row>
      <xdr:rowOff>31377</xdr:rowOff>
    </xdr:from>
    <xdr:to>
      <xdr:col>25</xdr:col>
      <xdr:colOff>58581</xdr:colOff>
      <xdr:row>44</xdr:row>
      <xdr:rowOff>27642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DFE5CBDD-12CE-4319-843C-041E41FDFA4B}"/>
            </a:ext>
          </a:extLst>
        </xdr:cNvPr>
        <xdr:cNvCxnSpPr>
          <a:cxnSpLocks/>
          <a:stCxn id="136" idx="2"/>
          <a:endCxn id="142" idx="0"/>
        </xdr:cNvCxnSpPr>
      </xdr:nvCxnSpPr>
      <xdr:spPr>
        <a:xfrm rot="16200000" flipH="1">
          <a:off x="3995028" y="6552647"/>
          <a:ext cx="836706" cy="137569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108351</xdr:colOff>
      <xdr:row>50</xdr:row>
      <xdr:rowOff>163231</xdr:rowOff>
    </xdr:from>
    <xdr:to>
      <xdr:col>27</xdr:col>
      <xdr:colOff>16803</xdr:colOff>
      <xdr:row>52</xdr:row>
      <xdr:rowOff>52854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5DCB11C4-A8C3-4965-9740-C5047EB7662F}"/>
            </a:ext>
          </a:extLst>
        </xdr:cNvPr>
        <xdr:cNvSpPr/>
      </xdr:nvSpPr>
      <xdr:spPr>
        <a:xfrm>
          <a:off x="4698494" y="8835517"/>
          <a:ext cx="706738" cy="23433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25</xdr:col>
      <xdr:colOff>59501</xdr:colOff>
      <xdr:row>46</xdr:row>
      <xdr:rowOff>164540</xdr:rowOff>
    </xdr:from>
    <xdr:to>
      <xdr:col>25</xdr:col>
      <xdr:colOff>62576</xdr:colOff>
      <xdr:row>50</xdr:row>
      <xdr:rowOff>163231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B2D2AF29-C5B0-4446-8031-E9ECF378108E}"/>
            </a:ext>
          </a:extLst>
        </xdr:cNvPr>
        <xdr:cNvCxnSpPr>
          <a:cxnSpLocks/>
          <a:stCxn id="142" idx="2"/>
          <a:endCxn id="6" idx="0"/>
        </xdr:cNvCxnSpPr>
      </xdr:nvCxnSpPr>
      <xdr:spPr>
        <a:xfrm rot="16200000" flipH="1">
          <a:off x="4706265" y="8489919"/>
          <a:ext cx="688120" cy="307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131296</xdr:colOff>
      <xdr:row>58</xdr:row>
      <xdr:rowOff>89647</xdr:rowOff>
    </xdr:from>
    <xdr:to>
      <xdr:col>27</xdr:col>
      <xdr:colOff>36573</xdr:colOff>
      <xdr:row>59</xdr:row>
      <xdr:rowOff>155451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F9CCA54F-1BD7-4184-A071-78C4714B5DDE}"/>
            </a:ext>
          </a:extLst>
        </xdr:cNvPr>
        <xdr:cNvSpPr/>
      </xdr:nvSpPr>
      <xdr:spPr>
        <a:xfrm>
          <a:off x="3358590" y="8897471"/>
          <a:ext cx="712101" cy="23389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118410</xdr:colOff>
      <xdr:row>60</xdr:row>
      <xdr:rowOff>145678</xdr:rowOff>
    </xdr:from>
    <xdr:to>
      <xdr:col>28</xdr:col>
      <xdr:colOff>12281</xdr:colOff>
      <xdr:row>63</xdr:row>
      <xdr:rowOff>104963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F213366B-3703-4048-833C-199B6CD33317}"/>
            </a:ext>
          </a:extLst>
        </xdr:cNvPr>
        <xdr:cNvGrpSpPr/>
      </xdr:nvGrpSpPr>
      <xdr:grpSpPr>
        <a:xfrm>
          <a:off x="4804374" y="10923832"/>
          <a:ext cx="1173246" cy="497167"/>
          <a:chOff x="1612900" y="2457450"/>
          <a:chExt cx="933032" cy="374650"/>
        </a:xfrm>
      </xdr:grpSpPr>
      <xdr:sp macro="" textlink="">
        <xdr:nvSpPr>
          <xdr:cNvPr id="13" name="フローチャート: 処理 12">
            <a:extLst>
              <a:ext uri="{FF2B5EF4-FFF2-40B4-BE49-F238E27FC236}">
                <a16:creationId xmlns:a16="http://schemas.microsoft.com/office/drawing/2014/main" id="{CFC85D4B-EA2A-13B5-C87B-B678702DC0B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4" name="正方形/長方形 48">
            <a:extLst>
              <a:ext uri="{FF2B5EF4-FFF2-40B4-BE49-F238E27FC236}">
                <a16:creationId xmlns:a16="http://schemas.microsoft.com/office/drawing/2014/main" id="{8922DC69-49E5-5A6B-0A91-9300C60E90E5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1.</a:t>
            </a:r>
            <a:r>
              <a:rPr kumimoji="1" lang="ja-JP" altLang="en-US" sz="900"/>
              <a:t>取立依頼</a:t>
            </a:r>
            <a:endParaRPr kumimoji="1" lang="en-US" altLang="ja-JP" sz="900"/>
          </a:p>
        </xdr:txBody>
      </xdr:sp>
    </xdr:grpSp>
    <xdr:clientData/>
  </xdr:twoCellAnchor>
  <xdr:twoCellAnchor>
    <xdr:from>
      <xdr:col>8</xdr:col>
      <xdr:colOff>133164</xdr:colOff>
      <xdr:row>65</xdr:row>
      <xdr:rowOff>75641</xdr:rowOff>
    </xdr:from>
    <xdr:to>
      <xdr:col>14</xdr:col>
      <xdr:colOff>30212</xdr:colOff>
      <xdr:row>68</xdr:row>
      <xdr:rowOff>28577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5A0BD333-9665-4387-B2FE-E597BDA890DB}"/>
            </a:ext>
          </a:extLst>
        </xdr:cNvPr>
        <xdr:cNvGrpSpPr/>
      </xdr:nvGrpSpPr>
      <xdr:grpSpPr>
        <a:xfrm>
          <a:off x="1840268" y="11752170"/>
          <a:ext cx="1168804" cy="477708"/>
          <a:chOff x="1612900" y="2457450"/>
          <a:chExt cx="933032" cy="374650"/>
        </a:xfrm>
      </xdr:grpSpPr>
      <xdr:sp macro="" textlink="">
        <xdr:nvSpPr>
          <xdr:cNvPr id="16" name="フローチャート: 処理 15">
            <a:extLst>
              <a:ext uri="{FF2B5EF4-FFF2-40B4-BE49-F238E27FC236}">
                <a16:creationId xmlns:a16="http://schemas.microsoft.com/office/drawing/2014/main" id="{C9476B25-1FC2-7116-EB9C-FE8B9972BBAE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" name="正方形/長方形 48">
            <a:extLst>
              <a:ext uri="{FF2B5EF4-FFF2-40B4-BE49-F238E27FC236}">
                <a16:creationId xmlns:a16="http://schemas.microsoft.com/office/drawing/2014/main" id="{0510D738-F432-B1D3-A972-0ACC3624807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取立依頼受付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80622</xdr:colOff>
      <xdr:row>59</xdr:row>
      <xdr:rowOff>155450</xdr:rowOff>
    </xdr:from>
    <xdr:to>
      <xdr:col>25</xdr:col>
      <xdr:colOff>83936</xdr:colOff>
      <xdr:row>60</xdr:row>
      <xdr:rowOff>145677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7DC60EB2-C98E-4C72-BA42-33CA14A68234}"/>
            </a:ext>
          </a:extLst>
        </xdr:cNvPr>
        <xdr:cNvCxnSpPr>
          <a:cxnSpLocks/>
          <a:stCxn id="11" idx="2"/>
          <a:endCxn id="13" idx="0"/>
        </xdr:cNvCxnSpPr>
      </xdr:nvCxnSpPr>
      <xdr:spPr>
        <a:xfrm rot="5400000">
          <a:off x="5045768" y="9208863"/>
          <a:ext cx="158315" cy="331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95376</xdr:colOff>
      <xdr:row>63</xdr:row>
      <xdr:rowOff>104964</xdr:rowOff>
    </xdr:from>
    <xdr:to>
      <xdr:col>25</xdr:col>
      <xdr:colOff>80621</xdr:colOff>
      <xdr:row>65</xdr:row>
      <xdr:rowOff>75642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943C0C39-2A2D-4FA6-95DD-EBCB130EB986}"/>
            </a:ext>
          </a:extLst>
        </xdr:cNvPr>
        <xdr:cNvCxnSpPr>
          <a:cxnSpLocks/>
          <a:stCxn id="13" idx="2"/>
          <a:endCxn id="16" idx="0"/>
        </xdr:cNvCxnSpPr>
      </xdr:nvCxnSpPr>
      <xdr:spPr>
        <a:xfrm rot="5400000">
          <a:off x="3565278" y="8502092"/>
          <a:ext cx="306854" cy="2809127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67236</xdr:colOff>
      <xdr:row>70</xdr:row>
      <xdr:rowOff>56029</xdr:rowOff>
    </xdr:from>
    <xdr:to>
      <xdr:col>27</xdr:col>
      <xdr:colOff>171387</xdr:colOff>
      <xdr:row>73</xdr:row>
      <xdr:rowOff>93231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3BD362FF-5045-49BA-946D-D6DEE647BCD0}"/>
            </a:ext>
          </a:extLst>
        </xdr:cNvPr>
        <xdr:cNvGrpSpPr/>
      </xdr:nvGrpSpPr>
      <xdr:grpSpPr>
        <a:xfrm>
          <a:off x="4749390" y="12621633"/>
          <a:ext cx="1174425" cy="575084"/>
          <a:chOff x="1612900" y="2427474"/>
          <a:chExt cx="933032" cy="469326"/>
        </a:xfrm>
      </xdr:grpSpPr>
      <xdr:sp macro="" textlink="">
        <xdr:nvSpPr>
          <xdr:cNvPr id="21" name="フローチャート: 定義済み処理 20">
            <a:extLst>
              <a:ext uri="{FF2B5EF4-FFF2-40B4-BE49-F238E27FC236}">
                <a16:creationId xmlns:a16="http://schemas.microsoft.com/office/drawing/2014/main" id="{0879C74D-5B92-31F7-FB70-DF2C588A000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CF9986C2-AD9A-66FD-EA71-A89765DFCD33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手形取立依頼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95376</xdr:colOff>
      <xdr:row>68</xdr:row>
      <xdr:rowOff>25401</xdr:rowOff>
    </xdr:from>
    <xdr:to>
      <xdr:col>25</xdr:col>
      <xdr:colOff>18459</xdr:colOff>
      <xdr:row>70</xdr:row>
      <xdr:rowOff>56028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5EE23B5-AE36-4BC1-B5F4-CBCAC5FE9960}"/>
            </a:ext>
          </a:extLst>
        </xdr:cNvPr>
        <xdr:cNvCxnSpPr>
          <a:cxnSpLocks/>
          <a:stCxn id="16" idx="2"/>
          <a:endCxn id="22" idx="0"/>
        </xdr:cNvCxnSpPr>
      </xdr:nvCxnSpPr>
      <xdr:spPr>
        <a:xfrm rot="16200000" flipH="1">
          <a:off x="3504222" y="9324026"/>
          <a:ext cx="366803" cy="2746965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118524</xdr:colOff>
      <xdr:row>71</xdr:row>
      <xdr:rowOff>139952</xdr:rowOff>
    </xdr:from>
    <xdr:to>
      <xdr:col>44</xdr:col>
      <xdr:colOff>108661</xdr:colOff>
      <xdr:row>71</xdr:row>
      <xdr:rowOff>140657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26107B5-35B4-4360-A7D7-8CA4ABE72E34}"/>
            </a:ext>
          </a:extLst>
        </xdr:cNvPr>
        <xdr:cNvCxnSpPr>
          <a:cxnSpLocks/>
          <a:stCxn id="21" idx="3"/>
          <a:endCxn id="68" idx="2"/>
        </xdr:cNvCxnSpPr>
      </xdr:nvCxnSpPr>
      <xdr:spPr>
        <a:xfrm>
          <a:off x="5604924" y="12363702"/>
          <a:ext cx="599737" cy="70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80431</xdr:colOff>
      <xdr:row>86</xdr:row>
      <xdr:rowOff>163231</xdr:rowOff>
    </xdr:from>
    <xdr:to>
      <xdr:col>26</xdr:col>
      <xdr:colOff>194037</xdr:colOff>
      <xdr:row>88</xdr:row>
      <xdr:rowOff>52854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81E273AF-91F4-4EC3-9BAE-B9D0ECEC6531}"/>
            </a:ext>
          </a:extLst>
        </xdr:cNvPr>
        <xdr:cNvSpPr/>
      </xdr:nvSpPr>
      <xdr:spPr>
        <a:xfrm>
          <a:off x="4798969" y="13376116"/>
          <a:ext cx="729068" cy="23154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21</xdr:col>
      <xdr:colOff>89646</xdr:colOff>
      <xdr:row>63</xdr:row>
      <xdr:rowOff>123265</xdr:rowOff>
    </xdr:from>
    <xdr:to>
      <xdr:col>24</xdr:col>
      <xdr:colOff>33618</xdr:colOff>
      <xdr:row>65</xdr:row>
      <xdr:rowOff>141006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2C99F607-7AAF-4A6A-8FD5-7412DC578A48}"/>
            </a:ext>
          </a:extLst>
        </xdr:cNvPr>
        <xdr:cNvGrpSpPr>
          <a:grpSpLocks noChangeAspect="1"/>
        </xdr:cNvGrpSpPr>
      </xdr:nvGrpSpPr>
      <xdr:grpSpPr>
        <a:xfrm>
          <a:off x="4564603" y="11443111"/>
          <a:ext cx="576992" cy="372519"/>
          <a:chOff x="2791278" y="18514786"/>
          <a:chExt cx="773793" cy="417285"/>
        </a:xfrm>
      </xdr:grpSpPr>
      <xdr:sp macro="" textlink="">
        <xdr:nvSpPr>
          <xdr:cNvPr id="63" name="フローチャート: 書類 62">
            <a:extLst>
              <a:ext uri="{FF2B5EF4-FFF2-40B4-BE49-F238E27FC236}">
                <a16:creationId xmlns:a16="http://schemas.microsoft.com/office/drawing/2014/main" id="{610275F5-D17A-9281-8D0C-422BD51CCA7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2874ACE-399C-CB60-C752-44F066DEE83D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手形</a:t>
            </a:r>
          </a:p>
        </xdr:txBody>
      </xdr:sp>
    </xdr:grpSp>
    <xdr:clientData/>
  </xdr:twoCellAnchor>
  <xdr:twoCellAnchor>
    <xdr:from>
      <xdr:col>44</xdr:col>
      <xdr:colOff>8031</xdr:colOff>
      <xdr:row>70</xdr:row>
      <xdr:rowOff>49306</xdr:rowOff>
    </xdr:from>
    <xdr:to>
      <xdr:col>49</xdr:col>
      <xdr:colOff>9593</xdr:colOff>
      <xdr:row>73</xdr:row>
      <xdr:rowOff>116832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832E498A-6040-4B3C-8972-AB40279D018C}"/>
            </a:ext>
          </a:extLst>
        </xdr:cNvPr>
        <xdr:cNvGrpSpPr/>
      </xdr:nvGrpSpPr>
      <xdr:grpSpPr>
        <a:xfrm>
          <a:off x="9378054" y="12613005"/>
          <a:ext cx="1066120" cy="603503"/>
          <a:chOff x="7113625" y="2892425"/>
          <a:chExt cx="914621" cy="594025"/>
        </a:xfrm>
      </xdr:grpSpPr>
      <xdr:sp macro="" textlink="">
        <xdr:nvSpPr>
          <xdr:cNvPr id="68" name="フローチャート: 磁気ディスク 67">
            <a:extLst>
              <a:ext uri="{FF2B5EF4-FFF2-40B4-BE49-F238E27FC236}">
                <a16:creationId xmlns:a16="http://schemas.microsoft.com/office/drawing/2014/main" id="{3E09FBAA-7C39-CC47-AC30-2EBD44FB355F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6FEB4D03-D5BF-9737-E3F9-B696ABD9BD8A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23</xdr:col>
      <xdr:colOff>131296</xdr:colOff>
      <xdr:row>93</xdr:row>
      <xdr:rowOff>89647</xdr:rowOff>
    </xdr:from>
    <xdr:to>
      <xdr:col>27</xdr:col>
      <xdr:colOff>36573</xdr:colOff>
      <xdr:row>94</xdr:row>
      <xdr:rowOff>155451</xdr:rowOff>
    </xdr:to>
    <xdr:sp macro="" textlink="">
      <xdr:nvSpPr>
        <xdr:cNvPr id="72" name="フローチャート: 端子 71">
          <a:extLst>
            <a:ext uri="{FF2B5EF4-FFF2-40B4-BE49-F238E27FC236}">
              <a16:creationId xmlns:a16="http://schemas.microsoft.com/office/drawing/2014/main" id="{DF0F2559-F676-418F-B834-18B8B285798D}"/>
            </a:ext>
          </a:extLst>
        </xdr:cNvPr>
        <xdr:cNvSpPr/>
      </xdr:nvSpPr>
      <xdr:spPr>
        <a:xfrm>
          <a:off x="4770531" y="8894296"/>
          <a:ext cx="712101" cy="23706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25</xdr:col>
      <xdr:colOff>80622</xdr:colOff>
      <xdr:row>94</xdr:row>
      <xdr:rowOff>155450</xdr:rowOff>
    </xdr:from>
    <xdr:to>
      <xdr:col>25</xdr:col>
      <xdr:colOff>83936</xdr:colOff>
      <xdr:row>95</xdr:row>
      <xdr:rowOff>145677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426AC4F1-C30C-46F4-A86E-E68541CC4B2F}"/>
            </a:ext>
          </a:extLst>
        </xdr:cNvPr>
        <xdr:cNvCxnSpPr>
          <a:cxnSpLocks/>
          <a:stCxn id="72" idx="2"/>
          <a:endCxn id="74" idx="0"/>
        </xdr:cNvCxnSpPr>
      </xdr:nvCxnSpPr>
      <xdr:spPr>
        <a:xfrm rot="5400000">
          <a:off x="5050531" y="9207275"/>
          <a:ext cx="155140" cy="331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83111</xdr:colOff>
      <xdr:row>101</xdr:row>
      <xdr:rowOff>56029</xdr:rowOff>
    </xdr:from>
    <xdr:to>
      <xdr:col>27</xdr:col>
      <xdr:colOff>190437</xdr:colOff>
      <xdr:row>104</xdr:row>
      <xdr:rowOff>93231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3C896807-4309-4F5C-AEDA-C6C9A1B3FFB5}"/>
            </a:ext>
          </a:extLst>
        </xdr:cNvPr>
        <xdr:cNvGrpSpPr/>
      </xdr:nvGrpSpPr>
      <xdr:grpSpPr>
        <a:xfrm>
          <a:off x="4769075" y="18157339"/>
          <a:ext cx="1169980" cy="575084"/>
          <a:chOff x="1612900" y="2427474"/>
          <a:chExt cx="933032" cy="469326"/>
        </a:xfrm>
      </xdr:grpSpPr>
      <xdr:sp macro="" textlink="">
        <xdr:nvSpPr>
          <xdr:cNvPr id="82" name="フローチャート: 定義済み処理 81">
            <a:extLst>
              <a:ext uri="{FF2B5EF4-FFF2-40B4-BE49-F238E27FC236}">
                <a16:creationId xmlns:a16="http://schemas.microsoft.com/office/drawing/2014/main" id="{A2B3AE00-C7D4-AD5C-21F1-0B6B53A4765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CA14BB4A-E5A5-CC9D-DCE5-C016B8C343CB}"/>
              </a:ext>
            </a:extLst>
          </xdr:cNvPr>
          <xdr:cNvSpPr/>
        </xdr:nvSpPr>
        <xdr:spPr>
          <a:xfrm>
            <a:off x="1612900" y="2427474"/>
            <a:ext cx="933032" cy="4693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2.</a:t>
            </a:r>
            <a:r>
              <a:rPr kumimoji="1" lang="ja-JP" altLang="en-US" sz="900"/>
              <a:t>手形決済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処理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50717</xdr:colOff>
      <xdr:row>98</xdr:row>
      <xdr:rowOff>122181</xdr:rowOff>
    </xdr:from>
    <xdr:to>
      <xdr:col>25</xdr:col>
      <xdr:colOff>50997</xdr:colOff>
      <xdr:row>101</xdr:row>
      <xdr:rowOff>91256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B26F4822-EE91-4A15-B4A5-E5109D3B85BD}"/>
            </a:ext>
          </a:extLst>
        </xdr:cNvPr>
        <xdr:cNvCxnSpPr>
          <a:cxnSpLocks/>
          <a:stCxn id="103" idx="2"/>
          <a:endCxn id="82" idx="0"/>
        </xdr:cNvCxnSpPr>
      </xdr:nvCxnSpPr>
      <xdr:spPr>
        <a:xfrm rot="5400000">
          <a:off x="4889144" y="15673604"/>
          <a:ext cx="483425" cy="28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137425</xdr:colOff>
      <xdr:row>102</xdr:row>
      <xdr:rowOff>138916</xdr:rowOff>
    </xdr:from>
    <xdr:to>
      <xdr:col>44</xdr:col>
      <xdr:colOff>111208</xdr:colOff>
      <xdr:row>102</xdr:row>
      <xdr:rowOff>139952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2FA72E0D-7C6A-4DB1-A993-D796A644F880}"/>
            </a:ext>
          </a:extLst>
        </xdr:cNvPr>
        <xdr:cNvCxnSpPr>
          <a:cxnSpLocks/>
          <a:stCxn id="82" idx="3"/>
          <a:endCxn id="92" idx="2"/>
        </xdr:cNvCxnSpPr>
      </xdr:nvCxnSpPr>
      <xdr:spPr>
        <a:xfrm flipV="1">
          <a:off x="5623825" y="16134566"/>
          <a:ext cx="583383" cy="1036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102906</xdr:colOff>
      <xdr:row>118</xdr:row>
      <xdr:rowOff>163231</xdr:rowOff>
    </xdr:from>
    <xdr:to>
      <xdr:col>27</xdr:col>
      <xdr:colOff>11358</xdr:colOff>
      <xdr:row>120</xdr:row>
      <xdr:rowOff>52854</xdr:rowOff>
    </xdr:to>
    <xdr:sp macro="" textlink="">
      <xdr:nvSpPr>
        <xdr:cNvPr id="87" name="フローチャート: 端子 86">
          <a:extLst>
            <a:ext uri="{FF2B5EF4-FFF2-40B4-BE49-F238E27FC236}">
              <a16:creationId xmlns:a16="http://schemas.microsoft.com/office/drawing/2014/main" id="{9DA9BBC1-8A15-4211-9373-6FD7A4C3B989}"/>
            </a:ext>
          </a:extLst>
        </xdr:cNvPr>
        <xdr:cNvSpPr/>
      </xdr:nvSpPr>
      <xdr:spPr>
        <a:xfrm>
          <a:off x="4776506" y="17187581"/>
          <a:ext cx="721252" cy="23252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44</xdr:col>
      <xdr:colOff>11206</xdr:colOff>
      <xdr:row>101</xdr:row>
      <xdr:rowOff>46131</xdr:rowOff>
    </xdr:from>
    <xdr:to>
      <xdr:col>49</xdr:col>
      <xdr:colOff>6418</xdr:colOff>
      <xdr:row>104</xdr:row>
      <xdr:rowOff>116832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81C3A65C-74C2-4313-8665-DB1662397B86}"/>
            </a:ext>
          </a:extLst>
        </xdr:cNvPr>
        <xdr:cNvGrpSpPr/>
      </xdr:nvGrpSpPr>
      <xdr:grpSpPr>
        <a:xfrm>
          <a:off x="9381229" y="18145536"/>
          <a:ext cx="1059770" cy="606678"/>
          <a:chOff x="7113625" y="2892425"/>
          <a:chExt cx="914621" cy="594025"/>
        </a:xfrm>
      </xdr:grpSpPr>
      <xdr:sp macro="" textlink="">
        <xdr:nvSpPr>
          <xdr:cNvPr id="92" name="フローチャート: 磁気ディスク 91">
            <a:extLst>
              <a:ext uri="{FF2B5EF4-FFF2-40B4-BE49-F238E27FC236}">
                <a16:creationId xmlns:a16="http://schemas.microsoft.com/office/drawing/2014/main" id="{753B8B2D-8FB2-E017-8FB5-8A8F89BD31FD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DEE0C1BD-0422-55EF-F32F-56B74333F477}"/>
              </a:ext>
            </a:extLst>
          </xdr:cNvPr>
          <xdr:cNvSpPr/>
        </xdr:nvSpPr>
        <xdr:spPr>
          <a:xfrm>
            <a:off x="7113625" y="2983934"/>
            <a:ext cx="914621" cy="5025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22</xdr:col>
      <xdr:colOff>78441</xdr:colOff>
      <xdr:row>95</xdr:row>
      <xdr:rowOff>156882</xdr:rowOff>
    </xdr:from>
    <xdr:to>
      <xdr:col>27</xdr:col>
      <xdr:colOff>195401</xdr:colOff>
      <xdr:row>98</xdr:row>
      <xdr:rowOff>122182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1D9CBF36-96B0-4E59-BE74-4B462646665E}"/>
            </a:ext>
          </a:extLst>
        </xdr:cNvPr>
        <xdr:cNvGrpSpPr/>
      </xdr:nvGrpSpPr>
      <xdr:grpSpPr>
        <a:xfrm>
          <a:off x="4762500" y="17180522"/>
          <a:ext cx="1183424" cy="503183"/>
          <a:chOff x="1612900" y="2457450"/>
          <a:chExt cx="933032" cy="374650"/>
        </a:xfrm>
      </xdr:grpSpPr>
      <xdr:sp macro="" textlink="">
        <xdr:nvSpPr>
          <xdr:cNvPr id="103" name="フローチャート: 処理 102">
            <a:extLst>
              <a:ext uri="{FF2B5EF4-FFF2-40B4-BE49-F238E27FC236}">
                <a16:creationId xmlns:a16="http://schemas.microsoft.com/office/drawing/2014/main" id="{A2766E02-D34A-DB2A-E5B4-1A8E8BE813F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05" name="正方形/長方形 48">
            <a:extLst>
              <a:ext uri="{FF2B5EF4-FFF2-40B4-BE49-F238E27FC236}">
                <a16:creationId xmlns:a16="http://schemas.microsoft.com/office/drawing/2014/main" id="{BCEA3BC2-29FD-9E34-A259-732B469A983D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１．銀行振込確認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30</xdr:col>
      <xdr:colOff>0</xdr:colOff>
      <xdr:row>74</xdr:row>
      <xdr:rowOff>173180</xdr:rowOff>
    </xdr:from>
    <xdr:to>
      <xdr:col>35</xdr:col>
      <xdr:colOff>104151</xdr:colOff>
      <xdr:row>77</xdr:row>
      <xdr:rowOff>133631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3F8E52B7-1788-43AA-9AB9-C08577A161C6}"/>
            </a:ext>
          </a:extLst>
        </xdr:cNvPr>
        <xdr:cNvGrpSpPr/>
      </xdr:nvGrpSpPr>
      <xdr:grpSpPr>
        <a:xfrm>
          <a:off x="6387353" y="13448341"/>
          <a:ext cx="1166805" cy="498333"/>
          <a:chOff x="1612900" y="2427474"/>
          <a:chExt cx="933032" cy="404626"/>
        </a:xfrm>
      </xdr:grpSpPr>
      <xdr:sp macro="" textlink="">
        <xdr:nvSpPr>
          <xdr:cNvPr id="4" name="フローチャート: 定義済み処理 3">
            <a:extLst>
              <a:ext uri="{FF2B5EF4-FFF2-40B4-BE49-F238E27FC236}">
                <a16:creationId xmlns:a16="http://schemas.microsoft.com/office/drawing/2014/main" id="{39929C17-A957-A1EE-2256-311AAB89297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24AE51C-6724-00AA-A271-A035E05975DF}"/>
              </a:ext>
            </a:extLst>
          </xdr:cNvPr>
          <xdr:cNvSpPr/>
        </xdr:nvSpPr>
        <xdr:spPr>
          <a:xfrm>
            <a:off x="1612900" y="2427474"/>
            <a:ext cx="933032" cy="4014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4.</a:t>
            </a:r>
            <a:r>
              <a:rPr kumimoji="1" lang="ja-JP" altLang="en-US" sz="900"/>
              <a:t>手形取立依頼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44</xdr:col>
      <xdr:colOff>98827</xdr:colOff>
      <xdr:row>79</xdr:row>
      <xdr:rowOff>108503</xdr:rowOff>
    </xdr:from>
    <xdr:to>
      <xdr:col>49</xdr:col>
      <xdr:colOff>117998</xdr:colOff>
      <xdr:row>82</xdr:row>
      <xdr:rowOff>157574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C3A6B90-EF8F-4B4D-89B3-3DDB01ECA304}"/>
            </a:ext>
          </a:extLst>
        </xdr:cNvPr>
        <xdr:cNvGrpSpPr/>
      </xdr:nvGrpSpPr>
      <xdr:grpSpPr>
        <a:xfrm>
          <a:off x="9463135" y="14282039"/>
          <a:ext cx="1087539" cy="590764"/>
          <a:chOff x="7113907" y="2892425"/>
          <a:chExt cx="917588" cy="591189"/>
        </a:xfrm>
      </xdr:grpSpPr>
      <xdr:sp macro="" textlink="">
        <xdr:nvSpPr>
          <xdr:cNvPr id="9" name="フローチャート: 磁気ディスク 8">
            <a:extLst>
              <a:ext uri="{FF2B5EF4-FFF2-40B4-BE49-F238E27FC236}">
                <a16:creationId xmlns:a16="http://schemas.microsoft.com/office/drawing/2014/main" id="{7876C3E7-2D46-02E2-BA1D-97C2F7169580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8B1FDCD6-01C4-C516-5FAB-09E6211624CB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42</xdr:col>
      <xdr:colOff>24602</xdr:colOff>
      <xdr:row>81</xdr:row>
      <xdr:rowOff>11271</xdr:rowOff>
    </xdr:from>
    <xdr:to>
      <xdr:col>45</xdr:col>
      <xdr:colOff>9076</xdr:colOff>
      <xdr:row>81</xdr:row>
      <xdr:rowOff>24800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EA1FA50E-15B4-4C63-B815-1A6D9CAB6950}"/>
            </a:ext>
          </a:extLst>
        </xdr:cNvPr>
        <xdr:cNvCxnSpPr>
          <a:cxnSpLocks/>
          <a:stCxn id="26" idx="3"/>
          <a:endCxn id="9" idx="2"/>
        </xdr:cNvCxnSpPr>
      </xdr:nvCxnSpPr>
      <xdr:spPr>
        <a:xfrm>
          <a:off x="7904375" y="14111157"/>
          <a:ext cx="547315" cy="13529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14432</xdr:colOff>
      <xdr:row>79</xdr:row>
      <xdr:rowOff>101023</xdr:rowOff>
    </xdr:from>
    <xdr:to>
      <xdr:col>42</xdr:col>
      <xdr:colOff>42220</xdr:colOff>
      <xdr:row>82</xdr:row>
      <xdr:rowOff>87183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3A3B9A04-8490-419D-AABE-B35DABF44B71}"/>
            </a:ext>
          </a:extLst>
        </xdr:cNvPr>
        <xdr:cNvGrpSpPr/>
      </xdr:nvGrpSpPr>
      <xdr:grpSpPr>
        <a:xfrm>
          <a:off x="7683066" y="14272654"/>
          <a:ext cx="1303353" cy="529758"/>
          <a:chOff x="1556092" y="2432650"/>
          <a:chExt cx="965711" cy="420662"/>
        </a:xfrm>
      </xdr:grpSpPr>
      <xdr:sp macro="" textlink="">
        <xdr:nvSpPr>
          <xdr:cNvPr id="26" name="フローチャート: 定義済み処理 25">
            <a:extLst>
              <a:ext uri="{FF2B5EF4-FFF2-40B4-BE49-F238E27FC236}">
                <a16:creationId xmlns:a16="http://schemas.microsoft.com/office/drawing/2014/main" id="{4CC75A20-5AE5-7FE2-1773-5378DFF8EE1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7" name="正方形/長方形 48">
            <a:extLst>
              <a:ext uri="{FF2B5EF4-FFF2-40B4-BE49-F238E27FC236}">
                <a16:creationId xmlns:a16="http://schemas.microsoft.com/office/drawing/2014/main" id="{A179F926-B319-B1AB-B4D6-F2520F327E75}"/>
              </a:ext>
            </a:extLst>
          </xdr:cNvPr>
          <xdr:cNvSpPr/>
        </xdr:nvSpPr>
        <xdr:spPr>
          <a:xfrm>
            <a:off x="1556092" y="2432650"/>
            <a:ext cx="965711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38381</xdr:colOff>
      <xdr:row>73</xdr:row>
      <xdr:rowOff>16480</xdr:rowOff>
    </xdr:from>
    <xdr:to>
      <xdr:col>32</xdr:col>
      <xdr:colOff>161934</xdr:colOff>
      <xdr:row>75</xdr:row>
      <xdr:rowOff>35559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94260A09-93E3-470B-A287-8CEDED48774A}"/>
            </a:ext>
          </a:extLst>
        </xdr:cNvPr>
        <xdr:cNvCxnSpPr>
          <a:cxnSpLocks/>
          <a:stCxn id="21" idx="2"/>
          <a:endCxn id="4" idx="0"/>
        </xdr:cNvCxnSpPr>
      </xdr:nvCxnSpPr>
      <xdr:spPr>
        <a:xfrm rot="16200000" flipH="1">
          <a:off x="5264425" y="12195209"/>
          <a:ext cx="365442" cy="143684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161934</xdr:colOff>
      <xdr:row>77</xdr:row>
      <xdr:rowOff>133631</xdr:rowOff>
    </xdr:from>
    <xdr:to>
      <xdr:col>39</xdr:col>
      <xdr:colOff>92432</xdr:colOff>
      <xdr:row>79</xdr:row>
      <xdr:rowOff>133637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CE4E14DF-1404-4FCD-BF11-E8AE157F22A6}"/>
            </a:ext>
          </a:extLst>
        </xdr:cNvPr>
        <xdr:cNvCxnSpPr>
          <a:cxnSpLocks/>
          <a:stCxn id="4" idx="2"/>
          <a:endCxn id="26" idx="0"/>
        </xdr:cNvCxnSpPr>
      </xdr:nvCxnSpPr>
      <xdr:spPr>
        <a:xfrm rot="16200000" flipH="1">
          <a:off x="6614282" y="13092078"/>
          <a:ext cx="346370" cy="1243794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41841</xdr:colOff>
      <xdr:row>82</xdr:row>
      <xdr:rowOff>58828</xdr:rowOff>
    </xdr:from>
    <xdr:to>
      <xdr:col>39</xdr:col>
      <xdr:colOff>92433</xdr:colOff>
      <xdr:row>86</xdr:row>
      <xdr:rowOff>160056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1BD870B4-016F-491D-BA07-49414D45A280}"/>
            </a:ext>
          </a:extLst>
        </xdr:cNvPr>
        <xdr:cNvCxnSpPr>
          <a:cxnSpLocks/>
          <a:stCxn id="26" idx="2"/>
          <a:endCxn id="50" idx="0"/>
        </xdr:cNvCxnSpPr>
      </xdr:nvCxnSpPr>
      <xdr:spPr>
        <a:xfrm rot="5400000">
          <a:off x="5587205" y="13476873"/>
          <a:ext cx="967137" cy="267718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107</xdr:row>
      <xdr:rowOff>5090</xdr:rowOff>
    </xdr:from>
    <xdr:to>
      <xdr:col>35</xdr:col>
      <xdr:colOff>104151</xdr:colOff>
      <xdr:row>110</xdr:row>
      <xdr:rowOff>56028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99161C12-D4A7-483E-A690-3D2070560289}"/>
            </a:ext>
          </a:extLst>
        </xdr:cNvPr>
        <xdr:cNvGrpSpPr/>
      </xdr:nvGrpSpPr>
      <xdr:grpSpPr>
        <a:xfrm>
          <a:off x="6387353" y="19180260"/>
          <a:ext cx="1166805" cy="590725"/>
          <a:chOff x="1612900" y="2427474"/>
          <a:chExt cx="933032" cy="483413"/>
        </a:xfrm>
      </xdr:grpSpPr>
      <xdr:sp macro="" textlink="">
        <xdr:nvSpPr>
          <xdr:cNvPr id="43" name="フローチャート: 定義済み処理 42">
            <a:extLst>
              <a:ext uri="{FF2B5EF4-FFF2-40B4-BE49-F238E27FC236}">
                <a16:creationId xmlns:a16="http://schemas.microsoft.com/office/drawing/2014/main" id="{4499D17C-D2D8-D5B7-0551-0765684259D4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D4953499-E376-6CDC-A249-3E2750091A7D}"/>
              </a:ext>
            </a:extLst>
          </xdr:cNvPr>
          <xdr:cNvSpPr/>
        </xdr:nvSpPr>
        <xdr:spPr>
          <a:xfrm>
            <a:off x="1612900" y="2427474"/>
            <a:ext cx="933032" cy="4834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3.</a:t>
            </a:r>
            <a:r>
              <a:rPr kumimoji="1" lang="ja-JP" altLang="en-US" sz="900"/>
              <a:t>手形決済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44</xdr:col>
      <xdr:colOff>102002</xdr:colOff>
      <xdr:row>111</xdr:row>
      <xdr:rowOff>105328</xdr:rowOff>
    </xdr:from>
    <xdr:to>
      <xdr:col>49</xdr:col>
      <xdr:colOff>121173</xdr:colOff>
      <xdr:row>114</xdr:row>
      <xdr:rowOff>160749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BDE66DBE-BA99-4E9F-860F-FCEFDB718F92}"/>
            </a:ext>
          </a:extLst>
        </xdr:cNvPr>
        <xdr:cNvGrpSpPr/>
      </xdr:nvGrpSpPr>
      <xdr:grpSpPr>
        <a:xfrm>
          <a:off x="9466310" y="19993864"/>
          <a:ext cx="1089444" cy="597114"/>
          <a:chOff x="7113907" y="2892425"/>
          <a:chExt cx="917588" cy="591189"/>
        </a:xfrm>
      </xdr:grpSpPr>
      <xdr:sp macro="" textlink="">
        <xdr:nvSpPr>
          <xdr:cNvPr id="47" name="フローチャート: 磁気ディスク 46">
            <a:extLst>
              <a:ext uri="{FF2B5EF4-FFF2-40B4-BE49-F238E27FC236}">
                <a16:creationId xmlns:a16="http://schemas.microsoft.com/office/drawing/2014/main" id="{7CCE3943-806F-1DF4-B6FA-FCBC78A2A1BA}"/>
              </a:ext>
            </a:extLst>
          </xdr:cNvPr>
          <xdr:cNvSpPr/>
        </xdr:nvSpPr>
        <xdr:spPr>
          <a:xfrm>
            <a:off x="7204075" y="2892425"/>
            <a:ext cx="708464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27998C28-076E-7A12-E909-02DAF97E12D7}"/>
              </a:ext>
            </a:extLst>
          </xdr:cNvPr>
          <xdr:cNvSpPr/>
        </xdr:nvSpPr>
        <xdr:spPr>
          <a:xfrm>
            <a:off x="7113907" y="2983498"/>
            <a:ext cx="917588" cy="50011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42</xdr:col>
      <xdr:colOff>24602</xdr:colOff>
      <xdr:row>113</xdr:row>
      <xdr:rowOff>11271</xdr:rowOff>
    </xdr:from>
    <xdr:to>
      <xdr:col>45</xdr:col>
      <xdr:colOff>9076</xdr:colOff>
      <xdr:row>113</xdr:row>
      <xdr:rowOff>24800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3AE29783-528C-48A1-B1FB-01EF4C6E8CBE}"/>
            </a:ext>
          </a:extLst>
        </xdr:cNvPr>
        <xdr:cNvCxnSpPr>
          <a:cxnSpLocks/>
          <a:stCxn id="52" idx="3"/>
          <a:endCxn id="47" idx="2"/>
        </xdr:cNvCxnSpPr>
      </xdr:nvCxnSpPr>
      <xdr:spPr>
        <a:xfrm>
          <a:off x="7907550" y="14107982"/>
          <a:ext cx="547315" cy="19879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11257</xdr:colOff>
      <xdr:row>111</xdr:row>
      <xdr:rowOff>104198</xdr:rowOff>
    </xdr:from>
    <xdr:to>
      <xdr:col>42</xdr:col>
      <xdr:colOff>45395</xdr:colOff>
      <xdr:row>114</xdr:row>
      <xdr:rowOff>84008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C2F4EBCC-DB25-4088-87A7-1CF91368BB0C}"/>
            </a:ext>
          </a:extLst>
        </xdr:cNvPr>
        <xdr:cNvGrpSpPr/>
      </xdr:nvGrpSpPr>
      <xdr:grpSpPr>
        <a:xfrm>
          <a:off x="7677986" y="19992734"/>
          <a:ext cx="1311608" cy="521503"/>
          <a:chOff x="1556092" y="2432650"/>
          <a:chExt cx="965711" cy="420662"/>
        </a:xfrm>
      </xdr:grpSpPr>
      <xdr:sp macro="" textlink="">
        <xdr:nvSpPr>
          <xdr:cNvPr id="52" name="フローチャート: 定義済み処理 51">
            <a:extLst>
              <a:ext uri="{FF2B5EF4-FFF2-40B4-BE49-F238E27FC236}">
                <a16:creationId xmlns:a16="http://schemas.microsoft.com/office/drawing/2014/main" id="{67D1C2C8-2D59-797E-DB66-922CA53159D9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" name="正方形/長方形 48">
            <a:extLst>
              <a:ext uri="{FF2B5EF4-FFF2-40B4-BE49-F238E27FC236}">
                <a16:creationId xmlns:a16="http://schemas.microsoft.com/office/drawing/2014/main" id="{1506482A-5B3E-A587-A150-DAC7BE23AA17}"/>
              </a:ext>
            </a:extLst>
          </xdr:cNvPr>
          <xdr:cNvSpPr/>
        </xdr:nvSpPr>
        <xdr:spPr>
          <a:xfrm>
            <a:off x="1556092" y="2432650"/>
            <a:ext cx="965711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25</xdr:col>
      <xdr:colOff>58973</xdr:colOff>
      <xdr:row>104</xdr:row>
      <xdr:rowOff>16480</xdr:rowOff>
    </xdr:from>
    <xdr:to>
      <xdr:col>32</xdr:col>
      <xdr:colOff>160301</xdr:colOff>
      <xdr:row>107</xdr:row>
      <xdr:rowOff>35558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3FCE3778-3F13-4C90-B571-949E9245E57B}"/>
            </a:ext>
          </a:extLst>
        </xdr:cNvPr>
        <xdr:cNvCxnSpPr>
          <a:cxnSpLocks/>
          <a:stCxn id="82" idx="2"/>
          <a:endCxn id="43" idx="0"/>
        </xdr:cNvCxnSpPr>
      </xdr:nvCxnSpPr>
      <xdr:spPr>
        <a:xfrm rot="16200000" flipH="1">
          <a:off x="5187314" y="17661548"/>
          <a:ext cx="538624" cy="1414623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161934</xdr:colOff>
      <xdr:row>109</xdr:row>
      <xdr:rowOff>133631</xdr:rowOff>
    </xdr:from>
    <xdr:to>
      <xdr:col>39</xdr:col>
      <xdr:colOff>92432</xdr:colOff>
      <xdr:row>111</xdr:row>
      <xdr:rowOff>133637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DDBEAA6C-5DF4-43C0-B5B6-6874E6A07C35}"/>
            </a:ext>
          </a:extLst>
        </xdr:cNvPr>
        <xdr:cNvCxnSpPr>
          <a:cxnSpLocks/>
          <a:stCxn id="43" idx="2"/>
          <a:endCxn id="52" idx="0"/>
        </xdr:cNvCxnSpPr>
      </xdr:nvCxnSpPr>
      <xdr:spPr>
        <a:xfrm rot="16200000" flipH="1">
          <a:off x="6612695" y="13090490"/>
          <a:ext cx="346370" cy="124696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57133</xdr:colOff>
      <xdr:row>114</xdr:row>
      <xdr:rowOff>62002</xdr:rowOff>
    </xdr:from>
    <xdr:to>
      <xdr:col>39</xdr:col>
      <xdr:colOff>92784</xdr:colOff>
      <xdr:row>118</xdr:row>
      <xdr:rowOff>160055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3B4F0F64-4300-4F2B-AD3D-4EC4FA66F18E}"/>
            </a:ext>
          </a:extLst>
        </xdr:cNvPr>
        <xdr:cNvCxnSpPr>
          <a:cxnSpLocks/>
          <a:stCxn id="52" idx="2"/>
          <a:endCxn id="87" idx="0"/>
        </xdr:cNvCxnSpPr>
      </xdr:nvCxnSpPr>
      <xdr:spPr>
        <a:xfrm rot="5400000">
          <a:off x="4903886" y="19720476"/>
          <a:ext cx="2349417" cy="2662242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2</xdr:row>
      <xdr:rowOff>0</xdr:rowOff>
    </xdr:from>
    <xdr:to>
      <xdr:col>29</xdr:col>
      <xdr:colOff>499905</xdr:colOff>
      <xdr:row>61</xdr:row>
      <xdr:rowOff>26816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95560E-625C-D670-2F99-232801F9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8" y="336176"/>
          <a:ext cx="19639552" cy="99440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ww1\D-&#12452;&#12531;&#12501;&#12521;\WINDOWS\Temporary%20Internet%20Files\Content.IE5\LLTWW692\file0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リストマスタ"/>
      <sheetName val="テンプレ"/>
      <sheetName val="Sheet1"/>
      <sheetName val="型TB"/>
      <sheetName val="リスト"/>
      <sheetName val="リスト値補助シート"/>
      <sheetName val="List"/>
      <sheetName val="項目一覧(SAP版)"/>
      <sheetName val="Sheet2"/>
      <sheetName val="file002(2)"/>
      <sheetName val="複写ｼｰﾄ"/>
      <sheetName val="TJ6P002Z(チェック項目一覧)"/>
      <sheetName val="値リスト"/>
      <sheetName val="現行DB一覧2(CT)"/>
      <sheetName val="レポートレイアウト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master"/>
      <sheetName val="参考)日付関連"/>
      <sheetName val="参照TBL)開発対象一覧"/>
      <sheetName val="マスタ"/>
      <sheetName val="表紙"/>
      <sheetName val="シナリオ"/>
      <sheetName val="シナリオ別進捗(代表6社以外)"/>
      <sheetName val="移動タイプ"/>
      <sheetName val="予算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プロパティ"/>
      <sheetName val="ms"/>
      <sheetName val="設定値シート"/>
      <sheetName val="イメージ"/>
      <sheetName val="work"/>
      <sheetName val="会社コード変換(編集)"/>
      <sheetName val="管理シート"/>
      <sheetName val="コード値リスト"/>
      <sheetName val="プロセス一覧"/>
      <sheetName val="項目マッピング(サンプル)"/>
      <sheetName val="Estimator Base"/>
      <sheetName val="設定シート"/>
      <sheetName val="ステータス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リスト情報"/>
      <sheetName val="八月份CO号"/>
      <sheetName val="supplement"/>
      <sheetName val="Lov"/>
      <sheetName val="Pattern Definition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管理用"/>
      <sheetName val="属性一覧"/>
      <sheetName val="ステータス・進捗"/>
      <sheetName val="プルダウンリスト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案１"/>
      <sheetName val="１．InfoCube_(YKCH0010)_案２"/>
      <sheetName val="Cover_Cheet_(変更前)"/>
      <sheetName val="Status"/>
      <sheetName val="Delete Prohibition"/>
      <sheetName val="Config"/>
      <sheetName val="(Status Definition)"/>
      <sheetName val="記入方法"/>
      <sheetName val="コード表"/>
      <sheetName val="datalist"/>
      <sheetName val="粗利"/>
      <sheetName val="予約想定ﾚｰﾄ(USD)"/>
      <sheetName val="MAIN"/>
      <sheetName val="KENOGARD"/>
      <sheetName val="GRAFICOS"/>
      <sheetName val="SCC+VBC"/>
      <sheetName val="プラント情報"/>
      <sheetName val="예금명세"/>
      <sheetName val="Interface_List"/>
      <sheetName val="備考"/>
      <sheetName val="支払条件（仕入先）"/>
      <sheetName val="抜け"/>
      <sheetName val="BCP_状況"/>
      <sheetName val="OTSearchingReport1"/>
      <sheetName val="コンディション一覧(経理)"/>
      <sheetName val="プロンプト一覧"/>
      <sheetName val="#REF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コード値変換リスト(※編集不可)"/>
      <sheetName val="items"/>
      <sheetName val="件数集計"/>
      <sheetName val="件数"/>
      <sheetName val="Vali"/>
      <sheetName val="WORK引用"/>
      <sheetName val="リスト定義"/>
      <sheetName val="パラメータ"/>
      <sheetName val="パラメータ定義"/>
      <sheetName val="※システム管理台帳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□リスト"/>
      <sheetName val="請求 支払日付偏差の決定規則"/>
      <sheetName val="請求サイクル(定期)"/>
      <sheetName val="新内部マスタテーブル"/>
      <sheetName val="原価要素マスタ"/>
      <sheetName val="2000"/>
      <sheetName val="2001"/>
      <sheetName val="凡例"/>
      <sheetName val="【編集禁止】MST"/>
      <sheetName val="Value"/>
      <sheetName val="【2】変更履歴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TechSpec"/>
      <sheetName val="定義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設定"/>
      <sheetName val="Resource"/>
      <sheetName val="サイトコード・名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（参考）国コード"/>
      <sheetName val="Sheet4"/>
      <sheetName val=" 【補足】選択項目"/>
      <sheetName val="2.Pull-down List"/>
      <sheetName val="Pull-down List"/>
      <sheetName val="役職マスタ"/>
      <sheetName val="SAP user request_開発検証SAPユーザー申請書"/>
      <sheetName val="Selection_value"/>
      <sheetName val="保管場所リスト"/>
      <sheetName val="Document Type"/>
      <sheetName val="Acc code"/>
      <sheetName val="Tax Code"/>
      <sheetName val="Proft Ctr"/>
      <sheetName val="Cost Ctr"/>
      <sheetName val="１．InfoCube_(YKCH0010)案１1"/>
      <sheetName val="１．InfoCube_(YKCH0010)_案２1"/>
      <sheetName val="Cover_Cheet_(変更前)1"/>
      <sheetName val="Estimator_Base"/>
      <sheetName val="リスト_(2)"/>
      <sheetName val="機能設計書_（内容説明）"/>
      <sheetName val="Pattern_Definition"/>
      <sheetName val="コード値(コード順)_"/>
      <sheetName val="Delete_Prohibition"/>
      <sheetName val="(Status_Definition)"/>
      <sheetName val="納品対象外_セレクトデータ"/>
      <sheetName val="3_指定可能値"/>
      <sheetName val="削除しない_"/>
      <sheetName val="請求_支払日付偏差の決定規則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ay_master"/>
      <sheetName val="Pricing_tool"/>
      <sheetName val="Category_list"/>
      <sheetName val="_【補足】選択項目"/>
      <sheetName val="2_Pull-down_List"/>
      <sheetName val="Pull-down_List"/>
      <sheetName val="SAP_user_request_開発検証SAPユーザー申請書"/>
      <sheetName val="入力規則"/>
      <sheetName val="削除しない"/>
      <sheetName val="参考"/>
      <sheetName val="金額フル桁得意先"/>
      <sheetName val="99.リスト（印字不要）"/>
      <sheetName val="リスト（印字不要）"/>
      <sheetName val="記載ルール"/>
      <sheetName val="項目説明"/>
      <sheetName val="system"/>
      <sheetName val="ﾘｽﾄ"/>
      <sheetName val="変換表v1.03"/>
      <sheetName val="リスト値（販物）"/>
      <sheetName val="01．整備手順"/>
      <sheetName val="リスト・ステータス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cgtap90"/>
      <sheetName val="改訂履歴"/>
      <sheetName val="条件タイプ(産エネ)"/>
      <sheetName val="createdb1"/>
      <sheetName val="（ヘッダ）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History"/>
      <sheetName val="実行結果(1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実行結果(2)"/>
      <sheetName val="実行結果(3)"/>
      <sheetName val="2004上"/>
      <sheetName val="SCE"/>
      <sheetName val="2016損益予算最終版"/>
      <sheetName val="実行結果(ADRC)"/>
      <sheetName val="実行結果(VBSN)"/>
      <sheetName val="一覧"/>
      <sheetName val="実行結果(未完了)"/>
      <sheetName val="SIR10942パターン一覧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List Value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00-11-アクションタイプ"/>
      <sheetName val="データ入力一覧"/>
      <sheetName val=""/>
      <sheetName val="データ入力規則"/>
      <sheetName val="入力項目"/>
      <sheetName val="MKPF(4.6C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フォーマット管理"/>
      <sheetName val="集計"/>
      <sheetName val="システム機能一覧"/>
      <sheetName val="標準工数定義"/>
      <sheetName val="補足(マスタ)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종이 시험성적서"/>
      <sheetName val="統制勘定コード"/>
      <sheetName val="F4"/>
      <sheetName val="（仮）役割分担表"/>
      <sheetName val="輸入品品名ｺｰﾄﾞ"/>
      <sheetName val="リスト参照値"/>
      <sheetName val="中カテゴリ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RequestID_List"/>
      <sheetName val="JANコード生成ツール"/>
      <sheetName val="種別サマリ"/>
      <sheetName val="依頼科目入力フォーマット"/>
      <sheetName val="難易度表"/>
      <sheetName val="タイムチャート"/>
      <sheetName val="案件一覧"/>
      <sheetName val="全体状況（本番）"/>
      <sheetName val="(リスト用)システム一覧"/>
      <sheetName val="ZMMT1073(2シート)+1073"/>
      <sheetName val="リストテンプレシート"/>
      <sheetName val="step1-3 給与項目洗い出し&amp;仮マッピング"/>
      <sheetName val="PLANT LIST"/>
      <sheetName val="区分値"/>
      <sheetName val="承認票"/>
      <sheetName val="使用する勘定一覧"/>
      <sheetName val="menu"/>
      <sheetName val="コード表 購買組織"/>
      <sheetName val="コード表 仕入先"/>
      <sheetName val="約定"/>
      <sheetName val="営業所・営業グループ"/>
      <sheetName val="PR"/>
      <sheetName val="サブシステム一覧 (2)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MST"/>
      <sheetName val="Reference Do not touch"/>
      <sheetName val="ステータスList"/>
      <sheetName val="プルダウンメニューリスト"/>
      <sheetName val="table_data"/>
      <sheetName val="品目分類"/>
      <sheetName val="案1(44%)"/>
      <sheetName val="ステータスレポート"/>
      <sheetName val="参照）中計戦略一覧"/>
      <sheetName val="コード"/>
      <sheetName val="SAPUI5 Specification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送金目的"/>
      <sheetName val="T予実"/>
      <sheetName val="リストボックス"/>
      <sheetName val="勤務体系"/>
      <sheetName val="概略設計書表紙"/>
      <sheetName val="テーブル"/>
      <sheetName val="区分入力リスト"/>
      <sheetName val="危険物区分"/>
      <sheetName val="Table"/>
      <sheetName val="データ"/>
      <sheetName val="（基礎情報）"/>
      <sheetName val="リスト(削除しないでください)"/>
      <sheetName val="進捗状況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申請書"/>
      <sheetName val="取引先機能（得意先）"/>
      <sheetName val="都道府県市区町村リスト"/>
      <sheetName val="銀行情報"/>
      <sheetName val="宛先一覧"/>
      <sheetName val="リスト(※削除禁止)"/>
      <sheetName val="月部別"/>
      <sheetName val="１．InfoCube_(YKCH0010)案１4"/>
      <sheetName val="１．InfoCube_(YKCH0010)_案２4"/>
      <sheetName val="Estimator_Base3"/>
      <sheetName val="リスト_(2)3"/>
      <sheetName val="機能設計書_（内容説明）3"/>
      <sheetName val="Pattern_Definition3"/>
      <sheetName val="コード値(コード順)_3"/>
      <sheetName val="(Status_Definition)3"/>
      <sheetName val="納品対象外_セレクトデータ3"/>
      <sheetName val="3_指定可能値3"/>
      <sheetName val="Cover_Cheet_(変更前)4"/>
      <sheetName val="Change_History3"/>
      <sheetName val="Test_Scenario3"/>
      <sheetName val="Execution_Result(1-1)3"/>
      <sheetName val="Execution_Result(1-2)3"/>
      <sheetName val="Execution_Result(1-3)3"/>
      <sheetName val="Execution_Result(1-4)3"/>
      <sheetName val="Execution_Result(1-5)3"/>
      <sheetName val="Execution_Result(1-6)3"/>
      <sheetName val="Execution_Result(1-7)3"/>
      <sheetName val="Execution_Result(1-8-1)3"/>
      <sheetName val="Execution_Result(1-8-2)3"/>
      <sheetName val="Execution_Result(1-9)3"/>
      <sheetName val="Execution_Result(1-10)3"/>
      <sheetName val="Execution_Result(1-11)3"/>
      <sheetName val="Execution_Result(1-12-1)3"/>
      <sheetName val="Execution_Result(1-12-2)3"/>
      <sheetName val="Delete_Prohibition3"/>
      <sheetName val="Day_master2"/>
      <sheetName val="Pricing_tool2"/>
      <sheetName val="Category_list2"/>
      <sheetName val="変換表v1_032"/>
      <sheetName val="テストコンディション_(2)2"/>
      <sheetName val="エビデンス_(5回目)2"/>
      <sheetName val="COVER_PAGE2"/>
      <sheetName val="Test_Condition_Description2"/>
      <sheetName val="Doc_History2"/>
      <sheetName val="Source_(0件)2"/>
      <sheetName val="Result_(0件)2"/>
      <sheetName val="Source_(1件)2"/>
      <sheetName val="Target_(1件)_ヘッダー2"/>
      <sheetName val="Target_(1件)_データ2"/>
      <sheetName val="Result_(1件)2"/>
      <sheetName val="Source_(複数件)2"/>
      <sheetName val="Target_(複数件)_ヘッダー2"/>
      <sheetName val="Target_(複数件)_データ2"/>
      <sheetName val="Result_(複数件)2"/>
      <sheetName val="Source_(複数件2)2"/>
      <sheetName val="Target_(複数件2)_ヘッダー2"/>
      <sheetName val="Target_(複数件2)_データ2"/>
      <sheetName val="Result_(複数件2)2"/>
      <sheetName val="Source_(バリデーション)2"/>
      <sheetName val="Result_(バリデーション)2"/>
      <sheetName val="Data_Type_Format2"/>
      <sheetName val="MTT_Change_History2"/>
      <sheetName val="Revision_History2"/>
      <sheetName val="Function_Description2"/>
      <sheetName val="Selection_Screen_Specification2"/>
      <sheetName val="Selection_Screen(Belize)2"/>
      <sheetName val="InputOutput_file_(Flat)2"/>
      <sheetName val="InputOutput_file_(multi)2"/>
      <sheetName val="App_Log2"/>
      <sheetName val="Appendix(Fixed_Value)2"/>
      <sheetName val="List_Value2"/>
      <sheetName val="Mapping_Definition2"/>
      <sheetName val="Selection_Screen2"/>
      <sheetName val="Mapping_Definition(ZPPT1008)2"/>
      <sheetName val="Mapping_Definition(LCSUS)2"/>
      <sheetName val="API_Specification2"/>
      <sheetName val="IDOC_Specifiction2"/>
      <sheetName val="Appendix(IF_target_period)2"/>
      <sheetName val="テストコンディション_2"/>
      <sheetName val="テスト実行結果_12"/>
      <sheetName val="テスト実行結果_22"/>
      <sheetName val="テスト実行結果_32"/>
      <sheetName val="テスト実行結果_42"/>
      <sheetName val="テスト実行結果_52"/>
      <sheetName val="テスト実行結果_62"/>
      <sheetName val="実行結果_(3)2"/>
      <sheetName val="集計表_XLS1"/>
      <sheetName val="MKPF(4_6C)2"/>
      <sheetName val="09_IF項目定義(諸掛明細)_2"/>
      <sheetName val="04_画面レイアウト_(2)2"/>
      <sheetName val="07_コールトランザクション_(2)2"/>
      <sheetName val="종이_시험성적서1"/>
      <sheetName val="削除しない_1"/>
      <sheetName val="99_リスト（印字不要）"/>
      <sheetName val="PLANT_LIST"/>
      <sheetName val="コード表_購買組織"/>
      <sheetName val="コード表_仕入先"/>
      <sheetName val="サブシステム一覧_(2)"/>
      <sheetName val="表示項目_ﾘｽﾄ２"/>
      <sheetName val="step1-3_給与項目洗い出し&amp;仮マッピン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/>
      <sheetData sheetId="561" refreshError="1"/>
      <sheetData sheetId="562"/>
      <sheetData sheetId="563" refreshError="1"/>
      <sheetData sheetId="564"/>
      <sheetData sheetId="565" refreshError="1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</sheetDataSet>
  </externalBook>
</externalLink>
</file>

<file path=xl/theme/theme1.xml><?xml version="1.0" encoding="utf-8"?>
<a:theme xmlns:a="http://schemas.openxmlformats.org/drawingml/2006/main" name="JBSテンプレートテーマ_Excel">
  <a:themeElements>
    <a:clrScheme name="青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JBSテンプレート_Excel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  <a:lnDef>
      <a:spPr>
        <a:ln w="12700"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E35"/>
  <sheetViews>
    <sheetView showGridLines="0" workbookViewId="0"/>
  </sheetViews>
  <sheetFormatPr defaultColWidth="2.453125" defaultRowHeight="15" x14ac:dyDescent="0.3"/>
  <cols>
    <col min="1" max="16384" width="2.453125" style="1"/>
  </cols>
  <sheetData>
    <row r="2" spans="1:31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 x14ac:dyDescent="0.3">
      <c r="B3" s="2" t="s">
        <v>0</v>
      </c>
    </row>
    <row r="4" spans="1:31" ht="15.75" customHeight="1" x14ac:dyDescent="0.45">
      <c r="A4" s="3"/>
      <c r="B4" s="3"/>
      <c r="C4" s="3"/>
      <c r="D4" s="3"/>
      <c r="E4" s="3"/>
      <c r="F4" s="3"/>
      <c r="G4" s="3"/>
      <c r="H4" s="3"/>
      <c r="I4" s="3"/>
      <c r="J4" s="115"/>
      <c r="K4" s="115"/>
      <c r="L4" s="115"/>
    </row>
    <row r="5" spans="1:31" ht="15.75" customHeight="1" x14ac:dyDescent="0.45">
      <c r="A5" s="4"/>
      <c r="B5" s="4"/>
      <c r="C5" s="4"/>
      <c r="D5" s="4"/>
      <c r="E5" s="4"/>
      <c r="F5" s="4"/>
      <c r="G5" s="4"/>
      <c r="H5" s="4"/>
      <c r="I5" s="4"/>
      <c r="J5" s="116"/>
      <c r="K5" s="116"/>
      <c r="L5" s="116"/>
    </row>
    <row r="10" spans="1:31" x14ac:dyDescent="0.3">
      <c r="B10" s="117" t="s">
        <v>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9"/>
    </row>
    <row r="11" spans="1:31" x14ac:dyDescent="0.3"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2"/>
    </row>
    <row r="12" spans="1:31" x14ac:dyDescent="0.3">
      <c r="B12" s="120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2"/>
    </row>
    <row r="13" spans="1:31" x14ac:dyDescent="0.3">
      <c r="B13" s="120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2"/>
    </row>
    <row r="14" spans="1:31" x14ac:dyDescent="0.3">
      <c r="B14" s="123" t="s">
        <v>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5"/>
    </row>
    <row r="15" spans="1:31" x14ac:dyDescent="0.3">
      <c r="B15" s="123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5"/>
    </row>
    <row r="16" spans="1:31" x14ac:dyDescent="0.3">
      <c r="B16" s="126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8"/>
    </row>
    <row r="22" spans="2:31" x14ac:dyDescent="0.3">
      <c r="B22" s="114" t="str">
        <f ca="1">"第"&amp;IF(COUNTA(変更履歴!BE5:BH10012)=1,"",INDIRECT("変更履歴!BE"&amp;COUNTA(変更履歴!BE5:BH10012)+4))&amp;"版"</f>
        <v>第1.12版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</row>
    <row r="23" spans="2:31" x14ac:dyDescent="0.3"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</row>
    <row r="24" spans="2:31" x14ac:dyDescent="0.3">
      <c r="B24" s="129" cm="1">
        <f t="array" aca="1" ref="B24" ca="1">IF(OR(COUNTA(変更履歴!A:E)=3),"",INDIRECT("変更履歴!A"&amp;COUNTA(変更履歴!A:E)+2))</f>
        <v>45846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</row>
    <row r="25" spans="2:31" x14ac:dyDescent="0.3"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</row>
    <row r="26" spans="2:31" x14ac:dyDescent="0.3">
      <c r="B26" s="114" t="s">
        <v>3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</row>
    <row r="27" spans="2:31" x14ac:dyDescent="0.3"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</row>
    <row r="29" spans="2:31" x14ac:dyDescent="0.3">
      <c r="F29" s="145" t="s">
        <v>4</v>
      </c>
      <c r="G29" s="145"/>
      <c r="H29" s="145"/>
      <c r="I29" s="145"/>
      <c r="J29" s="145"/>
      <c r="K29" s="145"/>
      <c r="O29" s="146" t="s">
        <v>5</v>
      </c>
      <c r="P29" s="145"/>
      <c r="Q29" s="145"/>
      <c r="R29" s="145"/>
      <c r="V29" s="147" t="s">
        <v>6</v>
      </c>
      <c r="W29" s="148"/>
      <c r="X29" s="148"/>
      <c r="Y29" s="148"/>
      <c r="Z29" s="148"/>
      <c r="AA29" s="148"/>
    </row>
    <row r="30" spans="2:31" x14ac:dyDescent="0.3">
      <c r="F30" s="149">
        <v>45365</v>
      </c>
      <c r="G30" s="150"/>
      <c r="H30" s="150"/>
      <c r="I30" s="150"/>
      <c r="J30" s="150"/>
      <c r="K30" s="150"/>
      <c r="L30" s="32"/>
      <c r="N30" s="149">
        <v>45433</v>
      </c>
      <c r="O30" s="150"/>
      <c r="P30" s="150"/>
      <c r="Q30" s="150"/>
      <c r="R30" s="150"/>
      <c r="S30" s="151"/>
      <c r="V30" s="149"/>
      <c r="W30" s="150"/>
      <c r="X30" s="150"/>
      <c r="Y30" s="150"/>
      <c r="Z30" s="150"/>
      <c r="AA30" s="150"/>
      <c r="AB30" s="32"/>
    </row>
    <row r="31" spans="2:31" ht="15.75" customHeight="1" x14ac:dyDescent="0.3">
      <c r="F31" s="130" t="s">
        <v>7</v>
      </c>
      <c r="G31" s="131"/>
      <c r="H31" s="131"/>
      <c r="I31" s="131"/>
      <c r="J31" s="131"/>
      <c r="K31" s="131"/>
      <c r="L31" s="33"/>
      <c r="N31" s="136" t="s">
        <v>8</v>
      </c>
      <c r="O31" s="137"/>
      <c r="P31" s="137"/>
      <c r="Q31" s="137"/>
      <c r="R31" s="137"/>
      <c r="S31" s="138"/>
      <c r="V31" s="130"/>
      <c r="W31" s="131"/>
      <c r="X31" s="131"/>
      <c r="Y31" s="131"/>
      <c r="Z31" s="131"/>
      <c r="AA31" s="131"/>
      <c r="AB31" s="33"/>
    </row>
    <row r="32" spans="2:31" x14ac:dyDescent="0.3">
      <c r="F32" s="132"/>
      <c r="G32" s="133"/>
      <c r="H32" s="133"/>
      <c r="I32" s="133"/>
      <c r="J32" s="133"/>
      <c r="K32" s="133"/>
      <c r="L32" s="33"/>
      <c r="N32" s="139"/>
      <c r="O32" s="140"/>
      <c r="P32" s="140"/>
      <c r="Q32" s="140"/>
      <c r="R32" s="140"/>
      <c r="S32" s="141"/>
      <c r="V32" s="132"/>
      <c r="W32" s="133"/>
      <c r="X32" s="133"/>
      <c r="Y32" s="133"/>
      <c r="Z32" s="133"/>
      <c r="AA32" s="133"/>
      <c r="AB32" s="33"/>
    </row>
    <row r="33" spans="6:28" x14ac:dyDescent="0.3">
      <c r="F33" s="132"/>
      <c r="G33" s="133"/>
      <c r="H33" s="133"/>
      <c r="I33" s="133"/>
      <c r="J33" s="133"/>
      <c r="K33" s="133"/>
      <c r="L33" s="33"/>
      <c r="N33" s="139"/>
      <c r="O33" s="140"/>
      <c r="P33" s="140"/>
      <c r="Q33" s="140"/>
      <c r="R33" s="140"/>
      <c r="S33" s="141"/>
      <c r="V33" s="132"/>
      <c r="W33" s="133"/>
      <c r="X33" s="133"/>
      <c r="Y33" s="133"/>
      <c r="Z33" s="133"/>
      <c r="AA33" s="133"/>
      <c r="AB33" s="33"/>
    </row>
    <row r="34" spans="6:28" x14ac:dyDescent="0.3">
      <c r="F34" s="132"/>
      <c r="G34" s="133"/>
      <c r="H34" s="133"/>
      <c r="I34" s="133"/>
      <c r="J34" s="133"/>
      <c r="K34" s="133"/>
      <c r="L34" s="33"/>
      <c r="N34" s="139"/>
      <c r="O34" s="140"/>
      <c r="P34" s="140"/>
      <c r="Q34" s="140"/>
      <c r="R34" s="140"/>
      <c r="S34" s="141"/>
      <c r="V34" s="132"/>
      <c r="W34" s="133"/>
      <c r="X34" s="133"/>
      <c r="Y34" s="133"/>
      <c r="Z34" s="133"/>
      <c r="AA34" s="133"/>
      <c r="AB34" s="33"/>
    </row>
    <row r="35" spans="6:28" x14ac:dyDescent="0.3">
      <c r="F35" s="134"/>
      <c r="G35" s="135"/>
      <c r="H35" s="135"/>
      <c r="I35" s="135"/>
      <c r="J35" s="135"/>
      <c r="K35" s="135"/>
      <c r="L35" s="33"/>
      <c r="N35" s="142"/>
      <c r="O35" s="143"/>
      <c r="P35" s="143"/>
      <c r="Q35" s="143"/>
      <c r="R35" s="143"/>
      <c r="S35" s="144"/>
      <c r="V35" s="134"/>
      <c r="W35" s="135"/>
      <c r="X35" s="135"/>
      <c r="Y35" s="135"/>
      <c r="Z35" s="135"/>
      <c r="AA35" s="135"/>
      <c r="AB35" s="33"/>
    </row>
  </sheetData>
  <mergeCells count="15">
    <mergeCell ref="F31:K35"/>
    <mergeCell ref="N31:S35"/>
    <mergeCell ref="V31:AA35"/>
    <mergeCell ref="F29:K29"/>
    <mergeCell ref="O29:R29"/>
    <mergeCell ref="V29:AA29"/>
    <mergeCell ref="F30:K30"/>
    <mergeCell ref="N30:S30"/>
    <mergeCell ref="V30:AA30"/>
    <mergeCell ref="B26:AE27"/>
    <mergeCell ref="J4:L5"/>
    <mergeCell ref="B10:AE13"/>
    <mergeCell ref="B14:AE16"/>
    <mergeCell ref="B22:AE23"/>
    <mergeCell ref="B24:AE25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O34"/>
  <sheetViews>
    <sheetView showGridLines="0" workbookViewId="0">
      <pane ySplit="5" topLeftCell="A6" activePane="bottomLeft" state="frozen"/>
      <selection pane="bottomLeft" activeCell="F8" sqref="F8:S8"/>
    </sheetView>
  </sheetViews>
  <sheetFormatPr defaultColWidth="2.453125" defaultRowHeight="15" customHeight="1" x14ac:dyDescent="0.3"/>
  <cols>
    <col min="1" max="16384" width="2.453125" style="5"/>
  </cols>
  <sheetData>
    <row r="1" spans="1:67" s="6" customFormat="1" ht="14.1" customHeight="1" thickBot="1" x14ac:dyDescent="0.35">
      <c r="A1" s="158" t="s">
        <v>9</v>
      </c>
      <c r="B1" s="159"/>
      <c r="C1" s="159"/>
      <c r="D1" s="159"/>
      <c r="E1" s="160"/>
      <c r="F1" s="161" t="str">
        <f>表紙!B10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4" t="s">
        <v>10</v>
      </c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6"/>
      <c r="AR1" s="164" t="s">
        <v>11</v>
      </c>
      <c r="AS1" s="165"/>
      <c r="AT1" s="165"/>
      <c r="AU1" s="165"/>
      <c r="AV1" s="165"/>
      <c r="AW1" s="165"/>
      <c r="AX1" s="165"/>
      <c r="AY1" s="165"/>
      <c r="AZ1" s="166"/>
      <c r="BA1" s="164" t="s">
        <v>12</v>
      </c>
      <c r="BB1" s="165"/>
      <c r="BC1" s="165"/>
      <c r="BD1" s="165"/>
      <c r="BE1" s="165"/>
      <c r="BF1" s="165"/>
      <c r="BG1" s="165"/>
      <c r="BH1" s="166"/>
      <c r="BI1" s="5"/>
      <c r="BJ1" s="5"/>
      <c r="BK1" s="5"/>
      <c r="BL1" s="5"/>
      <c r="BM1" s="5"/>
      <c r="BN1" s="5"/>
      <c r="BO1" s="5"/>
    </row>
    <row r="2" spans="1:67" s="6" customFormat="1" ht="14.1" customHeight="1" x14ac:dyDescent="0.3">
      <c r="A2" s="167" t="s">
        <v>13</v>
      </c>
      <c r="B2" s="168"/>
      <c r="C2" s="168"/>
      <c r="D2" s="168"/>
      <c r="E2" s="169"/>
      <c r="F2" s="173" t="str">
        <f>表紙!B14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5"/>
      <c r="W2" s="179" t="str">
        <f ca="1">MID(CELL("filename",$A$1),FIND("]",CELL("filename",$A$1))+1,31)</f>
        <v>変更履歴</v>
      </c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1"/>
      <c r="AR2" s="185" t="s">
        <v>14</v>
      </c>
      <c r="AS2" s="186"/>
      <c r="AT2" s="187">
        <f>A6</f>
        <v>45365</v>
      </c>
      <c r="AU2" s="188"/>
      <c r="AV2" s="188"/>
      <c r="AW2" s="188"/>
      <c r="AX2" s="188"/>
      <c r="AY2" s="188"/>
      <c r="AZ2" s="189"/>
      <c r="BA2" s="190" t="str">
        <f>AZ6</f>
        <v>JBS加藤</v>
      </c>
      <c r="BB2" s="191"/>
      <c r="BC2" s="191"/>
      <c r="BD2" s="191"/>
      <c r="BE2" s="191"/>
      <c r="BF2" s="191"/>
      <c r="BG2" s="191"/>
      <c r="BH2" s="192"/>
      <c r="BI2" s="5"/>
      <c r="BJ2" s="5"/>
      <c r="BK2" s="5"/>
      <c r="BL2" s="5"/>
      <c r="BM2" s="5"/>
      <c r="BN2" s="5"/>
      <c r="BO2" s="5"/>
    </row>
    <row r="3" spans="1:67" s="6" customFormat="1" ht="14.1" customHeight="1" thickBot="1" x14ac:dyDescent="0.35">
      <c r="A3" s="170"/>
      <c r="B3" s="171"/>
      <c r="C3" s="171"/>
      <c r="D3" s="171"/>
      <c r="E3" s="172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8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4"/>
      <c r="AR3" s="193" t="s">
        <v>15</v>
      </c>
      <c r="AS3" s="194"/>
      <c r="AT3" s="195" cm="1">
        <f t="array" aca="1" ref="AT3" ca="1">IF(OR(COUNTA(A:E)=3),"",INDIRECT("A"&amp;COUNTA(A:E)+2))</f>
        <v>45846</v>
      </c>
      <c r="AU3" s="196"/>
      <c r="AV3" s="196"/>
      <c r="AW3" s="196"/>
      <c r="AX3" s="196"/>
      <c r="AY3" s="196"/>
      <c r="AZ3" s="197"/>
      <c r="BA3" s="198" t="str" cm="1">
        <f t="array" aca="1" ref="BA3" ca="1">IF(COUNTA(AZ5:BD100012)=1,"",INDIRECT("変更履歴!AZ"&amp;COUNTA(AZ5:BD100012)+4))</f>
        <v>JBS加藤</v>
      </c>
      <c r="BB3" s="199"/>
      <c r="BC3" s="199"/>
      <c r="BD3" s="199"/>
      <c r="BE3" s="199"/>
      <c r="BF3" s="199"/>
      <c r="BG3" s="199"/>
      <c r="BH3" s="200"/>
      <c r="BI3" s="5"/>
      <c r="BJ3" s="5"/>
      <c r="BK3" s="5"/>
      <c r="BL3" s="5"/>
      <c r="BM3" s="5"/>
      <c r="BN3" s="5"/>
      <c r="BO3" s="5"/>
    </row>
    <row r="4" spans="1:67" ht="15" customHeight="1" thickBo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</row>
    <row r="5" spans="1:67" ht="15" customHeight="1" thickBot="1" x14ac:dyDescent="0.35">
      <c r="A5" s="201" t="s">
        <v>16</v>
      </c>
      <c r="B5" s="201"/>
      <c r="C5" s="201"/>
      <c r="D5" s="201"/>
      <c r="E5" s="201"/>
      <c r="F5" s="201" t="s">
        <v>17</v>
      </c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 t="s">
        <v>18</v>
      </c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 t="s">
        <v>19</v>
      </c>
      <c r="BA5" s="201"/>
      <c r="BB5" s="201"/>
      <c r="BC5" s="201"/>
      <c r="BD5" s="201"/>
      <c r="BE5" s="201" t="s">
        <v>20</v>
      </c>
      <c r="BF5" s="201"/>
      <c r="BG5" s="201"/>
      <c r="BH5" s="201"/>
    </row>
    <row r="6" spans="1:67" ht="15" customHeight="1" x14ac:dyDescent="0.3">
      <c r="A6" s="202">
        <v>45365</v>
      </c>
      <c r="B6" s="202"/>
      <c r="C6" s="202"/>
      <c r="D6" s="202"/>
      <c r="E6" s="202"/>
      <c r="F6" s="203" t="s">
        <v>21</v>
      </c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4" t="s">
        <v>22</v>
      </c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5" t="s">
        <v>23</v>
      </c>
      <c r="BA6" s="205"/>
      <c r="BB6" s="205"/>
      <c r="BC6" s="205"/>
      <c r="BD6" s="205"/>
      <c r="BE6" s="206" t="s">
        <v>24</v>
      </c>
      <c r="BF6" s="207"/>
      <c r="BG6" s="207"/>
      <c r="BH6" s="207"/>
    </row>
    <row r="7" spans="1:67" ht="15" customHeight="1" x14ac:dyDescent="0.3">
      <c r="A7" s="152">
        <v>45433</v>
      </c>
      <c r="B7" s="152"/>
      <c r="C7" s="152"/>
      <c r="D7" s="152"/>
      <c r="E7" s="152"/>
      <c r="F7" s="153" t="s">
        <v>25</v>
      </c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5" t="s">
        <v>26</v>
      </c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6" t="s">
        <v>27</v>
      </c>
      <c r="BA7" s="156"/>
      <c r="BB7" s="156"/>
      <c r="BC7" s="156"/>
      <c r="BD7" s="156"/>
      <c r="BE7" s="157" t="s">
        <v>28</v>
      </c>
      <c r="BF7" s="157"/>
      <c r="BG7" s="157"/>
      <c r="BH7" s="157"/>
    </row>
    <row r="8" spans="1:67" ht="81" customHeight="1" x14ac:dyDescent="0.3">
      <c r="A8" s="152">
        <v>45586</v>
      </c>
      <c r="B8" s="152"/>
      <c r="C8" s="152"/>
      <c r="D8" s="152"/>
      <c r="E8" s="152"/>
      <c r="F8" s="208" t="s">
        <v>29</v>
      </c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5" t="s">
        <v>30</v>
      </c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6" t="s">
        <v>31</v>
      </c>
      <c r="BA8" s="156"/>
      <c r="BB8" s="156"/>
      <c r="BC8" s="156"/>
      <c r="BD8" s="156"/>
      <c r="BE8" s="157" t="s">
        <v>32</v>
      </c>
      <c r="BF8" s="157"/>
      <c r="BG8" s="157"/>
      <c r="BH8" s="157"/>
    </row>
    <row r="9" spans="1:67" ht="15" customHeight="1" x14ac:dyDescent="0.3">
      <c r="A9" s="152">
        <v>45586</v>
      </c>
      <c r="B9" s="152"/>
      <c r="C9" s="152"/>
      <c r="D9" s="152"/>
      <c r="E9" s="152"/>
      <c r="F9" s="153" t="s">
        <v>33</v>
      </c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5" t="s">
        <v>34</v>
      </c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6" t="s">
        <v>31</v>
      </c>
      <c r="BA9" s="156"/>
      <c r="BB9" s="156"/>
      <c r="BC9" s="156"/>
      <c r="BD9" s="156"/>
      <c r="BE9" s="157" t="s">
        <v>32</v>
      </c>
      <c r="BF9" s="157"/>
      <c r="BG9" s="157"/>
      <c r="BH9" s="157"/>
    </row>
    <row r="10" spans="1:67" ht="36" customHeight="1" x14ac:dyDescent="0.3">
      <c r="A10" s="152">
        <v>45638</v>
      </c>
      <c r="B10" s="152"/>
      <c r="C10" s="152"/>
      <c r="D10" s="152"/>
      <c r="E10" s="152"/>
      <c r="F10" s="208" t="s">
        <v>35</v>
      </c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5" t="s">
        <v>36</v>
      </c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6" t="s">
        <v>31</v>
      </c>
      <c r="BA10" s="156"/>
      <c r="BB10" s="156"/>
      <c r="BC10" s="156"/>
      <c r="BD10" s="156"/>
      <c r="BE10" s="157" t="s">
        <v>37</v>
      </c>
      <c r="BF10" s="157"/>
      <c r="BG10" s="157"/>
      <c r="BH10" s="157"/>
    </row>
    <row r="11" spans="1:67" ht="39.6" customHeight="1" x14ac:dyDescent="0.3">
      <c r="A11" s="152">
        <v>45638</v>
      </c>
      <c r="B11" s="152"/>
      <c r="C11" s="152"/>
      <c r="D11" s="152"/>
      <c r="E11" s="152"/>
      <c r="F11" s="208" t="s">
        <v>38</v>
      </c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4" t="s">
        <v>39</v>
      </c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6" t="s">
        <v>31</v>
      </c>
      <c r="BA11" s="156"/>
      <c r="BB11" s="156"/>
      <c r="BC11" s="156"/>
      <c r="BD11" s="156"/>
      <c r="BE11" s="157" t="s">
        <v>37</v>
      </c>
      <c r="BF11" s="157"/>
      <c r="BG11" s="157"/>
      <c r="BH11" s="157"/>
    </row>
    <row r="12" spans="1:67" ht="45.6" customHeight="1" x14ac:dyDescent="0.3">
      <c r="A12" s="152">
        <v>45638</v>
      </c>
      <c r="B12" s="152"/>
      <c r="C12" s="152"/>
      <c r="D12" s="152"/>
      <c r="E12" s="152"/>
      <c r="F12" s="208" t="s">
        <v>33</v>
      </c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4" t="s">
        <v>40</v>
      </c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6" t="s">
        <v>31</v>
      </c>
      <c r="BA12" s="156"/>
      <c r="BB12" s="156"/>
      <c r="BC12" s="156"/>
      <c r="BD12" s="156"/>
      <c r="BE12" s="157" t="s">
        <v>37</v>
      </c>
      <c r="BF12" s="157"/>
      <c r="BG12" s="157"/>
      <c r="BH12" s="157"/>
    </row>
    <row r="13" spans="1:67" ht="60" customHeight="1" x14ac:dyDescent="0.3">
      <c r="A13" s="152">
        <v>45649</v>
      </c>
      <c r="B13" s="152"/>
      <c r="C13" s="152"/>
      <c r="D13" s="152"/>
      <c r="E13" s="152"/>
      <c r="F13" s="208" t="s">
        <v>33</v>
      </c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4" t="s">
        <v>41</v>
      </c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6" t="s">
        <v>31</v>
      </c>
      <c r="BA13" s="156"/>
      <c r="BB13" s="156"/>
      <c r="BC13" s="156"/>
      <c r="BD13" s="156"/>
      <c r="BE13" s="157" t="s">
        <v>42</v>
      </c>
      <c r="BF13" s="157"/>
      <c r="BG13" s="157"/>
      <c r="BH13" s="157"/>
    </row>
    <row r="14" spans="1:67" ht="47.7" customHeight="1" x14ac:dyDescent="0.3">
      <c r="A14" s="152">
        <v>45652</v>
      </c>
      <c r="B14" s="152"/>
      <c r="C14" s="152"/>
      <c r="D14" s="152"/>
      <c r="E14" s="152"/>
      <c r="F14" s="153" t="s">
        <v>43</v>
      </c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4" t="s">
        <v>44</v>
      </c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209" t="s">
        <v>31</v>
      </c>
      <c r="BA14" s="210"/>
      <c r="BB14" s="210"/>
      <c r="BC14" s="210"/>
      <c r="BD14" s="211"/>
      <c r="BE14" s="212" t="s">
        <v>45</v>
      </c>
      <c r="BF14" s="213"/>
      <c r="BG14" s="213"/>
      <c r="BH14" s="214"/>
    </row>
    <row r="15" spans="1:67" ht="15" customHeight="1" x14ac:dyDescent="0.3">
      <c r="A15" s="152">
        <v>45652</v>
      </c>
      <c r="B15" s="152"/>
      <c r="C15" s="152"/>
      <c r="D15" s="152"/>
      <c r="E15" s="152"/>
      <c r="F15" s="153" t="s">
        <v>46</v>
      </c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5" t="s">
        <v>47</v>
      </c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209" t="s">
        <v>31</v>
      </c>
      <c r="BA15" s="210"/>
      <c r="BB15" s="210"/>
      <c r="BC15" s="210"/>
      <c r="BD15" s="211"/>
      <c r="BE15" s="212" t="s">
        <v>45</v>
      </c>
      <c r="BF15" s="213"/>
      <c r="BG15" s="213"/>
      <c r="BH15" s="214"/>
    </row>
    <row r="16" spans="1:67" ht="34.200000000000003" customHeight="1" x14ac:dyDescent="0.3">
      <c r="A16" s="152">
        <v>45652</v>
      </c>
      <c r="B16" s="152"/>
      <c r="C16" s="152"/>
      <c r="D16" s="152"/>
      <c r="E16" s="152"/>
      <c r="F16" s="153" t="s">
        <v>33</v>
      </c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4" t="s">
        <v>48</v>
      </c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209" t="s">
        <v>31</v>
      </c>
      <c r="BA16" s="210"/>
      <c r="BB16" s="210"/>
      <c r="BC16" s="210"/>
      <c r="BD16" s="211"/>
      <c r="BE16" s="212" t="s">
        <v>45</v>
      </c>
      <c r="BF16" s="213"/>
      <c r="BG16" s="213"/>
      <c r="BH16" s="214"/>
    </row>
    <row r="17" spans="1:60" ht="15" customHeight="1" x14ac:dyDescent="0.3">
      <c r="A17" s="152">
        <v>45679</v>
      </c>
      <c r="B17" s="152"/>
      <c r="C17" s="152"/>
      <c r="D17" s="152"/>
      <c r="E17" s="152"/>
      <c r="F17" s="153" t="s">
        <v>33</v>
      </c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5" t="s">
        <v>49</v>
      </c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209" t="s">
        <v>31</v>
      </c>
      <c r="BA17" s="210"/>
      <c r="BB17" s="210"/>
      <c r="BC17" s="210"/>
      <c r="BD17" s="211"/>
      <c r="BE17" s="212" t="s">
        <v>50</v>
      </c>
      <c r="BF17" s="213"/>
      <c r="BG17" s="213"/>
      <c r="BH17" s="214"/>
    </row>
    <row r="18" spans="1:60" ht="86.4" customHeight="1" x14ac:dyDescent="0.3">
      <c r="A18" s="152">
        <v>45747</v>
      </c>
      <c r="B18" s="152"/>
      <c r="C18" s="152"/>
      <c r="D18" s="152"/>
      <c r="E18" s="152"/>
      <c r="F18" s="208" t="s">
        <v>51</v>
      </c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4" t="s">
        <v>52</v>
      </c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6" t="s">
        <v>7</v>
      </c>
      <c r="BA18" s="156"/>
      <c r="BB18" s="156"/>
      <c r="BC18" s="156"/>
      <c r="BD18" s="156"/>
      <c r="BE18" s="157" t="s">
        <v>53</v>
      </c>
      <c r="BF18" s="157"/>
      <c r="BG18" s="157"/>
      <c r="BH18" s="157"/>
    </row>
    <row r="19" spans="1:60" ht="78.900000000000006" customHeight="1" x14ac:dyDescent="0.3">
      <c r="A19" s="152">
        <v>45747</v>
      </c>
      <c r="B19" s="152"/>
      <c r="C19" s="152"/>
      <c r="D19" s="152"/>
      <c r="E19" s="152"/>
      <c r="F19" s="208" t="s">
        <v>54</v>
      </c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5" t="s">
        <v>55</v>
      </c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6" t="s">
        <v>7</v>
      </c>
      <c r="BA19" s="156"/>
      <c r="BB19" s="156"/>
      <c r="BC19" s="156"/>
      <c r="BD19" s="156"/>
      <c r="BE19" s="157" t="s">
        <v>53</v>
      </c>
      <c r="BF19" s="157"/>
      <c r="BG19" s="157"/>
      <c r="BH19" s="157"/>
    </row>
    <row r="20" spans="1:60" ht="33.6" customHeight="1" x14ac:dyDescent="0.3">
      <c r="A20" s="152">
        <v>45751</v>
      </c>
      <c r="B20" s="152"/>
      <c r="C20" s="152"/>
      <c r="D20" s="152"/>
      <c r="E20" s="152"/>
      <c r="F20" s="153" t="s">
        <v>38</v>
      </c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4" t="s">
        <v>56</v>
      </c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6" t="s">
        <v>7</v>
      </c>
      <c r="BA20" s="156"/>
      <c r="BB20" s="156"/>
      <c r="BC20" s="156"/>
      <c r="BD20" s="156"/>
      <c r="BE20" s="157" t="s">
        <v>57</v>
      </c>
      <c r="BF20" s="157"/>
      <c r="BG20" s="157"/>
      <c r="BH20" s="157"/>
    </row>
    <row r="21" spans="1:60" ht="64.5" customHeight="1" x14ac:dyDescent="0.3">
      <c r="A21" s="152">
        <v>45751</v>
      </c>
      <c r="B21" s="152"/>
      <c r="C21" s="152"/>
      <c r="D21" s="152"/>
      <c r="E21" s="152"/>
      <c r="F21" s="208" t="s">
        <v>33</v>
      </c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4" t="s">
        <v>58</v>
      </c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6" t="s">
        <v>7</v>
      </c>
      <c r="BA21" s="156"/>
      <c r="BB21" s="156"/>
      <c r="BC21" s="156"/>
      <c r="BD21" s="156"/>
      <c r="BE21" s="157" t="s">
        <v>57</v>
      </c>
      <c r="BF21" s="157"/>
      <c r="BG21" s="157"/>
      <c r="BH21" s="157"/>
    </row>
    <row r="22" spans="1:60" ht="36.6" customHeight="1" x14ac:dyDescent="0.3">
      <c r="A22" s="152">
        <v>45751</v>
      </c>
      <c r="B22" s="152"/>
      <c r="C22" s="152"/>
      <c r="D22" s="152"/>
      <c r="E22" s="152"/>
      <c r="F22" s="153" t="s">
        <v>43</v>
      </c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4" t="s">
        <v>59</v>
      </c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6" t="s">
        <v>7</v>
      </c>
      <c r="BA22" s="156"/>
      <c r="BB22" s="156"/>
      <c r="BC22" s="156"/>
      <c r="BD22" s="156"/>
      <c r="BE22" s="157" t="s">
        <v>57</v>
      </c>
      <c r="BF22" s="157"/>
      <c r="BG22" s="157"/>
      <c r="BH22" s="157"/>
    </row>
    <row r="23" spans="1:60" ht="39.9" customHeight="1" x14ac:dyDescent="0.3">
      <c r="A23" s="152">
        <v>45757</v>
      </c>
      <c r="B23" s="152"/>
      <c r="C23" s="152"/>
      <c r="D23" s="152"/>
      <c r="E23" s="152"/>
      <c r="F23" s="153" t="s">
        <v>38</v>
      </c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4" t="s">
        <v>60</v>
      </c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6" t="s">
        <v>7</v>
      </c>
      <c r="BA23" s="156"/>
      <c r="BB23" s="156"/>
      <c r="BC23" s="156"/>
      <c r="BD23" s="156"/>
      <c r="BE23" s="157" t="s">
        <v>61</v>
      </c>
      <c r="BF23" s="157"/>
      <c r="BG23" s="157"/>
      <c r="BH23" s="157"/>
    </row>
    <row r="24" spans="1:60" ht="15" customHeight="1" x14ac:dyDescent="0.3">
      <c r="A24" s="152">
        <v>45770</v>
      </c>
      <c r="B24" s="152"/>
      <c r="C24" s="152"/>
      <c r="D24" s="152"/>
      <c r="E24" s="152"/>
      <c r="F24" s="153" t="s">
        <v>33</v>
      </c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5" t="s">
        <v>62</v>
      </c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6" t="s">
        <v>7</v>
      </c>
      <c r="BA24" s="156"/>
      <c r="BB24" s="156"/>
      <c r="BC24" s="156"/>
      <c r="BD24" s="156"/>
      <c r="BE24" s="157" t="s">
        <v>63</v>
      </c>
      <c r="BF24" s="157"/>
      <c r="BG24" s="157"/>
      <c r="BH24" s="157"/>
    </row>
    <row r="25" spans="1:60" ht="31.5" customHeight="1" x14ac:dyDescent="0.3">
      <c r="A25" s="152">
        <v>45771</v>
      </c>
      <c r="B25" s="152"/>
      <c r="C25" s="152"/>
      <c r="D25" s="152"/>
      <c r="E25" s="152"/>
      <c r="F25" s="208" t="s">
        <v>64</v>
      </c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4" t="s">
        <v>65</v>
      </c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6" t="s">
        <v>7</v>
      </c>
      <c r="BA25" s="156"/>
      <c r="BB25" s="156"/>
      <c r="BC25" s="156"/>
      <c r="BD25" s="156"/>
      <c r="BE25" s="157" t="s">
        <v>63</v>
      </c>
      <c r="BF25" s="157"/>
      <c r="BG25" s="157"/>
      <c r="BH25" s="157"/>
    </row>
    <row r="26" spans="1:60" ht="28.5" customHeight="1" x14ac:dyDescent="0.3">
      <c r="A26" s="152">
        <v>45771</v>
      </c>
      <c r="B26" s="152"/>
      <c r="C26" s="152"/>
      <c r="D26" s="152"/>
      <c r="E26" s="152"/>
      <c r="F26" s="153" t="s">
        <v>66</v>
      </c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4" t="s">
        <v>67</v>
      </c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6" t="s">
        <v>7</v>
      </c>
      <c r="BA26" s="156"/>
      <c r="BB26" s="156"/>
      <c r="BC26" s="156"/>
      <c r="BD26" s="156"/>
      <c r="BE26" s="157" t="s">
        <v>63</v>
      </c>
      <c r="BF26" s="157"/>
      <c r="BG26" s="157"/>
      <c r="BH26" s="157"/>
    </row>
    <row r="27" spans="1:60" ht="63.9" customHeight="1" x14ac:dyDescent="0.3">
      <c r="A27" s="152">
        <v>45785</v>
      </c>
      <c r="B27" s="152"/>
      <c r="C27" s="152"/>
      <c r="D27" s="152"/>
      <c r="E27" s="152"/>
      <c r="F27" s="208" t="s">
        <v>68</v>
      </c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4" t="s">
        <v>69</v>
      </c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6" t="s">
        <v>7</v>
      </c>
      <c r="BA27" s="156"/>
      <c r="BB27" s="156"/>
      <c r="BC27" s="156"/>
      <c r="BD27" s="156"/>
      <c r="BE27" s="157" t="s">
        <v>70</v>
      </c>
      <c r="BF27" s="157"/>
      <c r="BG27" s="157"/>
      <c r="BH27" s="157"/>
    </row>
    <row r="28" spans="1:60" ht="15" customHeight="1" x14ac:dyDescent="0.3">
      <c r="A28" s="152">
        <v>45785</v>
      </c>
      <c r="B28" s="152"/>
      <c r="C28" s="152"/>
      <c r="D28" s="152"/>
      <c r="E28" s="152"/>
      <c r="F28" s="153" t="s">
        <v>71</v>
      </c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5" t="s">
        <v>72</v>
      </c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6" t="s">
        <v>7</v>
      </c>
      <c r="BA28" s="156"/>
      <c r="BB28" s="156"/>
      <c r="BC28" s="156"/>
      <c r="BD28" s="156"/>
      <c r="BE28" s="157" t="s">
        <v>70</v>
      </c>
      <c r="BF28" s="157"/>
      <c r="BG28" s="157"/>
      <c r="BH28" s="157"/>
    </row>
    <row r="29" spans="1:60" ht="92.1" customHeight="1" x14ac:dyDescent="0.3">
      <c r="A29" s="152">
        <v>45840</v>
      </c>
      <c r="B29" s="152"/>
      <c r="C29" s="152"/>
      <c r="D29" s="152"/>
      <c r="E29" s="152"/>
      <c r="F29" s="153" t="s">
        <v>33</v>
      </c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4" t="s">
        <v>73</v>
      </c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6" t="s">
        <v>7</v>
      </c>
      <c r="BA29" s="156"/>
      <c r="BB29" s="156"/>
      <c r="BC29" s="156"/>
      <c r="BD29" s="156"/>
      <c r="BE29" s="157" t="s">
        <v>74</v>
      </c>
      <c r="BF29" s="157"/>
      <c r="BG29" s="157"/>
      <c r="BH29" s="157"/>
    </row>
    <row r="30" spans="1:60" ht="50.4" customHeight="1" x14ac:dyDescent="0.3">
      <c r="A30" s="152">
        <v>45840</v>
      </c>
      <c r="B30" s="152"/>
      <c r="C30" s="152"/>
      <c r="D30" s="152"/>
      <c r="E30" s="152"/>
      <c r="F30" s="153" t="s">
        <v>75</v>
      </c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4" t="s">
        <v>76</v>
      </c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6" t="s">
        <v>7</v>
      </c>
      <c r="BA30" s="156"/>
      <c r="BB30" s="156"/>
      <c r="BC30" s="156"/>
      <c r="BD30" s="156"/>
      <c r="BE30" s="157" t="s">
        <v>74</v>
      </c>
      <c r="BF30" s="157"/>
      <c r="BG30" s="157"/>
      <c r="BH30" s="157"/>
    </row>
    <row r="31" spans="1:60" ht="15" customHeight="1" x14ac:dyDescent="0.3">
      <c r="A31" s="152">
        <v>45846</v>
      </c>
      <c r="B31" s="152"/>
      <c r="C31" s="152"/>
      <c r="D31" s="152"/>
      <c r="E31" s="152"/>
      <c r="F31" s="153" t="s">
        <v>43</v>
      </c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5" t="s">
        <v>77</v>
      </c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6" t="s">
        <v>7</v>
      </c>
      <c r="BA31" s="156"/>
      <c r="BB31" s="156"/>
      <c r="BC31" s="156"/>
      <c r="BD31" s="156"/>
      <c r="BE31" s="157" t="s">
        <v>78</v>
      </c>
      <c r="BF31" s="157"/>
      <c r="BG31" s="157"/>
      <c r="BH31" s="157"/>
    </row>
    <row r="32" spans="1:60" ht="36" customHeight="1" x14ac:dyDescent="0.3">
      <c r="A32" s="152">
        <v>45846</v>
      </c>
      <c r="B32" s="152"/>
      <c r="C32" s="152"/>
      <c r="D32" s="152"/>
      <c r="E32" s="152"/>
      <c r="F32" s="153" t="s">
        <v>33</v>
      </c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4" t="s">
        <v>79</v>
      </c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6" t="s">
        <v>7</v>
      </c>
      <c r="BA32" s="156"/>
      <c r="BB32" s="156"/>
      <c r="BC32" s="156"/>
      <c r="BD32" s="156"/>
      <c r="BE32" s="157" t="s">
        <v>78</v>
      </c>
      <c r="BF32" s="157"/>
      <c r="BG32" s="157"/>
      <c r="BH32" s="157"/>
    </row>
    <row r="33" spans="1:60" ht="15" customHeight="1" x14ac:dyDescent="0.3">
      <c r="A33" s="152"/>
      <c r="B33" s="152"/>
      <c r="C33" s="152"/>
      <c r="D33" s="152"/>
      <c r="E33" s="152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6"/>
      <c r="BA33" s="156"/>
      <c r="BB33" s="156"/>
      <c r="BC33" s="156"/>
      <c r="BD33" s="156"/>
      <c r="BE33" s="157"/>
      <c r="BF33" s="157"/>
      <c r="BG33" s="157"/>
      <c r="BH33" s="157"/>
    </row>
    <row r="34" spans="1:60" ht="15" customHeight="1" thickBot="1" x14ac:dyDescent="0.35">
      <c r="A34" s="215"/>
      <c r="B34" s="215"/>
      <c r="C34" s="215"/>
      <c r="D34" s="215"/>
      <c r="E34" s="215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8"/>
      <c r="BA34" s="218"/>
      <c r="BB34" s="218"/>
      <c r="BC34" s="218"/>
      <c r="BD34" s="218"/>
      <c r="BE34" s="219"/>
      <c r="BF34" s="219"/>
      <c r="BG34" s="219"/>
      <c r="BH34" s="219"/>
    </row>
  </sheetData>
  <mergeCells count="164">
    <mergeCell ref="A31:E31"/>
    <mergeCell ref="F31:S31"/>
    <mergeCell ref="T31:AY31"/>
    <mergeCell ref="AZ31:BD31"/>
    <mergeCell ref="BE31:BH31"/>
    <mergeCell ref="A27:E27"/>
    <mergeCell ref="F27:S27"/>
    <mergeCell ref="T27:AY27"/>
    <mergeCell ref="AZ27:BD27"/>
    <mergeCell ref="BE27:BH27"/>
    <mergeCell ref="A28:E28"/>
    <mergeCell ref="F28:S28"/>
    <mergeCell ref="T28:AY28"/>
    <mergeCell ref="AZ28:BD28"/>
    <mergeCell ref="BE28:BH28"/>
    <mergeCell ref="A29:E29"/>
    <mergeCell ref="F29:S29"/>
    <mergeCell ref="T29:AY29"/>
    <mergeCell ref="AZ29:BD29"/>
    <mergeCell ref="BE29:BH29"/>
    <mergeCell ref="A30:E30"/>
    <mergeCell ref="F30:S30"/>
    <mergeCell ref="T30:AY30"/>
    <mergeCell ref="A19:E19"/>
    <mergeCell ref="F19:S19"/>
    <mergeCell ref="T19:AY19"/>
    <mergeCell ref="AZ19:BD19"/>
    <mergeCell ref="BE19:BH19"/>
    <mergeCell ref="BE21:BH21"/>
    <mergeCell ref="A22:E22"/>
    <mergeCell ref="F22:S22"/>
    <mergeCell ref="T22:AY22"/>
    <mergeCell ref="AZ22:BD22"/>
    <mergeCell ref="BE22:BH22"/>
    <mergeCell ref="BE23:BH23"/>
    <mergeCell ref="A21:E21"/>
    <mergeCell ref="F21:S21"/>
    <mergeCell ref="T21:AY21"/>
    <mergeCell ref="AZ21:BD21"/>
    <mergeCell ref="AZ30:BD30"/>
    <mergeCell ref="A24:E24"/>
    <mergeCell ref="F24:S24"/>
    <mergeCell ref="T24:AY24"/>
    <mergeCell ref="AZ24:BD24"/>
    <mergeCell ref="BE24:BH24"/>
    <mergeCell ref="A26:E26"/>
    <mergeCell ref="F26:S26"/>
    <mergeCell ref="T26:AY26"/>
    <mergeCell ref="AZ26:BD26"/>
    <mergeCell ref="BE26:BH26"/>
    <mergeCell ref="A25:E25"/>
    <mergeCell ref="F25:S25"/>
    <mergeCell ref="BE30:BH30"/>
    <mergeCell ref="T25:AY25"/>
    <mergeCell ref="AZ25:BD25"/>
    <mergeCell ref="BE25:BH25"/>
    <mergeCell ref="A18:E18"/>
    <mergeCell ref="F18:S18"/>
    <mergeCell ref="T18:AY18"/>
    <mergeCell ref="AZ18:BD18"/>
    <mergeCell ref="BE18:BH18"/>
    <mergeCell ref="A34:E34"/>
    <mergeCell ref="F34:S34"/>
    <mergeCell ref="T34:AY34"/>
    <mergeCell ref="AZ34:BD34"/>
    <mergeCell ref="BE34:BH34"/>
    <mergeCell ref="A20:E20"/>
    <mergeCell ref="F20:S20"/>
    <mergeCell ref="T20:AY20"/>
    <mergeCell ref="AZ20:BD20"/>
    <mergeCell ref="BE20:BH20"/>
    <mergeCell ref="A33:E33"/>
    <mergeCell ref="F33:S33"/>
    <mergeCell ref="T33:AY33"/>
    <mergeCell ref="AZ33:BD33"/>
    <mergeCell ref="BE33:BH33"/>
    <mergeCell ref="A23:E23"/>
    <mergeCell ref="F23:S23"/>
    <mergeCell ref="T23:AY23"/>
    <mergeCell ref="AZ23:BD23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32:E32"/>
    <mergeCell ref="F32:S32"/>
    <mergeCell ref="T32:AY32"/>
    <mergeCell ref="AZ32:BD32"/>
    <mergeCell ref="BE32:BH32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A72"/>
  <sheetViews>
    <sheetView showGridLines="0" zoomScaleNormal="100" workbookViewId="0">
      <selection sqref="A1:E1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49" width="2.453125" style="8"/>
    <col min="50" max="50" width="2.453125" style="8" customWidth="1"/>
    <col min="51" max="16384" width="2.453125" style="8"/>
  </cols>
  <sheetData>
    <row r="1" spans="1:48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48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凡例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48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48" x14ac:dyDescent="0.3">
      <c r="A4" s="23"/>
      <c r="AV4" s="9"/>
    </row>
    <row r="5" spans="1:48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s="11" customFormat="1" x14ac:dyDescent="0.3">
      <c r="A6" s="35" t="s">
        <v>81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36"/>
    </row>
    <row r="7" spans="1:48" s="11" customFormat="1" x14ac:dyDescent="0.3">
      <c r="A7" s="2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V7" s="13"/>
    </row>
    <row r="8" spans="1:48" s="11" customFormat="1" x14ac:dyDescent="0.3">
      <c r="A8" s="2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V8" s="13"/>
    </row>
    <row r="9" spans="1:48" s="11" customFormat="1" x14ac:dyDescent="0.3">
      <c r="A9" s="2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V9" s="13"/>
    </row>
    <row r="10" spans="1:48" s="11" customFormat="1" x14ac:dyDescent="0.3">
      <c r="A10" s="24"/>
      <c r="B10" s="12"/>
      <c r="C10" s="12"/>
      <c r="D10" s="12"/>
      <c r="E10" s="12"/>
      <c r="F10" s="12"/>
      <c r="H10" t="s">
        <v>82</v>
      </c>
      <c r="I10" t="s">
        <v>83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C10" t="s">
        <v>82</v>
      </c>
      <c r="AD10" t="s">
        <v>84</v>
      </c>
      <c r="AV10" s="13"/>
    </row>
    <row r="11" spans="1:48" s="11" customFormat="1" x14ac:dyDescent="0.3">
      <c r="A11" s="24"/>
      <c r="B11" s="12"/>
      <c r="C11" s="12"/>
      <c r="D11" s="12"/>
      <c r="E11" s="12"/>
      <c r="F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C11" s="12"/>
      <c r="AV11" s="13"/>
    </row>
    <row r="12" spans="1:48" s="11" customFormat="1" x14ac:dyDescent="0.3">
      <c r="A12" s="24"/>
      <c r="B12" s="12"/>
      <c r="C12" s="12"/>
      <c r="D12" s="12"/>
      <c r="E12" s="12"/>
      <c r="F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C12" s="12"/>
      <c r="AV12" s="13"/>
    </row>
    <row r="13" spans="1:48" s="11" customFormat="1" x14ac:dyDescent="0.3">
      <c r="A13" s="24"/>
      <c r="B13" s="12"/>
      <c r="C13" s="12"/>
      <c r="D13" s="12"/>
      <c r="E13" s="12"/>
      <c r="F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C13" s="12"/>
      <c r="AV13" s="13"/>
    </row>
    <row r="14" spans="1:48" s="11" customFormat="1" x14ac:dyDescent="0.3">
      <c r="A14" s="24"/>
      <c r="B14" s="12"/>
      <c r="C14" s="12"/>
      <c r="D14" s="12"/>
      <c r="E14" s="12"/>
      <c r="F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V14" s="13"/>
    </row>
    <row r="15" spans="1:48" s="11" customFormat="1" x14ac:dyDescent="0.3">
      <c r="A15" s="24"/>
      <c r="B15" s="12"/>
      <c r="C15" s="12"/>
      <c r="D15" s="12"/>
      <c r="E15" s="12"/>
      <c r="F15" s="12"/>
      <c r="H15" t="s">
        <v>82</v>
      </c>
      <c r="I15" t="s">
        <v>85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/>
      <c r="AC15" t="s">
        <v>82</v>
      </c>
      <c r="AD15" t="s">
        <v>86</v>
      </c>
      <c r="AV15" s="13"/>
    </row>
    <row r="16" spans="1:48" s="11" customFormat="1" x14ac:dyDescent="0.3">
      <c r="A16" s="24"/>
      <c r="B16" s="12"/>
      <c r="C16" s="12"/>
      <c r="D16" s="12"/>
      <c r="E16" s="12"/>
      <c r="F16" s="12"/>
      <c r="H16" s="12"/>
      <c r="I1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/>
      <c r="AV16" s="13"/>
    </row>
    <row r="17" spans="1:48" s="11" customFormat="1" x14ac:dyDescent="0.3">
      <c r="A17" s="24"/>
      <c r="B17" s="12"/>
      <c r="C17" s="12"/>
      <c r="D17" s="12"/>
      <c r="E17" s="12"/>
      <c r="F17" s="12"/>
      <c r="H17" s="12"/>
      <c r="I17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/>
      <c r="AC17"/>
      <c r="AV17" s="13"/>
    </row>
    <row r="18" spans="1:48" s="11" customFormat="1" x14ac:dyDescent="0.3">
      <c r="A18" s="24"/>
      <c r="B18" s="12"/>
      <c r="C18" s="12"/>
      <c r="D18" s="12"/>
      <c r="E18" s="12"/>
      <c r="F18" s="12"/>
      <c r="H18" s="12"/>
      <c r="I1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V18" s="13"/>
    </row>
    <row r="19" spans="1:48" s="11" customFormat="1" x14ac:dyDescent="0.3">
      <c r="A19" s="24"/>
      <c r="B19" s="12"/>
      <c r="C19" s="12"/>
      <c r="D19" s="12"/>
      <c r="E19" s="12"/>
      <c r="F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/>
      <c r="AV19" s="13"/>
    </row>
    <row r="20" spans="1:48" s="11" customFormat="1" x14ac:dyDescent="0.3">
      <c r="A20" s="24"/>
      <c r="C20" s="12"/>
      <c r="D20" s="12"/>
      <c r="E20" s="12"/>
      <c r="F20" s="12"/>
      <c r="H20" t="s">
        <v>82</v>
      </c>
      <c r="I20" t="s">
        <v>87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/>
      <c r="AC20" t="s">
        <v>82</v>
      </c>
      <c r="AD20" t="s">
        <v>88</v>
      </c>
      <c r="AV20" s="13"/>
    </row>
    <row r="21" spans="1:48" s="11" customFormat="1" x14ac:dyDescent="0.3">
      <c r="A21" s="24"/>
      <c r="B21" s="12"/>
      <c r="C21" s="12"/>
      <c r="D21" s="12"/>
      <c r="E21" s="12"/>
      <c r="F21" s="12"/>
      <c r="H21" s="12"/>
      <c r="I2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/>
      <c r="AC21"/>
      <c r="AV21" s="13"/>
    </row>
    <row r="22" spans="1:48" s="11" customFormat="1" x14ac:dyDescent="0.3">
      <c r="A22" s="24"/>
      <c r="B22" s="12"/>
      <c r="C22" s="12"/>
      <c r="D22" s="12"/>
      <c r="E22" s="12"/>
      <c r="F22" s="12"/>
      <c r="H22" s="12"/>
      <c r="I2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3"/>
    </row>
    <row r="23" spans="1:48" s="11" customFormat="1" x14ac:dyDescent="0.3">
      <c r="A23" s="24"/>
      <c r="B23" s="12"/>
      <c r="C23" s="12"/>
      <c r="D23" s="12"/>
      <c r="E23" s="12"/>
      <c r="F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/>
      <c r="AC23"/>
      <c r="AV23" s="13"/>
    </row>
    <row r="24" spans="1:48" s="11" customFormat="1" x14ac:dyDescent="0.3">
      <c r="A24" s="24"/>
      <c r="B24" s="12"/>
      <c r="C24" s="12"/>
      <c r="D24" s="12"/>
      <c r="E24" s="12"/>
      <c r="F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/>
      <c r="AV24" s="13"/>
    </row>
    <row r="25" spans="1:48" s="11" customFormat="1" x14ac:dyDescent="0.3">
      <c r="A25" s="24"/>
      <c r="B25" s="12"/>
      <c r="C25" s="12"/>
      <c r="D25" s="12"/>
      <c r="E25" s="12"/>
      <c r="F25" s="12"/>
      <c r="H25" t="s">
        <v>82</v>
      </c>
      <c r="I25" t="s">
        <v>89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C25" s="11" t="s">
        <v>82</v>
      </c>
      <c r="AD25" s="11" t="s">
        <v>90</v>
      </c>
      <c r="AV25" s="13"/>
    </row>
    <row r="26" spans="1:48" s="11" customFormat="1" x14ac:dyDescent="0.3">
      <c r="A26" s="24"/>
      <c r="B26" s="12"/>
      <c r="C26" s="12"/>
      <c r="D26" s="12"/>
      <c r="E26" s="12"/>
      <c r="F26" s="12"/>
      <c r="H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/>
      <c r="AC26"/>
      <c r="AV26" s="13"/>
    </row>
    <row r="27" spans="1:48" s="11" customFormat="1" x14ac:dyDescent="0.3">
      <c r="A27" s="24"/>
      <c r="B27" s="12"/>
      <c r="C27" s="12"/>
      <c r="D27" s="12"/>
      <c r="E27" s="12"/>
      <c r="F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/>
      <c r="AC27"/>
      <c r="AV27" s="13"/>
    </row>
    <row r="28" spans="1:48" s="11" customFormat="1" x14ac:dyDescent="0.3">
      <c r="A28" s="24"/>
      <c r="B28" s="12"/>
      <c r="C28" s="12"/>
      <c r="D28" s="12"/>
      <c r="E28" s="12"/>
      <c r="F28" s="12"/>
      <c r="H28" s="12"/>
      <c r="I2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V28" s="13"/>
    </row>
    <row r="29" spans="1:48" s="11" customFormat="1" x14ac:dyDescent="0.3">
      <c r="A29" s="24"/>
      <c r="B29" s="12"/>
      <c r="C29" s="12"/>
      <c r="D29" s="12"/>
      <c r="E29" s="12"/>
      <c r="F29" s="12"/>
      <c r="H29" s="12"/>
      <c r="I2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3"/>
    </row>
    <row r="30" spans="1:48" s="11" customFormat="1" x14ac:dyDescent="0.3">
      <c r="A30" s="24"/>
      <c r="C30" s="12"/>
      <c r="D30" s="12"/>
      <c r="E30" s="12"/>
      <c r="F30" s="12"/>
      <c r="H30" t="s">
        <v>82</v>
      </c>
      <c r="I30" t="s">
        <v>91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/>
      <c r="AC30" t="s">
        <v>82</v>
      </c>
      <c r="AD30" t="s">
        <v>92</v>
      </c>
      <c r="AV30" s="13"/>
    </row>
    <row r="31" spans="1:48" s="11" customFormat="1" x14ac:dyDescent="0.3">
      <c r="A31" s="24"/>
      <c r="C31" s="12"/>
      <c r="D31" s="12"/>
      <c r="E31" s="12"/>
      <c r="F31" s="12"/>
      <c r="H31" s="12"/>
      <c r="I3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/>
      <c r="AC31"/>
      <c r="AV31" s="13"/>
    </row>
    <row r="32" spans="1:48" x14ac:dyDescent="0.3">
      <c r="A32" s="23"/>
      <c r="I32"/>
      <c r="AA32"/>
      <c r="AC32"/>
      <c r="AV32" s="14"/>
    </row>
    <row r="33" spans="1:53" x14ac:dyDescent="0.3">
      <c r="A33" s="23"/>
      <c r="AA33"/>
      <c r="AC33"/>
      <c r="AV33" s="14"/>
    </row>
    <row r="34" spans="1:53" x14ac:dyDescent="0.3">
      <c r="A34" s="23"/>
      <c r="AC34"/>
      <c r="AD34"/>
      <c r="AV34" s="14"/>
    </row>
    <row r="35" spans="1:53" x14ac:dyDescent="0.3">
      <c r="A35" s="23"/>
      <c r="H35" t="s">
        <v>82</v>
      </c>
      <c r="I35" t="s">
        <v>93</v>
      </c>
      <c r="AA35"/>
      <c r="AC35" t="s">
        <v>82</v>
      </c>
      <c r="AD35" t="s">
        <v>94</v>
      </c>
      <c r="AV35" s="14"/>
    </row>
    <row r="36" spans="1:53" x14ac:dyDescent="0.3">
      <c r="A36" s="23"/>
      <c r="AA36"/>
      <c r="AC36"/>
      <c r="AV36" s="14"/>
    </row>
    <row r="37" spans="1:53" x14ac:dyDescent="0.3">
      <c r="A37" s="23"/>
      <c r="AA37"/>
      <c r="AC37"/>
      <c r="AV37" s="14"/>
    </row>
    <row r="38" spans="1:53" x14ac:dyDescent="0.3">
      <c r="A38" s="23"/>
      <c r="AA38"/>
      <c r="AC38"/>
      <c r="AV38" s="14"/>
    </row>
    <row r="39" spans="1:53" x14ac:dyDescent="0.3">
      <c r="A39" s="5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5"/>
    </row>
    <row r="40" spans="1:53" s="11" customFormat="1" x14ac:dyDescent="0.3">
      <c r="A40" s="35" t="s">
        <v>81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36"/>
    </row>
    <row r="41" spans="1:53" x14ac:dyDescent="0.3">
      <c r="A41" s="23"/>
      <c r="AV41" s="14"/>
    </row>
    <row r="42" spans="1:53" x14ac:dyDescent="0.3">
      <c r="A42" s="23"/>
      <c r="AV42" s="14"/>
      <c r="AY42" s="11"/>
      <c r="AZ42" s="11"/>
      <c r="BA42" s="11"/>
    </row>
    <row r="43" spans="1:53" x14ac:dyDescent="0.3">
      <c r="A43" s="23"/>
      <c r="B43" s="240" t="s">
        <v>95</v>
      </c>
      <c r="C43" s="241"/>
      <c r="D43" s="241"/>
      <c r="E43" s="241"/>
      <c r="F43" s="241"/>
      <c r="G43" s="241"/>
      <c r="H43" s="241"/>
      <c r="J43" s="8" t="s">
        <v>82</v>
      </c>
      <c r="K43" s="8" t="s">
        <v>96</v>
      </c>
      <c r="AV43" s="14"/>
      <c r="AY43" s="11"/>
      <c r="AZ43" s="11"/>
      <c r="BA43" s="11"/>
    </row>
    <row r="44" spans="1:53" x14ac:dyDescent="0.3">
      <c r="A44" s="23"/>
      <c r="B44" s="241"/>
      <c r="C44" s="241"/>
      <c r="D44" s="241"/>
      <c r="E44" s="241"/>
      <c r="F44" s="241"/>
      <c r="G44" s="241"/>
      <c r="H44" s="241"/>
      <c r="K44" s="8" t="s">
        <v>97</v>
      </c>
      <c r="AV44" s="14"/>
    </row>
    <row r="45" spans="1:53" x14ac:dyDescent="0.3">
      <c r="A45" s="23"/>
      <c r="AV45" s="14"/>
    </row>
    <row r="46" spans="1:53" x14ac:dyDescent="0.3">
      <c r="A46" s="23"/>
      <c r="B46" s="231" t="s">
        <v>95</v>
      </c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3"/>
      <c r="AV46" s="14"/>
    </row>
    <row r="47" spans="1:53" x14ac:dyDescent="0.3">
      <c r="A47" s="23"/>
      <c r="B47" s="231" t="s">
        <v>98</v>
      </c>
      <c r="C47" s="232"/>
      <c r="D47" s="232"/>
      <c r="E47" s="232"/>
      <c r="F47" s="232"/>
      <c r="G47" s="232"/>
      <c r="H47" s="233"/>
      <c r="I47" s="231" t="s">
        <v>99</v>
      </c>
      <c r="J47" s="232"/>
      <c r="K47" s="232"/>
      <c r="L47" s="232"/>
      <c r="M47" s="232"/>
      <c r="N47" s="232"/>
      <c r="O47" s="233"/>
      <c r="AV47" s="14"/>
    </row>
    <row r="48" spans="1:53" x14ac:dyDescent="0.3">
      <c r="A48" s="23"/>
      <c r="AV48" s="14"/>
    </row>
    <row r="49" spans="1:48" x14ac:dyDescent="0.3">
      <c r="A49" s="23"/>
      <c r="AV49" s="14"/>
    </row>
    <row r="50" spans="1:48" x14ac:dyDescent="0.3">
      <c r="A50" s="23"/>
      <c r="B50" s="225" t="s">
        <v>100</v>
      </c>
      <c r="C50" s="226"/>
      <c r="D50" s="226"/>
      <c r="E50" s="226"/>
      <c r="F50" s="226"/>
      <c r="G50" s="226"/>
      <c r="H50" s="227"/>
      <c r="J50" s="8" t="s">
        <v>82</v>
      </c>
      <c r="K50" s="8" t="s">
        <v>101</v>
      </c>
      <c r="AV50" s="14"/>
    </row>
    <row r="51" spans="1:48" x14ac:dyDescent="0.3">
      <c r="A51" s="23"/>
      <c r="B51" s="228"/>
      <c r="C51" s="229"/>
      <c r="D51" s="229"/>
      <c r="E51" s="229"/>
      <c r="F51" s="229"/>
      <c r="G51" s="229"/>
      <c r="H51" s="230"/>
      <c r="K51" s="8" t="s">
        <v>102</v>
      </c>
      <c r="AV51" s="14"/>
    </row>
    <row r="52" spans="1:48" x14ac:dyDescent="0.3">
      <c r="A52" s="23"/>
      <c r="AV52" s="14"/>
    </row>
    <row r="53" spans="1:48" x14ac:dyDescent="0.3">
      <c r="A53" s="23"/>
      <c r="AV53" s="14"/>
    </row>
    <row r="54" spans="1:48" x14ac:dyDescent="0.3">
      <c r="A54" s="23"/>
      <c r="B54" s="222" t="s">
        <v>92</v>
      </c>
      <c r="C54" s="223"/>
      <c r="D54" s="223"/>
      <c r="E54" s="223"/>
      <c r="F54" s="223"/>
      <c r="G54" s="223"/>
      <c r="H54" s="224"/>
      <c r="J54" s="8" t="s">
        <v>82</v>
      </c>
      <c r="K54" s="8" t="s">
        <v>103</v>
      </c>
      <c r="AV54" s="14"/>
    </row>
    <row r="55" spans="1:48" x14ac:dyDescent="0.3">
      <c r="A55" s="23"/>
      <c r="B55" s="222" t="s">
        <v>104</v>
      </c>
      <c r="C55" s="223"/>
      <c r="D55" s="223"/>
      <c r="E55" s="223"/>
      <c r="F55" s="223"/>
      <c r="G55" s="223"/>
      <c r="H55" s="224"/>
      <c r="K55" s="8" t="s">
        <v>105</v>
      </c>
      <c r="AV55" s="14"/>
    </row>
    <row r="56" spans="1:48" x14ac:dyDescent="0.3">
      <c r="A56" s="23"/>
      <c r="K56" s="8" t="s">
        <v>106</v>
      </c>
      <c r="AV56" s="14"/>
    </row>
    <row r="57" spans="1:48" x14ac:dyDescent="0.3">
      <c r="A57" s="23"/>
      <c r="AV57" s="14"/>
    </row>
    <row r="58" spans="1:48" x14ac:dyDescent="0.3">
      <c r="A58" s="23"/>
      <c r="B58" s="222" t="s">
        <v>92</v>
      </c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4"/>
      <c r="AV58" s="14"/>
    </row>
    <row r="59" spans="1:48" x14ac:dyDescent="0.3">
      <c r="A59" s="23"/>
      <c r="B59" s="222" t="s">
        <v>107</v>
      </c>
      <c r="C59" s="223"/>
      <c r="D59" s="223"/>
      <c r="E59" s="223"/>
      <c r="F59" s="223"/>
      <c r="G59" s="223"/>
      <c r="H59" s="224"/>
      <c r="I59" s="222" t="s">
        <v>108</v>
      </c>
      <c r="J59" s="223"/>
      <c r="K59" s="223"/>
      <c r="L59" s="223"/>
      <c r="M59" s="223"/>
      <c r="N59" s="223"/>
      <c r="O59" s="224"/>
      <c r="P59" s="222" t="s">
        <v>109</v>
      </c>
      <c r="Q59" s="223"/>
      <c r="R59" s="223"/>
      <c r="S59" s="223"/>
      <c r="T59" s="223"/>
      <c r="U59" s="223"/>
      <c r="V59" s="224"/>
      <c r="AV59" s="14"/>
    </row>
    <row r="60" spans="1:48" x14ac:dyDescent="0.3">
      <c r="A60" s="23"/>
      <c r="AV60" s="14"/>
    </row>
    <row r="61" spans="1:48" x14ac:dyDescent="0.3">
      <c r="A61" s="23"/>
      <c r="AV61" s="14"/>
    </row>
    <row r="62" spans="1:48" x14ac:dyDescent="0.3">
      <c r="A62" s="23"/>
      <c r="B62" s="221" t="s">
        <v>110</v>
      </c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S62" s="8" t="s">
        <v>82</v>
      </c>
      <c r="T62" s="8" t="s">
        <v>111</v>
      </c>
      <c r="AV62" s="14"/>
    </row>
    <row r="63" spans="1:48" x14ac:dyDescent="0.3">
      <c r="A63" s="23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AV63" s="14"/>
    </row>
    <row r="64" spans="1:48" x14ac:dyDescent="0.3">
      <c r="A64" s="23"/>
      <c r="AV64" s="14"/>
    </row>
    <row r="65" spans="1:48" x14ac:dyDescent="0.3">
      <c r="A65" s="23"/>
      <c r="AV65" s="14"/>
    </row>
    <row r="66" spans="1:48" x14ac:dyDescent="0.3">
      <c r="A66" s="23"/>
      <c r="B66" s="220" t="s">
        <v>112</v>
      </c>
      <c r="C66" s="221"/>
      <c r="D66" s="221"/>
      <c r="E66" s="221"/>
      <c r="F66" s="221"/>
      <c r="J66" s="8" t="s">
        <v>82</v>
      </c>
      <c r="K66" s="8" t="s">
        <v>113</v>
      </c>
      <c r="AV66" s="14"/>
    </row>
    <row r="67" spans="1:48" x14ac:dyDescent="0.3">
      <c r="A67" s="23"/>
      <c r="B67" s="221"/>
      <c r="C67" s="221"/>
      <c r="D67" s="221"/>
      <c r="E67" s="221"/>
      <c r="F67" s="221"/>
      <c r="AV67" s="14"/>
    </row>
    <row r="68" spans="1:48" x14ac:dyDescent="0.3">
      <c r="A68" s="23"/>
      <c r="AV68" s="14"/>
    </row>
    <row r="69" spans="1:48" x14ac:dyDescent="0.3">
      <c r="A69" s="23"/>
      <c r="AV69" s="14"/>
    </row>
    <row r="70" spans="1:48" x14ac:dyDescent="0.3">
      <c r="A70" s="23"/>
      <c r="B70" s="37" t="s">
        <v>114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I70" s="8" t="s">
        <v>82</v>
      </c>
      <c r="AJ70" s="8" t="s">
        <v>115</v>
      </c>
      <c r="AV70" s="14"/>
    </row>
    <row r="71" spans="1:48" x14ac:dyDescent="0.3">
      <c r="A71" s="23"/>
      <c r="AV71" s="14"/>
    </row>
    <row r="72" spans="1:48" x14ac:dyDescent="0.3">
      <c r="A72" s="5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5"/>
    </row>
  </sheetData>
  <mergeCells count="27">
    <mergeCell ref="V1:AI1"/>
    <mergeCell ref="AJ1:AP1"/>
    <mergeCell ref="AQ1:AV1"/>
    <mergeCell ref="B47:H47"/>
    <mergeCell ref="I47:O47"/>
    <mergeCell ref="V2:AI3"/>
    <mergeCell ref="AJ2:AK2"/>
    <mergeCell ref="AQ2:AV2"/>
    <mergeCell ref="AJ3:AK3"/>
    <mergeCell ref="AL3:AP3"/>
    <mergeCell ref="AQ3:AV3"/>
    <mergeCell ref="AL2:AP2"/>
    <mergeCell ref="B50:H51"/>
    <mergeCell ref="B54:H54"/>
    <mergeCell ref="A1:E1"/>
    <mergeCell ref="F1:U1"/>
    <mergeCell ref="B46:O46"/>
    <mergeCell ref="A2:E3"/>
    <mergeCell ref="F2:U3"/>
    <mergeCell ref="B43:H44"/>
    <mergeCell ref="B66:F67"/>
    <mergeCell ref="B55:H55"/>
    <mergeCell ref="B59:H59"/>
    <mergeCell ref="I59:O59"/>
    <mergeCell ref="P59:V59"/>
    <mergeCell ref="B62:Q63"/>
    <mergeCell ref="B58:V58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autoPageBreaks="0"/>
  </sheetPr>
  <dimension ref="A1:BQ138"/>
  <sheetViews>
    <sheetView showGridLines="0" zoomScale="80" zoomScaleNormal="100" workbookViewId="0">
      <pane ySplit="9" topLeftCell="A10" activePane="bottomLeft" state="frozen"/>
      <selection activeCell="AC49" sqref="AC49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16384" width="2.453125" style="8"/>
  </cols>
  <sheetData>
    <row r="1" spans="1:69" ht="15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69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1.SSJ・SEJ売上計上・請求処理 (売掛金)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69" ht="15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5" spans="1:69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69" s="11" customFormat="1" x14ac:dyDescent="0.3">
      <c r="A6" s="35" t="str">
        <f ca="1">RIGHT(CELL("filename",A1),LEN(CELL("filename",A1))-FIND("]",CELL("filename",A1)))</f>
        <v>1.SSJ・SEJ売上計上・請求処理 (売掛金)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36"/>
    </row>
    <row r="7" spans="1:69" s="11" customFormat="1" x14ac:dyDescent="0.3">
      <c r="A7" s="24"/>
      <c r="B7" s="12"/>
      <c r="C7" s="12"/>
      <c r="D7" s="12"/>
      <c r="E7" s="12"/>
      <c r="F7" s="12"/>
      <c r="G7" s="12"/>
      <c r="H7" s="12"/>
      <c r="AZ7" s="13"/>
    </row>
    <row r="8" spans="1:69" s="11" customFormat="1" x14ac:dyDescent="0.3">
      <c r="A8" s="24"/>
      <c r="B8" s="225" t="s">
        <v>116</v>
      </c>
      <c r="C8" s="226"/>
      <c r="D8" s="226"/>
      <c r="E8" s="226"/>
      <c r="F8" s="226"/>
      <c r="G8" s="226"/>
      <c r="H8" s="227"/>
      <c r="I8" s="241" t="s">
        <v>117</v>
      </c>
      <c r="J8" s="241"/>
      <c r="K8" s="241"/>
      <c r="L8" s="241"/>
      <c r="M8" s="241"/>
      <c r="N8" s="241"/>
      <c r="O8" s="241"/>
      <c r="P8" s="38" t="s">
        <v>92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39"/>
      <c r="AD8" s="221" t="s">
        <v>110</v>
      </c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0" t="s">
        <v>112</v>
      </c>
      <c r="AU8" s="221"/>
      <c r="AV8" s="221"/>
      <c r="AW8" s="221"/>
      <c r="AX8" s="221"/>
      <c r="AY8" s="221"/>
      <c r="AZ8" s="13"/>
      <c r="BB8" s="245" t="s">
        <v>118</v>
      </c>
      <c r="BC8" s="246"/>
      <c r="BD8" s="246"/>
      <c r="BE8" s="246"/>
      <c r="BF8" s="248" t="s">
        <v>119</v>
      </c>
      <c r="BG8" s="249"/>
      <c r="BH8" s="249"/>
      <c r="BI8" s="249"/>
      <c r="BJ8" s="249"/>
      <c r="BK8" s="249"/>
      <c r="BL8" s="249"/>
      <c r="BM8" s="249"/>
      <c r="BN8" s="249"/>
      <c r="BO8" s="249"/>
      <c r="BP8" s="249"/>
      <c r="BQ8" s="249"/>
    </row>
    <row r="9" spans="1:69" s="11" customFormat="1" ht="16.5" customHeight="1" x14ac:dyDescent="0.3">
      <c r="A9" s="24"/>
      <c r="B9" s="228"/>
      <c r="C9" s="229"/>
      <c r="D9" s="229"/>
      <c r="E9" s="229"/>
      <c r="F9" s="229"/>
      <c r="G9" s="229"/>
      <c r="H9" s="230"/>
      <c r="I9" s="241"/>
      <c r="J9" s="241"/>
      <c r="K9" s="241"/>
      <c r="L9" s="241"/>
      <c r="M9" s="241"/>
      <c r="N9" s="241"/>
      <c r="O9" s="241"/>
      <c r="P9" s="222" t="s">
        <v>107</v>
      </c>
      <c r="Q9" s="223"/>
      <c r="R9" s="223"/>
      <c r="S9" s="223"/>
      <c r="T9" s="223"/>
      <c r="U9" s="223"/>
      <c r="V9" s="224"/>
      <c r="W9" s="222" t="s">
        <v>109</v>
      </c>
      <c r="X9" s="223"/>
      <c r="Y9" s="223"/>
      <c r="Z9" s="223"/>
      <c r="AA9" s="223"/>
      <c r="AB9" s="223"/>
      <c r="AC9" s="224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13"/>
      <c r="BB9" s="247"/>
      <c r="BC9" s="247"/>
      <c r="BD9" s="247"/>
      <c r="BE9" s="247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</row>
    <row r="10" spans="1:69" s="11" customFormat="1" x14ac:dyDescent="0.3">
      <c r="A10" s="24"/>
      <c r="B10" s="37" t="s">
        <v>120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22"/>
      <c r="X10" s="22"/>
      <c r="Y10" s="22"/>
      <c r="Z10" s="22"/>
      <c r="AA10" s="22"/>
      <c r="AB10" s="22"/>
      <c r="AC10" s="2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40"/>
      <c r="AZ10" s="13"/>
      <c r="BB10" s="54"/>
      <c r="BC10" s="55"/>
      <c r="BD10" s="55"/>
      <c r="BE10" s="55"/>
      <c r="BF10" s="54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6"/>
    </row>
    <row r="11" spans="1:69" s="11" customFormat="1" x14ac:dyDescent="0.3">
      <c r="A11" s="24"/>
      <c r="B11" s="41"/>
      <c r="C11" s="42"/>
      <c r="D11" s="42"/>
      <c r="E11" s="42"/>
      <c r="F11" s="42"/>
      <c r="G11" s="42"/>
      <c r="H11" s="43"/>
      <c r="I11" s="44"/>
      <c r="J11" s="42"/>
      <c r="K11" s="42"/>
      <c r="L11" s="42"/>
      <c r="M11" s="42"/>
      <c r="N11" s="42"/>
      <c r="O11" s="43"/>
      <c r="P11" s="42"/>
      <c r="Q11" s="42"/>
      <c r="R11" s="42"/>
      <c r="S11" s="42"/>
      <c r="T11" s="42"/>
      <c r="U11" s="42"/>
      <c r="V11" s="43"/>
      <c r="W11" s="44"/>
      <c r="X11" s="42"/>
      <c r="Y11" s="42"/>
      <c r="Z11" s="42"/>
      <c r="AA11" s="42"/>
      <c r="AB11" s="42"/>
      <c r="AC11" s="43"/>
      <c r="AD11" s="45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4"/>
      <c r="AU11" s="42"/>
      <c r="AV11" s="42"/>
      <c r="AW11" s="42"/>
      <c r="AX11" s="42"/>
      <c r="AY11" s="43"/>
      <c r="AZ11" s="13"/>
      <c r="BB11" s="57"/>
      <c r="BF11" s="57"/>
      <c r="BQ11" s="58"/>
    </row>
    <row r="12" spans="1:69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0"/>
      <c r="Q12" s="20"/>
      <c r="R12" s="20"/>
      <c r="S12" s="20"/>
      <c r="T12" s="20"/>
      <c r="U12" s="20"/>
      <c r="V12" s="19"/>
      <c r="W12" s="27"/>
      <c r="X12" s="20"/>
      <c r="Y12" s="20"/>
      <c r="Z12" s="20"/>
      <c r="AA12" s="20"/>
      <c r="AB12" s="20"/>
      <c r="AC12" s="19"/>
      <c r="AD12" s="34"/>
      <c r="AE12" s="17" t="s">
        <v>121</v>
      </c>
      <c r="AF12" s="17" t="s">
        <v>122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27"/>
      <c r="AU12" s="20"/>
      <c r="AV12" s="20"/>
      <c r="AW12" s="20"/>
      <c r="AX12" s="20"/>
      <c r="AY12" s="19"/>
      <c r="AZ12" s="13"/>
      <c r="BB12" s="57" t="s">
        <v>123</v>
      </c>
      <c r="BF12" s="242" t="s">
        <v>124</v>
      </c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4"/>
    </row>
    <row r="13" spans="1:69" s="11" customFormat="1" x14ac:dyDescent="0.3">
      <c r="A13" s="24"/>
      <c r="B13" s="26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0"/>
      <c r="Q13" s="20"/>
      <c r="R13" s="20"/>
      <c r="S13" s="20"/>
      <c r="T13" s="20"/>
      <c r="U13" s="20"/>
      <c r="V13" s="19"/>
      <c r="W13" s="27"/>
      <c r="X13" s="20"/>
      <c r="Y13" s="20"/>
      <c r="Z13" s="20"/>
      <c r="AA13" s="20"/>
      <c r="AB13" s="20"/>
      <c r="AC13" s="19"/>
      <c r="AD13" s="34"/>
      <c r="AE13" s="17"/>
      <c r="AF13" s="17" t="s">
        <v>125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27"/>
      <c r="AU13" s="20"/>
      <c r="AV13" s="20"/>
      <c r="AW13" s="20"/>
      <c r="AX13" s="20"/>
      <c r="AY13" s="19"/>
      <c r="AZ13" s="13"/>
      <c r="BB13" s="57" t="s">
        <v>126</v>
      </c>
      <c r="BF13" s="242" t="s">
        <v>127</v>
      </c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4"/>
    </row>
    <row r="14" spans="1:69" s="11" customFormat="1" x14ac:dyDescent="0.3">
      <c r="A14" s="24"/>
      <c r="B14" s="26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0"/>
      <c r="Q14" s="20"/>
      <c r="R14" s="20"/>
      <c r="S14" s="20"/>
      <c r="T14" s="20"/>
      <c r="U14" s="20"/>
      <c r="V14" s="19"/>
      <c r="W14" s="27"/>
      <c r="X14" s="20"/>
      <c r="Y14" s="20"/>
      <c r="Z14" s="20"/>
      <c r="AA14" s="20"/>
      <c r="AB14" s="20"/>
      <c r="AC14" s="19"/>
      <c r="AD14" s="34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27"/>
      <c r="AU14" s="20"/>
      <c r="AV14" s="20"/>
      <c r="AW14" s="20"/>
      <c r="AX14" s="20"/>
      <c r="AY14" s="19"/>
      <c r="AZ14" s="13"/>
      <c r="BB14" s="57" t="s">
        <v>128</v>
      </c>
      <c r="BF14" s="57"/>
      <c r="BQ14" s="58"/>
    </row>
    <row r="15" spans="1:69" s="11" customFormat="1" x14ac:dyDescent="0.3">
      <c r="A15" s="24"/>
      <c r="B15" s="26"/>
      <c r="C15" s="20"/>
      <c r="D15" s="20"/>
      <c r="E15" s="20"/>
      <c r="F15" s="20"/>
      <c r="G15" s="20"/>
      <c r="H15" s="19"/>
      <c r="I15" s="27"/>
      <c r="J15" s="20"/>
      <c r="K15" s="20"/>
      <c r="L15" s="20"/>
      <c r="M15" s="20"/>
      <c r="N15" s="20"/>
      <c r="O15" s="19"/>
      <c r="P15" s="20"/>
      <c r="Q15" s="20"/>
      <c r="R15" s="20"/>
      <c r="S15" s="20"/>
      <c r="T15" s="20"/>
      <c r="U15" s="20"/>
      <c r="V15" s="19"/>
      <c r="W15" s="27"/>
      <c r="X15" s="20"/>
      <c r="Y15" s="20"/>
      <c r="Z15" s="20"/>
      <c r="AA15" s="20"/>
      <c r="AB15" s="20"/>
      <c r="AC15" s="19"/>
      <c r="AD15" s="34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27"/>
      <c r="AU15" s="20"/>
      <c r="AV15" s="20"/>
      <c r="AW15" s="20"/>
      <c r="AX15" s="20"/>
      <c r="AY15" s="19"/>
      <c r="AZ15" s="13"/>
      <c r="BB15" s="57"/>
      <c r="BF15" s="57"/>
      <c r="BQ15" s="58"/>
    </row>
    <row r="16" spans="1:69" s="11" customFormat="1" x14ac:dyDescent="0.3">
      <c r="A16" s="24"/>
      <c r="B16" s="26"/>
      <c r="C16" s="20"/>
      <c r="D16" s="20"/>
      <c r="E16" s="20"/>
      <c r="F16" s="20"/>
      <c r="G16" s="20"/>
      <c r="H16" s="19"/>
      <c r="I16" s="27"/>
      <c r="J16" s="20"/>
      <c r="K16" s="20"/>
      <c r="L16" s="20"/>
      <c r="M16" s="20"/>
      <c r="N16" s="20"/>
      <c r="O16" s="19"/>
      <c r="P16" s="20"/>
      <c r="Q16" s="20"/>
      <c r="R16" s="20"/>
      <c r="S16" s="20"/>
      <c r="T16" s="20"/>
      <c r="U16" s="20"/>
      <c r="V16" s="19"/>
      <c r="W16" s="29"/>
      <c r="X16"/>
      <c r="Y16"/>
      <c r="Z16"/>
      <c r="AA16"/>
      <c r="AB16"/>
      <c r="AC16" s="18"/>
      <c r="AD16" s="34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27"/>
      <c r="AU16" s="20"/>
      <c r="AV16" s="20"/>
      <c r="AW16" s="20"/>
      <c r="AX16" s="20"/>
      <c r="AY16" s="19"/>
      <c r="AZ16" s="13"/>
      <c r="BB16" s="57"/>
      <c r="BF16" s="57"/>
      <c r="BQ16" s="58"/>
    </row>
    <row r="17" spans="1:69" s="11" customFormat="1" x14ac:dyDescent="0.3">
      <c r="A17" s="24"/>
      <c r="B17" s="26"/>
      <c r="C17" s="20"/>
      <c r="D17" s="20"/>
      <c r="E17" s="20"/>
      <c r="F17" s="20"/>
      <c r="G17" s="20"/>
      <c r="H17" s="19"/>
      <c r="I17" s="27"/>
      <c r="J17" s="20"/>
      <c r="K17" s="20"/>
      <c r="L17" s="20"/>
      <c r="M17" s="20"/>
      <c r="N17" s="20"/>
      <c r="O17" s="19"/>
      <c r="P17" s="20"/>
      <c r="Q17" s="20"/>
      <c r="R17" s="20"/>
      <c r="S17" s="20"/>
      <c r="T17" s="20"/>
      <c r="U17" s="20"/>
      <c r="V17" s="19"/>
      <c r="W17" s="30"/>
      <c r="AC17" s="13"/>
      <c r="AD17" s="34"/>
      <c r="AE17" s="21" t="s">
        <v>129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27"/>
      <c r="AU17" s="20"/>
      <c r="AV17" s="20"/>
      <c r="AW17" s="20"/>
      <c r="AX17" s="20"/>
      <c r="AY17" s="19"/>
      <c r="AZ17" s="13"/>
      <c r="BB17" s="57"/>
      <c r="BF17" s="57"/>
      <c r="BQ17" s="58"/>
    </row>
    <row r="18" spans="1:69" s="11" customFormat="1" x14ac:dyDescent="0.3">
      <c r="A18" s="24"/>
      <c r="B18" s="26"/>
      <c r="C18" s="20"/>
      <c r="D18" s="20"/>
      <c r="E18" s="20"/>
      <c r="F18" s="20"/>
      <c r="G18" s="20"/>
      <c r="H18" s="19"/>
      <c r="I18" s="27"/>
      <c r="J18" s="20"/>
      <c r="K18" s="20"/>
      <c r="L18" s="20"/>
      <c r="M18" s="20"/>
      <c r="N18" s="20"/>
      <c r="O18" s="19"/>
      <c r="P18" s="20"/>
      <c r="Q18" s="20"/>
      <c r="R18" s="20"/>
      <c r="S18" s="20"/>
      <c r="T18" s="20"/>
      <c r="U18" s="20"/>
      <c r="V18" s="19"/>
      <c r="W18" s="23"/>
      <c r="X18" s="8"/>
      <c r="Y18" s="8"/>
      <c r="Z18" s="8"/>
      <c r="AA18" s="8"/>
      <c r="AB18" s="8"/>
      <c r="AC18" s="14"/>
      <c r="AD18" s="34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27"/>
      <c r="AU18" s="20"/>
      <c r="AV18" s="20"/>
      <c r="AW18" s="20"/>
      <c r="AX18" s="20"/>
      <c r="AY18" s="19"/>
      <c r="AZ18" s="14"/>
      <c r="BB18" s="57"/>
      <c r="BF18" s="57"/>
      <c r="BQ18" s="58"/>
    </row>
    <row r="19" spans="1:69" s="11" customFormat="1" x14ac:dyDescent="0.3">
      <c r="A19" s="24"/>
      <c r="B19" s="26"/>
      <c r="C19" s="20"/>
      <c r="D19" s="20"/>
      <c r="E19" s="20"/>
      <c r="F19" s="20"/>
      <c r="G19" s="20"/>
      <c r="H19" s="19"/>
      <c r="I19" s="27"/>
      <c r="J19" s="20"/>
      <c r="K19" s="20"/>
      <c r="L19" s="20"/>
      <c r="M19" s="20"/>
      <c r="N19" s="20"/>
      <c r="O19" s="19"/>
      <c r="P19" s="20"/>
      <c r="Q19" s="20"/>
      <c r="R19" s="20"/>
      <c r="S19" s="20"/>
      <c r="T19" s="20"/>
      <c r="U19" s="20"/>
      <c r="V19" s="19"/>
      <c r="W19" s="23"/>
      <c r="X19" s="8"/>
      <c r="Y19" s="8"/>
      <c r="Z19" s="8"/>
      <c r="AA19" s="8"/>
      <c r="AB19" s="8"/>
      <c r="AC19" s="14"/>
      <c r="AD19" s="34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27"/>
      <c r="AU19" s="20"/>
      <c r="AV19" s="20"/>
      <c r="AW19" s="20"/>
      <c r="AX19" s="20"/>
      <c r="AY19" s="19"/>
      <c r="AZ19" s="14"/>
      <c r="BB19" s="57"/>
      <c r="BF19" s="57"/>
      <c r="BQ19" s="58"/>
    </row>
    <row r="20" spans="1:69" s="11" customFormat="1" x14ac:dyDescent="0.3">
      <c r="A20" s="24"/>
      <c r="B20" s="26"/>
      <c r="C20" s="20"/>
      <c r="D20" s="20"/>
      <c r="E20" s="20"/>
      <c r="F20" s="20"/>
      <c r="G20" s="20"/>
      <c r="H20" s="19"/>
      <c r="I20" s="27"/>
      <c r="J20" s="20"/>
      <c r="K20" s="20"/>
      <c r="L20" s="20"/>
      <c r="M20" s="20"/>
      <c r="N20" s="20"/>
      <c r="O20" s="19"/>
      <c r="P20" s="20"/>
      <c r="Q20" s="20"/>
      <c r="R20" s="20"/>
      <c r="S20" s="20"/>
      <c r="T20" s="20"/>
      <c r="U20" s="20"/>
      <c r="V20" s="19"/>
      <c r="W20" s="23"/>
      <c r="X20" s="8"/>
      <c r="Y20" s="8"/>
      <c r="Z20" s="8"/>
      <c r="AA20" s="8"/>
      <c r="AB20" s="8"/>
      <c r="AC20" s="14"/>
      <c r="AD20" s="34"/>
      <c r="AE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27"/>
      <c r="AU20" s="20"/>
      <c r="AV20" s="20"/>
      <c r="AW20" s="20"/>
      <c r="AX20" s="20"/>
      <c r="AY20" s="19"/>
      <c r="AZ20" s="14"/>
      <c r="BB20" s="57"/>
      <c r="BF20" s="57"/>
      <c r="BQ20" s="58"/>
    </row>
    <row r="21" spans="1:69" s="11" customFormat="1" ht="13.5" customHeight="1" x14ac:dyDescent="0.3">
      <c r="A21" s="24"/>
      <c r="B21" s="28"/>
      <c r="C21" s="12"/>
      <c r="D21" s="12"/>
      <c r="E21" s="12"/>
      <c r="F21" s="12"/>
      <c r="G21" s="12"/>
      <c r="H21" s="18"/>
      <c r="I21" s="29"/>
      <c r="J21"/>
      <c r="K21"/>
      <c r="L21"/>
      <c r="M21"/>
      <c r="N21"/>
      <c r="O21" s="18"/>
      <c r="P21"/>
      <c r="Q21"/>
      <c r="R21"/>
      <c r="S21"/>
      <c r="T21"/>
      <c r="U21"/>
      <c r="V21" s="18"/>
      <c r="W21" s="23"/>
      <c r="X21" s="8"/>
      <c r="Y21" s="8"/>
      <c r="Z21" s="8"/>
      <c r="AA21" s="8"/>
      <c r="AB21" s="8"/>
      <c r="AC21" s="14"/>
      <c r="AD21" s="30"/>
      <c r="AT21" s="30"/>
      <c r="AY21" s="13"/>
      <c r="AZ21" s="14"/>
      <c r="BB21" s="57"/>
      <c r="BF21" s="57"/>
      <c r="BQ21" s="58"/>
    </row>
    <row r="22" spans="1:69" s="11" customFormat="1" x14ac:dyDescent="0.3">
      <c r="A22" s="24"/>
      <c r="B22" s="28"/>
      <c r="C22" s="12"/>
      <c r="D22" s="12"/>
      <c r="E22" s="12"/>
      <c r="F22" s="12"/>
      <c r="G22" s="12"/>
      <c r="H22" s="18"/>
      <c r="I22" s="30"/>
      <c r="O22" s="13"/>
      <c r="V22" s="18"/>
      <c r="W22" s="23"/>
      <c r="X22" s="8"/>
      <c r="Y22" s="8"/>
      <c r="Z22" s="8"/>
      <c r="AA22" s="8"/>
      <c r="AB22" s="8"/>
      <c r="AC22" s="14"/>
      <c r="AE22" s="16" t="s">
        <v>130</v>
      </c>
      <c r="AT22" s="30"/>
      <c r="AY22" s="13"/>
      <c r="AZ22" s="14"/>
      <c r="BB22" s="57"/>
      <c r="BF22" s="57"/>
      <c r="BQ22" s="58"/>
    </row>
    <row r="23" spans="1:69" x14ac:dyDescent="0.3">
      <c r="A23" s="23"/>
      <c r="B23" s="23"/>
      <c r="H23" s="14"/>
      <c r="I23" s="23"/>
      <c r="O23" s="14"/>
      <c r="V23" s="18"/>
      <c r="W23" s="23"/>
      <c r="AC23" s="14"/>
      <c r="AD23" s="30"/>
      <c r="AE23" s="11"/>
      <c r="AN23" s="11"/>
      <c r="AO23" s="11"/>
      <c r="AP23" s="11"/>
      <c r="AQ23" s="11"/>
      <c r="AR23" s="11"/>
      <c r="AS23" s="11"/>
      <c r="AT23" s="23"/>
      <c r="AY23" s="14"/>
      <c r="AZ23" s="14"/>
      <c r="BB23" s="59"/>
      <c r="BF23" s="59"/>
      <c r="BQ23" s="60"/>
    </row>
    <row r="24" spans="1:69" x14ac:dyDescent="0.3">
      <c r="A24" s="23"/>
      <c r="B24" s="23"/>
      <c r="H24" s="14"/>
      <c r="I24" s="23"/>
      <c r="O24" s="14"/>
      <c r="V24" s="18"/>
      <c r="W24" s="23"/>
      <c r="AC24" s="14"/>
      <c r="AD24" s="30"/>
      <c r="AN24" s="11"/>
      <c r="AS24" s="11"/>
      <c r="AT24" s="23"/>
      <c r="AY24" s="14"/>
      <c r="AZ24" s="14"/>
      <c r="BB24" s="59"/>
      <c r="BF24" s="59"/>
      <c r="BQ24" s="60"/>
    </row>
    <row r="25" spans="1:69" x14ac:dyDescent="0.3">
      <c r="A25" s="23"/>
      <c r="B25" s="23"/>
      <c r="H25" s="14"/>
      <c r="I25" s="23"/>
      <c r="O25" s="14"/>
      <c r="V25" s="18"/>
      <c r="W25" s="23"/>
      <c r="AC25" s="14"/>
      <c r="AD25" s="30"/>
      <c r="AN25" s="11"/>
      <c r="AS25" s="11"/>
      <c r="AT25" s="23"/>
      <c r="AY25" s="14"/>
      <c r="AZ25" s="14"/>
      <c r="BB25" s="59"/>
      <c r="BF25" s="59"/>
      <c r="BQ25" s="60"/>
    </row>
    <row r="26" spans="1:69" x14ac:dyDescent="0.3">
      <c r="A26" s="23"/>
      <c r="B26" s="23"/>
      <c r="H26" s="14"/>
      <c r="I26" s="23"/>
      <c r="O26" s="14"/>
      <c r="V26" s="18"/>
      <c r="W26" s="23"/>
      <c r="AC26" s="14"/>
      <c r="AD26" s="30"/>
      <c r="AN26" s="11"/>
      <c r="AS26" s="11"/>
      <c r="AT26" s="23"/>
      <c r="AY26" s="14"/>
      <c r="AZ26" s="14"/>
      <c r="BB26" s="59"/>
      <c r="BF26" s="59"/>
      <c r="BQ26" s="60"/>
    </row>
    <row r="27" spans="1:69" x14ac:dyDescent="0.3">
      <c r="A27" s="23"/>
      <c r="B27" s="23"/>
      <c r="H27" s="14"/>
      <c r="I27" s="23"/>
      <c r="O27" s="14"/>
      <c r="V27" s="18"/>
      <c r="W27" s="23"/>
      <c r="AC27" s="14"/>
      <c r="AD27" s="30"/>
      <c r="AN27" s="11"/>
      <c r="AS27" s="11"/>
      <c r="AT27" s="23"/>
      <c r="AY27" s="14"/>
      <c r="AZ27" s="14"/>
      <c r="BB27" s="59"/>
      <c r="BF27" s="59"/>
      <c r="BQ27" s="60"/>
    </row>
    <row r="28" spans="1:69" x14ac:dyDescent="0.3">
      <c r="A28" s="23"/>
      <c r="B28" s="23"/>
      <c r="H28" s="14"/>
      <c r="I28" s="23"/>
      <c r="O28" s="14"/>
      <c r="V28" s="18"/>
      <c r="W28" s="23"/>
      <c r="AC28" s="14"/>
      <c r="AD28" s="23"/>
      <c r="AN28" s="11"/>
      <c r="AT28" s="23"/>
      <c r="AY28" s="14"/>
      <c r="AZ28" s="14"/>
      <c r="BB28" s="59"/>
      <c r="BF28" s="59"/>
      <c r="BQ28" s="60"/>
    </row>
    <row r="29" spans="1:69" x14ac:dyDescent="0.3">
      <c r="A29" s="23"/>
      <c r="B29" s="23"/>
      <c r="H29" s="14"/>
      <c r="I29" s="23"/>
      <c r="O29" s="14"/>
      <c r="V29" s="18"/>
      <c r="W29" s="23"/>
      <c r="AC29" s="14"/>
      <c r="AD29" s="23"/>
      <c r="AN29" s="11"/>
      <c r="AT29" s="23"/>
      <c r="AY29" s="14"/>
      <c r="AZ29" s="14"/>
      <c r="BB29" s="59"/>
      <c r="BF29" s="59"/>
      <c r="BQ29" s="60"/>
    </row>
    <row r="30" spans="1:69" x14ac:dyDescent="0.3">
      <c r="A30" s="23"/>
      <c r="B30" s="23"/>
      <c r="H30" s="14"/>
      <c r="I30" s="23"/>
      <c r="O30" s="14"/>
      <c r="V30" s="18"/>
      <c r="W30" s="23"/>
      <c r="AC30" s="14"/>
      <c r="AD30" s="23"/>
      <c r="AN30" s="11"/>
      <c r="AT30" s="23"/>
      <c r="AY30" s="14"/>
      <c r="AZ30" s="14"/>
      <c r="BB30" s="59"/>
      <c r="BF30" s="59"/>
      <c r="BQ30" s="60"/>
    </row>
    <row r="31" spans="1:69" x14ac:dyDescent="0.3">
      <c r="A31" s="23"/>
      <c r="B31" s="23"/>
      <c r="H31" s="14"/>
      <c r="I31" s="23"/>
      <c r="O31" s="14"/>
      <c r="V31" s="18"/>
      <c r="W31" s="23"/>
      <c r="AC31" s="14"/>
      <c r="AD31" s="23"/>
      <c r="AN31" s="11"/>
      <c r="AT31" s="23"/>
      <c r="AY31" s="14"/>
      <c r="AZ31" s="14"/>
      <c r="BB31" s="59"/>
      <c r="BF31" s="59"/>
      <c r="BQ31" s="60"/>
    </row>
    <row r="32" spans="1:69" x14ac:dyDescent="0.3">
      <c r="A32" s="23"/>
      <c r="B32" s="23"/>
      <c r="H32" s="14"/>
      <c r="I32" s="23"/>
      <c r="O32" s="14"/>
      <c r="V32" s="18"/>
      <c r="W32" s="23"/>
      <c r="AC32" s="14"/>
      <c r="AD32" s="23"/>
      <c r="AN32" s="11"/>
      <c r="AT32" s="23"/>
      <c r="AY32" s="14"/>
      <c r="AZ32" s="14"/>
      <c r="BB32" s="59"/>
      <c r="BF32" s="59"/>
      <c r="BQ32" s="60"/>
    </row>
    <row r="33" spans="1:69" x14ac:dyDescent="0.3">
      <c r="A33" s="23"/>
      <c r="B33" s="23"/>
      <c r="H33" s="14"/>
      <c r="I33" s="23"/>
      <c r="O33" s="14"/>
      <c r="V33" s="18"/>
      <c r="W33" s="23"/>
      <c r="AC33" s="14"/>
      <c r="AD33" s="23"/>
      <c r="AE33" s="11" t="s">
        <v>131</v>
      </c>
      <c r="AF33" s="11"/>
      <c r="AG33" s="11"/>
      <c r="AN33" s="11"/>
      <c r="AT33" s="73" t="s">
        <v>132</v>
      </c>
      <c r="AY33" s="14"/>
      <c r="AZ33" s="14"/>
      <c r="BB33" s="59"/>
      <c r="BF33" s="59"/>
      <c r="BQ33" s="60"/>
    </row>
    <row r="34" spans="1:69" x14ac:dyDescent="0.3">
      <c r="A34" s="23"/>
      <c r="B34" s="23"/>
      <c r="H34" s="14"/>
      <c r="I34" s="23"/>
      <c r="O34" s="14"/>
      <c r="V34" s="18"/>
      <c r="W34" s="23"/>
      <c r="AC34" s="14"/>
      <c r="AD34" s="23"/>
      <c r="AF34" s="8" t="s">
        <v>133</v>
      </c>
      <c r="AN34" s="11"/>
      <c r="AT34" s="23" t="s">
        <v>134</v>
      </c>
      <c r="AY34" s="14"/>
      <c r="AZ34" s="14"/>
      <c r="BB34" s="59"/>
      <c r="BF34" s="59"/>
      <c r="BQ34" s="60"/>
    </row>
    <row r="35" spans="1:69" x14ac:dyDescent="0.3">
      <c r="A35" s="23"/>
      <c r="B35" s="23"/>
      <c r="H35" s="14"/>
      <c r="I35" s="23"/>
      <c r="O35" s="14"/>
      <c r="V35" s="18"/>
      <c r="W35" s="23"/>
      <c r="AC35" s="14"/>
      <c r="AD35" s="23"/>
      <c r="AF35" s="8" t="s">
        <v>135</v>
      </c>
      <c r="AN35" s="11"/>
      <c r="AT35" s="23"/>
      <c r="AU35" s="83" t="s">
        <v>136</v>
      </c>
      <c r="AY35" s="14"/>
      <c r="AZ35" s="14"/>
      <c r="BB35" s="59"/>
      <c r="BF35" s="59"/>
      <c r="BQ35" s="60"/>
    </row>
    <row r="36" spans="1:69" x14ac:dyDescent="0.3">
      <c r="A36" s="23"/>
      <c r="B36" s="23"/>
      <c r="H36" s="14"/>
      <c r="I36" s="23"/>
      <c r="O36" s="14"/>
      <c r="V36" s="18"/>
      <c r="W36" s="23"/>
      <c r="AC36" s="14"/>
      <c r="AD36" s="23"/>
      <c r="AN36" s="11"/>
      <c r="AT36" s="23"/>
      <c r="AU36" s="83" t="s">
        <v>137</v>
      </c>
      <c r="AY36" s="14"/>
      <c r="AZ36" s="14"/>
      <c r="BB36" s="59"/>
      <c r="BF36" s="59"/>
      <c r="BQ36" s="60"/>
    </row>
    <row r="37" spans="1:69" x14ac:dyDescent="0.3">
      <c r="A37" s="23"/>
      <c r="B37" s="23"/>
      <c r="H37" s="14"/>
      <c r="I37" s="23"/>
      <c r="O37" s="14"/>
      <c r="V37" s="18"/>
      <c r="W37" s="23"/>
      <c r="AC37" s="14"/>
      <c r="AD37" s="23"/>
      <c r="AE37" s="80" t="s">
        <v>121</v>
      </c>
      <c r="AF37" s="79" t="s">
        <v>138</v>
      </c>
      <c r="AN37" s="11"/>
      <c r="AT37" s="23"/>
      <c r="AY37" s="14"/>
      <c r="AZ37" s="14"/>
      <c r="BB37" s="59"/>
      <c r="BF37" s="59"/>
      <c r="BQ37" s="60"/>
    </row>
    <row r="38" spans="1:69" x14ac:dyDescent="0.3">
      <c r="A38" s="23"/>
      <c r="B38" s="23"/>
      <c r="H38" s="14"/>
      <c r="I38" s="23"/>
      <c r="O38" s="14"/>
      <c r="V38" s="18"/>
      <c r="W38" s="23"/>
      <c r="AC38" s="14"/>
      <c r="AD38" s="23"/>
      <c r="AE38" s="80"/>
      <c r="AF38" s="79" t="s">
        <v>139</v>
      </c>
      <c r="AG38" s="11"/>
      <c r="AH38" s="11"/>
      <c r="AN38" s="11"/>
      <c r="AT38" s="23"/>
      <c r="AY38" s="14"/>
      <c r="AZ38" s="14"/>
      <c r="BB38" s="59"/>
      <c r="BF38" s="59"/>
      <c r="BQ38" s="60"/>
    </row>
    <row r="39" spans="1:69" x14ac:dyDescent="0.3">
      <c r="A39" s="23"/>
      <c r="B39" s="23"/>
      <c r="H39" s="14"/>
      <c r="I39" s="23"/>
      <c r="O39" s="14"/>
      <c r="V39" s="18"/>
      <c r="W39" s="23"/>
      <c r="AC39" s="14"/>
      <c r="AD39" s="23"/>
      <c r="AE39" s="11"/>
      <c r="AN39" s="11"/>
      <c r="AT39" s="23"/>
      <c r="AY39" s="14"/>
      <c r="AZ39" s="14"/>
      <c r="BB39" s="59"/>
      <c r="BF39" s="59"/>
      <c r="BQ39" s="60"/>
    </row>
    <row r="40" spans="1:69" x14ac:dyDescent="0.3">
      <c r="A40" s="23"/>
      <c r="B40" s="23"/>
      <c r="H40" s="14"/>
      <c r="I40" s="23"/>
      <c r="O40" s="14"/>
      <c r="V40" s="18"/>
      <c r="W40" s="23"/>
      <c r="AC40" s="14"/>
      <c r="AD40" s="23"/>
      <c r="AE40" s="86" t="s">
        <v>121</v>
      </c>
      <c r="AF40" s="86" t="s">
        <v>140</v>
      </c>
      <c r="AG40" s="86"/>
      <c r="AN40" s="11"/>
      <c r="AT40" s="23"/>
      <c r="AY40" s="14"/>
      <c r="AZ40" s="14"/>
      <c r="BB40" s="59"/>
      <c r="BF40" s="59"/>
      <c r="BQ40" s="60"/>
    </row>
    <row r="41" spans="1:69" x14ac:dyDescent="0.3">
      <c r="A41" s="23"/>
      <c r="B41" s="23"/>
      <c r="H41" s="14"/>
      <c r="I41" s="23"/>
      <c r="O41" s="14"/>
      <c r="V41" s="18"/>
      <c r="W41" s="23"/>
      <c r="AC41" s="14"/>
      <c r="AD41" s="23"/>
      <c r="AE41" s="86"/>
      <c r="AF41" s="86" t="s">
        <v>141</v>
      </c>
      <c r="AG41" s="86"/>
      <c r="AN41" s="11"/>
      <c r="AT41" s="23"/>
      <c r="AY41" s="14"/>
      <c r="AZ41" s="14"/>
      <c r="BB41" s="59"/>
      <c r="BF41" s="59"/>
      <c r="BQ41" s="60"/>
    </row>
    <row r="42" spans="1:69" x14ac:dyDescent="0.3">
      <c r="A42" s="23"/>
      <c r="B42" s="23"/>
      <c r="H42" s="14"/>
      <c r="I42" s="23"/>
      <c r="O42" s="14"/>
      <c r="V42" s="18"/>
      <c r="W42" s="23"/>
      <c r="AC42" s="14"/>
      <c r="AD42" s="23"/>
      <c r="AE42" s="11"/>
      <c r="AN42" s="11"/>
      <c r="AT42" s="23"/>
      <c r="AY42" s="14"/>
      <c r="AZ42" s="14"/>
      <c r="BB42" s="59"/>
      <c r="BF42" s="59"/>
      <c r="BQ42" s="60"/>
    </row>
    <row r="43" spans="1:69" x14ac:dyDescent="0.3">
      <c r="A43" s="23"/>
      <c r="B43" s="23"/>
      <c r="H43" s="14"/>
      <c r="I43" s="23"/>
      <c r="O43" s="14"/>
      <c r="V43" s="18"/>
      <c r="W43" s="23"/>
      <c r="AC43" s="14"/>
      <c r="AD43" s="23"/>
      <c r="AE43" s="11"/>
      <c r="AT43" s="23"/>
      <c r="AY43" s="14"/>
      <c r="AZ43" s="14"/>
      <c r="BB43" s="59"/>
      <c r="BF43" s="59"/>
      <c r="BQ43" s="60"/>
    </row>
    <row r="44" spans="1:69" x14ac:dyDescent="0.3">
      <c r="A44" s="23"/>
      <c r="B44" s="23"/>
      <c r="H44" s="14"/>
      <c r="I44" s="23"/>
      <c r="O44" s="14"/>
      <c r="V44" s="18"/>
      <c r="W44" s="23"/>
      <c r="AC44" s="14"/>
      <c r="AD44" s="23"/>
      <c r="AE44" s="11"/>
      <c r="AT44" s="23"/>
      <c r="AY44" s="14"/>
      <c r="AZ44" s="14"/>
      <c r="BB44" s="59"/>
      <c r="BF44" s="59"/>
      <c r="BQ44" s="60"/>
    </row>
    <row r="45" spans="1:69" x14ac:dyDescent="0.3">
      <c r="A45" s="23"/>
      <c r="B45" s="23"/>
      <c r="H45" s="14"/>
      <c r="I45" s="23"/>
      <c r="O45" s="14"/>
      <c r="V45" s="18"/>
      <c r="W45" s="23"/>
      <c r="AC45" s="14"/>
      <c r="AD45" s="23"/>
      <c r="AE45" s="11"/>
      <c r="AT45" s="23"/>
      <c r="AY45" s="14"/>
      <c r="AZ45" s="14"/>
      <c r="BB45" s="59"/>
      <c r="BF45" s="59"/>
      <c r="BQ45" s="60"/>
    </row>
    <row r="46" spans="1:69" x14ac:dyDescent="0.3">
      <c r="A46" s="23"/>
      <c r="B46" s="23"/>
      <c r="H46" s="14"/>
      <c r="I46" s="23"/>
      <c r="O46" s="14"/>
      <c r="V46" s="18"/>
      <c r="W46" s="23"/>
      <c r="AC46" s="14"/>
      <c r="AD46" s="23"/>
      <c r="AE46" s="11"/>
      <c r="AT46" s="23"/>
      <c r="AY46" s="14"/>
      <c r="AZ46" s="14"/>
      <c r="BB46" s="59"/>
      <c r="BF46" s="59"/>
      <c r="BQ46" s="60"/>
    </row>
    <row r="47" spans="1:69" x14ac:dyDescent="0.3">
      <c r="A47" s="23"/>
      <c r="B47" s="23"/>
      <c r="H47" s="14"/>
      <c r="I47" s="23"/>
      <c r="O47" s="14"/>
      <c r="V47" s="18"/>
      <c r="W47" s="23"/>
      <c r="AC47" s="14"/>
      <c r="AD47" s="23"/>
      <c r="AE47" s="11"/>
      <c r="AT47" s="23"/>
      <c r="AY47" s="14"/>
      <c r="AZ47" s="14"/>
      <c r="BB47" s="59"/>
      <c r="BF47" s="59"/>
      <c r="BQ47" s="60"/>
    </row>
    <row r="48" spans="1:69" x14ac:dyDescent="0.3">
      <c r="A48" s="23"/>
      <c r="B48" s="23"/>
      <c r="H48" s="14"/>
      <c r="I48" s="23"/>
      <c r="O48" s="14"/>
      <c r="V48" s="18"/>
      <c r="W48" s="23"/>
      <c r="AC48" s="14"/>
      <c r="AD48" s="23"/>
      <c r="AE48" s="11"/>
      <c r="AT48" s="23"/>
      <c r="AY48" s="14"/>
      <c r="AZ48" s="14"/>
      <c r="BB48" s="59"/>
      <c r="BF48" s="59"/>
      <c r="BQ48" s="60"/>
    </row>
    <row r="49" spans="1:69" x14ac:dyDescent="0.3">
      <c r="A49" s="23"/>
      <c r="B49" s="23"/>
      <c r="H49" s="14"/>
      <c r="I49" s="23"/>
      <c r="O49" s="14"/>
      <c r="V49" s="18"/>
      <c r="W49" s="23"/>
      <c r="AC49" s="14"/>
      <c r="AD49" s="23"/>
      <c r="AE49" s="11"/>
      <c r="AN49" s="11"/>
      <c r="AT49" s="23"/>
      <c r="AY49" s="14"/>
      <c r="AZ49" s="14"/>
      <c r="BB49" s="59"/>
      <c r="BF49" s="59"/>
      <c r="BQ49" s="60"/>
    </row>
    <row r="50" spans="1:69" x14ac:dyDescent="0.3">
      <c r="A50" s="23"/>
      <c r="B50" s="23"/>
      <c r="H50" s="14"/>
      <c r="I50" s="23"/>
      <c r="O50" s="14"/>
      <c r="V50" s="18"/>
      <c r="W50" s="23"/>
      <c r="AC50" s="14"/>
      <c r="AD50" s="2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T50" s="23"/>
      <c r="AY50" s="14"/>
      <c r="AZ50" s="14"/>
      <c r="BB50" s="59"/>
      <c r="BF50" s="59"/>
      <c r="BQ50" s="60"/>
    </row>
    <row r="51" spans="1:69" x14ac:dyDescent="0.3">
      <c r="A51" s="23"/>
      <c r="B51" s="23"/>
      <c r="H51" s="14"/>
      <c r="I51" s="23"/>
      <c r="O51" s="14"/>
      <c r="V51" s="18"/>
      <c r="W51" s="23"/>
      <c r="AC51" s="14"/>
      <c r="AD51" s="2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T51" s="23"/>
      <c r="AY51" s="14"/>
      <c r="AZ51" s="14"/>
      <c r="BB51" s="59"/>
      <c r="BF51" s="59"/>
      <c r="BQ51" s="60"/>
    </row>
    <row r="52" spans="1:69" x14ac:dyDescent="0.3">
      <c r="A52" s="23"/>
      <c r="B52" s="23"/>
      <c r="H52" s="14"/>
      <c r="I52" s="23"/>
      <c r="O52" s="14"/>
      <c r="V52" s="18"/>
      <c r="W52" s="23"/>
      <c r="AC52" s="14"/>
      <c r="AD52" s="23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T52" s="23"/>
      <c r="AY52" s="14"/>
      <c r="AZ52" s="14"/>
      <c r="BB52" s="59"/>
      <c r="BF52" s="59"/>
      <c r="BQ52" s="60"/>
    </row>
    <row r="53" spans="1:69" x14ac:dyDescent="0.3">
      <c r="A53" s="23"/>
      <c r="B53" s="23"/>
      <c r="H53" s="14"/>
      <c r="I53" s="23"/>
      <c r="O53" s="14"/>
      <c r="V53" s="18"/>
      <c r="W53" s="23"/>
      <c r="AC53" s="14"/>
      <c r="AD53" s="23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T53" s="23"/>
      <c r="AY53" s="14"/>
      <c r="AZ53" s="14"/>
      <c r="BB53" s="59"/>
      <c r="BF53" s="59"/>
      <c r="BQ53" s="60"/>
    </row>
    <row r="54" spans="1:69" x14ac:dyDescent="0.3">
      <c r="A54" s="23"/>
      <c r="B54" s="23"/>
      <c r="H54" s="14"/>
      <c r="I54" s="23"/>
      <c r="O54" s="14"/>
      <c r="V54" s="18"/>
      <c r="W54" s="23"/>
      <c r="AC54" s="14"/>
      <c r="AD54" s="23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T54" s="23"/>
      <c r="AY54" s="14"/>
      <c r="AZ54" s="14"/>
      <c r="BB54" s="59"/>
      <c r="BF54" s="59"/>
      <c r="BQ54" s="60"/>
    </row>
    <row r="55" spans="1:69" x14ac:dyDescent="0.3">
      <c r="A55" s="23"/>
      <c r="B55" s="23"/>
      <c r="H55" s="14"/>
      <c r="I55" s="23"/>
      <c r="O55" s="14"/>
      <c r="V55" s="18"/>
      <c r="W55" s="23"/>
      <c r="AC55" s="14"/>
      <c r="AD55" s="23"/>
      <c r="AT55" s="23"/>
      <c r="AY55" s="14"/>
      <c r="AZ55" s="14"/>
      <c r="BB55" s="59"/>
      <c r="BF55" s="59"/>
      <c r="BQ55" s="60"/>
    </row>
    <row r="56" spans="1:69" x14ac:dyDescent="0.3">
      <c r="A56" s="23"/>
      <c r="B56" s="50"/>
      <c r="C56" s="10"/>
      <c r="D56" s="10"/>
      <c r="E56" s="10"/>
      <c r="F56" s="10"/>
      <c r="G56" s="10"/>
      <c r="H56" s="15"/>
      <c r="I56" s="50"/>
      <c r="J56" s="10"/>
      <c r="K56" s="10"/>
      <c r="L56" s="10"/>
      <c r="M56" s="10"/>
      <c r="N56" s="10"/>
      <c r="O56" s="15"/>
      <c r="P56" s="10"/>
      <c r="Q56" s="10"/>
      <c r="R56" s="10"/>
      <c r="S56" s="10"/>
      <c r="T56" s="10"/>
      <c r="U56" s="10"/>
      <c r="V56" s="18"/>
      <c r="W56" s="23"/>
      <c r="AC56" s="14"/>
      <c r="AD56" s="5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50"/>
      <c r="AU56" s="10"/>
      <c r="AV56" s="10"/>
      <c r="AW56" s="10"/>
      <c r="AX56" s="10"/>
      <c r="AY56" s="15"/>
      <c r="AZ56" s="14"/>
      <c r="BB56" s="59"/>
      <c r="BF56" s="59"/>
      <c r="BQ56" s="60"/>
    </row>
    <row r="57" spans="1:69" ht="13.5" customHeight="1" x14ac:dyDescent="0.3">
      <c r="A57" s="23"/>
      <c r="B57" s="37" t="s">
        <v>142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22"/>
      <c r="X57" s="22"/>
      <c r="Y57" s="22"/>
      <c r="Z57" s="22"/>
      <c r="AA57" s="22"/>
      <c r="AB57" s="22"/>
      <c r="AC57" s="2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40"/>
      <c r="AZ57" s="14"/>
      <c r="BB57" s="59"/>
      <c r="BF57" s="59"/>
      <c r="BQ57" s="60"/>
    </row>
    <row r="58" spans="1:69" x14ac:dyDescent="0.3">
      <c r="A58" s="23"/>
      <c r="B58" s="23"/>
      <c r="H58" s="14"/>
      <c r="I58" s="23"/>
      <c r="O58" s="49"/>
      <c r="P58" s="47"/>
      <c r="W58" s="23"/>
      <c r="AC58" s="14"/>
      <c r="AD58" s="23"/>
      <c r="AT58" s="23"/>
      <c r="AY58" s="14"/>
      <c r="AZ58" s="14"/>
      <c r="BB58" s="59"/>
      <c r="BF58" s="59"/>
      <c r="BQ58" s="60"/>
    </row>
    <row r="59" spans="1:69" x14ac:dyDescent="0.3">
      <c r="A59" s="23"/>
      <c r="B59" s="23"/>
      <c r="H59" s="14"/>
      <c r="I59" s="23"/>
      <c r="O59" s="14"/>
      <c r="P59" s="23"/>
      <c r="W59" s="23"/>
      <c r="AC59" s="14"/>
      <c r="AD59" s="23"/>
      <c r="AT59" s="23"/>
      <c r="AY59" s="14"/>
      <c r="AZ59" s="14"/>
      <c r="BB59" s="59"/>
      <c r="BF59" s="59"/>
      <c r="BQ59" s="60"/>
    </row>
    <row r="60" spans="1:69" x14ac:dyDescent="0.3">
      <c r="A60" s="23"/>
      <c r="B60" s="23"/>
      <c r="H60" s="14"/>
      <c r="I60" s="23"/>
      <c r="O60" s="14"/>
      <c r="P60" s="23"/>
      <c r="W60" s="23"/>
      <c r="AC60" s="14"/>
      <c r="AD60" s="23"/>
      <c r="AT60" s="23"/>
      <c r="AY60" s="14"/>
      <c r="AZ60" s="14"/>
      <c r="BB60" s="59"/>
      <c r="BF60" s="59"/>
      <c r="BQ60" s="60"/>
    </row>
    <row r="61" spans="1:69" x14ac:dyDescent="0.3">
      <c r="A61" s="23"/>
      <c r="B61" s="23"/>
      <c r="H61" s="14"/>
      <c r="I61" s="23"/>
      <c r="O61" s="14"/>
      <c r="P61" s="23"/>
      <c r="W61" s="23"/>
      <c r="AC61" s="14"/>
      <c r="AD61" s="23"/>
      <c r="AT61" s="23"/>
      <c r="AY61" s="14"/>
      <c r="AZ61" s="14"/>
      <c r="BB61" s="59"/>
      <c r="BF61" s="59"/>
      <c r="BQ61" s="60"/>
    </row>
    <row r="62" spans="1:69" x14ac:dyDescent="0.3">
      <c r="A62" s="23"/>
      <c r="B62" s="23"/>
      <c r="H62" s="14"/>
      <c r="I62" s="23"/>
      <c r="O62" s="14"/>
      <c r="P62" s="23"/>
      <c r="W62" s="23"/>
      <c r="AC62" s="14"/>
      <c r="AD62" s="23"/>
      <c r="AT62" s="23"/>
      <c r="AY62" s="14"/>
      <c r="AZ62" s="14"/>
      <c r="BB62" s="59"/>
      <c r="BF62" s="59"/>
      <c r="BQ62" s="60"/>
    </row>
    <row r="63" spans="1:69" x14ac:dyDescent="0.3">
      <c r="A63" s="23"/>
      <c r="B63" s="23"/>
      <c r="H63" s="14"/>
      <c r="I63" s="23"/>
      <c r="O63" s="14"/>
      <c r="W63" s="23"/>
      <c r="AC63" s="14"/>
      <c r="AD63" s="23"/>
      <c r="AE63" s="21" t="s">
        <v>143</v>
      </c>
      <c r="AT63" s="23"/>
      <c r="AY63" s="14"/>
      <c r="AZ63" s="14"/>
      <c r="BB63" s="59"/>
      <c r="BF63" s="59"/>
      <c r="BQ63" s="60"/>
    </row>
    <row r="64" spans="1:69" x14ac:dyDescent="0.3">
      <c r="A64" s="23"/>
      <c r="B64" s="23"/>
      <c r="H64" s="14"/>
      <c r="I64" s="23"/>
      <c r="O64" s="14"/>
      <c r="W64" s="23"/>
      <c r="AC64" s="14"/>
      <c r="AD64" s="23"/>
      <c r="AT64" s="23"/>
      <c r="AY64" s="14"/>
      <c r="AZ64" s="14"/>
      <c r="BB64" s="59"/>
      <c r="BF64" s="59"/>
      <c r="BQ64" s="60"/>
    </row>
    <row r="65" spans="1:69" x14ac:dyDescent="0.3">
      <c r="A65" s="23"/>
      <c r="B65" s="23"/>
      <c r="H65" s="14"/>
      <c r="I65" s="23"/>
      <c r="O65" s="14"/>
      <c r="W65" s="23"/>
      <c r="AC65" s="14"/>
      <c r="AD65" s="23"/>
      <c r="AT65" s="23"/>
      <c r="AY65" s="14"/>
      <c r="AZ65" s="14"/>
      <c r="BB65" s="59"/>
      <c r="BF65" s="59"/>
      <c r="BQ65" s="60"/>
    </row>
    <row r="66" spans="1:69" x14ac:dyDescent="0.3">
      <c r="A66" s="23"/>
      <c r="B66" s="23"/>
      <c r="H66" s="14"/>
      <c r="I66" s="23"/>
      <c r="O66" s="14"/>
      <c r="W66" s="23"/>
      <c r="AC66" s="14"/>
      <c r="AD66" s="23"/>
      <c r="AT66" s="23"/>
      <c r="AY66" s="14"/>
      <c r="AZ66" s="14"/>
      <c r="BB66" s="59"/>
      <c r="BF66" s="59"/>
      <c r="BQ66" s="60"/>
    </row>
    <row r="67" spans="1:69" x14ac:dyDescent="0.3">
      <c r="A67" s="23"/>
      <c r="B67" s="23"/>
      <c r="H67" s="14"/>
      <c r="I67" s="23"/>
      <c r="O67" s="14"/>
      <c r="W67" s="23"/>
      <c r="AC67" s="14"/>
      <c r="AD67" s="23"/>
      <c r="AT67" s="23"/>
      <c r="AY67" s="14"/>
      <c r="AZ67" s="14"/>
      <c r="BB67" s="59"/>
      <c r="BF67" s="59"/>
      <c r="BQ67" s="60"/>
    </row>
    <row r="68" spans="1:69" x14ac:dyDescent="0.3">
      <c r="A68" s="23"/>
      <c r="B68" s="23"/>
      <c r="H68" s="14"/>
      <c r="I68" s="23"/>
      <c r="O68" s="14"/>
      <c r="W68" s="23"/>
      <c r="AC68" s="14"/>
      <c r="AD68" s="23"/>
      <c r="AT68" s="23"/>
      <c r="AY68" s="14"/>
      <c r="AZ68" s="14"/>
      <c r="BB68" s="59"/>
      <c r="BF68" s="59"/>
      <c r="BQ68" s="60"/>
    </row>
    <row r="69" spans="1:69" x14ac:dyDescent="0.3">
      <c r="A69" s="23"/>
      <c r="B69" s="23"/>
      <c r="H69" s="14"/>
      <c r="I69" s="23"/>
      <c r="O69" s="14"/>
      <c r="W69" s="23"/>
      <c r="AC69" s="14"/>
      <c r="AD69" s="23"/>
      <c r="AE69" s="21" t="s">
        <v>144</v>
      </c>
      <c r="AT69" s="23"/>
      <c r="AY69" s="14"/>
      <c r="AZ69" s="14"/>
      <c r="BB69" s="59"/>
      <c r="BF69" s="59"/>
      <c r="BQ69" s="60"/>
    </row>
    <row r="70" spans="1:69" x14ac:dyDescent="0.3">
      <c r="A70" s="23"/>
      <c r="B70" s="23"/>
      <c r="H70" s="14"/>
      <c r="I70" s="23"/>
      <c r="O70" s="14"/>
      <c r="W70" s="23"/>
      <c r="AC70" s="14"/>
      <c r="AD70" s="23"/>
      <c r="AF70" s="8" t="s">
        <v>145</v>
      </c>
      <c r="AT70" s="23"/>
      <c r="AY70" s="14"/>
      <c r="AZ70" s="14"/>
      <c r="BB70" s="59"/>
      <c r="BF70" s="59"/>
      <c r="BQ70" s="60"/>
    </row>
    <row r="71" spans="1:69" x14ac:dyDescent="0.3">
      <c r="A71" s="23"/>
      <c r="B71" s="23"/>
      <c r="H71" s="14"/>
      <c r="I71" s="23"/>
      <c r="O71" s="14"/>
      <c r="W71" s="23"/>
      <c r="AC71" s="14"/>
      <c r="AD71" s="23"/>
      <c r="AT71" s="23"/>
      <c r="AY71" s="14"/>
      <c r="AZ71" s="14"/>
      <c r="BB71" s="59"/>
      <c r="BF71" s="59"/>
      <c r="BQ71" s="60"/>
    </row>
    <row r="72" spans="1:69" x14ac:dyDescent="0.3">
      <c r="A72" s="23"/>
      <c r="B72" s="23"/>
      <c r="H72" s="14"/>
      <c r="I72" s="23"/>
      <c r="O72" s="14"/>
      <c r="W72" s="23"/>
      <c r="AC72" s="14"/>
      <c r="AD72" s="23"/>
      <c r="AT72" s="23"/>
      <c r="AY72" s="14"/>
      <c r="AZ72" s="14"/>
      <c r="BB72" s="59"/>
      <c r="BF72" s="59"/>
      <c r="BQ72" s="60"/>
    </row>
    <row r="73" spans="1:69" x14ac:dyDescent="0.3">
      <c r="A73" s="23"/>
      <c r="B73" s="23"/>
      <c r="H73" s="14"/>
      <c r="I73" s="23"/>
      <c r="O73" s="14"/>
      <c r="W73" s="23"/>
      <c r="AC73" s="14"/>
      <c r="AD73" s="23"/>
      <c r="AT73" s="23"/>
      <c r="AY73" s="14"/>
      <c r="AZ73" s="14"/>
      <c r="BB73" s="59"/>
      <c r="BF73" s="59"/>
      <c r="BQ73" s="60"/>
    </row>
    <row r="74" spans="1:69" x14ac:dyDescent="0.3">
      <c r="A74" s="23"/>
      <c r="B74" s="23"/>
      <c r="H74" s="14"/>
      <c r="I74" s="23"/>
      <c r="O74" s="14"/>
      <c r="W74" s="23"/>
      <c r="AC74" s="14"/>
      <c r="AD74" s="23"/>
      <c r="AT74" s="23"/>
      <c r="AY74" s="14"/>
      <c r="AZ74" s="14"/>
      <c r="BB74" s="59"/>
      <c r="BF74" s="59"/>
      <c r="BQ74" s="60"/>
    </row>
    <row r="75" spans="1:69" x14ac:dyDescent="0.3">
      <c r="A75" s="23"/>
      <c r="B75" s="23"/>
      <c r="H75" s="14"/>
      <c r="I75" s="23"/>
      <c r="O75" s="14"/>
      <c r="W75" s="23"/>
      <c r="AC75" s="14"/>
      <c r="AD75" s="23"/>
      <c r="AE75" s="21" t="s">
        <v>146</v>
      </c>
      <c r="AT75" s="23"/>
      <c r="AY75" s="14"/>
      <c r="AZ75" s="14"/>
      <c r="BB75" s="59"/>
      <c r="BF75" s="59"/>
      <c r="BQ75" s="60"/>
    </row>
    <row r="76" spans="1:69" x14ac:dyDescent="0.3">
      <c r="A76" s="23"/>
      <c r="B76" s="23"/>
      <c r="H76" s="14"/>
      <c r="I76" s="23"/>
      <c r="O76" s="14"/>
      <c r="W76" s="23"/>
      <c r="AC76" s="14"/>
      <c r="AD76" s="23"/>
      <c r="AF76" s="8" t="s">
        <v>147</v>
      </c>
      <c r="AT76" s="23"/>
      <c r="AY76" s="14"/>
      <c r="AZ76" s="14"/>
      <c r="BB76" s="59"/>
      <c r="BF76" s="59"/>
      <c r="BQ76" s="60"/>
    </row>
    <row r="77" spans="1:69" x14ac:dyDescent="0.3">
      <c r="A77" s="23"/>
      <c r="B77" s="23"/>
      <c r="H77" s="14"/>
      <c r="I77" s="23"/>
      <c r="O77" s="14"/>
      <c r="W77" s="23"/>
      <c r="AC77" s="14"/>
      <c r="AD77" s="23"/>
      <c r="AT77" s="23"/>
      <c r="AY77" s="14"/>
      <c r="AZ77" s="14"/>
      <c r="BB77" s="59"/>
      <c r="BF77" s="59"/>
      <c r="BQ77" s="60"/>
    </row>
    <row r="78" spans="1:69" x14ac:dyDescent="0.3">
      <c r="A78" s="23"/>
      <c r="B78" s="23"/>
      <c r="H78" s="14"/>
      <c r="I78" s="23"/>
      <c r="O78" s="14"/>
      <c r="W78" s="23"/>
      <c r="AC78" s="14"/>
      <c r="AD78" s="23"/>
      <c r="AT78" s="23"/>
      <c r="AY78" s="14"/>
      <c r="AZ78" s="14"/>
      <c r="BB78" s="59"/>
      <c r="BF78" s="59"/>
      <c r="BQ78" s="60"/>
    </row>
    <row r="79" spans="1:69" x14ac:dyDescent="0.3">
      <c r="A79" s="23"/>
      <c r="B79" s="23"/>
      <c r="H79" s="14"/>
      <c r="I79" s="23"/>
      <c r="O79" s="14"/>
      <c r="W79" s="23"/>
      <c r="AC79" s="14"/>
      <c r="AD79" s="23"/>
      <c r="AT79" s="23"/>
      <c r="AY79" s="14"/>
      <c r="AZ79" s="14"/>
      <c r="BB79" s="59"/>
      <c r="BF79" s="59"/>
      <c r="BQ79" s="60"/>
    </row>
    <row r="80" spans="1:69" x14ac:dyDescent="0.3">
      <c r="A80" s="23"/>
      <c r="B80" s="23"/>
      <c r="H80" s="14"/>
      <c r="I80" s="23"/>
      <c r="O80" s="14"/>
      <c r="W80" s="23"/>
      <c r="AC80" s="14"/>
      <c r="AD80" s="23"/>
      <c r="AT80" s="23"/>
      <c r="AY80" s="14"/>
      <c r="AZ80" s="14"/>
      <c r="BB80" s="59"/>
      <c r="BF80" s="59"/>
      <c r="BQ80" s="60"/>
    </row>
    <row r="81" spans="1:69" x14ac:dyDescent="0.3">
      <c r="A81" s="23"/>
      <c r="B81" s="23"/>
      <c r="H81" s="14"/>
      <c r="I81" s="23"/>
      <c r="O81" s="14"/>
      <c r="W81" s="23"/>
      <c r="AC81" s="14"/>
      <c r="AD81" s="23"/>
      <c r="AT81" s="23"/>
      <c r="AY81" s="14"/>
      <c r="AZ81" s="14"/>
      <c r="BB81" s="59"/>
      <c r="BF81" s="59"/>
      <c r="BQ81" s="60"/>
    </row>
    <row r="82" spans="1:69" x14ac:dyDescent="0.3">
      <c r="A82" s="23"/>
      <c r="B82" s="23"/>
      <c r="H82" s="14"/>
      <c r="I82" s="23"/>
      <c r="O82" s="14"/>
      <c r="W82" s="23"/>
      <c r="AC82" s="14"/>
      <c r="AD82" s="23"/>
      <c r="AT82" s="23"/>
      <c r="AY82" s="14"/>
      <c r="AZ82" s="14"/>
      <c r="BB82" s="59"/>
      <c r="BF82" s="59"/>
      <c r="BQ82" s="60"/>
    </row>
    <row r="83" spans="1:69" x14ac:dyDescent="0.3">
      <c r="A83" s="23"/>
      <c r="B83" s="23"/>
      <c r="H83" s="14"/>
      <c r="I83" s="23"/>
      <c r="O83" s="14"/>
      <c r="W83" s="23"/>
      <c r="AC83" s="14"/>
      <c r="AD83" s="23"/>
      <c r="AT83" s="23"/>
      <c r="AY83" s="14"/>
      <c r="AZ83" s="14"/>
      <c r="BB83" s="59"/>
      <c r="BF83" s="59"/>
      <c r="BQ83" s="60"/>
    </row>
    <row r="84" spans="1:69" x14ac:dyDescent="0.3">
      <c r="A84" s="23"/>
      <c r="B84" s="23"/>
      <c r="H84" s="14"/>
      <c r="I84" s="23"/>
      <c r="O84" s="14"/>
      <c r="W84" s="23"/>
      <c r="AC84" s="14"/>
      <c r="AD84" s="23"/>
      <c r="AT84" s="23"/>
      <c r="AY84" s="14"/>
      <c r="AZ84" s="14"/>
      <c r="BB84" s="59"/>
      <c r="BF84" s="59"/>
      <c r="BQ84" s="60"/>
    </row>
    <row r="85" spans="1:69" x14ac:dyDescent="0.3">
      <c r="A85" s="23"/>
      <c r="B85" s="23"/>
      <c r="H85" s="14"/>
      <c r="I85" s="23"/>
      <c r="O85" s="14"/>
      <c r="W85" s="23"/>
      <c r="AC85" s="14"/>
      <c r="AD85" s="23"/>
      <c r="AT85" s="23"/>
      <c r="AY85" s="14"/>
      <c r="AZ85" s="14"/>
      <c r="BB85" s="59"/>
      <c r="BF85" s="59"/>
      <c r="BQ85" s="60"/>
    </row>
    <row r="86" spans="1:69" x14ac:dyDescent="0.3">
      <c r="A86" s="23"/>
      <c r="B86" s="23"/>
      <c r="H86" s="14"/>
      <c r="I86" s="23"/>
      <c r="O86" s="14"/>
      <c r="W86" s="23"/>
      <c r="AC86" s="14"/>
      <c r="AD86" s="23"/>
      <c r="AT86" s="23"/>
      <c r="AY86" s="14"/>
      <c r="AZ86" s="14"/>
      <c r="BB86" s="59"/>
      <c r="BF86" s="59"/>
      <c r="BQ86" s="60"/>
    </row>
    <row r="87" spans="1:69" x14ac:dyDescent="0.3">
      <c r="A87" s="23"/>
      <c r="B87" s="23"/>
      <c r="H87" s="14"/>
      <c r="I87" s="23"/>
      <c r="O87" s="14"/>
      <c r="W87" s="23"/>
      <c r="AC87" s="14"/>
      <c r="AD87" s="23"/>
      <c r="AT87" s="23"/>
      <c r="AY87" s="14"/>
      <c r="AZ87" s="14"/>
      <c r="BB87" s="59"/>
      <c r="BF87" s="59"/>
      <c r="BQ87" s="60"/>
    </row>
    <row r="88" spans="1:69" x14ac:dyDescent="0.3">
      <c r="A88" s="23"/>
      <c r="B88" s="23"/>
      <c r="H88" s="14"/>
      <c r="I88" s="23"/>
      <c r="O88" s="14"/>
      <c r="W88" s="23"/>
      <c r="AC88" s="14"/>
      <c r="AD88" s="23"/>
      <c r="AT88" s="23"/>
      <c r="AY88" s="14"/>
      <c r="AZ88" s="14"/>
      <c r="BB88" s="59"/>
      <c r="BF88" s="59"/>
      <c r="BQ88" s="60"/>
    </row>
    <row r="89" spans="1:69" x14ac:dyDescent="0.3">
      <c r="A89" s="23"/>
      <c r="B89" s="23"/>
      <c r="H89" s="14"/>
      <c r="I89" s="23"/>
      <c r="O89" s="14"/>
      <c r="W89" s="23"/>
      <c r="AC89" s="14"/>
      <c r="AD89" s="23"/>
      <c r="AT89" s="23"/>
      <c r="AY89" s="14"/>
      <c r="AZ89" s="14"/>
      <c r="BB89" s="59"/>
      <c r="BF89" s="59"/>
      <c r="BQ89" s="60"/>
    </row>
    <row r="90" spans="1:69" x14ac:dyDescent="0.3">
      <c r="A90" s="23"/>
      <c r="B90" s="23"/>
      <c r="H90" s="14"/>
      <c r="I90" s="23"/>
      <c r="O90" s="14"/>
      <c r="W90" s="23"/>
      <c r="AC90" s="14"/>
      <c r="AD90" s="23"/>
      <c r="AT90" s="23"/>
      <c r="AY90" s="14"/>
      <c r="AZ90" s="14"/>
      <c r="BB90" s="59"/>
      <c r="BF90" s="59"/>
      <c r="BQ90" s="60"/>
    </row>
    <row r="91" spans="1:69" x14ac:dyDescent="0.3">
      <c r="A91" s="23"/>
      <c r="B91" s="23"/>
      <c r="H91" s="14"/>
      <c r="I91" s="23"/>
      <c r="O91" s="14"/>
      <c r="W91" s="23"/>
      <c r="AC91" s="14"/>
      <c r="AD91" s="23"/>
      <c r="AT91" s="23"/>
      <c r="AY91" s="14"/>
      <c r="AZ91" s="14"/>
      <c r="BB91" s="59"/>
      <c r="BF91" s="59"/>
      <c r="BQ91" s="60"/>
    </row>
    <row r="92" spans="1:69" x14ac:dyDescent="0.3">
      <c r="A92" s="23"/>
      <c r="B92" s="37" t="s">
        <v>148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22"/>
      <c r="X92" s="22"/>
      <c r="Y92" s="22"/>
      <c r="Z92" s="22"/>
      <c r="AA92" s="22"/>
      <c r="AB92" s="22"/>
      <c r="AC92" s="2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40"/>
      <c r="AZ92" s="14"/>
      <c r="BB92" s="59"/>
      <c r="BF92" s="59"/>
      <c r="BQ92" s="60"/>
    </row>
    <row r="93" spans="1:69" x14ac:dyDescent="0.3">
      <c r="A93" s="23"/>
      <c r="B93" s="23"/>
      <c r="H93" s="14"/>
      <c r="I93" s="23"/>
      <c r="O93" s="49"/>
      <c r="P93" s="47"/>
      <c r="W93" s="23"/>
      <c r="AC93" s="14"/>
      <c r="AD93" s="23"/>
      <c r="AT93" s="23"/>
      <c r="AY93" s="14"/>
      <c r="AZ93" s="14"/>
      <c r="BB93" s="59"/>
      <c r="BF93" s="59"/>
      <c r="BQ93" s="60"/>
    </row>
    <row r="94" spans="1:69" x14ac:dyDescent="0.3">
      <c r="A94" s="23"/>
      <c r="B94" s="23"/>
      <c r="H94" s="14"/>
      <c r="I94" s="23"/>
      <c r="O94" s="14"/>
      <c r="P94" s="23"/>
      <c r="W94" s="23"/>
      <c r="AC94" s="14"/>
      <c r="AD94" s="23"/>
      <c r="AT94" s="23"/>
      <c r="AY94" s="14"/>
      <c r="AZ94" s="14"/>
      <c r="BB94" s="59"/>
      <c r="BF94" s="59"/>
      <c r="BQ94" s="60"/>
    </row>
    <row r="95" spans="1:69" x14ac:dyDescent="0.3">
      <c r="A95" s="23"/>
      <c r="B95" s="23"/>
      <c r="H95" s="14"/>
      <c r="I95" s="23"/>
      <c r="O95" s="14"/>
      <c r="P95" s="23"/>
      <c r="W95" s="23"/>
      <c r="AC95" s="14"/>
      <c r="AD95" s="23"/>
      <c r="AT95" s="23"/>
      <c r="AY95" s="14"/>
      <c r="AZ95" s="14"/>
      <c r="BB95" s="59"/>
      <c r="BF95" s="59"/>
      <c r="BQ95" s="60"/>
    </row>
    <row r="96" spans="1:69" x14ac:dyDescent="0.3">
      <c r="A96" s="23"/>
      <c r="B96" s="23"/>
      <c r="H96" s="14"/>
      <c r="I96" s="23"/>
      <c r="O96" s="14"/>
      <c r="P96" s="23"/>
      <c r="W96" s="23"/>
      <c r="AC96" s="14"/>
      <c r="AD96" s="23"/>
      <c r="AT96" s="23"/>
      <c r="AY96" s="14"/>
      <c r="AZ96" s="14"/>
      <c r="BB96" s="59"/>
      <c r="BF96" s="59"/>
      <c r="BQ96" s="60"/>
    </row>
    <row r="97" spans="1:69" x14ac:dyDescent="0.3">
      <c r="A97" s="23"/>
      <c r="B97" s="23"/>
      <c r="H97" s="14"/>
      <c r="I97" s="23"/>
      <c r="O97" s="14"/>
      <c r="P97" s="23"/>
      <c r="W97" s="23"/>
      <c r="AC97" s="14"/>
      <c r="AD97" s="23"/>
      <c r="AT97" s="23"/>
      <c r="AY97" s="14"/>
      <c r="AZ97" s="14"/>
      <c r="BB97" s="59"/>
      <c r="BF97" s="59"/>
      <c r="BQ97" s="60"/>
    </row>
    <row r="98" spans="1:69" x14ac:dyDescent="0.3">
      <c r="A98" s="23"/>
      <c r="B98" s="23"/>
      <c r="H98" s="14"/>
      <c r="I98" s="23"/>
      <c r="O98" s="14"/>
      <c r="P98" s="23"/>
      <c r="W98" s="23"/>
      <c r="AC98" s="14"/>
      <c r="AD98" s="23"/>
      <c r="AE98" s="21" t="s">
        <v>149</v>
      </c>
      <c r="AT98" s="23"/>
      <c r="AY98" s="14"/>
      <c r="AZ98" s="14"/>
      <c r="BB98" s="59"/>
      <c r="BF98" s="59"/>
      <c r="BQ98" s="60"/>
    </row>
    <row r="99" spans="1:69" x14ac:dyDescent="0.3">
      <c r="A99" s="23"/>
      <c r="B99" s="23"/>
      <c r="H99" s="14"/>
      <c r="I99" s="23"/>
      <c r="O99" s="14"/>
      <c r="P99" s="23"/>
      <c r="W99" s="23"/>
      <c r="AC99" s="14"/>
      <c r="AD99" s="23"/>
      <c r="AF99" s="8" t="s">
        <v>150</v>
      </c>
      <c r="AT99" s="23"/>
      <c r="AY99" s="14"/>
      <c r="AZ99" s="14"/>
      <c r="BB99" s="59"/>
      <c r="BF99" s="59"/>
      <c r="BQ99" s="60"/>
    </row>
    <row r="100" spans="1:69" x14ac:dyDescent="0.3">
      <c r="A100" s="23"/>
      <c r="B100" s="23"/>
      <c r="H100" s="14"/>
      <c r="I100" s="23"/>
      <c r="O100" s="14"/>
      <c r="P100" s="23"/>
      <c r="W100" s="23"/>
      <c r="AC100" s="14"/>
      <c r="AD100" s="23"/>
      <c r="AT100" s="23"/>
      <c r="AY100" s="14"/>
      <c r="AZ100" s="14"/>
      <c r="BB100" s="59"/>
      <c r="BF100" s="59"/>
      <c r="BQ100" s="60"/>
    </row>
    <row r="101" spans="1:69" x14ac:dyDescent="0.3">
      <c r="A101" s="23"/>
      <c r="B101" s="23"/>
      <c r="H101" s="14"/>
      <c r="I101" s="23"/>
      <c r="O101" s="14"/>
      <c r="P101" s="23"/>
      <c r="W101" s="23"/>
      <c r="AC101" s="14"/>
      <c r="AD101" s="23"/>
      <c r="AT101" s="23"/>
      <c r="AY101" s="14"/>
      <c r="AZ101" s="14"/>
      <c r="BB101" s="59"/>
      <c r="BF101" s="59"/>
      <c r="BQ101" s="60"/>
    </row>
    <row r="102" spans="1:69" x14ac:dyDescent="0.3">
      <c r="A102" s="23"/>
      <c r="B102" s="23"/>
      <c r="H102" s="14"/>
      <c r="I102" s="23"/>
      <c r="O102" s="14"/>
      <c r="P102" s="23"/>
      <c r="W102" s="23"/>
      <c r="AC102" s="14"/>
      <c r="AD102" s="23"/>
      <c r="AT102" s="23"/>
      <c r="AY102" s="14"/>
      <c r="AZ102" s="14"/>
      <c r="BB102" s="59"/>
      <c r="BF102" s="59"/>
      <c r="BQ102" s="60"/>
    </row>
    <row r="103" spans="1:69" x14ac:dyDescent="0.3">
      <c r="A103" s="23"/>
      <c r="B103" s="23"/>
      <c r="H103" s="14"/>
      <c r="I103" s="23"/>
      <c r="O103" s="14"/>
      <c r="P103" s="23"/>
      <c r="W103" s="23"/>
      <c r="AC103" s="14"/>
      <c r="AD103" s="23"/>
      <c r="AT103" s="23"/>
      <c r="AY103" s="14"/>
      <c r="AZ103" s="14"/>
      <c r="BB103" s="59"/>
      <c r="BF103" s="59"/>
      <c r="BQ103" s="60"/>
    </row>
    <row r="104" spans="1:69" x14ac:dyDescent="0.3">
      <c r="A104" s="23"/>
      <c r="B104" s="23"/>
      <c r="H104" s="14"/>
      <c r="I104" s="23"/>
      <c r="O104" s="14"/>
      <c r="P104" s="23"/>
      <c r="W104" s="23"/>
      <c r="AC104" s="14"/>
      <c r="AD104" s="23"/>
      <c r="AE104" s="21" t="s">
        <v>151</v>
      </c>
      <c r="AT104" s="23"/>
      <c r="AY104" s="14"/>
      <c r="AZ104" s="14"/>
      <c r="BB104" s="59"/>
      <c r="BF104" s="59"/>
      <c r="BQ104" s="60"/>
    </row>
    <row r="105" spans="1:69" x14ac:dyDescent="0.3">
      <c r="A105" s="23"/>
      <c r="B105" s="23"/>
      <c r="H105" s="14"/>
      <c r="I105" s="23"/>
      <c r="O105" s="14"/>
      <c r="P105" s="23"/>
      <c r="W105" s="23"/>
      <c r="AC105" s="14"/>
      <c r="AD105" s="23"/>
      <c r="AF105" s="8" t="s">
        <v>152</v>
      </c>
      <c r="AT105" s="23"/>
      <c r="AY105" s="14"/>
      <c r="AZ105" s="14"/>
      <c r="BB105" s="59"/>
      <c r="BF105" s="59"/>
      <c r="BQ105" s="60"/>
    </row>
    <row r="106" spans="1:69" x14ac:dyDescent="0.3">
      <c r="A106" s="23"/>
      <c r="B106" s="23"/>
      <c r="H106" s="14"/>
      <c r="I106" s="23"/>
      <c r="O106" s="14"/>
      <c r="P106" s="23"/>
      <c r="W106" s="23"/>
      <c r="AC106" s="14"/>
      <c r="AD106" s="23"/>
      <c r="AF106" s="8" t="s">
        <v>153</v>
      </c>
      <c r="AT106" s="23"/>
      <c r="AY106" s="14"/>
      <c r="AZ106" s="14"/>
      <c r="BB106" s="59"/>
      <c r="BF106" s="59"/>
      <c r="BQ106" s="60"/>
    </row>
    <row r="107" spans="1:69" x14ac:dyDescent="0.3">
      <c r="A107" s="23"/>
      <c r="B107" s="23"/>
      <c r="H107" s="14"/>
      <c r="I107" s="23"/>
      <c r="O107" s="14"/>
      <c r="P107" s="23"/>
      <c r="W107" s="23"/>
      <c r="AC107" s="14"/>
      <c r="AD107" s="23"/>
      <c r="AT107" s="23"/>
      <c r="AY107" s="14"/>
      <c r="AZ107" s="14"/>
      <c r="BB107" s="59"/>
      <c r="BF107" s="59"/>
      <c r="BQ107" s="60"/>
    </row>
    <row r="108" spans="1:69" x14ac:dyDescent="0.3">
      <c r="A108" s="23"/>
      <c r="B108" s="23"/>
      <c r="H108" s="14"/>
      <c r="I108" s="23"/>
      <c r="O108" s="14"/>
      <c r="P108" s="23"/>
      <c r="W108" s="23"/>
      <c r="AC108" s="14"/>
      <c r="AD108" s="23"/>
      <c r="AT108" s="23"/>
      <c r="AY108" s="14"/>
      <c r="AZ108" s="14"/>
      <c r="BB108" s="59"/>
      <c r="BF108" s="59"/>
      <c r="BQ108" s="60"/>
    </row>
    <row r="109" spans="1:69" x14ac:dyDescent="0.3">
      <c r="A109" s="23"/>
      <c r="B109" s="23"/>
      <c r="H109" s="14"/>
      <c r="I109" s="23"/>
      <c r="O109" s="14"/>
      <c r="P109" s="23"/>
      <c r="W109" s="23"/>
      <c r="AC109" s="14"/>
      <c r="AD109" s="23"/>
      <c r="AE109" s="21" t="s">
        <v>154</v>
      </c>
      <c r="AT109" s="23"/>
      <c r="AY109" s="14"/>
      <c r="AZ109" s="14"/>
      <c r="BB109" s="59"/>
      <c r="BF109" s="59"/>
      <c r="BQ109" s="60"/>
    </row>
    <row r="110" spans="1:69" x14ac:dyDescent="0.3">
      <c r="A110" s="23"/>
      <c r="B110" s="23"/>
      <c r="H110" s="14"/>
      <c r="I110" s="23"/>
      <c r="O110" s="14"/>
      <c r="P110" s="23"/>
      <c r="W110" s="23"/>
      <c r="AC110" s="14"/>
      <c r="AD110" s="23"/>
      <c r="AF110" s="8" t="s">
        <v>155</v>
      </c>
      <c r="AT110" s="23"/>
      <c r="AY110" s="14"/>
      <c r="AZ110" s="14"/>
      <c r="BB110" s="59"/>
      <c r="BF110" s="59"/>
      <c r="BQ110" s="60"/>
    </row>
    <row r="111" spans="1:69" x14ac:dyDescent="0.3">
      <c r="A111" s="23"/>
      <c r="B111" s="23"/>
      <c r="H111" s="14"/>
      <c r="I111" s="23"/>
      <c r="O111" s="14"/>
      <c r="P111" s="23"/>
      <c r="W111" s="23"/>
      <c r="AC111" s="14"/>
      <c r="AD111" s="23"/>
      <c r="AT111" s="23"/>
      <c r="AY111" s="14"/>
      <c r="AZ111" s="14"/>
      <c r="BB111" s="59"/>
      <c r="BF111" s="59"/>
      <c r="BQ111" s="60"/>
    </row>
    <row r="112" spans="1:69" x14ac:dyDescent="0.3">
      <c r="A112" s="23"/>
      <c r="B112" s="23"/>
      <c r="H112" s="14"/>
      <c r="I112" s="23"/>
      <c r="O112" s="14"/>
      <c r="P112" s="23"/>
      <c r="W112" s="23"/>
      <c r="AC112" s="14"/>
      <c r="AD112" s="23"/>
      <c r="AT112" s="23"/>
      <c r="AY112" s="14"/>
      <c r="AZ112" s="14"/>
      <c r="BB112" s="59"/>
      <c r="BF112" s="59"/>
      <c r="BQ112" s="60"/>
    </row>
    <row r="113" spans="1:69" x14ac:dyDescent="0.3">
      <c r="A113" s="23"/>
      <c r="B113" s="23"/>
      <c r="H113" s="14"/>
      <c r="I113" s="23"/>
      <c r="O113" s="14"/>
      <c r="P113" s="23"/>
      <c r="W113" s="23"/>
      <c r="AC113" s="14"/>
      <c r="AD113" s="23"/>
      <c r="AT113" s="23"/>
      <c r="AY113" s="14"/>
      <c r="AZ113" s="14"/>
      <c r="BB113" s="59"/>
      <c r="BF113" s="59"/>
      <c r="BQ113" s="60"/>
    </row>
    <row r="114" spans="1:69" x14ac:dyDescent="0.3">
      <c r="A114" s="23"/>
      <c r="B114" s="23"/>
      <c r="H114" s="14"/>
      <c r="I114" s="23"/>
      <c r="O114" s="14"/>
      <c r="P114" s="23"/>
      <c r="W114" s="23"/>
      <c r="AC114" s="14"/>
      <c r="AD114" s="23"/>
      <c r="AT114" s="23"/>
      <c r="AY114" s="14"/>
      <c r="AZ114" s="14"/>
      <c r="BB114" s="59"/>
      <c r="BF114" s="59"/>
      <c r="BQ114" s="60"/>
    </row>
    <row r="115" spans="1:69" x14ac:dyDescent="0.3">
      <c r="A115" s="23"/>
      <c r="B115" s="23"/>
      <c r="H115" s="14"/>
      <c r="I115" s="23"/>
      <c r="O115" s="14"/>
      <c r="P115" s="23"/>
      <c r="W115" s="23"/>
      <c r="AC115" s="14"/>
      <c r="AD115" s="23"/>
      <c r="AE115" s="21" t="s">
        <v>156</v>
      </c>
      <c r="AT115" s="23"/>
      <c r="AY115" s="14"/>
      <c r="AZ115" s="14"/>
      <c r="BB115" s="59"/>
      <c r="BF115" s="59"/>
      <c r="BQ115" s="60"/>
    </row>
    <row r="116" spans="1:69" x14ac:dyDescent="0.3">
      <c r="A116" s="23"/>
      <c r="B116" s="23"/>
      <c r="H116" s="14"/>
      <c r="I116" s="23"/>
      <c r="O116" s="14"/>
      <c r="P116" s="23"/>
      <c r="W116" s="23"/>
      <c r="AC116" s="14"/>
      <c r="AD116" s="23"/>
      <c r="AF116" s="8" t="s">
        <v>145</v>
      </c>
      <c r="AT116" s="23"/>
      <c r="AY116" s="14"/>
      <c r="AZ116" s="14"/>
      <c r="BB116" s="59"/>
      <c r="BF116" s="59"/>
      <c r="BQ116" s="60"/>
    </row>
    <row r="117" spans="1:69" x14ac:dyDescent="0.3">
      <c r="A117" s="23"/>
      <c r="B117" s="23"/>
      <c r="H117" s="14"/>
      <c r="I117" s="23"/>
      <c r="O117" s="14"/>
      <c r="P117" s="23"/>
      <c r="W117" s="23"/>
      <c r="AC117" s="14"/>
      <c r="AD117" s="23"/>
      <c r="AT117" s="23"/>
      <c r="AY117" s="14"/>
      <c r="AZ117" s="14"/>
      <c r="BB117" s="59"/>
      <c r="BF117" s="59"/>
      <c r="BQ117" s="60"/>
    </row>
    <row r="118" spans="1:69" x14ac:dyDescent="0.3">
      <c r="A118" s="23"/>
      <c r="B118" s="23"/>
      <c r="H118" s="14"/>
      <c r="I118" s="23"/>
      <c r="O118" s="14"/>
      <c r="P118" s="23"/>
      <c r="W118" s="23"/>
      <c r="AD118" s="23"/>
      <c r="AT118" s="23"/>
      <c r="AY118" s="14"/>
      <c r="AZ118" s="14"/>
      <c r="BB118" s="59"/>
      <c r="BF118" s="59"/>
      <c r="BQ118" s="60"/>
    </row>
    <row r="119" spans="1:69" x14ac:dyDescent="0.3">
      <c r="A119" s="23"/>
      <c r="B119" s="23"/>
      <c r="H119" s="14"/>
      <c r="I119" s="23"/>
      <c r="O119" s="14"/>
      <c r="P119" s="23"/>
      <c r="W119" s="23"/>
      <c r="AD119" s="23"/>
      <c r="AT119" s="23"/>
      <c r="AY119" s="14"/>
      <c r="AZ119" s="14"/>
      <c r="BB119" s="59"/>
      <c r="BF119" s="59"/>
      <c r="BQ119" s="60"/>
    </row>
    <row r="120" spans="1:69" x14ac:dyDescent="0.3">
      <c r="A120" s="23"/>
      <c r="B120" s="23"/>
      <c r="H120" s="14"/>
      <c r="I120" s="23"/>
      <c r="O120" s="14"/>
      <c r="P120" s="23"/>
      <c r="W120" s="23"/>
      <c r="AD120" s="23"/>
      <c r="AE120" s="21" t="s">
        <v>157</v>
      </c>
      <c r="AT120" s="23"/>
      <c r="AY120" s="14"/>
      <c r="AZ120" s="14"/>
      <c r="BB120" s="59"/>
      <c r="BF120" s="59"/>
      <c r="BQ120" s="60"/>
    </row>
    <row r="121" spans="1:69" x14ac:dyDescent="0.3">
      <c r="A121" s="23"/>
      <c r="B121" s="23"/>
      <c r="H121" s="14"/>
      <c r="I121" s="23"/>
      <c r="O121" s="14"/>
      <c r="P121" s="23"/>
      <c r="W121" s="23"/>
      <c r="AD121" s="23"/>
      <c r="AF121" s="8" t="s">
        <v>147</v>
      </c>
      <c r="AT121" s="23"/>
      <c r="AY121" s="14"/>
      <c r="AZ121" s="14"/>
      <c r="BB121" s="59"/>
      <c r="BF121" s="59"/>
      <c r="BQ121" s="60"/>
    </row>
    <row r="122" spans="1:69" x14ac:dyDescent="0.3">
      <c r="A122" s="23"/>
      <c r="B122" s="23"/>
      <c r="H122" s="14"/>
      <c r="I122" s="23"/>
      <c r="O122" s="14"/>
      <c r="P122" s="23"/>
      <c r="W122" s="23"/>
      <c r="AD122" s="23"/>
      <c r="AT122" s="23"/>
      <c r="AY122" s="14"/>
      <c r="AZ122" s="14"/>
      <c r="BB122" s="59"/>
      <c r="BF122" s="59"/>
      <c r="BQ122" s="60"/>
    </row>
    <row r="123" spans="1:69" x14ac:dyDescent="0.3">
      <c r="A123" s="23"/>
      <c r="B123" s="23"/>
      <c r="H123" s="14"/>
      <c r="I123" s="23"/>
      <c r="O123" s="14"/>
      <c r="P123" s="23"/>
      <c r="W123" s="23"/>
      <c r="AD123" s="23"/>
      <c r="AT123" s="23"/>
      <c r="AY123" s="14"/>
      <c r="AZ123" s="14"/>
      <c r="BB123" s="59"/>
      <c r="BF123" s="59"/>
      <c r="BQ123" s="60"/>
    </row>
    <row r="124" spans="1:69" x14ac:dyDescent="0.3">
      <c r="A124" s="23"/>
      <c r="B124" s="23"/>
      <c r="H124" s="14"/>
      <c r="I124" s="23"/>
      <c r="O124" s="14"/>
      <c r="P124" s="23"/>
      <c r="W124" s="23"/>
      <c r="AD124" s="23"/>
      <c r="AT124" s="23"/>
      <c r="AY124" s="14"/>
      <c r="AZ124" s="14"/>
      <c r="BB124" s="59"/>
      <c r="BF124" s="59"/>
      <c r="BQ124" s="60"/>
    </row>
    <row r="125" spans="1:69" x14ac:dyDescent="0.3">
      <c r="A125" s="23"/>
      <c r="B125" s="23"/>
      <c r="H125" s="14"/>
      <c r="I125" s="23"/>
      <c r="O125" s="14"/>
      <c r="P125" s="23"/>
      <c r="W125" s="23"/>
      <c r="AD125" s="23"/>
      <c r="AT125" s="23"/>
      <c r="AY125" s="14"/>
      <c r="AZ125" s="14"/>
      <c r="BB125" s="59"/>
      <c r="BF125" s="59"/>
      <c r="BQ125" s="60"/>
    </row>
    <row r="126" spans="1:69" x14ac:dyDescent="0.3">
      <c r="A126" s="23"/>
      <c r="B126" s="23"/>
      <c r="H126" s="14"/>
      <c r="I126" s="23"/>
      <c r="O126" s="14"/>
      <c r="P126" s="23"/>
      <c r="W126" s="23"/>
      <c r="AD126" s="23"/>
      <c r="AT126" s="23"/>
      <c r="AY126" s="14"/>
      <c r="AZ126" s="14"/>
      <c r="BB126" s="59"/>
      <c r="BF126" s="59"/>
      <c r="BQ126" s="60"/>
    </row>
    <row r="127" spans="1:69" x14ac:dyDescent="0.3">
      <c r="A127" s="23"/>
      <c r="B127" s="23"/>
      <c r="H127" s="14"/>
      <c r="I127" s="23"/>
      <c r="O127" s="14"/>
      <c r="P127" s="23"/>
      <c r="W127" s="23"/>
      <c r="AD127" s="23"/>
      <c r="AT127" s="23"/>
      <c r="AY127" s="14"/>
      <c r="AZ127" s="14"/>
      <c r="BB127" s="59"/>
      <c r="BF127" s="59"/>
      <c r="BQ127" s="60"/>
    </row>
    <row r="128" spans="1:69" x14ac:dyDescent="0.3">
      <c r="A128" s="23"/>
      <c r="B128" s="23"/>
      <c r="H128" s="14"/>
      <c r="I128" s="23"/>
      <c r="O128" s="14"/>
      <c r="P128" s="23"/>
      <c r="W128" s="23"/>
      <c r="AD128" s="23"/>
      <c r="AT128" s="23"/>
      <c r="AY128" s="14"/>
      <c r="AZ128" s="14"/>
      <c r="BB128" s="59"/>
      <c r="BF128" s="59"/>
      <c r="BQ128" s="60"/>
    </row>
    <row r="129" spans="1:69" x14ac:dyDescent="0.3">
      <c r="A129" s="23"/>
      <c r="B129" s="23"/>
      <c r="H129" s="14"/>
      <c r="I129" s="23"/>
      <c r="O129" s="14"/>
      <c r="P129" s="23"/>
      <c r="W129" s="23"/>
      <c r="AD129" s="23"/>
      <c r="AT129" s="23"/>
      <c r="AY129" s="14"/>
      <c r="AZ129" s="14"/>
      <c r="BB129" s="59"/>
      <c r="BF129" s="59"/>
      <c r="BQ129" s="60"/>
    </row>
    <row r="130" spans="1:69" x14ac:dyDescent="0.3">
      <c r="A130" s="23"/>
      <c r="B130" s="23"/>
      <c r="H130" s="14"/>
      <c r="I130" s="23"/>
      <c r="O130" s="14"/>
      <c r="P130" s="23"/>
      <c r="W130" s="23"/>
      <c r="AD130" s="23"/>
      <c r="AT130" s="23"/>
      <c r="AY130" s="14"/>
      <c r="AZ130" s="14"/>
      <c r="BB130" s="59"/>
      <c r="BF130" s="59"/>
      <c r="BQ130" s="60"/>
    </row>
    <row r="131" spans="1:69" x14ac:dyDescent="0.3">
      <c r="A131" s="23"/>
      <c r="B131" s="23"/>
      <c r="H131" s="14"/>
      <c r="I131" s="23"/>
      <c r="O131" s="14"/>
      <c r="P131" s="23"/>
      <c r="W131" s="23"/>
      <c r="AD131" s="23"/>
      <c r="AT131" s="23"/>
      <c r="AY131" s="14"/>
      <c r="AZ131" s="14"/>
      <c r="BB131" s="59"/>
      <c r="BF131" s="59"/>
      <c r="BQ131" s="60"/>
    </row>
    <row r="132" spans="1:69" x14ac:dyDescent="0.3">
      <c r="A132" s="23"/>
      <c r="B132" s="23"/>
      <c r="H132" s="14"/>
      <c r="I132" s="23"/>
      <c r="O132" s="14"/>
      <c r="P132" s="23"/>
      <c r="W132" s="23"/>
      <c r="AD132" s="23"/>
      <c r="AT132" s="23"/>
      <c r="AY132" s="14"/>
      <c r="AZ132" s="14"/>
      <c r="BB132" s="59"/>
      <c r="BF132" s="59"/>
      <c r="BQ132" s="60"/>
    </row>
    <row r="133" spans="1:69" x14ac:dyDescent="0.3">
      <c r="A133" s="23"/>
      <c r="B133" s="23"/>
      <c r="H133" s="14"/>
      <c r="I133" s="23"/>
      <c r="O133" s="14"/>
      <c r="P133" s="23"/>
      <c r="W133" s="23"/>
      <c r="AD133" s="23"/>
      <c r="AT133" s="23"/>
      <c r="AY133" s="14"/>
      <c r="AZ133" s="14"/>
      <c r="BB133" s="59"/>
      <c r="BF133" s="59"/>
      <c r="BQ133" s="60"/>
    </row>
    <row r="134" spans="1:69" x14ac:dyDescent="0.3">
      <c r="A134" s="23"/>
      <c r="B134" s="23"/>
      <c r="H134" s="14"/>
      <c r="I134" s="23"/>
      <c r="O134" s="14"/>
      <c r="P134" s="23"/>
      <c r="W134" s="23"/>
      <c r="AD134" s="23"/>
      <c r="AT134" s="23"/>
      <c r="AY134" s="14"/>
      <c r="AZ134" s="14"/>
      <c r="BB134" s="59"/>
      <c r="BF134" s="59"/>
      <c r="BQ134" s="60"/>
    </row>
    <row r="135" spans="1:69" x14ac:dyDescent="0.3">
      <c r="A135" s="23"/>
      <c r="B135" s="23"/>
      <c r="H135" s="14"/>
      <c r="I135" s="23"/>
      <c r="O135" s="14"/>
      <c r="P135" s="23"/>
      <c r="W135" s="23"/>
      <c r="AD135" s="23"/>
      <c r="AT135" s="23"/>
      <c r="AY135" s="14"/>
      <c r="AZ135" s="14"/>
      <c r="BB135" s="59"/>
      <c r="BF135" s="59"/>
      <c r="BQ135" s="60"/>
    </row>
    <row r="136" spans="1:69" x14ac:dyDescent="0.3">
      <c r="A136" s="23"/>
      <c r="B136" s="50"/>
      <c r="C136" s="10"/>
      <c r="D136" s="10"/>
      <c r="E136" s="10"/>
      <c r="F136" s="10"/>
      <c r="G136" s="10"/>
      <c r="H136" s="15"/>
      <c r="I136" s="50"/>
      <c r="J136" s="10"/>
      <c r="K136" s="10"/>
      <c r="L136" s="10"/>
      <c r="M136" s="10"/>
      <c r="N136" s="10"/>
      <c r="O136" s="15"/>
      <c r="P136" s="50"/>
      <c r="Q136" s="10"/>
      <c r="R136" s="10"/>
      <c r="S136" s="10"/>
      <c r="T136" s="10"/>
      <c r="U136" s="10"/>
      <c r="V136" s="10"/>
      <c r="W136" s="50"/>
      <c r="X136" s="10"/>
      <c r="Y136" s="10"/>
      <c r="Z136" s="10"/>
      <c r="AA136" s="10"/>
      <c r="AB136" s="10"/>
      <c r="AC136" s="10"/>
      <c r="AD136" s="5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50"/>
      <c r="AU136" s="10"/>
      <c r="AV136" s="10"/>
      <c r="AW136" s="10"/>
      <c r="AX136" s="10"/>
      <c r="AY136" s="15"/>
      <c r="AZ136" s="14"/>
      <c r="BB136" s="61"/>
      <c r="BC136" s="62"/>
      <c r="BD136" s="62"/>
      <c r="BE136" s="62"/>
      <c r="BF136" s="61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3"/>
    </row>
    <row r="137" spans="1:69" x14ac:dyDescent="0.3">
      <c r="A137" s="23"/>
      <c r="AZ137" s="14"/>
    </row>
    <row r="138" spans="1:69" x14ac:dyDescent="0.3">
      <c r="A138" s="5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5"/>
    </row>
  </sheetData>
  <mergeCells count="24">
    <mergeCell ref="BF13:BQ13"/>
    <mergeCell ref="AQ2:AV2"/>
    <mergeCell ref="AJ3:AK3"/>
    <mergeCell ref="AL3:AP3"/>
    <mergeCell ref="AQ3:AV3"/>
    <mergeCell ref="BB8:BE9"/>
    <mergeCell ref="BF8:BQ9"/>
    <mergeCell ref="BF12:BQ12"/>
    <mergeCell ref="B8:H9"/>
    <mergeCell ref="I8:O9"/>
    <mergeCell ref="AD8:AS9"/>
    <mergeCell ref="AT8:AY9"/>
    <mergeCell ref="A1:E1"/>
    <mergeCell ref="F1:U1"/>
    <mergeCell ref="V1:AI1"/>
    <mergeCell ref="AJ1:AP1"/>
    <mergeCell ref="AQ1:AV1"/>
    <mergeCell ref="A2:E3"/>
    <mergeCell ref="F2:U3"/>
    <mergeCell ref="V2:AI3"/>
    <mergeCell ref="AJ2:AK2"/>
    <mergeCell ref="AL2:AP2"/>
    <mergeCell ref="P9:V9"/>
    <mergeCell ref="W9:AC9"/>
  </mergeCells>
  <phoneticPr fontId="4"/>
  <pageMargins left="0.7" right="0.7" top="0.75" bottom="0.75" header="0.3" footer="0.3"/>
  <pageSetup paperSize="9" scale="69" fitToHeight="0" orientation="portrait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autoPageBreaks="0"/>
  </sheetPr>
  <dimension ref="A1:CE185"/>
  <sheetViews>
    <sheetView showGridLines="0" zoomScale="78" zoomScaleNormal="100" workbookViewId="0">
      <pane ySplit="9" topLeftCell="A10" activePane="bottomLeft" state="frozen"/>
      <selection activeCell="AC49" sqref="AC49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15" width="2.453125" style="8"/>
    <col min="16" max="17" width="2.453125" style="8" customWidth="1"/>
    <col min="18" max="16384" width="2.453125" style="8"/>
  </cols>
  <sheetData>
    <row r="1" spans="1:83" ht="15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83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2.SLJ売上計上・請求処理 (売掛金)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83" ht="15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5" spans="1:83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 spans="1:83" s="11" customFormat="1" x14ac:dyDescent="0.3">
      <c r="A6" s="35" t="str">
        <f ca="1">RIGHT(CELL("filename",A1),LEN(CELL("filename",A1))-FIND("]",CELL("filename",A1)))</f>
        <v>2.SLJ売上計上・請求処理 (売掛金)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36"/>
    </row>
    <row r="7" spans="1:83" s="11" customFormat="1" x14ac:dyDescent="0.3">
      <c r="A7" s="24"/>
      <c r="B7" s="12"/>
      <c r="C7" s="12"/>
      <c r="D7" s="12"/>
      <c r="E7" s="12"/>
      <c r="F7" s="12"/>
      <c r="G7" s="12"/>
      <c r="H7" s="12"/>
      <c r="BN7" s="13"/>
    </row>
    <row r="8" spans="1:83" s="11" customFormat="1" x14ac:dyDescent="0.3">
      <c r="A8" s="24"/>
      <c r="B8" s="225" t="s">
        <v>116</v>
      </c>
      <c r="C8" s="226"/>
      <c r="D8" s="226"/>
      <c r="E8" s="226"/>
      <c r="F8" s="226"/>
      <c r="G8" s="226"/>
      <c r="H8" s="227"/>
      <c r="I8" s="231" t="s">
        <v>158</v>
      </c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1" t="s">
        <v>159</v>
      </c>
      <c r="X8" s="232"/>
      <c r="Y8" s="232"/>
      <c r="Z8" s="232"/>
      <c r="AA8" s="232"/>
      <c r="AB8" s="232"/>
      <c r="AC8" s="233"/>
      <c r="AD8" s="53" t="s">
        <v>92</v>
      </c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39"/>
      <c r="AR8" s="221" t="s">
        <v>110</v>
      </c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0" t="s">
        <v>112</v>
      </c>
      <c r="BI8" s="221"/>
      <c r="BJ8" s="221"/>
      <c r="BK8" s="221"/>
      <c r="BL8" s="221"/>
      <c r="BM8" s="221"/>
      <c r="BN8" s="13"/>
      <c r="BP8" s="245" t="s">
        <v>118</v>
      </c>
      <c r="BQ8" s="246"/>
      <c r="BR8" s="246"/>
      <c r="BS8" s="246"/>
      <c r="BT8" s="248" t="s">
        <v>119</v>
      </c>
      <c r="BU8" s="249"/>
      <c r="BV8" s="249"/>
      <c r="BW8" s="249"/>
      <c r="BX8" s="249"/>
      <c r="BY8" s="249"/>
      <c r="BZ8" s="249"/>
      <c r="CA8" s="249"/>
      <c r="CB8" s="249"/>
      <c r="CC8" s="249"/>
      <c r="CD8" s="249"/>
      <c r="CE8" s="249"/>
    </row>
    <row r="9" spans="1:83" s="11" customFormat="1" ht="16.5" customHeight="1" x14ac:dyDescent="0.3">
      <c r="A9" s="24"/>
      <c r="B9" s="228"/>
      <c r="C9" s="229"/>
      <c r="D9" s="229"/>
      <c r="E9" s="229"/>
      <c r="F9" s="229"/>
      <c r="G9" s="229"/>
      <c r="H9" s="230"/>
      <c r="I9" s="231" t="s">
        <v>160</v>
      </c>
      <c r="J9" s="232"/>
      <c r="K9" s="232"/>
      <c r="L9" s="232"/>
      <c r="M9" s="232"/>
      <c r="N9" s="232"/>
      <c r="O9" s="233"/>
      <c r="P9" s="231" t="s">
        <v>99</v>
      </c>
      <c r="Q9" s="232"/>
      <c r="R9" s="232"/>
      <c r="S9" s="232"/>
      <c r="T9" s="232"/>
      <c r="U9" s="232"/>
      <c r="V9" s="232"/>
      <c r="W9" s="231" t="s">
        <v>98</v>
      </c>
      <c r="X9" s="232"/>
      <c r="Y9" s="232"/>
      <c r="Z9" s="232"/>
      <c r="AA9" s="232"/>
      <c r="AB9" s="232"/>
      <c r="AC9" s="233"/>
      <c r="AD9" s="223" t="s">
        <v>107</v>
      </c>
      <c r="AE9" s="223"/>
      <c r="AF9" s="223"/>
      <c r="AG9" s="223"/>
      <c r="AH9" s="223"/>
      <c r="AI9" s="223"/>
      <c r="AJ9" s="224"/>
      <c r="AK9" s="222" t="s">
        <v>109</v>
      </c>
      <c r="AL9" s="223"/>
      <c r="AM9" s="223"/>
      <c r="AN9" s="223"/>
      <c r="AO9" s="223"/>
      <c r="AP9" s="223"/>
      <c r="AQ9" s="224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13"/>
      <c r="BP9" s="247"/>
      <c r="BQ9" s="247"/>
      <c r="BR9" s="247"/>
      <c r="BS9" s="247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</row>
    <row r="10" spans="1:83" s="11" customFormat="1" x14ac:dyDescent="0.3">
      <c r="A10" s="24"/>
      <c r="B10" s="37" t="s">
        <v>120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98"/>
      <c r="X10" s="52"/>
      <c r="Y10" s="52"/>
      <c r="Z10" s="52"/>
      <c r="AA10" s="52"/>
      <c r="AB10" s="52"/>
      <c r="AC10" s="40"/>
      <c r="AD10" s="52"/>
      <c r="AE10" s="52"/>
      <c r="AF10" s="52"/>
      <c r="AG10" s="52"/>
      <c r="AH10" s="52"/>
      <c r="AI10" s="52"/>
      <c r="AJ10" s="52"/>
      <c r="AK10" s="22"/>
      <c r="AL10" s="22"/>
      <c r="AM10" s="22"/>
      <c r="AN10" s="22"/>
      <c r="AO10" s="22"/>
      <c r="AP10" s="22"/>
      <c r="AQ10" s="2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40"/>
      <c r="BN10" s="13"/>
      <c r="BP10" s="54"/>
      <c r="BQ10" s="55"/>
      <c r="BR10" s="55"/>
      <c r="BS10" s="55"/>
      <c r="BT10" s="54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6"/>
    </row>
    <row r="11" spans="1:83" s="11" customFormat="1" x14ac:dyDescent="0.3">
      <c r="A11" s="24"/>
      <c r="B11" s="41"/>
      <c r="C11" s="42"/>
      <c r="D11" s="42"/>
      <c r="E11" s="42"/>
      <c r="F11" s="42"/>
      <c r="G11" s="42"/>
      <c r="H11" s="43"/>
      <c r="I11" s="44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2"/>
      <c r="W11" s="44"/>
      <c r="X11" s="42"/>
      <c r="Y11" s="42"/>
      <c r="Z11" s="42"/>
      <c r="AA11" s="42"/>
      <c r="AB11" s="42"/>
      <c r="AC11" s="43"/>
      <c r="AD11" s="42"/>
      <c r="AE11" s="42"/>
      <c r="AF11" s="42"/>
      <c r="AG11" s="42"/>
      <c r="AH11" s="42"/>
      <c r="AI11" s="42"/>
      <c r="AJ11" s="43"/>
      <c r="AK11" s="44"/>
      <c r="AL11" s="42"/>
      <c r="AM11" s="42"/>
      <c r="AN11" s="42"/>
      <c r="AO11" s="42"/>
      <c r="AP11" s="42"/>
      <c r="AQ11" s="43"/>
      <c r="AR11" s="45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4"/>
      <c r="BI11" s="42"/>
      <c r="BJ11" s="42"/>
      <c r="BK11" s="42"/>
      <c r="BL11" s="42"/>
      <c r="BM11" s="43"/>
      <c r="BN11" s="13"/>
      <c r="BP11" s="57"/>
      <c r="BT11" s="57"/>
      <c r="CE11" s="58"/>
    </row>
    <row r="12" spans="1:83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20"/>
      <c r="W12" s="27"/>
      <c r="X12" s="20"/>
      <c r="Y12" s="20"/>
      <c r="Z12" s="20"/>
      <c r="AA12" s="20"/>
      <c r="AB12" s="20"/>
      <c r="AC12" s="19"/>
      <c r="AD12" s="20"/>
      <c r="AE12" s="20"/>
      <c r="AF12" s="20"/>
      <c r="AG12" s="20"/>
      <c r="AH12" s="20"/>
      <c r="AI12" s="20"/>
      <c r="AJ12" s="19"/>
      <c r="AK12" s="27"/>
      <c r="AL12" s="20"/>
      <c r="AM12" s="20"/>
      <c r="AN12" s="20"/>
      <c r="AO12" s="20"/>
      <c r="AP12" s="20"/>
      <c r="AQ12" s="19"/>
      <c r="AR12" s="34"/>
      <c r="AS12" s="17" t="s">
        <v>121</v>
      </c>
      <c r="AT12" s="17" t="s">
        <v>122</v>
      </c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27"/>
      <c r="BI12" s="20"/>
      <c r="BJ12" s="20"/>
      <c r="BK12" s="20"/>
      <c r="BL12" s="20"/>
      <c r="BM12" s="19"/>
      <c r="BN12" s="13"/>
      <c r="BP12" s="57" t="s">
        <v>161</v>
      </c>
      <c r="BT12" s="242"/>
      <c r="BU12" s="243"/>
      <c r="BV12" s="243"/>
      <c r="BW12" s="243"/>
      <c r="BX12" s="243"/>
      <c r="BY12" s="243"/>
      <c r="BZ12" s="243"/>
      <c r="CA12" s="243"/>
      <c r="CB12" s="243"/>
      <c r="CC12" s="243"/>
      <c r="CD12" s="243"/>
      <c r="CE12" s="244"/>
    </row>
    <row r="13" spans="1:83" s="11" customFormat="1" x14ac:dyDescent="0.3">
      <c r="A13" s="24"/>
      <c r="B13" s="26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20"/>
      <c r="W13" s="27"/>
      <c r="X13" s="20"/>
      <c r="Y13" s="20"/>
      <c r="Z13" s="20"/>
      <c r="AA13" s="20"/>
      <c r="AB13" s="20"/>
      <c r="AC13" s="19"/>
      <c r="AD13" s="20"/>
      <c r="AE13" s="20"/>
      <c r="AF13" s="20"/>
      <c r="AG13" s="20"/>
      <c r="AH13" s="20"/>
      <c r="AI13" s="20"/>
      <c r="AJ13" s="19"/>
      <c r="AK13" s="27"/>
      <c r="AL13" s="20"/>
      <c r="AM13" s="20"/>
      <c r="AN13" s="20"/>
      <c r="AO13" s="20"/>
      <c r="AP13" s="20"/>
      <c r="AQ13" s="19"/>
      <c r="AR13" s="34"/>
      <c r="AS13" s="17"/>
      <c r="AT13" s="17" t="s">
        <v>125</v>
      </c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27"/>
      <c r="BI13" s="20"/>
      <c r="BJ13" s="20"/>
      <c r="BK13" s="20"/>
      <c r="BL13" s="20"/>
      <c r="BM13" s="19"/>
      <c r="BN13" s="13"/>
      <c r="BP13" s="57" t="s">
        <v>162</v>
      </c>
      <c r="BT13" s="242"/>
      <c r="BU13" s="243"/>
      <c r="BV13" s="243"/>
      <c r="BW13" s="243"/>
      <c r="BX13" s="243"/>
      <c r="BY13" s="243"/>
      <c r="BZ13" s="243"/>
      <c r="CA13" s="243"/>
      <c r="CB13" s="243"/>
      <c r="CC13" s="243"/>
      <c r="CD13" s="243"/>
      <c r="CE13" s="244"/>
    </row>
    <row r="14" spans="1:83" s="11" customFormat="1" x14ac:dyDescent="0.3">
      <c r="A14" s="24"/>
      <c r="B14" s="26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20"/>
      <c r="W14" s="27"/>
      <c r="X14" s="20"/>
      <c r="Y14" s="20"/>
      <c r="Z14" s="20"/>
      <c r="AA14" s="20"/>
      <c r="AB14" s="20"/>
      <c r="AC14" s="19"/>
      <c r="AD14" s="20"/>
      <c r="AE14" s="20"/>
      <c r="AF14" s="20"/>
      <c r="AG14" s="20"/>
      <c r="AH14" s="20"/>
      <c r="AI14" s="20"/>
      <c r="AJ14" s="19"/>
      <c r="AK14" s="27"/>
      <c r="AL14" s="20"/>
      <c r="AM14" s="20"/>
      <c r="AN14" s="20"/>
      <c r="AO14" s="20"/>
      <c r="AP14" s="20"/>
      <c r="AQ14" s="19"/>
      <c r="AR14" s="34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27"/>
      <c r="BI14" s="20"/>
      <c r="BJ14" s="20"/>
      <c r="BK14" s="20"/>
      <c r="BL14" s="20"/>
      <c r="BM14" s="19"/>
      <c r="BN14" s="13"/>
      <c r="BP14" s="57"/>
      <c r="BT14" s="57"/>
      <c r="CE14" s="58"/>
    </row>
    <row r="15" spans="1:83" s="11" customFormat="1" x14ac:dyDescent="0.3">
      <c r="A15" s="24"/>
      <c r="B15" s="26"/>
      <c r="C15" s="20"/>
      <c r="D15" s="20"/>
      <c r="E15" s="20"/>
      <c r="F15" s="20"/>
      <c r="G15" s="20"/>
      <c r="H15" s="19"/>
      <c r="I15" s="27"/>
      <c r="J15" s="20"/>
      <c r="K15" s="20"/>
      <c r="L15" s="20"/>
      <c r="M15" s="20"/>
      <c r="N15" s="20"/>
      <c r="O15" s="19"/>
      <c r="P15" s="27"/>
      <c r="Q15" s="20"/>
      <c r="R15" s="20"/>
      <c r="S15" s="20"/>
      <c r="T15" s="20"/>
      <c r="U15" s="20"/>
      <c r="V15" s="20"/>
      <c r="W15" s="27"/>
      <c r="X15" s="20"/>
      <c r="Y15" s="20"/>
      <c r="Z15" s="20"/>
      <c r="AA15" s="20"/>
      <c r="AB15" s="20"/>
      <c r="AC15" s="19"/>
      <c r="AD15" s="20"/>
      <c r="AE15" s="20"/>
      <c r="AF15" s="20"/>
      <c r="AG15" s="20"/>
      <c r="AH15" s="20"/>
      <c r="AI15" s="20"/>
      <c r="AJ15" s="19"/>
      <c r="AK15" s="27"/>
      <c r="AL15" s="20"/>
      <c r="AM15" s="20"/>
      <c r="AN15" s="20"/>
      <c r="AO15" s="20"/>
      <c r="AP15" s="20"/>
      <c r="AQ15" s="19"/>
      <c r="AR15" s="34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27"/>
      <c r="BI15" s="20"/>
      <c r="BJ15" s="20"/>
      <c r="BK15" s="20"/>
      <c r="BL15" s="20"/>
      <c r="BM15" s="19"/>
      <c r="BN15" s="13"/>
      <c r="BP15" s="57"/>
      <c r="BT15" s="57"/>
      <c r="CE15" s="58"/>
    </row>
    <row r="16" spans="1:83" s="11" customFormat="1" x14ac:dyDescent="0.3">
      <c r="A16" s="24"/>
      <c r="B16" s="26"/>
      <c r="C16" s="20"/>
      <c r="D16" s="20"/>
      <c r="E16" s="20"/>
      <c r="F16" s="20"/>
      <c r="G16" s="20"/>
      <c r="H16" s="19"/>
      <c r="I16" s="27"/>
      <c r="J16" s="20"/>
      <c r="K16" s="20"/>
      <c r="L16" s="20"/>
      <c r="M16" s="20"/>
      <c r="N16" s="20"/>
      <c r="O16" s="19"/>
      <c r="P16" s="27"/>
      <c r="Q16" s="20"/>
      <c r="R16" s="20"/>
      <c r="S16" s="20"/>
      <c r="T16" s="20"/>
      <c r="U16" s="20"/>
      <c r="V16" s="20"/>
      <c r="W16" s="27"/>
      <c r="X16" s="20"/>
      <c r="Y16" s="20"/>
      <c r="Z16" s="20"/>
      <c r="AA16" s="20"/>
      <c r="AB16" s="20"/>
      <c r="AC16" s="19"/>
      <c r="AD16" s="20"/>
      <c r="AE16" s="20"/>
      <c r="AF16" s="20"/>
      <c r="AG16" s="20"/>
      <c r="AH16" s="20"/>
      <c r="AI16" s="20"/>
      <c r="AJ16" s="19"/>
      <c r="AK16" s="29"/>
      <c r="AL16"/>
      <c r="AM16"/>
      <c r="AN16"/>
      <c r="AO16"/>
      <c r="AP16"/>
      <c r="AQ16" s="18"/>
      <c r="AR16" s="34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27"/>
      <c r="BI16" s="20"/>
      <c r="BJ16" s="20"/>
      <c r="BK16" s="20"/>
      <c r="BL16" s="20"/>
      <c r="BM16" s="19"/>
      <c r="BN16" s="13"/>
      <c r="BP16" s="57"/>
      <c r="BT16" s="57"/>
      <c r="CE16" s="58"/>
    </row>
    <row r="17" spans="1:83" s="11" customFormat="1" x14ac:dyDescent="0.3">
      <c r="A17" s="24"/>
      <c r="B17" s="26"/>
      <c r="C17" s="20"/>
      <c r="D17" s="20"/>
      <c r="E17" s="20"/>
      <c r="F17" s="20"/>
      <c r="G17" s="20"/>
      <c r="H17" s="19"/>
      <c r="I17" s="27"/>
      <c r="J17" s="20"/>
      <c r="K17" s="20"/>
      <c r="L17" s="20"/>
      <c r="M17" s="20"/>
      <c r="N17" s="20"/>
      <c r="O17" s="19"/>
      <c r="P17" s="27"/>
      <c r="Q17" s="20"/>
      <c r="R17" s="20"/>
      <c r="S17" s="20"/>
      <c r="T17" s="20"/>
      <c r="U17" s="20"/>
      <c r="V17" s="20"/>
      <c r="W17" s="27"/>
      <c r="X17" s="20"/>
      <c r="Y17" s="20"/>
      <c r="Z17" s="20"/>
      <c r="AA17" s="20"/>
      <c r="AB17" s="20"/>
      <c r="AC17" s="19"/>
      <c r="AD17" s="20"/>
      <c r="AE17" s="20"/>
      <c r="AF17" s="20"/>
      <c r="AG17" s="20"/>
      <c r="AH17" s="20"/>
      <c r="AI17" s="20"/>
      <c r="AJ17" s="19"/>
      <c r="AK17" s="30"/>
      <c r="AQ17" s="13"/>
      <c r="AR17" s="34"/>
      <c r="AS17" s="21" t="s">
        <v>129</v>
      </c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27"/>
      <c r="BI17" s="20"/>
      <c r="BJ17" s="20"/>
      <c r="BK17" s="20"/>
      <c r="BL17" s="20"/>
      <c r="BM17" s="19"/>
      <c r="BN17" s="13"/>
      <c r="BP17" s="57"/>
      <c r="BT17" s="57"/>
      <c r="CE17" s="58"/>
    </row>
    <row r="18" spans="1:83" s="11" customFormat="1" x14ac:dyDescent="0.3">
      <c r="A18" s="24"/>
      <c r="B18" s="26"/>
      <c r="C18" s="20"/>
      <c r="D18" s="20"/>
      <c r="E18" s="20"/>
      <c r="F18" s="20"/>
      <c r="G18" s="20"/>
      <c r="H18" s="19"/>
      <c r="I18" s="27"/>
      <c r="J18" s="20"/>
      <c r="K18" s="20"/>
      <c r="L18" s="20"/>
      <c r="M18" s="20"/>
      <c r="N18" s="20"/>
      <c r="O18" s="19"/>
      <c r="P18" s="27"/>
      <c r="Q18" s="20"/>
      <c r="R18" s="20"/>
      <c r="S18" s="20"/>
      <c r="T18" s="20"/>
      <c r="U18" s="20"/>
      <c r="V18" s="20"/>
      <c r="W18" s="27"/>
      <c r="X18" s="20"/>
      <c r="Y18" s="20"/>
      <c r="Z18" s="20"/>
      <c r="AA18" s="20"/>
      <c r="AB18" s="20"/>
      <c r="AC18" s="19"/>
      <c r="AD18" s="20"/>
      <c r="AE18" s="20"/>
      <c r="AF18" s="20"/>
      <c r="AG18" s="20"/>
      <c r="AH18" s="20"/>
      <c r="AI18" s="20"/>
      <c r="AJ18" s="19"/>
      <c r="AK18" s="23"/>
      <c r="AL18" s="8"/>
      <c r="AM18" s="8"/>
      <c r="AN18" s="8"/>
      <c r="AO18" s="8"/>
      <c r="AP18" s="8"/>
      <c r="AQ18" s="14"/>
      <c r="AR18" s="34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27"/>
      <c r="BI18" s="20"/>
      <c r="BJ18" s="20"/>
      <c r="BK18" s="20"/>
      <c r="BL18" s="20"/>
      <c r="BM18" s="19"/>
      <c r="BN18" s="14"/>
      <c r="BP18" s="57"/>
      <c r="BT18" s="57"/>
      <c r="CE18" s="58"/>
    </row>
    <row r="19" spans="1:83" s="11" customFormat="1" x14ac:dyDescent="0.3">
      <c r="A19" s="24"/>
      <c r="B19" s="26"/>
      <c r="C19" s="20"/>
      <c r="D19" s="20"/>
      <c r="E19" s="20"/>
      <c r="F19" s="20"/>
      <c r="G19" s="20"/>
      <c r="H19" s="19"/>
      <c r="I19" s="27"/>
      <c r="J19" s="20"/>
      <c r="K19" s="20"/>
      <c r="L19" s="20"/>
      <c r="M19" s="20"/>
      <c r="N19" s="20"/>
      <c r="O19" s="19"/>
      <c r="P19" s="27"/>
      <c r="Q19" s="20"/>
      <c r="R19" s="20"/>
      <c r="S19" s="20"/>
      <c r="T19" s="20"/>
      <c r="U19" s="20"/>
      <c r="V19" s="20"/>
      <c r="W19" s="27"/>
      <c r="X19" s="20"/>
      <c r="Y19" s="20"/>
      <c r="Z19" s="20"/>
      <c r="AA19" s="20"/>
      <c r="AB19" s="20"/>
      <c r="AC19" s="19"/>
      <c r="AD19" s="20"/>
      <c r="AE19" s="20"/>
      <c r="AF19" s="20"/>
      <c r="AG19" s="20"/>
      <c r="AH19" s="20"/>
      <c r="AI19" s="20"/>
      <c r="AJ19" s="19"/>
      <c r="AK19" s="23"/>
      <c r="AL19" s="8"/>
      <c r="AM19" s="8"/>
      <c r="AN19" s="8"/>
      <c r="AO19" s="8"/>
      <c r="AP19" s="8"/>
      <c r="AQ19" s="14"/>
      <c r="AR19" s="34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27"/>
      <c r="BI19" s="20"/>
      <c r="BJ19" s="20"/>
      <c r="BK19" s="20"/>
      <c r="BL19" s="20"/>
      <c r="BM19" s="19"/>
      <c r="BN19" s="14"/>
      <c r="BP19" s="57"/>
      <c r="BT19" s="57"/>
      <c r="CE19" s="58"/>
    </row>
    <row r="20" spans="1:83" s="11" customFormat="1" x14ac:dyDescent="0.3">
      <c r="A20" s="24"/>
      <c r="B20" s="26"/>
      <c r="C20" s="20"/>
      <c r="D20" s="20"/>
      <c r="E20" s="20"/>
      <c r="F20" s="20"/>
      <c r="G20" s="20"/>
      <c r="H20" s="19"/>
      <c r="I20" s="27"/>
      <c r="J20" s="20"/>
      <c r="K20" s="20"/>
      <c r="L20" s="20"/>
      <c r="M20" s="20"/>
      <c r="N20" s="20"/>
      <c r="O20" s="19"/>
      <c r="P20" s="27"/>
      <c r="Q20" s="20"/>
      <c r="R20" s="20"/>
      <c r="S20" s="20"/>
      <c r="T20" s="20"/>
      <c r="U20" s="20"/>
      <c r="V20" s="20"/>
      <c r="W20" s="27"/>
      <c r="X20" s="20"/>
      <c r="Y20" s="20"/>
      <c r="Z20" s="20"/>
      <c r="AA20" s="20"/>
      <c r="AB20" s="20"/>
      <c r="AC20" s="19"/>
      <c r="AD20" s="20"/>
      <c r="AE20" s="20"/>
      <c r="AF20" s="20"/>
      <c r="AG20" s="20"/>
      <c r="AH20" s="20"/>
      <c r="AI20" s="20"/>
      <c r="AJ20" s="19"/>
      <c r="AK20" s="23"/>
      <c r="AL20" s="8"/>
      <c r="AM20" s="8"/>
      <c r="AN20" s="8"/>
      <c r="AO20" s="8"/>
      <c r="AP20" s="8"/>
      <c r="AQ20" s="14"/>
      <c r="AR20" s="34"/>
      <c r="AS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27"/>
      <c r="BI20" s="20"/>
      <c r="BJ20" s="20"/>
      <c r="BK20" s="20"/>
      <c r="BL20" s="20"/>
      <c r="BM20" s="19"/>
      <c r="BN20" s="14"/>
      <c r="BP20" s="57"/>
      <c r="BT20" s="57"/>
      <c r="CE20" s="58"/>
    </row>
    <row r="21" spans="1:83" s="11" customFormat="1" ht="13.5" customHeight="1" x14ac:dyDescent="0.3">
      <c r="A21" s="24"/>
      <c r="B21" s="28"/>
      <c r="C21" s="12"/>
      <c r="D21" s="12"/>
      <c r="E21" s="12"/>
      <c r="F21" s="12"/>
      <c r="G21" s="12"/>
      <c r="H21" s="18"/>
      <c r="I21" s="29"/>
      <c r="J21"/>
      <c r="K21"/>
      <c r="L21"/>
      <c r="M21"/>
      <c r="N21"/>
      <c r="O21" s="18"/>
      <c r="P21" s="29"/>
      <c r="Q21"/>
      <c r="R21"/>
      <c r="S21"/>
      <c r="T21"/>
      <c r="U21"/>
      <c r="V21"/>
      <c r="W21" s="29"/>
      <c r="X21"/>
      <c r="Y21"/>
      <c r="Z21"/>
      <c r="AA21"/>
      <c r="AB21"/>
      <c r="AC21" s="18"/>
      <c r="AD21"/>
      <c r="AE21"/>
      <c r="AF21"/>
      <c r="AG21"/>
      <c r="AH21"/>
      <c r="AI21"/>
      <c r="AJ21" s="18"/>
      <c r="AK21" s="23"/>
      <c r="AL21" s="8"/>
      <c r="AM21" s="8"/>
      <c r="AN21" s="8"/>
      <c r="AO21" s="8"/>
      <c r="AP21" s="8"/>
      <c r="AQ21" s="14"/>
      <c r="AR21" s="30"/>
      <c r="BH21" s="30"/>
      <c r="BM21" s="13"/>
      <c r="BN21" s="14"/>
      <c r="BP21" s="57"/>
      <c r="BT21" s="57"/>
      <c r="CE21" s="58"/>
    </row>
    <row r="22" spans="1:83" s="11" customFormat="1" x14ac:dyDescent="0.3">
      <c r="A22" s="24"/>
      <c r="B22" s="28"/>
      <c r="C22" s="12"/>
      <c r="D22" s="12"/>
      <c r="E22" s="12"/>
      <c r="F22" s="12"/>
      <c r="G22" s="12"/>
      <c r="H22" s="18"/>
      <c r="I22" s="30"/>
      <c r="O22" s="13"/>
      <c r="P22" s="30"/>
      <c r="W22" s="30"/>
      <c r="AC22" s="13"/>
      <c r="AJ22" s="18"/>
      <c r="AK22" s="23"/>
      <c r="AL22" s="8"/>
      <c r="AM22" s="8"/>
      <c r="AN22" s="8"/>
      <c r="AO22" s="8"/>
      <c r="AP22" s="8"/>
      <c r="AQ22" s="14"/>
      <c r="AS22" s="16" t="s">
        <v>130</v>
      </c>
      <c r="BH22" s="30"/>
      <c r="BM22" s="13"/>
      <c r="BN22" s="14"/>
      <c r="BP22" s="57"/>
      <c r="BT22" s="57"/>
      <c r="CE22" s="58"/>
    </row>
    <row r="23" spans="1:83" x14ac:dyDescent="0.3">
      <c r="A23" s="23"/>
      <c r="B23" s="23"/>
      <c r="H23" s="14"/>
      <c r="I23" s="23"/>
      <c r="O23" s="14"/>
      <c r="P23" s="23"/>
      <c r="W23" s="23"/>
      <c r="AC23" s="14"/>
      <c r="AJ23" s="18"/>
      <c r="AK23" s="23"/>
      <c r="AQ23" s="14"/>
      <c r="AR23" s="30"/>
      <c r="AS23" s="11"/>
      <c r="BB23" s="11"/>
      <c r="BC23" s="11"/>
      <c r="BD23" s="11"/>
      <c r="BE23" s="11"/>
      <c r="BF23" s="11"/>
      <c r="BG23" s="11"/>
      <c r="BH23" s="23"/>
      <c r="BM23" s="14"/>
      <c r="BN23" s="14"/>
      <c r="BP23" s="59"/>
      <c r="BT23" s="59"/>
      <c r="CE23" s="60"/>
    </row>
    <row r="24" spans="1:83" x14ac:dyDescent="0.3">
      <c r="A24" s="23"/>
      <c r="B24" s="23"/>
      <c r="H24" s="14"/>
      <c r="I24" s="23"/>
      <c r="O24" s="14"/>
      <c r="P24" s="23"/>
      <c r="W24" s="23"/>
      <c r="AC24" s="14"/>
      <c r="AJ24" s="18"/>
      <c r="AK24" s="23"/>
      <c r="AQ24" s="14"/>
      <c r="AR24" s="30"/>
      <c r="BB24" s="11"/>
      <c r="BG24" s="11"/>
      <c r="BH24" s="23"/>
      <c r="BM24" s="14"/>
      <c r="BN24" s="14"/>
      <c r="BP24" s="59"/>
      <c r="BT24" s="59"/>
      <c r="CE24" s="60"/>
    </row>
    <row r="25" spans="1:83" x14ac:dyDescent="0.3">
      <c r="A25" s="23"/>
      <c r="B25" s="23"/>
      <c r="H25" s="14"/>
      <c r="I25" s="23"/>
      <c r="O25" s="14"/>
      <c r="P25" s="23"/>
      <c r="W25" s="23"/>
      <c r="AC25" s="14"/>
      <c r="AJ25" s="18"/>
      <c r="AK25" s="23"/>
      <c r="AQ25" s="14"/>
      <c r="AR25" s="30"/>
      <c r="BB25" s="11"/>
      <c r="BG25" s="11"/>
      <c r="BH25" s="23"/>
      <c r="BM25" s="14"/>
      <c r="BN25" s="14"/>
      <c r="BP25" s="59"/>
      <c r="BT25" s="59"/>
      <c r="CE25" s="60"/>
    </row>
    <row r="26" spans="1:83" x14ac:dyDescent="0.3">
      <c r="A26" s="23"/>
      <c r="B26" s="23"/>
      <c r="H26" s="14"/>
      <c r="I26" s="23"/>
      <c r="O26" s="14"/>
      <c r="P26" s="23"/>
      <c r="W26" s="23"/>
      <c r="AC26" s="14"/>
      <c r="AJ26" s="18"/>
      <c r="AK26" s="23"/>
      <c r="AQ26" s="14"/>
      <c r="AR26" s="30"/>
      <c r="BB26" s="11"/>
      <c r="BG26" s="11"/>
      <c r="BH26" s="23"/>
      <c r="BM26" s="14"/>
      <c r="BN26" s="14"/>
      <c r="BP26" s="59"/>
      <c r="BT26" s="59"/>
      <c r="CE26" s="60"/>
    </row>
    <row r="27" spans="1:83" x14ac:dyDescent="0.3">
      <c r="A27" s="23"/>
      <c r="B27" s="23"/>
      <c r="H27" s="14"/>
      <c r="I27" s="23"/>
      <c r="O27" s="14"/>
      <c r="P27" s="23"/>
      <c r="W27" s="23"/>
      <c r="AC27" s="14"/>
      <c r="AJ27" s="18"/>
      <c r="AK27" s="23"/>
      <c r="AQ27" s="14"/>
      <c r="AR27" s="30"/>
      <c r="BB27" s="11"/>
      <c r="BG27" s="11"/>
      <c r="BH27" s="23"/>
      <c r="BM27" s="14"/>
      <c r="BN27" s="14"/>
      <c r="BP27" s="59"/>
      <c r="BT27" s="59"/>
      <c r="CE27" s="60"/>
    </row>
    <row r="28" spans="1:83" x14ac:dyDescent="0.3">
      <c r="A28" s="23"/>
      <c r="B28" s="23"/>
      <c r="H28" s="14"/>
      <c r="I28" s="23"/>
      <c r="O28" s="14"/>
      <c r="P28" s="23"/>
      <c r="W28" s="23"/>
      <c r="AC28" s="14"/>
      <c r="AJ28" s="18"/>
      <c r="AK28" s="23"/>
      <c r="AQ28" s="14"/>
      <c r="AR28" s="23"/>
      <c r="BB28" s="11"/>
      <c r="BH28" s="23"/>
      <c r="BM28" s="14"/>
      <c r="BN28" s="14"/>
      <c r="BP28" s="59"/>
      <c r="BT28" s="59"/>
      <c r="CE28" s="60"/>
    </row>
    <row r="29" spans="1:83" x14ac:dyDescent="0.3">
      <c r="A29" s="23"/>
      <c r="B29" s="23"/>
      <c r="H29" s="14"/>
      <c r="I29" s="23"/>
      <c r="O29" s="14"/>
      <c r="P29" s="23"/>
      <c r="W29" s="23"/>
      <c r="AC29" s="14"/>
      <c r="AJ29" s="18"/>
      <c r="AK29" s="23"/>
      <c r="AQ29" s="14"/>
      <c r="AR29" s="23"/>
      <c r="BB29" s="11"/>
      <c r="BH29" s="23"/>
      <c r="BM29" s="14"/>
      <c r="BN29" s="14"/>
      <c r="BP29" s="59"/>
      <c r="BT29" s="59"/>
      <c r="CE29" s="60"/>
    </row>
    <row r="30" spans="1:83" x14ac:dyDescent="0.3">
      <c r="A30" s="23"/>
      <c r="B30" s="23"/>
      <c r="H30" s="14"/>
      <c r="I30" s="23"/>
      <c r="O30" s="14"/>
      <c r="P30" s="23"/>
      <c r="W30" s="23"/>
      <c r="AC30" s="14"/>
      <c r="AJ30" s="18"/>
      <c r="AK30" s="23"/>
      <c r="AQ30" s="14"/>
      <c r="AR30" s="23"/>
      <c r="BB30" s="11"/>
      <c r="BH30" s="23"/>
      <c r="BM30" s="14"/>
      <c r="BN30" s="14"/>
      <c r="BP30" s="59"/>
      <c r="BT30" s="59"/>
      <c r="CE30" s="60"/>
    </row>
    <row r="31" spans="1:83" x14ac:dyDescent="0.3">
      <c r="A31" s="23"/>
      <c r="B31" s="23"/>
      <c r="H31" s="14"/>
      <c r="I31" s="23"/>
      <c r="O31" s="14"/>
      <c r="P31" s="23"/>
      <c r="W31" s="23"/>
      <c r="AC31" s="14"/>
      <c r="AJ31" s="18"/>
      <c r="AK31" s="23"/>
      <c r="AQ31" s="14"/>
      <c r="AR31" s="23"/>
      <c r="BB31" s="11"/>
      <c r="BH31" s="23"/>
      <c r="BM31" s="14"/>
      <c r="BN31" s="14"/>
      <c r="BP31" s="59"/>
      <c r="BT31" s="59"/>
      <c r="CE31" s="60"/>
    </row>
    <row r="32" spans="1:83" x14ac:dyDescent="0.3">
      <c r="A32" s="23"/>
      <c r="B32" s="23"/>
      <c r="H32" s="14"/>
      <c r="I32" s="23"/>
      <c r="O32" s="14"/>
      <c r="P32" s="23"/>
      <c r="W32" s="23"/>
      <c r="AC32" s="14"/>
      <c r="AJ32" s="18"/>
      <c r="AK32" s="23"/>
      <c r="AQ32" s="14"/>
      <c r="AR32" s="23"/>
      <c r="BB32" s="11"/>
      <c r="BH32" s="23"/>
      <c r="BM32" s="14"/>
      <c r="BN32" s="14"/>
      <c r="BP32" s="59"/>
      <c r="BT32" s="59"/>
      <c r="CE32" s="60"/>
    </row>
    <row r="33" spans="1:83" x14ac:dyDescent="0.3">
      <c r="A33" s="23"/>
      <c r="B33" s="23"/>
      <c r="H33" s="14"/>
      <c r="I33" s="23"/>
      <c r="O33" s="14"/>
      <c r="P33" s="23"/>
      <c r="W33" s="23"/>
      <c r="AC33" s="14"/>
      <c r="AJ33" s="18"/>
      <c r="AK33" s="23"/>
      <c r="AQ33" s="14"/>
      <c r="AR33" s="23"/>
      <c r="AS33" s="11" t="s">
        <v>131</v>
      </c>
      <c r="AT33" s="11"/>
      <c r="AU33" s="11"/>
      <c r="BB33" s="11"/>
      <c r="BH33" s="73" t="s">
        <v>132</v>
      </c>
      <c r="BM33" s="14"/>
      <c r="BN33" s="14"/>
      <c r="BP33" s="59"/>
      <c r="BT33" s="59"/>
      <c r="CE33" s="60"/>
    </row>
    <row r="34" spans="1:83" x14ac:dyDescent="0.3">
      <c r="A34" s="23"/>
      <c r="B34" s="23"/>
      <c r="H34" s="14"/>
      <c r="I34" s="23"/>
      <c r="O34" s="14"/>
      <c r="P34" s="23"/>
      <c r="W34" s="23"/>
      <c r="AC34" s="14"/>
      <c r="AJ34" s="18"/>
      <c r="AK34" s="23"/>
      <c r="AQ34" s="14"/>
      <c r="AR34" s="23"/>
      <c r="AT34" s="8" t="s">
        <v>163</v>
      </c>
      <c r="BB34" s="11"/>
      <c r="BH34" s="23" t="s">
        <v>134</v>
      </c>
      <c r="BM34" s="14"/>
      <c r="BN34" s="14"/>
      <c r="BP34" s="59"/>
      <c r="BT34" s="59"/>
      <c r="CE34" s="60"/>
    </row>
    <row r="35" spans="1:83" x14ac:dyDescent="0.3">
      <c r="A35" s="23"/>
      <c r="B35" s="23"/>
      <c r="H35" s="14"/>
      <c r="I35" s="23"/>
      <c r="O35" s="14"/>
      <c r="P35" s="23"/>
      <c r="W35" s="23"/>
      <c r="AC35" s="14"/>
      <c r="AJ35" s="18"/>
      <c r="AK35" s="23"/>
      <c r="AQ35" s="14"/>
      <c r="AR35" s="23"/>
      <c r="BB35" s="11"/>
      <c r="BH35" s="23"/>
      <c r="BI35" s="83" t="s">
        <v>136</v>
      </c>
      <c r="BM35" s="14"/>
      <c r="BN35" s="14"/>
      <c r="BP35" s="59"/>
      <c r="BT35" s="59"/>
      <c r="CE35" s="60"/>
    </row>
    <row r="36" spans="1:83" x14ac:dyDescent="0.3">
      <c r="A36" s="23"/>
      <c r="B36" s="23"/>
      <c r="H36" s="14"/>
      <c r="I36" s="23"/>
      <c r="O36" s="14"/>
      <c r="P36" s="23"/>
      <c r="W36" s="23"/>
      <c r="AC36" s="14"/>
      <c r="AJ36" s="18"/>
      <c r="AK36" s="23"/>
      <c r="AQ36" s="14"/>
      <c r="AR36" s="23"/>
      <c r="BB36" s="11"/>
      <c r="BH36" s="23"/>
      <c r="BI36" s="83" t="s">
        <v>137</v>
      </c>
      <c r="BM36" s="14"/>
      <c r="BN36" s="14"/>
      <c r="BP36" s="59"/>
      <c r="BT36" s="59"/>
      <c r="CE36" s="60"/>
    </row>
    <row r="37" spans="1:83" x14ac:dyDescent="0.3">
      <c r="A37" s="23"/>
      <c r="B37" s="23"/>
      <c r="H37" s="14"/>
      <c r="I37" s="23"/>
      <c r="O37" s="14"/>
      <c r="P37" s="23"/>
      <c r="W37" s="23"/>
      <c r="AC37" s="14"/>
      <c r="AJ37" s="18"/>
      <c r="AK37" s="23"/>
      <c r="AQ37" s="14"/>
      <c r="AR37" s="23"/>
      <c r="BB37" s="11"/>
      <c r="BH37" s="23"/>
      <c r="BM37" s="14"/>
      <c r="BN37" s="14"/>
      <c r="BP37" s="59"/>
      <c r="BT37" s="59"/>
      <c r="CE37" s="60"/>
    </row>
    <row r="38" spans="1:83" x14ac:dyDescent="0.3">
      <c r="A38" s="23"/>
      <c r="B38" s="23"/>
      <c r="H38" s="14"/>
      <c r="I38" s="23"/>
      <c r="O38" s="14"/>
      <c r="P38" s="23"/>
      <c r="W38" s="23"/>
      <c r="AC38" s="14"/>
      <c r="AJ38" s="18"/>
      <c r="AK38" s="23"/>
      <c r="AQ38" s="14"/>
      <c r="AR38" s="23"/>
      <c r="AS38" s="16"/>
      <c r="AT38" s="11"/>
      <c r="AU38" s="11"/>
      <c r="AV38" s="11"/>
      <c r="BB38" s="11"/>
      <c r="BH38" s="23"/>
      <c r="BM38" s="14"/>
      <c r="BN38" s="14"/>
      <c r="BP38" s="59"/>
      <c r="BT38" s="59"/>
      <c r="CE38" s="60"/>
    </row>
    <row r="39" spans="1:83" x14ac:dyDescent="0.3">
      <c r="A39" s="23"/>
      <c r="B39" s="23"/>
      <c r="H39" s="14"/>
      <c r="I39" s="23"/>
      <c r="O39" s="14"/>
      <c r="P39" s="23"/>
      <c r="W39" s="23"/>
      <c r="AC39" s="14"/>
      <c r="AJ39" s="18"/>
      <c r="AK39" s="23"/>
      <c r="AQ39" s="14"/>
      <c r="AR39" s="23"/>
      <c r="AS39" s="11"/>
      <c r="BB39" s="11"/>
      <c r="BH39" s="23"/>
      <c r="BM39" s="14"/>
      <c r="BN39" s="14"/>
      <c r="BP39" s="59"/>
      <c r="BT39" s="59"/>
      <c r="CE39" s="60"/>
    </row>
    <row r="40" spans="1:83" x14ac:dyDescent="0.3">
      <c r="A40" s="23"/>
      <c r="B40" s="23"/>
      <c r="H40" s="14"/>
      <c r="I40" s="23"/>
      <c r="O40" s="14"/>
      <c r="P40" s="23"/>
      <c r="W40" s="23"/>
      <c r="AC40" s="14"/>
      <c r="AJ40" s="18"/>
      <c r="AK40" s="23"/>
      <c r="AQ40" s="14"/>
      <c r="AR40" s="23"/>
      <c r="AS40" s="11"/>
      <c r="BB40" s="11"/>
      <c r="BH40" s="23"/>
      <c r="BM40" s="14"/>
      <c r="BN40" s="14"/>
      <c r="BP40" s="59"/>
      <c r="BT40" s="59"/>
      <c r="CE40" s="60"/>
    </row>
    <row r="41" spans="1:83" x14ac:dyDescent="0.3">
      <c r="A41" s="23"/>
      <c r="B41" s="23"/>
      <c r="H41" s="14"/>
      <c r="I41" s="23"/>
      <c r="O41" s="14"/>
      <c r="P41" s="23"/>
      <c r="W41" s="23"/>
      <c r="AC41" s="14"/>
      <c r="AJ41" s="18"/>
      <c r="AK41" s="23"/>
      <c r="AQ41" s="14"/>
      <c r="AR41" s="23"/>
      <c r="AS41" s="11"/>
      <c r="BB41" s="11"/>
      <c r="BH41" s="23"/>
      <c r="BM41" s="14"/>
      <c r="BN41" s="14"/>
      <c r="BP41" s="59"/>
      <c r="BT41" s="59"/>
      <c r="CE41" s="60"/>
    </row>
    <row r="42" spans="1:83" x14ac:dyDescent="0.3">
      <c r="A42" s="23"/>
      <c r="B42" s="23"/>
      <c r="H42" s="14"/>
      <c r="I42" s="23"/>
      <c r="O42" s="14"/>
      <c r="P42" s="23"/>
      <c r="W42" s="23"/>
      <c r="AC42" s="14"/>
      <c r="AJ42" s="18"/>
      <c r="AK42" s="23"/>
      <c r="AQ42" s="14"/>
      <c r="AR42" s="23"/>
      <c r="AS42" s="11"/>
      <c r="BB42" s="11"/>
      <c r="BH42" s="23"/>
      <c r="BM42" s="14"/>
      <c r="BN42" s="14"/>
      <c r="BP42" s="59"/>
      <c r="BT42" s="59"/>
      <c r="CE42" s="60"/>
    </row>
    <row r="43" spans="1:83" x14ac:dyDescent="0.3">
      <c r="A43" s="23"/>
      <c r="B43" s="23"/>
      <c r="H43" s="14"/>
      <c r="I43" s="23"/>
      <c r="O43" s="14"/>
      <c r="P43" s="23"/>
      <c r="W43" s="23"/>
      <c r="AC43" s="14"/>
      <c r="AJ43" s="18"/>
      <c r="AK43" s="23"/>
      <c r="AQ43" s="14"/>
      <c r="AR43" s="23"/>
      <c r="AS43" s="11"/>
      <c r="BH43" s="23"/>
      <c r="BM43" s="14"/>
      <c r="BN43" s="14"/>
      <c r="BP43" s="59"/>
      <c r="BT43" s="59"/>
      <c r="CE43" s="60"/>
    </row>
    <row r="44" spans="1:83" x14ac:dyDescent="0.3">
      <c r="A44" s="23"/>
      <c r="B44" s="23"/>
      <c r="H44" s="14"/>
      <c r="I44" s="23"/>
      <c r="O44" s="14"/>
      <c r="P44" s="23"/>
      <c r="W44" s="23"/>
      <c r="AC44" s="14"/>
      <c r="AJ44" s="18"/>
      <c r="AK44" s="23"/>
      <c r="AQ44" s="14"/>
      <c r="AR44" s="23"/>
      <c r="AS44" s="11"/>
      <c r="BH44" s="23"/>
      <c r="BM44" s="14"/>
      <c r="BN44" s="14"/>
      <c r="BP44" s="59"/>
      <c r="BT44" s="59"/>
      <c r="CE44" s="60"/>
    </row>
    <row r="45" spans="1:83" x14ac:dyDescent="0.3">
      <c r="A45" s="23"/>
      <c r="B45" s="23"/>
      <c r="H45" s="14"/>
      <c r="I45" s="23"/>
      <c r="O45" s="14"/>
      <c r="P45" s="23"/>
      <c r="W45" s="23"/>
      <c r="AC45" s="14"/>
      <c r="AJ45" s="18"/>
      <c r="AK45" s="23"/>
      <c r="AQ45" s="14"/>
      <c r="AR45" s="23"/>
      <c r="AS45" s="11"/>
      <c r="BH45" s="23"/>
      <c r="BM45" s="14"/>
      <c r="BN45" s="14"/>
      <c r="BP45" s="59"/>
      <c r="BT45" s="59"/>
      <c r="CE45" s="60"/>
    </row>
    <row r="46" spans="1:83" x14ac:dyDescent="0.3">
      <c r="A46" s="23"/>
      <c r="B46" s="23"/>
      <c r="H46" s="14"/>
      <c r="I46" s="23"/>
      <c r="O46" s="14"/>
      <c r="P46" s="23"/>
      <c r="W46" s="23"/>
      <c r="AC46" s="14"/>
      <c r="AJ46" s="18"/>
      <c r="AK46" s="23"/>
      <c r="AQ46" s="14"/>
      <c r="AR46" s="23"/>
      <c r="AS46" s="11"/>
      <c r="BH46" s="23"/>
      <c r="BM46" s="14"/>
      <c r="BN46" s="14"/>
      <c r="BP46" s="59"/>
      <c r="BT46" s="59"/>
      <c r="CE46" s="60"/>
    </row>
    <row r="47" spans="1:83" x14ac:dyDescent="0.3">
      <c r="A47" s="23"/>
      <c r="B47" s="23"/>
      <c r="H47" s="14"/>
      <c r="I47" s="23"/>
      <c r="O47" s="14"/>
      <c r="P47" s="23"/>
      <c r="W47" s="23"/>
      <c r="AC47" s="14"/>
      <c r="AJ47" s="18"/>
      <c r="AK47" s="23"/>
      <c r="AQ47" s="14"/>
      <c r="AR47" s="23"/>
      <c r="AS47" s="11"/>
      <c r="BH47" s="23"/>
      <c r="BM47" s="14"/>
      <c r="BN47" s="14"/>
      <c r="BP47" s="59"/>
      <c r="BT47" s="59"/>
      <c r="CE47" s="60"/>
    </row>
    <row r="48" spans="1:83" x14ac:dyDescent="0.3">
      <c r="A48" s="23"/>
      <c r="B48" s="23"/>
      <c r="H48" s="14"/>
      <c r="I48" s="23"/>
      <c r="O48" s="14"/>
      <c r="P48" s="23"/>
      <c r="W48" s="23"/>
      <c r="AC48" s="14"/>
      <c r="AJ48" s="18"/>
      <c r="AK48" s="23"/>
      <c r="AQ48" s="14"/>
      <c r="AR48" s="23"/>
      <c r="AS48" s="11"/>
      <c r="BH48" s="23"/>
      <c r="BM48" s="14"/>
      <c r="BN48" s="14"/>
      <c r="BP48" s="59"/>
      <c r="BT48" s="59"/>
      <c r="CE48" s="60"/>
    </row>
    <row r="49" spans="1:83" x14ac:dyDescent="0.3">
      <c r="A49" s="23"/>
      <c r="B49" s="23"/>
      <c r="H49" s="14"/>
      <c r="I49" s="23"/>
      <c r="O49" s="14"/>
      <c r="P49" s="23"/>
      <c r="W49" s="23"/>
      <c r="AC49" s="14"/>
      <c r="AJ49" s="18"/>
      <c r="AK49" s="23"/>
      <c r="AQ49" s="14"/>
      <c r="AR49" s="23"/>
      <c r="AS49" s="11"/>
      <c r="BB49" s="11"/>
      <c r="BH49" s="23"/>
      <c r="BM49" s="14"/>
      <c r="BN49" s="14"/>
      <c r="BP49" s="59"/>
      <c r="BT49" s="59"/>
      <c r="CE49" s="60"/>
    </row>
    <row r="50" spans="1:83" x14ac:dyDescent="0.3">
      <c r="A50" s="23"/>
      <c r="B50" s="23"/>
      <c r="H50" s="14"/>
      <c r="I50" s="23"/>
      <c r="O50" s="14"/>
      <c r="P50" s="23"/>
      <c r="W50" s="23"/>
      <c r="AC50" s="14"/>
      <c r="AJ50" s="18"/>
      <c r="AK50" s="23"/>
      <c r="AQ50" s="14"/>
      <c r="AR50" s="23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H50" s="23"/>
      <c r="BM50" s="14"/>
      <c r="BN50" s="14"/>
      <c r="BP50" s="59"/>
      <c r="BT50" s="59"/>
      <c r="CE50" s="60"/>
    </row>
    <row r="51" spans="1:83" x14ac:dyDescent="0.3">
      <c r="A51" s="23"/>
      <c r="B51" s="23"/>
      <c r="H51" s="14"/>
      <c r="I51" s="23"/>
      <c r="O51" s="14"/>
      <c r="P51" s="23"/>
      <c r="W51" s="23"/>
      <c r="AC51" s="14"/>
      <c r="AJ51" s="18"/>
      <c r="AK51" s="23"/>
      <c r="AQ51" s="14"/>
      <c r="AR51" s="23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H51" s="23"/>
      <c r="BM51" s="14"/>
      <c r="BN51" s="14"/>
      <c r="BP51" s="59"/>
      <c r="BT51" s="59"/>
      <c r="CE51" s="60"/>
    </row>
    <row r="52" spans="1:83" x14ac:dyDescent="0.3">
      <c r="A52" s="23"/>
      <c r="B52" s="23"/>
      <c r="H52" s="14"/>
      <c r="I52" s="23"/>
      <c r="O52" s="14"/>
      <c r="P52" s="23"/>
      <c r="W52" s="23"/>
      <c r="AC52" s="14"/>
      <c r="AJ52" s="18"/>
      <c r="AK52" s="23"/>
      <c r="AQ52" s="14"/>
      <c r="AR52" s="23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H52" s="23"/>
      <c r="BM52" s="14"/>
      <c r="BN52" s="14"/>
      <c r="BP52" s="59"/>
      <c r="BT52" s="59"/>
      <c r="CE52" s="60"/>
    </row>
    <row r="53" spans="1:83" x14ac:dyDescent="0.3">
      <c r="A53" s="23"/>
      <c r="B53" s="23"/>
      <c r="H53" s="14"/>
      <c r="I53" s="23"/>
      <c r="O53" s="14"/>
      <c r="P53" s="23"/>
      <c r="W53" s="23"/>
      <c r="AC53" s="14"/>
      <c r="AJ53" s="18"/>
      <c r="AK53" s="23"/>
      <c r="AQ53" s="14"/>
      <c r="AR53" s="23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H53" s="23"/>
      <c r="BM53" s="14"/>
      <c r="BN53" s="14"/>
      <c r="BP53" s="59"/>
      <c r="BT53" s="59"/>
      <c r="CE53" s="60"/>
    </row>
    <row r="54" spans="1:83" x14ac:dyDescent="0.3">
      <c r="A54" s="23"/>
      <c r="B54" s="23"/>
      <c r="H54" s="14"/>
      <c r="I54" s="23"/>
      <c r="O54" s="14"/>
      <c r="P54" s="23"/>
      <c r="W54" s="23"/>
      <c r="AC54" s="14"/>
      <c r="AJ54" s="18"/>
      <c r="AK54" s="23"/>
      <c r="AQ54" s="14"/>
      <c r="AR54" s="23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H54" s="23"/>
      <c r="BM54" s="14"/>
      <c r="BN54" s="14"/>
      <c r="BP54" s="59"/>
      <c r="BT54" s="59"/>
      <c r="CE54" s="60"/>
    </row>
    <row r="55" spans="1:83" x14ac:dyDescent="0.3">
      <c r="A55" s="23"/>
      <c r="B55" s="23"/>
      <c r="H55" s="14"/>
      <c r="I55" s="23"/>
      <c r="O55" s="14"/>
      <c r="P55" s="23"/>
      <c r="W55" s="23"/>
      <c r="AC55" s="14"/>
      <c r="AJ55" s="18"/>
      <c r="AK55" s="23"/>
      <c r="AQ55" s="14"/>
      <c r="AR55" s="23"/>
      <c r="BH55" s="23"/>
      <c r="BM55" s="14"/>
      <c r="BN55" s="14"/>
      <c r="BP55" s="59"/>
      <c r="BT55" s="59"/>
      <c r="CE55" s="60"/>
    </row>
    <row r="56" spans="1:83" x14ac:dyDescent="0.3">
      <c r="A56" s="23"/>
      <c r="B56" s="50"/>
      <c r="C56" s="10"/>
      <c r="D56" s="10"/>
      <c r="E56" s="10"/>
      <c r="F56" s="10"/>
      <c r="G56" s="10"/>
      <c r="H56" s="15"/>
      <c r="I56" s="50"/>
      <c r="J56" s="10"/>
      <c r="K56" s="10"/>
      <c r="L56" s="10"/>
      <c r="M56" s="10"/>
      <c r="N56" s="10"/>
      <c r="O56" s="15"/>
      <c r="P56" s="50"/>
      <c r="Q56" s="10"/>
      <c r="R56" s="10"/>
      <c r="S56" s="10"/>
      <c r="T56" s="10"/>
      <c r="U56" s="10"/>
      <c r="V56" s="10"/>
      <c r="W56" s="50"/>
      <c r="X56" s="10"/>
      <c r="Y56" s="10"/>
      <c r="Z56" s="10"/>
      <c r="AA56" s="10"/>
      <c r="AB56" s="10"/>
      <c r="AC56" s="15"/>
      <c r="AD56" s="10"/>
      <c r="AE56" s="10"/>
      <c r="AF56" s="10"/>
      <c r="AG56" s="10"/>
      <c r="AH56" s="10"/>
      <c r="AI56" s="10"/>
      <c r="AJ56" s="18"/>
      <c r="AK56" s="23"/>
      <c r="AQ56" s="14"/>
      <c r="AR56" s="5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50"/>
      <c r="BI56" s="10"/>
      <c r="BJ56" s="10"/>
      <c r="BK56" s="10"/>
      <c r="BL56" s="10"/>
      <c r="BM56" s="15"/>
      <c r="BN56" s="14"/>
      <c r="BP56" s="59"/>
      <c r="BT56" s="59"/>
      <c r="CE56" s="60"/>
    </row>
    <row r="57" spans="1:83" s="11" customFormat="1" x14ac:dyDescent="0.3">
      <c r="A57" s="24"/>
      <c r="B57" s="37" t="s">
        <v>164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98"/>
      <c r="X57" s="52"/>
      <c r="Y57" s="52"/>
      <c r="Z57" s="52"/>
      <c r="AA57" s="52"/>
      <c r="AB57" s="52"/>
      <c r="AC57" s="40"/>
      <c r="AD57" s="52"/>
      <c r="AE57" s="52"/>
      <c r="AF57" s="52"/>
      <c r="AG57" s="52"/>
      <c r="AH57" s="52"/>
      <c r="AI57" s="52"/>
      <c r="AJ57" s="52"/>
      <c r="AK57" s="22"/>
      <c r="AL57" s="22"/>
      <c r="AM57" s="22"/>
      <c r="AN57" s="22"/>
      <c r="AO57" s="22"/>
      <c r="AP57" s="22"/>
      <c r="AQ57" s="2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40"/>
      <c r="BN57" s="13"/>
      <c r="BP57" s="54"/>
      <c r="BQ57" s="55"/>
      <c r="BR57" s="55"/>
      <c r="BS57" s="55"/>
      <c r="BT57" s="54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6"/>
    </row>
    <row r="58" spans="1:83" s="11" customFormat="1" x14ac:dyDescent="0.3">
      <c r="A58" s="24"/>
      <c r="B58" s="41"/>
      <c r="C58" s="42"/>
      <c r="D58" s="42"/>
      <c r="E58" s="42"/>
      <c r="F58" s="42"/>
      <c r="G58" s="42"/>
      <c r="H58" s="43"/>
      <c r="I58" s="44"/>
      <c r="J58" s="42"/>
      <c r="K58" s="42"/>
      <c r="L58" s="42"/>
      <c r="M58" s="42"/>
      <c r="N58" s="42"/>
      <c r="O58" s="43"/>
      <c r="P58" s="44"/>
      <c r="Q58" s="42"/>
      <c r="R58" s="42"/>
      <c r="S58" s="42"/>
      <c r="T58" s="42"/>
      <c r="U58" s="42"/>
      <c r="V58" s="42"/>
      <c r="W58" s="44"/>
      <c r="X58" s="42"/>
      <c r="Y58" s="42"/>
      <c r="Z58" s="42"/>
      <c r="AA58" s="42"/>
      <c r="AB58" s="42"/>
      <c r="AC58" s="43"/>
      <c r="AD58" s="42"/>
      <c r="AE58" s="42"/>
      <c r="AF58" s="42"/>
      <c r="AG58" s="42"/>
      <c r="AH58" s="42"/>
      <c r="AI58" s="42"/>
      <c r="AJ58" s="43"/>
      <c r="AK58" s="44"/>
      <c r="AL58" s="42"/>
      <c r="AM58" s="42"/>
      <c r="AN58" s="42"/>
      <c r="AO58" s="42"/>
      <c r="AP58" s="42"/>
      <c r="AQ58" s="43"/>
      <c r="AR58" s="45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4"/>
      <c r="BI58" s="42"/>
      <c r="BJ58" s="42"/>
      <c r="BK58" s="42"/>
      <c r="BL58" s="42"/>
      <c r="BM58" s="43"/>
      <c r="BN58" s="13"/>
      <c r="BP58" s="57"/>
      <c r="BT58" s="57"/>
      <c r="CE58" s="58"/>
    </row>
    <row r="59" spans="1:83" s="11" customFormat="1" ht="13.5" customHeight="1" x14ac:dyDescent="0.3">
      <c r="A59" s="24"/>
      <c r="B59" s="26"/>
      <c r="C59" s="20"/>
      <c r="D59" s="20"/>
      <c r="E59" s="20"/>
      <c r="F59" s="20"/>
      <c r="G59" s="20"/>
      <c r="H59" s="19"/>
      <c r="I59" s="27"/>
      <c r="J59" s="20"/>
      <c r="K59" s="20"/>
      <c r="L59" s="20"/>
      <c r="M59" s="20"/>
      <c r="N59" s="20"/>
      <c r="O59" s="19"/>
      <c r="P59" s="27"/>
      <c r="Q59" s="20"/>
      <c r="R59" s="20"/>
      <c r="S59" s="20"/>
      <c r="T59" s="20"/>
      <c r="U59" s="20"/>
      <c r="V59" s="20"/>
      <c r="W59" s="27"/>
      <c r="X59" s="20"/>
      <c r="Y59" s="20"/>
      <c r="Z59" s="20"/>
      <c r="AA59" s="20"/>
      <c r="AB59" s="20"/>
      <c r="AC59" s="19"/>
      <c r="AD59" s="20"/>
      <c r="AE59" s="20"/>
      <c r="AF59" s="20"/>
      <c r="AG59" s="20"/>
      <c r="AH59" s="20"/>
      <c r="AI59" s="20"/>
      <c r="AJ59" s="19"/>
      <c r="AK59" s="27"/>
      <c r="AL59" s="20"/>
      <c r="AM59" s="20"/>
      <c r="AN59" s="20"/>
      <c r="AO59" s="20"/>
      <c r="AP59" s="20"/>
      <c r="AQ59" s="19"/>
      <c r="AR59" s="34"/>
      <c r="AS59" s="17" t="s">
        <v>121</v>
      </c>
      <c r="AT59" s="17" t="s">
        <v>122</v>
      </c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27"/>
      <c r="BI59" s="20"/>
      <c r="BJ59" s="20"/>
      <c r="BK59" s="20"/>
      <c r="BL59" s="20"/>
      <c r="BM59" s="19"/>
      <c r="BN59" s="13"/>
      <c r="BP59" s="57"/>
      <c r="BT59" s="242"/>
      <c r="BU59" s="243"/>
      <c r="BV59" s="243"/>
      <c r="BW59" s="243"/>
      <c r="BX59" s="243"/>
      <c r="BY59" s="243"/>
      <c r="BZ59" s="243"/>
      <c r="CA59" s="243"/>
      <c r="CB59" s="243"/>
      <c r="CC59" s="243"/>
      <c r="CD59" s="243"/>
      <c r="CE59" s="244"/>
    </row>
    <row r="60" spans="1:83" s="11" customFormat="1" x14ac:dyDescent="0.3">
      <c r="A60" s="24"/>
      <c r="B60" s="26"/>
      <c r="C60" s="20"/>
      <c r="D60" s="20"/>
      <c r="E60" s="20"/>
      <c r="F60" s="20"/>
      <c r="G60" s="20"/>
      <c r="H60" s="19"/>
      <c r="I60" s="27"/>
      <c r="J60" s="20"/>
      <c r="K60" s="20"/>
      <c r="L60" s="20"/>
      <c r="M60" s="20"/>
      <c r="N60" s="20"/>
      <c r="O60" s="19"/>
      <c r="P60" s="27"/>
      <c r="Q60" s="20"/>
      <c r="R60" s="20"/>
      <c r="S60" s="20"/>
      <c r="T60" s="20"/>
      <c r="U60" s="20"/>
      <c r="V60" s="20"/>
      <c r="W60" s="27"/>
      <c r="X60" s="20"/>
      <c r="Y60" s="20"/>
      <c r="Z60" s="20"/>
      <c r="AA60" s="20"/>
      <c r="AB60" s="20"/>
      <c r="AC60" s="19"/>
      <c r="AD60" s="20"/>
      <c r="AE60" s="20"/>
      <c r="AF60" s="20"/>
      <c r="AG60" s="20"/>
      <c r="AH60" s="20"/>
      <c r="AI60" s="20"/>
      <c r="AJ60" s="19"/>
      <c r="AK60" s="27"/>
      <c r="AL60" s="20"/>
      <c r="AM60" s="20"/>
      <c r="AN60" s="20"/>
      <c r="AO60" s="20"/>
      <c r="AP60" s="20"/>
      <c r="AQ60" s="19"/>
      <c r="AR60" s="34"/>
      <c r="AS60" s="17"/>
      <c r="AT60" s="17" t="s">
        <v>125</v>
      </c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27"/>
      <c r="BI60" s="20"/>
      <c r="BJ60" s="20"/>
      <c r="BK60" s="20"/>
      <c r="BL60" s="20"/>
      <c r="BM60" s="19"/>
      <c r="BN60" s="13"/>
      <c r="BP60" s="57"/>
      <c r="BT60" s="242"/>
      <c r="BU60" s="243"/>
      <c r="BV60" s="243"/>
      <c r="BW60" s="243"/>
      <c r="BX60" s="243"/>
      <c r="BY60" s="243"/>
      <c r="BZ60" s="243"/>
      <c r="CA60" s="243"/>
      <c r="CB60" s="243"/>
      <c r="CC60" s="243"/>
      <c r="CD60" s="243"/>
      <c r="CE60" s="244"/>
    </row>
    <row r="61" spans="1:83" s="11" customFormat="1" x14ac:dyDescent="0.3">
      <c r="A61" s="24"/>
      <c r="B61" s="26"/>
      <c r="C61" s="20"/>
      <c r="D61" s="20"/>
      <c r="E61" s="20"/>
      <c r="F61" s="20"/>
      <c r="G61" s="20"/>
      <c r="H61" s="19"/>
      <c r="I61" s="27"/>
      <c r="J61" s="20"/>
      <c r="K61" s="20"/>
      <c r="L61" s="20"/>
      <c r="M61" s="20"/>
      <c r="N61" s="20"/>
      <c r="O61" s="19"/>
      <c r="P61" s="27"/>
      <c r="Q61" s="20"/>
      <c r="R61" s="20"/>
      <c r="S61" s="20"/>
      <c r="T61" s="20"/>
      <c r="U61" s="20"/>
      <c r="V61" s="20"/>
      <c r="W61" s="27"/>
      <c r="X61" s="20"/>
      <c r="Y61" s="20"/>
      <c r="Z61" s="20"/>
      <c r="AA61" s="20"/>
      <c r="AB61" s="20"/>
      <c r="AC61" s="19"/>
      <c r="AD61" s="20"/>
      <c r="AE61" s="20"/>
      <c r="AF61" s="20"/>
      <c r="AG61" s="20"/>
      <c r="AH61" s="20"/>
      <c r="AI61" s="20"/>
      <c r="AJ61" s="19"/>
      <c r="AK61" s="27"/>
      <c r="AL61" s="20"/>
      <c r="AM61" s="20"/>
      <c r="AN61" s="20"/>
      <c r="AO61" s="20"/>
      <c r="AP61" s="20"/>
      <c r="AQ61" s="19"/>
      <c r="AR61" s="34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27"/>
      <c r="BI61" s="20"/>
      <c r="BJ61" s="20"/>
      <c r="BK61" s="20"/>
      <c r="BL61" s="20"/>
      <c r="BM61" s="19"/>
      <c r="BN61" s="13"/>
      <c r="BP61" s="57"/>
      <c r="BT61" s="57"/>
      <c r="CE61" s="58"/>
    </row>
    <row r="62" spans="1:83" s="11" customFormat="1" x14ac:dyDescent="0.3">
      <c r="A62" s="24"/>
      <c r="B62" s="26"/>
      <c r="C62" s="20"/>
      <c r="D62" s="20"/>
      <c r="E62" s="20"/>
      <c r="F62" s="20"/>
      <c r="G62" s="20"/>
      <c r="H62" s="19"/>
      <c r="I62" s="27"/>
      <c r="J62" s="20"/>
      <c r="K62" s="20"/>
      <c r="L62" s="20"/>
      <c r="M62" s="20"/>
      <c r="N62" s="20"/>
      <c r="O62" s="19"/>
      <c r="P62" s="27"/>
      <c r="Q62" s="20"/>
      <c r="R62" s="20"/>
      <c r="S62" s="20"/>
      <c r="T62" s="20"/>
      <c r="U62" s="20"/>
      <c r="V62" s="20"/>
      <c r="W62" s="27"/>
      <c r="X62" s="20"/>
      <c r="Y62" s="20"/>
      <c r="Z62" s="20"/>
      <c r="AA62" s="20"/>
      <c r="AB62" s="20"/>
      <c r="AC62" s="19"/>
      <c r="AD62" s="20"/>
      <c r="AE62" s="20"/>
      <c r="AF62" s="20"/>
      <c r="AG62" s="20"/>
      <c r="AH62" s="20"/>
      <c r="AI62" s="20"/>
      <c r="AJ62" s="19"/>
      <c r="AK62" s="27"/>
      <c r="AL62" s="20"/>
      <c r="AM62" s="20"/>
      <c r="AN62" s="20"/>
      <c r="AO62" s="20"/>
      <c r="AP62" s="20"/>
      <c r="AQ62" s="19"/>
      <c r="AR62" s="34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27"/>
      <c r="BI62" s="20"/>
      <c r="BJ62" s="20"/>
      <c r="BK62" s="20"/>
      <c r="BL62" s="20"/>
      <c r="BM62" s="19"/>
      <c r="BN62" s="13"/>
      <c r="BP62" s="57"/>
      <c r="BT62" s="57"/>
      <c r="CE62" s="58"/>
    </row>
    <row r="63" spans="1:83" s="11" customFormat="1" x14ac:dyDescent="0.3">
      <c r="A63" s="24"/>
      <c r="B63" s="26"/>
      <c r="C63" s="20"/>
      <c r="D63" s="20"/>
      <c r="E63" s="20"/>
      <c r="F63" s="20"/>
      <c r="G63" s="20"/>
      <c r="H63" s="19"/>
      <c r="I63" s="27"/>
      <c r="J63" s="20"/>
      <c r="K63" s="20"/>
      <c r="L63" s="20"/>
      <c r="M63" s="20"/>
      <c r="N63" s="20"/>
      <c r="O63" s="19"/>
      <c r="P63" s="27"/>
      <c r="Q63" s="20"/>
      <c r="R63" s="20"/>
      <c r="S63" s="20"/>
      <c r="T63" s="20"/>
      <c r="U63" s="20"/>
      <c r="V63" s="20"/>
      <c r="W63" s="27"/>
      <c r="X63" s="20"/>
      <c r="Y63" s="20"/>
      <c r="Z63" s="20"/>
      <c r="AA63" s="20"/>
      <c r="AB63" s="20"/>
      <c r="AC63" s="19"/>
      <c r="AD63" s="20"/>
      <c r="AE63" s="20"/>
      <c r="AF63" s="20"/>
      <c r="AG63" s="20"/>
      <c r="AH63" s="20"/>
      <c r="AI63" s="20"/>
      <c r="AJ63" s="19"/>
      <c r="AK63" s="29"/>
      <c r="AL63"/>
      <c r="AM63"/>
      <c r="AN63"/>
      <c r="AO63"/>
      <c r="AP63"/>
      <c r="AQ63" s="18"/>
      <c r="AR63" s="34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27"/>
      <c r="BI63" s="20"/>
      <c r="BJ63" s="20"/>
      <c r="BK63" s="20"/>
      <c r="BL63" s="20"/>
      <c r="BM63" s="19"/>
      <c r="BN63" s="13"/>
      <c r="BP63" s="57"/>
      <c r="BT63" s="57"/>
      <c r="CE63" s="58"/>
    </row>
    <row r="64" spans="1:83" s="11" customFormat="1" x14ac:dyDescent="0.3">
      <c r="A64" s="24"/>
      <c r="B64" s="26"/>
      <c r="C64" s="20"/>
      <c r="D64" s="20"/>
      <c r="E64" s="20"/>
      <c r="F64" s="20"/>
      <c r="G64" s="20"/>
      <c r="H64" s="19"/>
      <c r="I64" s="27"/>
      <c r="J64" s="20"/>
      <c r="K64" s="20"/>
      <c r="L64" s="20"/>
      <c r="M64" s="20"/>
      <c r="N64" s="20"/>
      <c r="O64" s="19"/>
      <c r="P64" s="27"/>
      <c r="Q64" s="20"/>
      <c r="R64" s="20"/>
      <c r="S64" s="20"/>
      <c r="T64" s="20"/>
      <c r="U64" s="20"/>
      <c r="V64" s="20"/>
      <c r="W64" s="27"/>
      <c r="X64" s="20"/>
      <c r="Y64" s="20"/>
      <c r="Z64" s="20"/>
      <c r="AA64" s="20"/>
      <c r="AB64" s="20"/>
      <c r="AC64" s="19"/>
      <c r="AD64" s="20"/>
      <c r="AE64" s="20"/>
      <c r="AF64" s="20"/>
      <c r="AG64" s="20"/>
      <c r="AH64" s="20"/>
      <c r="AI64" s="20"/>
      <c r="AJ64" s="19"/>
      <c r="AK64" s="30"/>
      <c r="AQ64" s="13"/>
      <c r="AR64" s="34"/>
      <c r="AS64" s="16" t="s">
        <v>165</v>
      </c>
      <c r="AT64" s="8"/>
      <c r="AU64" s="8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27"/>
      <c r="BI64" s="20"/>
      <c r="BJ64" s="20"/>
      <c r="BK64" s="20"/>
      <c r="BL64" s="20"/>
      <c r="BM64" s="19"/>
      <c r="BN64" s="13"/>
      <c r="BP64" s="57"/>
      <c r="BT64" s="57"/>
      <c r="CE64" s="58"/>
    </row>
    <row r="65" spans="1:83" s="11" customFormat="1" x14ac:dyDescent="0.3">
      <c r="A65" s="24"/>
      <c r="B65" s="26"/>
      <c r="C65" s="20"/>
      <c r="D65" s="20"/>
      <c r="E65" s="20"/>
      <c r="F65" s="20"/>
      <c r="G65" s="20"/>
      <c r="H65" s="19"/>
      <c r="I65" s="27"/>
      <c r="J65" s="20"/>
      <c r="K65" s="20"/>
      <c r="L65" s="20"/>
      <c r="M65" s="20"/>
      <c r="N65" s="20"/>
      <c r="O65" s="19"/>
      <c r="P65" s="27"/>
      <c r="Q65" s="20"/>
      <c r="R65" s="20"/>
      <c r="S65" s="20"/>
      <c r="T65" s="20"/>
      <c r="U65" s="20"/>
      <c r="V65" s="20"/>
      <c r="W65" s="27"/>
      <c r="X65" s="20"/>
      <c r="Y65" s="20"/>
      <c r="Z65" s="20"/>
      <c r="AA65" s="20"/>
      <c r="AB65" s="20"/>
      <c r="AC65" s="19"/>
      <c r="AD65" s="20"/>
      <c r="AE65" s="20"/>
      <c r="AF65" s="20"/>
      <c r="AG65" s="20"/>
      <c r="AH65" s="20"/>
      <c r="AI65" s="20"/>
      <c r="AJ65" s="19"/>
      <c r="AK65" s="23"/>
      <c r="AL65" s="8"/>
      <c r="AM65" s="8"/>
      <c r="AN65" s="8"/>
      <c r="AO65" s="8"/>
      <c r="AP65" s="8"/>
      <c r="AQ65" s="14"/>
      <c r="AR65" s="34"/>
      <c r="AS65" s="8"/>
      <c r="AT65" s="8" t="s">
        <v>166</v>
      </c>
      <c r="AU65" s="8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27"/>
      <c r="BI65" s="20"/>
      <c r="BJ65" s="20"/>
      <c r="BK65" s="20"/>
      <c r="BL65" s="20"/>
      <c r="BM65" s="19"/>
      <c r="BN65" s="14"/>
      <c r="BP65" s="57"/>
      <c r="BT65" s="57"/>
      <c r="CE65" s="58"/>
    </row>
    <row r="66" spans="1:83" s="11" customFormat="1" x14ac:dyDescent="0.3">
      <c r="A66" s="24"/>
      <c r="B66" s="26"/>
      <c r="C66" s="20"/>
      <c r="D66" s="20"/>
      <c r="E66" s="20"/>
      <c r="F66" s="20"/>
      <c r="G66" s="20"/>
      <c r="H66" s="19"/>
      <c r="I66" s="27"/>
      <c r="J66" s="20"/>
      <c r="K66" s="20"/>
      <c r="L66" s="20"/>
      <c r="M66" s="20"/>
      <c r="N66" s="20"/>
      <c r="O66" s="19"/>
      <c r="P66" s="27"/>
      <c r="Q66" s="20"/>
      <c r="R66" s="20"/>
      <c r="S66" s="20"/>
      <c r="T66" s="20"/>
      <c r="U66" s="20"/>
      <c r="V66" s="20"/>
      <c r="W66" s="27"/>
      <c r="X66" s="20"/>
      <c r="Y66" s="20"/>
      <c r="Z66" s="20"/>
      <c r="AA66" s="20"/>
      <c r="AB66" s="20"/>
      <c r="AC66" s="19"/>
      <c r="AD66" s="20"/>
      <c r="AE66" s="20"/>
      <c r="AF66" s="20"/>
      <c r="AG66" s="20"/>
      <c r="AH66" s="20"/>
      <c r="AI66" s="20"/>
      <c r="AJ66" s="19"/>
      <c r="AK66" s="23"/>
      <c r="AL66" s="8"/>
      <c r="AM66" s="8"/>
      <c r="AN66" s="8"/>
      <c r="AO66" s="8"/>
      <c r="AP66" s="8"/>
      <c r="AQ66" s="14"/>
      <c r="AR66" s="34"/>
      <c r="AS66" s="8"/>
      <c r="AU66" s="8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27"/>
      <c r="BI66" s="20"/>
      <c r="BJ66" s="20"/>
      <c r="BK66" s="20"/>
      <c r="BL66" s="20"/>
      <c r="BM66" s="19"/>
      <c r="BN66" s="14"/>
      <c r="BP66" s="57"/>
      <c r="BT66" s="57"/>
      <c r="CE66" s="58"/>
    </row>
    <row r="67" spans="1:83" s="11" customFormat="1" x14ac:dyDescent="0.3">
      <c r="A67" s="24"/>
      <c r="B67" s="26"/>
      <c r="C67" s="20"/>
      <c r="D67" s="20"/>
      <c r="E67" s="20"/>
      <c r="F67" s="20"/>
      <c r="G67" s="20"/>
      <c r="H67" s="19"/>
      <c r="I67" s="27"/>
      <c r="J67" s="20"/>
      <c r="K67" s="20"/>
      <c r="L67" s="20"/>
      <c r="M67" s="20"/>
      <c r="N67" s="20"/>
      <c r="O67" s="19"/>
      <c r="P67" s="27"/>
      <c r="Q67" s="20"/>
      <c r="R67" s="20"/>
      <c r="S67" s="20"/>
      <c r="T67" s="20"/>
      <c r="U67" s="20"/>
      <c r="V67" s="20"/>
      <c r="W67" s="27"/>
      <c r="X67" s="20"/>
      <c r="Y67" s="20"/>
      <c r="Z67" s="20"/>
      <c r="AA67" s="20"/>
      <c r="AB67" s="20"/>
      <c r="AC67" s="19"/>
      <c r="AD67" s="20"/>
      <c r="AE67" s="20"/>
      <c r="AF67" s="20"/>
      <c r="AG67" s="20"/>
      <c r="AH67" s="20"/>
      <c r="AI67" s="20"/>
      <c r="AJ67" s="19"/>
      <c r="AK67" s="23"/>
      <c r="AL67" s="8"/>
      <c r="AM67" s="8"/>
      <c r="AN67" s="8"/>
      <c r="AO67" s="8"/>
      <c r="AP67" s="8"/>
      <c r="AQ67" s="14"/>
      <c r="AR67" s="34"/>
      <c r="AS67" s="17"/>
      <c r="AT67" s="8" t="s">
        <v>167</v>
      </c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27"/>
      <c r="BI67" s="20"/>
      <c r="BJ67" s="20"/>
      <c r="BK67" s="20"/>
      <c r="BL67" s="20"/>
      <c r="BM67" s="19"/>
      <c r="BN67" s="14"/>
      <c r="BP67" s="57"/>
      <c r="BT67" s="57"/>
      <c r="CE67" s="58"/>
    </row>
    <row r="68" spans="1:83" s="11" customFormat="1" ht="13.5" customHeight="1" x14ac:dyDescent="0.3">
      <c r="A68" s="24"/>
      <c r="B68" s="28"/>
      <c r="C68" s="12"/>
      <c r="D68" s="12"/>
      <c r="E68" s="12"/>
      <c r="F68" s="12"/>
      <c r="G68" s="12"/>
      <c r="H68" s="18"/>
      <c r="I68" s="29"/>
      <c r="J68"/>
      <c r="K68"/>
      <c r="L68"/>
      <c r="M68"/>
      <c r="N68"/>
      <c r="O68" s="18"/>
      <c r="P68" s="29"/>
      <c r="Q68"/>
      <c r="R68"/>
      <c r="S68"/>
      <c r="T68"/>
      <c r="U68"/>
      <c r="V68"/>
      <c r="W68" s="29"/>
      <c r="X68"/>
      <c r="Y68"/>
      <c r="Z68"/>
      <c r="AA68"/>
      <c r="AB68"/>
      <c r="AC68" s="18"/>
      <c r="AD68"/>
      <c r="AE68"/>
      <c r="AF68"/>
      <c r="AG68"/>
      <c r="AH68"/>
      <c r="AI68"/>
      <c r="AJ68" s="18"/>
      <c r="AK68" s="23"/>
      <c r="AL68" s="8"/>
      <c r="AM68" s="8"/>
      <c r="AN68" s="8"/>
      <c r="AO68" s="8"/>
      <c r="AP68" s="8"/>
      <c r="AQ68" s="14"/>
      <c r="AR68" s="30"/>
      <c r="BH68" s="30"/>
      <c r="BM68" s="13"/>
      <c r="BN68" s="14"/>
      <c r="BP68" s="57"/>
      <c r="BT68" s="57"/>
      <c r="CE68" s="58"/>
    </row>
    <row r="69" spans="1:83" s="11" customFormat="1" x14ac:dyDescent="0.3">
      <c r="A69" s="24"/>
      <c r="B69" s="28"/>
      <c r="C69" s="12"/>
      <c r="D69" s="12"/>
      <c r="E69" s="12"/>
      <c r="F69" s="12"/>
      <c r="G69" s="12"/>
      <c r="H69" s="18"/>
      <c r="I69" s="30"/>
      <c r="O69" s="13"/>
      <c r="P69" s="30"/>
      <c r="W69" s="30"/>
      <c r="AC69" s="13"/>
      <c r="AJ69" s="18"/>
      <c r="AK69" s="23"/>
      <c r="AL69" s="8"/>
      <c r="AM69" s="8"/>
      <c r="AN69" s="8"/>
      <c r="AO69" s="8"/>
      <c r="AP69" s="8"/>
      <c r="AQ69" s="14"/>
      <c r="AS69" s="16" t="s">
        <v>168</v>
      </c>
      <c r="AT69"/>
      <c r="AU69" s="8"/>
      <c r="BH69" s="30"/>
      <c r="BM69" s="13"/>
      <c r="BN69" s="14"/>
      <c r="BP69" s="57"/>
      <c r="BT69" s="57"/>
      <c r="CE69" s="58"/>
    </row>
    <row r="70" spans="1:83" x14ac:dyDescent="0.3">
      <c r="A70" s="23"/>
      <c r="B70" s="23"/>
      <c r="H70" s="14"/>
      <c r="I70" s="23"/>
      <c r="O70" s="14"/>
      <c r="P70" s="23"/>
      <c r="W70" s="23"/>
      <c r="AC70" s="14"/>
      <c r="AJ70" s="18"/>
      <c r="AK70" s="23"/>
      <c r="AQ70" s="14"/>
      <c r="AR70" s="30"/>
      <c r="AS70"/>
      <c r="AT70" s="8" t="s">
        <v>169</v>
      </c>
      <c r="BB70" s="11"/>
      <c r="BC70" s="11"/>
      <c r="BD70" s="11"/>
      <c r="BE70" s="11"/>
      <c r="BF70" s="11"/>
      <c r="BG70" s="11"/>
      <c r="BH70" s="23"/>
      <c r="BM70" s="14"/>
      <c r="BN70" s="14"/>
      <c r="BP70" s="59"/>
      <c r="BT70" s="59"/>
      <c r="CE70" s="60"/>
    </row>
    <row r="71" spans="1:83" x14ac:dyDescent="0.3">
      <c r="A71" s="23"/>
      <c r="B71" s="23"/>
      <c r="H71" s="14"/>
      <c r="I71" s="23"/>
      <c r="O71" s="14"/>
      <c r="P71" s="23"/>
      <c r="W71" s="23"/>
      <c r="AC71" s="14"/>
      <c r="AJ71" s="18"/>
      <c r="AK71" s="23"/>
      <c r="AQ71" s="14"/>
      <c r="AR71" s="30"/>
      <c r="AS71"/>
      <c r="BB71" s="11"/>
      <c r="BG71" s="11"/>
      <c r="BH71" s="23"/>
      <c r="BM71" s="14"/>
      <c r="BN71" s="14"/>
      <c r="BP71" s="59"/>
      <c r="BT71" s="59"/>
      <c r="CE71" s="60"/>
    </row>
    <row r="72" spans="1:83" x14ac:dyDescent="0.3">
      <c r="A72" s="23"/>
      <c r="B72" s="23"/>
      <c r="H72" s="14"/>
      <c r="I72" s="23"/>
      <c r="O72" s="14"/>
      <c r="P72" s="23"/>
      <c r="W72" s="23"/>
      <c r="AC72" s="14"/>
      <c r="AJ72" s="18"/>
      <c r="AK72" s="23"/>
      <c r="AQ72" s="14"/>
      <c r="AR72" s="30"/>
      <c r="BB72" s="11"/>
      <c r="BG72" s="11"/>
      <c r="BH72" s="23"/>
      <c r="BM72" s="14"/>
      <c r="BN72" s="14"/>
      <c r="BP72" s="59"/>
      <c r="BT72" s="59"/>
      <c r="CE72" s="60"/>
    </row>
    <row r="73" spans="1:83" x14ac:dyDescent="0.3">
      <c r="A73" s="23"/>
      <c r="B73" s="23"/>
      <c r="H73" s="14"/>
      <c r="I73" s="23"/>
      <c r="O73" s="14"/>
      <c r="P73" s="23"/>
      <c r="W73" s="23"/>
      <c r="AC73" s="14"/>
      <c r="AJ73" s="18"/>
      <c r="AK73" s="23"/>
      <c r="AQ73" s="14"/>
      <c r="AR73" s="30"/>
      <c r="BB73" s="11"/>
      <c r="BG73" s="11"/>
      <c r="BH73" s="23"/>
      <c r="BM73" s="14"/>
      <c r="BN73" s="14"/>
      <c r="BP73" s="59"/>
      <c r="BT73" s="59"/>
      <c r="CE73" s="60"/>
    </row>
    <row r="74" spans="1:83" x14ac:dyDescent="0.3">
      <c r="A74" s="23"/>
      <c r="B74" s="23"/>
      <c r="H74" s="14"/>
      <c r="I74" s="23"/>
      <c r="O74" s="14"/>
      <c r="P74" s="23"/>
      <c r="W74" s="23"/>
      <c r="AC74" s="14"/>
      <c r="AJ74" s="18"/>
      <c r="AK74" s="23"/>
      <c r="AQ74" s="14"/>
      <c r="AR74" s="30"/>
      <c r="AS74" s="16" t="s">
        <v>170</v>
      </c>
      <c r="AT74"/>
      <c r="BB74" s="11"/>
      <c r="BG74" s="11"/>
      <c r="BH74" s="23"/>
      <c r="BM74" s="14"/>
      <c r="BN74" s="14"/>
      <c r="BP74" s="59"/>
      <c r="BT74" s="59"/>
      <c r="CE74" s="60"/>
    </row>
    <row r="75" spans="1:83" x14ac:dyDescent="0.3">
      <c r="A75" s="23"/>
      <c r="B75" s="23"/>
      <c r="H75" s="14"/>
      <c r="I75" s="23"/>
      <c r="O75" s="14"/>
      <c r="P75" s="23"/>
      <c r="W75" s="23"/>
      <c r="AC75" s="14"/>
      <c r="AJ75" s="18"/>
      <c r="AK75" s="23"/>
      <c r="AQ75" s="14"/>
      <c r="AR75" s="23"/>
      <c r="AS75"/>
      <c r="AT75" s="8" t="s">
        <v>171</v>
      </c>
      <c r="BB75" s="11"/>
      <c r="BH75" s="23"/>
      <c r="BM75" s="14"/>
      <c r="BN75" s="14"/>
      <c r="BP75" s="59"/>
      <c r="BT75" s="59"/>
      <c r="CE75" s="60"/>
    </row>
    <row r="76" spans="1:83" x14ac:dyDescent="0.3">
      <c r="A76" s="23"/>
      <c r="B76" s="23"/>
      <c r="H76" s="14"/>
      <c r="I76" s="23"/>
      <c r="O76" s="14"/>
      <c r="P76" s="23"/>
      <c r="W76" s="23"/>
      <c r="AC76" s="14"/>
      <c r="AJ76" s="18"/>
      <c r="AK76" s="23"/>
      <c r="AQ76" s="14"/>
      <c r="AR76" s="23"/>
      <c r="AS76"/>
      <c r="BB76" s="11"/>
      <c r="BH76" s="23"/>
      <c r="BM76" s="14"/>
      <c r="BN76" s="14"/>
      <c r="BP76" s="59"/>
      <c r="BT76" s="59"/>
      <c r="CE76" s="60"/>
    </row>
    <row r="77" spans="1:83" x14ac:dyDescent="0.3">
      <c r="A77" s="23"/>
      <c r="B77" s="23"/>
      <c r="H77" s="14"/>
      <c r="I77" s="23"/>
      <c r="O77" s="14"/>
      <c r="P77" s="23"/>
      <c r="W77" s="23"/>
      <c r="AC77" s="14"/>
      <c r="AJ77" s="18"/>
      <c r="AK77" s="23"/>
      <c r="AQ77" s="14"/>
      <c r="AR77" s="23"/>
      <c r="BB77" s="11"/>
      <c r="BH77" s="23"/>
      <c r="BM77" s="14"/>
      <c r="BN77" s="14"/>
      <c r="BP77" s="59"/>
      <c r="BT77" s="59"/>
      <c r="CE77" s="60"/>
    </row>
    <row r="78" spans="1:83" x14ac:dyDescent="0.3">
      <c r="A78" s="23"/>
      <c r="B78" s="23"/>
      <c r="H78" s="14"/>
      <c r="I78" s="23"/>
      <c r="O78" s="14"/>
      <c r="P78" s="23"/>
      <c r="W78" s="23"/>
      <c r="AC78" s="14"/>
      <c r="AJ78" s="18"/>
      <c r="AK78" s="23"/>
      <c r="AQ78" s="14"/>
      <c r="AR78" s="23"/>
      <c r="BB78" s="11"/>
      <c r="BH78" s="23"/>
      <c r="BM78" s="14"/>
      <c r="BN78" s="14"/>
      <c r="BP78" s="59"/>
      <c r="BT78" s="59"/>
      <c r="CE78" s="60"/>
    </row>
    <row r="79" spans="1:83" x14ac:dyDescent="0.3">
      <c r="A79" s="23"/>
      <c r="B79" s="23"/>
      <c r="H79" s="14"/>
      <c r="I79" s="23"/>
      <c r="O79" s="14"/>
      <c r="P79" s="23"/>
      <c r="W79" s="23"/>
      <c r="AC79" s="14"/>
      <c r="AJ79" s="18"/>
      <c r="AK79" s="23"/>
      <c r="AQ79" s="14"/>
      <c r="AR79" s="23"/>
      <c r="BB79" s="11"/>
      <c r="BH79" s="23"/>
      <c r="BM79" s="14"/>
      <c r="BN79" s="14"/>
      <c r="BP79" s="59"/>
      <c r="BT79" s="59"/>
      <c r="CE79" s="60"/>
    </row>
    <row r="80" spans="1:83" x14ac:dyDescent="0.3">
      <c r="A80" s="23"/>
      <c r="B80" s="23"/>
      <c r="H80" s="14"/>
      <c r="I80" s="23"/>
      <c r="O80" s="14"/>
      <c r="P80" s="23"/>
      <c r="W80" s="23"/>
      <c r="AC80" s="14"/>
      <c r="AJ80" s="18"/>
      <c r="AK80" s="23"/>
      <c r="AQ80" s="14"/>
      <c r="AR80" s="23"/>
      <c r="AS80" s="16" t="s">
        <v>172</v>
      </c>
      <c r="BB80" s="11"/>
      <c r="BH80" s="73"/>
      <c r="BM80" s="14"/>
      <c r="BN80" s="14"/>
      <c r="BP80" s="59"/>
      <c r="BT80" s="59"/>
      <c r="CE80" s="60"/>
    </row>
    <row r="81" spans="1:83" x14ac:dyDescent="0.3">
      <c r="A81" s="23"/>
      <c r="B81" s="23"/>
      <c r="H81" s="14"/>
      <c r="I81" s="23"/>
      <c r="O81" s="14"/>
      <c r="P81" s="23"/>
      <c r="W81" s="23"/>
      <c r="AC81" s="14"/>
      <c r="AJ81" s="18"/>
      <c r="AK81" s="23"/>
      <c r="AQ81" s="14"/>
      <c r="AR81" s="23"/>
      <c r="AT81" s="8" t="s">
        <v>173</v>
      </c>
      <c r="BB81" s="11"/>
      <c r="BH81" s="23"/>
      <c r="BM81" s="14"/>
      <c r="BN81" s="14"/>
      <c r="BP81" s="59"/>
      <c r="BT81" s="59"/>
      <c r="CE81" s="60"/>
    </row>
    <row r="82" spans="1:83" x14ac:dyDescent="0.3">
      <c r="A82" s="23"/>
      <c r="B82" s="23"/>
      <c r="H82" s="14"/>
      <c r="I82" s="23"/>
      <c r="O82" s="14"/>
      <c r="P82" s="23"/>
      <c r="W82" s="23"/>
      <c r="AC82" s="14"/>
      <c r="AJ82" s="18"/>
      <c r="AK82" s="23"/>
      <c r="AQ82" s="14"/>
      <c r="AR82" s="23"/>
      <c r="AT82" s="8" t="s">
        <v>174</v>
      </c>
      <c r="BB82" s="11"/>
      <c r="BH82" s="23"/>
      <c r="BI82" s="83"/>
      <c r="BM82" s="14"/>
      <c r="BN82" s="14"/>
      <c r="BP82" s="59"/>
      <c r="BT82" s="59"/>
      <c r="CE82" s="60"/>
    </row>
    <row r="83" spans="1:83" x14ac:dyDescent="0.3">
      <c r="A83" s="23"/>
      <c r="B83" s="23"/>
      <c r="H83" s="14"/>
      <c r="I83" s="23"/>
      <c r="O83" s="14"/>
      <c r="P83" s="23"/>
      <c r="W83" s="23"/>
      <c r="AC83" s="14"/>
      <c r="AJ83" s="18"/>
      <c r="AK83" s="23"/>
      <c r="AQ83" s="14"/>
      <c r="AR83" s="23"/>
      <c r="BB83" s="11"/>
      <c r="BH83" s="23"/>
      <c r="BI83" s="83"/>
      <c r="BM83" s="14"/>
      <c r="BN83" s="14"/>
      <c r="BP83" s="59"/>
      <c r="BT83" s="59"/>
      <c r="CE83" s="60"/>
    </row>
    <row r="84" spans="1:83" x14ac:dyDescent="0.3">
      <c r="A84" s="23"/>
      <c r="B84" s="23"/>
      <c r="H84" s="14"/>
      <c r="I84" s="23"/>
      <c r="O84" s="14"/>
      <c r="P84" s="23"/>
      <c r="W84" s="23"/>
      <c r="AC84" s="14"/>
      <c r="AJ84" s="18"/>
      <c r="AK84" s="23"/>
      <c r="AQ84" s="14"/>
      <c r="AR84" s="23"/>
      <c r="BB84" s="11"/>
      <c r="BH84" s="23"/>
      <c r="BM84" s="14"/>
      <c r="BN84" s="14"/>
      <c r="BP84" s="59"/>
      <c r="BT84" s="59"/>
      <c r="CE84" s="60"/>
    </row>
    <row r="85" spans="1:83" x14ac:dyDescent="0.3">
      <c r="A85" s="23"/>
      <c r="B85" s="23"/>
      <c r="H85" s="14"/>
      <c r="I85" s="23"/>
      <c r="O85" s="14"/>
      <c r="P85" s="23"/>
      <c r="W85" s="23"/>
      <c r="AC85" s="14"/>
      <c r="AJ85" s="18"/>
      <c r="AK85" s="23"/>
      <c r="AQ85" s="14"/>
      <c r="AR85" s="23"/>
      <c r="AS85" s="16"/>
      <c r="AT85" s="11"/>
      <c r="AU85" s="11"/>
      <c r="AV85" s="11"/>
      <c r="BB85" s="11"/>
      <c r="BH85" s="23"/>
      <c r="BM85" s="14"/>
      <c r="BN85" s="14"/>
      <c r="BP85" s="59"/>
      <c r="BT85" s="59"/>
      <c r="CE85" s="60"/>
    </row>
    <row r="86" spans="1:83" x14ac:dyDescent="0.3">
      <c r="A86" s="23"/>
      <c r="B86" s="23"/>
      <c r="H86" s="14"/>
      <c r="I86" s="23"/>
      <c r="O86" s="14"/>
      <c r="P86" s="23"/>
      <c r="W86" s="23"/>
      <c r="AC86" s="14"/>
      <c r="AJ86" s="18"/>
      <c r="AK86" s="23"/>
      <c r="AQ86" s="14"/>
      <c r="AR86" s="23"/>
      <c r="AS86" s="11"/>
      <c r="BB86" s="11"/>
      <c r="BH86" s="23"/>
      <c r="BM86" s="14"/>
      <c r="BN86" s="14"/>
      <c r="BP86" s="59"/>
      <c r="BT86" s="59"/>
      <c r="CE86" s="60"/>
    </row>
    <row r="87" spans="1:83" x14ac:dyDescent="0.3">
      <c r="A87" s="23"/>
      <c r="B87" s="23"/>
      <c r="H87" s="14"/>
      <c r="I87" s="23"/>
      <c r="O87" s="14"/>
      <c r="P87" s="23"/>
      <c r="W87" s="23"/>
      <c r="AC87" s="14"/>
      <c r="AJ87" s="18"/>
      <c r="AK87" s="23"/>
      <c r="AQ87" s="14"/>
      <c r="AR87" s="23"/>
      <c r="AS87" s="11"/>
      <c r="BB87" s="11"/>
      <c r="BH87" s="23"/>
      <c r="BM87" s="14"/>
      <c r="BN87" s="14"/>
      <c r="BP87" s="59"/>
      <c r="BT87" s="59"/>
      <c r="CE87" s="60"/>
    </row>
    <row r="88" spans="1:83" x14ac:dyDescent="0.3">
      <c r="A88" s="23"/>
      <c r="B88" s="23"/>
      <c r="H88" s="14"/>
      <c r="I88" s="23"/>
      <c r="O88" s="14"/>
      <c r="P88" s="23"/>
      <c r="W88" s="23"/>
      <c r="AC88" s="14"/>
      <c r="AJ88" s="18"/>
      <c r="AK88" s="23"/>
      <c r="AQ88" s="14"/>
      <c r="AR88" s="23"/>
      <c r="AS88" s="11"/>
      <c r="BB88" s="11"/>
      <c r="BH88" s="23"/>
      <c r="BM88" s="14"/>
      <c r="BN88" s="14"/>
      <c r="BP88" s="59"/>
      <c r="BT88" s="59"/>
      <c r="CE88" s="60"/>
    </row>
    <row r="89" spans="1:83" x14ac:dyDescent="0.3">
      <c r="A89" s="23"/>
      <c r="B89" s="23"/>
      <c r="H89" s="14"/>
      <c r="I89" s="23"/>
      <c r="O89" s="14"/>
      <c r="P89" s="23"/>
      <c r="W89" s="23"/>
      <c r="AC89" s="14"/>
      <c r="AJ89" s="18"/>
      <c r="AK89" s="23"/>
      <c r="AQ89" s="14"/>
      <c r="AR89" s="23"/>
      <c r="AS89" s="11"/>
      <c r="BB89" s="11"/>
      <c r="BH89" s="23"/>
      <c r="BM89" s="14"/>
      <c r="BN89" s="14"/>
      <c r="BP89" s="59"/>
      <c r="BT89" s="59"/>
      <c r="CE89" s="60"/>
    </row>
    <row r="90" spans="1:83" x14ac:dyDescent="0.3">
      <c r="A90" s="23"/>
      <c r="B90" s="23"/>
      <c r="H90" s="14"/>
      <c r="I90" s="23"/>
      <c r="O90" s="14"/>
      <c r="P90" s="23"/>
      <c r="W90" s="23"/>
      <c r="AC90" s="14"/>
      <c r="AJ90" s="18"/>
      <c r="AK90" s="23"/>
      <c r="AQ90" s="14"/>
      <c r="AR90" s="23"/>
      <c r="AS90" s="11"/>
      <c r="BH90" s="23"/>
      <c r="BM90" s="14"/>
      <c r="BN90" s="14"/>
      <c r="BP90" s="59"/>
      <c r="BT90" s="59"/>
      <c r="CE90" s="60"/>
    </row>
    <row r="91" spans="1:83" x14ac:dyDescent="0.3">
      <c r="A91" s="23"/>
      <c r="B91" s="23"/>
      <c r="H91" s="14"/>
      <c r="I91" s="23"/>
      <c r="O91" s="14"/>
      <c r="P91" s="23"/>
      <c r="W91" s="23"/>
      <c r="AC91" s="14"/>
      <c r="AJ91" s="18"/>
      <c r="AK91" s="23"/>
      <c r="AQ91" s="14"/>
      <c r="AR91" s="23"/>
      <c r="AS91" s="11"/>
      <c r="BH91" s="23"/>
      <c r="BM91" s="14"/>
      <c r="BN91" s="14"/>
      <c r="BP91" s="59"/>
      <c r="BT91" s="59"/>
      <c r="CE91" s="60"/>
    </row>
    <row r="92" spans="1:83" x14ac:dyDescent="0.3">
      <c r="A92" s="23"/>
      <c r="B92" s="23"/>
      <c r="H92" s="14"/>
      <c r="I92" s="23"/>
      <c r="O92" s="14"/>
      <c r="P92" s="23"/>
      <c r="W92" s="23"/>
      <c r="AC92" s="14"/>
      <c r="AJ92" s="18"/>
      <c r="AK92" s="23"/>
      <c r="AQ92" s="14"/>
      <c r="AR92" s="23"/>
      <c r="AS92" s="11"/>
      <c r="BH92" s="23"/>
      <c r="BM92" s="14"/>
      <c r="BN92" s="14"/>
      <c r="BP92" s="59"/>
      <c r="BT92" s="59"/>
      <c r="CE92" s="60"/>
    </row>
    <row r="93" spans="1:83" x14ac:dyDescent="0.3">
      <c r="A93" s="23"/>
      <c r="B93" s="23"/>
      <c r="H93" s="14"/>
      <c r="I93" s="23"/>
      <c r="O93" s="14"/>
      <c r="P93" s="23"/>
      <c r="W93" s="23"/>
      <c r="AC93" s="14"/>
      <c r="AJ93" s="18"/>
      <c r="AK93" s="23"/>
      <c r="AQ93" s="14"/>
      <c r="AR93" s="23"/>
      <c r="AS93" s="11"/>
      <c r="BH93" s="23"/>
      <c r="BM93" s="14"/>
      <c r="BN93" s="14"/>
      <c r="BP93" s="59"/>
      <c r="BT93" s="59"/>
      <c r="CE93" s="60"/>
    </row>
    <row r="94" spans="1:83" x14ac:dyDescent="0.3">
      <c r="A94" s="23"/>
      <c r="B94" s="23"/>
      <c r="H94" s="14"/>
      <c r="I94" s="23"/>
      <c r="O94" s="14"/>
      <c r="P94" s="23"/>
      <c r="W94" s="23"/>
      <c r="AC94" s="14"/>
      <c r="AJ94" s="18"/>
      <c r="AK94" s="23"/>
      <c r="AQ94" s="14"/>
      <c r="AR94" s="23"/>
      <c r="AS94" s="11"/>
      <c r="BH94" s="23"/>
      <c r="BM94" s="14"/>
      <c r="BN94" s="14"/>
      <c r="BP94" s="59"/>
      <c r="BT94" s="59"/>
      <c r="CE94" s="60"/>
    </row>
    <row r="95" spans="1:83" x14ac:dyDescent="0.3">
      <c r="A95" s="23"/>
      <c r="B95" s="23"/>
      <c r="H95" s="14"/>
      <c r="I95" s="23"/>
      <c r="O95" s="14"/>
      <c r="P95" s="23"/>
      <c r="W95" s="23"/>
      <c r="AC95" s="14"/>
      <c r="AJ95" s="18"/>
      <c r="AK95" s="23"/>
      <c r="AQ95" s="14"/>
      <c r="AR95" s="23"/>
      <c r="AS95" s="11"/>
      <c r="BH95" s="23"/>
      <c r="BM95" s="14"/>
      <c r="BN95" s="14"/>
      <c r="BP95" s="59"/>
      <c r="BT95" s="59"/>
      <c r="CE95" s="60"/>
    </row>
    <row r="96" spans="1:83" x14ac:dyDescent="0.3">
      <c r="A96" s="23"/>
      <c r="B96" s="23"/>
      <c r="H96" s="14"/>
      <c r="I96" s="23"/>
      <c r="O96" s="14"/>
      <c r="P96" s="23"/>
      <c r="W96" s="23"/>
      <c r="AC96" s="14"/>
      <c r="AJ96" s="18"/>
      <c r="AK96" s="23"/>
      <c r="AQ96" s="14"/>
      <c r="AR96" s="23"/>
      <c r="AS96" s="11"/>
      <c r="BB96" s="11"/>
      <c r="BH96" s="23"/>
      <c r="BM96" s="14"/>
      <c r="BN96" s="14"/>
      <c r="BP96" s="59"/>
      <c r="BT96" s="59"/>
      <c r="CE96" s="60"/>
    </row>
    <row r="97" spans="1:83" x14ac:dyDescent="0.3">
      <c r="A97" s="23"/>
      <c r="B97" s="23"/>
      <c r="H97" s="14"/>
      <c r="I97" s="23"/>
      <c r="O97" s="14"/>
      <c r="P97" s="23"/>
      <c r="W97" s="23"/>
      <c r="AC97" s="14"/>
      <c r="AJ97" s="18"/>
      <c r="AK97" s="23"/>
      <c r="AQ97" s="14"/>
      <c r="AR97" s="23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H97" s="23"/>
      <c r="BM97" s="14"/>
      <c r="BN97" s="14"/>
      <c r="BP97" s="59"/>
      <c r="BT97" s="59"/>
      <c r="CE97" s="60"/>
    </row>
    <row r="98" spans="1:83" x14ac:dyDescent="0.3">
      <c r="A98" s="23"/>
      <c r="B98" s="23"/>
      <c r="H98" s="14"/>
      <c r="I98" s="23"/>
      <c r="O98" s="14"/>
      <c r="P98" s="23"/>
      <c r="W98" s="23"/>
      <c r="AC98" s="14"/>
      <c r="AJ98" s="18"/>
      <c r="AK98" s="23"/>
      <c r="AQ98" s="14"/>
      <c r="AR98" s="23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H98" s="23"/>
      <c r="BM98" s="14"/>
      <c r="BN98" s="14"/>
      <c r="BP98" s="59"/>
      <c r="BT98" s="59"/>
      <c r="CE98" s="60"/>
    </row>
    <row r="99" spans="1:83" x14ac:dyDescent="0.3">
      <c r="A99" s="23"/>
      <c r="B99" s="23"/>
      <c r="H99" s="14"/>
      <c r="I99" s="23"/>
      <c r="O99" s="14"/>
      <c r="P99" s="23"/>
      <c r="W99" s="23"/>
      <c r="AC99" s="14"/>
      <c r="AJ99" s="18"/>
      <c r="AK99" s="23"/>
      <c r="AQ99" s="14"/>
      <c r="AR99" s="23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H99" s="23"/>
      <c r="BM99" s="14"/>
      <c r="BN99" s="14"/>
      <c r="BP99" s="59"/>
      <c r="BT99" s="59"/>
      <c r="CE99" s="60"/>
    </row>
    <row r="100" spans="1:83" x14ac:dyDescent="0.3">
      <c r="A100" s="23"/>
      <c r="B100" s="23"/>
      <c r="H100" s="14"/>
      <c r="I100" s="23"/>
      <c r="O100" s="14"/>
      <c r="P100" s="23"/>
      <c r="W100" s="23"/>
      <c r="AC100" s="14"/>
      <c r="AJ100" s="18"/>
      <c r="AK100" s="23"/>
      <c r="AQ100" s="14"/>
      <c r="AR100" s="23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H100" s="23"/>
      <c r="BM100" s="14"/>
      <c r="BN100" s="14"/>
      <c r="BP100" s="59"/>
      <c r="BT100" s="59"/>
      <c r="CE100" s="60"/>
    </row>
    <row r="101" spans="1:83" x14ac:dyDescent="0.3">
      <c r="A101" s="23"/>
      <c r="B101" s="23"/>
      <c r="H101" s="14"/>
      <c r="I101" s="23"/>
      <c r="O101" s="14"/>
      <c r="P101" s="23"/>
      <c r="W101" s="23"/>
      <c r="AC101" s="14"/>
      <c r="AJ101" s="18"/>
      <c r="AK101" s="23"/>
      <c r="AQ101" s="14"/>
      <c r="AR101" s="23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H101" s="23"/>
      <c r="BM101" s="14"/>
      <c r="BN101" s="14"/>
      <c r="BP101" s="59"/>
      <c r="BT101" s="59"/>
      <c r="CE101" s="60"/>
    </row>
    <row r="102" spans="1:83" x14ac:dyDescent="0.3">
      <c r="A102" s="23"/>
      <c r="B102" s="23"/>
      <c r="H102" s="14"/>
      <c r="I102" s="23"/>
      <c r="O102" s="14"/>
      <c r="P102" s="23"/>
      <c r="W102" s="23"/>
      <c r="AC102" s="14"/>
      <c r="AJ102" s="18"/>
      <c r="AK102" s="23"/>
      <c r="AQ102" s="14"/>
      <c r="AR102" s="23"/>
      <c r="BH102" s="23"/>
      <c r="BM102" s="14"/>
      <c r="BN102" s="14"/>
      <c r="BP102" s="59"/>
      <c r="BT102" s="59"/>
      <c r="CE102" s="60"/>
    </row>
    <row r="103" spans="1:83" x14ac:dyDescent="0.3">
      <c r="A103" s="23"/>
      <c r="B103" s="50"/>
      <c r="C103" s="10"/>
      <c r="D103" s="10"/>
      <c r="E103" s="10"/>
      <c r="F103" s="10"/>
      <c r="G103" s="10"/>
      <c r="H103" s="15"/>
      <c r="I103" s="50"/>
      <c r="J103" s="10"/>
      <c r="K103" s="10"/>
      <c r="L103" s="10"/>
      <c r="M103" s="10"/>
      <c r="N103" s="10"/>
      <c r="O103" s="15"/>
      <c r="P103" s="50"/>
      <c r="Q103" s="10"/>
      <c r="R103" s="10"/>
      <c r="S103" s="10"/>
      <c r="T103" s="10"/>
      <c r="U103" s="10"/>
      <c r="V103" s="10"/>
      <c r="W103" s="50"/>
      <c r="X103" s="10"/>
      <c r="Y103" s="10"/>
      <c r="Z103" s="10"/>
      <c r="AA103" s="10"/>
      <c r="AB103" s="10"/>
      <c r="AC103" s="15"/>
      <c r="AD103" s="10"/>
      <c r="AE103" s="10"/>
      <c r="AF103" s="10"/>
      <c r="AG103" s="10"/>
      <c r="AH103" s="10"/>
      <c r="AI103" s="10"/>
      <c r="AJ103" s="18"/>
      <c r="AK103" s="23"/>
      <c r="AQ103" s="14"/>
      <c r="AR103" s="5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50"/>
      <c r="BI103" s="10"/>
      <c r="BJ103" s="10"/>
      <c r="BK103" s="10"/>
      <c r="BL103" s="10"/>
      <c r="BM103" s="15"/>
      <c r="BN103" s="14"/>
      <c r="BP103" s="59"/>
      <c r="BT103" s="59"/>
      <c r="CE103" s="60"/>
    </row>
    <row r="104" spans="1:83" ht="13.5" customHeight="1" x14ac:dyDescent="0.3">
      <c r="A104" s="23"/>
      <c r="B104" s="37" t="s">
        <v>175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98"/>
      <c r="X104" s="52"/>
      <c r="Y104" s="52"/>
      <c r="Z104" s="52"/>
      <c r="AA104" s="52"/>
      <c r="AB104" s="52"/>
      <c r="AC104" s="40"/>
      <c r="AD104" s="52"/>
      <c r="AE104" s="52"/>
      <c r="AF104" s="52"/>
      <c r="AG104" s="52"/>
      <c r="AH104" s="52"/>
      <c r="AI104" s="52"/>
      <c r="AJ104" s="52"/>
      <c r="AK104" s="22"/>
      <c r="AL104" s="22"/>
      <c r="AM104" s="22"/>
      <c r="AN104" s="22"/>
      <c r="AO104" s="22"/>
      <c r="AP104" s="22"/>
      <c r="AQ104" s="2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40"/>
      <c r="BN104" s="14"/>
      <c r="BP104" s="59"/>
      <c r="BT104" s="59"/>
      <c r="CE104" s="60"/>
    </row>
    <row r="105" spans="1:83" x14ac:dyDescent="0.3">
      <c r="A105" s="23"/>
      <c r="B105" s="23"/>
      <c r="H105" s="14"/>
      <c r="I105" s="23"/>
      <c r="O105" s="49"/>
      <c r="P105" s="23"/>
      <c r="V105" s="48"/>
      <c r="W105" s="47"/>
      <c r="X105" s="48"/>
      <c r="Y105" s="48"/>
      <c r="Z105" s="48"/>
      <c r="AA105" s="48"/>
      <c r="AB105" s="48"/>
      <c r="AC105" s="49"/>
      <c r="AD105" s="48"/>
      <c r="AK105" s="23"/>
      <c r="AQ105" s="14"/>
      <c r="AR105" s="23"/>
      <c r="BH105" s="23"/>
      <c r="BM105" s="14"/>
      <c r="BN105" s="14"/>
      <c r="BP105" s="59"/>
      <c r="BT105" s="59"/>
      <c r="CE105" s="60"/>
    </row>
    <row r="106" spans="1:83" x14ac:dyDescent="0.3">
      <c r="A106" s="23"/>
      <c r="B106" s="23"/>
      <c r="H106" s="14"/>
      <c r="I106" s="23"/>
      <c r="O106" s="14"/>
      <c r="P106" s="23"/>
      <c r="W106" s="23"/>
      <c r="AC106" s="14"/>
      <c r="AK106" s="23"/>
      <c r="AQ106" s="14"/>
      <c r="AR106" s="23"/>
      <c r="BH106" s="23"/>
      <c r="BM106" s="14"/>
      <c r="BN106" s="14"/>
      <c r="BP106" s="59"/>
      <c r="BT106" s="59"/>
      <c r="CE106" s="60"/>
    </row>
    <row r="107" spans="1:83" x14ac:dyDescent="0.3">
      <c r="A107" s="23"/>
      <c r="B107" s="23"/>
      <c r="H107" s="14"/>
      <c r="I107" s="23"/>
      <c r="O107" s="14"/>
      <c r="P107" s="23"/>
      <c r="W107" s="23"/>
      <c r="AC107" s="14"/>
      <c r="AK107" s="23"/>
      <c r="AQ107" s="14"/>
      <c r="AR107" s="23"/>
      <c r="BH107" s="23"/>
      <c r="BM107" s="14"/>
      <c r="BN107" s="14"/>
      <c r="BP107" s="59"/>
      <c r="BT107" s="59"/>
      <c r="CE107" s="60"/>
    </row>
    <row r="108" spans="1:83" x14ac:dyDescent="0.3">
      <c r="A108" s="23"/>
      <c r="B108" s="23"/>
      <c r="H108" s="14"/>
      <c r="I108" s="23"/>
      <c r="O108" s="14"/>
      <c r="P108" s="23"/>
      <c r="W108" s="23"/>
      <c r="AC108" s="14"/>
      <c r="AK108" s="23"/>
      <c r="AQ108" s="14"/>
      <c r="AR108" s="23"/>
      <c r="BH108" s="23"/>
      <c r="BM108" s="14"/>
      <c r="BN108" s="14"/>
      <c r="BP108" s="59"/>
      <c r="BT108" s="59"/>
      <c r="CE108" s="60"/>
    </row>
    <row r="109" spans="1:83" x14ac:dyDescent="0.3">
      <c r="A109" s="23"/>
      <c r="B109" s="23"/>
      <c r="H109" s="14"/>
      <c r="I109" s="23"/>
      <c r="O109" s="14"/>
      <c r="P109" s="23"/>
      <c r="W109" s="23"/>
      <c r="AC109" s="14"/>
      <c r="AK109" s="23"/>
      <c r="AQ109" s="14"/>
      <c r="AR109" s="23"/>
      <c r="BH109" s="23"/>
      <c r="BM109" s="14"/>
      <c r="BN109" s="14"/>
      <c r="BP109" s="59"/>
      <c r="BT109" s="59"/>
      <c r="CE109" s="60"/>
    </row>
    <row r="110" spans="1:83" x14ac:dyDescent="0.3">
      <c r="A110" s="23"/>
      <c r="B110" s="23"/>
      <c r="H110" s="14"/>
      <c r="I110" s="23"/>
      <c r="O110" s="14"/>
      <c r="P110" s="23"/>
      <c r="W110" s="23"/>
      <c r="AC110" s="14"/>
      <c r="AK110" s="23"/>
      <c r="AQ110" s="14"/>
      <c r="AR110" s="23"/>
      <c r="AS110" s="21" t="s">
        <v>143</v>
      </c>
      <c r="BH110" s="23"/>
      <c r="BM110" s="14"/>
      <c r="BN110" s="14"/>
      <c r="BP110" s="59"/>
      <c r="BT110" s="59"/>
      <c r="CE110" s="60"/>
    </row>
    <row r="111" spans="1:83" x14ac:dyDescent="0.3">
      <c r="A111" s="23"/>
      <c r="B111" s="23"/>
      <c r="H111" s="14"/>
      <c r="I111" s="23"/>
      <c r="O111" s="14"/>
      <c r="P111" s="23"/>
      <c r="W111" s="23"/>
      <c r="AC111" s="14"/>
      <c r="AK111" s="23"/>
      <c r="AQ111" s="14"/>
      <c r="AR111" s="23"/>
      <c r="BH111" s="23"/>
      <c r="BM111" s="14"/>
      <c r="BN111" s="14"/>
      <c r="BP111" s="59"/>
      <c r="BT111" s="59"/>
      <c r="CE111" s="60"/>
    </row>
    <row r="112" spans="1:83" x14ac:dyDescent="0.3">
      <c r="A112" s="23"/>
      <c r="B112" s="23"/>
      <c r="H112" s="14"/>
      <c r="I112" s="23"/>
      <c r="O112" s="14"/>
      <c r="P112" s="23"/>
      <c r="W112" s="23"/>
      <c r="AC112" s="14"/>
      <c r="AK112" s="23"/>
      <c r="AQ112" s="14"/>
      <c r="AR112" s="23"/>
      <c r="BH112" s="23"/>
      <c r="BM112" s="14"/>
      <c r="BN112" s="14"/>
      <c r="BP112" s="59"/>
      <c r="BT112" s="59"/>
      <c r="CE112" s="60"/>
    </row>
    <row r="113" spans="1:83" x14ac:dyDescent="0.3">
      <c r="A113" s="23"/>
      <c r="B113" s="23"/>
      <c r="H113" s="14"/>
      <c r="I113" s="23"/>
      <c r="O113" s="14"/>
      <c r="P113" s="23"/>
      <c r="W113" s="23"/>
      <c r="AC113" s="14"/>
      <c r="AK113" s="23"/>
      <c r="AQ113" s="14"/>
      <c r="AR113" s="23"/>
      <c r="BH113" s="23"/>
      <c r="BM113" s="14"/>
      <c r="BN113" s="14"/>
      <c r="BP113" s="59"/>
      <c r="BT113" s="59"/>
      <c r="CE113" s="60"/>
    </row>
    <row r="114" spans="1:83" x14ac:dyDescent="0.3">
      <c r="A114" s="23"/>
      <c r="B114" s="23"/>
      <c r="H114" s="14"/>
      <c r="I114" s="23"/>
      <c r="O114" s="14"/>
      <c r="P114" s="23"/>
      <c r="W114" s="23"/>
      <c r="AC114" s="14"/>
      <c r="AK114" s="23"/>
      <c r="AQ114" s="14"/>
      <c r="AR114" s="23"/>
      <c r="BH114" s="23"/>
      <c r="BM114" s="14"/>
      <c r="BN114" s="14"/>
      <c r="BP114" s="59"/>
      <c r="BT114" s="59"/>
      <c r="CE114" s="60"/>
    </row>
    <row r="115" spans="1:83" x14ac:dyDescent="0.3">
      <c r="A115" s="23"/>
      <c r="B115" s="23"/>
      <c r="H115" s="14"/>
      <c r="I115" s="23"/>
      <c r="O115" s="14"/>
      <c r="P115" s="23"/>
      <c r="W115" s="23"/>
      <c r="AC115" s="14"/>
      <c r="AK115" s="23"/>
      <c r="AQ115" s="14"/>
      <c r="AR115" s="23"/>
      <c r="BH115" s="23"/>
      <c r="BM115" s="14"/>
      <c r="BN115" s="14"/>
      <c r="BP115" s="59"/>
      <c r="BT115" s="59"/>
      <c r="CE115" s="60"/>
    </row>
    <row r="116" spans="1:83" x14ac:dyDescent="0.3">
      <c r="A116" s="23"/>
      <c r="B116" s="23"/>
      <c r="H116" s="14"/>
      <c r="I116" s="23"/>
      <c r="O116" s="14"/>
      <c r="P116" s="23"/>
      <c r="W116" s="23"/>
      <c r="AC116" s="14"/>
      <c r="AK116" s="23"/>
      <c r="AQ116" s="14"/>
      <c r="AR116" s="23"/>
      <c r="AS116" s="21" t="s">
        <v>144</v>
      </c>
      <c r="BH116" s="23"/>
      <c r="BM116" s="14"/>
      <c r="BN116" s="14"/>
      <c r="BP116" s="59"/>
      <c r="BT116" s="59"/>
      <c r="CE116" s="60"/>
    </row>
    <row r="117" spans="1:83" x14ac:dyDescent="0.3">
      <c r="A117" s="23"/>
      <c r="B117" s="23"/>
      <c r="H117" s="14"/>
      <c r="I117" s="23"/>
      <c r="O117" s="14"/>
      <c r="P117" s="23"/>
      <c r="W117" s="23"/>
      <c r="AC117" s="14"/>
      <c r="AK117" s="23"/>
      <c r="AQ117" s="14"/>
      <c r="AR117" s="23"/>
      <c r="AT117" s="8" t="s">
        <v>145</v>
      </c>
      <c r="BH117" s="23"/>
      <c r="BM117" s="14"/>
      <c r="BN117" s="14"/>
      <c r="BP117" s="59"/>
      <c r="BT117" s="59"/>
      <c r="CE117" s="60"/>
    </row>
    <row r="118" spans="1:83" x14ac:dyDescent="0.3">
      <c r="A118" s="23"/>
      <c r="B118" s="23"/>
      <c r="H118" s="14"/>
      <c r="I118" s="23"/>
      <c r="O118" s="14"/>
      <c r="P118" s="23"/>
      <c r="W118" s="23"/>
      <c r="AC118" s="14"/>
      <c r="AK118" s="23"/>
      <c r="AQ118" s="14"/>
      <c r="AR118" s="23"/>
      <c r="BH118" s="23"/>
      <c r="BM118" s="14"/>
      <c r="BN118" s="14"/>
      <c r="BP118" s="59"/>
      <c r="BT118" s="59"/>
      <c r="CE118" s="60"/>
    </row>
    <row r="119" spans="1:83" x14ac:dyDescent="0.3">
      <c r="A119" s="23"/>
      <c r="B119" s="23"/>
      <c r="H119" s="14"/>
      <c r="I119" s="23"/>
      <c r="O119" s="14"/>
      <c r="P119" s="23"/>
      <c r="W119" s="23"/>
      <c r="AC119" s="14"/>
      <c r="AK119" s="23"/>
      <c r="AQ119" s="14"/>
      <c r="AR119" s="23"/>
      <c r="BH119" s="23"/>
      <c r="BM119" s="14"/>
      <c r="BN119" s="14"/>
      <c r="BP119" s="59"/>
      <c r="BT119" s="59"/>
      <c r="CE119" s="60"/>
    </row>
    <row r="120" spans="1:83" x14ac:dyDescent="0.3">
      <c r="A120" s="23"/>
      <c r="B120" s="23"/>
      <c r="H120" s="14"/>
      <c r="I120" s="23"/>
      <c r="O120" s="14"/>
      <c r="P120" s="23"/>
      <c r="W120" s="23"/>
      <c r="AC120" s="14"/>
      <c r="AK120" s="23"/>
      <c r="AQ120" s="14"/>
      <c r="AR120" s="23"/>
      <c r="BH120" s="23"/>
      <c r="BM120" s="14"/>
      <c r="BN120" s="14"/>
      <c r="BP120" s="59"/>
      <c r="BT120" s="59"/>
      <c r="CE120" s="60"/>
    </row>
    <row r="121" spans="1:83" x14ac:dyDescent="0.3">
      <c r="A121" s="23"/>
      <c r="B121" s="23"/>
      <c r="H121" s="14"/>
      <c r="I121" s="23"/>
      <c r="O121" s="14"/>
      <c r="P121" s="23"/>
      <c r="W121" s="23"/>
      <c r="AC121" s="14"/>
      <c r="AK121" s="23"/>
      <c r="AQ121" s="14"/>
      <c r="AR121" s="23"/>
      <c r="BH121" s="23"/>
      <c r="BM121" s="14"/>
      <c r="BN121" s="14"/>
      <c r="BP121" s="59"/>
      <c r="BT121" s="59"/>
      <c r="CE121" s="60"/>
    </row>
    <row r="122" spans="1:83" x14ac:dyDescent="0.3">
      <c r="A122" s="23"/>
      <c r="B122" s="23"/>
      <c r="H122" s="14"/>
      <c r="I122" s="23"/>
      <c r="O122" s="14"/>
      <c r="P122" s="23"/>
      <c r="W122" s="23"/>
      <c r="AC122" s="14"/>
      <c r="AK122" s="23"/>
      <c r="AQ122" s="14"/>
      <c r="AR122" s="23"/>
      <c r="AS122" s="21" t="s">
        <v>146</v>
      </c>
      <c r="BH122" s="23"/>
      <c r="BM122" s="14"/>
      <c r="BN122" s="14"/>
      <c r="BP122" s="59"/>
      <c r="BT122" s="59"/>
      <c r="CE122" s="60"/>
    </row>
    <row r="123" spans="1:83" x14ac:dyDescent="0.3">
      <c r="A123" s="23"/>
      <c r="B123" s="23"/>
      <c r="H123" s="14"/>
      <c r="I123" s="23"/>
      <c r="O123" s="14"/>
      <c r="P123" s="23"/>
      <c r="W123" s="23"/>
      <c r="AC123" s="14"/>
      <c r="AK123" s="23"/>
      <c r="AQ123" s="14"/>
      <c r="AR123" s="23"/>
      <c r="AT123" s="8" t="s">
        <v>147</v>
      </c>
      <c r="BH123" s="23"/>
      <c r="BM123" s="14"/>
      <c r="BN123" s="14"/>
      <c r="BP123" s="59"/>
      <c r="BT123" s="59"/>
      <c r="CE123" s="60"/>
    </row>
    <row r="124" spans="1:83" x14ac:dyDescent="0.3">
      <c r="A124" s="23"/>
      <c r="B124" s="23"/>
      <c r="H124" s="14"/>
      <c r="I124" s="23"/>
      <c r="O124" s="14"/>
      <c r="P124" s="23"/>
      <c r="W124" s="23"/>
      <c r="AC124" s="14"/>
      <c r="AK124" s="23"/>
      <c r="AQ124" s="14"/>
      <c r="AR124" s="23"/>
      <c r="BH124" s="23"/>
      <c r="BM124" s="14"/>
      <c r="BN124" s="14"/>
      <c r="BP124" s="59"/>
      <c r="BT124" s="59"/>
      <c r="CE124" s="60"/>
    </row>
    <row r="125" spans="1:83" x14ac:dyDescent="0.3">
      <c r="A125" s="23"/>
      <c r="B125" s="23"/>
      <c r="H125" s="14"/>
      <c r="I125" s="23"/>
      <c r="O125" s="14"/>
      <c r="P125" s="23"/>
      <c r="W125" s="23"/>
      <c r="AC125" s="14"/>
      <c r="AK125" s="23"/>
      <c r="AQ125" s="14"/>
      <c r="AR125" s="23"/>
      <c r="BH125" s="23"/>
      <c r="BM125" s="14"/>
      <c r="BN125" s="14"/>
      <c r="BP125" s="59"/>
      <c r="BT125" s="59"/>
      <c r="CE125" s="60"/>
    </row>
    <row r="126" spans="1:83" x14ac:dyDescent="0.3">
      <c r="A126" s="23"/>
      <c r="B126" s="23"/>
      <c r="H126" s="14"/>
      <c r="I126" s="23"/>
      <c r="O126" s="14"/>
      <c r="P126" s="23"/>
      <c r="W126" s="23"/>
      <c r="AC126" s="14"/>
      <c r="AK126" s="23"/>
      <c r="AQ126" s="14"/>
      <c r="AR126" s="23"/>
      <c r="BH126" s="23"/>
      <c r="BM126" s="14"/>
      <c r="BN126" s="14"/>
      <c r="BP126" s="59"/>
      <c r="BT126" s="59"/>
      <c r="CE126" s="60"/>
    </row>
    <row r="127" spans="1:83" x14ac:dyDescent="0.3">
      <c r="A127" s="23"/>
      <c r="B127" s="23"/>
      <c r="H127" s="14"/>
      <c r="I127" s="23"/>
      <c r="O127" s="14"/>
      <c r="P127" s="23"/>
      <c r="W127" s="23"/>
      <c r="AC127" s="14"/>
      <c r="AK127" s="23"/>
      <c r="AQ127" s="14"/>
      <c r="AR127" s="23"/>
      <c r="BH127" s="23"/>
      <c r="BM127" s="14"/>
      <c r="BN127" s="14"/>
      <c r="BP127" s="59"/>
      <c r="BT127" s="59"/>
      <c r="CE127" s="60"/>
    </row>
    <row r="128" spans="1:83" x14ac:dyDescent="0.3">
      <c r="A128" s="23"/>
      <c r="B128" s="23"/>
      <c r="H128" s="14"/>
      <c r="I128" s="23"/>
      <c r="O128" s="14"/>
      <c r="P128" s="23"/>
      <c r="W128" s="23"/>
      <c r="AC128" s="14"/>
      <c r="AK128" s="23"/>
      <c r="AQ128" s="14"/>
      <c r="AR128" s="23"/>
      <c r="BH128" s="23"/>
      <c r="BM128" s="14"/>
      <c r="BN128" s="14"/>
      <c r="BP128" s="59"/>
      <c r="BT128" s="59"/>
      <c r="CE128" s="60"/>
    </row>
    <row r="129" spans="1:83" x14ac:dyDescent="0.3">
      <c r="A129" s="23"/>
      <c r="B129" s="23"/>
      <c r="H129" s="14"/>
      <c r="I129" s="23"/>
      <c r="O129" s="14"/>
      <c r="P129" s="23"/>
      <c r="W129" s="23"/>
      <c r="AC129" s="14"/>
      <c r="AK129" s="23"/>
      <c r="AQ129" s="14"/>
      <c r="AR129" s="23"/>
      <c r="BH129" s="23"/>
      <c r="BM129" s="14"/>
      <c r="BN129" s="14"/>
      <c r="BP129" s="59"/>
      <c r="BT129" s="59"/>
      <c r="CE129" s="60"/>
    </row>
    <row r="130" spans="1:83" x14ac:dyDescent="0.3">
      <c r="A130" s="23"/>
      <c r="B130" s="23"/>
      <c r="H130" s="14"/>
      <c r="I130" s="23"/>
      <c r="O130" s="14"/>
      <c r="P130" s="23"/>
      <c r="W130" s="23"/>
      <c r="AC130" s="14"/>
      <c r="AK130" s="23"/>
      <c r="AQ130" s="14"/>
      <c r="AR130" s="23"/>
      <c r="BH130" s="23"/>
      <c r="BM130" s="14"/>
      <c r="BN130" s="14"/>
      <c r="BP130" s="59"/>
      <c r="BT130" s="59"/>
      <c r="CE130" s="60"/>
    </row>
    <row r="131" spans="1:83" x14ac:dyDescent="0.3">
      <c r="A131" s="23"/>
      <c r="B131" s="23"/>
      <c r="H131" s="14"/>
      <c r="I131" s="23"/>
      <c r="O131" s="14"/>
      <c r="P131" s="23"/>
      <c r="W131" s="23"/>
      <c r="AC131" s="14"/>
      <c r="AK131" s="23"/>
      <c r="AQ131" s="14"/>
      <c r="AR131" s="23"/>
      <c r="BH131" s="23"/>
      <c r="BM131" s="14"/>
      <c r="BN131" s="14"/>
      <c r="BP131" s="59"/>
      <c r="BT131" s="59"/>
      <c r="CE131" s="60"/>
    </row>
    <row r="132" spans="1:83" x14ac:dyDescent="0.3">
      <c r="A132" s="23"/>
      <c r="B132" s="23"/>
      <c r="H132" s="14"/>
      <c r="I132" s="23"/>
      <c r="O132" s="14"/>
      <c r="P132" s="23"/>
      <c r="W132" s="23"/>
      <c r="AC132" s="14"/>
      <c r="AK132" s="23"/>
      <c r="AQ132" s="14"/>
      <c r="AR132" s="23"/>
      <c r="BH132" s="23"/>
      <c r="BM132" s="14"/>
      <c r="BN132" s="14"/>
      <c r="BP132" s="59"/>
      <c r="BT132" s="59"/>
      <c r="CE132" s="60"/>
    </row>
    <row r="133" spans="1:83" x14ac:dyDescent="0.3">
      <c r="A133" s="23"/>
      <c r="B133" s="23"/>
      <c r="H133" s="14"/>
      <c r="I133" s="23"/>
      <c r="O133" s="14"/>
      <c r="P133" s="23"/>
      <c r="W133" s="23"/>
      <c r="AC133" s="14"/>
      <c r="AK133" s="23"/>
      <c r="AQ133" s="14"/>
      <c r="AR133" s="23"/>
      <c r="BH133" s="23"/>
      <c r="BM133" s="14"/>
      <c r="BN133" s="14"/>
      <c r="BP133" s="59"/>
      <c r="BT133" s="59"/>
      <c r="CE133" s="60"/>
    </row>
    <row r="134" spans="1:83" x14ac:dyDescent="0.3">
      <c r="A134" s="23"/>
      <c r="B134" s="23"/>
      <c r="H134" s="14"/>
      <c r="I134" s="23"/>
      <c r="O134" s="14"/>
      <c r="P134" s="23"/>
      <c r="W134" s="23"/>
      <c r="AC134" s="14"/>
      <c r="AK134" s="23"/>
      <c r="AQ134" s="14"/>
      <c r="AR134" s="23"/>
      <c r="BH134" s="23"/>
      <c r="BM134" s="14"/>
      <c r="BN134" s="14"/>
      <c r="BP134" s="59"/>
      <c r="BT134" s="59"/>
      <c r="CE134" s="60"/>
    </row>
    <row r="135" spans="1:83" x14ac:dyDescent="0.3">
      <c r="A135" s="23"/>
      <c r="B135" s="23"/>
      <c r="H135" s="14"/>
      <c r="I135" s="23"/>
      <c r="O135" s="14"/>
      <c r="P135" s="23"/>
      <c r="W135" s="23"/>
      <c r="AC135" s="14"/>
      <c r="AK135" s="23"/>
      <c r="AQ135" s="14"/>
      <c r="AR135" s="23"/>
      <c r="BH135" s="23"/>
      <c r="BM135" s="14"/>
      <c r="BN135" s="14"/>
      <c r="BP135" s="59"/>
      <c r="BT135" s="59"/>
      <c r="CE135" s="60"/>
    </row>
    <row r="136" spans="1:83" x14ac:dyDescent="0.3">
      <c r="A136" s="23"/>
      <c r="B136" s="23"/>
      <c r="H136" s="14"/>
      <c r="I136" s="23"/>
      <c r="O136" s="14"/>
      <c r="P136" s="23"/>
      <c r="W136" s="23"/>
      <c r="AC136" s="14"/>
      <c r="AK136" s="23"/>
      <c r="AQ136" s="14"/>
      <c r="AR136" s="23"/>
      <c r="BH136" s="23"/>
      <c r="BM136" s="14"/>
      <c r="BN136" s="14"/>
      <c r="BP136" s="59"/>
      <c r="BT136" s="59"/>
      <c r="CE136" s="60"/>
    </row>
    <row r="137" spans="1:83" x14ac:dyDescent="0.3">
      <c r="A137" s="23"/>
      <c r="B137" s="23"/>
      <c r="H137" s="14"/>
      <c r="I137" s="23"/>
      <c r="O137" s="14"/>
      <c r="P137" s="23"/>
      <c r="W137" s="23"/>
      <c r="AC137" s="14"/>
      <c r="AK137" s="23"/>
      <c r="AQ137" s="14"/>
      <c r="AR137" s="23"/>
      <c r="BH137" s="23"/>
      <c r="BM137" s="14"/>
      <c r="BN137" s="14"/>
      <c r="BP137" s="59"/>
      <c r="BT137" s="59"/>
      <c r="CE137" s="60"/>
    </row>
    <row r="138" spans="1:83" x14ac:dyDescent="0.3">
      <c r="A138" s="23"/>
      <c r="B138" s="23"/>
      <c r="H138" s="14"/>
      <c r="I138" s="23"/>
      <c r="O138" s="14"/>
      <c r="P138" s="23"/>
      <c r="W138" s="23"/>
      <c r="AC138" s="14"/>
      <c r="AK138" s="23"/>
      <c r="AQ138" s="14"/>
      <c r="AR138" s="23"/>
      <c r="BH138" s="23"/>
      <c r="BM138" s="14"/>
      <c r="BN138" s="14"/>
      <c r="BP138" s="59"/>
      <c r="BT138" s="59"/>
      <c r="CE138" s="60"/>
    </row>
    <row r="139" spans="1:83" x14ac:dyDescent="0.3">
      <c r="A139" s="23"/>
      <c r="B139" s="37" t="s">
        <v>176</v>
      </c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98"/>
      <c r="X139" s="52"/>
      <c r="Y139" s="52"/>
      <c r="Z139" s="52"/>
      <c r="AA139" s="52"/>
      <c r="AB139" s="52"/>
      <c r="AC139" s="40"/>
      <c r="AD139" s="52"/>
      <c r="AE139" s="52"/>
      <c r="AF139" s="52"/>
      <c r="AG139" s="52"/>
      <c r="AH139" s="52"/>
      <c r="AI139" s="52"/>
      <c r="AJ139" s="52"/>
      <c r="AK139" s="22"/>
      <c r="AL139" s="22"/>
      <c r="AM139" s="22"/>
      <c r="AN139" s="22"/>
      <c r="AO139" s="22"/>
      <c r="AP139" s="22"/>
      <c r="AQ139" s="2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40"/>
      <c r="BN139" s="14"/>
      <c r="BP139" s="59"/>
      <c r="BT139" s="59"/>
      <c r="CE139" s="60"/>
    </row>
    <row r="140" spans="1:83" x14ac:dyDescent="0.3">
      <c r="A140" s="23"/>
      <c r="B140" s="23"/>
      <c r="H140" s="14"/>
      <c r="I140" s="23"/>
      <c r="O140" s="49"/>
      <c r="P140" s="23"/>
      <c r="V140" s="48"/>
      <c r="W140" s="47"/>
      <c r="X140" s="48"/>
      <c r="Y140" s="48"/>
      <c r="Z140" s="48"/>
      <c r="AA140" s="48"/>
      <c r="AB140" s="48"/>
      <c r="AC140" s="49"/>
      <c r="AD140" s="48"/>
      <c r="AK140" s="23"/>
      <c r="AQ140" s="14"/>
      <c r="AR140" s="23"/>
      <c r="BH140" s="23"/>
      <c r="BM140" s="14"/>
      <c r="BN140" s="14"/>
      <c r="BP140" s="59"/>
      <c r="BT140" s="59"/>
      <c r="CE140" s="60"/>
    </row>
    <row r="141" spans="1:83" x14ac:dyDescent="0.3">
      <c r="A141" s="23"/>
      <c r="B141" s="23"/>
      <c r="H141" s="14"/>
      <c r="I141" s="23"/>
      <c r="O141" s="14"/>
      <c r="P141" s="23"/>
      <c r="W141" s="23"/>
      <c r="AC141" s="14"/>
      <c r="AK141" s="23"/>
      <c r="AQ141" s="14"/>
      <c r="AR141" s="23"/>
      <c r="BH141" s="23"/>
      <c r="BM141" s="14"/>
      <c r="BN141" s="14"/>
      <c r="BP141" s="59"/>
      <c r="BT141" s="59"/>
      <c r="CE141" s="60"/>
    </row>
    <row r="142" spans="1:83" x14ac:dyDescent="0.3">
      <c r="A142" s="23"/>
      <c r="B142" s="23"/>
      <c r="H142" s="14"/>
      <c r="I142" s="23"/>
      <c r="O142" s="14"/>
      <c r="P142" s="23"/>
      <c r="W142" s="23"/>
      <c r="AC142" s="14"/>
      <c r="AK142" s="23"/>
      <c r="AQ142" s="14"/>
      <c r="AR142" s="23"/>
      <c r="BH142" s="23"/>
      <c r="BM142" s="14"/>
      <c r="BN142" s="14"/>
      <c r="BP142" s="59"/>
      <c r="BT142" s="59"/>
      <c r="CE142" s="60"/>
    </row>
    <row r="143" spans="1:83" x14ac:dyDescent="0.3">
      <c r="A143" s="23"/>
      <c r="B143" s="23"/>
      <c r="H143" s="14"/>
      <c r="I143" s="23"/>
      <c r="O143" s="14"/>
      <c r="P143" s="23"/>
      <c r="W143" s="23"/>
      <c r="AC143" s="14"/>
      <c r="AK143" s="23"/>
      <c r="AQ143" s="14"/>
      <c r="AR143" s="23"/>
      <c r="BH143" s="23"/>
      <c r="BM143" s="14"/>
      <c r="BN143" s="14"/>
      <c r="BP143" s="59"/>
      <c r="BT143" s="59"/>
      <c r="CE143" s="60"/>
    </row>
    <row r="144" spans="1:83" x14ac:dyDescent="0.3">
      <c r="A144" s="23"/>
      <c r="B144" s="23"/>
      <c r="H144" s="14"/>
      <c r="I144" s="23"/>
      <c r="O144" s="14"/>
      <c r="P144" s="23"/>
      <c r="W144" s="23"/>
      <c r="AC144" s="14"/>
      <c r="AK144" s="23"/>
      <c r="AQ144" s="14"/>
      <c r="AR144" s="23"/>
      <c r="BH144" s="23"/>
      <c r="BM144" s="14"/>
      <c r="BN144" s="14"/>
      <c r="BP144" s="59"/>
      <c r="BT144" s="59"/>
      <c r="CE144" s="60"/>
    </row>
    <row r="145" spans="1:83" x14ac:dyDescent="0.3">
      <c r="A145" s="23"/>
      <c r="B145" s="23"/>
      <c r="H145" s="14"/>
      <c r="I145" s="23"/>
      <c r="O145" s="14"/>
      <c r="P145" s="23"/>
      <c r="W145" s="23"/>
      <c r="AC145" s="14"/>
      <c r="AK145" s="23"/>
      <c r="AQ145" s="14"/>
      <c r="AR145" s="23"/>
      <c r="AS145" s="21" t="s">
        <v>149</v>
      </c>
      <c r="BH145" s="23"/>
      <c r="BM145" s="14"/>
      <c r="BN145" s="14"/>
      <c r="BP145" s="59"/>
      <c r="BT145" s="59"/>
      <c r="CE145" s="60"/>
    </row>
    <row r="146" spans="1:83" x14ac:dyDescent="0.3">
      <c r="A146" s="23"/>
      <c r="B146" s="23"/>
      <c r="H146" s="14"/>
      <c r="I146" s="23"/>
      <c r="O146" s="14"/>
      <c r="P146" s="23"/>
      <c r="W146" s="23"/>
      <c r="AC146" s="14"/>
      <c r="AK146" s="23"/>
      <c r="AQ146" s="14"/>
      <c r="AR146" s="23"/>
      <c r="AT146" s="8" t="s">
        <v>150</v>
      </c>
      <c r="BH146" s="23"/>
      <c r="BM146" s="14"/>
      <c r="BN146" s="14"/>
      <c r="BP146" s="59"/>
      <c r="BT146" s="59"/>
      <c r="CE146" s="60"/>
    </row>
    <row r="147" spans="1:83" x14ac:dyDescent="0.3">
      <c r="A147" s="23"/>
      <c r="B147" s="23"/>
      <c r="H147" s="14"/>
      <c r="I147" s="23"/>
      <c r="O147" s="14"/>
      <c r="P147" s="23"/>
      <c r="W147" s="23"/>
      <c r="AC147" s="14"/>
      <c r="AK147" s="23"/>
      <c r="AQ147" s="14"/>
      <c r="AR147" s="23"/>
      <c r="BH147" s="23"/>
      <c r="BM147" s="14"/>
      <c r="BN147" s="14"/>
      <c r="BP147" s="59"/>
      <c r="BT147" s="59"/>
      <c r="CE147" s="60"/>
    </row>
    <row r="148" spans="1:83" x14ac:dyDescent="0.3">
      <c r="A148" s="23"/>
      <c r="B148" s="23"/>
      <c r="H148" s="14"/>
      <c r="I148" s="23"/>
      <c r="O148" s="14"/>
      <c r="P148" s="23"/>
      <c r="W148" s="23"/>
      <c r="AC148" s="14"/>
      <c r="AK148" s="23"/>
      <c r="AQ148" s="14"/>
      <c r="AR148" s="23"/>
      <c r="BH148" s="23"/>
      <c r="BM148" s="14"/>
      <c r="BN148" s="14"/>
      <c r="BP148" s="59"/>
      <c r="BT148" s="59"/>
      <c r="CE148" s="60"/>
    </row>
    <row r="149" spans="1:83" x14ac:dyDescent="0.3">
      <c r="A149" s="23"/>
      <c r="B149" s="23"/>
      <c r="H149" s="14"/>
      <c r="I149" s="23"/>
      <c r="O149" s="14"/>
      <c r="P149" s="23"/>
      <c r="W149" s="23"/>
      <c r="AC149" s="14"/>
      <c r="AK149" s="23"/>
      <c r="AQ149" s="14"/>
      <c r="AR149" s="23"/>
      <c r="BH149" s="23"/>
      <c r="BM149" s="14"/>
      <c r="BN149" s="14"/>
      <c r="BP149" s="59"/>
      <c r="BT149" s="59"/>
      <c r="CE149" s="60"/>
    </row>
    <row r="150" spans="1:83" x14ac:dyDescent="0.3">
      <c r="A150" s="23"/>
      <c r="B150" s="23"/>
      <c r="H150" s="14"/>
      <c r="I150" s="23"/>
      <c r="O150" s="14"/>
      <c r="P150" s="23"/>
      <c r="W150" s="23"/>
      <c r="AC150" s="14"/>
      <c r="AK150" s="23"/>
      <c r="AQ150" s="14"/>
      <c r="AR150" s="23"/>
      <c r="BH150" s="23"/>
      <c r="BM150" s="14"/>
      <c r="BN150" s="14"/>
      <c r="BP150" s="59"/>
      <c r="BT150" s="59"/>
      <c r="CE150" s="60"/>
    </row>
    <row r="151" spans="1:83" x14ac:dyDescent="0.3">
      <c r="A151" s="23"/>
      <c r="B151" s="23"/>
      <c r="H151" s="14"/>
      <c r="I151" s="23"/>
      <c r="O151" s="14"/>
      <c r="P151" s="23"/>
      <c r="W151" s="23"/>
      <c r="AC151" s="14"/>
      <c r="AK151" s="23"/>
      <c r="AQ151" s="14"/>
      <c r="AR151" s="23"/>
      <c r="AS151" s="21" t="s">
        <v>151</v>
      </c>
      <c r="BH151" s="23"/>
      <c r="BM151" s="14"/>
      <c r="BN151" s="14"/>
      <c r="BP151" s="59"/>
      <c r="BT151" s="59"/>
      <c r="CE151" s="60"/>
    </row>
    <row r="152" spans="1:83" x14ac:dyDescent="0.3">
      <c r="A152" s="23"/>
      <c r="B152" s="23"/>
      <c r="H152" s="14"/>
      <c r="I152" s="23"/>
      <c r="O152" s="14"/>
      <c r="P152" s="23"/>
      <c r="W152" s="23"/>
      <c r="AC152" s="14"/>
      <c r="AK152" s="23"/>
      <c r="AQ152" s="14"/>
      <c r="AR152" s="23"/>
      <c r="AT152" s="8" t="s">
        <v>152</v>
      </c>
      <c r="BH152" s="23"/>
      <c r="BM152" s="14"/>
      <c r="BN152" s="14"/>
      <c r="BP152" s="59"/>
      <c r="BT152" s="59"/>
      <c r="CE152" s="60"/>
    </row>
    <row r="153" spans="1:83" x14ac:dyDescent="0.3">
      <c r="A153" s="23"/>
      <c r="B153" s="23"/>
      <c r="H153" s="14"/>
      <c r="I153" s="23"/>
      <c r="O153" s="14"/>
      <c r="P153" s="23"/>
      <c r="W153" s="23"/>
      <c r="AC153" s="14"/>
      <c r="AK153" s="23"/>
      <c r="AQ153" s="14"/>
      <c r="AR153" s="23"/>
      <c r="AT153" s="8" t="s">
        <v>153</v>
      </c>
      <c r="BH153" s="23"/>
      <c r="BM153" s="14"/>
      <c r="BN153" s="14"/>
      <c r="BP153" s="59"/>
      <c r="BT153" s="59"/>
      <c r="CE153" s="60"/>
    </row>
    <row r="154" spans="1:83" x14ac:dyDescent="0.3">
      <c r="A154" s="23"/>
      <c r="B154" s="23"/>
      <c r="H154" s="14"/>
      <c r="I154" s="23"/>
      <c r="O154" s="14"/>
      <c r="P154" s="23"/>
      <c r="W154" s="23"/>
      <c r="AC154" s="14"/>
      <c r="AK154" s="23"/>
      <c r="AQ154" s="14"/>
      <c r="AR154" s="23"/>
      <c r="BH154" s="23"/>
      <c r="BM154" s="14"/>
      <c r="BN154" s="14"/>
      <c r="BP154" s="59"/>
      <c r="BT154" s="59"/>
      <c r="CE154" s="60"/>
    </row>
    <row r="155" spans="1:83" x14ac:dyDescent="0.3">
      <c r="A155" s="23"/>
      <c r="B155" s="23"/>
      <c r="H155" s="14"/>
      <c r="I155" s="23"/>
      <c r="O155" s="14"/>
      <c r="P155" s="23"/>
      <c r="W155" s="23"/>
      <c r="AC155" s="14"/>
      <c r="AK155" s="23"/>
      <c r="AQ155" s="14"/>
      <c r="AR155" s="23"/>
      <c r="BH155" s="23"/>
      <c r="BM155" s="14"/>
      <c r="BN155" s="14"/>
      <c r="BP155" s="59"/>
      <c r="BT155" s="59"/>
      <c r="CE155" s="60"/>
    </row>
    <row r="156" spans="1:83" x14ac:dyDescent="0.3">
      <c r="A156" s="23"/>
      <c r="B156" s="23"/>
      <c r="H156" s="14"/>
      <c r="I156" s="23"/>
      <c r="O156" s="14"/>
      <c r="P156" s="23"/>
      <c r="W156" s="23"/>
      <c r="AC156" s="14"/>
      <c r="AK156" s="23"/>
      <c r="AQ156" s="14"/>
      <c r="AR156" s="23"/>
      <c r="AS156" s="21" t="s">
        <v>154</v>
      </c>
      <c r="BH156" s="23"/>
      <c r="BM156" s="14"/>
      <c r="BN156" s="14"/>
      <c r="BP156" s="59"/>
      <c r="BT156" s="59"/>
      <c r="CE156" s="60"/>
    </row>
    <row r="157" spans="1:83" x14ac:dyDescent="0.3">
      <c r="A157" s="23"/>
      <c r="B157" s="23"/>
      <c r="H157" s="14"/>
      <c r="I157" s="23"/>
      <c r="O157" s="14"/>
      <c r="P157" s="23"/>
      <c r="W157" s="23"/>
      <c r="AC157" s="14"/>
      <c r="AK157" s="23"/>
      <c r="AQ157" s="14"/>
      <c r="AR157" s="23"/>
      <c r="AT157" s="8" t="s">
        <v>155</v>
      </c>
      <c r="BH157" s="23"/>
      <c r="BM157" s="14"/>
      <c r="BN157" s="14"/>
      <c r="BP157" s="59"/>
      <c r="BT157" s="59"/>
      <c r="CE157" s="60"/>
    </row>
    <row r="158" spans="1:83" x14ac:dyDescent="0.3">
      <c r="A158" s="23"/>
      <c r="B158" s="23"/>
      <c r="H158" s="14"/>
      <c r="I158" s="23"/>
      <c r="O158" s="14"/>
      <c r="P158" s="23"/>
      <c r="W158" s="23"/>
      <c r="AC158" s="14"/>
      <c r="AK158" s="23"/>
      <c r="AQ158" s="14"/>
      <c r="AR158" s="23"/>
      <c r="BH158" s="23"/>
      <c r="BM158" s="14"/>
      <c r="BN158" s="14"/>
      <c r="BP158" s="59"/>
      <c r="BT158" s="59"/>
      <c r="CE158" s="60"/>
    </row>
    <row r="159" spans="1:83" x14ac:dyDescent="0.3">
      <c r="A159" s="23"/>
      <c r="B159" s="23"/>
      <c r="H159" s="14"/>
      <c r="I159" s="23"/>
      <c r="O159" s="14"/>
      <c r="P159" s="23"/>
      <c r="W159" s="23"/>
      <c r="AC159" s="14"/>
      <c r="AK159" s="23"/>
      <c r="AQ159" s="14"/>
      <c r="AR159" s="23"/>
      <c r="BH159" s="23"/>
      <c r="BM159" s="14"/>
      <c r="BN159" s="14"/>
      <c r="BP159" s="59"/>
      <c r="BT159" s="59"/>
      <c r="CE159" s="60"/>
    </row>
    <row r="160" spans="1:83" x14ac:dyDescent="0.3">
      <c r="A160" s="23"/>
      <c r="B160" s="23"/>
      <c r="H160" s="14"/>
      <c r="I160" s="23"/>
      <c r="O160" s="14"/>
      <c r="P160" s="23"/>
      <c r="W160" s="23"/>
      <c r="AC160" s="14"/>
      <c r="AK160" s="23"/>
      <c r="AQ160" s="14"/>
      <c r="AR160" s="23"/>
      <c r="BH160" s="23"/>
      <c r="BM160" s="14"/>
      <c r="BN160" s="14"/>
      <c r="BP160" s="59"/>
      <c r="BT160" s="59"/>
      <c r="CE160" s="60"/>
    </row>
    <row r="161" spans="1:83" x14ac:dyDescent="0.3">
      <c r="A161" s="23"/>
      <c r="B161" s="23"/>
      <c r="H161" s="14"/>
      <c r="I161" s="23"/>
      <c r="O161" s="14"/>
      <c r="P161" s="23"/>
      <c r="W161" s="23"/>
      <c r="AC161" s="14"/>
      <c r="AK161" s="23"/>
      <c r="AQ161" s="14"/>
      <c r="AR161" s="23"/>
      <c r="BH161" s="23"/>
      <c r="BM161" s="14"/>
      <c r="BN161" s="14"/>
      <c r="BP161" s="59"/>
      <c r="BT161" s="59"/>
      <c r="CE161" s="60"/>
    </row>
    <row r="162" spans="1:83" x14ac:dyDescent="0.3">
      <c r="A162" s="23"/>
      <c r="B162" s="23"/>
      <c r="H162" s="14"/>
      <c r="I162" s="23"/>
      <c r="O162" s="14"/>
      <c r="P162" s="23"/>
      <c r="W162" s="23"/>
      <c r="AC162" s="14"/>
      <c r="AK162" s="23"/>
      <c r="AQ162" s="14"/>
      <c r="AR162" s="23"/>
      <c r="AS162" s="21" t="s">
        <v>156</v>
      </c>
      <c r="BH162" s="23"/>
      <c r="BM162" s="14"/>
      <c r="BN162" s="14"/>
      <c r="BP162" s="59"/>
      <c r="BT162" s="59"/>
      <c r="CE162" s="60"/>
    </row>
    <row r="163" spans="1:83" x14ac:dyDescent="0.3">
      <c r="A163" s="23"/>
      <c r="B163" s="23"/>
      <c r="H163" s="14"/>
      <c r="I163" s="23"/>
      <c r="O163" s="14"/>
      <c r="P163" s="23"/>
      <c r="W163" s="23"/>
      <c r="AC163" s="14"/>
      <c r="AK163" s="23"/>
      <c r="AQ163" s="14"/>
      <c r="AR163" s="23"/>
      <c r="AT163" s="8" t="s">
        <v>145</v>
      </c>
      <c r="BH163" s="23"/>
      <c r="BM163" s="14"/>
      <c r="BN163" s="14"/>
      <c r="BP163" s="59"/>
      <c r="BT163" s="59"/>
      <c r="CE163" s="60"/>
    </row>
    <row r="164" spans="1:83" x14ac:dyDescent="0.3">
      <c r="A164" s="23"/>
      <c r="B164" s="23"/>
      <c r="H164" s="14"/>
      <c r="I164" s="23"/>
      <c r="O164" s="14"/>
      <c r="P164" s="23"/>
      <c r="W164" s="23"/>
      <c r="AC164" s="14"/>
      <c r="AK164" s="23"/>
      <c r="AQ164" s="14"/>
      <c r="AR164" s="23"/>
      <c r="BH164" s="23"/>
      <c r="BM164" s="14"/>
      <c r="BN164" s="14"/>
      <c r="BP164" s="59"/>
      <c r="BT164" s="59"/>
      <c r="CE164" s="60"/>
    </row>
    <row r="165" spans="1:83" x14ac:dyDescent="0.3">
      <c r="A165" s="23"/>
      <c r="B165" s="23"/>
      <c r="H165" s="14"/>
      <c r="I165" s="23"/>
      <c r="O165" s="14"/>
      <c r="P165" s="23"/>
      <c r="W165" s="23"/>
      <c r="AC165" s="14"/>
      <c r="AK165" s="23"/>
      <c r="AR165" s="23"/>
      <c r="BH165" s="23"/>
      <c r="BM165" s="14"/>
      <c r="BN165" s="14"/>
      <c r="BP165" s="59"/>
      <c r="BT165" s="59"/>
      <c r="CE165" s="60"/>
    </row>
    <row r="166" spans="1:83" x14ac:dyDescent="0.3">
      <c r="A166" s="23"/>
      <c r="B166" s="23"/>
      <c r="H166" s="14"/>
      <c r="I166" s="23"/>
      <c r="O166" s="14"/>
      <c r="P166" s="23"/>
      <c r="W166" s="23"/>
      <c r="AC166" s="14"/>
      <c r="AK166" s="23"/>
      <c r="AR166" s="23"/>
      <c r="BH166" s="23"/>
      <c r="BM166" s="14"/>
      <c r="BN166" s="14"/>
      <c r="BP166" s="59"/>
      <c r="BT166" s="59"/>
      <c r="CE166" s="60"/>
    </row>
    <row r="167" spans="1:83" x14ac:dyDescent="0.3">
      <c r="A167" s="23"/>
      <c r="B167" s="23"/>
      <c r="H167" s="14"/>
      <c r="I167" s="23"/>
      <c r="O167" s="14"/>
      <c r="P167" s="23"/>
      <c r="W167" s="23"/>
      <c r="AC167" s="14"/>
      <c r="AK167" s="23"/>
      <c r="AR167" s="23"/>
      <c r="AS167" s="21" t="s">
        <v>157</v>
      </c>
      <c r="BH167" s="23"/>
      <c r="BM167" s="14"/>
      <c r="BN167" s="14"/>
      <c r="BP167" s="59"/>
      <c r="BT167" s="59"/>
      <c r="CE167" s="60"/>
    </row>
    <row r="168" spans="1:83" x14ac:dyDescent="0.3">
      <c r="A168" s="23"/>
      <c r="B168" s="23"/>
      <c r="H168" s="14"/>
      <c r="I168" s="23"/>
      <c r="O168" s="14"/>
      <c r="P168" s="23"/>
      <c r="W168" s="23"/>
      <c r="AC168" s="14"/>
      <c r="AK168" s="23"/>
      <c r="AR168" s="23"/>
      <c r="AT168" s="8" t="s">
        <v>147</v>
      </c>
      <c r="BH168" s="23"/>
      <c r="BM168" s="14"/>
      <c r="BN168" s="14"/>
      <c r="BP168" s="59"/>
      <c r="BT168" s="59"/>
      <c r="CE168" s="60"/>
    </row>
    <row r="169" spans="1:83" x14ac:dyDescent="0.3">
      <c r="A169" s="23"/>
      <c r="B169" s="23"/>
      <c r="H169" s="14"/>
      <c r="I169" s="23"/>
      <c r="O169" s="14"/>
      <c r="P169" s="23"/>
      <c r="W169" s="23"/>
      <c r="AC169" s="14"/>
      <c r="AK169" s="23"/>
      <c r="AR169" s="23"/>
      <c r="BH169" s="23"/>
      <c r="BM169" s="14"/>
      <c r="BN169" s="14"/>
      <c r="BP169" s="59"/>
      <c r="BT169" s="59"/>
      <c r="CE169" s="60"/>
    </row>
    <row r="170" spans="1:83" x14ac:dyDescent="0.3">
      <c r="A170" s="23"/>
      <c r="B170" s="23"/>
      <c r="H170" s="14"/>
      <c r="I170" s="23"/>
      <c r="O170" s="14"/>
      <c r="P170" s="23"/>
      <c r="W170" s="23"/>
      <c r="AC170" s="14"/>
      <c r="AK170" s="23"/>
      <c r="AR170" s="23"/>
      <c r="BH170" s="23"/>
      <c r="BM170" s="14"/>
      <c r="BN170" s="14"/>
      <c r="BP170" s="59"/>
      <c r="BT170" s="59"/>
      <c r="CE170" s="60"/>
    </row>
    <row r="171" spans="1:83" x14ac:dyDescent="0.3">
      <c r="A171" s="23"/>
      <c r="B171" s="23"/>
      <c r="H171" s="14"/>
      <c r="I171" s="23"/>
      <c r="O171" s="14"/>
      <c r="P171" s="23"/>
      <c r="W171" s="23"/>
      <c r="AC171" s="14"/>
      <c r="AK171" s="23"/>
      <c r="AR171" s="23"/>
      <c r="BH171" s="23"/>
      <c r="BM171" s="14"/>
      <c r="BN171" s="14"/>
      <c r="BP171" s="59"/>
      <c r="BT171" s="59"/>
      <c r="CE171" s="60"/>
    </row>
    <row r="172" spans="1:83" x14ac:dyDescent="0.3">
      <c r="A172" s="23"/>
      <c r="B172" s="23"/>
      <c r="H172" s="14"/>
      <c r="I172" s="23"/>
      <c r="O172" s="14"/>
      <c r="P172" s="23"/>
      <c r="W172" s="23"/>
      <c r="AC172" s="14"/>
      <c r="AK172" s="23"/>
      <c r="AR172" s="23"/>
      <c r="BH172" s="23"/>
      <c r="BM172" s="14"/>
      <c r="BN172" s="14"/>
      <c r="BP172" s="59"/>
      <c r="BT172" s="59"/>
      <c r="CE172" s="60"/>
    </row>
    <row r="173" spans="1:83" x14ac:dyDescent="0.3">
      <c r="A173" s="23"/>
      <c r="B173" s="23"/>
      <c r="H173" s="14"/>
      <c r="I173" s="23"/>
      <c r="O173" s="14"/>
      <c r="P173" s="23"/>
      <c r="W173" s="23"/>
      <c r="AC173" s="14"/>
      <c r="AK173" s="23"/>
      <c r="AR173" s="23"/>
      <c r="BH173" s="23"/>
      <c r="BM173" s="14"/>
      <c r="BN173" s="14"/>
      <c r="BP173" s="59"/>
      <c r="BT173" s="59"/>
      <c r="CE173" s="60"/>
    </row>
    <row r="174" spans="1:83" x14ac:dyDescent="0.3">
      <c r="A174" s="23"/>
      <c r="B174" s="23"/>
      <c r="H174" s="14"/>
      <c r="I174" s="23"/>
      <c r="O174" s="14"/>
      <c r="P174" s="23"/>
      <c r="W174" s="23"/>
      <c r="AC174" s="14"/>
      <c r="AK174" s="23"/>
      <c r="AR174" s="23"/>
      <c r="BH174" s="23"/>
      <c r="BM174" s="14"/>
      <c r="BN174" s="14"/>
      <c r="BP174" s="59"/>
      <c r="BT174" s="59"/>
      <c r="CE174" s="60"/>
    </row>
    <row r="175" spans="1:83" x14ac:dyDescent="0.3">
      <c r="A175" s="23"/>
      <c r="B175" s="23"/>
      <c r="H175" s="14"/>
      <c r="I175" s="23"/>
      <c r="O175" s="14"/>
      <c r="P175" s="23"/>
      <c r="W175" s="23"/>
      <c r="AC175" s="14"/>
      <c r="AK175" s="23"/>
      <c r="AR175" s="23"/>
      <c r="BH175" s="23"/>
      <c r="BM175" s="14"/>
      <c r="BN175" s="14"/>
      <c r="BP175" s="59"/>
      <c r="BT175" s="59"/>
      <c r="CE175" s="60"/>
    </row>
    <row r="176" spans="1:83" x14ac:dyDescent="0.3">
      <c r="A176" s="23"/>
      <c r="B176" s="23"/>
      <c r="H176" s="14"/>
      <c r="I176" s="23"/>
      <c r="O176" s="14"/>
      <c r="P176" s="23"/>
      <c r="W176" s="23"/>
      <c r="AC176" s="14"/>
      <c r="AK176" s="23"/>
      <c r="AR176" s="23"/>
      <c r="BH176" s="23"/>
      <c r="BM176" s="14"/>
      <c r="BN176" s="14"/>
      <c r="BP176" s="59"/>
      <c r="BT176" s="59"/>
      <c r="CE176" s="60"/>
    </row>
    <row r="177" spans="1:83" x14ac:dyDescent="0.3">
      <c r="A177" s="23"/>
      <c r="B177" s="23"/>
      <c r="H177" s="14"/>
      <c r="I177" s="23"/>
      <c r="O177" s="14"/>
      <c r="P177" s="23"/>
      <c r="W177" s="23"/>
      <c r="AC177" s="14"/>
      <c r="AK177" s="23"/>
      <c r="AR177" s="23"/>
      <c r="BH177" s="23"/>
      <c r="BM177" s="14"/>
      <c r="BN177" s="14"/>
      <c r="BP177" s="59"/>
      <c r="BT177" s="59"/>
      <c r="CE177" s="60"/>
    </row>
    <row r="178" spans="1:83" x14ac:dyDescent="0.3">
      <c r="A178" s="23"/>
      <c r="B178" s="23"/>
      <c r="H178" s="14"/>
      <c r="I178" s="23"/>
      <c r="O178" s="14"/>
      <c r="P178" s="23"/>
      <c r="W178" s="23"/>
      <c r="AC178" s="14"/>
      <c r="AK178" s="23"/>
      <c r="AR178" s="23"/>
      <c r="BH178" s="23"/>
      <c r="BM178" s="14"/>
      <c r="BN178" s="14"/>
      <c r="BP178" s="59"/>
      <c r="BT178" s="59"/>
      <c r="CE178" s="60"/>
    </row>
    <row r="179" spans="1:83" x14ac:dyDescent="0.3">
      <c r="A179" s="23"/>
      <c r="B179" s="23"/>
      <c r="H179" s="14"/>
      <c r="I179" s="23"/>
      <c r="O179" s="14"/>
      <c r="P179" s="23"/>
      <c r="W179" s="23"/>
      <c r="AC179" s="14"/>
      <c r="AK179" s="23"/>
      <c r="AR179" s="23"/>
      <c r="BH179" s="23"/>
      <c r="BM179" s="14"/>
      <c r="BN179" s="14"/>
      <c r="BP179" s="59"/>
      <c r="BT179" s="59"/>
      <c r="CE179" s="60"/>
    </row>
    <row r="180" spans="1:83" x14ac:dyDescent="0.3">
      <c r="A180" s="23"/>
      <c r="B180" s="23"/>
      <c r="H180" s="14"/>
      <c r="I180" s="23"/>
      <c r="O180" s="14"/>
      <c r="P180" s="23"/>
      <c r="W180" s="23"/>
      <c r="AC180" s="14"/>
      <c r="AK180" s="23"/>
      <c r="AR180" s="23"/>
      <c r="BH180" s="23"/>
      <c r="BM180" s="14"/>
      <c r="BN180" s="14"/>
      <c r="BP180" s="59"/>
      <c r="BT180" s="59"/>
      <c r="CE180" s="60"/>
    </row>
    <row r="181" spans="1:83" x14ac:dyDescent="0.3">
      <c r="A181" s="23"/>
      <c r="B181" s="23"/>
      <c r="H181" s="14"/>
      <c r="I181" s="23"/>
      <c r="O181" s="14"/>
      <c r="P181" s="23"/>
      <c r="W181" s="23"/>
      <c r="AC181" s="14"/>
      <c r="AK181" s="23"/>
      <c r="AR181" s="23"/>
      <c r="BH181" s="23"/>
      <c r="BM181" s="14"/>
      <c r="BN181" s="14"/>
      <c r="BP181" s="59"/>
      <c r="BT181" s="59"/>
      <c r="CE181" s="60"/>
    </row>
    <row r="182" spans="1:83" x14ac:dyDescent="0.3">
      <c r="A182" s="23"/>
      <c r="B182" s="23"/>
      <c r="H182" s="14"/>
      <c r="I182" s="23"/>
      <c r="O182" s="14"/>
      <c r="P182" s="23"/>
      <c r="W182" s="23"/>
      <c r="AC182" s="14"/>
      <c r="AK182" s="23"/>
      <c r="AR182" s="23"/>
      <c r="BH182" s="23"/>
      <c r="BM182" s="14"/>
      <c r="BN182" s="14"/>
      <c r="BP182" s="59"/>
      <c r="BT182" s="59"/>
      <c r="CE182" s="60"/>
    </row>
    <row r="183" spans="1:83" x14ac:dyDescent="0.3">
      <c r="A183" s="23"/>
      <c r="B183" s="50"/>
      <c r="C183" s="10"/>
      <c r="D183" s="10"/>
      <c r="E183" s="10"/>
      <c r="F183" s="10"/>
      <c r="G183" s="10"/>
      <c r="H183" s="15"/>
      <c r="I183" s="50"/>
      <c r="J183" s="10"/>
      <c r="K183" s="10"/>
      <c r="L183" s="10"/>
      <c r="M183" s="10"/>
      <c r="N183" s="10"/>
      <c r="O183" s="15"/>
      <c r="P183" s="50"/>
      <c r="Q183" s="10"/>
      <c r="R183" s="10"/>
      <c r="S183" s="10"/>
      <c r="T183" s="10"/>
      <c r="U183" s="10"/>
      <c r="V183" s="10"/>
      <c r="W183" s="50"/>
      <c r="X183" s="10"/>
      <c r="Y183" s="10"/>
      <c r="Z183" s="10"/>
      <c r="AA183" s="10"/>
      <c r="AB183" s="10"/>
      <c r="AC183" s="15"/>
      <c r="AD183" s="10"/>
      <c r="AE183" s="10"/>
      <c r="AF183" s="10"/>
      <c r="AG183" s="10"/>
      <c r="AH183" s="10"/>
      <c r="AI183" s="10"/>
      <c r="AJ183" s="10"/>
      <c r="AK183" s="50"/>
      <c r="AL183" s="10"/>
      <c r="AM183" s="10"/>
      <c r="AN183" s="10"/>
      <c r="AO183" s="10"/>
      <c r="AP183" s="10"/>
      <c r="AQ183" s="10"/>
      <c r="AR183" s="5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50"/>
      <c r="BI183" s="10"/>
      <c r="BJ183" s="10"/>
      <c r="BK183" s="10"/>
      <c r="BL183" s="10"/>
      <c r="BM183" s="15"/>
      <c r="BN183" s="14"/>
      <c r="BP183" s="61"/>
      <c r="BQ183" s="62"/>
      <c r="BR183" s="62"/>
      <c r="BS183" s="62"/>
      <c r="BT183" s="61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3"/>
    </row>
    <row r="184" spans="1:83" x14ac:dyDescent="0.3">
      <c r="A184" s="23"/>
      <c r="BN184" s="14"/>
    </row>
    <row r="185" spans="1:83" x14ac:dyDescent="0.3">
      <c r="A185" s="5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5"/>
    </row>
  </sheetData>
  <mergeCells count="30">
    <mergeCell ref="B8:H9"/>
    <mergeCell ref="AR8:BG9"/>
    <mergeCell ref="A1:E1"/>
    <mergeCell ref="F1:U1"/>
    <mergeCell ref="AD9:AJ9"/>
    <mergeCell ref="AK9:AQ9"/>
    <mergeCell ref="V1:AI1"/>
    <mergeCell ref="AJ1:AP1"/>
    <mergeCell ref="AQ1:AV1"/>
    <mergeCell ref="A2:E3"/>
    <mergeCell ref="F2:U3"/>
    <mergeCell ref="V2:AI3"/>
    <mergeCell ref="AJ2:AK2"/>
    <mergeCell ref="AL2:AP2"/>
    <mergeCell ref="AQ2:AV2"/>
    <mergeCell ref="AJ3:AK3"/>
    <mergeCell ref="AL3:AP3"/>
    <mergeCell ref="AQ3:AV3"/>
    <mergeCell ref="BP8:BS9"/>
    <mergeCell ref="BT8:CE9"/>
    <mergeCell ref="BT59:CE59"/>
    <mergeCell ref="BT60:CE60"/>
    <mergeCell ref="I8:V8"/>
    <mergeCell ref="I9:O9"/>
    <mergeCell ref="P9:V9"/>
    <mergeCell ref="W9:AC9"/>
    <mergeCell ref="W8:AC8"/>
    <mergeCell ref="BT13:CE13"/>
    <mergeCell ref="BT12:CE12"/>
    <mergeCell ref="BH8:BM9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T227"/>
  <sheetViews>
    <sheetView showGridLines="0" zoomScale="85" zoomScaleNormal="85" workbookViewId="0">
      <pane ySplit="9" topLeftCell="A109" activePane="bottomLeft" state="frozen"/>
      <selection activeCell="AC49" sqref="AC49"/>
      <selection pane="bottomLeft" activeCell="AI198" sqref="AI198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62" width="2.453125" style="8"/>
    <col min="63" max="63" width="2.453125" style="8" customWidth="1"/>
    <col min="64" max="16384" width="2.453125" style="8"/>
  </cols>
  <sheetData>
    <row r="1" spans="1:98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98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3.SSJ・SEJ入金 (売掛金)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98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98" x14ac:dyDescent="0.3">
      <c r="A4" s="23"/>
    </row>
    <row r="5" spans="1:98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98" s="11" customFormat="1" x14ac:dyDescent="0.3">
      <c r="A6" s="35" t="str">
        <f ca="1">RIGHT(CELL("filename",A1),LEN(CELL("filename",A1))-FIND("]",CELL("filename",A1)))</f>
        <v>3.SSJ・SEJ入金 (売掛金)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36"/>
    </row>
    <row r="7" spans="1:98" s="11" customFormat="1" x14ac:dyDescent="0.3">
      <c r="A7" s="24"/>
      <c r="B7" s="12"/>
      <c r="C7" s="12"/>
      <c r="D7" s="12"/>
      <c r="E7" s="12"/>
      <c r="F7" s="12"/>
      <c r="G7" s="12"/>
      <c r="H7" s="12"/>
      <c r="CA7" s="13"/>
    </row>
    <row r="8" spans="1:98" s="11" customFormat="1" ht="21" customHeight="1" x14ac:dyDescent="0.3">
      <c r="A8" s="24"/>
      <c r="B8" s="251" t="s">
        <v>116</v>
      </c>
      <c r="C8" s="252"/>
      <c r="D8" s="252"/>
      <c r="E8" s="252"/>
      <c r="F8" s="252"/>
      <c r="G8" s="252"/>
      <c r="H8" s="253"/>
      <c r="I8" s="251" t="s">
        <v>177</v>
      </c>
      <c r="J8" s="252"/>
      <c r="K8" s="252"/>
      <c r="L8" s="252"/>
      <c r="M8" s="252"/>
      <c r="N8" s="252"/>
      <c r="O8" s="253"/>
      <c r="P8" s="257" t="s">
        <v>178</v>
      </c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9"/>
      <c r="AC8" s="257" t="s">
        <v>179</v>
      </c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9"/>
      <c r="AP8" s="222" t="s">
        <v>92</v>
      </c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4"/>
      <c r="BD8" s="221" t="s">
        <v>110</v>
      </c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0" t="s">
        <v>112</v>
      </c>
      <c r="BU8" s="221"/>
      <c r="BV8" s="221"/>
      <c r="BW8" s="221"/>
      <c r="BX8" s="221"/>
      <c r="BY8" s="221"/>
      <c r="BZ8" s="221"/>
      <c r="CA8" s="13"/>
      <c r="CC8" s="245" t="s">
        <v>118</v>
      </c>
      <c r="CD8" s="246"/>
      <c r="CE8" s="246"/>
      <c r="CF8" s="246"/>
      <c r="CG8" s="263" t="s">
        <v>119</v>
      </c>
      <c r="CH8" s="264"/>
      <c r="CI8" s="264"/>
      <c r="CJ8" s="264"/>
      <c r="CK8" s="264"/>
      <c r="CL8" s="264"/>
      <c r="CM8" s="264"/>
      <c r="CN8" s="264"/>
      <c r="CO8" s="264"/>
      <c r="CP8" s="264"/>
      <c r="CQ8" s="264"/>
      <c r="CR8" s="265"/>
    </row>
    <row r="9" spans="1:98" s="11" customFormat="1" ht="13.5" customHeight="1" x14ac:dyDescent="0.3">
      <c r="A9" s="24"/>
      <c r="B9" s="254"/>
      <c r="C9" s="255"/>
      <c r="D9" s="255"/>
      <c r="E9" s="255"/>
      <c r="F9" s="255"/>
      <c r="G9" s="255"/>
      <c r="H9" s="256"/>
      <c r="I9" s="254"/>
      <c r="J9" s="255"/>
      <c r="K9" s="255"/>
      <c r="L9" s="255"/>
      <c r="M9" s="255"/>
      <c r="N9" s="255"/>
      <c r="O9" s="256"/>
      <c r="P9" s="260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2"/>
      <c r="AC9" s="260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2"/>
      <c r="AP9" s="222" t="s">
        <v>107</v>
      </c>
      <c r="AQ9" s="223"/>
      <c r="AR9" s="223"/>
      <c r="AS9" s="223"/>
      <c r="AT9" s="223"/>
      <c r="AU9" s="223"/>
      <c r="AV9" s="224"/>
      <c r="AW9" s="222" t="s">
        <v>109</v>
      </c>
      <c r="AX9" s="223"/>
      <c r="AY9" s="223"/>
      <c r="AZ9" s="223"/>
      <c r="BA9" s="223"/>
      <c r="BB9" s="223"/>
      <c r="BC9" s="224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13"/>
      <c r="CC9" s="247"/>
      <c r="CD9" s="247"/>
      <c r="CE9" s="247"/>
      <c r="CF9" s="247"/>
      <c r="CG9" s="266"/>
      <c r="CH9" s="267"/>
      <c r="CI9" s="267"/>
      <c r="CJ9" s="267"/>
      <c r="CK9" s="267"/>
      <c r="CL9" s="267"/>
      <c r="CM9" s="267"/>
      <c r="CN9" s="267"/>
      <c r="CO9" s="267"/>
      <c r="CP9" s="267"/>
      <c r="CQ9" s="267"/>
      <c r="CR9" s="268"/>
    </row>
    <row r="10" spans="1:98" s="11" customFormat="1" x14ac:dyDescent="0.3">
      <c r="A10" s="24"/>
      <c r="B10" s="25" t="s">
        <v>180</v>
      </c>
      <c r="C10" s="22"/>
      <c r="D10" s="22"/>
      <c r="E10" s="22"/>
      <c r="F10" s="22"/>
      <c r="G10" s="22"/>
      <c r="H10" s="22"/>
      <c r="I10" s="2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13"/>
      <c r="CC10" s="54"/>
      <c r="CD10" s="55"/>
      <c r="CE10" s="55"/>
      <c r="CF10" s="55"/>
      <c r="CG10" s="54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6"/>
    </row>
    <row r="11" spans="1:98" s="11" customFormat="1" x14ac:dyDescent="0.3">
      <c r="A11" s="24"/>
      <c r="B11" s="41"/>
      <c r="C11" s="42"/>
      <c r="D11" s="42"/>
      <c r="E11" s="42"/>
      <c r="F11" s="42"/>
      <c r="G11" s="42"/>
      <c r="H11" s="43"/>
      <c r="I11" s="41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3"/>
      <c r="AC11" s="44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3"/>
      <c r="AP11" s="42"/>
      <c r="AQ11" s="42"/>
      <c r="AR11" s="42"/>
      <c r="AS11" s="42"/>
      <c r="AT11" s="42"/>
      <c r="AU11" s="42"/>
      <c r="AV11" s="42"/>
      <c r="AW11" s="44"/>
      <c r="AX11" s="42"/>
      <c r="AY11" s="42"/>
      <c r="AZ11" s="42"/>
      <c r="BA11" s="42"/>
      <c r="BB11" s="42"/>
      <c r="BC11" s="43"/>
      <c r="BD11" s="44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4"/>
      <c r="BU11" s="42"/>
      <c r="BV11" s="42"/>
      <c r="BW11" s="42"/>
      <c r="BX11" s="42"/>
      <c r="BY11" s="42"/>
      <c r="BZ11" s="43"/>
      <c r="CA11" s="13"/>
      <c r="CC11" s="57"/>
      <c r="CG11" s="57"/>
      <c r="CR11" s="58"/>
    </row>
    <row r="12" spans="1:98" s="11" customFormat="1" x14ac:dyDescent="0.3">
      <c r="A12" s="24"/>
      <c r="B12" s="26"/>
      <c r="C12" s="20"/>
      <c r="D12" s="20"/>
      <c r="E12" s="20"/>
      <c r="F12" s="20"/>
      <c r="G12" s="20"/>
      <c r="H12" s="19"/>
      <c r="I12" s="26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19"/>
      <c r="AC12" s="27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19"/>
      <c r="AP12" s="20"/>
      <c r="AQ12" s="20"/>
      <c r="AR12" s="20"/>
      <c r="AS12" s="20"/>
      <c r="AT12" s="20"/>
      <c r="AU12" s="20"/>
      <c r="AV12" s="20"/>
      <c r="AW12" s="27"/>
      <c r="AX12" s="20"/>
      <c r="AY12" s="20"/>
      <c r="AZ12" s="20"/>
      <c r="BA12" s="20"/>
      <c r="BB12" s="20"/>
      <c r="BC12" s="19"/>
      <c r="BD12" s="27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7"/>
      <c r="BU12" s="20"/>
      <c r="BV12" s="20"/>
      <c r="BW12" s="20"/>
      <c r="BX12" s="20"/>
      <c r="BY12" s="20"/>
      <c r="BZ12" s="19"/>
      <c r="CA12" s="13"/>
      <c r="CC12" s="57"/>
      <c r="CG12" s="57"/>
      <c r="CR12" s="58"/>
    </row>
    <row r="13" spans="1:98" s="11" customFormat="1" x14ac:dyDescent="0.3">
      <c r="A13" s="24"/>
      <c r="B13" s="26"/>
      <c r="C13" s="20"/>
      <c r="D13" s="20"/>
      <c r="E13" s="20"/>
      <c r="F13" s="20"/>
      <c r="G13" s="20"/>
      <c r="H13" s="19"/>
      <c r="I13" s="26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19"/>
      <c r="AC13" s="27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19"/>
      <c r="AP13" s="20"/>
      <c r="AQ13" s="20"/>
      <c r="AR13" s="20"/>
      <c r="AS13" s="20"/>
      <c r="AT13" s="20"/>
      <c r="AU13" s="20"/>
      <c r="AV13" s="20"/>
      <c r="AW13" s="27"/>
      <c r="AX13" s="20"/>
      <c r="AY13" s="20"/>
      <c r="AZ13" s="20"/>
      <c r="BA13" s="20"/>
      <c r="BB13" s="20"/>
      <c r="BC13" s="19"/>
      <c r="BD13" s="27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7"/>
      <c r="BU13" s="20"/>
      <c r="BV13" s="20"/>
      <c r="BW13" s="20"/>
      <c r="BX13" s="20"/>
      <c r="BY13" s="20"/>
      <c r="BZ13" s="19"/>
      <c r="CA13" s="13"/>
      <c r="CC13" s="57"/>
      <c r="CG13" s="57"/>
      <c r="CR13" s="58"/>
    </row>
    <row r="14" spans="1:98" s="11" customFormat="1" x14ac:dyDescent="0.3">
      <c r="A14" s="24"/>
      <c r="B14" s="26"/>
      <c r="C14" s="20"/>
      <c r="D14" s="20"/>
      <c r="E14" s="20"/>
      <c r="F14" s="20"/>
      <c r="G14" s="20"/>
      <c r="H14" s="19"/>
      <c r="I14" s="26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9"/>
      <c r="AC14" s="27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19"/>
      <c r="AP14" s="20"/>
      <c r="AQ14" s="20"/>
      <c r="AR14" s="20"/>
      <c r="AS14" s="20"/>
      <c r="AT14" s="20"/>
      <c r="AU14" s="20"/>
      <c r="AV14" s="20"/>
      <c r="AW14" s="27"/>
      <c r="AX14" s="20"/>
      <c r="AY14" s="20"/>
      <c r="AZ14" s="20"/>
      <c r="BA14" s="20"/>
      <c r="BB14" s="20"/>
      <c r="BC14" s="19"/>
      <c r="BD14" s="27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7"/>
      <c r="BU14" s="20"/>
      <c r="BV14" s="20"/>
      <c r="BW14" s="20"/>
      <c r="BX14" s="20"/>
      <c r="BY14" s="20"/>
      <c r="BZ14" s="19"/>
      <c r="CA14" s="13"/>
      <c r="CC14" s="57"/>
      <c r="CG14" s="57"/>
      <c r="CR14" s="58"/>
    </row>
    <row r="15" spans="1:98" x14ac:dyDescent="0.3">
      <c r="A15" s="23"/>
      <c r="B15" s="23"/>
      <c r="H15" s="14"/>
      <c r="I15" s="23"/>
      <c r="O15" s="14"/>
      <c r="P15" s="23"/>
      <c r="AB15" s="14"/>
      <c r="AC15" s="23"/>
      <c r="AO15" s="14"/>
      <c r="AW15" s="23"/>
      <c r="BC15" s="14"/>
      <c r="BD15" s="23"/>
      <c r="BH15" s="11"/>
      <c r="BT15" s="23"/>
      <c r="BZ15" s="14"/>
      <c r="CA15" s="14"/>
      <c r="CC15" s="57"/>
      <c r="CD15" s="11"/>
      <c r="CE15" s="11"/>
      <c r="CF15" s="11"/>
      <c r="CG15" s="57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58"/>
    </row>
    <row r="16" spans="1:98" x14ac:dyDescent="0.3">
      <c r="A16" s="23"/>
      <c r="B16" s="23"/>
      <c r="H16" s="14"/>
      <c r="I16" s="23"/>
      <c r="O16" s="14"/>
      <c r="P16" s="23"/>
      <c r="AB16" s="14"/>
      <c r="AC16" s="23"/>
      <c r="AO16" s="14"/>
      <c r="AW16" s="23"/>
      <c r="BC16" s="14"/>
      <c r="BD16" s="23"/>
      <c r="BE16" s="21" t="s">
        <v>181</v>
      </c>
      <c r="BF16" s="11"/>
      <c r="BH16" s="11"/>
      <c r="BT16" s="23"/>
      <c r="BZ16" s="14"/>
      <c r="CA16" s="14"/>
      <c r="CC16" s="57"/>
      <c r="CD16" s="11"/>
      <c r="CE16" s="11"/>
      <c r="CF16" s="11"/>
      <c r="CG16" s="57" t="s">
        <v>182</v>
      </c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58"/>
      <c r="CT16" s="8" t="s">
        <v>183</v>
      </c>
    </row>
    <row r="17" spans="1:96" x14ac:dyDescent="0.3">
      <c r="A17" s="23"/>
      <c r="B17" s="23"/>
      <c r="H17" s="14"/>
      <c r="I17" s="23"/>
      <c r="O17" s="14"/>
      <c r="P17" s="23"/>
      <c r="AB17" s="14"/>
      <c r="AC17" s="23"/>
      <c r="AO17" s="14"/>
      <c r="AW17" s="23"/>
      <c r="BC17" s="14"/>
      <c r="BD17" s="23"/>
      <c r="BF17" s="8" t="s">
        <v>184</v>
      </c>
      <c r="BT17" s="23"/>
      <c r="BZ17" s="14"/>
      <c r="CA17" s="14"/>
      <c r="CC17" s="57"/>
      <c r="CD17" s="11"/>
      <c r="CE17" s="11"/>
      <c r="CF17" s="11"/>
      <c r="CG17" s="57" t="s">
        <v>185</v>
      </c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58"/>
    </row>
    <row r="18" spans="1:96" x14ac:dyDescent="0.3">
      <c r="A18" s="23"/>
      <c r="B18" s="23"/>
      <c r="H18" s="14"/>
      <c r="I18" s="23"/>
      <c r="O18" s="14"/>
      <c r="P18" s="23"/>
      <c r="AB18" s="14"/>
      <c r="AC18" s="23"/>
      <c r="AO18" s="14"/>
      <c r="AW18" s="23"/>
      <c r="BC18" s="14"/>
      <c r="BD18" s="23"/>
      <c r="BT18" s="23"/>
      <c r="BZ18" s="14"/>
      <c r="CA18" s="14"/>
      <c r="CC18" s="57"/>
      <c r="CD18" s="11"/>
      <c r="CE18" s="11"/>
      <c r="CF18" s="11"/>
      <c r="CG18" s="57" t="s">
        <v>186</v>
      </c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58"/>
    </row>
    <row r="19" spans="1:96" x14ac:dyDescent="0.3">
      <c r="A19" s="23"/>
      <c r="B19" s="23"/>
      <c r="H19" s="14"/>
      <c r="I19" s="23"/>
      <c r="O19" s="14"/>
      <c r="P19" s="23"/>
      <c r="AB19" s="14"/>
      <c r="AC19" s="23"/>
      <c r="AO19" s="14"/>
      <c r="AW19" s="23"/>
      <c r="BC19" s="14"/>
      <c r="BD19" s="23"/>
      <c r="BT19" s="23"/>
      <c r="BZ19" s="14"/>
      <c r="CA19" s="14"/>
      <c r="CC19" s="57"/>
      <c r="CD19" s="11"/>
      <c r="CE19" s="11"/>
      <c r="CF19" s="11"/>
      <c r="CG19" s="57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58"/>
    </row>
    <row r="20" spans="1:96" x14ac:dyDescent="0.3">
      <c r="A20" s="23"/>
      <c r="B20" s="23"/>
      <c r="H20" s="14"/>
      <c r="I20" s="23"/>
      <c r="O20" s="14"/>
      <c r="P20" s="23"/>
      <c r="AB20" s="14"/>
      <c r="AC20" s="23"/>
      <c r="AO20" s="14"/>
      <c r="AW20" s="23"/>
      <c r="BC20" s="14"/>
      <c r="BD20" s="23"/>
      <c r="BT20" s="23"/>
      <c r="BZ20" s="14"/>
      <c r="CA20" s="14"/>
      <c r="CC20" s="57"/>
      <c r="CD20" s="11"/>
      <c r="CE20" s="11"/>
      <c r="CF20" s="11"/>
      <c r="CG20" s="57" t="s">
        <v>187</v>
      </c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58"/>
    </row>
    <row r="21" spans="1:96" x14ac:dyDescent="0.3">
      <c r="A21" s="23"/>
      <c r="B21" s="23"/>
      <c r="H21" s="14"/>
      <c r="I21" s="23"/>
      <c r="O21" s="14"/>
      <c r="P21" s="23"/>
      <c r="AB21" s="14"/>
      <c r="AC21" s="23"/>
      <c r="AO21" s="14"/>
      <c r="AW21" s="23"/>
      <c r="BC21" s="14"/>
      <c r="BD21" s="23"/>
      <c r="BE21" s="16" t="s">
        <v>188</v>
      </c>
      <c r="BT21" s="23"/>
      <c r="BZ21" s="14"/>
      <c r="CA21" s="14"/>
      <c r="CC21" s="57"/>
      <c r="CD21" s="11"/>
      <c r="CE21" s="11"/>
      <c r="CF21" s="11"/>
      <c r="CG21" s="57" t="s">
        <v>189</v>
      </c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58"/>
    </row>
    <row r="22" spans="1:96" x14ac:dyDescent="0.3">
      <c r="A22" s="23"/>
      <c r="B22" s="23"/>
      <c r="H22" s="14"/>
      <c r="I22" s="23"/>
      <c r="O22" s="14"/>
      <c r="P22" s="23"/>
      <c r="AB22" s="14"/>
      <c r="AC22" s="23"/>
      <c r="AO22" s="14"/>
      <c r="AW22" s="23"/>
      <c r="BC22" s="14"/>
      <c r="BD22" s="23"/>
      <c r="BF22" s="8" t="s">
        <v>190</v>
      </c>
      <c r="BT22" s="23"/>
      <c r="BZ22" s="14"/>
      <c r="CA22" s="14"/>
      <c r="CC22" s="59"/>
      <c r="CG22" s="59" t="s">
        <v>191</v>
      </c>
      <c r="CR22" s="60"/>
    </row>
    <row r="23" spans="1:96" x14ac:dyDescent="0.3">
      <c r="A23" s="23"/>
      <c r="B23" s="23"/>
      <c r="H23" s="14"/>
      <c r="I23" s="23"/>
      <c r="O23" s="14"/>
      <c r="P23" s="23"/>
      <c r="AB23" s="14"/>
      <c r="AC23" s="23"/>
      <c r="AO23" s="14"/>
      <c r="AW23" s="23"/>
      <c r="BC23" s="14"/>
      <c r="BD23" s="23"/>
      <c r="BT23" s="23"/>
      <c r="BZ23" s="14"/>
      <c r="CA23" s="14"/>
      <c r="CC23" s="59"/>
      <c r="CG23" s="57" t="s">
        <v>186</v>
      </c>
      <c r="CR23" s="60"/>
    </row>
    <row r="24" spans="1:96" x14ac:dyDescent="0.3">
      <c r="A24" s="23"/>
      <c r="B24" s="23"/>
      <c r="H24" s="14"/>
      <c r="I24" s="23"/>
      <c r="O24" s="14"/>
      <c r="P24" s="23"/>
      <c r="AB24" s="14"/>
      <c r="AC24" s="23"/>
      <c r="AO24" s="14"/>
      <c r="AW24" s="23"/>
      <c r="BC24" s="14"/>
      <c r="BD24" s="23"/>
      <c r="BT24" s="23"/>
      <c r="BZ24" s="14"/>
      <c r="CA24" s="14"/>
      <c r="CC24" s="59"/>
      <c r="CG24" s="59"/>
      <c r="CR24" s="60"/>
    </row>
    <row r="25" spans="1:96" x14ac:dyDescent="0.3">
      <c r="A25" s="23"/>
      <c r="B25" s="23"/>
      <c r="H25" s="14"/>
      <c r="I25" s="23"/>
      <c r="O25" s="14"/>
      <c r="P25" s="23"/>
      <c r="AB25" s="14"/>
      <c r="AC25" s="23"/>
      <c r="AO25" s="14"/>
      <c r="AW25" s="23"/>
      <c r="BC25" s="14"/>
      <c r="BD25" s="23"/>
      <c r="BT25" s="23"/>
      <c r="BZ25" s="14"/>
      <c r="CA25" s="14"/>
      <c r="CC25" s="59"/>
      <c r="CG25" s="59"/>
      <c r="CR25" s="60"/>
    </row>
    <row r="26" spans="1:96" x14ac:dyDescent="0.3">
      <c r="A26" s="23"/>
      <c r="B26" s="23"/>
      <c r="H26" s="14"/>
      <c r="I26" s="23"/>
      <c r="O26" s="14"/>
      <c r="P26" s="23"/>
      <c r="AB26" s="14"/>
      <c r="AC26" s="23"/>
      <c r="AO26" s="14"/>
      <c r="AW26" s="23"/>
      <c r="BC26" s="14"/>
      <c r="BD26" s="23"/>
      <c r="BE26" s="16" t="s">
        <v>192</v>
      </c>
      <c r="BT26" s="23"/>
      <c r="BZ26" s="14"/>
      <c r="CA26" s="14"/>
      <c r="CC26" s="59"/>
      <c r="CG26" s="59"/>
      <c r="CR26" s="60"/>
    </row>
    <row r="27" spans="1:96" x14ac:dyDescent="0.3">
      <c r="A27" s="23"/>
      <c r="B27" s="23"/>
      <c r="H27" s="14"/>
      <c r="I27" s="23"/>
      <c r="O27" s="14"/>
      <c r="P27" s="23"/>
      <c r="AB27" s="14"/>
      <c r="AC27" s="23"/>
      <c r="AO27" s="14"/>
      <c r="AW27" s="23"/>
      <c r="BC27" s="14"/>
      <c r="BD27" s="23"/>
      <c r="BF27" s="8" t="s">
        <v>193</v>
      </c>
      <c r="BT27" s="23"/>
      <c r="BZ27" s="14"/>
      <c r="CA27" s="14"/>
      <c r="CC27" s="59"/>
      <c r="CG27" s="59"/>
      <c r="CR27" s="60"/>
    </row>
    <row r="28" spans="1:96" x14ac:dyDescent="0.3">
      <c r="A28" s="23"/>
      <c r="B28" s="23"/>
      <c r="H28" s="14"/>
      <c r="I28" s="23"/>
      <c r="O28" s="14"/>
      <c r="P28" s="23"/>
      <c r="AB28" s="14"/>
      <c r="AC28" s="23"/>
      <c r="AO28" s="14"/>
      <c r="AW28" s="23"/>
      <c r="BC28" s="14"/>
      <c r="BD28" s="23"/>
      <c r="BF28" s="8" t="s">
        <v>194</v>
      </c>
      <c r="BT28" s="23"/>
      <c r="BZ28" s="14"/>
      <c r="CA28" s="14"/>
      <c r="CC28" s="59"/>
      <c r="CG28" s="59"/>
      <c r="CR28" s="60"/>
    </row>
    <row r="29" spans="1:96" x14ac:dyDescent="0.3">
      <c r="A29" s="23"/>
      <c r="B29" s="23"/>
      <c r="H29" s="14"/>
      <c r="I29" s="23"/>
      <c r="O29" s="14"/>
      <c r="P29" s="23"/>
      <c r="AB29" s="14"/>
      <c r="AC29" s="23"/>
      <c r="AO29" s="14"/>
      <c r="AW29" s="23"/>
      <c r="BC29" s="14"/>
      <c r="BD29" s="23"/>
      <c r="BT29" s="23"/>
      <c r="BZ29" s="14"/>
      <c r="CA29" s="14"/>
      <c r="CC29" s="59"/>
      <c r="CG29" s="59"/>
      <c r="CR29" s="60"/>
    </row>
    <row r="30" spans="1:96" x14ac:dyDescent="0.3">
      <c r="A30" s="23"/>
      <c r="B30" s="23"/>
      <c r="H30" s="14"/>
      <c r="I30" s="23"/>
      <c r="O30" s="14"/>
      <c r="P30" s="23"/>
      <c r="AB30" s="14"/>
      <c r="AC30" s="23"/>
      <c r="AO30" s="14"/>
      <c r="AW30" s="23"/>
      <c r="BC30" s="14"/>
      <c r="BD30" s="23"/>
      <c r="BT30" s="23"/>
      <c r="BZ30" s="14"/>
      <c r="CA30" s="14"/>
      <c r="CC30" s="59"/>
      <c r="CG30" s="59"/>
      <c r="CR30" s="60"/>
    </row>
    <row r="31" spans="1:96" x14ac:dyDescent="0.3">
      <c r="A31" s="23"/>
      <c r="B31" s="23"/>
      <c r="H31" s="14"/>
      <c r="I31" s="23"/>
      <c r="O31" s="14"/>
      <c r="P31" s="23"/>
      <c r="AB31" s="14"/>
      <c r="AC31" s="23"/>
      <c r="AO31" s="14"/>
      <c r="AW31" s="23"/>
      <c r="BC31" s="14"/>
      <c r="BD31" s="23"/>
      <c r="BT31" s="23"/>
      <c r="BZ31" s="14"/>
      <c r="CA31" s="14"/>
      <c r="CC31" s="59"/>
      <c r="CG31" s="59"/>
      <c r="CR31" s="60"/>
    </row>
    <row r="32" spans="1:96" x14ac:dyDescent="0.3">
      <c r="A32" s="23"/>
      <c r="B32" s="23"/>
      <c r="H32" s="14"/>
      <c r="I32" s="23"/>
      <c r="O32" s="14"/>
      <c r="P32" s="23"/>
      <c r="AB32" s="14"/>
      <c r="AC32" s="23"/>
      <c r="AO32" s="14"/>
      <c r="AW32" s="23"/>
      <c r="BC32" s="14"/>
      <c r="BD32" s="23"/>
      <c r="BT32" s="23"/>
      <c r="BZ32" s="14"/>
      <c r="CA32" s="14"/>
      <c r="CC32" s="59"/>
      <c r="CG32" s="59"/>
      <c r="CR32" s="60"/>
    </row>
    <row r="33" spans="1:96" x14ac:dyDescent="0.3">
      <c r="A33" s="23"/>
      <c r="B33" s="23"/>
      <c r="H33" s="14"/>
      <c r="I33" s="23"/>
      <c r="O33" s="14"/>
      <c r="P33" s="23"/>
      <c r="AB33" s="14"/>
      <c r="AC33" s="23"/>
      <c r="AO33" s="14"/>
      <c r="AW33" s="23"/>
      <c r="BC33" s="14"/>
      <c r="BD33" s="23"/>
      <c r="BT33" s="23"/>
      <c r="BZ33" s="14"/>
      <c r="CA33" s="14"/>
      <c r="CC33" s="59"/>
      <c r="CG33" s="59"/>
      <c r="CR33" s="60"/>
    </row>
    <row r="34" spans="1:96" x14ac:dyDescent="0.3">
      <c r="A34" s="23"/>
      <c r="B34" s="23"/>
      <c r="H34" s="14"/>
      <c r="I34" s="23"/>
      <c r="O34" s="14"/>
      <c r="P34" s="23"/>
      <c r="AB34" s="14"/>
      <c r="AC34" s="23"/>
      <c r="AO34" s="14"/>
      <c r="AW34" s="23"/>
      <c r="BC34" s="14"/>
      <c r="BD34" s="23"/>
      <c r="BT34" s="23"/>
      <c r="BZ34" s="14"/>
      <c r="CA34" s="14"/>
      <c r="CC34" s="59"/>
      <c r="CG34" s="59"/>
      <c r="CR34" s="60"/>
    </row>
    <row r="35" spans="1:96" x14ac:dyDescent="0.3">
      <c r="A35" s="23"/>
      <c r="B35" s="23"/>
      <c r="H35" s="14"/>
      <c r="I35" s="23"/>
      <c r="O35" s="14"/>
      <c r="P35" s="23"/>
      <c r="AB35" s="14"/>
      <c r="AC35" s="23"/>
      <c r="AO35" s="14"/>
      <c r="AW35" s="23"/>
      <c r="BC35" s="14"/>
      <c r="BD35" s="23"/>
      <c r="BE35" s="16" t="s">
        <v>195</v>
      </c>
      <c r="BT35" s="23"/>
      <c r="BZ35" s="14"/>
      <c r="CA35" s="14"/>
      <c r="CC35" s="59"/>
      <c r="CG35" s="59"/>
      <c r="CR35" s="60"/>
    </row>
    <row r="36" spans="1:96" x14ac:dyDescent="0.3">
      <c r="A36" s="23"/>
      <c r="B36" s="23"/>
      <c r="H36" s="14"/>
      <c r="I36" s="23"/>
      <c r="O36" s="14"/>
      <c r="P36" s="23"/>
      <c r="AB36" s="14"/>
      <c r="AC36" s="23"/>
      <c r="AO36" s="14"/>
      <c r="AW36" s="23"/>
      <c r="BC36" s="14"/>
      <c r="BD36" s="23"/>
      <c r="BF36" s="8" t="s">
        <v>196</v>
      </c>
      <c r="BT36" s="23"/>
      <c r="BZ36" s="14"/>
      <c r="CA36" s="14"/>
      <c r="CC36" s="59"/>
      <c r="CG36" s="59"/>
      <c r="CR36" s="60"/>
    </row>
    <row r="37" spans="1:96" x14ac:dyDescent="0.3">
      <c r="A37" s="23"/>
      <c r="B37" s="23"/>
      <c r="H37" s="14"/>
      <c r="I37" s="23"/>
      <c r="O37" s="14"/>
      <c r="P37" s="23"/>
      <c r="AB37" s="14"/>
      <c r="AC37" s="23"/>
      <c r="AO37" s="14"/>
      <c r="AW37" s="23"/>
      <c r="BC37" s="14"/>
      <c r="BD37" s="23"/>
      <c r="BF37" s="8" t="s">
        <v>197</v>
      </c>
      <c r="BT37" s="23"/>
      <c r="BZ37" s="14"/>
      <c r="CA37" s="14"/>
      <c r="CC37" s="59"/>
      <c r="CG37" s="59"/>
      <c r="CR37" s="60"/>
    </row>
    <row r="38" spans="1:96" x14ac:dyDescent="0.3">
      <c r="A38" s="23"/>
      <c r="B38" s="23"/>
      <c r="H38" s="14"/>
      <c r="I38" s="23"/>
      <c r="O38" s="14"/>
      <c r="P38" s="23"/>
      <c r="AB38" s="14"/>
      <c r="AC38" s="23"/>
      <c r="AO38" s="14"/>
      <c r="AW38" s="23"/>
      <c r="BC38" s="14"/>
      <c r="BD38" s="23"/>
      <c r="BE38" s="16"/>
      <c r="BT38" s="23"/>
      <c r="BZ38" s="14"/>
      <c r="CA38" s="14"/>
      <c r="CC38" s="59"/>
      <c r="CG38" s="59"/>
      <c r="CR38" s="60"/>
    </row>
    <row r="39" spans="1:96" x14ac:dyDescent="0.3">
      <c r="A39" s="23"/>
      <c r="B39" s="23"/>
      <c r="H39" s="14"/>
      <c r="I39" s="23"/>
      <c r="O39" s="14"/>
      <c r="P39" s="23"/>
      <c r="AB39" s="14"/>
      <c r="AC39" s="23"/>
      <c r="AO39" s="14"/>
      <c r="AW39" s="23"/>
      <c r="BC39" s="14"/>
      <c r="BD39" s="23"/>
      <c r="BT39" s="23"/>
      <c r="BZ39" s="14"/>
      <c r="CA39" s="14"/>
      <c r="CC39" s="59"/>
      <c r="CG39" s="59"/>
      <c r="CR39" s="60"/>
    </row>
    <row r="40" spans="1:96" x14ac:dyDescent="0.3">
      <c r="A40" s="23"/>
      <c r="B40" s="23"/>
      <c r="H40" s="14"/>
      <c r="I40" s="23"/>
      <c r="O40" s="14"/>
      <c r="P40" s="23"/>
      <c r="AB40" s="14"/>
      <c r="AC40" s="23"/>
      <c r="AO40" s="14"/>
      <c r="AW40" s="23"/>
      <c r="BC40" s="14"/>
      <c r="BD40" s="23"/>
      <c r="BT40" s="23"/>
      <c r="BZ40" s="14"/>
      <c r="CA40" s="14"/>
      <c r="CC40" s="59"/>
      <c r="CG40" s="59"/>
      <c r="CR40" s="60"/>
    </row>
    <row r="41" spans="1:96" x14ac:dyDescent="0.3">
      <c r="A41" s="23"/>
      <c r="B41" s="23"/>
      <c r="H41" s="14"/>
      <c r="I41" s="23"/>
      <c r="O41" s="14"/>
      <c r="P41" s="23"/>
      <c r="AB41" s="14"/>
      <c r="AC41" s="23"/>
      <c r="AO41" s="14"/>
      <c r="AW41" s="23"/>
      <c r="BC41" s="14"/>
      <c r="BD41" s="23"/>
      <c r="BT41" s="23"/>
      <c r="BZ41" s="14"/>
      <c r="CA41" s="14"/>
      <c r="CC41" s="59"/>
      <c r="CG41" s="59"/>
      <c r="CR41" s="60"/>
    </row>
    <row r="42" spans="1:96" x14ac:dyDescent="0.3">
      <c r="A42" s="23"/>
      <c r="B42" s="23"/>
      <c r="H42" s="14"/>
      <c r="I42" s="23"/>
      <c r="O42" s="14"/>
      <c r="P42" s="23"/>
      <c r="AB42" s="14"/>
      <c r="AC42" s="23"/>
      <c r="AO42" s="14"/>
      <c r="AW42" s="23"/>
      <c r="BC42" s="14"/>
      <c r="BD42" s="23"/>
      <c r="BT42" s="23"/>
      <c r="BZ42" s="14"/>
      <c r="CA42" s="14"/>
      <c r="CC42" s="59"/>
      <c r="CG42" s="59"/>
      <c r="CR42" s="60"/>
    </row>
    <row r="43" spans="1:96" x14ac:dyDescent="0.3">
      <c r="A43" s="23"/>
      <c r="B43" s="23"/>
      <c r="H43" s="14"/>
      <c r="I43" s="23"/>
      <c r="O43" s="14"/>
      <c r="P43" s="23"/>
      <c r="AB43" s="14"/>
      <c r="AC43" s="23"/>
      <c r="AO43" s="14"/>
      <c r="AW43" s="23"/>
      <c r="BC43" s="14"/>
      <c r="BD43" s="23"/>
      <c r="BT43" s="23"/>
      <c r="BZ43" s="14"/>
      <c r="CA43" s="14"/>
      <c r="CC43" s="59"/>
      <c r="CG43" s="59"/>
      <c r="CR43" s="60"/>
    </row>
    <row r="44" spans="1:96" x14ac:dyDescent="0.3">
      <c r="A44" s="23"/>
      <c r="B44" s="23"/>
      <c r="H44" s="14"/>
      <c r="I44" s="23"/>
      <c r="O44" s="14"/>
      <c r="P44" s="23"/>
      <c r="AB44" s="14"/>
      <c r="AC44" s="23"/>
      <c r="AO44" s="14"/>
      <c r="AW44" s="23"/>
      <c r="BC44" s="14"/>
      <c r="BD44" s="23"/>
      <c r="BT44" s="23"/>
      <c r="BZ44" s="14"/>
      <c r="CA44" s="14"/>
      <c r="CC44" s="59"/>
      <c r="CG44" s="59"/>
      <c r="CR44" s="60"/>
    </row>
    <row r="45" spans="1:96" x14ac:dyDescent="0.3">
      <c r="A45" s="23"/>
      <c r="B45" s="23"/>
      <c r="H45" s="14"/>
      <c r="I45" s="23"/>
      <c r="O45" s="14"/>
      <c r="P45" s="23"/>
      <c r="AB45" s="14"/>
      <c r="AC45" s="23"/>
      <c r="AO45" s="14"/>
      <c r="AW45" s="23"/>
      <c r="BC45" s="14"/>
      <c r="BD45" s="23"/>
      <c r="BT45" s="23"/>
      <c r="BZ45" s="14"/>
      <c r="CA45" s="14"/>
      <c r="CC45" s="59"/>
      <c r="CG45" s="59"/>
      <c r="CR45" s="60"/>
    </row>
    <row r="46" spans="1:96" x14ac:dyDescent="0.3">
      <c r="A46" s="23"/>
      <c r="B46" s="23"/>
      <c r="H46" s="14"/>
      <c r="I46" s="23"/>
      <c r="O46" s="14"/>
      <c r="P46" s="23"/>
      <c r="AB46" s="14"/>
      <c r="AC46" s="23"/>
      <c r="AO46" s="14"/>
      <c r="AW46" s="23"/>
      <c r="BC46" s="14"/>
      <c r="BD46" s="23"/>
      <c r="BE46" s="16" t="s">
        <v>198</v>
      </c>
      <c r="BT46" s="23"/>
      <c r="BZ46" s="14"/>
      <c r="CA46" s="14"/>
      <c r="CC46" s="59"/>
      <c r="CG46" s="59"/>
      <c r="CR46" s="60"/>
    </row>
    <row r="47" spans="1:96" x14ac:dyDescent="0.3">
      <c r="A47" s="23"/>
      <c r="B47" s="23"/>
      <c r="H47" s="14"/>
      <c r="I47" s="23"/>
      <c r="O47" s="14"/>
      <c r="P47" s="23"/>
      <c r="AB47" s="14"/>
      <c r="AC47" s="23"/>
      <c r="AO47" s="14"/>
      <c r="AW47" s="23"/>
      <c r="BC47" s="14"/>
      <c r="BD47" s="23"/>
      <c r="BF47" s="8" t="s">
        <v>199</v>
      </c>
      <c r="BT47" s="23"/>
      <c r="BZ47" s="14"/>
      <c r="CA47" s="14"/>
      <c r="CC47" s="59"/>
      <c r="CG47" s="59"/>
      <c r="CR47" s="60"/>
    </row>
    <row r="48" spans="1:96" x14ac:dyDescent="0.3">
      <c r="A48" s="23"/>
      <c r="B48" s="23"/>
      <c r="H48" s="14"/>
      <c r="I48" s="23"/>
      <c r="O48" s="14"/>
      <c r="P48" s="23"/>
      <c r="AB48" s="14"/>
      <c r="AC48" s="23"/>
      <c r="AO48" s="14"/>
      <c r="AW48" s="23"/>
      <c r="BC48" s="14"/>
      <c r="BD48" s="23"/>
      <c r="BT48" s="23"/>
      <c r="BZ48" s="14"/>
      <c r="CA48" s="14"/>
      <c r="CC48" s="59"/>
      <c r="CG48" s="59"/>
      <c r="CR48" s="60"/>
    </row>
    <row r="49" spans="1:96" x14ac:dyDescent="0.3">
      <c r="A49" s="23"/>
      <c r="B49" s="23"/>
      <c r="H49" s="14"/>
      <c r="I49" s="23"/>
      <c r="O49" s="14"/>
      <c r="P49" s="23"/>
      <c r="AB49" s="14"/>
      <c r="AC49" s="23"/>
      <c r="AO49" s="14"/>
      <c r="AW49" s="23"/>
      <c r="BC49" s="14"/>
      <c r="BD49" s="23"/>
      <c r="BT49" s="23"/>
      <c r="BZ49" s="14"/>
      <c r="CA49" s="14"/>
      <c r="CC49" s="59"/>
      <c r="CG49" s="59"/>
      <c r="CR49" s="60"/>
    </row>
    <row r="50" spans="1:96" x14ac:dyDescent="0.3">
      <c r="A50" s="23"/>
      <c r="B50" s="23"/>
      <c r="H50" s="14"/>
      <c r="I50" s="23"/>
      <c r="O50" s="14"/>
      <c r="P50" s="23"/>
      <c r="AB50" s="14"/>
      <c r="AC50" s="23"/>
      <c r="AO50" s="14"/>
      <c r="AW50" s="23"/>
      <c r="BC50" s="14"/>
      <c r="BD50" s="23"/>
      <c r="BT50" s="23"/>
      <c r="BZ50" s="14"/>
      <c r="CA50" s="14"/>
      <c r="CC50" s="59"/>
      <c r="CG50" s="59"/>
      <c r="CR50" s="60"/>
    </row>
    <row r="51" spans="1:96" x14ac:dyDescent="0.3">
      <c r="A51" s="23"/>
      <c r="B51" s="23"/>
      <c r="H51" s="14"/>
      <c r="I51" s="23"/>
      <c r="O51" s="14"/>
      <c r="P51" s="23"/>
      <c r="AB51" s="14"/>
      <c r="AC51" s="23"/>
      <c r="AO51" s="14"/>
      <c r="AW51" s="23"/>
      <c r="BC51" s="14"/>
      <c r="BD51" s="23"/>
      <c r="BT51" s="23"/>
      <c r="BZ51" s="14"/>
      <c r="CA51" s="14"/>
      <c r="CC51" s="59"/>
      <c r="CG51" s="59"/>
      <c r="CR51" s="60"/>
    </row>
    <row r="52" spans="1:96" x14ac:dyDescent="0.3">
      <c r="A52" s="23"/>
      <c r="B52" s="23"/>
      <c r="H52" s="14"/>
      <c r="I52" s="23"/>
      <c r="O52" s="14"/>
      <c r="P52" s="23"/>
      <c r="AB52" s="14"/>
      <c r="AC52" s="23"/>
      <c r="AO52" s="14"/>
      <c r="AW52" s="23"/>
      <c r="BC52" s="14"/>
      <c r="BD52" s="23"/>
      <c r="BT52" s="23"/>
      <c r="BZ52" s="14"/>
      <c r="CA52" s="14"/>
      <c r="CC52" s="59"/>
      <c r="CG52" s="59"/>
      <c r="CR52" s="60"/>
    </row>
    <row r="53" spans="1:96" x14ac:dyDescent="0.3">
      <c r="A53" s="23"/>
      <c r="B53" s="23"/>
      <c r="H53" s="14"/>
      <c r="I53" s="23"/>
      <c r="O53" s="14"/>
      <c r="P53" s="23"/>
      <c r="AB53" s="14"/>
      <c r="AC53" s="23"/>
      <c r="AO53" s="14"/>
      <c r="AW53" s="23"/>
      <c r="BC53" s="14"/>
      <c r="BD53" s="23"/>
      <c r="BE53" s="16" t="s">
        <v>200</v>
      </c>
      <c r="BT53" s="23"/>
      <c r="BZ53" s="14"/>
      <c r="CA53" s="14"/>
      <c r="CC53" s="59"/>
      <c r="CG53" s="59"/>
      <c r="CR53" s="60"/>
    </row>
    <row r="54" spans="1:96" x14ac:dyDescent="0.3">
      <c r="A54" s="23"/>
      <c r="B54" s="23"/>
      <c r="H54" s="14"/>
      <c r="I54" s="23"/>
      <c r="O54" s="14"/>
      <c r="P54" s="23"/>
      <c r="AB54" s="14"/>
      <c r="AC54" s="23"/>
      <c r="AO54" s="14"/>
      <c r="AW54" s="23"/>
      <c r="BC54" s="14"/>
      <c r="BD54" s="23"/>
      <c r="BF54" s="8" t="s">
        <v>201</v>
      </c>
      <c r="BT54" s="23"/>
      <c r="BZ54" s="14"/>
      <c r="CA54" s="14"/>
      <c r="CC54" s="59"/>
      <c r="CG54" s="59"/>
      <c r="CR54" s="60"/>
    </row>
    <row r="55" spans="1:96" x14ac:dyDescent="0.3">
      <c r="A55" s="23"/>
      <c r="B55" s="23"/>
      <c r="H55" s="14"/>
      <c r="I55" s="23"/>
      <c r="O55" s="14"/>
      <c r="P55" s="23"/>
      <c r="AB55" s="14"/>
      <c r="AC55" s="23"/>
      <c r="AO55" s="14"/>
      <c r="AW55" s="23"/>
      <c r="BC55" s="14"/>
      <c r="BD55" s="23"/>
      <c r="BT55" s="23"/>
      <c r="BZ55" s="14"/>
      <c r="CA55" s="14"/>
      <c r="CC55" s="59"/>
      <c r="CG55" s="59"/>
      <c r="CR55" s="60"/>
    </row>
    <row r="56" spans="1:96" x14ac:dyDescent="0.3">
      <c r="A56" s="23"/>
      <c r="B56" s="23"/>
      <c r="H56" s="14"/>
      <c r="I56" s="23"/>
      <c r="O56" s="14"/>
      <c r="P56" s="23"/>
      <c r="AB56" s="14"/>
      <c r="AC56" s="23"/>
      <c r="AO56" s="14"/>
      <c r="AW56" s="23"/>
      <c r="BC56" s="14"/>
      <c r="BD56" s="23"/>
      <c r="BT56" s="23"/>
      <c r="BZ56" s="14"/>
      <c r="CA56" s="14"/>
      <c r="CC56" s="59"/>
      <c r="CG56" s="59"/>
      <c r="CR56" s="60"/>
    </row>
    <row r="57" spans="1:96" x14ac:dyDescent="0.3">
      <c r="A57" s="23"/>
      <c r="B57" s="23"/>
      <c r="H57" s="14"/>
      <c r="I57" s="23"/>
      <c r="O57" s="14"/>
      <c r="P57" s="23"/>
      <c r="AB57" s="14"/>
      <c r="AC57" s="23"/>
      <c r="AO57" s="14"/>
      <c r="AW57" s="23"/>
      <c r="BC57" s="14"/>
      <c r="BD57" s="23"/>
      <c r="BT57" s="23"/>
      <c r="BZ57" s="14"/>
      <c r="CA57" s="14"/>
      <c r="CC57" s="59"/>
      <c r="CG57" s="59"/>
      <c r="CR57" s="60"/>
    </row>
    <row r="58" spans="1:96" x14ac:dyDescent="0.3">
      <c r="A58" s="23"/>
      <c r="B58" s="23"/>
      <c r="H58" s="14"/>
      <c r="I58" s="23"/>
      <c r="O58" s="14"/>
      <c r="P58" s="23"/>
      <c r="AB58" s="14"/>
      <c r="AC58" s="23"/>
      <c r="AO58" s="14"/>
      <c r="AW58" s="23"/>
      <c r="BC58" s="14"/>
      <c r="BD58" s="23"/>
      <c r="BT58" s="73" t="s">
        <v>132</v>
      </c>
      <c r="BZ58" s="14"/>
      <c r="CA58" s="14"/>
      <c r="CC58" s="59"/>
      <c r="CG58" s="59"/>
      <c r="CR58" s="60"/>
    </row>
    <row r="59" spans="1:96" x14ac:dyDescent="0.3">
      <c r="A59" s="23"/>
      <c r="B59" s="23"/>
      <c r="H59" s="14"/>
      <c r="I59" s="23"/>
      <c r="O59" s="14"/>
      <c r="P59" s="23"/>
      <c r="AB59" s="14"/>
      <c r="AC59" s="23"/>
      <c r="AO59" s="14"/>
      <c r="AW59" s="23"/>
      <c r="BC59" s="14"/>
      <c r="BD59" s="23"/>
      <c r="BT59" s="23" t="s">
        <v>134</v>
      </c>
      <c r="BZ59" s="14"/>
      <c r="CA59" s="14"/>
      <c r="CC59" s="59"/>
      <c r="CG59" s="59"/>
      <c r="CR59" s="60"/>
    </row>
    <row r="60" spans="1:96" x14ac:dyDescent="0.3">
      <c r="A60" s="23"/>
      <c r="B60" s="23"/>
      <c r="H60" s="14"/>
      <c r="I60" s="23"/>
      <c r="O60" s="14"/>
      <c r="P60" s="23"/>
      <c r="AB60" s="14"/>
      <c r="AC60" s="23"/>
      <c r="AO60" s="14"/>
      <c r="AW60" s="23"/>
      <c r="BC60" s="14"/>
      <c r="BD60" s="23"/>
      <c r="BT60" s="23"/>
      <c r="BU60" s="83" t="s">
        <v>136</v>
      </c>
      <c r="BZ60" s="14"/>
      <c r="CA60" s="14"/>
      <c r="CC60" s="59"/>
      <c r="CG60" s="59"/>
      <c r="CR60" s="60"/>
    </row>
    <row r="61" spans="1:96" x14ac:dyDescent="0.3">
      <c r="A61" s="23"/>
      <c r="B61" s="23"/>
      <c r="H61" s="14"/>
      <c r="I61" s="23"/>
      <c r="O61" s="14"/>
      <c r="P61" s="23"/>
      <c r="AB61" s="14"/>
      <c r="AC61" s="23"/>
      <c r="AO61" s="14"/>
      <c r="AW61" s="23"/>
      <c r="BC61" s="14"/>
      <c r="BD61" s="23"/>
      <c r="BT61" s="23"/>
      <c r="BU61" s="83" t="s">
        <v>137</v>
      </c>
      <c r="BZ61" s="14"/>
      <c r="CA61" s="14"/>
      <c r="CC61" s="59"/>
      <c r="CG61" s="59"/>
      <c r="CR61" s="60"/>
    </row>
    <row r="62" spans="1:96" x14ac:dyDescent="0.3">
      <c r="A62" s="23"/>
      <c r="B62" s="23"/>
      <c r="H62" s="14"/>
      <c r="I62" s="23"/>
      <c r="O62" s="14"/>
      <c r="P62" s="23"/>
      <c r="AB62" s="14"/>
      <c r="AC62" s="23"/>
      <c r="AO62" s="14"/>
      <c r="AW62" s="23"/>
      <c r="BC62" s="14"/>
      <c r="BD62" s="23"/>
      <c r="BT62" s="23"/>
      <c r="BZ62" s="14"/>
      <c r="CA62" s="14"/>
      <c r="CC62" s="59"/>
      <c r="CG62" s="59"/>
      <c r="CR62" s="60"/>
    </row>
    <row r="63" spans="1:96" x14ac:dyDescent="0.3">
      <c r="A63" s="23"/>
      <c r="B63" s="23"/>
      <c r="H63" s="14"/>
      <c r="I63" s="23"/>
      <c r="O63" s="14"/>
      <c r="P63" s="23"/>
      <c r="AB63" s="14"/>
      <c r="AC63" s="23"/>
      <c r="AO63" s="14"/>
      <c r="AW63" s="23"/>
      <c r="BC63" s="14"/>
      <c r="BD63" s="23"/>
      <c r="BT63" s="23"/>
      <c r="BZ63" s="14"/>
      <c r="CA63" s="14"/>
      <c r="CC63" s="59"/>
      <c r="CG63" s="59"/>
      <c r="CR63" s="60"/>
    </row>
    <row r="64" spans="1:96" x14ac:dyDescent="0.3">
      <c r="A64" s="23"/>
      <c r="B64" s="23"/>
      <c r="H64" s="14"/>
      <c r="I64" s="23"/>
      <c r="O64" s="14"/>
      <c r="P64" s="23"/>
      <c r="AB64" s="14"/>
      <c r="AC64" s="23"/>
      <c r="AO64" s="14"/>
      <c r="AW64" s="23"/>
      <c r="BC64" s="14"/>
      <c r="BD64" s="23"/>
      <c r="BT64" s="23"/>
      <c r="BZ64" s="14"/>
      <c r="CA64" s="14"/>
      <c r="CC64" s="59"/>
      <c r="CG64" s="59"/>
      <c r="CR64" s="60"/>
    </row>
    <row r="65" spans="1:98" x14ac:dyDescent="0.3">
      <c r="A65" s="23"/>
      <c r="B65" s="23"/>
      <c r="H65" s="14"/>
      <c r="I65" s="23"/>
      <c r="O65" s="14"/>
      <c r="P65" s="23"/>
      <c r="AB65" s="14"/>
      <c r="AC65" s="23"/>
      <c r="AO65" s="14"/>
      <c r="AW65" s="23"/>
      <c r="BC65" s="14"/>
      <c r="BD65" s="23"/>
      <c r="BT65" s="23"/>
      <c r="BZ65" s="14"/>
      <c r="CA65" s="14"/>
      <c r="CC65" s="59"/>
      <c r="CG65" s="59"/>
      <c r="CR65" s="60"/>
    </row>
    <row r="66" spans="1:98" x14ac:dyDescent="0.3">
      <c r="A66" s="23"/>
      <c r="B66" s="23"/>
      <c r="H66" s="14"/>
      <c r="I66" s="23"/>
      <c r="O66" s="14"/>
      <c r="P66" s="23"/>
      <c r="AB66" s="14"/>
      <c r="AC66" s="23"/>
      <c r="AO66" s="14"/>
      <c r="AW66" s="23"/>
      <c r="BC66" s="14"/>
      <c r="BD66" s="23"/>
      <c r="BT66" s="23"/>
      <c r="BZ66" s="14"/>
      <c r="CA66" s="14"/>
      <c r="CC66" s="59"/>
      <c r="CG66" s="59"/>
      <c r="CR66" s="60"/>
    </row>
    <row r="67" spans="1:98" x14ac:dyDescent="0.3">
      <c r="A67" s="23"/>
      <c r="B67" s="50"/>
      <c r="C67" s="10"/>
      <c r="D67" s="10"/>
      <c r="E67" s="10"/>
      <c r="F67" s="10"/>
      <c r="G67" s="10"/>
      <c r="H67" s="15"/>
      <c r="I67" s="50"/>
      <c r="J67" s="10"/>
      <c r="K67" s="10"/>
      <c r="L67" s="10"/>
      <c r="M67" s="10"/>
      <c r="N67" s="10"/>
      <c r="O67" s="15"/>
      <c r="P67" s="5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5"/>
      <c r="AC67" s="5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5"/>
      <c r="AP67" s="10"/>
      <c r="AQ67" s="10"/>
      <c r="AR67" s="10"/>
      <c r="AS67" s="10"/>
      <c r="AT67" s="10"/>
      <c r="AU67" s="10"/>
      <c r="AV67" s="10"/>
      <c r="AW67" s="50"/>
      <c r="AX67" s="10"/>
      <c r="AY67" s="10"/>
      <c r="AZ67" s="10"/>
      <c r="BA67" s="10"/>
      <c r="BB67" s="10"/>
      <c r="BC67" s="15"/>
      <c r="BD67" s="5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50"/>
      <c r="BU67" s="10"/>
      <c r="BV67" s="10"/>
      <c r="BW67" s="10"/>
      <c r="BX67" s="10"/>
      <c r="BY67" s="10"/>
      <c r="BZ67" s="15"/>
      <c r="CA67" s="14"/>
      <c r="CC67" s="59"/>
      <c r="CG67" s="59"/>
      <c r="CR67" s="60"/>
    </row>
    <row r="68" spans="1:98" s="11" customFormat="1" x14ac:dyDescent="0.3">
      <c r="A68" s="24"/>
      <c r="B68" s="25" t="s">
        <v>202</v>
      </c>
      <c r="C68" s="22"/>
      <c r="D68" s="22"/>
      <c r="E68" s="22"/>
      <c r="F68" s="22"/>
      <c r="G68" s="22"/>
      <c r="H68" s="22"/>
      <c r="I68" s="25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13"/>
      <c r="CC68" s="54"/>
      <c r="CD68" s="55"/>
      <c r="CE68" s="55"/>
      <c r="CF68" s="55"/>
      <c r="CG68" s="54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6"/>
    </row>
    <row r="69" spans="1:98" s="11" customFormat="1" x14ac:dyDescent="0.3">
      <c r="A69" s="24"/>
      <c r="B69" s="41"/>
      <c r="C69" s="42"/>
      <c r="D69" s="42"/>
      <c r="E69" s="42"/>
      <c r="F69" s="42"/>
      <c r="G69" s="42"/>
      <c r="H69" s="43"/>
      <c r="I69" s="41"/>
      <c r="J69" s="42"/>
      <c r="K69" s="42"/>
      <c r="L69" s="42"/>
      <c r="M69" s="42"/>
      <c r="N69" s="42"/>
      <c r="O69" s="43"/>
      <c r="P69" s="44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3"/>
      <c r="AC69" s="44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3"/>
      <c r="AP69" s="42"/>
      <c r="AQ69" s="42"/>
      <c r="AR69" s="42"/>
      <c r="AS69" s="42"/>
      <c r="AT69" s="42"/>
      <c r="AU69" s="42"/>
      <c r="AV69" s="42"/>
      <c r="AW69" s="44"/>
      <c r="AX69" s="42"/>
      <c r="AY69" s="42"/>
      <c r="AZ69" s="42"/>
      <c r="BA69" s="42"/>
      <c r="BB69" s="42"/>
      <c r="BC69" s="43"/>
      <c r="BD69" s="44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4"/>
      <c r="BU69" s="42"/>
      <c r="BV69" s="42"/>
      <c r="BW69" s="42"/>
      <c r="BX69" s="42"/>
      <c r="BY69" s="42"/>
      <c r="BZ69" s="43"/>
      <c r="CA69" s="13"/>
      <c r="CC69" s="57"/>
      <c r="CG69" s="57"/>
      <c r="CR69" s="58"/>
    </row>
    <row r="70" spans="1:98" s="11" customFormat="1" x14ac:dyDescent="0.3">
      <c r="A70" s="24"/>
      <c r="B70" s="26"/>
      <c r="C70" s="20"/>
      <c r="D70" s="20"/>
      <c r="E70" s="20"/>
      <c r="F70" s="20"/>
      <c r="G70" s="20"/>
      <c r="H70" s="19"/>
      <c r="I70" s="26"/>
      <c r="J70" s="20"/>
      <c r="K70" s="20"/>
      <c r="L70" s="20"/>
      <c r="M70" s="20"/>
      <c r="N70" s="20"/>
      <c r="O70" s="19"/>
      <c r="P70" s="27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9"/>
      <c r="AC70" s="27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19"/>
      <c r="AP70" s="20"/>
      <c r="AQ70" s="20"/>
      <c r="AR70" s="20"/>
      <c r="AS70" s="20"/>
      <c r="AT70" s="20"/>
      <c r="AU70" s="20"/>
      <c r="AV70" s="20"/>
      <c r="AW70" s="27"/>
      <c r="AX70" s="20"/>
      <c r="AY70" s="20"/>
      <c r="AZ70" s="20"/>
      <c r="BA70" s="20"/>
      <c r="BB70" s="20"/>
      <c r="BC70" s="19"/>
      <c r="BD70" s="27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7"/>
      <c r="BU70" s="20"/>
      <c r="BV70" s="20"/>
      <c r="BW70" s="20"/>
      <c r="BX70" s="20"/>
      <c r="BY70" s="20"/>
      <c r="BZ70" s="19"/>
      <c r="CA70" s="13"/>
      <c r="CC70" s="57"/>
      <c r="CG70" s="57"/>
      <c r="CR70" s="58"/>
    </row>
    <row r="71" spans="1:98" s="11" customFormat="1" x14ac:dyDescent="0.3">
      <c r="A71" s="24"/>
      <c r="B71" s="26"/>
      <c r="C71" s="20"/>
      <c r="D71" s="20"/>
      <c r="E71" s="20"/>
      <c r="F71" s="20"/>
      <c r="G71" s="20"/>
      <c r="H71" s="19"/>
      <c r="I71" s="26"/>
      <c r="J71" s="20"/>
      <c r="K71" s="20"/>
      <c r="L71" s="20"/>
      <c r="M71" s="20"/>
      <c r="N71" s="20"/>
      <c r="O71" s="19"/>
      <c r="P71" s="27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9"/>
      <c r="AC71" s="27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19"/>
      <c r="AP71" s="20"/>
      <c r="AQ71" s="20"/>
      <c r="AR71" s="20"/>
      <c r="AS71" s="20"/>
      <c r="AT71" s="20"/>
      <c r="AU71" s="20"/>
      <c r="AV71" s="20"/>
      <c r="AW71" s="27"/>
      <c r="AX71" s="20"/>
      <c r="AY71" s="20"/>
      <c r="AZ71" s="20"/>
      <c r="BA71" s="20"/>
      <c r="BB71" s="20"/>
      <c r="BC71" s="19"/>
      <c r="BD71" s="27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7"/>
      <c r="BU71" s="20"/>
      <c r="BV71" s="20"/>
      <c r="BW71" s="20"/>
      <c r="BX71" s="20"/>
      <c r="BY71" s="20"/>
      <c r="BZ71" s="19"/>
      <c r="CA71" s="13"/>
      <c r="CC71" s="57"/>
      <c r="CG71" s="57"/>
      <c r="CR71" s="58"/>
    </row>
    <row r="72" spans="1:98" s="11" customFormat="1" x14ac:dyDescent="0.3">
      <c r="A72" s="24"/>
      <c r="B72" s="26"/>
      <c r="C72" s="20"/>
      <c r="D72" s="20"/>
      <c r="E72" s="20"/>
      <c r="F72" s="20"/>
      <c r="G72" s="20"/>
      <c r="H72" s="19"/>
      <c r="I72" s="26"/>
      <c r="J72" s="20"/>
      <c r="K72" s="20"/>
      <c r="L72" s="20"/>
      <c r="M72" s="20"/>
      <c r="N72" s="20"/>
      <c r="O72" s="19"/>
      <c r="P72" s="27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9"/>
      <c r="AC72" s="27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19"/>
      <c r="AP72" s="20"/>
      <c r="AQ72" s="20"/>
      <c r="AR72" s="20"/>
      <c r="AS72" s="20"/>
      <c r="AT72" s="20"/>
      <c r="AU72" s="20"/>
      <c r="AV72" s="20"/>
      <c r="AW72" s="27"/>
      <c r="AX72" s="20"/>
      <c r="AY72" s="20"/>
      <c r="AZ72" s="20"/>
      <c r="BA72" s="20"/>
      <c r="BB72" s="20"/>
      <c r="BC72" s="19"/>
      <c r="BD72" s="27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7"/>
      <c r="BU72" s="20"/>
      <c r="BV72" s="20"/>
      <c r="BW72" s="20"/>
      <c r="BX72" s="20"/>
      <c r="BY72" s="20"/>
      <c r="BZ72" s="19"/>
      <c r="CA72" s="13"/>
      <c r="CC72" s="57"/>
      <c r="CG72" s="57"/>
      <c r="CR72" s="58"/>
    </row>
    <row r="73" spans="1:98" x14ac:dyDescent="0.3">
      <c r="A73" s="23"/>
      <c r="B73" s="23"/>
      <c r="H73" s="14"/>
      <c r="I73" s="23"/>
      <c r="O73" s="14"/>
      <c r="P73" s="23"/>
      <c r="AB73" s="14"/>
      <c r="AC73" s="23"/>
      <c r="AO73" s="14"/>
      <c r="AW73" s="23"/>
      <c r="BC73" s="14"/>
      <c r="BD73" s="23"/>
      <c r="BH73" s="11"/>
      <c r="BT73" s="23"/>
      <c r="BZ73" s="14"/>
      <c r="CA73" s="14"/>
      <c r="CC73" s="57"/>
      <c r="CD73" s="11"/>
      <c r="CE73" s="11"/>
      <c r="CF73" s="11"/>
      <c r="CG73" s="57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58"/>
    </row>
    <row r="74" spans="1:98" x14ac:dyDescent="0.3">
      <c r="A74" s="23"/>
      <c r="B74" s="23"/>
      <c r="H74" s="14"/>
      <c r="I74" s="23"/>
      <c r="O74" s="14"/>
      <c r="P74" s="23"/>
      <c r="AB74" s="14"/>
      <c r="AC74" s="23"/>
      <c r="AO74" s="14"/>
      <c r="AW74" s="23"/>
      <c r="BC74" s="14"/>
      <c r="BD74" s="23"/>
      <c r="BE74" s="21"/>
      <c r="BF74" s="11"/>
      <c r="BH74" s="11"/>
      <c r="BT74" s="23"/>
      <c r="BZ74" s="14"/>
      <c r="CA74" s="14"/>
      <c r="CC74" s="57"/>
      <c r="CD74" s="11"/>
      <c r="CE74" s="11"/>
      <c r="CF74" s="11"/>
      <c r="CG74" s="57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58"/>
      <c r="CT74" s="8" t="s">
        <v>183</v>
      </c>
    </row>
    <row r="75" spans="1:98" x14ac:dyDescent="0.3">
      <c r="A75" s="23"/>
      <c r="B75" s="23"/>
      <c r="H75" s="14"/>
      <c r="I75" s="23"/>
      <c r="O75" s="14"/>
      <c r="P75" s="23"/>
      <c r="AB75" s="14"/>
      <c r="AC75" s="23"/>
      <c r="AO75" s="14"/>
      <c r="AW75" s="23"/>
      <c r="BC75" s="14"/>
      <c r="BD75" s="23"/>
      <c r="BT75" s="23"/>
      <c r="BZ75" s="14"/>
      <c r="CA75" s="14"/>
      <c r="CC75" s="57"/>
      <c r="CD75" s="11"/>
      <c r="CE75" s="11"/>
      <c r="CF75" s="11"/>
      <c r="CG75" s="57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58"/>
    </row>
    <row r="76" spans="1:98" x14ac:dyDescent="0.3">
      <c r="A76" s="23"/>
      <c r="B76" s="23"/>
      <c r="H76" s="14"/>
      <c r="I76" s="23"/>
      <c r="O76" s="14"/>
      <c r="P76" s="23"/>
      <c r="AB76" s="14"/>
      <c r="AC76" s="23"/>
      <c r="AO76" s="14"/>
      <c r="AW76" s="23"/>
      <c r="BC76" s="14"/>
      <c r="BD76" s="23"/>
      <c r="BE76" s="21" t="s">
        <v>181</v>
      </c>
      <c r="BF76" s="11"/>
      <c r="BT76" s="23"/>
      <c r="BZ76" s="14"/>
      <c r="CA76" s="14"/>
      <c r="CC76" s="57"/>
      <c r="CD76" s="11"/>
      <c r="CE76" s="11"/>
      <c r="CF76" s="11"/>
      <c r="CG76" s="57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58"/>
    </row>
    <row r="77" spans="1:98" x14ac:dyDescent="0.3">
      <c r="A77" s="23"/>
      <c r="B77" s="23"/>
      <c r="H77" s="14"/>
      <c r="I77" s="23"/>
      <c r="O77" s="14"/>
      <c r="P77" s="23"/>
      <c r="AB77" s="14"/>
      <c r="AC77" s="23"/>
      <c r="AO77" s="14"/>
      <c r="AW77" s="23"/>
      <c r="BC77" s="14"/>
      <c r="BD77" s="23"/>
      <c r="BF77" s="8" t="s">
        <v>184</v>
      </c>
      <c r="BT77" s="23"/>
      <c r="BZ77" s="14"/>
      <c r="CA77" s="14"/>
      <c r="CC77" s="57"/>
      <c r="CD77" s="11"/>
      <c r="CE77" s="11"/>
      <c r="CF77" s="11"/>
      <c r="CG77" s="57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58"/>
    </row>
    <row r="78" spans="1:98" x14ac:dyDescent="0.3">
      <c r="A78" s="23"/>
      <c r="B78" s="23"/>
      <c r="H78" s="14"/>
      <c r="I78" s="23"/>
      <c r="O78" s="14"/>
      <c r="P78" s="23"/>
      <c r="AB78" s="14"/>
      <c r="AC78" s="23"/>
      <c r="AO78" s="14"/>
      <c r="AW78" s="23"/>
      <c r="BC78" s="14"/>
      <c r="BD78" s="23"/>
      <c r="BT78" s="23"/>
      <c r="BZ78" s="14"/>
      <c r="CA78" s="14"/>
      <c r="CC78" s="57"/>
      <c r="CD78" s="11"/>
      <c r="CE78" s="11"/>
      <c r="CF78" s="11"/>
      <c r="CG78" s="57" t="s">
        <v>187</v>
      </c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58"/>
    </row>
    <row r="79" spans="1:98" x14ac:dyDescent="0.3">
      <c r="A79" s="23"/>
      <c r="B79" s="23"/>
      <c r="H79" s="14"/>
      <c r="I79" s="23"/>
      <c r="O79" s="14"/>
      <c r="P79" s="23"/>
      <c r="AB79" s="14"/>
      <c r="AC79" s="23"/>
      <c r="AO79" s="14"/>
      <c r="AW79" s="23"/>
      <c r="BC79" s="14"/>
      <c r="BD79" s="23"/>
      <c r="BT79" s="23"/>
      <c r="BZ79" s="14"/>
      <c r="CA79" s="14"/>
      <c r="CC79" s="57"/>
      <c r="CD79" s="11"/>
      <c r="CE79" s="11"/>
      <c r="CF79" s="11"/>
      <c r="CG79" s="57" t="s">
        <v>189</v>
      </c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58"/>
    </row>
    <row r="80" spans="1:98" x14ac:dyDescent="0.3">
      <c r="A80" s="23"/>
      <c r="B80" s="23"/>
      <c r="H80" s="14"/>
      <c r="I80" s="23"/>
      <c r="O80" s="14"/>
      <c r="P80" s="23"/>
      <c r="AB80" s="14"/>
      <c r="AC80" s="23"/>
      <c r="AO80" s="14"/>
      <c r="AW80" s="23"/>
      <c r="BC80" s="14"/>
      <c r="BD80" s="23"/>
      <c r="BE80" s="21" t="s">
        <v>203</v>
      </c>
      <c r="BF80" s="11"/>
      <c r="BT80" s="23"/>
      <c r="BZ80" s="14"/>
      <c r="CA80" s="14"/>
      <c r="CC80" s="59"/>
      <c r="CG80" s="59" t="s">
        <v>191</v>
      </c>
      <c r="CR80" s="60"/>
    </row>
    <row r="81" spans="1:96" x14ac:dyDescent="0.3">
      <c r="A81" s="23"/>
      <c r="B81" s="23"/>
      <c r="H81" s="14"/>
      <c r="I81" s="23"/>
      <c r="O81" s="14"/>
      <c r="P81" s="23"/>
      <c r="AB81" s="14"/>
      <c r="AC81" s="23"/>
      <c r="AO81" s="14"/>
      <c r="AW81" s="23"/>
      <c r="BC81" s="14"/>
      <c r="BD81" s="23"/>
      <c r="BF81" s="8" t="s">
        <v>204</v>
      </c>
      <c r="BT81" s="23"/>
      <c r="BZ81" s="14"/>
      <c r="CA81" s="14"/>
      <c r="CC81" s="59"/>
      <c r="CG81" s="57" t="s">
        <v>186</v>
      </c>
      <c r="CR81" s="60"/>
    </row>
    <row r="82" spans="1:96" x14ac:dyDescent="0.3">
      <c r="A82" s="23"/>
      <c r="B82" s="23"/>
      <c r="H82" s="14"/>
      <c r="I82" s="23"/>
      <c r="O82" s="14"/>
      <c r="P82" s="23"/>
      <c r="AB82" s="14"/>
      <c r="AC82" s="23"/>
      <c r="AO82" s="14"/>
      <c r="AW82" s="23"/>
      <c r="BC82" s="14"/>
      <c r="BD82" s="23"/>
      <c r="BT82" s="23"/>
      <c r="BZ82" s="14"/>
      <c r="CA82" s="14"/>
      <c r="CC82" s="59"/>
      <c r="CG82" s="59"/>
      <c r="CR82" s="60"/>
    </row>
    <row r="83" spans="1:96" x14ac:dyDescent="0.3">
      <c r="A83" s="23"/>
      <c r="B83" s="23"/>
      <c r="H83" s="14"/>
      <c r="I83" s="23"/>
      <c r="O83" s="14"/>
      <c r="P83" s="23"/>
      <c r="AB83" s="14"/>
      <c r="AC83" s="23"/>
      <c r="AO83" s="14"/>
      <c r="AW83" s="23"/>
      <c r="BC83" s="14"/>
      <c r="BD83" s="23"/>
      <c r="BE83" s="21"/>
      <c r="BF83" s="11"/>
      <c r="BT83" s="23"/>
      <c r="BZ83" s="14"/>
      <c r="CA83" s="14"/>
      <c r="CC83" s="59"/>
      <c r="CG83" s="59"/>
      <c r="CR83" s="60"/>
    </row>
    <row r="84" spans="1:96" x14ac:dyDescent="0.3">
      <c r="A84" s="23"/>
      <c r="B84" s="23"/>
      <c r="H84" s="14"/>
      <c r="I84" s="23"/>
      <c r="O84" s="14"/>
      <c r="P84" s="23"/>
      <c r="AB84" s="14"/>
      <c r="AC84" s="23"/>
      <c r="AO84" s="14"/>
      <c r="AW84" s="23"/>
      <c r="BC84" s="14"/>
      <c r="BD84" s="23"/>
      <c r="BE84" s="21" t="s">
        <v>205</v>
      </c>
      <c r="BF84" s="11"/>
      <c r="BT84" s="23"/>
      <c r="BZ84" s="14"/>
      <c r="CA84" s="14"/>
      <c r="CC84" s="59"/>
      <c r="CG84" s="59"/>
      <c r="CR84" s="60"/>
    </row>
    <row r="85" spans="1:96" x14ac:dyDescent="0.3">
      <c r="A85" s="23"/>
      <c r="B85" s="23"/>
      <c r="H85" s="14"/>
      <c r="I85" s="23"/>
      <c r="O85" s="14"/>
      <c r="P85" s="23"/>
      <c r="AB85" s="14"/>
      <c r="AC85" s="23"/>
      <c r="AO85" s="14"/>
      <c r="AW85" s="23"/>
      <c r="BC85" s="14"/>
      <c r="BD85" s="23"/>
      <c r="BF85" s="8" t="s">
        <v>206</v>
      </c>
      <c r="BT85" s="23"/>
      <c r="BZ85" s="14"/>
      <c r="CA85" s="14"/>
      <c r="CC85" s="59"/>
      <c r="CG85" s="59"/>
      <c r="CR85" s="60"/>
    </row>
    <row r="86" spans="1:96" x14ac:dyDescent="0.3">
      <c r="A86" s="23"/>
      <c r="B86" s="23"/>
      <c r="H86" s="14"/>
      <c r="I86" s="23"/>
      <c r="O86" s="14"/>
      <c r="P86" s="23"/>
      <c r="AB86" s="14"/>
      <c r="AC86" s="23"/>
      <c r="AO86" s="14"/>
      <c r="AW86" s="23"/>
      <c r="BC86" s="14"/>
      <c r="BD86" s="23"/>
      <c r="BF86" s="8" t="s">
        <v>207</v>
      </c>
      <c r="BT86" s="23"/>
      <c r="BZ86" s="14"/>
      <c r="CA86" s="14"/>
      <c r="CC86" s="59"/>
      <c r="CG86" s="59"/>
      <c r="CR86" s="60"/>
    </row>
    <row r="87" spans="1:96" x14ac:dyDescent="0.3">
      <c r="A87" s="23"/>
      <c r="B87" s="23"/>
      <c r="H87" s="14"/>
      <c r="I87" s="23"/>
      <c r="O87" s="14"/>
      <c r="P87" s="23"/>
      <c r="AB87" s="14"/>
      <c r="AC87" s="23"/>
      <c r="AO87" s="14"/>
      <c r="AW87" s="23"/>
      <c r="BC87" s="14"/>
      <c r="BD87" s="23"/>
      <c r="BT87" s="23"/>
      <c r="BZ87" s="14"/>
      <c r="CA87" s="14"/>
      <c r="CC87" s="59"/>
      <c r="CG87" s="59"/>
      <c r="CR87" s="60"/>
    </row>
    <row r="88" spans="1:96" x14ac:dyDescent="0.3">
      <c r="A88" s="23"/>
      <c r="B88" s="23"/>
      <c r="H88" s="14"/>
      <c r="I88" s="23"/>
      <c r="O88" s="14"/>
      <c r="P88" s="23"/>
      <c r="AB88" s="14"/>
      <c r="AC88" s="23"/>
      <c r="AO88" s="14"/>
      <c r="AW88" s="23"/>
      <c r="BC88" s="14"/>
      <c r="BD88" s="23"/>
      <c r="BT88" s="23"/>
      <c r="BZ88" s="14"/>
      <c r="CA88" s="14"/>
      <c r="CC88" s="59"/>
      <c r="CG88" s="59"/>
      <c r="CR88" s="60"/>
    </row>
    <row r="89" spans="1:96" x14ac:dyDescent="0.3">
      <c r="A89" s="23"/>
      <c r="B89" s="23"/>
      <c r="H89" s="14"/>
      <c r="I89" s="23"/>
      <c r="O89" s="14"/>
      <c r="P89" s="23"/>
      <c r="AB89" s="14"/>
      <c r="AC89" s="23"/>
      <c r="AO89" s="14"/>
      <c r="AW89" s="23"/>
      <c r="BC89" s="14"/>
      <c r="BD89" s="23"/>
      <c r="BT89" s="23"/>
      <c r="BZ89" s="14"/>
      <c r="CA89" s="14"/>
      <c r="CC89" s="59"/>
      <c r="CG89" s="59"/>
      <c r="CR89" s="60"/>
    </row>
    <row r="90" spans="1:96" x14ac:dyDescent="0.3">
      <c r="A90" s="23"/>
      <c r="B90" s="23"/>
      <c r="H90" s="14"/>
      <c r="I90" s="23"/>
      <c r="O90" s="14"/>
      <c r="P90" s="23"/>
      <c r="AB90" s="14"/>
      <c r="AC90" s="23"/>
      <c r="AO90" s="14"/>
      <c r="AW90" s="23"/>
      <c r="BC90" s="14"/>
      <c r="BD90" s="23"/>
      <c r="BT90" s="23"/>
      <c r="BZ90" s="14"/>
      <c r="CA90" s="14"/>
      <c r="CC90" s="59"/>
      <c r="CG90" s="59"/>
      <c r="CR90" s="60"/>
    </row>
    <row r="91" spans="1:96" x14ac:dyDescent="0.3">
      <c r="A91" s="23"/>
      <c r="B91" s="23"/>
      <c r="H91" s="14"/>
      <c r="I91" s="23"/>
      <c r="O91" s="14"/>
      <c r="P91" s="23"/>
      <c r="AB91" s="14"/>
      <c r="AC91" s="23"/>
      <c r="AO91" s="14"/>
      <c r="AW91" s="23"/>
      <c r="BC91" s="14"/>
      <c r="BD91" s="23"/>
      <c r="BT91" s="23"/>
      <c r="BZ91" s="14"/>
      <c r="CA91" s="14"/>
      <c r="CC91" s="59"/>
      <c r="CG91" s="59"/>
      <c r="CR91" s="60"/>
    </row>
    <row r="92" spans="1:96" x14ac:dyDescent="0.3">
      <c r="A92" s="23"/>
      <c r="B92" s="23"/>
      <c r="H92" s="14"/>
      <c r="I92" s="23"/>
      <c r="O92" s="14"/>
      <c r="P92" s="23"/>
      <c r="AB92" s="14"/>
      <c r="AC92" s="23"/>
      <c r="AO92" s="14"/>
      <c r="AW92" s="23"/>
      <c r="BC92" s="14"/>
      <c r="BD92" s="23"/>
      <c r="BE92" s="21" t="s">
        <v>208</v>
      </c>
      <c r="BF92" s="11"/>
      <c r="BT92" s="23"/>
      <c r="BZ92" s="14"/>
      <c r="CA92" s="14"/>
      <c r="CC92" s="59"/>
      <c r="CG92" s="59"/>
      <c r="CR92" s="60"/>
    </row>
    <row r="93" spans="1:96" x14ac:dyDescent="0.3">
      <c r="A93" s="23"/>
      <c r="B93" s="23"/>
      <c r="H93" s="14"/>
      <c r="I93" s="23"/>
      <c r="O93" s="14"/>
      <c r="P93" s="23"/>
      <c r="AB93" s="14"/>
      <c r="AC93" s="23"/>
      <c r="AO93" s="14"/>
      <c r="AW93" s="23"/>
      <c r="BC93" s="14"/>
      <c r="BD93" s="23"/>
      <c r="BF93" s="8" t="s">
        <v>209</v>
      </c>
      <c r="BT93" s="23"/>
      <c r="BZ93" s="14"/>
      <c r="CA93" s="14"/>
      <c r="CC93" s="59"/>
      <c r="CG93" s="59"/>
      <c r="CR93" s="60"/>
    </row>
    <row r="94" spans="1:96" x14ac:dyDescent="0.3">
      <c r="A94" s="23"/>
      <c r="B94" s="23"/>
      <c r="H94" s="14"/>
      <c r="I94" s="23"/>
      <c r="O94" s="14"/>
      <c r="P94" s="23"/>
      <c r="AB94" s="14"/>
      <c r="AC94" s="23"/>
      <c r="AO94" s="14"/>
      <c r="AW94" s="23"/>
      <c r="BC94" s="14"/>
      <c r="BD94" s="23"/>
      <c r="BT94" s="23"/>
      <c r="BZ94" s="14"/>
      <c r="CA94" s="14"/>
      <c r="CC94" s="59"/>
      <c r="CG94" s="59"/>
      <c r="CR94" s="60"/>
    </row>
    <row r="95" spans="1:96" x14ac:dyDescent="0.3">
      <c r="A95" s="23"/>
      <c r="B95" s="23"/>
      <c r="H95" s="14"/>
      <c r="I95" s="23"/>
      <c r="O95" s="14"/>
      <c r="P95" s="23"/>
      <c r="AB95" s="14"/>
      <c r="AC95" s="23"/>
      <c r="AO95" s="14"/>
      <c r="AW95" s="23"/>
      <c r="BC95" s="14"/>
      <c r="BD95" s="23"/>
      <c r="BT95" s="23"/>
      <c r="BZ95" s="14"/>
      <c r="CA95" s="14"/>
      <c r="CC95" s="59"/>
      <c r="CG95" s="59"/>
      <c r="CR95" s="60"/>
    </row>
    <row r="96" spans="1:96" x14ac:dyDescent="0.3">
      <c r="A96" s="23"/>
      <c r="B96" s="23"/>
      <c r="H96" s="14"/>
      <c r="I96" s="23"/>
      <c r="O96" s="14"/>
      <c r="P96" s="23"/>
      <c r="AB96" s="14"/>
      <c r="AC96" s="23"/>
      <c r="AO96" s="14"/>
      <c r="AW96" s="23"/>
      <c r="BC96" s="14"/>
      <c r="BD96" s="23"/>
      <c r="BT96" s="23"/>
      <c r="BZ96" s="14"/>
      <c r="CA96" s="14"/>
      <c r="CC96" s="59"/>
      <c r="CG96" s="59"/>
      <c r="CR96" s="60"/>
    </row>
    <row r="97" spans="1:96" x14ac:dyDescent="0.3">
      <c r="A97" s="23"/>
      <c r="B97" s="23"/>
      <c r="H97" s="14"/>
      <c r="I97" s="23"/>
      <c r="O97" s="14"/>
      <c r="P97" s="23"/>
      <c r="AB97" s="14"/>
      <c r="AC97" s="23"/>
      <c r="AO97" s="14"/>
      <c r="AW97" s="23"/>
      <c r="BC97" s="14"/>
      <c r="BD97" s="23"/>
      <c r="BT97" s="73" t="s">
        <v>132</v>
      </c>
      <c r="BZ97" s="14"/>
      <c r="CA97" s="14"/>
      <c r="CC97" s="59"/>
      <c r="CG97" s="59"/>
      <c r="CR97" s="60"/>
    </row>
    <row r="98" spans="1:96" x14ac:dyDescent="0.3">
      <c r="A98" s="23"/>
      <c r="B98" s="23"/>
      <c r="H98" s="14"/>
      <c r="I98" s="23"/>
      <c r="O98" s="14"/>
      <c r="P98" s="23"/>
      <c r="AB98" s="14"/>
      <c r="AC98" s="23"/>
      <c r="AO98" s="14"/>
      <c r="AW98" s="23"/>
      <c r="BC98" s="14"/>
      <c r="BD98" s="23"/>
      <c r="BT98" s="23" t="s">
        <v>134</v>
      </c>
      <c r="BZ98" s="14"/>
      <c r="CA98" s="14"/>
      <c r="CC98" s="59"/>
      <c r="CG98" s="59"/>
      <c r="CR98" s="60"/>
    </row>
    <row r="99" spans="1:96" x14ac:dyDescent="0.3">
      <c r="A99" s="23"/>
      <c r="B99" s="23"/>
      <c r="H99" s="14"/>
      <c r="I99" s="23"/>
      <c r="O99" s="14"/>
      <c r="P99" s="23"/>
      <c r="AB99" s="14"/>
      <c r="AC99" s="23"/>
      <c r="AO99" s="14"/>
      <c r="AW99" s="23"/>
      <c r="BC99" s="14"/>
      <c r="BD99" s="23"/>
      <c r="BT99" s="23"/>
      <c r="BU99" s="83" t="s">
        <v>136</v>
      </c>
      <c r="BZ99" s="14"/>
      <c r="CA99" s="14"/>
      <c r="CC99" s="59"/>
      <c r="CG99" s="59"/>
      <c r="CR99" s="60"/>
    </row>
    <row r="100" spans="1:96" x14ac:dyDescent="0.3">
      <c r="A100" s="23"/>
      <c r="B100" s="23"/>
      <c r="H100" s="14"/>
      <c r="I100" s="23"/>
      <c r="O100" s="14"/>
      <c r="P100" s="23"/>
      <c r="AB100" s="14"/>
      <c r="AC100" s="23"/>
      <c r="AO100" s="14"/>
      <c r="AW100" s="23"/>
      <c r="BC100" s="14"/>
      <c r="BD100" s="23"/>
      <c r="BT100" s="23"/>
      <c r="BU100" s="83" t="s">
        <v>137</v>
      </c>
      <c r="BZ100" s="14"/>
      <c r="CA100" s="14"/>
      <c r="CC100" s="59"/>
      <c r="CG100" s="59"/>
      <c r="CR100" s="60"/>
    </row>
    <row r="101" spans="1:96" x14ac:dyDescent="0.3">
      <c r="A101" s="23"/>
      <c r="B101" s="23"/>
      <c r="H101" s="14"/>
      <c r="I101" s="23"/>
      <c r="O101" s="14"/>
      <c r="P101" s="23"/>
      <c r="AB101" s="14"/>
      <c r="AC101" s="23"/>
      <c r="AO101" s="14"/>
      <c r="AW101" s="23"/>
      <c r="BC101" s="14"/>
      <c r="BD101" s="23"/>
      <c r="BT101" s="23"/>
      <c r="BZ101" s="14"/>
      <c r="CA101" s="14"/>
      <c r="CC101" s="59"/>
      <c r="CG101" s="59"/>
      <c r="CR101" s="60"/>
    </row>
    <row r="102" spans="1:96" x14ac:dyDescent="0.3">
      <c r="A102" s="23"/>
      <c r="B102" s="23"/>
      <c r="H102" s="14"/>
      <c r="I102" s="23"/>
      <c r="O102" s="14"/>
      <c r="P102" s="23"/>
      <c r="AB102" s="14"/>
      <c r="AC102" s="23"/>
      <c r="AO102" s="14"/>
      <c r="AW102" s="23"/>
      <c r="BC102" s="14"/>
      <c r="BD102" s="23"/>
      <c r="BE102" s="16"/>
      <c r="BT102" s="23"/>
      <c r="BZ102" s="14"/>
      <c r="CA102" s="14"/>
      <c r="CC102" s="59"/>
      <c r="CG102" s="59"/>
      <c r="CR102" s="60"/>
    </row>
    <row r="103" spans="1:96" x14ac:dyDescent="0.3">
      <c r="A103" s="23"/>
      <c r="B103" s="23"/>
      <c r="H103" s="14"/>
      <c r="I103" s="23"/>
      <c r="O103" s="14"/>
      <c r="P103" s="23"/>
      <c r="AB103" s="14"/>
      <c r="AC103" s="23"/>
      <c r="AO103" s="14"/>
      <c r="AW103" s="23"/>
      <c r="BC103" s="14"/>
      <c r="BD103" s="23"/>
      <c r="BT103" s="23"/>
      <c r="BZ103" s="14"/>
      <c r="CA103" s="14"/>
      <c r="CC103" s="59"/>
      <c r="CG103" s="59"/>
      <c r="CR103" s="60"/>
    </row>
    <row r="104" spans="1:96" x14ac:dyDescent="0.3">
      <c r="A104" s="23"/>
      <c r="B104" s="23"/>
      <c r="H104" s="14"/>
      <c r="I104" s="23"/>
      <c r="O104" s="14"/>
      <c r="P104" s="23"/>
      <c r="AB104" s="14"/>
      <c r="AC104" s="23"/>
      <c r="AO104" s="14"/>
      <c r="AW104" s="23"/>
      <c r="BC104" s="14"/>
      <c r="BD104" s="23"/>
      <c r="BT104" s="23"/>
      <c r="BZ104" s="14"/>
      <c r="CA104" s="14"/>
      <c r="CC104" s="59"/>
      <c r="CG104" s="59"/>
      <c r="CR104" s="60"/>
    </row>
    <row r="105" spans="1:96" x14ac:dyDescent="0.3">
      <c r="A105" s="23"/>
      <c r="B105" s="23"/>
      <c r="H105" s="14"/>
      <c r="I105" s="23"/>
      <c r="O105" s="14"/>
      <c r="P105" s="23"/>
      <c r="AB105" s="14"/>
      <c r="AC105" s="23"/>
      <c r="AO105" s="14"/>
      <c r="AW105" s="23"/>
      <c r="BC105" s="14"/>
      <c r="BD105" s="23"/>
      <c r="BT105" s="23"/>
      <c r="BZ105" s="14"/>
      <c r="CA105" s="14"/>
      <c r="CC105" s="59"/>
      <c r="CG105" s="59"/>
      <c r="CR105" s="60"/>
    </row>
    <row r="106" spans="1:96" x14ac:dyDescent="0.3">
      <c r="A106" s="23"/>
      <c r="B106" s="23"/>
      <c r="H106" s="14"/>
      <c r="I106" s="23"/>
      <c r="O106" s="14"/>
      <c r="P106" s="23"/>
      <c r="AB106" s="14"/>
      <c r="AC106" s="23"/>
      <c r="AO106" s="14"/>
      <c r="AW106" s="23"/>
      <c r="BC106" s="14"/>
      <c r="BD106" s="23"/>
      <c r="BT106" s="23"/>
      <c r="BZ106" s="14"/>
      <c r="CA106" s="14"/>
      <c r="CC106" s="59"/>
      <c r="CG106" s="59"/>
      <c r="CR106" s="60"/>
    </row>
    <row r="107" spans="1:96" x14ac:dyDescent="0.3">
      <c r="A107" s="23"/>
      <c r="B107" s="23"/>
      <c r="H107" s="14"/>
      <c r="I107" s="23"/>
      <c r="O107" s="14"/>
      <c r="P107" s="23"/>
      <c r="AB107" s="14"/>
      <c r="AC107" s="23"/>
      <c r="AO107" s="14"/>
      <c r="AW107" s="23"/>
      <c r="BC107" s="14"/>
      <c r="BD107" s="23"/>
      <c r="BT107" s="23"/>
      <c r="BZ107" s="14"/>
      <c r="CA107" s="14"/>
      <c r="CC107" s="59"/>
      <c r="CG107" s="59"/>
      <c r="CR107" s="60"/>
    </row>
    <row r="108" spans="1:96" x14ac:dyDescent="0.3">
      <c r="A108" s="23"/>
      <c r="B108" s="23"/>
      <c r="H108" s="14"/>
      <c r="I108" s="23"/>
      <c r="O108" s="14"/>
      <c r="P108" s="23"/>
      <c r="AB108" s="14"/>
      <c r="AC108" s="23"/>
      <c r="AO108" s="14"/>
      <c r="AW108" s="23"/>
      <c r="BC108" s="14"/>
      <c r="BD108" s="23"/>
      <c r="BT108" s="23"/>
      <c r="BZ108" s="14"/>
      <c r="CA108" s="14"/>
      <c r="CC108" s="59"/>
      <c r="CG108" s="59"/>
      <c r="CR108" s="60"/>
    </row>
    <row r="109" spans="1:96" x14ac:dyDescent="0.3">
      <c r="A109" s="23"/>
      <c r="B109" s="50"/>
      <c r="C109" s="10"/>
      <c r="D109" s="10"/>
      <c r="E109" s="10"/>
      <c r="F109" s="10"/>
      <c r="G109" s="10"/>
      <c r="H109" s="15"/>
      <c r="I109" s="50"/>
      <c r="J109" s="10"/>
      <c r="K109" s="10"/>
      <c r="L109" s="10"/>
      <c r="M109" s="10"/>
      <c r="N109" s="10"/>
      <c r="O109" s="15"/>
      <c r="P109" s="5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5"/>
      <c r="AC109" s="5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5"/>
      <c r="AP109" s="10"/>
      <c r="AQ109" s="10"/>
      <c r="AR109" s="10"/>
      <c r="AS109" s="10"/>
      <c r="AT109" s="10"/>
      <c r="AU109" s="10"/>
      <c r="AV109" s="10"/>
      <c r="AW109" s="50"/>
      <c r="AX109" s="10"/>
      <c r="AY109" s="10"/>
      <c r="AZ109" s="10"/>
      <c r="BA109" s="10"/>
      <c r="BB109" s="10"/>
      <c r="BC109" s="15"/>
      <c r="BD109" s="5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50"/>
      <c r="BU109" s="10"/>
      <c r="BV109" s="10"/>
      <c r="BW109" s="10"/>
      <c r="BX109" s="10"/>
      <c r="BY109" s="10"/>
      <c r="BZ109" s="15"/>
      <c r="CA109" s="14"/>
      <c r="CC109" s="59"/>
      <c r="CG109" s="59"/>
      <c r="CR109" s="60"/>
    </row>
    <row r="110" spans="1:96" ht="13.5" customHeight="1" x14ac:dyDescent="0.3">
      <c r="A110" s="23"/>
      <c r="B110" s="25" t="s">
        <v>210</v>
      </c>
      <c r="C110" s="22"/>
      <c r="D110" s="22"/>
      <c r="E110" s="22"/>
      <c r="F110" s="22"/>
      <c r="G110" s="22"/>
      <c r="H110" s="22"/>
      <c r="I110" s="25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14"/>
      <c r="CC110" s="59"/>
      <c r="CG110" s="59"/>
      <c r="CR110" s="60"/>
    </row>
    <row r="111" spans="1:96" x14ac:dyDescent="0.3">
      <c r="A111" s="23"/>
      <c r="B111" s="23"/>
      <c r="H111" s="14"/>
      <c r="I111" s="23"/>
      <c r="O111" s="14"/>
      <c r="AB111" s="14"/>
      <c r="AC111" s="23"/>
      <c r="AP111" s="47"/>
      <c r="AQ111" s="48"/>
      <c r="AR111" s="48"/>
      <c r="AS111" s="48"/>
      <c r="AT111" s="48"/>
      <c r="AU111" s="48"/>
      <c r="AV111" s="49"/>
      <c r="AW111" s="47"/>
      <c r="AX111" s="48"/>
      <c r="AY111" s="48"/>
      <c r="AZ111" s="48"/>
      <c r="BA111" s="48"/>
      <c r="BB111" s="48"/>
      <c r="BC111" s="49"/>
      <c r="BD111" s="23"/>
      <c r="BT111" s="47"/>
      <c r="BU111" s="48"/>
      <c r="BV111" s="48"/>
      <c r="BW111" s="48"/>
      <c r="BX111" s="48"/>
      <c r="BY111" s="48"/>
      <c r="BZ111" s="49"/>
      <c r="CA111" s="14"/>
      <c r="CC111" s="59"/>
      <c r="CG111" s="59"/>
      <c r="CR111" s="60"/>
    </row>
    <row r="112" spans="1:96" x14ac:dyDescent="0.3">
      <c r="A112" s="23"/>
      <c r="B112" s="23"/>
      <c r="H112" s="14"/>
      <c r="I112" s="23"/>
      <c r="O112" s="14"/>
      <c r="AB112" s="14"/>
      <c r="AC112" s="23"/>
      <c r="AP112" s="23"/>
      <c r="AV112" s="14"/>
      <c r="AW112" s="23"/>
      <c r="BC112" s="14"/>
      <c r="BD112" s="23"/>
      <c r="BT112" s="23"/>
      <c r="BZ112" s="14"/>
      <c r="CA112" s="14"/>
      <c r="CC112" s="59"/>
      <c r="CG112" s="59"/>
      <c r="CR112" s="60"/>
    </row>
    <row r="113" spans="1:98" x14ac:dyDescent="0.3">
      <c r="A113" s="23"/>
      <c r="B113" s="23"/>
      <c r="H113" s="14"/>
      <c r="I113" s="23"/>
      <c r="O113" s="14"/>
      <c r="AB113" s="14"/>
      <c r="AC113" s="23"/>
      <c r="AP113" s="23"/>
      <c r="AV113" s="14"/>
      <c r="AW113" s="23"/>
      <c r="BC113" s="14"/>
      <c r="BD113" s="23"/>
      <c r="BT113" s="23"/>
      <c r="BZ113" s="14"/>
      <c r="CA113" s="14"/>
      <c r="CC113" s="59"/>
      <c r="CG113" s="59"/>
      <c r="CR113" s="60"/>
    </row>
    <row r="114" spans="1:98" x14ac:dyDescent="0.3">
      <c r="A114" s="23"/>
      <c r="B114" s="23"/>
      <c r="H114" s="14"/>
      <c r="I114" s="23"/>
      <c r="O114" s="14"/>
      <c r="AB114" s="14"/>
      <c r="AC114" s="23"/>
      <c r="AP114" s="23"/>
      <c r="AV114" s="14"/>
      <c r="AW114" s="23"/>
      <c r="BC114" s="14"/>
      <c r="BD114" s="23"/>
      <c r="BT114" s="23"/>
      <c r="BZ114" s="14"/>
      <c r="CA114" s="14"/>
      <c r="CC114" s="59"/>
      <c r="CG114" s="59"/>
      <c r="CR114" s="60"/>
    </row>
    <row r="115" spans="1:98" x14ac:dyDescent="0.3">
      <c r="A115" s="23"/>
      <c r="B115" s="23"/>
      <c r="H115" s="14"/>
      <c r="I115" s="23"/>
      <c r="O115" s="14"/>
      <c r="AB115" s="14"/>
      <c r="AC115" s="23"/>
      <c r="AP115" s="23"/>
      <c r="AV115" s="14"/>
      <c r="AW115" s="23"/>
      <c r="BC115" s="14"/>
      <c r="BD115" s="23"/>
      <c r="BT115" s="23"/>
      <c r="BZ115" s="14"/>
      <c r="CA115" s="14"/>
      <c r="CC115" s="59"/>
      <c r="CG115" s="59"/>
      <c r="CR115" s="60"/>
    </row>
    <row r="116" spans="1:98" x14ac:dyDescent="0.3">
      <c r="A116" s="23"/>
      <c r="B116" s="23"/>
      <c r="H116" s="14"/>
      <c r="I116" s="23"/>
      <c r="O116" s="14"/>
      <c r="AB116" s="14"/>
      <c r="AC116" s="23"/>
      <c r="AP116" s="23"/>
      <c r="AV116" s="14"/>
      <c r="AW116" s="23"/>
      <c r="BC116" s="14"/>
      <c r="BD116" s="23"/>
      <c r="BT116" s="23"/>
      <c r="BZ116" s="14"/>
      <c r="CA116" s="14"/>
      <c r="CC116" s="59"/>
      <c r="CG116" s="59"/>
      <c r="CR116" s="60"/>
    </row>
    <row r="117" spans="1:98" x14ac:dyDescent="0.3">
      <c r="A117" s="23"/>
      <c r="B117" s="23"/>
      <c r="H117" s="14"/>
      <c r="I117" s="23"/>
      <c r="O117" s="14"/>
      <c r="AB117" s="14"/>
      <c r="AC117" s="23"/>
      <c r="AP117" s="23"/>
      <c r="AV117" s="14"/>
      <c r="AW117" s="23"/>
      <c r="BC117" s="14"/>
      <c r="BD117" s="23"/>
      <c r="BT117" s="23"/>
      <c r="BZ117" s="14"/>
      <c r="CA117" s="14"/>
      <c r="CC117" s="59"/>
      <c r="CG117" s="59"/>
      <c r="CR117" s="60"/>
    </row>
    <row r="118" spans="1:98" x14ac:dyDescent="0.3">
      <c r="A118" s="23"/>
      <c r="B118" s="23"/>
      <c r="H118" s="14"/>
      <c r="I118" s="23"/>
      <c r="O118" s="14"/>
      <c r="AB118" s="14"/>
      <c r="AC118" s="23"/>
      <c r="AP118" s="23"/>
      <c r="AV118" s="14"/>
      <c r="AW118" s="23"/>
      <c r="BC118" s="14"/>
      <c r="BD118" s="23"/>
      <c r="BT118" s="23"/>
      <c r="BZ118" s="14"/>
      <c r="CA118" s="14"/>
      <c r="CC118" s="59"/>
      <c r="CG118" s="59"/>
      <c r="CR118" s="60"/>
    </row>
    <row r="119" spans="1:98" x14ac:dyDescent="0.3">
      <c r="A119" s="23"/>
      <c r="B119" s="23"/>
      <c r="H119" s="14"/>
      <c r="I119" s="23"/>
      <c r="O119" s="14"/>
      <c r="AB119" s="14"/>
      <c r="AC119" s="23"/>
      <c r="AP119" s="23"/>
      <c r="AV119" s="14"/>
      <c r="AW119" s="23"/>
      <c r="BC119" s="14"/>
      <c r="BD119" s="23"/>
      <c r="BE119" s="21" t="s">
        <v>211</v>
      </c>
      <c r="BF119" s="11"/>
      <c r="BT119" s="23"/>
      <c r="BZ119" s="14"/>
      <c r="CA119" s="14"/>
      <c r="CC119" s="59"/>
      <c r="CG119" s="59"/>
      <c r="CR119" s="60"/>
    </row>
    <row r="120" spans="1:98" x14ac:dyDescent="0.3">
      <c r="A120" s="23"/>
      <c r="B120" s="23"/>
      <c r="H120" s="14"/>
      <c r="I120" s="23"/>
      <c r="O120" s="14"/>
      <c r="AB120" s="14"/>
      <c r="AC120" s="23"/>
      <c r="AP120" s="23"/>
      <c r="AV120" s="14"/>
      <c r="AW120" s="23"/>
      <c r="BC120" s="14"/>
      <c r="BD120" s="23"/>
      <c r="BE120" s="11"/>
      <c r="BF120" s="8" t="s">
        <v>212</v>
      </c>
      <c r="BT120" s="23"/>
      <c r="BZ120" s="14"/>
      <c r="CA120" s="14"/>
      <c r="CC120" s="59"/>
      <c r="CG120" s="59"/>
      <c r="CR120" s="60"/>
      <c r="CT120" s="8" t="s">
        <v>213</v>
      </c>
    </row>
    <row r="121" spans="1:98" x14ac:dyDescent="0.3">
      <c r="A121" s="23"/>
      <c r="B121" s="23"/>
      <c r="H121" s="14"/>
      <c r="I121" s="23"/>
      <c r="O121" s="14"/>
      <c r="AB121" s="14"/>
      <c r="AC121" s="23"/>
      <c r="AP121" s="23"/>
      <c r="AV121" s="14"/>
      <c r="AW121" s="23"/>
      <c r="BC121" s="14"/>
      <c r="BD121" s="23"/>
      <c r="BE121" s="11"/>
      <c r="BT121" s="23"/>
      <c r="BZ121" s="14"/>
      <c r="CA121" s="14"/>
      <c r="CC121" s="59"/>
      <c r="CG121" s="59"/>
      <c r="CR121" s="60"/>
    </row>
    <row r="122" spans="1:98" x14ac:dyDescent="0.3">
      <c r="A122" s="23"/>
      <c r="B122" s="23"/>
      <c r="H122" s="14"/>
      <c r="I122" s="23"/>
      <c r="O122" s="14"/>
      <c r="AB122" s="14"/>
      <c r="AC122" s="23"/>
      <c r="AP122" s="23"/>
      <c r="AV122" s="14"/>
      <c r="AW122" s="23"/>
      <c r="BC122" s="14"/>
      <c r="BD122" s="23"/>
      <c r="BT122" s="23"/>
      <c r="BZ122" s="14"/>
      <c r="CA122" s="14"/>
      <c r="CC122" s="59"/>
      <c r="CG122" s="59"/>
      <c r="CR122" s="60"/>
    </row>
    <row r="123" spans="1:98" x14ac:dyDescent="0.3">
      <c r="A123" s="23"/>
      <c r="B123" s="23"/>
      <c r="H123" s="14"/>
      <c r="I123" s="23"/>
      <c r="O123" s="14"/>
      <c r="AB123" s="14"/>
      <c r="AC123" s="23"/>
      <c r="AP123" s="23"/>
      <c r="AV123" s="14"/>
      <c r="AW123" s="23"/>
      <c r="BC123" s="14"/>
      <c r="BD123" s="23"/>
      <c r="BE123" s="21" t="s">
        <v>214</v>
      </c>
      <c r="BF123" s="11"/>
      <c r="BG123" s="11"/>
      <c r="BH123" s="11"/>
      <c r="BI123" s="11"/>
      <c r="BJ123" s="11"/>
      <c r="BK123" s="11"/>
      <c r="BL123" s="11"/>
      <c r="BT123" s="23"/>
      <c r="BZ123" s="14"/>
      <c r="CA123" s="14"/>
      <c r="CC123" s="59"/>
      <c r="CG123" s="59"/>
      <c r="CR123" s="60"/>
    </row>
    <row r="124" spans="1:98" x14ac:dyDescent="0.3">
      <c r="A124" s="23"/>
      <c r="B124" s="23"/>
      <c r="H124" s="14"/>
      <c r="I124" s="23"/>
      <c r="O124" s="14"/>
      <c r="AB124" s="14"/>
      <c r="AC124" s="23"/>
      <c r="AP124" s="23"/>
      <c r="AV124" s="14"/>
      <c r="AW124" s="23"/>
      <c r="BC124" s="14"/>
      <c r="BD124" s="23"/>
      <c r="BE124" s="11"/>
      <c r="BF124" s="8" t="s">
        <v>215</v>
      </c>
      <c r="BG124" s="11"/>
      <c r="BH124" s="11"/>
      <c r="BT124" s="23"/>
      <c r="BZ124" s="14"/>
      <c r="CA124" s="14"/>
      <c r="CC124" s="59"/>
      <c r="CG124" s="59"/>
      <c r="CR124" s="60"/>
      <c r="CT124" s="8" t="s">
        <v>213</v>
      </c>
    </row>
    <row r="125" spans="1:98" x14ac:dyDescent="0.3">
      <c r="A125" s="23"/>
      <c r="B125" s="23"/>
      <c r="H125" s="14"/>
      <c r="I125" s="23"/>
      <c r="O125" s="14"/>
      <c r="AB125" s="14"/>
      <c r="AC125" s="23"/>
      <c r="AP125" s="23"/>
      <c r="AV125" s="14"/>
      <c r="AW125" s="23"/>
      <c r="BC125" s="14"/>
      <c r="BD125" s="23"/>
      <c r="BE125" s="11"/>
      <c r="BG125" s="11"/>
      <c r="BH125" s="11"/>
      <c r="BT125" s="23"/>
      <c r="BZ125" s="14"/>
      <c r="CA125" s="14"/>
      <c r="CC125" s="59"/>
      <c r="CG125" s="59"/>
      <c r="CR125" s="60"/>
    </row>
    <row r="126" spans="1:98" x14ac:dyDescent="0.3">
      <c r="A126" s="23"/>
      <c r="B126" s="23"/>
      <c r="H126" s="14"/>
      <c r="I126" s="23"/>
      <c r="O126" s="14"/>
      <c r="AB126" s="14"/>
      <c r="AC126" s="23"/>
      <c r="AP126" s="23"/>
      <c r="AV126" s="14"/>
      <c r="AW126" s="23"/>
      <c r="BC126" s="14"/>
      <c r="BD126" s="23"/>
      <c r="BE126" s="11"/>
      <c r="BF126" s="11"/>
      <c r="BG126" s="11"/>
      <c r="BH126" s="11"/>
      <c r="BT126" s="23"/>
      <c r="BZ126" s="14"/>
      <c r="CA126" s="14"/>
      <c r="CC126" s="59"/>
      <c r="CG126" s="59"/>
      <c r="CR126" s="60"/>
    </row>
    <row r="127" spans="1:98" x14ac:dyDescent="0.3">
      <c r="A127" s="23"/>
      <c r="B127" s="23"/>
      <c r="H127" s="14"/>
      <c r="I127" s="23"/>
      <c r="O127" s="14"/>
      <c r="AB127" s="14"/>
      <c r="AC127" s="23"/>
      <c r="AP127" s="23"/>
      <c r="AV127" s="14"/>
      <c r="AW127" s="23"/>
      <c r="BC127" s="14"/>
      <c r="BD127" s="23"/>
      <c r="BE127" s="16"/>
      <c r="BT127" s="23"/>
      <c r="BZ127" s="14"/>
      <c r="CA127" s="14"/>
      <c r="CC127" s="59"/>
      <c r="CG127" s="59"/>
      <c r="CR127" s="60"/>
    </row>
    <row r="128" spans="1:98" x14ac:dyDescent="0.3">
      <c r="A128" s="23"/>
      <c r="B128" s="23"/>
      <c r="H128" s="14"/>
      <c r="I128" s="23"/>
      <c r="O128" s="14"/>
      <c r="AB128" s="14"/>
      <c r="AC128" s="23"/>
      <c r="AP128" s="23"/>
      <c r="AV128" s="14"/>
      <c r="AW128" s="23"/>
      <c r="BC128" s="14"/>
      <c r="BD128" s="23"/>
      <c r="BE128" s="21" t="s">
        <v>216</v>
      </c>
      <c r="BT128" s="23"/>
      <c r="BZ128" s="14"/>
      <c r="CA128" s="14"/>
      <c r="CC128" s="59"/>
      <c r="CG128" s="59"/>
      <c r="CR128" s="60"/>
    </row>
    <row r="129" spans="1:98" x14ac:dyDescent="0.3">
      <c r="A129" s="23"/>
      <c r="B129" s="23"/>
      <c r="H129" s="14"/>
      <c r="I129" s="23"/>
      <c r="O129" s="14"/>
      <c r="AB129" s="14"/>
      <c r="AC129" s="23"/>
      <c r="AP129" s="23"/>
      <c r="AV129" s="14"/>
      <c r="AW129" s="23"/>
      <c r="BC129" s="14"/>
      <c r="BD129" s="23"/>
      <c r="BF129" s="8" t="s">
        <v>217</v>
      </c>
      <c r="BT129" s="23"/>
      <c r="BZ129" s="14"/>
      <c r="CA129" s="14"/>
      <c r="CC129" s="59"/>
      <c r="CG129" s="59"/>
      <c r="CR129" s="60"/>
    </row>
    <row r="130" spans="1:98" x14ac:dyDescent="0.3">
      <c r="A130" s="23"/>
      <c r="B130" s="23"/>
      <c r="H130" s="14"/>
      <c r="I130" s="23"/>
      <c r="O130" s="14"/>
      <c r="AB130" s="14"/>
      <c r="AC130" s="23"/>
      <c r="AP130" s="23"/>
      <c r="AV130" s="14"/>
      <c r="AW130" s="23"/>
      <c r="BC130" s="14"/>
      <c r="BD130" s="23"/>
      <c r="BF130" s="11"/>
      <c r="BG130" s="11"/>
      <c r="BT130" s="23"/>
      <c r="BZ130" s="14"/>
      <c r="CA130" s="14"/>
      <c r="CC130" s="59"/>
      <c r="CG130" s="59"/>
      <c r="CR130" s="60"/>
    </row>
    <row r="131" spans="1:98" x14ac:dyDescent="0.3">
      <c r="A131" s="23"/>
      <c r="B131" s="23"/>
      <c r="H131" s="14"/>
      <c r="I131" s="23"/>
      <c r="O131" s="14"/>
      <c r="AB131" s="14"/>
      <c r="AC131" s="23"/>
      <c r="AP131" s="23"/>
      <c r="AV131" s="14"/>
      <c r="AW131" s="23"/>
      <c r="BC131" s="14"/>
      <c r="BD131" s="23"/>
      <c r="BG131" s="11"/>
      <c r="BT131" s="23"/>
      <c r="BZ131" s="14"/>
      <c r="CA131" s="14"/>
      <c r="CC131" s="59"/>
      <c r="CG131" s="59"/>
      <c r="CR131" s="60"/>
    </row>
    <row r="132" spans="1:98" x14ac:dyDescent="0.3">
      <c r="A132" s="23"/>
      <c r="B132" s="23"/>
      <c r="H132" s="14"/>
      <c r="I132" s="23"/>
      <c r="O132" s="14"/>
      <c r="AB132" s="14"/>
      <c r="AC132" s="23"/>
      <c r="AP132" s="23"/>
      <c r="AV132" s="14"/>
      <c r="AW132" s="23"/>
      <c r="BC132" s="14"/>
      <c r="BD132" s="23"/>
      <c r="BG132" s="11"/>
      <c r="BT132" s="23"/>
      <c r="BZ132" s="14"/>
      <c r="CA132" s="14"/>
      <c r="CC132" s="59"/>
      <c r="CG132" s="59"/>
      <c r="CR132" s="60"/>
    </row>
    <row r="133" spans="1:98" x14ac:dyDescent="0.3">
      <c r="A133" s="23"/>
      <c r="B133" s="23"/>
      <c r="H133" s="14"/>
      <c r="I133" s="23"/>
      <c r="O133" s="14"/>
      <c r="AB133" s="14"/>
      <c r="AC133" s="23"/>
      <c r="AP133" s="23"/>
      <c r="AV133" s="14"/>
      <c r="AW133" s="23"/>
      <c r="BC133" s="14"/>
      <c r="BD133" s="23"/>
      <c r="BT133" s="23"/>
      <c r="BZ133" s="14"/>
      <c r="CA133" s="14"/>
      <c r="CC133" s="59"/>
      <c r="CG133" s="59"/>
      <c r="CR133" s="60"/>
    </row>
    <row r="134" spans="1:98" x14ac:dyDescent="0.3">
      <c r="A134" s="23"/>
      <c r="B134" s="23"/>
      <c r="H134" s="14"/>
      <c r="I134" s="23"/>
      <c r="O134" s="14"/>
      <c r="AB134" s="14"/>
      <c r="AC134" s="23"/>
      <c r="AP134" s="23"/>
      <c r="AV134" s="14"/>
      <c r="AW134" s="23"/>
      <c r="BC134" s="14"/>
      <c r="BD134" s="23"/>
      <c r="BT134" s="23"/>
      <c r="BZ134" s="14"/>
      <c r="CA134" s="14"/>
      <c r="CC134" s="59"/>
      <c r="CG134" s="59"/>
      <c r="CR134" s="60"/>
    </row>
    <row r="135" spans="1:98" x14ac:dyDescent="0.3">
      <c r="A135" s="23"/>
      <c r="B135" s="23"/>
      <c r="H135" s="14"/>
      <c r="I135" s="23"/>
      <c r="O135" s="14"/>
      <c r="AB135" s="14"/>
      <c r="AC135" s="23"/>
      <c r="AP135" s="23"/>
      <c r="AV135" s="14"/>
      <c r="AW135" s="23"/>
      <c r="BC135" s="14"/>
      <c r="BD135" s="23"/>
      <c r="BT135" s="23"/>
      <c r="BZ135" s="14"/>
      <c r="CA135" s="14"/>
      <c r="CC135" s="59"/>
      <c r="CG135" s="59"/>
      <c r="CR135" s="60"/>
    </row>
    <row r="136" spans="1:98" x14ac:dyDescent="0.3">
      <c r="A136" s="23"/>
      <c r="B136" s="23"/>
      <c r="H136" s="14"/>
      <c r="I136" s="23"/>
      <c r="O136" s="14"/>
      <c r="AB136" s="14"/>
      <c r="AC136" s="23"/>
      <c r="AP136" s="23"/>
      <c r="AV136" s="14"/>
      <c r="AW136" s="23"/>
      <c r="BC136" s="14"/>
      <c r="BD136" s="23"/>
      <c r="BT136" s="23"/>
      <c r="BZ136" s="14"/>
      <c r="CA136" s="14"/>
      <c r="CC136" s="59"/>
      <c r="CG136" s="59"/>
      <c r="CR136" s="60"/>
    </row>
    <row r="137" spans="1:98" x14ac:dyDescent="0.3">
      <c r="A137" s="23"/>
      <c r="B137" s="23"/>
      <c r="H137" s="14"/>
      <c r="I137" s="23"/>
      <c r="O137" s="14"/>
      <c r="AB137" s="14"/>
      <c r="AC137" s="23"/>
      <c r="AP137" s="23"/>
      <c r="AV137" s="14"/>
      <c r="AW137" s="23"/>
      <c r="BC137" s="14"/>
      <c r="BD137" s="23"/>
      <c r="BE137" s="16" t="s">
        <v>218</v>
      </c>
      <c r="BT137" s="23"/>
      <c r="BZ137" s="14"/>
      <c r="CA137" s="14"/>
      <c r="CC137" s="59"/>
      <c r="CG137" s="59"/>
      <c r="CR137" s="60"/>
    </row>
    <row r="138" spans="1:98" x14ac:dyDescent="0.3">
      <c r="A138" s="23"/>
      <c r="B138" s="23"/>
      <c r="H138" s="14"/>
      <c r="I138" s="23"/>
      <c r="O138" s="14"/>
      <c r="AB138" s="14"/>
      <c r="AC138" s="23"/>
      <c r="AP138" s="23"/>
      <c r="AV138" s="14"/>
      <c r="AW138" s="23"/>
      <c r="BC138" s="14"/>
      <c r="BD138" s="23"/>
      <c r="BF138" s="8" t="s">
        <v>219</v>
      </c>
      <c r="BT138" s="23"/>
      <c r="BZ138" s="14"/>
      <c r="CA138" s="14"/>
      <c r="CC138" s="59"/>
      <c r="CG138" s="59"/>
      <c r="CR138" s="60"/>
      <c r="CT138" s="8" t="s">
        <v>220</v>
      </c>
    </row>
    <row r="139" spans="1:98" x14ac:dyDescent="0.3">
      <c r="A139" s="23"/>
      <c r="B139" s="23"/>
      <c r="H139" s="14"/>
      <c r="I139" s="23"/>
      <c r="O139" s="14"/>
      <c r="AB139" s="14"/>
      <c r="AC139" s="23"/>
      <c r="AP139" s="23"/>
      <c r="AV139" s="14"/>
      <c r="AW139" s="23"/>
      <c r="BC139" s="14"/>
      <c r="BD139" s="23"/>
      <c r="BF139" s="8" t="s">
        <v>221</v>
      </c>
      <c r="BT139" s="23"/>
      <c r="BZ139" s="14"/>
      <c r="CA139" s="14"/>
      <c r="CC139" s="59"/>
      <c r="CG139" s="59"/>
      <c r="CR139" s="60"/>
    </row>
    <row r="140" spans="1:98" x14ac:dyDescent="0.3">
      <c r="A140" s="23"/>
      <c r="B140" s="23"/>
      <c r="H140" s="14"/>
      <c r="I140" s="23"/>
      <c r="O140" s="14"/>
      <c r="AB140" s="14"/>
      <c r="AC140" s="23"/>
      <c r="AP140" s="23"/>
      <c r="AV140" s="14"/>
      <c r="AW140" s="23"/>
      <c r="BC140" s="14"/>
      <c r="BD140" s="23"/>
      <c r="BG140" s="8" t="s">
        <v>222</v>
      </c>
      <c r="BT140" s="23"/>
      <c r="BZ140" s="14"/>
      <c r="CA140" s="14"/>
      <c r="CC140" s="59"/>
      <c r="CG140" s="59"/>
      <c r="CR140" s="60"/>
    </row>
    <row r="141" spans="1:98" x14ac:dyDescent="0.3">
      <c r="A141" s="23"/>
      <c r="B141" s="23"/>
      <c r="H141" s="14"/>
      <c r="I141" s="23"/>
      <c r="O141" s="14"/>
      <c r="AB141" s="14"/>
      <c r="AC141" s="23"/>
      <c r="AP141" s="23"/>
      <c r="AV141" s="14"/>
      <c r="AW141" s="23"/>
      <c r="BC141" s="14"/>
      <c r="BD141" s="23"/>
      <c r="BF141" s="8" t="s">
        <v>223</v>
      </c>
      <c r="BT141" s="23"/>
      <c r="BZ141" s="14"/>
      <c r="CA141" s="14"/>
      <c r="CC141" s="59"/>
      <c r="CG141" s="59"/>
      <c r="CR141" s="60"/>
    </row>
    <row r="142" spans="1:98" x14ac:dyDescent="0.3">
      <c r="A142" s="23"/>
      <c r="B142" s="23"/>
      <c r="H142" s="14"/>
      <c r="I142" s="23"/>
      <c r="O142" s="14"/>
      <c r="AB142" s="14"/>
      <c r="AC142" s="23"/>
      <c r="AP142" s="23"/>
      <c r="AV142" s="14"/>
      <c r="AW142" s="23"/>
      <c r="BC142" s="14"/>
      <c r="BD142" s="23"/>
      <c r="BG142" s="8" t="s">
        <v>224</v>
      </c>
      <c r="BT142" s="23"/>
      <c r="BZ142" s="14"/>
      <c r="CA142" s="14"/>
      <c r="CC142" s="59"/>
      <c r="CG142" s="59"/>
      <c r="CR142" s="60"/>
    </row>
    <row r="143" spans="1:98" x14ac:dyDescent="0.3">
      <c r="A143" s="23"/>
      <c r="B143" s="23"/>
      <c r="H143" s="14"/>
      <c r="I143" s="23"/>
      <c r="O143" s="14"/>
      <c r="AB143" s="14"/>
      <c r="AC143" s="23"/>
      <c r="AP143" s="23"/>
      <c r="AV143" s="14"/>
      <c r="AW143" s="23"/>
      <c r="BC143" s="14"/>
      <c r="BD143" s="23"/>
      <c r="BF143" s="8" t="s">
        <v>225</v>
      </c>
      <c r="BT143" s="23"/>
      <c r="BZ143" s="14"/>
      <c r="CA143" s="14"/>
      <c r="CC143" s="59"/>
      <c r="CG143" s="59"/>
      <c r="CR143" s="60"/>
    </row>
    <row r="144" spans="1:98" x14ac:dyDescent="0.3">
      <c r="A144" s="23"/>
      <c r="B144" s="23"/>
      <c r="H144" s="14"/>
      <c r="I144" s="23"/>
      <c r="O144" s="14"/>
      <c r="AB144" s="14"/>
      <c r="AC144" s="23"/>
      <c r="AP144" s="23"/>
      <c r="AV144" s="14"/>
      <c r="AW144" s="23"/>
      <c r="BC144" s="14"/>
      <c r="BD144" s="23"/>
      <c r="BG144" s="8" t="s">
        <v>226</v>
      </c>
      <c r="BT144" s="23"/>
      <c r="BZ144" s="14"/>
      <c r="CA144" s="14"/>
      <c r="CC144" s="59"/>
      <c r="CG144" s="59"/>
      <c r="CR144" s="60"/>
    </row>
    <row r="145" spans="1:98" x14ac:dyDescent="0.3">
      <c r="A145" s="23"/>
      <c r="B145" s="23"/>
      <c r="H145" s="14"/>
      <c r="I145" s="23"/>
      <c r="O145" s="14"/>
      <c r="AB145" s="14"/>
      <c r="AC145" s="23"/>
      <c r="AP145" s="23"/>
      <c r="AV145" s="14"/>
      <c r="AW145" s="23"/>
      <c r="BC145" s="14"/>
      <c r="BD145" s="23"/>
      <c r="BT145" s="23"/>
      <c r="BZ145" s="14"/>
      <c r="CA145" s="14"/>
      <c r="CC145" s="59"/>
      <c r="CG145" s="59"/>
      <c r="CR145" s="60"/>
    </row>
    <row r="146" spans="1:98" x14ac:dyDescent="0.3">
      <c r="A146" s="23"/>
      <c r="B146" s="23"/>
      <c r="H146" s="14"/>
      <c r="I146" s="23"/>
      <c r="O146" s="14"/>
      <c r="AB146" s="14"/>
      <c r="AC146" s="23"/>
      <c r="AP146" s="23"/>
      <c r="AV146" s="14"/>
      <c r="AW146" s="23"/>
      <c r="BC146" s="14"/>
      <c r="BD146" s="23"/>
      <c r="BE146" s="16" t="s">
        <v>227</v>
      </c>
      <c r="BT146" s="23"/>
      <c r="BZ146" s="14"/>
      <c r="CA146" s="14"/>
      <c r="CC146" s="59"/>
      <c r="CG146" s="59"/>
      <c r="CR146" s="60"/>
    </row>
    <row r="147" spans="1:98" x14ac:dyDescent="0.3">
      <c r="A147" s="23"/>
      <c r="B147" s="23"/>
      <c r="H147" s="14"/>
      <c r="I147" s="23"/>
      <c r="O147" s="14"/>
      <c r="AB147" s="14"/>
      <c r="AC147" s="23"/>
      <c r="AP147" s="23"/>
      <c r="AV147" s="14"/>
      <c r="AW147" s="23"/>
      <c r="BC147" s="14"/>
      <c r="BD147" s="23"/>
      <c r="BF147" s="8" t="s">
        <v>228</v>
      </c>
      <c r="BT147" s="23"/>
      <c r="BZ147" s="14"/>
      <c r="CA147" s="14"/>
      <c r="CC147" s="59"/>
      <c r="CG147" s="59"/>
      <c r="CR147" s="60"/>
    </row>
    <row r="148" spans="1:98" x14ac:dyDescent="0.3">
      <c r="A148" s="23"/>
      <c r="B148" s="23"/>
      <c r="H148" s="14"/>
      <c r="I148" s="23"/>
      <c r="O148" s="14"/>
      <c r="AB148" s="14"/>
      <c r="AC148" s="23"/>
      <c r="AP148" s="23"/>
      <c r="AV148" s="14"/>
      <c r="AW148" s="23"/>
      <c r="BC148" s="14"/>
      <c r="BD148" s="23"/>
      <c r="BT148" s="23"/>
      <c r="BZ148" s="14"/>
      <c r="CA148" s="14"/>
      <c r="CC148" s="59"/>
      <c r="CG148" s="59"/>
      <c r="CR148" s="60"/>
    </row>
    <row r="149" spans="1:98" x14ac:dyDescent="0.3">
      <c r="A149" s="23"/>
      <c r="B149" s="23"/>
      <c r="H149" s="14"/>
      <c r="I149" s="23"/>
      <c r="O149" s="14"/>
      <c r="AB149" s="14"/>
      <c r="AC149" s="23"/>
      <c r="AP149" s="23"/>
      <c r="AV149" s="14"/>
      <c r="AW149" s="23"/>
      <c r="BC149" s="14"/>
      <c r="BD149" s="23"/>
      <c r="BT149" s="23"/>
      <c r="BZ149" s="14"/>
      <c r="CA149" s="14"/>
      <c r="CC149" s="59"/>
      <c r="CG149" s="59"/>
      <c r="CR149" s="60"/>
    </row>
    <row r="150" spans="1:98" x14ac:dyDescent="0.3">
      <c r="A150" s="23"/>
      <c r="B150" s="23"/>
      <c r="H150" s="14"/>
      <c r="I150" s="23"/>
      <c r="O150" s="14"/>
      <c r="AB150" s="14"/>
      <c r="AC150" s="23"/>
      <c r="AP150" s="23"/>
      <c r="AV150" s="14"/>
      <c r="AW150" s="23"/>
      <c r="BC150" s="14"/>
      <c r="BD150" s="23"/>
      <c r="BT150" s="23"/>
      <c r="BZ150" s="14"/>
      <c r="CA150" s="14"/>
      <c r="CC150" s="59"/>
      <c r="CG150" s="59"/>
      <c r="CR150" s="60"/>
    </row>
    <row r="151" spans="1:98" x14ac:dyDescent="0.3">
      <c r="A151" s="23"/>
      <c r="B151" s="23"/>
      <c r="H151" s="14"/>
      <c r="I151" s="23"/>
      <c r="O151" s="14"/>
      <c r="AB151" s="14"/>
      <c r="AC151" s="23"/>
      <c r="AP151" s="23"/>
      <c r="AV151" s="14"/>
      <c r="AW151" s="23"/>
      <c r="BC151" s="14"/>
      <c r="BD151" s="23"/>
      <c r="BE151" s="16" t="s">
        <v>229</v>
      </c>
      <c r="BT151" s="23"/>
      <c r="BZ151" s="14"/>
      <c r="CA151" s="14"/>
      <c r="CC151" s="59"/>
      <c r="CG151" s="59"/>
      <c r="CR151" s="60"/>
    </row>
    <row r="152" spans="1:98" x14ac:dyDescent="0.3">
      <c r="A152" s="23"/>
      <c r="B152" s="23"/>
      <c r="H152" s="14"/>
      <c r="I152" s="23"/>
      <c r="O152" s="14"/>
      <c r="AB152" s="14"/>
      <c r="AC152" s="23"/>
      <c r="AP152" s="23"/>
      <c r="AV152" s="14"/>
      <c r="AW152" s="23"/>
      <c r="BC152" s="14"/>
      <c r="BD152" s="23"/>
      <c r="BF152" s="8" t="s">
        <v>230</v>
      </c>
      <c r="BT152" s="23"/>
      <c r="BZ152" s="14"/>
      <c r="CA152" s="14"/>
      <c r="CC152" s="59"/>
      <c r="CG152" s="59"/>
      <c r="CR152" s="60"/>
      <c r="CT152" s="8" t="s">
        <v>231</v>
      </c>
    </row>
    <row r="153" spans="1:98" x14ac:dyDescent="0.3">
      <c r="A153" s="23"/>
      <c r="B153" s="23"/>
      <c r="H153" s="14"/>
      <c r="I153" s="23"/>
      <c r="O153" s="14"/>
      <c r="AB153" s="14"/>
      <c r="AC153" s="23"/>
      <c r="AP153" s="23"/>
      <c r="AV153" s="14"/>
      <c r="AW153" s="23"/>
      <c r="BC153" s="14"/>
      <c r="BD153" s="23"/>
      <c r="BT153" s="23"/>
      <c r="BZ153" s="14"/>
      <c r="CA153" s="14"/>
      <c r="CC153" s="59"/>
      <c r="CG153" s="59"/>
      <c r="CR153" s="60"/>
    </row>
    <row r="154" spans="1:98" x14ac:dyDescent="0.3">
      <c r="A154" s="23"/>
      <c r="B154" s="23"/>
      <c r="H154" s="14"/>
      <c r="I154" s="23"/>
      <c r="O154" s="14"/>
      <c r="AB154" s="14"/>
      <c r="AC154" s="23"/>
      <c r="AP154" s="23"/>
      <c r="AV154" s="14"/>
      <c r="AW154" s="23"/>
      <c r="BC154" s="14"/>
      <c r="BD154" s="23"/>
      <c r="BT154" s="23"/>
      <c r="BZ154" s="14"/>
      <c r="CA154" s="14"/>
      <c r="CC154" s="59"/>
      <c r="CG154" s="59"/>
      <c r="CR154" s="60"/>
    </row>
    <row r="155" spans="1:98" x14ac:dyDescent="0.3">
      <c r="A155" s="23"/>
      <c r="B155" s="23"/>
      <c r="H155" s="14"/>
      <c r="I155" s="23"/>
      <c r="O155" s="14"/>
      <c r="AB155" s="14"/>
      <c r="AC155" s="23"/>
      <c r="AP155" s="23"/>
      <c r="AV155" s="14"/>
      <c r="AW155" s="23"/>
      <c r="BC155" s="14"/>
      <c r="BD155" s="23"/>
      <c r="BT155" s="73" t="s">
        <v>132</v>
      </c>
      <c r="BZ155" s="14"/>
      <c r="CA155" s="14"/>
      <c r="CC155" s="59"/>
      <c r="CG155" s="59"/>
      <c r="CR155" s="60"/>
    </row>
    <row r="156" spans="1:98" x14ac:dyDescent="0.3">
      <c r="A156" s="23"/>
      <c r="B156" s="23"/>
      <c r="H156" s="14"/>
      <c r="I156" s="23"/>
      <c r="O156" s="14"/>
      <c r="AB156" s="14"/>
      <c r="AC156" s="23"/>
      <c r="AP156" s="23"/>
      <c r="AV156" s="14"/>
      <c r="AW156" s="23"/>
      <c r="BC156" s="14"/>
      <c r="BD156" s="23"/>
      <c r="BT156" s="23" t="s">
        <v>134</v>
      </c>
      <c r="BZ156" s="14"/>
      <c r="CA156" s="14"/>
      <c r="CC156" s="59"/>
      <c r="CG156" s="59"/>
      <c r="CR156" s="60"/>
    </row>
    <row r="157" spans="1:98" x14ac:dyDescent="0.3">
      <c r="A157" s="23"/>
      <c r="B157" s="23"/>
      <c r="H157" s="14"/>
      <c r="I157" s="23"/>
      <c r="O157" s="14"/>
      <c r="AB157" s="14"/>
      <c r="AC157" s="23"/>
      <c r="AP157" s="23"/>
      <c r="AV157" s="14"/>
      <c r="AW157" s="23"/>
      <c r="BC157" s="14"/>
      <c r="BD157" s="23"/>
      <c r="BT157" s="23"/>
      <c r="BU157" s="83" t="s">
        <v>136</v>
      </c>
      <c r="BZ157" s="14"/>
      <c r="CA157" s="14"/>
      <c r="CC157" s="59"/>
      <c r="CG157" s="59"/>
      <c r="CR157" s="60"/>
    </row>
    <row r="158" spans="1:98" x14ac:dyDescent="0.3">
      <c r="A158" s="23"/>
      <c r="B158" s="23"/>
      <c r="H158" s="14"/>
      <c r="I158" s="23"/>
      <c r="O158" s="14"/>
      <c r="AB158" s="14"/>
      <c r="AC158" s="23"/>
      <c r="AP158" s="23"/>
      <c r="AV158" s="14"/>
      <c r="AW158" s="23"/>
      <c r="BC158" s="14"/>
      <c r="BD158" s="23"/>
      <c r="BT158" s="23"/>
      <c r="BU158" s="83" t="s">
        <v>137</v>
      </c>
      <c r="BZ158" s="14"/>
      <c r="CA158" s="14"/>
      <c r="CC158" s="59"/>
      <c r="CG158" s="59"/>
      <c r="CR158" s="60"/>
    </row>
    <row r="159" spans="1:98" x14ac:dyDescent="0.3">
      <c r="A159" s="23"/>
      <c r="B159" s="23"/>
      <c r="H159" s="14"/>
      <c r="I159" s="23"/>
      <c r="O159" s="14"/>
      <c r="AB159" s="14"/>
      <c r="AC159" s="23"/>
      <c r="AP159" s="23"/>
      <c r="AV159" s="14"/>
      <c r="AW159" s="23"/>
      <c r="BC159" s="14"/>
      <c r="BD159" s="23"/>
      <c r="BT159" s="23"/>
      <c r="BZ159" s="14"/>
      <c r="CA159" s="14"/>
      <c r="CC159" s="59"/>
      <c r="CG159" s="59"/>
      <c r="CR159" s="60"/>
    </row>
    <row r="160" spans="1:98" x14ac:dyDescent="0.3">
      <c r="A160" s="23"/>
      <c r="B160" s="23"/>
      <c r="H160" s="14"/>
      <c r="I160" s="23"/>
      <c r="O160" s="14"/>
      <c r="AB160" s="14"/>
      <c r="AC160" s="23"/>
      <c r="AP160" s="23"/>
      <c r="AV160" s="14"/>
      <c r="AW160" s="23"/>
      <c r="BC160" s="14"/>
      <c r="BD160" s="23"/>
      <c r="BT160" s="23"/>
      <c r="BZ160" s="14"/>
      <c r="CA160" s="14"/>
      <c r="CC160" s="59"/>
      <c r="CG160" s="59"/>
      <c r="CR160" s="60"/>
    </row>
    <row r="161" spans="1:98" x14ac:dyDescent="0.3">
      <c r="A161" s="23"/>
      <c r="B161" s="23"/>
      <c r="H161" s="14"/>
      <c r="I161" s="23"/>
      <c r="O161" s="14"/>
      <c r="AB161" s="14"/>
      <c r="AC161" s="23"/>
      <c r="AP161" s="23"/>
      <c r="AV161" s="14"/>
      <c r="AW161" s="23"/>
      <c r="BC161" s="14"/>
      <c r="BD161" s="23"/>
      <c r="BT161" s="23"/>
      <c r="BZ161" s="14"/>
      <c r="CA161" s="14"/>
      <c r="CC161" s="59"/>
      <c r="CG161" s="59"/>
      <c r="CR161" s="60"/>
    </row>
    <row r="162" spans="1:98" x14ac:dyDescent="0.3">
      <c r="A162" s="23"/>
      <c r="B162" s="23"/>
      <c r="H162" s="14"/>
      <c r="I162" s="23"/>
      <c r="O162" s="14"/>
      <c r="AB162" s="14"/>
      <c r="AC162" s="23"/>
      <c r="AP162" s="23"/>
      <c r="AV162" s="14"/>
      <c r="AW162" s="23"/>
      <c r="BC162" s="14"/>
      <c r="BD162" s="23"/>
      <c r="BT162" s="23"/>
      <c r="BZ162" s="14"/>
      <c r="CA162" s="14"/>
      <c r="CC162" s="59"/>
      <c r="CG162" s="59"/>
      <c r="CR162" s="60"/>
    </row>
    <row r="163" spans="1:98" x14ac:dyDescent="0.3">
      <c r="A163" s="23"/>
      <c r="B163" s="23"/>
      <c r="H163" s="14"/>
      <c r="I163" s="23"/>
      <c r="O163" s="14"/>
      <c r="AB163" s="14"/>
      <c r="AC163" s="23"/>
      <c r="AP163" s="23"/>
      <c r="AV163" s="14"/>
      <c r="AW163" s="23"/>
      <c r="BC163" s="14"/>
      <c r="BD163" s="23"/>
      <c r="BT163" s="23"/>
      <c r="BZ163" s="14"/>
      <c r="CA163" s="14"/>
      <c r="CC163" s="59"/>
      <c r="CG163" s="59"/>
      <c r="CR163" s="60"/>
    </row>
    <row r="164" spans="1:98" x14ac:dyDescent="0.3">
      <c r="A164" s="23"/>
      <c r="B164" s="23"/>
      <c r="H164" s="14"/>
      <c r="I164" s="23"/>
      <c r="O164" s="14"/>
      <c r="AB164" s="14"/>
      <c r="AC164" s="23"/>
      <c r="AP164" s="23"/>
      <c r="AV164" s="14"/>
      <c r="AW164" s="23"/>
      <c r="BC164" s="14"/>
      <c r="BD164" s="23"/>
      <c r="BT164" s="23"/>
      <c r="BZ164" s="14"/>
      <c r="CA164" s="14"/>
      <c r="CC164" s="59"/>
      <c r="CG164" s="59"/>
      <c r="CR164" s="60"/>
    </row>
    <row r="165" spans="1:98" x14ac:dyDescent="0.3">
      <c r="A165" s="23"/>
      <c r="B165" s="23"/>
      <c r="H165" s="14"/>
      <c r="I165" s="23"/>
      <c r="O165" s="14"/>
      <c r="AB165" s="14"/>
      <c r="AC165" s="23"/>
      <c r="AP165" s="23"/>
      <c r="AV165" s="14"/>
      <c r="AW165" s="23"/>
      <c r="BC165" s="14"/>
      <c r="BD165" s="23"/>
      <c r="BT165" s="23"/>
      <c r="BZ165" s="14"/>
      <c r="CA165" s="14"/>
      <c r="CC165" s="59"/>
      <c r="CG165" s="59"/>
      <c r="CR165" s="60"/>
    </row>
    <row r="166" spans="1:98" x14ac:dyDescent="0.3">
      <c r="A166" s="23"/>
      <c r="B166" s="50"/>
      <c r="C166" s="10"/>
      <c r="D166" s="10"/>
      <c r="E166" s="10"/>
      <c r="F166" s="10"/>
      <c r="G166" s="10"/>
      <c r="H166" s="15"/>
      <c r="I166" s="50"/>
      <c r="J166" s="10"/>
      <c r="K166" s="10"/>
      <c r="L166" s="10"/>
      <c r="M166" s="10"/>
      <c r="N166" s="10"/>
      <c r="O166" s="15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5"/>
      <c r="AC166" s="5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50"/>
      <c r="AQ166" s="10"/>
      <c r="AR166" s="10"/>
      <c r="AS166" s="10"/>
      <c r="AT166" s="10"/>
      <c r="AU166" s="10"/>
      <c r="AV166" s="15"/>
      <c r="AW166" s="50"/>
      <c r="AX166" s="10"/>
      <c r="AY166" s="10"/>
      <c r="AZ166" s="10"/>
      <c r="BA166" s="10"/>
      <c r="BB166" s="10"/>
      <c r="BC166" s="15"/>
      <c r="BD166" s="5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50"/>
      <c r="BU166" s="10"/>
      <c r="BV166" s="10"/>
      <c r="BW166" s="10"/>
      <c r="BX166" s="10"/>
      <c r="BY166" s="10"/>
      <c r="BZ166" s="15"/>
      <c r="CA166" s="14"/>
      <c r="CC166" s="59"/>
      <c r="CG166" s="59"/>
      <c r="CR166" s="60"/>
    </row>
    <row r="167" spans="1:98" ht="13.5" customHeight="1" x14ac:dyDescent="0.3">
      <c r="A167" s="23"/>
      <c r="B167" s="25" t="s">
        <v>232</v>
      </c>
      <c r="C167" s="22"/>
      <c r="D167" s="22"/>
      <c r="E167" s="22"/>
      <c r="F167" s="22"/>
      <c r="G167" s="22"/>
      <c r="H167" s="22"/>
      <c r="I167" s="25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14"/>
      <c r="CC167" s="59"/>
      <c r="CG167" s="59"/>
      <c r="CR167" s="60"/>
    </row>
    <row r="168" spans="1:98" x14ac:dyDescent="0.3">
      <c r="A168" s="23"/>
      <c r="B168" s="23"/>
      <c r="H168" s="14"/>
      <c r="I168" s="23"/>
      <c r="O168" s="14"/>
      <c r="AB168" s="14"/>
      <c r="AC168" s="23"/>
      <c r="AP168" s="47"/>
      <c r="AQ168" s="48"/>
      <c r="AR168" s="48"/>
      <c r="AS168" s="48"/>
      <c r="AT168" s="48"/>
      <c r="AU168" s="48"/>
      <c r="AV168" s="49"/>
      <c r="AW168" s="47"/>
      <c r="AX168" s="48"/>
      <c r="AY168" s="48"/>
      <c r="AZ168" s="48"/>
      <c r="BA168" s="48"/>
      <c r="BB168" s="48"/>
      <c r="BC168" s="49"/>
      <c r="BD168" s="23"/>
      <c r="BT168" s="47"/>
      <c r="BU168" s="48"/>
      <c r="BV168" s="48"/>
      <c r="BW168" s="48"/>
      <c r="BX168" s="48"/>
      <c r="BY168" s="48"/>
      <c r="BZ168" s="49"/>
      <c r="CA168" s="14"/>
      <c r="CC168" s="59"/>
      <c r="CG168" s="59"/>
      <c r="CR168" s="60"/>
    </row>
    <row r="169" spans="1:98" x14ac:dyDescent="0.3">
      <c r="A169" s="23"/>
      <c r="B169" s="23"/>
      <c r="H169" s="14"/>
      <c r="I169" s="23"/>
      <c r="O169" s="14"/>
      <c r="AB169" s="14"/>
      <c r="AC169" s="23"/>
      <c r="AP169" s="23"/>
      <c r="AV169" s="14"/>
      <c r="AW169" s="23"/>
      <c r="BC169" s="14"/>
      <c r="BD169" s="23"/>
      <c r="BE169" s="8" t="s">
        <v>233</v>
      </c>
      <c r="BT169" s="23"/>
      <c r="BZ169" s="14"/>
      <c r="CA169" s="14"/>
      <c r="CC169" s="59"/>
      <c r="CG169" s="59"/>
      <c r="CR169" s="60"/>
      <c r="CT169" s="8" t="s">
        <v>234</v>
      </c>
    </row>
    <row r="170" spans="1:98" x14ac:dyDescent="0.3">
      <c r="A170" s="23"/>
      <c r="B170" s="23"/>
      <c r="H170" s="14"/>
      <c r="I170" s="23"/>
      <c r="O170" s="14"/>
      <c r="AB170" s="14"/>
      <c r="AC170" s="23"/>
      <c r="AP170" s="23"/>
      <c r="AV170" s="14"/>
      <c r="AW170" s="23"/>
      <c r="BC170" s="14"/>
      <c r="BD170" s="23"/>
      <c r="BE170" s="8" t="s">
        <v>235</v>
      </c>
      <c r="BT170" s="23"/>
      <c r="BZ170" s="14"/>
      <c r="CA170" s="14"/>
      <c r="CC170" s="59"/>
      <c r="CG170" s="59"/>
      <c r="CR170" s="60"/>
    </row>
    <row r="171" spans="1:98" x14ac:dyDescent="0.3">
      <c r="A171" s="23"/>
      <c r="B171" s="23"/>
      <c r="H171" s="14"/>
      <c r="I171" s="23"/>
      <c r="O171" s="14"/>
      <c r="AB171" s="14"/>
      <c r="AC171" s="23"/>
      <c r="AP171" s="23"/>
      <c r="AV171" s="14"/>
      <c r="AW171" s="23"/>
      <c r="BC171" s="14"/>
      <c r="BD171" s="23"/>
      <c r="BT171" s="23"/>
      <c r="BZ171" s="14"/>
      <c r="CA171" s="14"/>
      <c r="CC171" s="59"/>
      <c r="CG171" s="59"/>
      <c r="CR171" s="60"/>
    </row>
    <row r="172" spans="1:98" x14ac:dyDescent="0.3">
      <c r="A172" s="23"/>
      <c r="B172" s="23"/>
      <c r="H172" s="14"/>
      <c r="I172" s="23"/>
      <c r="O172" s="14"/>
      <c r="AB172" s="14"/>
      <c r="AC172" s="23"/>
      <c r="AP172" s="23"/>
      <c r="AV172" s="14"/>
      <c r="AW172" s="23"/>
      <c r="BC172" s="14"/>
      <c r="BD172" s="23"/>
      <c r="BT172" s="23"/>
      <c r="BZ172" s="14"/>
      <c r="CA172" s="14"/>
      <c r="CC172" s="59"/>
      <c r="CG172" s="59"/>
      <c r="CR172" s="60"/>
    </row>
    <row r="173" spans="1:98" x14ac:dyDescent="0.3">
      <c r="A173" s="23"/>
      <c r="B173" s="23"/>
      <c r="H173" s="14"/>
      <c r="I173" s="23"/>
      <c r="O173" s="14"/>
      <c r="AB173" s="14"/>
      <c r="AC173" s="23"/>
      <c r="AP173" s="23"/>
      <c r="AV173" s="14"/>
      <c r="AW173" s="23"/>
      <c r="BC173" s="14"/>
      <c r="BD173" s="23"/>
      <c r="BT173" s="23"/>
      <c r="BZ173" s="14"/>
      <c r="CA173" s="14"/>
      <c r="CC173" s="59"/>
      <c r="CG173" s="59"/>
      <c r="CR173" s="60"/>
    </row>
    <row r="174" spans="1:98" x14ac:dyDescent="0.3">
      <c r="A174" s="23"/>
      <c r="B174" s="23"/>
      <c r="H174" s="14"/>
      <c r="I174" s="23"/>
      <c r="O174" s="14"/>
      <c r="AB174" s="14"/>
      <c r="AC174" s="23"/>
      <c r="AP174" s="23"/>
      <c r="AV174" s="14"/>
      <c r="AW174" s="23"/>
      <c r="BC174" s="14"/>
      <c r="BD174" s="23"/>
      <c r="BT174" s="23"/>
      <c r="BZ174" s="14"/>
      <c r="CA174" s="14"/>
      <c r="CC174" s="59"/>
      <c r="CG174" s="59"/>
      <c r="CR174" s="60"/>
    </row>
    <row r="175" spans="1:98" x14ac:dyDescent="0.3">
      <c r="A175" s="23"/>
      <c r="B175" s="23"/>
      <c r="H175" s="14"/>
      <c r="I175" s="23"/>
      <c r="O175" s="14"/>
      <c r="AB175" s="14"/>
      <c r="AC175" s="23"/>
      <c r="AP175" s="23"/>
      <c r="AV175" s="14"/>
      <c r="AW175" s="23"/>
      <c r="BC175" s="14"/>
      <c r="BD175" s="23"/>
      <c r="BE175" s="21" t="s">
        <v>211</v>
      </c>
      <c r="BF175" s="11"/>
      <c r="BT175" s="23"/>
      <c r="BZ175" s="14"/>
      <c r="CA175" s="14"/>
      <c r="CC175" s="59"/>
      <c r="CG175" s="59"/>
      <c r="CR175" s="60"/>
    </row>
    <row r="176" spans="1:98" x14ac:dyDescent="0.3">
      <c r="A176" s="23"/>
      <c r="B176" s="23"/>
      <c r="H176" s="14"/>
      <c r="I176" s="23"/>
      <c r="O176" s="14"/>
      <c r="AB176" s="14"/>
      <c r="AC176" s="23"/>
      <c r="AP176" s="23"/>
      <c r="AV176" s="14"/>
      <c r="AW176" s="23"/>
      <c r="BC176" s="14"/>
      <c r="BD176" s="23"/>
      <c r="BE176" s="11"/>
      <c r="BF176" s="8" t="s">
        <v>236</v>
      </c>
      <c r="BT176" s="23"/>
      <c r="BZ176" s="14"/>
      <c r="CA176" s="14"/>
      <c r="CC176" s="59"/>
      <c r="CG176" s="59"/>
      <c r="CR176" s="60"/>
    </row>
    <row r="177" spans="1:96" x14ac:dyDescent="0.3">
      <c r="A177" s="23"/>
      <c r="B177" s="23"/>
      <c r="H177" s="14"/>
      <c r="I177" s="23"/>
      <c r="O177" s="14"/>
      <c r="AB177" s="14"/>
      <c r="AC177" s="23"/>
      <c r="AP177" s="23"/>
      <c r="AV177" s="14"/>
      <c r="AW177" s="23"/>
      <c r="BC177" s="14"/>
      <c r="BD177" s="23"/>
      <c r="BE177" s="11"/>
      <c r="BT177" s="23"/>
      <c r="BZ177" s="14"/>
      <c r="CA177" s="14"/>
      <c r="CC177" s="59"/>
      <c r="CG177" s="59"/>
      <c r="CR177" s="60"/>
    </row>
    <row r="178" spans="1:96" x14ac:dyDescent="0.3">
      <c r="A178" s="23"/>
      <c r="B178" s="23"/>
      <c r="H178" s="14"/>
      <c r="I178" s="23"/>
      <c r="O178" s="14"/>
      <c r="AB178" s="14"/>
      <c r="AC178" s="23"/>
      <c r="AP178" s="23"/>
      <c r="AV178" s="14"/>
      <c r="AW178" s="23"/>
      <c r="BC178" s="14"/>
      <c r="BD178" s="23"/>
      <c r="BE178" s="21"/>
      <c r="BF178" s="11"/>
      <c r="BG178" s="11"/>
      <c r="BH178" s="11"/>
      <c r="BI178" s="11"/>
      <c r="BJ178" s="11"/>
      <c r="BK178" s="11"/>
      <c r="BL178" s="11"/>
      <c r="BT178" s="23"/>
      <c r="BZ178" s="14"/>
      <c r="CA178" s="14"/>
      <c r="CC178" s="59"/>
      <c r="CG178" s="59"/>
      <c r="CR178" s="60"/>
    </row>
    <row r="179" spans="1:96" x14ac:dyDescent="0.3">
      <c r="A179" s="23"/>
      <c r="B179" s="23"/>
      <c r="H179" s="14"/>
      <c r="I179" s="23"/>
      <c r="O179" s="14"/>
      <c r="AB179" s="14"/>
      <c r="AC179" s="23"/>
      <c r="AP179" s="23"/>
      <c r="AV179" s="14"/>
      <c r="AW179" s="23"/>
      <c r="BC179" s="14"/>
      <c r="BD179" s="23"/>
      <c r="BE179" s="16" t="s">
        <v>237</v>
      </c>
      <c r="BG179" s="11"/>
      <c r="BH179" s="11"/>
      <c r="BT179" s="23"/>
      <c r="BZ179" s="14"/>
      <c r="CA179" s="14"/>
      <c r="CC179" s="59"/>
      <c r="CG179" s="59"/>
      <c r="CR179" s="60"/>
    </row>
    <row r="180" spans="1:96" x14ac:dyDescent="0.3">
      <c r="A180" s="23"/>
      <c r="B180" s="23"/>
      <c r="H180" s="14"/>
      <c r="I180" s="23"/>
      <c r="O180" s="14"/>
      <c r="AB180" s="14"/>
      <c r="AC180" s="23"/>
      <c r="AP180" s="23"/>
      <c r="AV180" s="14"/>
      <c r="AW180" s="23"/>
      <c r="BC180" s="14"/>
      <c r="BD180" s="23"/>
      <c r="BF180" s="8" t="s">
        <v>238</v>
      </c>
      <c r="BG180" s="11"/>
      <c r="BH180" s="11"/>
      <c r="BT180" s="23"/>
      <c r="BZ180" s="14"/>
      <c r="CA180" s="14"/>
      <c r="CC180" s="59"/>
      <c r="CG180" s="59"/>
      <c r="CR180" s="60"/>
    </row>
    <row r="181" spans="1:96" x14ac:dyDescent="0.3">
      <c r="A181" s="23"/>
      <c r="B181" s="23"/>
      <c r="H181" s="14"/>
      <c r="I181" s="23"/>
      <c r="O181" s="14"/>
      <c r="AB181" s="14"/>
      <c r="AC181" s="23"/>
      <c r="AP181" s="23"/>
      <c r="AV181" s="14"/>
      <c r="AW181" s="23"/>
      <c r="BC181" s="14"/>
      <c r="BD181" s="23"/>
      <c r="BG181" s="11"/>
      <c r="BH181" s="11"/>
      <c r="BT181" s="23"/>
      <c r="BZ181" s="14"/>
      <c r="CA181" s="14"/>
      <c r="CC181" s="59"/>
      <c r="CG181" s="59"/>
      <c r="CR181" s="60"/>
    </row>
    <row r="182" spans="1:96" x14ac:dyDescent="0.3">
      <c r="A182" s="23"/>
      <c r="B182" s="23"/>
      <c r="H182" s="14"/>
      <c r="I182" s="23"/>
      <c r="O182" s="14"/>
      <c r="AB182" s="14"/>
      <c r="AC182" s="23"/>
      <c r="AP182" s="23"/>
      <c r="AV182" s="14"/>
      <c r="AW182" s="23"/>
      <c r="BC182" s="14"/>
      <c r="BD182" s="23"/>
      <c r="BT182" s="23"/>
      <c r="BZ182" s="14"/>
      <c r="CA182" s="14"/>
      <c r="CC182" s="59"/>
      <c r="CG182" s="59"/>
      <c r="CR182" s="60"/>
    </row>
    <row r="183" spans="1:96" x14ac:dyDescent="0.3">
      <c r="A183" s="23"/>
      <c r="B183" s="23"/>
      <c r="H183" s="14"/>
      <c r="I183" s="23"/>
      <c r="O183" s="14"/>
      <c r="AB183" s="14"/>
      <c r="AC183" s="23"/>
      <c r="AP183" s="23"/>
      <c r="AV183" s="14"/>
      <c r="AW183" s="23"/>
      <c r="BC183" s="14"/>
      <c r="BD183" s="23"/>
      <c r="BT183" s="23"/>
      <c r="BZ183" s="14"/>
      <c r="CA183" s="14"/>
      <c r="CC183" s="59"/>
      <c r="CG183" s="59"/>
      <c r="CR183" s="60"/>
    </row>
    <row r="184" spans="1:96" x14ac:dyDescent="0.3">
      <c r="A184" s="23"/>
      <c r="B184" s="23"/>
      <c r="H184" s="14"/>
      <c r="I184" s="23"/>
      <c r="O184" s="14"/>
      <c r="AB184" s="14"/>
      <c r="AC184" s="23"/>
      <c r="AP184" s="23"/>
      <c r="AV184" s="14"/>
      <c r="AW184" s="23"/>
      <c r="BC184" s="14"/>
      <c r="BD184" s="23"/>
      <c r="BE184" s="16" t="s">
        <v>239</v>
      </c>
      <c r="BT184" s="23"/>
      <c r="BZ184" s="14"/>
      <c r="CA184" s="14"/>
      <c r="CC184" s="59"/>
      <c r="CG184" s="59"/>
      <c r="CR184" s="60"/>
    </row>
    <row r="185" spans="1:96" x14ac:dyDescent="0.3">
      <c r="A185" s="23"/>
      <c r="B185" s="23"/>
      <c r="H185" s="14"/>
      <c r="I185" s="23"/>
      <c r="O185" s="14"/>
      <c r="AB185" s="14"/>
      <c r="AC185" s="23"/>
      <c r="AP185" s="23"/>
      <c r="AV185" s="14"/>
      <c r="AW185" s="23"/>
      <c r="BC185" s="14"/>
      <c r="BD185" s="23"/>
      <c r="BF185" s="8" t="s">
        <v>240</v>
      </c>
      <c r="BT185" s="23"/>
      <c r="BZ185" s="14"/>
      <c r="CA185" s="14"/>
      <c r="CC185" s="59"/>
      <c r="CG185" s="59"/>
      <c r="CR185" s="60"/>
    </row>
    <row r="186" spans="1:96" x14ac:dyDescent="0.3">
      <c r="A186" s="23"/>
      <c r="B186" s="23"/>
      <c r="H186" s="14"/>
      <c r="I186" s="23"/>
      <c r="O186" s="14"/>
      <c r="AB186" s="14"/>
      <c r="AC186" s="23"/>
      <c r="AP186" s="23"/>
      <c r="AV186" s="14"/>
      <c r="AW186" s="23"/>
      <c r="BC186" s="14"/>
      <c r="BD186" s="23"/>
      <c r="BT186" s="23"/>
      <c r="BZ186" s="14"/>
      <c r="CA186" s="14"/>
      <c r="CC186" s="59"/>
      <c r="CG186" s="59"/>
      <c r="CR186" s="60"/>
    </row>
    <row r="187" spans="1:96" x14ac:dyDescent="0.3">
      <c r="A187" s="23"/>
      <c r="B187" s="23"/>
      <c r="H187" s="14"/>
      <c r="I187" s="23"/>
      <c r="O187" s="14"/>
      <c r="AB187" s="14"/>
      <c r="AC187" s="23"/>
      <c r="AP187" s="23"/>
      <c r="AV187" s="14"/>
      <c r="AW187" s="23"/>
      <c r="BC187" s="14"/>
      <c r="BD187" s="23"/>
      <c r="BT187" s="23"/>
      <c r="BZ187" s="14"/>
      <c r="CA187" s="14"/>
      <c r="CC187" s="59"/>
      <c r="CG187" s="59"/>
      <c r="CR187" s="60"/>
    </row>
    <row r="188" spans="1:96" x14ac:dyDescent="0.3">
      <c r="A188" s="23"/>
      <c r="B188" s="23"/>
      <c r="H188" s="14"/>
      <c r="I188" s="23"/>
      <c r="O188" s="14"/>
      <c r="AB188" s="14"/>
      <c r="AC188" s="23"/>
      <c r="AP188" s="23"/>
      <c r="AV188" s="14"/>
      <c r="AW188" s="23"/>
      <c r="BC188" s="14"/>
      <c r="BD188" s="23"/>
      <c r="BT188" s="23"/>
      <c r="BZ188" s="14"/>
      <c r="CA188" s="14"/>
      <c r="CC188" s="59"/>
      <c r="CG188" s="59"/>
      <c r="CR188" s="60"/>
    </row>
    <row r="189" spans="1:96" x14ac:dyDescent="0.3">
      <c r="A189" s="23"/>
      <c r="B189" s="23"/>
      <c r="H189" s="14"/>
      <c r="I189" s="23"/>
      <c r="O189" s="14"/>
      <c r="AB189" s="14"/>
      <c r="AC189" s="23"/>
      <c r="AP189" s="23"/>
      <c r="AV189" s="14"/>
      <c r="AW189" s="23"/>
      <c r="BC189" s="14"/>
      <c r="BD189" s="23"/>
      <c r="BT189" s="23"/>
      <c r="BZ189" s="14"/>
      <c r="CA189" s="14"/>
      <c r="CC189" s="59"/>
      <c r="CG189" s="59"/>
      <c r="CR189" s="60"/>
    </row>
    <row r="190" spans="1:96" x14ac:dyDescent="0.3">
      <c r="A190" s="23"/>
      <c r="B190" s="23"/>
      <c r="H190" s="14"/>
      <c r="I190" s="23"/>
      <c r="O190" s="14"/>
      <c r="AB190" s="14"/>
      <c r="AC190" s="23"/>
      <c r="AP190" s="23"/>
      <c r="AV190" s="14"/>
      <c r="AW190" s="23"/>
      <c r="BC190" s="14"/>
      <c r="BD190" s="23"/>
      <c r="BT190" s="73" t="s">
        <v>132</v>
      </c>
      <c r="BZ190" s="14"/>
      <c r="CA190" s="14"/>
      <c r="CC190" s="59"/>
      <c r="CG190" s="59"/>
      <c r="CR190" s="60"/>
    </row>
    <row r="191" spans="1:96" x14ac:dyDescent="0.3">
      <c r="A191" s="23"/>
      <c r="B191" s="23"/>
      <c r="H191" s="14"/>
      <c r="I191" s="23"/>
      <c r="O191" s="14"/>
      <c r="AB191" s="14"/>
      <c r="AC191" s="23"/>
      <c r="AP191" s="23"/>
      <c r="AV191" s="14"/>
      <c r="AW191" s="23"/>
      <c r="BC191" s="14"/>
      <c r="BD191" s="23"/>
      <c r="BT191" s="23" t="s">
        <v>134</v>
      </c>
      <c r="BZ191" s="14"/>
      <c r="CA191" s="14"/>
      <c r="CC191" s="59"/>
      <c r="CG191" s="59"/>
      <c r="CR191" s="60"/>
    </row>
    <row r="192" spans="1:96" x14ac:dyDescent="0.3">
      <c r="A192" s="23"/>
      <c r="B192" s="23"/>
      <c r="H192" s="14"/>
      <c r="I192" s="23"/>
      <c r="O192" s="14"/>
      <c r="AB192" s="14"/>
      <c r="AC192" s="23"/>
      <c r="AP192" s="23"/>
      <c r="AV192" s="14"/>
      <c r="AW192" s="23"/>
      <c r="BC192" s="14"/>
      <c r="BD192" s="23"/>
      <c r="BT192" s="23"/>
      <c r="BU192" s="83" t="s">
        <v>136</v>
      </c>
      <c r="BZ192" s="14"/>
      <c r="CA192" s="14"/>
      <c r="CC192" s="59"/>
      <c r="CG192" s="59"/>
      <c r="CR192" s="60"/>
    </row>
    <row r="193" spans="1:96" x14ac:dyDescent="0.3">
      <c r="A193" s="23"/>
      <c r="B193" s="23"/>
      <c r="H193" s="14"/>
      <c r="I193" s="23"/>
      <c r="O193" s="14"/>
      <c r="AB193" s="14"/>
      <c r="AC193" s="23"/>
      <c r="AP193" s="23"/>
      <c r="AV193" s="14"/>
      <c r="AW193" s="23"/>
      <c r="BC193" s="14"/>
      <c r="BD193" s="23"/>
      <c r="BT193" s="23"/>
      <c r="BU193" s="83" t="s">
        <v>137</v>
      </c>
      <c r="BZ193" s="14"/>
      <c r="CA193" s="14"/>
      <c r="CC193" s="59"/>
      <c r="CG193" s="59"/>
      <c r="CR193" s="60"/>
    </row>
    <row r="194" spans="1:96" x14ac:dyDescent="0.3">
      <c r="A194" s="23"/>
      <c r="B194" s="23"/>
      <c r="H194" s="14"/>
      <c r="I194" s="23"/>
      <c r="O194" s="14"/>
      <c r="AB194" s="14"/>
      <c r="AC194" s="23"/>
      <c r="AP194" s="23"/>
      <c r="AV194" s="14"/>
      <c r="AW194" s="23"/>
      <c r="BC194" s="14"/>
      <c r="BD194" s="23"/>
      <c r="BT194" s="23"/>
      <c r="BZ194" s="14"/>
      <c r="CA194" s="14"/>
      <c r="CC194" s="59"/>
      <c r="CG194" s="59"/>
      <c r="CR194" s="60"/>
    </row>
    <row r="195" spans="1:96" x14ac:dyDescent="0.3">
      <c r="A195" s="23"/>
      <c r="B195" s="23"/>
      <c r="H195" s="14"/>
      <c r="I195" s="23"/>
      <c r="O195" s="14"/>
      <c r="AB195" s="14"/>
      <c r="AC195" s="23"/>
      <c r="AP195" s="23"/>
      <c r="AV195" s="14"/>
      <c r="AW195" s="23"/>
      <c r="BC195" s="14"/>
      <c r="BD195" s="23"/>
      <c r="BT195" s="23"/>
      <c r="BZ195" s="14"/>
      <c r="CA195" s="14"/>
      <c r="CC195" s="59"/>
      <c r="CG195" s="59"/>
      <c r="CR195" s="60"/>
    </row>
    <row r="196" spans="1:96" x14ac:dyDescent="0.3">
      <c r="A196" s="23"/>
      <c r="B196" s="23"/>
      <c r="H196" s="14"/>
      <c r="I196" s="23"/>
      <c r="O196" s="14"/>
      <c r="AB196" s="14"/>
      <c r="AC196" s="23"/>
      <c r="AP196" s="23"/>
      <c r="AV196" s="14"/>
      <c r="AW196" s="23"/>
      <c r="BC196" s="14"/>
      <c r="BD196" s="23"/>
      <c r="BT196" s="23"/>
      <c r="BZ196" s="14"/>
      <c r="CA196" s="14"/>
      <c r="CC196" s="59"/>
      <c r="CG196" s="59"/>
      <c r="CR196" s="60"/>
    </row>
    <row r="197" spans="1:96" x14ac:dyDescent="0.3">
      <c r="A197" s="23"/>
      <c r="B197" s="23"/>
      <c r="H197" s="14"/>
      <c r="I197" s="23"/>
      <c r="O197" s="14"/>
      <c r="AB197" s="14"/>
      <c r="AC197" s="23"/>
      <c r="AP197" s="23"/>
      <c r="AV197" s="14"/>
      <c r="AW197" s="23"/>
      <c r="BC197" s="14"/>
      <c r="BD197" s="23"/>
      <c r="BT197" s="23"/>
      <c r="BZ197" s="14"/>
      <c r="CA197" s="14"/>
      <c r="CC197" s="59"/>
      <c r="CG197" s="59"/>
      <c r="CR197" s="60"/>
    </row>
    <row r="198" spans="1:96" x14ac:dyDescent="0.3">
      <c r="A198" s="23"/>
      <c r="B198" s="23"/>
      <c r="H198" s="14"/>
      <c r="I198" s="23"/>
      <c r="O198" s="14"/>
      <c r="AB198" s="14"/>
      <c r="AC198" s="23"/>
      <c r="AP198" s="23"/>
      <c r="AV198" s="14"/>
      <c r="AW198" s="23"/>
      <c r="BC198" s="14"/>
      <c r="BD198" s="23"/>
      <c r="BT198" s="23"/>
      <c r="BZ198" s="14"/>
      <c r="CA198" s="14"/>
      <c r="CC198" s="59"/>
      <c r="CG198" s="59"/>
      <c r="CR198" s="60"/>
    </row>
    <row r="199" spans="1:96" x14ac:dyDescent="0.3">
      <c r="A199" s="23"/>
      <c r="B199" s="23"/>
      <c r="H199" s="14"/>
      <c r="I199" s="23"/>
      <c r="O199" s="14"/>
      <c r="AB199" s="14"/>
      <c r="AC199" s="23"/>
      <c r="AP199" s="23"/>
      <c r="AV199" s="14"/>
      <c r="AW199" s="23"/>
      <c r="BC199" s="14"/>
      <c r="BD199" s="23"/>
      <c r="BT199" s="23"/>
      <c r="BZ199" s="14"/>
      <c r="CA199" s="14"/>
      <c r="CC199" s="59"/>
      <c r="CG199" s="59"/>
      <c r="CR199" s="60"/>
    </row>
    <row r="200" spans="1:96" x14ac:dyDescent="0.3">
      <c r="A200" s="23"/>
      <c r="B200" s="23"/>
      <c r="H200" s="14"/>
      <c r="I200" s="23"/>
      <c r="O200" s="14"/>
      <c r="AB200" s="14"/>
      <c r="AC200" s="23"/>
      <c r="AP200" s="23"/>
      <c r="AV200" s="14"/>
      <c r="AW200" s="23"/>
      <c r="BC200" s="14"/>
      <c r="BD200" s="23"/>
      <c r="BT200" s="23"/>
      <c r="BZ200" s="14"/>
      <c r="CA200" s="14"/>
      <c r="CC200" s="59"/>
      <c r="CG200" s="59"/>
      <c r="CR200" s="60"/>
    </row>
    <row r="201" spans="1:96" x14ac:dyDescent="0.3">
      <c r="A201" s="23"/>
      <c r="B201" s="23"/>
      <c r="H201" s="14"/>
      <c r="I201" s="23"/>
      <c r="O201" s="14"/>
      <c r="AB201" s="14"/>
      <c r="AC201" s="23"/>
      <c r="AP201" s="23"/>
      <c r="AV201" s="14"/>
      <c r="AW201" s="23"/>
      <c r="BC201" s="14"/>
      <c r="BD201" s="23"/>
      <c r="BT201" s="23"/>
      <c r="BZ201" s="14"/>
      <c r="CA201" s="14"/>
      <c r="CC201" s="59"/>
      <c r="CG201" s="59"/>
      <c r="CR201" s="60"/>
    </row>
    <row r="202" spans="1:96" ht="13.5" customHeight="1" x14ac:dyDescent="0.3">
      <c r="A202" s="23"/>
      <c r="B202" s="25" t="s">
        <v>241</v>
      </c>
      <c r="C202" s="22"/>
      <c r="D202" s="22"/>
      <c r="E202" s="22"/>
      <c r="F202" s="22"/>
      <c r="G202" s="22"/>
      <c r="H202" s="22"/>
      <c r="I202" s="25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14"/>
      <c r="CC202" s="59"/>
      <c r="CG202" s="59"/>
      <c r="CR202" s="60"/>
    </row>
    <row r="203" spans="1:96" x14ac:dyDescent="0.3">
      <c r="A203" s="23"/>
      <c r="B203" s="23"/>
      <c r="H203" s="14"/>
      <c r="I203" s="23"/>
      <c r="O203" s="14"/>
      <c r="AB203" s="14"/>
      <c r="AC203" s="23"/>
      <c r="AP203" s="47"/>
      <c r="AQ203" s="48"/>
      <c r="AR203" s="48"/>
      <c r="AS203" s="48"/>
      <c r="AT203" s="48"/>
      <c r="AU203" s="48"/>
      <c r="AV203" s="49"/>
      <c r="AW203" s="47"/>
      <c r="AX203" s="48"/>
      <c r="AY203" s="48"/>
      <c r="AZ203" s="48"/>
      <c r="BA203" s="48"/>
      <c r="BB203" s="48"/>
      <c r="BC203" s="49"/>
      <c r="BD203" s="23"/>
      <c r="BT203" s="47"/>
      <c r="BU203" s="48"/>
      <c r="BV203" s="48"/>
      <c r="BW203" s="48"/>
      <c r="BX203" s="48"/>
      <c r="BY203" s="48"/>
      <c r="BZ203" s="49"/>
      <c r="CA203" s="14"/>
      <c r="CC203" s="59"/>
      <c r="CG203" s="59"/>
      <c r="CR203" s="60"/>
    </row>
    <row r="204" spans="1:96" x14ac:dyDescent="0.3">
      <c r="A204" s="23"/>
      <c r="B204" s="23"/>
      <c r="H204" s="14"/>
      <c r="I204" s="23"/>
      <c r="O204" s="14"/>
      <c r="AB204" s="14"/>
      <c r="AC204" s="23"/>
      <c r="AP204" s="23"/>
      <c r="AV204" s="14"/>
      <c r="AW204" s="23"/>
      <c r="BC204" s="14"/>
      <c r="BD204" s="23"/>
      <c r="BT204" s="23"/>
      <c r="BZ204" s="14"/>
      <c r="CA204" s="14"/>
      <c r="CC204" s="59"/>
      <c r="CG204" s="59"/>
      <c r="CR204" s="60"/>
    </row>
    <row r="205" spans="1:96" x14ac:dyDescent="0.3">
      <c r="A205" s="23"/>
      <c r="B205" s="23"/>
      <c r="H205" s="14"/>
      <c r="I205" s="23"/>
      <c r="O205" s="14"/>
      <c r="AB205" s="14"/>
      <c r="AC205" s="23"/>
      <c r="AP205" s="23"/>
      <c r="AV205" s="14"/>
      <c r="AW205" s="23"/>
      <c r="BC205" s="14"/>
      <c r="BD205" s="23"/>
      <c r="BT205" s="23"/>
      <c r="BZ205" s="14"/>
      <c r="CA205" s="14"/>
      <c r="CC205" s="59"/>
      <c r="CG205" s="59"/>
      <c r="CR205" s="60"/>
    </row>
    <row r="206" spans="1:96" x14ac:dyDescent="0.3">
      <c r="A206" s="23"/>
      <c r="B206" s="23"/>
      <c r="H206" s="14"/>
      <c r="I206" s="23"/>
      <c r="O206" s="14"/>
      <c r="AB206" s="14"/>
      <c r="AC206" s="23"/>
      <c r="AP206" s="23"/>
      <c r="AV206" s="14"/>
      <c r="AW206" s="23"/>
      <c r="BC206" s="14"/>
      <c r="BD206" s="23"/>
      <c r="BT206" s="23"/>
      <c r="BZ206" s="14"/>
      <c r="CA206" s="14"/>
      <c r="CC206" s="59"/>
      <c r="CG206" s="59"/>
      <c r="CR206" s="60"/>
    </row>
    <row r="207" spans="1:96" x14ac:dyDescent="0.3">
      <c r="A207" s="23"/>
      <c r="B207" s="23"/>
      <c r="H207" s="14"/>
      <c r="I207" s="23"/>
      <c r="O207" s="14"/>
      <c r="AB207" s="14"/>
      <c r="AC207" s="23"/>
      <c r="AP207" s="23"/>
      <c r="AV207" s="14"/>
      <c r="AW207" s="23"/>
      <c r="BC207" s="14"/>
      <c r="BD207" s="23"/>
      <c r="BT207" s="23"/>
      <c r="BZ207" s="14"/>
      <c r="CA207" s="14"/>
      <c r="CC207" s="59"/>
      <c r="CG207" s="59"/>
      <c r="CR207" s="60"/>
    </row>
    <row r="208" spans="1:96" x14ac:dyDescent="0.3">
      <c r="A208" s="23"/>
      <c r="B208" s="23"/>
      <c r="H208" s="14"/>
      <c r="I208" s="23"/>
      <c r="O208" s="14"/>
      <c r="AB208" s="14"/>
      <c r="AC208" s="23"/>
      <c r="AP208" s="23"/>
      <c r="AV208" s="14"/>
      <c r="AW208" s="23"/>
      <c r="BC208" s="14"/>
      <c r="BD208" s="23"/>
      <c r="BE208" s="21" t="s">
        <v>242</v>
      </c>
      <c r="BF208" s="11"/>
      <c r="BT208" s="23"/>
      <c r="BZ208" s="14"/>
      <c r="CA208" s="14"/>
      <c r="CC208" s="59"/>
      <c r="CG208" s="59"/>
      <c r="CR208" s="60"/>
    </row>
    <row r="209" spans="1:96" x14ac:dyDescent="0.3">
      <c r="A209" s="23"/>
      <c r="B209" s="23"/>
      <c r="H209" s="14"/>
      <c r="I209" s="23"/>
      <c r="O209" s="14"/>
      <c r="AB209" s="14"/>
      <c r="AC209" s="23"/>
      <c r="AP209" s="23"/>
      <c r="AV209" s="14"/>
      <c r="AW209" s="23"/>
      <c r="BC209" s="14"/>
      <c r="BD209" s="23"/>
      <c r="BE209" s="11"/>
      <c r="BF209" s="8" t="s">
        <v>243</v>
      </c>
      <c r="BT209" s="23"/>
      <c r="BZ209" s="14"/>
      <c r="CA209" s="14"/>
      <c r="CC209" s="59"/>
      <c r="CG209" s="59"/>
      <c r="CR209" s="60"/>
    </row>
    <row r="210" spans="1:96" x14ac:dyDescent="0.3">
      <c r="A210" s="23"/>
      <c r="B210" s="23"/>
      <c r="H210" s="14"/>
      <c r="I210" s="23"/>
      <c r="O210" s="14"/>
      <c r="AB210" s="14"/>
      <c r="AC210" s="23"/>
      <c r="AP210" s="23"/>
      <c r="AV210" s="14"/>
      <c r="AW210" s="23"/>
      <c r="BC210" s="14"/>
      <c r="BD210" s="23"/>
      <c r="BE210" s="11"/>
      <c r="BT210" s="23"/>
      <c r="BZ210" s="14"/>
      <c r="CA210" s="14"/>
      <c r="CC210" s="59"/>
      <c r="CG210" s="59"/>
      <c r="CR210" s="60"/>
    </row>
    <row r="211" spans="1:96" x14ac:dyDescent="0.3">
      <c r="A211" s="23"/>
      <c r="B211" s="23"/>
      <c r="H211" s="14"/>
      <c r="I211" s="23"/>
      <c r="O211" s="14"/>
      <c r="AB211" s="14"/>
      <c r="AC211" s="23"/>
      <c r="AP211" s="23"/>
      <c r="AV211" s="14"/>
      <c r="AW211" s="23"/>
      <c r="BC211" s="14"/>
      <c r="BD211" s="23"/>
      <c r="BT211" s="23"/>
      <c r="BZ211" s="14"/>
      <c r="CA211" s="14"/>
      <c r="CC211" s="59"/>
      <c r="CG211" s="59"/>
      <c r="CR211" s="60"/>
    </row>
    <row r="212" spans="1:96" x14ac:dyDescent="0.3">
      <c r="A212" s="23"/>
      <c r="B212" s="23"/>
      <c r="H212" s="14"/>
      <c r="I212" s="23"/>
      <c r="O212" s="14"/>
      <c r="AB212" s="14"/>
      <c r="AC212" s="23"/>
      <c r="AP212" s="23"/>
      <c r="AV212" s="14"/>
      <c r="AW212" s="23"/>
      <c r="BC212" s="14"/>
      <c r="BD212" s="23"/>
      <c r="BT212" s="23"/>
      <c r="BZ212" s="14"/>
      <c r="CA212" s="14"/>
      <c r="CC212" s="59"/>
      <c r="CG212" s="59"/>
      <c r="CR212" s="60"/>
    </row>
    <row r="213" spans="1:96" x14ac:dyDescent="0.3">
      <c r="A213" s="23"/>
      <c r="B213" s="23"/>
      <c r="H213" s="14"/>
      <c r="I213" s="23"/>
      <c r="O213" s="14"/>
      <c r="AB213" s="14"/>
      <c r="AC213" s="23"/>
      <c r="AP213" s="23"/>
      <c r="AV213" s="14"/>
      <c r="AW213" s="23"/>
      <c r="BC213" s="14"/>
      <c r="BD213" s="23"/>
      <c r="BE213" s="21"/>
      <c r="BF213" s="11"/>
      <c r="BG213" s="11"/>
      <c r="BH213" s="11"/>
      <c r="BI213" s="11"/>
      <c r="BJ213" s="11"/>
      <c r="BK213" s="11"/>
      <c r="BL213" s="11"/>
      <c r="BT213" s="23"/>
      <c r="BZ213" s="14"/>
      <c r="CA213" s="14"/>
      <c r="CC213" s="59"/>
      <c r="CG213" s="59"/>
      <c r="CR213" s="60"/>
    </row>
    <row r="214" spans="1:96" x14ac:dyDescent="0.3">
      <c r="A214" s="23"/>
      <c r="B214" s="23"/>
      <c r="H214" s="14"/>
      <c r="I214" s="23"/>
      <c r="O214" s="14"/>
      <c r="AB214" s="14"/>
      <c r="AC214" s="23"/>
      <c r="AP214" s="23"/>
      <c r="AV214" s="14"/>
      <c r="AW214" s="23"/>
      <c r="BC214" s="14"/>
      <c r="BD214" s="23"/>
      <c r="BE214" s="16" t="s">
        <v>244</v>
      </c>
      <c r="BG214" s="11"/>
      <c r="BH214" s="11"/>
      <c r="BT214" s="23"/>
      <c r="BZ214" s="14"/>
      <c r="CA214" s="14"/>
      <c r="CC214" s="59"/>
      <c r="CG214" s="59"/>
      <c r="CR214" s="60"/>
    </row>
    <row r="215" spans="1:96" x14ac:dyDescent="0.3">
      <c r="A215" s="23"/>
      <c r="B215" s="23"/>
      <c r="H215" s="14"/>
      <c r="I215" s="23"/>
      <c r="O215" s="14"/>
      <c r="AB215" s="14"/>
      <c r="AC215" s="23"/>
      <c r="AP215" s="23"/>
      <c r="AV215" s="14"/>
      <c r="AW215" s="23"/>
      <c r="BC215" s="14"/>
      <c r="BD215" s="23"/>
      <c r="BF215" s="8" t="s">
        <v>245</v>
      </c>
      <c r="BG215" s="11"/>
      <c r="BH215" s="11"/>
      <c r="BT215" s="23"/>
      <c r="BZ215" s="14"/>
      <c r="CA215" s="14"/>
      <c r="CC215" s="59"/>
      <c r="CG215" s="59"/>
      <c r="CR215" s="60"/>
    </row>
    <row r="216" spans="1:96" x14ac:dyDescent="0.3">
      <c r="A216" s="23"/>
      <c r="B216" s="23"/>
      <c r="H216" s="14"/>
      <c r="I216" s="23"/>
      <c r="O216" s="14"/>
      <c r="AB216" s="14"/>
      <c r="AC216" s="23"/>
      <c r="AP216" s="23"/>
      <c r="AV216" s="14"/>
      <c r="AW216" s="23"/>
      <c r="BC216" s="14"/>
      <c r="BD216" s="23"/>
      <c r="BG216" s="11"/>
      <c r="BH216" s="11"/>
      <c r="BT216" s="23"/>
      <c r="BZ216" s="14"/>
      <c r="CA216" s="14"/>
      <c r="CC216" s="59"/>
      <c r="CG216" s="59"/>
      <c r="CR216" s="60"/>
    </row>
    <row r="217" spans="1:96" x14ac:dyDescent="0.3">
      <c r="A217" s="23"/>
      <c r="B217" s="23"/>
      <c r="H217" s="14"/>
      <c r="I217" s="23"/>
      <c r="O217" s="14"/>
      <c r="AB217" s="14"/>
      <c r="AC217" s="23"/>
      <c r="AP217" s="23"/>
      <c r="AV217" s="14"/>
      <c r="AW217" s="23"/>
      <c r="BC217" s="14"/>
      <c r="BD217" s="23"/>
      <c r="BT217" s="23"/>
      <c r="BZ217" s="14"/>
      <c r="CA217" s="14"/>
      <c r="CC217" s="59"/>
      <c r="CG217" s="59"/>
      <c r="CR217" s="60"/>
    </row>
    <row r="218" spans="1:96" x14ac:dyDescent="0.3">
      <c r="A218" s="23"/>
      <c r="B218" s="23"/>
      <c r="H218" s="14"/>
      <c r="I218" s="23"/>
      <c r="O218" s="14"/>
      <c r="AB218" s="14"/>
      <c r="AC218" s="23"/>
      <c r="AP218" s="23"/>
      <c r="AV218" s="14"/>
      <c r="AW218" s="23"/>
      <c r="BC218" s="14"/>
      <c r="BD218" s="23"/>
      <c r="BT218" s="23"/>
      <c r="BZ218" s="14"/>
      <c r="CA218" s="14"/>
      <c r="CC218" s="59"/>
      <c r="CG218" s="59"/>
      <c r="CR218" s="60"/>
    </row>
    <row r="219" spans="1:96" x14ac:dyDescent="0.3">
      <c r="A219" s="23"/>
      <c r="B219" s="23"/>
      <c r="H219" s="14"/>
      <c r="I219" s="23"/>
      <c r="O219" s="14"/>
      <c r="AB219" s="14"/>
      <c r="AC219" s="23"/>
      <c r="AP219" s="23"/>
      <c r="AV219" s="14"/>
      <c r="AW219" s="23"/>
      <c r="BC219" s="14"/>
      <c r="BD219" s="23"/>
      <c r="BE219" s="16"/>
      <c r="BT219" s="23"/>
      <c r="BZ219" s="14"/>
      <c r="CA219" s="14"/>
      <c r="CC219" s="59"/>
      <c r="CG219" s="59"/>
      <c r="CR219" s="60"/>
    </row>
    <row r="220" spans="1:96" x14ac:dyDescent="0.3">
      <c r="A220" s="23"/>
      <c r="B220" s="23"/>
      <c r="H220" s="14"/>
      <c r="I220" s="23"/>
      <c r="O220" s="14"/>
      <c r="AB220" s="14"/>
      <c r="AC220" s="23"/>
      <c r="AP220" s="23"/>
      <c r="AV220" s="14"/>
      <c r="AW220" s="23"/>
      <c r="BC220" s="14"/>
      <c r="BD220" s="23"/>
      <c r="BT220" s="23"/>
      <c r="BZ220" s="14"/>
      <c r="CA220" s="14"/>
      <c r="CC220" s="59"/>
      <c r="CG220" s="59"/>
      <c r="CR220" s="60"/>
    </row>
    <row r="221" spans="1:96" x14ac:dyDescent="0.3">
      <c r="A221" s="23"/>
      <c r="B221" s="23"/>
      <c r="H221" s="14"/>
      <c r="I221" s="23"/>
      <c r="O221" s="14"/>
      <c r="AB221" s="14"/>
      <c r="AC221" s="23"/>
      <c r="AP221" s="23"/>
      <c r="AV221" s="14"/>
      <c r="AW221" s="23"/>
      <c r="BC221" s="14"/>
      <c r="BD221" s="23"/>
      <c r="BT221" s="23"/>
      <c r="BZ221" s="14"/>
      <c r="CA221" s="14"/>
      <c r="CC221" s="59"/>
      <c r="CG221" s="59"/>
      <c r="CR221" s="60"/>
    </row>
    <row r="222" spans="1:96" x14ac:dyDescent="0.3">
      <c r="A222" s="23"/>
      <c r="B222" s="23"/>
      <c r="H222" s="14"/>
      <c r="I222" s="23"/>
      <c r="O222" s="14"/>
      <c r="AB222" s="14"/>
      <c r="AC222" s="23"/>
      <c r="AP222" s="23"/>
      <c r="AV222" s="14"/>
      <c r="AW222" s="23"/>
      <c r="BC222" s="14"/>
      <c r="BD222" s="23"/>
      <c r="BT222" s="23"/>
      <c r="BZ222" s="14"/>
      <c r="CA222" s="14"/>
      <c r="CC222" s="59"/>
      <c r="CG222" s="59"/>
      <c r="CR222" s="60"/>
    </row>
    <row r="223" spans="1:96" x14ac:dyDescent="0.3">
      <c r="A223" s="23"/>
      <c r="B223" s="23"/>
      <c r="H223" s="14"/>
      <c r="I223" s="23"/>
      <c r="O223" s="14"/>
      <c r="AB223" s="14"/>
      <c r="AC223" s="23"/>
      <c r="AP223" s="23"/>
      <c r="AV223" s="14"/>
      <c r="AW223" s="23"/>
      <c r="BC223" s="14"/>
      <c r="BD223" s="23"/>
      <c r="BT223" s="23"/>
      <c r="BZ223" s="14"/>
      <c r="CA223" s="14"/>
      <c r="CC223" s="59"/>
      <c r="CG223" s="59"/>
      <c r="CR223" s="60"/>
    </row>
    <row r="224" spans="1:96" x14ac:dyDescent="0.3">
      <c r="A224" s="23"/>
      <c r="B224" s="50"/>
      <c r="C224" s="10"/>
      <c r="D224" s="10"/>
      <c r="E224" s="10"/>
      <c r="F224" s="10"/>
      <c r="G224" s="10"/>
      <c r="H224" s="15"/>
      <c r="I224" s="50"/>
      <c r="J224" s="10"/>
      <c r="K224" s="10"/>
      <c r="L224" s="10"/>
      <c r="M224" s="10"/>
      <c r="N224" s="10"/>
      <c r="O224" s="15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5"/>
      <c r="AC224" s="5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50"/>
      <c r="AQ224" s="10"/>
      <c r="AR224" s="10"/>
      <c r="AS224" s="10"/>
      <c r="AT224" s="10"/>
      <c r="AU224" s="10"/>
      <c r="AV224" s="15"/>
      <c r="AW224" s="50"/>
      <c r="AX224" s="10"/>
      <c r="AY224" s="10"/>
      <c r="AZ224" s="10"/>
      <c r="BA224" s="10"/>
      <c r="BB224" s="10"/>
      <c r="BC224" s="15"/>
      <c r="BD224" s="5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50"/>
      <c r="BU224" s="10"/>
      <c r="BV224" s="10"/>
      <c r="BW224" s="10"/>
      <c r="BX224" s="10"/>
      <c r="BY224" s="10"/>
      <c r="BZ224" s="15"/>
      <c r="CA224" s="14"/>
      <c r="CC224" s="61"/>
      <c r="CD224" s="62"/>
      <c r="CE224" s="62"/>
      <c r="CF224" s="62"/>
      <c r="CG224" s="61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3"/>
    </row>
    <row r="225" spans="1:79" x14ac:dyDescent="0.3">
      <c r="A225" s="23"/>
      <c r="CA225" s="14"/>
    </row>
    <row r="226" spans="1:79" x14ac:dyDescent="0.3">
      <c r="A226" s="5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5"/>
    </row>
    <row r="227" spans="1:79" x14ac:dyDescent="0.3">
      <c r="CA227" s="48"/>
    </row>
  </sheetData>
  <mergeCells count="25">
    <mergeCell ref="BT8:BZ9"/>
    <mergeCell ref="CC8:CF9"/>
    <mergeCell ref="CG8:CR9"/>
    <mergeCell ref="AP9:AV9"/>
    <mergeCell ref="AW9:BC9"/>
    <mergeCell ref="BD8:BS9"/>
    <mergeCell ref="AQ2:AV2"/>
    <mergeCell ref="AJ3:AK3"/>
    <mergeCell ref="AL3:AP3"/>
    <mergeCell ref="AQ3:AV3"/>
    <mergeCell ref="B8:H9"/>
    <mergeCell ref="I8:O9"/>
    <mergeCell ref="P8:AB9"/>
    <mergeCell ref="AP8:BC8"/>
    <mergeCell ref="A2:E3"/>
    <mergeCell ref="F2:U3"/>
    <mergeCell ref="V2:AI3"/>
    <mergeCell ref="AJ2:AK2"/>
    <mergeCell ref="AL2:AP2"/>
    <mergeCell ref="AC8:AO9"/>
    <mergeCell ref="A1:E1"/>
    <mergeCell ref="F1:U1"/>
    <mergeCell ref="V1:AI1"/>
    <mergeCell ref="AJ1:AP1"/>
    <mergeCell ref="AQ1:AV1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Y125"/>
  <sheetViews>
    <sheetView showGridLines="0" zoomScale="85" zoomScaleNormal="85" workbookViewId="0">
      <pane ySplit="9" topLeftCell="A10" activePane="bottomLeft" state="frozen"/>
      <selection activeCell="AC49" sqref="AC49"/>
      <selection pane="bottomLeft" activeCell="B10" sqref="B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69" width="2.453125" style="8"/>
    <col min="70" max="70" width="2.453125" style="8" customWidth="1"/>
    <col min="71" max="16384" width="2.453125" style="8"/>
  </cols>
  <sheetData>
    <row r="1" spans="1:101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101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 xml:space="preserve">4.SLJ入金 (売掛金) 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101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101" x14ac:dyDescent="0.3">
      <c r="A4" s="23"/>
    </row>
    <row r="5" spans="1:101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</row>
    <row r="6" spans="1:101" s="11" customFormat="1" x14ac:dyDescent="0.3">
      <c r="A6" s="35" t="str">
        <f ca="1">RIGHT(CELL("filename",A1),LEN(CELL("filename",A1))-FIND("]",CELL("filename",A1)))</f>
        <v xml:space="preserve">4.SLJ入金 (売掛金) 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36"/>
    </row>
    <row r="7" spans="1:101" s="11" customFormat="1" x14ac:dyDescent="0.3">
      <c r="A7" s="24"/>
      <c r="B7" s="12"/>
      <c r="C7" s="12"/>
      <c r="D7" s="12"/>
      <c r="E7" s="12"/>
      <c r="F7" s="12"/>
      <c r="G7" s="12"/>
      <c r="H7" s="12"/>
      <c r="CF7" s="13"/>
    </row>
    <row r="8" spans="1:101" s="11" customFormat="1" x14ac:dyDescent="0.3">
      <c r="A8" s="24"/>
      <c r="B8" s="251" t="s">
        <v>116</v>
      </c>
      <c r="C8" s="252"/>
      <c r="D8" s="252"/>
      <c r="E8" s="252"/>
      <c r="F8" s="252"/>
      <c r="G8" s="252"/>
      <c r="H8" s="253"/>
      <c r="I8" s="251" t="s">
        <v>177</v>
      </c>
      <c r="J8" s="252"/>
      <c r="K8" s="252"/>
      <c r="L8" s="252"/>
      <c r="M8" s="252"/>
      <c r="N8" s="252"/>
      <c r="O8" s="253"/>
      <c r="P8" s="241" t="s">
        <v>158</v>
      </c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31"/>
      <c r="AP8" s="231" t="s">
        <v>159</v>
      </c>
      <c r="AQ8" s="232"/>
      <c r="AR8" s="232"/>
      <c r="AS8" s="232"/>
      <c r="AT8" s="232"/>
      <c r="AU8" s="232"/>
      <c r="AV8" s="233"/>
      <c r="AW8" s="223" t="s">
        <v>92</v>
      </c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4"/>
      <c r="BK8" s="221" t="s">
        <v>110</v>
      </c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1"/>
      <c r="BW8" s="221"/>
      <c r="BX8" s="221"/>
      <c r="BY8" s="221"/>
      <c r="BZ8" s="221"/>
      <c r="CA8" s="220" t="s">
        <v>112</v>
      </c>
      <c r="CB8" s="221"/>
      <c r="CC8" s="221"/>
      <c r="CD8" s="221"/>
      <c r="CE8" s="221"/>
      <c r="CF8" s="13"/>
      <c r="CH8" s="245" t="s">
        <v>118</v>
      </c>
      <c r="CI8" s="246"/>
      <c r="CJ8" s="246"/>
      <c r="CK8" s="246"/>
      <c r="CL8" s="263" t="s">
        <v>119</v>
      </c>
      <c r="CM8" s="264"/>
      <c r="CN8" s="264"/>
      <c r="CO8" s="264"/>
      <c r="CP8" s="264"/>
      <c r="CQ8" s="264"/>
      <c r="CR8" s="264"/>
      <c r="CS8" s="264"/>
      <c r="CT8" s="264"/>
      <c r="CU8" s="264"/>
      <c r="CV8" s="264"/>
      <c r="CW8" s="265"/>
    </row>
    <row r="9" spans="1:101" s="11" customFormat="1" x14ac:dyDescent="0.3">
      <c r="A9" s="24"/>
      <c r="B9" s="254"/>
      <c r="C9" s="255"/>
      <c r="D9" s="255"/>
      <c r="E9" s="255"/>
      <c r="F9" s="255"/>
      <c r="G9" s="255"/>
      <c r="H9" s="256"/>
      <c r="I9" s="254"/>
      <c r="J9" s="255"/>
      <c r="K9" s="255"/>
      <c r="L9" s="255"/>
      <c r="M9" s="255"/>
      <c r="N9" s="255"/>
      <c r="O9" s="256"/>
      <c r="P9" s="241" t="s">
        <v>98</v>
      </c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 t="s">
        <v>99</v>
      </c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31"/>
      <c r="AP9" s="231" t="s">
        <v>98</v>
      </c>
      <c r="AQ9" s="232"/>
      <c r="AR9" s="232"/>
      <c r="AS9" s="232"/>
      <c r="AT9" s="232"/>
      <c r="AU9" s="232"/>
      <c r="AV9" s="233"/>
      <c r="AW9" s="223" t="s">
        <v>107</v>
      </c>
      <c r="AX9" s="223"/>
      <c r="AY9" s="223"/>
      <c r="AZ9" s="223"/>
      <c r="BA9" s="223"/>
      <c r="BB9" s="223"/>
      <c r="BC9" s="224"/>
      <c r="BD9" s="222" t="s">
        <v>109</v>
      </c>
      <c r="BE9" s="223"/>
      <c r="BF9" s="223"/>
      <c r="BG9" s="223"/>
      <c r="BH9" s="223"/>
      <c r="BI9" s="223"/>
      <c r="BJ9" s="224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13"/>
      <c r="CH9" s="247"/>
      <c r="CI9" s="247"/>
      <c r="CJ9" s="247"/>
      <c r="CK9" s="247"/>
      <c r="CL9" s="266"/>
      <c r="CM9" s="267"/>
      <c r="CN9" s="267"/>
      <c r="CO9" s="267"/>
      <c r="CP9" s="267"/>
      <c r="CQ9" s="267"/>
      <c r="CR9" s="267"/>
      <c r="CS9" s="267"/>
      <c r="CT9" s="267"/>
      <c r="CU9" s="267"/>
      <c r="CV9" s="267"/>
      <c r="CW9" s="268"/>
    </row>
    <row r="10" spans="1:101" s="11" customFormat="1" x14ac:dyDescent="0.3">
      <c r="A10" s="24"/>
      <c r="B10" s="25" t="s">
        <v>246</v>
      </c>
      <c r="C10" s="22"/>
      <c r="D10" s="22"/>
      <c r="E10" s="22"/>
      <c r="F10" s="22"/>
      <c r="G10" s="22"/>
      <c r="H10" s="22"/>
      <c r="I10" s="2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76"/>
      <c r="AQ10" s="22"/>
      <c r="AR10" s="22"/>
      <c r="AS10" s="22"/>
      <c r="AT10" s="22"/>
      <c r="AU10" s="22"/>
      <c r="AV10" s="74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13"/>
      <c r="CH10" s="54"/>
      <c r="CI10" s="55"/>
      <c r="CJ10" s="55"/>
      <c r="CK10" s="55"/>
      <c r="CL10" s="54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6"/>
    </row>
    <row r="11" spans="1:101" s="11" customFormat="1" x14ac:dyDescent="0.3">
      <c r="A11" s="24"/>
      <c r="B11" s="41"/>
      <c r="C11" s="42"/>
      <c r="D11" s="42"/>
      <c r="E11" s="42"/>
      <c r="F11" s="42"/>
      <c r="G11" s="42"/>
      <c r="H11" s="43"/>
      <c r="I11" s="41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3"/>
      <c r="AC11" s="44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4"/>
      <c r="AQ11" s="42"/>
      <c r="AR11" s="42"/>
      <c r="AS11" s="42"/>
      <c r="AT11" s="42"/>
      <c r="AU11" s="42"/>
      <c r="AV11" s="43"/>
      <c r="AW11" s="42"/>
      <c r="AX11" s="42"/>
      <c r="AY11" s="42"/>
      <c r="AZ11" s="42"/>
      <c r="BA11" s="42"/>
      <c r="BB11" s="42"/>
      <c r="BC11" s="42"/>
      <c r="BD11" s="44"/>
      <c r="BE11" s="42"/>
      <c r="BF11" s="42"/>
      <c r="BG11" s="42"/>
      <c r="BH11" s="42"/>
      <c r="BI11" s="42"/>
      <c r="BJ11" s="43"/>
      <c r="BK11" s="44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4"/>
      <c r="CB11" s="42"/>
      <c r="CC11" s="42"/>
      <c r="CD11" s="42"/>
      <c r="CE11" s="43"/>
      <c r="CF11" s="13"/>
      <c r="CH11" s="57"/>
      <c r="CL11" s="57"/>
      <c r="CW11" s="58"/>
    </row>
    <row r="12" spans="1:101" s="11" customFormat="1" x14ac:dyDescent="0.3">
      <c r="A12" s="24"/>
      <c r="B12" s="26"/>
      <c r="C12" s="20"/>
      <c r="D12" s="20"/>
      <c r="E12" s="20"/>
      <c r="F12" s="20"/>
      <c r="G12" s="20"/>
      <c r="H12" s="19"/>
      <c r="I12" s="26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19"/>
      <c r="AC12" s="27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7"/>
      <c r="AQ12" s="20"/>
      <c r="AR12" s="20"/>
      <c r="AS12" s="20"/>
      <c r="AT12" s="20"/>
      <c r="AU12" s="20"/>
      <c r="AV12" s="19"/>
      <c r="AW12" s="20"/>
      <c r="AX12" s="20"/>
      <c r="AY12" s="20"/>
      <c r="AZ12" s="20"/>
      <c r="BA12" s="20"/>
      <c r="BB12" s="20"/>
      <c r="BC12" s="20"/>
      <c r="BD12" s="27"/>
      <c r="BE12" s="20"/>
      <c r="BF12" s="20"/>
      <c r="BG12" s="20"/>
      <c r="BH12" s="20"/>
      <c r="BI12" s="20"/>
      <c r="BJ12" s="19"/>
      <c r="BK12" s="27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7"/>
      <c r="CB12" s="20"/>
      <c r="CC12" s="20"/>
      <c r="CD12" s="20"/>
      <c r="CE12" s="19"/>
      <c r="CF12" s="13"/>
      <c r="CH12" s="57"/>
      <c r="CL12" s="57"/>
      <c r="CW12" s="58"/>
    </row>
    <row r="13" spans="1:101" s="11" customFormat="1" x14ac:dyDescent="0.3">
      <c r="A13" s="24"/>
      <c r="B13" s="26"/>
      <c r="C13" s="20"/>
      <c r="D13" s="20"/>
      <c r="E13" s="20"/>
      <c r="F13" s="20"/>
      <c r="G13" s="20"/>
      <c r="H13" s="19"/>
      <c r="I13" s="26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19"/>
      <c r="AC13" s="27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7"/>
      <c r="AQ13" s="20"/>
      <c r="AR13" s="20"/>
      <c r="AS13" s="20"/>
      <c r="AT13" s="20"/>
      <c r="AU13" s="20"/>
      <c r="AV13" s="19"/>
      <c r="AW13" s="20"/>
      <c r="AX13" s="20"/>
      <c r="AY13" s="20"/>
      <c r="AZ13" s="20"/>
      <c r="BA13" s="20"/>
      <c r="BB13" s="20"/>
      <c r="BC13" s="20"/>
      <c r="BD13" s="27"/>
      <c r="BE13" s="20"/>
      <c r="BF13" s="20"/>
      <c r="BG13" s="20"/>
      <c r="BH13" s="20"/>
      <c r="BI13" s="20"/>
      <c r="BJ13" s="19"/>
      <c r="BK13" s="27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7"/>
      <c r="CB13" s="20"/>
      <c r="CC13" s="20"/>
      <c r="CD13" s="20"/>
      <c r="CE13" s="19"/>
      <c r="CF13" s="13"/>
      <c r="CH13" s="57"/>
      <c r="CL13" s="57"/>
      <c r="CW13" s="58"/>
    </row>
    <row r="14" spans="1:101" s="11" customFormat="1" x14ac:dyDescent="0.3">
      <c r="A14" s="24"/>
      <c r="B14" s="26"/>
      <c r="C14" s="20"/>
      <c r="D14" s="20"/>
      <c r="E14" s="20"/>
      <c r="F14" s="20"/>
      <c r="G14" s="20"/>
      <c r="H14" s="19"/>
      <c r="I14" s="26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9"/>
      <c r="AC14" s="27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7"/>
      <c r="AQ14" s="20"/>
      <c r="AR14" s="20"/>
      <c r="AS14" s="20"/>
      <c r="AT14" s="20"/>
      <c r="AU14" s="20"/>
      <c r="AV14" s="19"/>
      <c r="AW14" s="20"/>
      <c r="AX14" s="20"/>
      <c r="AY14" s="20"/>
      <c r="AZ14" s="20"/>
      <c r="BA14" s="20"/>
      <c r="BB14" s="20"/>
      <c r="BC14" s="20"/>
      <c r="BD14" s="27"/>
      <c r="BE14" s="20"/>
      <c r="BF14" s="20"/>
      <c r="BG14" s="20"/>
      <c r="BH14" s="20"/>
      <c r="BI14" s="20"/>
      <c r="BJ14" s="19"/>
      <c r="BK14" s="27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7"/>
      <c r="CB14" s="20"/>
      <c r="CC14" s="20"/>
      <c r="CD14" s="20"/>
      <c r="CE14" s="19"/>
      <c r="CF14" s="13"/>
      <c r="CH14" s="57"/>
      <c r="CL14" s="57"/>
      <c r="CW14" s="58"/>
    </row>
    <row r="15" spans="1:101" x14ac:dyDescent="0.3">
      <c r="A15" s="23"/>
      <c r="B15" s="23"/>
      <c r="H15" s="14"/>
      <c r="I15" s="23"/>
      <c r="O15" s="14"/>
      <c r="P15" s="23"/>
      <c r="AB15" s="14"/>
      <c r="AC15" s="23"/>
      <c r="AP15" s="23"/>
      <c r="AV15" s="14"/>
      <c r="BD15" s="23"/>
      <c r="BJ15" s="14"/>
      <c r="BK15" s="23"/>
      <c r="BO15" s="11"/>
      <c r="CA15" s="23"/>
      <c r="CE15" s="14"/>
      <c r="CF15" s="14"/>
      <c r="CH15" s="57"/>
      <c r="CI15" s="11"/>
      <c r="CJ15" s="11"/>
      <c r="CK15" s="11"/>
      <c r="CL15" s="57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58"/>
    </row>
    <row r="16" spans="1:101" x14ac:dyDescent="0.3">
      <c r="A16" s="23"/>
      <c r="B16" s="23"/>
      <c r="H16" s="14"/>
      <c r="I16" s="23"/>
      <c r="O16" s="14"/>
      <c r="P16" s="23"/>
      <c r="AB16" s="14"/>
      <c r="AC16" s="23"/>
      <c r="AP16" s="23"/>
      <c r="AV16" s="14"/>
      <c r="BD16" s="23"/>
      <c r="BJ16" s="14"/>
      <c r="BK16" s="23"/>
      <c r="BL16" s="21" t="s">
        <v>181</v>
      </c>
      <c r="BM16" s="11"/>
      <c r="BO16" s="11"/>
      <c r="CA16" s="23"/>
      <c r="CE16" s="14"/>
      <c r="CF16" s="14"/>
      <c r="CH16" s="57"/>
      <c r="CI16" s="11"/>
      <c r="CJ16" s="11"/>
      <c r="CK16" s="11"/>
      <c r="CL16" s="57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58"/>
    </row>
    <row r="17" spans="1:101" x14ac:dyDescent="0.3">
      <c r="A17" s="23"/>
      <c r="B17" s="23"/>
      <c r="H17" s="14"/>
      <c r="I17" s="23"/>
      <c r="O17" s="14"/>
      <c r="P17" s="23"/>
      <c r="AB17" s="14"/>
      <c r="AC17" s="23"/>
      <c r="AP17" s="23"/>
      <c r="AV17" s="14"/>
      <c r="BD17" s="23"/>
      <c r="BJ17" s="14"/>
      <c r="BK17" s="23"/>
      <c r="BM17" s="8" t="s">
        <v>184</v>
      </c>
      <c r="CA17" s="23"/>
      <c r="CE17" s="14"/>
      <c r="CF17" s="14"/>
      <c r="CH17" s="57"/>
      <c r="CI17" s="11"/>
      <c r="CJ17" s="11"/>
      <c r="CK17" s="11"/>
      <c r="CL17" s="57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58"/>
    </row>
    <row r="18" spans="1:101" x14ac:dyDescent="0.3">
      <c r="A18" s="23"/>
      <c r="B18" s="23"/>
      <c r="H18" s="14"/>
      <c r="I18" s="23"/>
      <c r="O18" s="14"/>
      <c r="P18" s="23"/>
      <c r="AB18" s="14"/>
      <c r="AC18" s="23"/>
      <c r="AP18" s="23"/>
      <c r="AV18" s="14"/>
      <c r="BD18" s="23"/>
      <c r="BJ18" s="14"/>
      <c r="BK18" s="23"/>
      <c r="CA18" s="23"/>
      <c r="CE18" s="14"/>
      <c r="CF18" s="14"/>
      <c r="CH18" s="57"/>
      <c r="CI18" s="11"/>
      <c r="CJ18" s="11"/>
      <c r="CK18" s="11"/>
      <c r="CL18" s="57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58"/>
    </row>
    <row r="19" spans="1:101" x14ac:dyDescent="0.3">
      <c r="A19" s="23"/>
      <c r="B19" s="23"/>
      <c r="H19" s="14"/>
      <c r="I19" s="23"/>
      <c r="O19" s="14"/>
      <c r="P19" s="23"/>
      <c r="AB19" s="14"/>
      <c r="AC19" s="23"/>
      <c r="AP19" s="23"/>
      <c r="AV19" s="14"/>
      <c r="BD19" s="23"/>
      <c r="BJ19" s="14"/>
      <c r="BK19" s="23"/>
      <c r="CA19" s="23"/>
      <c r="CE19" s="14"/>
      <c r="CF19" s="14"/>
      <c r="CH19" s="57"/>
      <c r="CI19" s="11"/>
      <c r="CJ19" s="11"/>
      <c r="CK19" s="11"/>
      <c r="CL19" s="57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58"/>
    </row>
    <row r="20" spans="1:101" x14ac:dyDescent="0.3">
      <c r="A20" s="23"/>
      <c r="B20" s="23"/>
      <c r="H20" s="14"/>
      <c r="I20" s="23"/>
      <c r="O20" s="14"/>
      <c r="P20" s="23"/>
      <c r="AB20" s="14"/>
      <c r="AC20" s="23"/>
      <c r="AP20" s="23"/>
      <c r="AV20" s="14"/>
      <c r="BD20" s="23"/>
      <c r="BJ20" s="14"/>
      <c r="BK20" s="23"/>
      <c r="CA20" s="23"/>
      <c r="CE20" s="14"/>
      <c r="CF20" s="14"/>
      <c r="CH20" s="57"/>
      <c r="CI20" s="11"/>
      <c r="CJ20" s="11"/>
      <c r="CK20" s="11"/>
      <c r="CL20" s="57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58"/>
    </row>
    <row r="21" spans="1:101" x14ac:dyDescent="0.3">
      <c r="A21" s="23"/>
      <c r="B21" s="23"/>
      <c r="H21" s="14"/>
      <c r="I21" s="23"/>
      <c r="O21" s="14"/>
      <c r="P21" s="23"/>
      <c r="AB21" s="14"/>
      <c r="AC21" s="23"/>
      <c r="AP21" s="23"/>
      <c r="AV21" s="14"/>
      <c r="BD21" s="23"/>
      <c r="BJ21" s="14"/>
      <c r="BK21" s="23"/>
      <c r="BL21" s="16" t="s">
        <v>188</v>
      </c>
      <c r="CA21" s="23"/>
      <c r="CE21" s="14"/>
      <c r="CF21" s="14"/>
      <c r="CH21" s="57"/>
      <c r="CI21" s="11"/>
      <c r="CJ21" s="11"/>
      <c r="CK21" s="11"/>
      <c r="CL21" s="57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58"/>
    </row>
    <row r="22" spans="1:101" x14ac:dyDescent="0.3">
      <c r="A22" s="23"/>
      <c r="B22" s="23"/>
      <c r="H22" s="14"/>
      <c r="I22" s="23"/>
      <c r="O22" s="14"/>
      <c r="P22" s="23"/>
      <c r="AB22" s="14"/>
      <c r="AC22" s="23"/>
      <c r="AP22" s="23"/>
      <c r="AV22" s="14"/>
      <c r="BD22" s="23"/>
      <c r="BJ22" s="14"/>
      <c r="BK22" s="23"/>
      <c r="BM22" s="8" t="s">
        <v>190</v>
      </c>
      <c r="CA22" s="23"/>
      <c r="CE22" s="14"/>
      <c r="CF22" s="14"/>
      <c r="CH22" s="59"/>
      <c r="CL22" s="59"/>
      <c r="CW22" s="60"/>
    </row>
    <row r="23" spans="1:101" x14ac:dyDescent="0.3">
      <c r="A23" s="23"/>
      <c r="B23" s="23"/>
      <c r="H23" s="14"/>
      <c r="I23" s="23"/>
      <c r="O23" s="14"/>
      <c r="P23" s="23"/>
      <c r="AB23" s="14"/>
      <c r="AC23" s="23"/>
      <c r="AP23" s="23"/>
      <c r="AV23" s="14"/>
      <c r="BD23" s="23"/>
      <c r="BJ23" s="14"/>
      <c r="BK23" s="23"/>
      <c r="CA23" s="23"/>
      <c r="CE23" s="14"/>
      <c r="CF23" s="14"/>
      <c r="CH23" s="59"/>
      <c r="CL23" s="57"/>
      <c r="CW23" s="60"/>
    </row>
    <row r="24" spans="1:101" x14ac:dyDescent="0.3">
      <c r="A24" s="23"/>
      <c r="B24" s="23"/>
      <c r="H24" s="14"/>
      <c r="I24" s="23"/>
      <c r="O24" s="14"/>
      <c r="P24" s="23"/>
      <c r="AB24" s="14"/>
      <c r="AC24" s="23"/>
      <c r="AP24" s="23"/>
      <c r="AV24" s="14"/>
      <c r="BD24" s="23"/>
      <c r="BJ24" s="14"/>
      <c r="BK24" s="23"/>
      <c r="CA24" s="23"/>
      <c r="CE24" s="14"/>
      <c r="CF24" s="14"/>
      <c r="CH24" s="59"/>
      <c r="CL24" s="59"/>
      <c r="CW24" s="60"/>
    </row>
    <row r="25" spans="1:101" x14ac:dyDescent="0.3">
      <c r="A25" s="23"/>
      <c r="B25" s="23"/>
      <c r="H25" s="14"/>
      <c r="I25" s="23"/>
      <c r="O25" s="14"/>
      <c r="P25" s="23"/>
      <c r="AB25" s="14"/>
      <c r="AC25" s="23"/>
      <c r="AP25" s="23"/>
      <c r="AV25" s="14"/>
      <c r="BD25" s="23"/>
      <c r="BJ25" s="14"/>
      <c r="BK25" s="23"/>
      <c r="CA25" s="23"/>
      <c r="CE25" s="14"/>
      <c r="CF25" s="14"/>
      <c r="CH25" s="59"/>
      <c r="CL25" s="59"/>
      <c r="CW25" s="60"/>
    </row>
    <row r="26" spans="1:101" x14ac:dyDescent="0.3">
      <c r="A26" s="23"/>
      <c r="B26" s="23"/>
      <c r="H26" s="14"/>
      <c r="I26" s="23"/>
      <c r="O26" s="14"/>
      <c r="P26" s="23"/>
      <c r="AB26" s="14"/>
      <c r="AC26" s="23"/>
      <c r="AP26" s="23"/>
      <c r="AV26" s="14"/>
      <c r="BD26" s="23"/>
      <c r="BJ26" s="14"/>
      <c r="BK26" s="23"/>
      <c r="CA26" s="23"/>
      <c r="CE26" s="14"/>
      <c r="CF26" s="14"/>
      <c r="CH26" s="59"/>
      <c r="CL26" s="59"/>
      <c r="CW26" s="60"/>
    </row>
    <row r="27" spans="1:101" x14ac:dyDescent="0.3">
      <c r="A27" s="23"/>
      <c r="B27" s="23"/>
      <c r="H27" s="14"/>
      <c r="I27" s="23"/>
      <c r="O27" s="14"/>
      <c r="P27" s="23"/>
      <c r="AB27" s="14"/>
      <c r="AC27" s="23"/>
      <c r="AP27" s="23"/>
      <c r="AV27" s="14"/>
      <c r="BD27" s="23"/>
      <c r="BJ27" s="14"/>
      <c r="BK27" s="23"/>
      <c r="CA27" s="23"/>
      <c r="CE27" s="14"/>
      <c r="CF27" s="14"/>
      <c r="CH27" s="59"/>
      <c r="CL27" s="59"/>
      <c r="CW27" s="60"/>
    </row>
    <row r="28" spans="1:101" x14ac:dyDescent="0.3">
      <c r="A28" s="23"/>
      <c r="B28" s="23"/>
      <c r="H28" s="14"/>
      <c r="I28" s="23"/>
      <c r="O28" s="14"/>
      <c r="P28" s="23"/>
      <c r="AB28" s="14"/>
      <c r="AC28" s="23"/>
      <c r="AP28" s="23"/>
      <c r="AV28" s="14"/>
      <c r="BD28" s="23"/>
      <c r="BJ28" s="14"/>
      <c r="BK28" s="23"/>
      <c r="BL28" s="16" t="s">
        <v>192</v>
      </c>
      <c r="CA28" s="23"/>
      <c r="CE28" s="14"/>
      <c r="CF28" s="14"/>
      <c r="CH28" s="59"/>
      <c r="CL28" s="59"/>
      <c r="CW28" s="60"/>
    </row>
    <row r="29" spans="1:101" x14ac:dyDescent="0.3">
      <c r="A29" s="23"/>
      <c r="B29" s="23"/>
      <c r="H29" s="14"/>
      <c r="I29" s="23"/>
      <c r="O29" s="14"/>
      <c r="P29" s="23"/>
      <c r="AB29" s="14"/>
      <c r="AC29" s="23"/>
      <c r="AP29" s="23"/>
      <c r="AV29" s="14"/>
      <c r="BD29" s="23"/>
      <c r="BJ29" s="14"/>
      <c r="BK29" s="23"/>
      <c r="BM29" s="8" t="s">
        <v>247</v>
      </c>
      <c r="CA29" s="23"/>
      <c r="CE29" s="14"/>
      <c r="CF29" s="14"/>
      <c r="CH29" s="59"/>
      <c r="CL29" s="59"/>
      <c r="CW29" s="60"/>
    </row>
    <row r="30" spans="1:101" x14ac:dyDescent="0.3">
      <c r="A30" s="23"/>
      <c r="B30" s="23"/>
      <c r="H30" s="14"/>
      <c r="I30" s="23"/>
      <c r="O30" s="14"/>
      <c r="P30" s="23"/>
      <c r="AB30" s="14"/>
      <c r="AC30" s="23"/>
      <c r="AP30" s="23"/>
      <c r="AV30" s="14"/>
      <c r="BD30" s="23"/>
      <c r="BJ30" s="14"/>
      <c r="BK30" s="23"/>
      <c r="BM30" s="8" t="s">
        <v>248</v>
      </c>
      <c r="CA30" s="23"/>
      <c r="CE30" s="14"/>
      <c r="CF30" s="14"/>
      <c r="CH30" s="59"/>
      <c r="CL30" s="59"/>
      <c r="CW30" s="60"/>
    </row>
    <row r="31" spans="1:101" x14ac:dyDescent="0.3">
      <c r="A31" s="23"/>
      <c r="B31" s="23"/>
      <c r="H31" s="14"/>
      <c r="I31" s="23"/>
      <c r="O31" s="14"/>
      <c r="P31" s="23"/>
      <c r="AB31" s="14"/>
      <c r="AC31" s="23"/>
      <c r="AP31" s="23"/>
      <c r="AV31" s="14"/>
      <c r="BD31" s="23"/>
      <c r="BJ31" s="14"/>
      <c r="BK31" s="23"/>
      <c r="CA31" s="23"/>
      <c r="CE31" s="14"/>
      <c r="CF31" s="14"/>
      <c r="CH31" s="59"/>
      <c r="CL31" s="59"/>
      <c r="CW31" s="60"/>
    </row>
    <row r="32" spans="1:101" x14ac:dyDescent="0.3">
      <c r="A32" s="23"/>
      <c r="B32" s="23"/>
      <c r="H32" s="14"/>
      <c r="I32" s="23"/>
      <c r="O32" s="14"/>
      <c r="P32" s="23"/>
      <c r="AB32" s="14"/>
      <c r="AC32" s="23"/>
      <c r="AP32" s="23"/>
      <c r="AV32" s="14"/>
      <c r="BD32" s="23"/>
      <c r="BJ32" s="14"/>
      <c r="BK32" s="23"/>
      <c r="CA32" s="23"/>
      <c r="CE32" s="14"/>
      <c r="CF32" s="14"/>
      <c r="CH32" s="59"/>
      <c r="CL32" s="59"/>
      <c r="CW32" s="60"/>
    </row>
    <row r="33" spans="1:101" x14ac:dyDescent="0.3">
      <c r="A33" s="23"/>
      <c r="B33" s="23"/>
      <c r="H33" s="14"/>
      <c r="I33" s="23"/>
      <c r="O33" s="14"/>
      <c r="P33" s="23"/>
      <c r="AB33" s="14"/>
      <c r="AC33" s="23"/>
      <c r="AP33" s="23"/>
      <c r="AV33" s="14"/>
      <c r="BD33" s="23"/>
      <c r="BJ33" s="14"/>
      <c r="BK33" s="23"/>
      <c r="CA33" s="23"/>
      <c r="CE33" s="14"/>
      <c r="CF33" s="14"/>
      <c r="CH33" s="59"/>
      <c r="CL33" s="59"/>
      <c r="CW33" s="60"/>
    </row>
    <row r="34" spans="1:101" x14ac:dyDescent="0.3">
      <c r="A34" s="23"/>
      <c r="B34" s="23"/>
      <c r="H34" s="14"/>
      <c r="I34" s="23"/>
      <c r="O34" s="14"/>
      <c r="P34" s="23"/>
      <c r="AB34" s="14"/>
      <c r="AC34" s="23"/>
      <c r="AP34" s="23"/>
      <c r="AV34" s="14"/>
      <c r="BD34" s="23"/>
      <c r="BJ34" s="14"/>
      <c r="BK34" s="23"/>
      <c r="CA34" s="23"/>
      <c r="CE34" s="14"/>
      <c r="CF34" s="14"/>
      <c r="CH34" s="59"/>
      <c r="CL34" s="59"/>
      <c r="CW34" s="60"/>
    </row>
    <row r="35" spans="1:101" x14ac:dyDescent="0.3">
      <c r="A35" s="23"/>
      <c r="B35" s="23"/>
      <c r="H35" s="14"/>
      <c r="I35" s="23"/>
      <c r="O35" s="14"/>
      <c r="P35" s="23"/>
      <c r="AB35" s="14"/>
      <c r="AC35" s="23"/>
      <c r="AP35" s="23"/>
      <c r="AV35" s="14"/>
      <c r="BD35" s="23"/>
      <c r="BJ35" s="14"/>
      <c r="BK35" s="23"/>
      <c r="BL35" s="16" t="s">
        <v>249</v>
      </c>
      <c r="BM35"/>
      <c r="CA35" s="23"/>
      <c r="CE35" s="14"/>
      <c r="CF35" s="14"/>
      <c r="CH35" s="59"/>
      <c r="CL35" s="59"/>
      <c r="CW35" s="60"/>
    </row>
    <row r="36" spans="1:101" x14ac:dyDescent="0.3">
      <c r="A36" s="23"/>
      <c r="B36" s="23"/>
      <c r="H36" s="14"/>
      <c r="I36" s="23"/>
      <c r="O36" s="14"/>
      <c r="P36" s="23"/>
      <c r="AB36" s="14"/>
      <c r="AC36" s="23"/>
      <c r="AP36" s="23"/>
      <c r="AV36" s="14"/>
      <c r="BD36" s="23"/>
      <c r="BJ36" s="14"/>
      <c r="BK36" s="23"/>
      <c r="BL36"/>
      <c r="BM36" s="8" t="s">
        <v>250</v>
      </c>
      <c r="CA36" s="23"/>
      <c r="CE36" s="14"/>
      <c r="CF36" s="14"/>
      <c r="CH36" s="59"/>
      <c r="CL36" s="59"/>
      <c r="CW36" s="60"/>
    </row>
    <row r="37" spans="1:101" x14ac:dyDescent="0.3">
      <c r="A37" s="23"/>
      <c r="B37" s="23"/>
      <c r="H37" s="14"/>
      <c r="I37" s="23"/>
      <c r="O37" s="14"/>
      <c r="P37" s="23"/>
      <c r="AB37" s="14"/>
      <c r="AC37" s="23"/>
      <c r="AP37" s="23"/>
      <c r="AV37" s="14"/>
      <c r="BD37" s="23"/>
      <c r="BJ37" s="14"/>
      <c r="BK37" s="23"/>
      <c r="BL37"/>
      <c r="CA37" s="23"/>
      <c r="CE37" s="14"/>
      <c r="CF37" s="14"/>
      <c r="CH37" s="59"/>
      <c r="CL37" s="59"/>
      <c r="CW37" s="60"/>
    </row>
    <row r="38" spans="1:101" x14ac:dyDescent="0.3">
      <c r="A38" s="23"/>
      <c r="B38" s="23"/>
      <c r="H38" s="14"/>
      <c r="I38" s="23"/>
      <c r="O38" s="14"/>
      <c r="P38" s="23"/>
      <c r="AB38" s="14"/>
      <c r="AC38" s="23"/>
      <c r="AP38" s="23"/>
      <c r="AV38" s="14"/>
      <c r="BD38" s="23"/>
      <c r="BJ38" s="14"/>
      <c r="BK38" s="23"/>
      <c r="CA38" s="23"/>
      <c r="CE38" s="14"/>
      <c r="CF38" s="14"/>
      <c r="CH38" s="59"/>
      <c r="CL38" s="59"/>
      <c r="CW38" s="60"/>
    </row>
    <row r="39" spans="1:101" x14ac:dyDescent="0.3">
      <c r="A39" s="23"/>
      <c r="B39" s="23"/>
      <c r="H39" s="14"/>
      <c r="I39" s="23"/>
      <c r="O39" s="14"/>
      <c r="P39" s="23"/>
      <c r="AB39" s="14"/>
      <c r="AC39" s="23"/>
      <c r="AP39" s="23"/>
      <c r="AV39" s="14"/>
      <c r="BD39" s="23"/>
      <c r="BJ39" s="14"/>
      <c r="BK39" s="23"/>
      <c r="CA39" s="23"/>
      <c r="CE39" s="14"/>
      <c r="CF39" s="14"/>
      <c r="CH39" s="59"/>
      <c r="CL39" s="59"/>
      <c r="CW39" s="60"/>
    </row>
    <row r="40" spans="1:101" x14ac:dyDescent="0.3">
      <c r="A40" s="23"/>
      <c r="B40" s="23"/>
      <c r="H40" s="14"/>
      <c r="I40" s="23"/>
      <c r="O40" s="14"/>
      <c r="P40" s="23"/>
      <c r="AB40" s="14"/>
      <c r="AC40" s="23"/>
      <c r="AP40" s="23"/>
      <c r="AV40" s="14"/>
      <c r="BD40" s="23"/>
      <c r="BJ40" s="14"/>
      <c r="BK40" s="23"/>
      <c r="BL40" s="16" t="s">
        <v>251</v>
      </c>
      <c r="BM40"/>
      <c r="CA40" s="23"/>
      <c r="CE40" s="14"/>
      <c r="CF40" s="14"/>
      <c r="CH40" s="59"/>
      <c r="CL40" s="59"/>
      <c r="CW40" s="60"/>
    </row>
    <row r="41" spans="1:101" x14ac:dyDescent="0.3">
      <c r="A41" s="23"/>
      <c r="B41" s="23"/>
      <c r="H41" s="14"/>
      <c r="I41" s="23"/>
      <c r="O41" s="14"/>
      <c r="P41" s="23"/>
      <c r="AB41" s="14"/>
      <c r="AC41" s="23"/>
      <c r="AP41" s="23"/>
      <c r="AV41" s="14"/>
      <c r="BD41" s="23"/>
      <c r="BJ41" s="14"/>
      <c r="BK41" s="23"/>
      <c r="BL41"/>
      <c r="BM41" s="8" t="s">
        <v>171</v>
      </c>
      <c r="CA41" s="23"/>
      <c r="CE41" s="14"/>
      <c r="CF41" s="14"/>
      <c r="CH41" s="59"/>
      <c r="CL41" s="59"/>
      <c r="CW41" s="60"/>
    </row>
    <row r="42" spans="1:101" x14ac:dyDescent="0.3">
      <c r="A42" s="23"/>
      <c r="B42" s="23"/>
      <c r="H42" s="14"/>
      <c r="I42" s="23"/>
      <c r="O42" s="14"/>
      <c r="P42" s="23"/>
      <c r="AB42" s="14"/>
      <c r="AC42" s="23"/>
      <c r="AP42" s="23"/>
      <c r="AV42" s="14"/>
      <c r="BD42" s="23"/>
      <c r="BJ42" s="14"/>
      <c r="BK42" s="23"/>
      <c r="BL42"/>
      <c r="CA42" s="23"/>
      <c r="CE42" s="14"/>
      <c r="CF42" s="14"/>
      <c r="CH42" s="59"/>
      <c r="CL42" s="59"/>
      <c r="CW42" s="60"/>
    </row>
    <row r="43" spans="1:101" x14ac:dyDescent="0.3">
      <c r="A43" s="23"/>
      <c r="B43" s="23"/>
      <c r="H43" s="14"/>
      <c r="I43" s="23"/>
      <c r="O43" s="14"/>
      <c r="P43" s="23"/>
      <c r="AB43" s="14"/>
      <c r="AC43" s="23"/>
      <c r="AP43" s="23"/>
      <c r="AV43" s="14"/>
      <c r="BD43" s="23"/>
      <c r="BJ43" s="14"/>
      <c r="BK43" s="23"/>
      <c r="CA43" s="23"/>
      <c r="CE43" s="14"/>
      <c r="CF43" s="14"/>
      <c r="CH43" s="59"/>
      <c r="CL43" s="59"/>
      <c r="CW43" s="60"/>
    </row>
    <row r="44" spans="1:101" x14ac:dyDescent="0.3">
      <c r="A44" s="23"/>
      <c r="B44" s="23"/>
      <c r="H44" s="14"/>
      <c r="I44" s="23"/>
      <c r="O44" s="14"/>
      <c r="P44" s="23"/>
      <c r="AB44" s="14"/>
      <c r="AC44" s="23"/>
      <c r="AP44" s="23"/>
      <c r="AV44" s="14"/>
      <c r="BD44" s="23"/>
      <c r="BJ44" s="14"/>
      <c r="BK44" s="23"/>
      <c r="CA44" s="23"/>
      <c r="CE44" s="14"/>
      <c r="CF44" s="14"/>
      <c r="CH44" s="59"/>
      <c r="CL44" s="59"/>
      <c r="CW44" s="60"/>
    </row>
    <row r="45" spans="1:101" x14ac:dyDescent="0.3">
      <c r="A45" s="23"/>
      <c r="B45" s="23"/>
      <c r="H45" s="14"/>
      <c r="I45" s="23"/>
      <c r="O45" s="14"/>
      <c r="P45" s="23"/>
      <c r="AB45" s="14"/>
      <c r="AC45" s="23"/>
      <c r="AP45" s="23"/>
      <c r="AV45" s="14"/>
      <c r="BD45" s="23"/>
      <c r="BJ45" s="14"/>
      <c r="BK45" s="23"/>
      <c r="BL45" s="16" t="s">
        <v>252</v>
      </c>
      <c r="CA45" s="23"/>
      <c r="CE45" s="14"/>
      <c r="CF45" s="14"/>
      <c r="CH45" s="59"/>
      <c r="CL45" s="59"/>
      <c r="CW45" s="60"/>
    </row>
    <row r="46" spans="1:101" x14ac:dyDescent="0.3">
      <c r="A46" s="23"/>
      <c r="B46" s="23"/>
      <c r="H46" s="14"/>
      <c r="I46" s="23"/>
      <c r="O46" s="14"/>
      <c r="P46" s="23"/>
      <c r="AB46" s="14"/>
      <c r="AC46" s="23"/>
      <c r="AP46" s="23"/>
      <c r="AV46" s="14"/>
      <c r="BD46" s="23"/>
      <c r="BJ46" s="14"/>
      <c r="BK46" s="23"/>
      <c r="BM46" s="8" t="s">
        <v>173</v>
      </c>
      <c r="CA46" s="73" t="s">
        <v>253</v>
      </c>
      <c r="CE46" s="14"/>
      <c r="CF46" s="14"/>
      <c r="CH46" s="59"/>
      <c r="CL46" s="59"/>
      <c r="CW46" s="60"/>
    </row>
    <row r="47" spans="1:101" x14ac:dyDescent="0.3">
      <c r="A47" s="23"/>
      <c r="B47" s="23"/>
      <c r="H47" s="14"/>
      <c r="I47" s="23"/>
      <c r="O47" s="14"/>
      <c r="P47" s="23"/>
      <c r="AB47" s="14"/>
      <c r="AC47" s="23"/>
      <c r="AP47" s="23"/>
      <c r="AV47" s="14"/>
      <c r="BD47" s="23"/>
      <c r="BJ47" s="14"/>
      <c r="BK47" s="23"/>
      <c r="BM47" s="8" t="s">
        <v>174</v>
      </c>
      <c r="CA47" s="23" t="s">
        <v>254</v>
      </c>
      <c r="CE47" s="14"/>
      <c r="CF47" s="14"/>
      <c r="CH47" s="59"/>
      <c r="CL47" s="59"/>
      <c r="CW47" s="60"/>
    </row>
    <row r="48" spans="1:101" x14ac:dyDescent="0.3">
      <c r="A48" s="23"/>
      <c r="B48" s="23"/>
      <c r="H48" s="14"/>
      <c r="I48" s="23"/>
      <c r="O48" s="14"/>
      <c r="P48" s="23"/>
      <c r="AB48" s="14"/>
      <c r="AC48" s="23"/>
      <c r="AP48" s="23"/>
      <c r="AV48" s="14"/>
      <c r="BD48" s="23"/>
      <c r="BJ48" s="14"/>
      <c r="BK48" s="23"/>
      <c r="BL48" s="16"/>
      <c r="CA48" s="23" t="s">
        <v>255</v>
      </c>
      <c r="CE48" s="14"/>
      <c r="CF48" s="14"/>
      <c r="CH48" s="59"/>
      <c r="CL48" s="59"/>
      <c r="CW48" s="60"/>
    </row>
    <row r="49" spans="1:101" x14ac:dyDescent="0.3">
      <c r="A49" s="23"/>
      <c r="B49" s="23"/>
      <c r="H49" s="14"/>
      <c r="I49" s="23"/>
      <c r="O49" s="14"/>
      <c r="P49" s="23"/>
      <c r="AB49" s="14"/>
      <c r="AC49" s="23"/>
      <c r="AP49" s="23"/>
      <c r="AV49" s="14"/>
      <c r="BD49" s="23"/>
      <c r="BJ49" s="14"/>
      <c r="BK49" s="23"/>
      <c r="CA49" s="23"/>
      <c r="CE49" s="14"/>
      <c r="CF49" s="14"/>
      <c r="CH49" s="59"/>
      <c r="CL49" s="59"/>
      <c r="CW49" s="60"/>
    </row>
    <row r="50" spans="1:101" x14ac:dyDescent="0.3">
      <c r="A50" s="23"/>
      <c r="B50" s="23"/>
      <c r="H50" s="14"/>
      <c r="I50" s="23"/>
      <c r="O50" s="14"/>
      <c r="P50" s="23"/>
      <c r="AB50" s="14"/>
      <c r="AC50" s="23"/>
      <c r="AP50" s="23"/>
      <c r="AV50" s="14"/>
      <c r="BD50" s="23"/>
      <c r="BJ50" s="14"/>
      <c r="BK50" s="23"/>
      <c r="CA50" s="23"/>
      <c r="CE50" s="14"/>
      <c r="CF50" s="14"/>
      <c r="CH50" s="59"/>
      <c r="CL50" s="59"/>
      <c r="CW50" s="60"/>
    </row>
    <row r="51" spans="1:101" x14ac:dyDescent="0.3">
      <c r="A51" s="23"/>
      <c r="B51" s="23"/>
      <c r="H51" s="14"/>
      <c r="I51" s="23"/>
      <c r="O51" s="14"/>
      <c r="P51" s="23"/>
      <c r="AB51" s="14"/>
      <c r="AC51" s="23"/>
      <c r="AP51" s="23"/>
      <c r="AV51" s="14"/>
      <c r="BD51" s="23"/>
      <c r="BJ51" s="14"/>
      <c r="BK51" s="23"/>
      <c r="CA51" s="23"/>
      <c r="CE51" s="14"/>
      <c r="CF51" s="14"/>
      <c r="CH51" s="59"/>
      <c r="CL51" s="59"/>
      <c r="CW51" s="60"/>
    </row>
    <row r="52" spans="1:101" x14ac:dyDescent="0.3">
      <c r="A52" s="23"/>
      <c r="B52" s="23"/>
      <c r="H52" s="14"/>
      <c r="I52" s="23"/>
      <c r="O52" s="14"/>
      <c r="P52" s="23"/>
      <c r="AB52" s="14"/>
      <c r="AC52" s="23"/>
      <c r="AP52" s="23"/>
      <c r="AV52" s="14"/>
      <c r="BD52" s="23"/>
      <c r="BJ52" s="14"/>
      <c r="BK52" s="23"/>
      <c r="CA52" s="23"/>
      <c r="CE52" s="14"/>
      <c r="CF52" s="14"/>
      <c r="CH52" s="59"/>
      <c r="CL52" s="59"/>
      <c r="CW52" s="60"/>
    </row>
    <row r="53" spans="1:101" x14ac:dyDescent="0.3">
      <c r="A53" s="23"/>
      <c r="B53" s="23"/>
      <c r="H53" s="14"/>
      <c r="I53" s="23"/>
      <c r="O53" s="14"/>
      <c r="P53" s="23"/>
      <c r="AB53" s="14"/>
      <c r="AC53" s="23"/>
      <c r="AP53" s="23"/>
      <c r="AV53" s="14"/>
      <c r="BD53" s="23"/>
      <c r="BJ53" s="14"/>
      <c r="BK53" s="23"/>
      <c r="CA53" s="23"/>
      <c r="CE53" s="14"/>
      <c r="CF53" s="14"/>
      <c r="CH53" s="59"/>
      <c r="CL53" s="59"/>
      <c r="CW53" s="60"/>
    </row>
    <row r="54" spans="1:101" x14ac:dyDescent="0.3">
      <c r="A54" s="23"/>
      <c r="B54" s="23"/>
      <c r="H54" s="14"/>
      <c r="I54" s="23"/>
      <c r="O54" s="14"/>
      <c r="P54" s="23"/>
      <c r="AB54" s="14"/>
      <c r="AC54" s="23"/>
      <c r="AP54" s="23"/>
      <c r="AV54" s="14"/>
      <c r="BD54" s="23"/>
      <c r="BJ54" s="14"/>
      <c r="BK54" s="23"/>
      <c r="CA54" s="23"/>
      <c r="CE54" s="14"/>
      <c r="CF54" s="14"/>
      <c r="CH54" s="59"/>
      <c r="CL54" s="59"/>
      <c r="CW54" s="60"/>
    </row>
    <row r="55" spans="1:101" x14ac:dyDescent="0.3">
      <c r="A55" s="23"/>
      <c r="B55" s="23"/>
      <c r="H55" s="14"/>
      <c r="I55" s="23"/>
      <c r="O55" s="14"/>
      <c r="P55" s="23"/>
      <c r="AB55" s="14"/>
      <c r="AC55" s="23"/>
      <c r="AP55" s="23"/>
      <c r="AV55" s="14"/>
      <c r="BD55" s="23"/>
      <c r="BJ55" s="14"/>
      <c r="BK55" s="23"/>
      <c r="CA55" s="23"/>
      <c r="CE55" s="14"/>
      <c r="CF55" s="14"/>
      <c r="CH55" s="59"/>
      <c r="CL55" s="59"/>
      <c r="CW55" s="60"/>
    </row>
    <row r="56" spans="1:101" x14ac:dyDescent="0.3">
      <c r="A56" s="23"/>
      <c r="B56" s="50"/>
      <c r="C56" s="10"/>
      <c r="D56" s="10"/>
      <c r="E56" s="10"/>
      <c r="F56" s="10"/>
      <c r="G56" s="10"/>
      <c r="H56" s="15"/>
      <c r="I56" s="50"/>
      <c r="J56" s="10"/>
      <c r="K56" s="10"/>
      <c r="L56" s="10"/>
      <c r="M56" s="10"/>
      <c r="N56" s="10"/>
      <c r="O56" s="15"/>
      <c r="P56" s="5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5"/>
      <c r="AC56" s="5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50"/>
      <c r="AQ56" s="10"/>
      <c r="AR56" s="10"/>
      <c r="AS56" s="10"/>
      <c r="AT56" s="10"/>
      <c r="AU56" s="10"/>
      <c r="AV56" s="15"/>
      <c r="AW56" s="10"/>
      <c r="AX56" s="10"/>
      <c r="AY56" s="10"/>
      <c r="AZ56" s="10"/>
      <c r="BA56" s="10"/>
      <c r="BB56" s="10"/>
      <c r="BC56" s="10"/>
      <c r="BD56" s="50"/>
      <c r="BE56" s="10"/>
      <c r="BF56" s="10"/>
      <c r="BG56" s="10"/>
      <c r="BH56" s="10"/>
      <c r="BI56" s="10"/>
      <c r="BJ56" s="15"/>
      <c r="BK56" s="5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50"/>
      <c r="CB56" s="10"/>
      <c r="CC56" s="10"/>
      <c r="CD56" s="10"/>
      <c r="CE56" s="15"/>
      <c r="CF56" s="14"/>
      <c r="CH56" s="59"/>
      <c r="CL56" s="59"/>
      <c r="CW56" s="60"/>
    </row>
    <row r="57" spans="1:101" ht="13.5" customHeight="1" x14ac:dyDescent="0.3">
      <c r="A57" s="23"/>
      <c r="B57" s="25" t="s">
        <v>256</v>
      </c>
      <c r="C57" s="22"/>
      <c r="D57" s="22"/>
      <c r="E57" s="22"/>
      <c r="F57" s="22"/>
      <c r="G57" s="22"/>
      <c r="H57" s="22"/>
      <c r="I57" s="25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76"/>
      <c r="AQ57" s="22"/>
      <c r="AR57" s="22"/>
      <c r="AS57" s="22"/>
      <c r="AT57" s="22"/>
      <c r="AU57" s="22"/>
      <c r="AV57" s="74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14"/>
      <c r="CH57" s="59"/>
      <c r="CL57" s="59"/>
      <c r="CW57" s="60"/>
    </row>
    <row r="58" spans="1:101" x14ac:dyDescent="0.3">
      <c r="A58" s="23"/>
      <c r="B58" s="23"/>
      <c r="H58" s="14"/>
      <c r="I58" s="23"/>
      <c r="O58" s="14"/>
      <c r="AB58" s="14"/>
      <c r="AC58" s="23"/>
      <c r="AP58" s="23"/>
      <c r="AV58" s="14"/>
      <c r="AW58" s="48"/>
      <c r="AX58" s="48"/>
      <c r="AY58" s="48"/>
      <c r="AZ58" s="48"/>
      <c r="BA58" s="48"/>
      <c r="BB58" s="48"/>
      <c r="BC58" s="49"/>
      <c r="BD58" s="47"/>
      <c r="BE58" s="48"/>
      <c r="BF58" s="48"/>
      <c r="BG58" s="48"/>
      <c r="BH58" s="48"/>
      <c r="BI58" s="48"/>
      <c r="BJ58" s="49"/>
      <c r="BK58" s="23"/>
      <c r="CA58" s="47"/>
      <c r="CB58" s="48"/>
      <c r="CC58" s="48"/>
      <c r="CD58" s="48"/>
      <c r="CE58" s="49"/>
      <c r="CF58" s="14"/>
      <c r="CH58" s="59"/>
      <c r="CL58" s="59"/>
      <c r="CW58" s="60"/>
    </row>
    <row r="59" spans="1:101" x14ac:dyDescent="0.3">
      <c r="A59" s="23"/>
      <c r="B59" s="23"/>
      <c r="H59" s="14"/>
      <c r="I59" s="23"/>
      <c r="O59" s="14"/>
      <c r="AB59" s="14"/>
      <c r="AC59" s="23"/>
      <c r="AP59" s="23"/>
      <c r="AV59" s="14"/>
      <c r="BC59" s="14"/>
      <c r="BD59" s="23"/>
      <c r="BJ59" s="14"/>
      <c r="BK59" s="23"/>
      <c r="CA59" s="23"/>
      <c r="CE59" s="14"/>
      <c r="CF59" s="14"/>
      <c r="CH59" s="59"/>
      <c r="CL59" s="59"/>
      <c r="CW59" s="60"/>
    </row>
    <row r="60" spans="1:101" x14ac:dyDescent="0.3">
      <c r="A60" s="23"/>
      <c r="B60" s="23"/>
      <c r="H60" s="14"/>
      <c r="I60" s="23"/>
      <c r="O60" s="14"/>
      <c r="AB60" s="14"/>
      <c r="AC60" s="23"/>
      <c r="AP60" s="23"/>
      <c r="AV60" s="14"/>
      <c r="BC60" s="14"/>
      <c r="BD60" s="23"/>
      <c r="BJ60" s="14"/>
      <c r="BK60" s="23"/>
      <c r="CA60" s="23"/>
      <c r="CE60" s="14"/>
      <c r="CF60" s="14"/>
      <c r="CH60" s="59"/>
      <c r="CL60" s="59"/>
      <c r="CW60" s="60"/>
    </row>
    <row r="61" spans="1:101" x14ac:dyDescent="0.3">
      <c r="A61" s="23"/>
      <c r="B61" s="23"/>
      <c r="H61" s="14"/>
      <c r="I61" s="23"/>
      <c r="O61" s="14"/>
      <c r="AB61" s="14"/>
      <c r="AC61" s="23"/>
      <c r="AP61" s="23"/>
      <c r="AV61" s="14"/>
      <c r="BC61" s="14"/>
      <c r="BD61" s="23"/>
      <c r="BJ61" s="14"/>
      <c r="BK61" s="23"/>
      <c r="CA61" s="23"/>
      <c r="CE61" s="14"/>
      <c r="CF61" s="14"/>
      <c r="CH61" s="59"/>
      <c r="CL61" s="59"/>
      <c r="CW61" s="60"/>
    </row>
    <row r="62" spans="1:101" x14ac:dyDescent="0.3">
      <c r="A62" s="23"/>
      <c r="B62" s="23"/>
      <c r="H62" s="14"/>
      <c r="I62" s="23"/>
      <c r="O62" s="14"/>
      <c r="AB62" s="14"/>
      <c r="AC62" s="23"/>
      <c r="AP62" s="23"/>
      <c r="AV62" s="14"/>
      <c r="BC62" s="14"/>
      <c r="BD62" s="23"/>
      <c r="BJ62" s="14"/>
      <c r="BK62" s="23"/>
      <c r="CA62" s="23"/>
      <c r="CE62" s="14"/>
      <c r="CF62" s="14"/>
      <c r="CH62" s="59"/>
      <c r="CL62" s="59"/>
      <c r="CW62" s="60"/>
    </row>
    <row r="63" spans="1:101" x14ac:dyDescent="0.3">
      <c r="A63" s="23"/>
      <c r="B63" s="23"/>
      <c r="H63" s="14"/>
      <c r="I63" s="23"/>
      <c r="O63" s="14"/>
      <c r="AB63" s="14"/>
      <c r="AC63" s="23"/>
      <c r="AP63" s="23"/>
      <c r="AV63" s="14"/>
      <c r="BC63" s="14"/>
      <c r="BD63" s="23"/>
      <c r="BJ63" s="14"/>
      <c r="BK63" s="23"/>
      <c r="CA63" s="23"/>
      <c r="CE63" s="14"/>
      <c r="CF63" s="14"/>
      <c r="CH63" s="59"/>
      <c r="CL63" s="59"/>
      <c r="CW63" s="60"/>
    </row>
    <row r="64" spans="1:101" x14ac:dyDescent="0.3">
      <c r="A64" s="23"/>
      <c r="B64" s="23"/>
      <c r="H64" s="14"/>
      <c r="I64" s="23"/>
      <c r="O64" s="14"/>
      <c r="AB64" s="14"/>
      <c r="AC64" s="23"/>
      <c r="AP64" s="23"/>
      <c r="AV64" s="14"/>
      <c r="BC64" s="14"/>
      <c r="BD64" s="23"/>
      <c r="BJ64" s="14"/>
      <c r="BK64" s="23"/>
      <c r="CA64" s="23"/>
      <c r="CE64" s="14"/>
      <c r="CF64" s="14"/>
      <c r="CH64" s="59"/>
      <c r="CL64" s="59"/>
      <c r="CW64" s="60"/>
    </row>
    <row r="65" spans="1:103" x14ac:dyDescent="0.3">
      <c r="A65" s="23"/>
      <c r="B65" s="23"/>
      <c r="H65" s="14"/>
      <c r="I65" s="23"/>
      <c r="O65" s="14"/>
      <c r="AB65" s="14"/>
      <c r="AC65" s="23"/>
      <c r="AP65" s="23"/>
      <c r="AV65" s="14"/>
      <c r="BC65" s="14"/>
      <c r="BD65" s="23"/>
      <c r="BJ65" s="14"/>
      <c r="BK65" s="23"/>
      <c r="CA65" s="23"/>
      <c r="CE65" s="14"/>
      <c r="CF65" s="14"/>
      <c r="CH65" s="59"/>
      <c r="CL65" s="59"/>
      <c r="CW65" s="60"/>
    </row>
    <row r="66" spans="1:103" x14ac:dyDescent="0.3">
      <c r="A66" s="23"/>
      <c r="B66" s="23"/>
      <c r="H66" s="14"/>
      <c r="I66" s="23"/>
      <c r="O66" s="14"/>
      <c r="AB66" s="14"/>
      <c r="AC66" s="23"/>
      <c r="AP66" s="23"/>
      <c r="AV66" s="14"/>
      <c r="BC66" s="14"/>
      <c r="BD66" s="23"/>
      <c r="BJ66" s="14"/>
      <c r="BK66" s="23"/>
      <c r="BL66" s="21" t="s">
        <v>211</v>
      </c>
      <c r="BM66" s="11"/>
      <c r="CA66" s="23"/>
      <c r="CE66" s="14"/>
      <c r="CF66" s="14"/>
      <c r="CH66" s="59"/>
      <c r="CL66" s="59"/>
      <c r="CW66" s="60"/>
    </row>
    <row r="67" spans="1:103" x14ac:dyDescent="0.3">
      <c r="A67" s="23"/>
      <c r="B67" s="23"/>
      <c r="H67" s="14"/>
      <c r="I67" s="23"/>
      <c r="O67" s="14"/>
      <c r="AB67" s="14"/>
      <c r="AC67" s="23"/>
      <c r="AP67" s="23"/>
      <c r="AV67" s="14"/>
      <c r="BC67" s="14"/>
      <c r="BD67" s="23"/>
      <c r="BJ67" s="14"/>
      <c r="BK67" s="23"/>
      <c r="BL67" s="11"/>
      <c r="BM67" s="8" t="s">
        <v>257</v>
      </c>
      <c r="CA67" s="23"/>
      <c r="CE67" s="14"/>
      <c r="CF67" s="14"/>
      <c r="CH67" s="59"/>
      <c r="CL67" s="59"/>
      <c r="CW67" s="60"/>
      <c r="CY67" s="8" t="s">
        <v>213</v>
      </c>
    </row>
    <row r="68" spans="1:103" x14ac:dyDescent="0.3">
      <c r="A68" s="23"/>
      <c r="B68" s="23"/>
      <c r="H68" s="14"/>
      <c r="I68" s="23"/>
      <c r="O68" s="14"/>
      <c r="AB68" s="14"/>
      <c r="AC68" s="23"/>
      <c r="AP68" s="23"/>
      <c r="AV68" s="14"/>
      <c r="BC68" s="14"/>
      <c r="BD68" s="23"/>
      <c r="BJ68" s="14"/>
      <c r="BK68" s="23"/>
      <c r="BL68" s="11"/>
      <c r="CA68" s="23"/>
      <c r="CE68" s="14"/>
      <c r="CF68" s="14"/>
      <c r="CH68" s="59"/>
      <c r="CL68" s="59"/>
      <c r="CW68" s="60"/>
    </row>
    <row r="69" spans="1:103" x14ac:dyDescent="0.3">
      <c r="A69" s="23"/>
      <c r="B69" s="23"/>
      <c r="H69" s="14"/>
      <c r="I69" s="23"/>
      <c r="O69" s="14"/>
      <c r="AB69" s="14"/>
      <c r="AC69" s="23"/>
      <c r="AP69" s="23"/>
      <c r="AV69" s="14"/>
      <c r="BC69" s="14"/>
      <c r="BD69" s="23"/>
      <c r="BJ69" s="14"/>
      <c r="BK69" s="23"/>
      <c r="CA69" s="23"/>
      <c r="CE69" s="14"/>
      <c r="CF69" s="14"/>
      <c r="CH69" s="59"/>
      <c r="CL69" s="59"/>
      <c r="CW69" s="60"/>
    </row>
    <row r="70" spans="1:103" x14ac:dyDescent="0.3">
      <c r="A70" s="23"/>
      <c r="B70" s="23"/>
      <c r="H70" s="14"/>
      <c r="I70" s="23"/>
      <c r="O70" s="14"/>
      <c r="AB70" s="14"/>
      <c r="AC70" s="23"/>
      <c r="AP70" s="23"/>
      <c r="AV70" s="14"/>
      <c r="BC70" s="14"/>
      <c r="BD70" s="23"/>
      <c r="BJ70" s="14"/>
      <c r="BK70" s="23"/>
      <c r="BL70" s="21" t="s">
        <v>214</v>
      </c>
      <c r="BM70" s="11"/>
      <c r="BN70" s="11"/>
      <c r="BO70" s="11"/>
      <c r="BP70" s="11"/>
      <c r="BQ70" s="11"/>
      <c r="BR70" s="11"/>
      <c r="BS70" s="11"/>
      <c r="CA70" s="23"/>
      <c r="CE70" s="14"/>
      <c r="CF70" s="14"/>
      <c r="CH70" s="59"/>
      <c r="CL70" s="59"/>
      <c r="CW70" s="60"/>
    </row>
    <row r="71" spans="1:103" x14ac:dyDescent="0.3">
      <c r="A71" s="23"/>
      <c r="B71" s="23"/>
      <c r="H71" s="14"/>
      <c r="I71" s="23"/>
      <c r="O71" s="14"/>
      <c r="AB71" s="14"/>
      <c r="AC71" s="23"/>
      <c r="AP71" s="23"/>
      <c r="AV71" s="14"/>
      <c r="BC71" s="14"/>
      <c r="BD71" s="23"/>
      <c r="BJ71" s="14"/>
      <c r="BK71" s="23"/>
      <c r="BL71" s="11"/>
      <c r="BM71" s="8" t="s">
        <v>258</v>
      </c>
      <c r="BN71" s="11"/>
      <c r="BO71" s="11"/>
      <c r="CA71" s="23"/>
      <c r="CE71" s="14"/>
      <c r="CF71" s="14"/>
      <c r="CH71" s="59"/>
      <c r="CL71" s="59"/>
      <c r="CW71" s="60"/>
      <c r="CY71" s="8" t="s">
        <v>213</v>
      </c>
    </row>
    <row r="72" spans="1:103" x14ac:dyDescent="0.3">
      <c r="A72" s="23"/>
      <c r="B72" s="23"/>
      <c r="H72" s="14"/>
      <c r="I72" s="23"/>
      <c r="O72" s="14"/>
      <c r="AB72" s="14"/>
      <c r="AC72" s="23"/>
      <c r="AP72" s="23"/>
      <c r="AV72" s="14"/>
      <c r="BC72" s="14"/>
      <c r="BD72" s="23"/>
      <c r="BJ72" s="14"/>
      <c r="BK72" s="23"/>
      <c r="BL72" s="11"/>
      <c r="BM72" s="8" t="s">
        <v>215</v>
      </c>
      <c r="BN72" s="11"/>
      <c r="BO72" s="11"/>
      <c r="CA72" s="23"/>
      <c r="CE72" s="14"/>
      <c r="CF72" s="14"/>
      <c r="CH72" s="59"/>
      <c r="CL72" s="59"/>
      <c r="CW72" s="60"/>
    </row>
    <row r="73" spans="1:103" x14ac:dyDescent="0.3">
      <c r="A73" s="23"/>
      <c r="B73" s="23"/>
      <c r="H73" s="14"/>
      <c r="I73" s="23"/>
      <c r="O73" s="14"/>
      <c r="AB73" s="14"/>
      <c r="AC73" s="23"/>
      <c r="AP73" s="23"/>
      <c r="AV73" s="14"/>
      <c r="BC73" s="14"/>
      <c r="BD73" s="23"/>
      <c r="BJ73" s="14"/>
      <c r="BK73" s="23"/>
      <c r="BL73" s="11"/>
      <c r="BM73" s="11"/>
      <c r="BN73" s="11"/>
      <c r="BO73" s="11"/>
      <c r="CA73" s="23"/>
      <c r="CE73" s="14"/>
      <c r="CF73" s="14"/>
      <c r="CH73" s="59"/>
      <c r="CL73" s="59"/>
      <c r="CW73" s="60"/>
    </row>
    <row r="74" spans="1:103" x14ac:dyDescent="0.3">
      <c r="A74" s="23"/>
      <c r="B74" s="23"/>
      <c r="H74" s="14"/>
      <c r="I74" s="23"/>
      <c r="O74" s="14"/>
      <c r="AB74" s="14"/>
      <c r="AC74" s="23"/>
      <c r="AP74" s="23"/>
      <c r="AV74" s="14"/>
      <c r="BC74" s="14"/>
      <c r="BD74" s="23"/>
      <c r="BJ74" s="14"/>
      <c r="BK74" s="23"/>
      <c r="BL74" s="16" t="s">
        <v>259</v>
      </c>
      <c r="CA74" s="23"/>
      <c r="CE74" s="14"/>
      <c r="CF74" s="14"/>
      <c r="CH74" s="59"/>
      <c r="CL74" s="59"/>
      <c r="CW74" s="60"/>
    </row>
    <row r="75" spans="1:103" x14ac:dyDescent="0.3">
      <c r="A75" s="23"/>
      <c r="B75" s="23"/>
      <c r="H75" s="14"/>
      <c r="I75" s="23"/>
      <c r="O75" s="14"/>
      <c r="AB75" s="14"/>
      <c r="AC75" s="23"/>
      <c r="AP75" s="23"/>
      <c r="AV75" s="14"/>
      <c r="BC75" s="14"/>
      <c r="BD75" s="23"/>
      <c r="BJ75" s="14"/>
      <c r="BK75" s="23"/>
      <c r="BM75" s="8" t="s">
        <v>247</v>
      </c>
      <c r="CA75" s="23"/>
      <c r="CE75" s="14"/>
      <c r="CF75" s="14"/>
      <c r="CH75" s="59"/>
      <c r="CL75" s="59"/>
      <c r="CW75" s="60"/>
    </row>
    <row r="76" spans="1:103" x14ac:dyDescent="0.3">
      <c r="A76" s="23"/>
      <c r="B76" s="23"/>
      <c r="H76" s="14"/>
      <c r="I76" s="23"/>
      <c r="O76" s="14"/>
      <c r="AB76" s="14"/>
      <c r="AC76" s="23"/>
      <c r="AP76" s="23"/>
      <c r="AV76" s="14"/>
      <c r="BC76" s="14"/>
      <c r="BD76" s="23"/>
      <c r="BJ76" s="14"/>
      <c r="BK76" s="23"/>
      <c r="BM76" s="8" t="s">
        <v>260</v>
      </c>
      <c r="CA76" s="23"/>
      <c r="CE76" s="14"/>
      <c r="CF76" s="14"/>
      <c r="CH76" s="59"/>
      <c r="CL76" s="59"/>
      <c r="CW76" s="60"/>
    </row>
    <row r="77" spans="1:103" x14ac:dyDescent="0.3">
      <c r="A77" s="23"/>
      <c r="B77" s="23"/>
      <c r="H77" s="14"/>
      <c r="I77" s="23"/>
      <c r="O77" s="14"/>
      <c r="AB77" s="14"/>
      <c r="AC77" s="23"/>
      <c r="AP77" s="23"/>
      <c r="AV77" s="14"/>
      <c r="BC77" s="14"/>
      <c r="BD77" s="23"/>
      <c r="BJ77" s="14"/>
      <c r="BK77" s="23"/>
      <c r="BM77" s="11" t="s">
        <v>121</v>
      </c>
      <c r="BN77" s="11" t="s">
        <v>261</v>
      </c>
      <c r="CA77" s="23"/>
      <c r="CE77" s="14"/>
      <c r="CF77" s="14"/>
      <c r="CH77" s="59"/>
      <c r="CL77" s="59"/>
      <c r="CW77" s="60"/>
    </row>
    <row r="78" spans="1:103" x14ac:dyDescent="0.3">
      <c r="A78" s="23"/>
      <c r="B78" s="23"/>
      <c r="H78" s="14"/>
      <c r="I78" s="23"/>
      <c r="O78" s="14"/>
      <c r="AB78" s="14"/>
      <c r="AC78" s="23"/>
      <c r="AP78" s="23"/>
      <c r="AV78" s="14"/>
      <c r="BC78" s="14"/>
      <c r="BD78" s="23"/>
      <c r="BJ78" s="14"/>
      <c r="BK78" s="23"/>
      <c r="BN78" s="11" t="s">
        <v>262</v>
      </c>
      <c r="CA78" s="23"/>
      <c r="CE78" s="14"/>
      <c r="CF78" s="14"/>
      <c r="CH78" s="59"/>
      <c r="CL78" s="59"/>
      <c r="CW78" s="60"/>
    </row>
    <row r="79" spans="1:103" x14ac:dyDescent="0.3">
      <c r="A79" s="23"/>
      <c r="B79" s="23"/>
      <c r="H79" s="14"/>
      <c r="I79" s="23"/>
      <c r="O79" s="14"/>
      <c r="AB79" s="14"/>
      <c r="AC79" s="23"/>
      <c r="AP79" s="23"/>
      <c r="AV79" s="14"/>
      <c r="BC79" s="14"/>
      <c r="BD79" s="23"/>
      <c r="BJ79" s="14"/>
      <c r="BK79" s="23"/>
      <c r="BN79" s="11" t="s">
        <v>263</v>
      </c>
      <c r="CA79" s="23"/>
      <c r="CE79" s="14"/>
      <c r="CF79" s="14"/>
      <c r="CH79" s="59"/>
      <c r="CL79" s="59"/>
      <c r="CW79" s="60"/>
    </row>
    <row r="80" spans="1:103" x14ac:dyDescent="0.3">
      <c r="A80" s="23"/>
      <c r="B80" s="23"/>
      <c r="H80" s="14"/>
      <c r="I80" s="23"/>
      <c r="O80" s="14"/>
      <c r="AB80" s="14"/>
      <c r="AC80" s="23"/>
      <c r="AP80" s="23"/>
      <c r="AV80" s="14"/>
      <c r="BC80" s="14"/>
      <c r="BD80" s="23"/>
      <c r="BJ80" s="14"/>
      <c r="BK80" s="23"/>
      <c r="CA80" s="23"/>
      <c r="CE80" s="14"/>
      <c r="CF80" s="14"/>
      <c r="CH80" s="59"/>
      <c r="CL80" s="59"/>
      <c r="CW80" s="60"/>
    </row>
    <row r="81" spans="1:103" x14ac:dyDescent="0.3">
      <c r="A81" s="23"/>
      <c r="B81" s="23"/>
      <c r="H81" s="14"/>
      <c r="I81" s="23"/>
      <c r="O81" s="14"/>
      <c r="AB81" s="14"/>
      <c r="AC81" s="23"/>
      <c r="AP81" s="23"/>
      <c r="AV81" s="14"/>
      <c r="BC81" s="14"/>
      <c r="BD81" s="23"/>
      <c r="BJ81" s="14"/>
      <c r="BK81" s="23"/>
      <c r="CA81" s="23"/>
      <c r="CE81" s="14"/>
      <c r="CF81" s="14"/>
      <c r="CH81" s="59"/>
      <c r="CL81" s="59"/>
      <c r="CW81" s="60"/>
    </row>
    <row r="82" spans="1:103" x14ac:dyDescent="0.3">
      <c r="A82" s="23"/>
      <c r="B82" s="23"/>
      <c r="H82" s="14"/>
      <c r="I82" s="23"/>
      <c r="O82" s="14"/>
      <c r="AB82" s="14"/>
      <c r="AC82" s="23"/>
      <c r="AP82" s="23"/>
      <c r="AV82" s="14"/>
      <c r="BC82" s="14"/>
      <c r="BD82" s="23"/>
      <c r="BJ82" s="14"/>
      <c r="BK82" s="23"/>
      <c r="CA82" s="23"/>
      <c r="CE82" s="14"/>
      <c r="CF82" s="14"/>
      <c r="CH82" s="59"/>
      <c r="CL82" s="59"/>
      <c r="CW82" s="60"/>
    </row>
    <row r="83" spans="1:103" x14ac:dyDescent="0.3">
      <c r="A83" s="23"/>
      <c r="B83" s="23"/>
      <c r="H83" s="14"/>
      <c r="I83" s="23"/>
      <c r="O83" s="14"/>
      <c r="AB83" s="14"/>
      <c r="AC83" s="23"/>
      <c r="AP83" s="23"/>
      <c r="AV83" s="14"/>
      <c r="BC83" s="14"/>
      <c r="BD83" s="23"/>
      <c r="BJ83" s="14"/>
      <c r="BK83" s="23"/>
      <c r="CA83" s="23"/>
      <c r="CE83" s="14"/>
      <c r="CF83" s="14"/>
      <c r="CH83" s="59"/>
      <c r="CL83" s="59"/>
      <c r="CW83" s="60"/>
    </row>
    <row r="84" spans="1:103" x14ac:dyDescent="0.3">
      <c r="A84" s="23"/>
      <c r="B84" s="23"/>
      <c r="H84" s="14"/>
      <c r="I84" s="23"/>
      <c r="O84" s="14"/>
      <c r="AB84" s="14"/>
      <c r="AC84" s="23"/>
      <c r="AP84" s="23"/>
      <c r="AV84" s="14"/>
      <c r="BC84" s="14"/>
      <c r="BD84" s="23"/>
      <c r="BJ84" s="14"/>
      <c r="BK84" s="23"/>
      <c r="BL84" s="16" t="s">
        <v>218</v>
      </c>
      <c r="CA84" s="23"/>
      <c r="CE84" s="14"/>
      <c r="CF84" s="14"/>
      <c r="CH84" s="59"/>
      <c r="CL84" s="59"/>
      <c r="CW84" s="60"/>
    </row>
    <row r="85" spans="1:103" x14ac:dyDescent="0.3">
      <c r="A85" s="23"/>
      <c r="B85" s="23"/>
      <c r="H85" s="14"/>
      <c r="I85" s="23"/>
      <c r="O85" s="14"/>
      <c r="AB85" s="14"/>
      <c r="AC85" s="23"/>
      <c r="AP85" s="23"/>
      <c r="AV85" s="14"/>
      <c r="BC85" s="14"/>
      <c r="BD85" s="23"/>
      <c r="BJ85" s="14"/>
      <c r="BK85" s="23"/>
      <c r="BM85" s="8" t="s">
        <v>219</v>
      </c>
      <c r="CA85" s="23"/>
      <c r="CE85" s="14"/>
      <c r="CF85" s="14"/>
      <c r="CH85" s="59"/>
      <c r="CL85" s="59"/>
      <c r="CW85" s="60"/>
      <c r="CY85" s="8" t="s">
        <v>220</v>
      </c>
    </row>
    <row r="86" spans="1:103" x14ac:dyDescent="0.3">
      <c r="A86" s="23"/>
      <c r="B86" s="23"/>
      <c r="H86" s="14"/>
      <c r="I86" s="23"/>
      <c r="O86" s="14"/>
      <c r="AB86" s="14"/>
      <c r="AC86" s="23"/>
      <c r="AP86" s="23"/>
      <c r="AV86" s="14"/>
      <c r="BC86" s="14"/>
      <c r="BD86" s="23"/>
      <c r="BJ86" s="14"/>
      <c r="BK86" s="23"/>
      <c r="BM86" s="8" t="s">
        <v>221</v>
      </c>
      <c r="CA86" s="23"/>
      <c r="CE86" s="14"/>
      <c r="CF86" s="14"/>
      <c r="CH86" s="59"/>
      <c r="CL86" s="59"/>
      <c r="CW86" s="60"/>
    </row>
    <row r="87" spans="1:103" x14ac:dyDescent="0.3">
      <c r="A87" s="23"/>
      <c r="B87" s="23"/>
      <c r="H87" s="14"/>
      <c r="I87" s="23"/>
      <c r="O87" s="14"/>
      <c r="AB87" s="14"/>
      <c r="AC87" s="23"/>
      <c r="AP87" s="23"/>
      <c r="AV87" s="14"/>
      <c r="BC87" s="14"/>
      <c r="BD87" s="23"/>
      <c r="BJ87" s="14"/>
      <c r="BK87" s="23"/>
      <c r="BN87" s="8" t="s">
        <v>222</v>
      </c>
      <c r="CA87" s="23"/>
      <c r="CE87" s="14"/>
      <c r="CF87" s="14"/>
      <c r="CH87" s="59"/>
      <c r="CL87" s="59"/>
      <c r="CW87" s="60"/>
    </row>
    <row r="88" spans="1:103" x14ac:dyDescent="0.3">
      <c r="A88" s="23"/>
      <c r="B88" s="23"/>
      <c r="H88" s="14"/>
      <c r="I88" s="23"/>
      <c r="O88" s="14"/>
      <c r="AB88" s="14"/>
      <c r="AC88" s="23"/>
      <c r="AP88" s="23"/>
      <c r="AV88" s="14"/>
      <c r="BC88" s="14"/>
      <c r="BD88" s="23"/>
      <c r="BJ88" s="14"/>
      <c r="BK88" s="23"/>
      <c r="BM88" s="8" t="s">
        <v>223</v>
      </c>
      <c r="CA88" s="23"/>
      <c r="CE88" s="14"/>
      <c r="CF88" s="14"/>
      <c r="CH88" s="59"/>
      <c r="CL88" s="59"/>
      <c r="CW88" s="60"/>
    </row>
    <row r="89" spans="1:103" x14ac:dyDescent="0.3">
      <c r="A89" s="23"/>
      <c r="B89" s="23"/>
      <c r="H89" s="14"/>
      <c r="I89" s="23"/>
      <c r="O89" s="14"/>
      <c r="AB89" s="14"/>
      <c r="AC89" s="23"/>
      <c r="AP89" s="23"/>
      <c r="AV89" s="14"/>
      <c r="BC89" s="14"/>
      <c r="BD89" s="23"/>
      <c r="BJ89" s="14"/>
      <c r="BK89" s="23"/>
      <c r="BN89" s="8" t="s">
        <v>224</v>
      </c>
      <c r="CA89" s="23"/>
      <c r="CE89" s="14"/>
      <c r="CF89" s="14"/>
      <c r="CH89" s="59"/>
      <c r="CL89" s="59"/>
      <c r="CW89" s="60"/>
    </row>
    <row r="90" spans="1:103" x14ac:dyDescent="0.3">
      <c r="A90" s="23"/>
      <c r="B90" s="23"/>
      <c r="H90" s="14"/>
      <c r="I90" s="23"/>
      <c r="O90" s="14"/>
      <c r="AB90" s="14"/>
      <c r="AC90" s="23"/>
      <c r="AP90" s="23"/>
      <c r="AV90" s="14"/>
      <c r="BC90" s="14"/>
      <c r="BD90" s="23"/>
      <c r="BJ90" s="14"/>
      <c r="BK90" s="23"/>
      <c r="BM90" s="8" t="s">
        <v>225</v>
      </c>
      <c r="CA90" s="23"/>
      <c r="CE90" s="14"/>
      <c r="CF90" s="14"/>
      <c r="CH90" s="59"/>
      <c r="CL90" s="59"/>
      <c r="CW90" s="60"/>
    </row>
    <row r="91" spans="1:103" x14ac:dyDescent="0.3">
      <c r="A91" s="23"/>
      <c r="B91" s="23"/>
      <c r="H91" s="14"/>
      <c r="I91" s="23"/>
      <c r="O91" s="14"/>
      <c r="AB91" s="14"/>
      <c r="AC91" s="23"/>
      <c r="AP91" s="23"/>
      <c r="AV91" s="14"/>
      <c r="BC91" s="14"/>
      <c r="BD91" s="23"/>
      <c r="BJ91" s="14"/>
      <c r="BK91" s="23"/>
      <c r="BN91" s="8" t="s">
        <v>226</v>
      </c>
      <c r="CA91" s="23"/>
      <c r="CE91" s="14"/>
      <c r="CF91" s="14"/>
      <c r="CH91" s="59"/>
      <c r="CL91" s="59"/>
      <c r="CW91" s="60"/>
    </row>
    <row r="92" spans="1:103" x14ac:dyDescent="0.3">
      <c r="A92" s="23"/>
      <c r="B92" s="23"/>
      <c r="H92" s="14"/>
      <c r="I92" s="23"/>
      <c r="O92" s="14"/>
      <c r="AB92" s="14"/>
      <c r="AC92" s="23"/>
      <c r="AP92" s="23"/>
      <c r="AV92" s="14"/>
      <c r="BC92" s="14"/>
      <c r="BD92" s="23"/>
      <c r="BJ92" s="14"/>
      <c r="BK92" s="23"/>
      <c r="CA92" s="23"/>
      <c r="CE92" s="14"/>
      <c r="CF92" s="14"/>
      <c r="CH92" s="59"/>
      <c r="CL92" s="59"/>
      <c r="CW92" s="60"/>
    </row>
    <row r="93" spans="1:103" x14ac:dyDescent="0.3">
      <c r="A93" s="23"/>
      <c r="B93" s="23"/>
      <c r="H93" s="14"/>
      <c r="I93" s="23"/>
      <c r="O93" s="14"/>
      <c r="AB93" s="14"/>
      <c r="AC93" s="23"/>
      <c r="AP93" s="23"/>
      <c r="AV93" s="14"/>
      <c r="BC93" s="14"/>
      <c r="BD93" s="23"/>
      <c r="BJ93" s="14"/>
      <c r="BK93" s="23"/>
      <c r="BL93" s="16" t="s">
        <v>227</v>
      </c>
      <c r="CA93" s="23"/>
      <c r="CE93" s="14"/>
      <c r="CF93" s="14"/>
      <c r="CH93" s="59"/>
      <c r="CL93" s="59"/>
      <c r="CW93" s="60"/>
    </row>
    <row r="94" spans="1:103" x14ac:dyDescent="0.3">
      <c r="A94" s="23"/>
      <c r="B94" s="23"/>
      <c r="H94" s="14"/>
      <c r="I94" s="23"/>
      <c r="O94" s="14"/>
      <c r="AB94" s="14"/>
      <c r="AC94" s="23"/>
      <c r="AP94" s="23"/>
      <c r="AV94" s="14"/>
      <c r="BC94" s="14"/>
      <c r="BD94" s="23"/>
      <c r="BJ94" s="14"/>
      <c r="BK94" s="23"/>
      <c r="BM94" s="8" t="s">
        <v>228</v>
      </c>
      <c r="CA94" s="23"/>
      <c r="CE94" s="14"/>
      <c r="CF94" s="14"/>
      <c r="CH94" s="59"/>
      <c r="CL94" s="59"/>
      <c r="CW94" s="60"/>
    </row>
    <row r="95" spans="1:103" x14ac:dyDescent="0.3">
      <c r="A95" s="23"/>
      <c r="B95" s="23"/>
      <c r="H95" s="14"/>
      <c r="I95" s="23"/>
      <c r="O95" s="14"/>
      <c r="AB95" s="14"/>
      <c r="AC95" s="23"/>
      <c r="AP95" s="23"/>
      <c r="AV95" s="14"/>
      <c r="BC95" s="14"/>
      <c r="BD95" s="23"/>
      <c r="BJ95" s="14"/>
      <c r="BK95" s="23"/>
      <c r="CA95" s="23"/>
      <c r="CE95" s="14"/>
      <c r="CF95" s="14"/>
      <c r="CH95" s="59"/>
      <c r="CL95" s="59"/>
      <c r="CW95" s="60"/>
    </row>
    <row r="96" spans="1:103" x14ac:dyDescent="0.3">
      <c r="A96" s="23"/>
      <c r="B96" s="23"/>
      <c r="H96" s="14"/>
      <c r="I96" s="23"/>
      <c r="O96" s="14"/>
      <c r="AB96" s="14"/>
      <c r="AC96" s="23"/>
      <c r="AP96" s="23"/>
      <c r="AV96" s="14"/>
      <c r="BC96" s="14"/>
      <c r="BD96" s="23"/>
      <c r="BJ96" s="14"/>
      <c r="BK96" s="23"/>
      <c r="CA96" s="23"/>
      <c r="CE96" s="14"/>
      <c r="CF96" s="14"/>
      <c r="CH96" s="59"/>
      <c r="CL96" s="59"/>
      <c r="CW96" s="60"/>
    </row>
    <row r="97" spans="1:103" x14ac:dyDescent="0.3">
      <c r="A97" s="23"/>
      <c r="B97" s="23"/>
      <c r="H97" s="14"/>
      <c r="I97" s="23"/>
      <c r="O97" s="14"/>
      <c r="AB97" s="14"/>
      <c r="AC97" s="23"/>
      <c r="AP97" s="23"/>
      <c r="AV97" s="14"/>
      <c r="BC97" s="14"/>
      <c r="BD97" s="23"/>
      <c r="BJ97" s="14"/>
      <c r="BK97" s="23"/>
      <c r="CA97" s="23"/>
      <c r="CE97" s="14"/>
      <c r="CF97" s="14"/>
      <c r="CH97" s="59"/>
      <c r="CL97" s="59"/>
      <c r="CW97" s="60"/>
    </row>
    <row r="98" spans="1:103" x14ac:dyDescent="0.3">
      <c r="A98" s="23"/>
      <c r="B98" s="23"/>
      <c r="H98" s="14"/>
      <c r="I98" s="23"/>
      <c r="O98" s="14"/>
      <c r="AB98" s="14"/>
      <c r="AC98" s="23"/>
      <c r="AP98" s="23"/>
      <c r="AV98" s="14"/>
      <c r="BC98" s="14"/>
      <c r="BD98" s="23"/>
      <c r="BJ98" s="14"/>
      <c r="BK98" s="23"/>
      <c r="BL98" s="16" t="s">
        <v>264</v>
      </c>
      <c r="BM98"/>
      <c r="CA98" s="23"/>
      <c r="CE98" s="14"/>
      <c r="CF98" s="14"/>
      <c r="CH98" s="59"/>
      <c r="CL98" s="59"/>
      <c r="CW98" s="60"/>
    </row>
    <row r="99" spans="1:103" x14ac:dyDescent="0.3">
      <c r="A99" s="23"/>
      <c r="B99" s="23"/>
      <c r="H99" s="14"/>
      <c r="I99" s="23"/>
      <c r="O99" s="14"/>
      <c r="AB99" s="14"/>
      <c r="AC99" s="23"/>
      <c r="AP99" s="23"/>
      <c r="AV99" s="14"/>
      <c r="BC99" s="14"/>
      <c r="BD99" s="23"/>
      <c r="BJ99" s="14"/>
      <c r="BK99" s="23"/>
      <c r="BL99"/>
      <c r="BM99" s="8" t="s">
        <v>169</v>
      </c>
      <c r="CA99" s="23"/>
      <c r="CE99" s="14"/>
      <c r="CF99" s="14"/>
      <c r="CH99" s="59"/>
      <c r="CL99" s="59"/>
      <c r="CW99" s="60"/>
    </row>
    <row r="100" spans="1:103" x14ac:dyDescent="0.3">
      <c r="A100" s="23"/>
      <c r="B100" s="23"/>
      <c r="H100" s="14"/>
      <c r="I100" s="23"/>
      <c r="O100" s="14"/>
      <c r="AB100" s="14"/>
      <c r="AC100" s="23"/>
      <c r="AP100" s="23"/>
      <c r="AV100" s="14"/>
      <c r="BC100" s="14"/>
      <c r="BD100" s="23"/>
      <c r="BJ100" s="14"/>
      <c r="BK100" s="23"/>
      <c r="BL100"/>
      <c r="CA100" s="23"/>
      <c r="CE100" s="14"/>
      <c r="CF100" s="14"/>
      <c r="CH100" s="59"/>
      <c r="CL100" s="59"/>
      <c r="CW100" s="60"/>
    </row>
    <row r="101" spans="1:103" x14ac:dyDescent="0.3">
      <c r="A101" s="23"/>
      <c r="B101" s="23"/>
      <c r="H101" s="14"/>
      <c r="I101" s="23"/>
      <c r="O101" s="14"/>
      <c r="AB101" s="14"/>
      <c r="AC101" s="23"/>
      <c r="AP101" s="23"/>
      <c r="AV101" s="14"/>
      <c r="BC101" s="14"/>
      <c r="BD101" s="23"/>
      <c r="BJ101" s="14"/>
      <c r="BK101" s="23"/>
      <c r="CA101" s="23"/>
      <c r="CE101" s="14"/>
      <c r="CF101" s="14"/>
      <c r="CH101" s="59"/>
      <c r="CL101" s="59"/>
      <c r="CW101" s="60"/>
    </row>
    <row r="102" spans="1:103" x14ac:dyDescent="0.3">
      <c r="A102" s="23"/>
      <c r="B102" s="23"/>
      <c r="H102" s="14"/>
      <c r="I102" s="23"/>
      <c r="O102" s="14"/>
      <c r="AB102" s="14"/>
      <c r="AC102" s="23"/>
      <c r="AP102" s="23"/>
      <c r="AV102" s="14"/>
      <c r="BC102" s="14"/>
      <c r="BD102" s="23"/>
      <c r="BJ102" s="14"/>
      <c r="BK102" s="23"/>
      <c r="CA102" s="23"/>
      <c r="CE102" s="14"/>
      <c r="CF102" s="14"/>
      <c r="CH102" s="59"/>
      <c r="CL102" s="59"/>
      <c r="CW102" s="60"/>
    </row>
    <row r="103" spans="1:103" x14ac:dyDescent="0.3">
      <c r="A103" s="23"/>
      <c r="B103" s="23"/>
      <c r="H103" s="14"/>
      <c r="I103" s="23"/>
      <c r="O103" s="14"/>
      <c r="AB103" s="14"/>
      <c r="AC103" s="23"/>
      <c r="AP103" s="23"/>
      <c r="AV103" s="14"/>
      <c r="BC103" s="14"/>
      <c r="BD103" s="23"/>
      <c r="BJ103" s="14"/>
      <c r="BK103" s="23"/>
      <c r="BL103" s="16" t="s">
        <v>265</v>
      </c>
      <c r="BM103"/>
      <c r="CA103" s="23"/>
      <c r="CE103" s="14"/>
      <c r="CF103" s="14"/>
      <c r="CH103" s="59"/>
      <c r="CL103" s="59"/>
      <c r="CW103" s="60"/>
    </row>
    <row r="104" spans="1:103" x14ac:dyDescent="0.3">
      <c r="A104" s="23"/>
      <c r="B104" s="23"/>
      <c r="H104" s="14"/>
      <c r="I104" s="23"/>
      <c r="O104" s="14"/>
      <c r="AB104" s="14"/>
      <c r="AC104" s="23"/>
      <c r="AP104" s="23"/>
      <c r="AV104" s="14"/>
      <c r="BC104" s="14"/>
      <c r="BD104" s="23"/>
      <c r="BJ104" s="14"/>
      <c r="BK104" s="23"/>
      <c r="BL104"/>
      <c r="BM104" s="8" t="s">
        <v>171</v>
      </c>
      <c r="CA104" s="23"/>
      <c r="CE104" s="14"/>
      <c r="CF104" s="14"/>
      <c r="CH104" s="59"/>
      <c r="CL104" s="59"/>
      <c r="CW104" s="60"/>
    </row>
    <row r="105" spans="1:103" x14ac:dyDescent="0.3">
      <c r="A105" s="23"/>
      <c r="B105" s="23"/>
      <c r="H105" s="14"/>
      <c r="I105" s="23"/>
      <c r="O105" s="14"/>
      <c r="AB105" s="14"/>
      <c r="AC105" s="23"/>
      <c r="AP105" s="23"/>
      <c r="AV105" s="14"/>
      <c r="BC105" s="14"/>
      <c r="BD105" s="23"/>
      <c r="BJ105" s="14"/>
      <c r="BK105" s="23"/>
      <c r="BL105"/>
      <c r="CA105" s="23"/>
      <c r="CE105" s="14"/>
      <c r="CF105" s="14"/>
      <c r="CH105" s="59"/>
      <c r="CL105" s="59"/>
      <c r="CW105" s="60"/>
    </row>
    <row r="106" spans="1:103" x14ac:dyDescent="0.3">
      <c r="A106" s="23"/>
      <c r="B106" s="23"/>
      <c r="H106" s="14"/>
      <c r="I106" s="23"/>
      <c r="O106" s="14"/>
      <c r="AB106" s="14"/>
      <c r="AC106" s="23"/>
      <c r="AP106" s="23"/>
      <c r="AV106" s="14"/>
      <c r="BC106" s="14"/>
      <c r="BD106" s="23"/>
      <c r="BJ106" s="14"/>
      <c r="BK106" s="23"/>
      <c r="CA106" s="23"/>
      <c r="CE106" s="14"/>
      <c r="CF106" s="14"/>
      <c r="CH106" s="59"/>
      <c r="CL106" s="59"/>
      <c r="CW106" s="60"/>
    </row>
    <row r="107" spans="1:103" x14ac:dyDescent="0.3">
      <c r="A107" s="23"/>
      <c r="B107" s="23"/>
      <c r="H107" s="14"/>
      <c r="I107" s="23"/>
      <c r="O107" s="14"/>
      <c r="AB107" s="14"/>
      <c r="AC107" s="23"/>
      <c r="AP107" s="23"/>
      <c r="AV107" s="14"/>
      <c r="BC107" s="14"/>
      <c r="BD107" s="23"/>
      <c r="BJ107" s="14"/>
      <c r="BK107" s="23"/>
      <c r="CA107" s="23"/>
      <c r="CE107" s="14"/>
      <c r="CF107" s="14"/>
      <c r="CH107" s="59"/>
      <c r="CL107" s="59"/>
      <c r="CW107" s="60"/>
    </row>
    <row r="108" spans="1:103" x14ac:dyDescent="0.3">
      <c r="A108" s="23"/>
      <c r="B108" s="23"/>
      <c r="H108" s="14"/>
      <c r="I108" s="23"/>
      <c r="O108" s="14"/>
      <c r="AB108" s="14"/>
      <c r="AC108" s="23"/>
      <c r="AP108" s="23"/>
      <c r="AV108" s="14"/>
      <c r="BC108" s="14"/>
      <c r="BD108" s="23"/>
      <c r="BJ108" s="14"/>
      <c r="BK108" s="23"/>
      <c r="CA108" s="23"/>
      <c r="CE108" s="14"/>
      <c r="CF108" s="14"/>
      <c r="CH108" s="59"/>
      <c r="CL108" s="59"/>
      <c r="CW108" s="60"/>
    </row>
    <row r="109" spans="1:103" x14ac:dyDescent="0.3">
      <c r="A109" s="23"/>
      <c r="B109" s="23"/>
      <c r="H109" s="14"/>
      <c r="I109" s="23"/>
      <c r="O109" s="14"/>
      <c r="AB109" s="14"/>
      <c r="AC109" s="23"/>
      <c r="AP109" s="23"/>
      <c r="AV109" s="14"/>
      <c r="BC109" s="14"/>
      <c r="BD109" s="23"/>
      <c r="BJ109" s="14"/>
      <c r="BK109" s="23"/>
      <c r="CA109" s="23"/>
      <c r="CE109" s="14"/>
      <c r="CF109" s="14"/>
      <c r="CH109" s="59"/>
      <c r="CL109" s="59"/>
      <c r="CW109" s="60"/>
    </row>
    <row r="110" spans="1:103" x14ac:dyDescent="0.3">
      <c r="A110" s="23"/>
      <c r="B110" s="23"/>
      <c r="H110" s="14"/>
      <c r="I110" s="23"/>
      <c r="O110" s="14"/>
      <c r="P110" s="23"/>
      <c r="AB110" s="14"/>
      <c r="AC110" s="23"/>
      <c r="AP110" s="23"/>
      <c r="AV110" s="14"/>
      <c r="BD110" s="23"/>
      <c r="BJ110" s="14"/>
      <c r="BK110" s="23"/>
      <c r="CA110" s="23"/>
      <c r="CE110" s="14"/>
      <c r="CF110" s="14"/>
      <c r="CH110" s="59"/>
      <c r="CL110" s="59"/>
      <c r="CW110" s="60"/>
    </row>
    <row r="111" spans="1:103" x14ac:dyDescent="0.3">
      <c r="A111" s="23"/>
      <c r="B111" s="23"/>
      <c r="H111" s="14"/>
      <c r="I111" s="23"/>
      <c r="O111" s="14"/>
      <c r="P111" s="23"/>
      <c r="AB111" s="14"/>
      <c r="AC111" s="23"/>
      <c r="AP111" s="23"/>
      <c r="AV111" s="14"/>
      <c r="BD111" s="23"/>
      <c r="BJ111" s="14"/>
      <c r="BK111" s="23"/>
      <c r="BL111" s="16" t="s">
        <v>266</v>
      </c>
      <c r="CA111" s="23"/>
      <c r="CE111" s="14"/>
      <c r="CF111" s="14"/>
      <c r="CH111" s="59"/>
      <c r="CL111" s="59"/>
      <c r="CW111" s="60"/>
    </row>
    <row r="112" spans="1:103" x14ac:dyDescent="0.3">
      <c r="A112" s="23"/>
      <c r="B112" s="23"/>
      <c r="H112" s="14"/>
      <c r="I112" s="23"/>
      <c r="O112" s="14"/>
      <c r="P112" s="23"/>
      <c r="AB112" s="14"/>
      <c r="AC112" s="23"/>
      <c r="AP112" s="23"/>
      <c r="AV112" s="14"/>
      <c r="BD112" s="23"/>
      <c r="BJ112" s="14"/>
      <c r="BK112" s="23"/>
      <c r="BM112" s="8" t="s">
        <v>173</v>
      </c>
      <c r="CA112" s="73" t="s">
        <v>253</v>
      </c>
      <c r="CE112" s="14"/>
      <c r="CF112" s="14"/>
      <c r="CH112" s="59"/>
      <c r="CL112" s="59"/>
      <c r="CW112" s="60"/>
      <c r="CY112" s="8" t="s">
        <v>231</v>
      </c>
    </row>
    <row r="113" spans="1:101" x14ac:dyDescent="0.3">
      <c r="A113" s="23"/>
      <c r="B113" s="23"/>
      <c r="H113" s="14"/>
      <c r="I113" s="23"/>
      <c r="O113" s="14"/>
      <c r="P113" s="23"/>
      <c r="AB113" s="14"/>
      <c r="AC113" s="23"/>
      <c r="AP113" s="23"/>
      <c r="AV113" s="14"/>
      <c r="BD113" s="23"/>
      <c r="BJ113" s="14"/>
      <c r="BK113" s="23"/>
      <c r="BM113" s="8" t="s">
        <v>174</v>
      </c>
      <c r="CA113" s="23" t="s">
        <v>254</v>
      </c>
      <c r="CE113" s="14"/>
      <c r="CF113" s="14"/>
      <c r="CH113" s="59"/>
      <c r="CL113" s="59"/>
      <c r="CW113" s="60"/>
    </row>
    <row r="114" spans="1:101" x14ac:dyDescent="0.3">
      <c r="A114" s="23"/>
      <c r="B114" s="23"/>
      <c r="H114" s="14"/>
      <c r="I114" s="23"/>
      <c r="O114" s="14"/>
      <c r="P114" s="23"/>
      <c r="AB114" s="14"/>
      <c r="AC114" s="23"/>
      <c r="AP114" s="23"/>
      <c r="AV114" s="14"/>
      <c r="BD114" s="23"/>
      <c r="BJ114" s="14"/>
      <c r="BK114" s="23"/>
      <c r="BL114" s="16"/>
      <c r="CA114" s="23" t="s">
        <v>255</v>
      </c>
      <c r="CE114" s="14"/>
      <c r="CF114" s="14"/>
      <c r="CH114" s="59"/>
      <c r="CL114" s="59"/>
      <c r="CW114" s="60"/>
    </row>
    <row r="115" spans="1:101" x14ac:dyDescent="0.3">
      <c r="A115" s="23"/>
      <c r="B115" s="23"/>
      <c r="H115" s="14"/>
      <c r="I115" s="23"/>
      <c r="O115" s="14"/>
      <c r="P115" s="23"/>
      <c r="AB115" s="14"/>
      <c r="AC115" s="23"/>
      <c r="AP115" s="23"/>
      <c r="AV115" s="14"/>
      <c r="BD115" s="23"/>
      <c r="BJ115" s="14"/>
      <c r="BK115" s="23"/>
      <c r="CA115" s="23"/>
      <c r="CE115" s="14"/>
      <c r="CF115" s="14"/>
      <c r="CH115" s="59"/>
      <c r="CL115" s="59"/>
      <c r="CW115" s="60"/>
    </row>
    <row r="116" spans="1:101" x14ac:dyDescent="0.3">
      <c r="A116" s="23"/>
      <c r="B116" s="23"/>
      <c r="H116" s="14"/>
      <c r="I116" s="23"/>
      <c r="O116" s="14"/>
      <c r="P116" s="23"/>
      <c r="AB116" s="14"/>
      <c r="AC116" s="23"/>
      <c r="AP116" s="23"/>
      <c r="AV116" s="14"/>
      <c r="BD116" s="23"/>
      <c r="BJ116" s="14"/>
      <c r="BK116" s="23"/>
      <c r="CA116" s="23"/>
      <c r="CE116" s="14"/>
      <c r="CF116" s="14"/>
      <c r="CH116" s="59"/>
      <c r="CL116" s="59"/>
      <c r="CW116" s="60"/>
    </row>
    <row r="117" spans="1:101" x14ac:dyDescent="0.3">
      <c r="A117" s="23"/>
      <c r="B117" s="23"/>
      <c r="H117" s="14"/>
      <c r="I117" s="23"/>
      <c r="O117" s="14"/>
      <c r="AB117" s="14"/>
      <c r="AC117" s="23"/>
      <c r="AP117" s="23"/>
      <c r="AV117" s="14"/>
      <c r="BC117" s="14"/>
      <c r="BD117" s="23"/>
      <c r="BJ117" s="14"/>
      <c r="BK117" s="23"/>
      <c r="CA117" s="23"/>
      <c r="CE117" s="14"/>
      <c r="CF117" s="14"/>
      <c r="CH117" s="59"/>
      <c r="CL117" s="59"/>
      <c r="CW117" s="60"/>
    </row>
    <row r="118" spans="1:101" x14ac:dyDescent="0.3">
      <c r="A118" s="23"/>
      <c r="B118" s="23"/>
      <c r="H118" s="14"/>
      <c r="I118" s="23"/>
      <c r="O118" s="14"/>
      <c r="AB118" s="14"/>
      <c r="AC118" s="23"/>
      <c r="AP118" s="23"/>
      <c r="AV118" s="14"/>
      <c r="BC118" s="14"/>
      <c r="BD118" s="23"/>
      <c r="BJ118" s="14"/>
      <c r="BK118" s="23"/>
      <c r="CA118" s="23"/>
      <c r="CE118" s="14"/>
      <c r="CF118" s="14"/>
      <c r="CH118" s="59"/>
      <c r="CL118" s="59"/>
      <c r="CW118" s="60"/>
    </row>
    <row r="119" spans="1:101" x14ac:dyDescent="0.3">
      <c r="A119" s="23"/>
      <c r="B119" s="23"/>
      <c r="H119" s="14"/>
      <c r="I119" s="23"/>
      <c r="O119" s="14"/>
      <c r="AB119" s="14"/>
      <c r="AC119" s="23"/>
      <c r="AP119" s="23"/>
      <c r="AV119" s="14"/>
      <c r="BC119" s="14"/>
      <c r="BD119" s="23"/>
      <c r="BJ119" s="14"/>
      <c r="BK119" s="23"/>
      <c r="CA119" s="23"/>
      <c r="CE119" s="14"/>
      <c r="CF119" s="14"/>
      <c r="CH119" s="59"/>
      <c r="CL119" s="59"/>
      <c r="CW119" s="60"/>
    </row>
    <row r="120" spans="1:101" x14ac:dyDescent="0.3">
      <c r="A120" s="23"/>
      <c r="B120" s="23"/>
      <c r="H120" s="14"/>
      <c r="I120" s="23"/>
      <c r="O120" s="14"/>
      <c r="AB120" s="14"/>
      <c r="AC120" s="23"/>
      <c r="AP120" s="23"/>
      <c r="AV120" s="14"/>
      <c r="BC120" s="14"/>
      <c r="BD120" s="23"/>
      <c r="BJ120" s="14"/>
      <c r="BK120" s="23"/>
      <c r="CA120" s="23"/>
      <c r="CE120" s="14"/>
      <c r="CF120" s="14"/>
      <c r="CH120" s="59"/>
      <c r="CL120" s="59"/>
      <c r="CW120" s="60"/>
    </row>
    <row r="121" spans="1:101" x14ac:dyDescent="0.3">
      <c r="A121" s="23"/>
      <c r="B121" s="23"/>
      <c r="H121" s="14"/>
      <c r="I121" s="23"/>
      <c r="O121" s="14"/>
      <c r="AB121" s="14"/>
      <c r="AC121" s="23"/>
      <c r="AP121" s="23"/>
      <c r="AV121" s="14"/>
      <c r="BC121" s="14"/>
      <c r="BD121" s="23"/>
      <c r="BJ121" s="14"/>
      <c r="BK121" s="23"/>
      <c r="CA121" s="23"/>
      <c r="CE121" s="14"/>
      <c r="CF121" s="14"/>
      <c r="CH121" s="59"/>
      <c r="CL121" s="59"/>
      <c r="CW121" s="60"/>
    </row>
    <row r="122" spans="1:101" x14ac:dyDescent="0.3">
      <c r="A122" s="23"/>
      <c r="B122" s="50"/>
      <c r="C122" s="10"/>
      <c r="D122" s="10"/>
      <c r="E122" s="10"/>
      <c r="F122" s="10"/>
      <c r="G122" s="10"/>
      <c r="H122" s="15"/>
      <c r="I122" s="50"/>
      <c r="J122" s="10"/>
      <c r="K122" s="10"/>
      <c r="L122" s="10"/>
      <c r="M122" s="10"/>
      <c r="N122" s="10"/>
      <c r="O122" s="15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5"/>
      <c r="AC122" s="5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50"/>
      <c r="AQ122" s="10"/>
      <c r="AR122" s="10"/>
      <c r="AS122" s="10"/>
      <c r="AT122" s="10"/>
      <c r="AU122" s="10"/>
      <c r="AV122" s="15"/>
      <c r="AW122" s="10"/>
      <c r="AX122" s="10"/>
      <c r="AY122" s="10"/>
      <c r="AZ122" s="10"/>
      <c r="BA122" s="10"/>
      <c r="BB122" s="10"/>
      <c r="BC122" s="15"/>
      <c r="BD122" s="50"/>
      <c r="BE122" s="10"/>
      <c r="BF122" s="10"/>
      <c r="BG122" s="10"/>
      <c r="BH122" s="10"/>
      <c r="BI122" s="10"/>
      <c r="BJ122" s="15"/>
      <c r="BK122" s="5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50"/>
      <c r="CB122" s="10"/>
      <c r="CC122" s="10"/>
      <c r="CD122" s="10"/>
      <c r="CE122" s="15"/>
      <c r="CF122" s="14"/>
      <c r="CH122" s="59"/>
      <c r="CL122" s="59"/>
      <c r="CW122" s="60"/>
    </row>
    <row r="123" spans="1:101" x14ac:dyDescent="0.3">
      <c r="A123" s="23"/>
      <c r="CF123" s="14"/>
    </row>
    <row r="124" spans="1:101" x14ac:dyDescent="0.3">
      <c r="A124" s="5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5"/>
    </row>
    <row r="125" spans="1:101" x14ac:dyDescent="0.3">
      <c r="CF125" s="48"/>
    </row>
  </sheetData>
  <mergeCells count="28">
    <mergeCell ref="F1:U1"/>
    <mergeCell ref="V1:AI1"/>
    <mergeCell ref="AJ1:AP1"/>
    <mergeCell ref="B8:H9"/>
    <mergeCell ref="I8:O9"/>
    <mergeCell ref="AP9:AV9"/>
    <mergeCell ref="P9:AB9"/>
    <mergeCell ref="AC9:AO9"/>
    <mergeCell ref="A1:E1"/>
    <mergeCell ref="AQ1:AV1"/>
    <mergeCell ref="AQ2:AV2"/>
    <mergeCell ref="AJ3:AK3"/>
    <mergeCell ref="AL3:AP3"/>
    <mergeCell ref="AQ3:AV3"/>
    <mergeCell ref="AJ2:AK2"/>
    <mergeCell ref="AL2:AP2"/>
    <mergeCell ref="A2:E3"/>
    <mergeCell ref="F2:U3"/>
    <mergeCell ref="V2:AI3"/>
    <mergeCell ref="P8:AO8"/>
    <mergeCell ref="AP8:AV8"/>
    <mergeCell ref="BK8:BZ9"/>
    <mergeCell ref="CA8:CE9"/>
    <mergeCell ref="CH8:CK9"/>
    <mergeCell ref="CL8:CW9"/>
    <mergeCell ref="AW9:BC9"/>
    <mergeCell ref="BD9:BJ9"/>
    <mergeCell ref="AW8:BJ8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X63"/>
  <sheetViews>
    <sheetView showGridLines="0" zoomScale="83" zoomScaleNormal="100" workbookViewId="0">
      <pane ySplit="9" topLeftCell="A10" activePane="bottomLeft" state="frozen"/>
      <selection activeCell="AC49" sqref="AC49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56" width="2.453125" style="8"/>
    <col min="57" max="57" width="2.453125" style="8" customWidth="1"/>
    <col min="58" max="16384" width="2.453125" style="8"/>
  </cols>
  <sheetData>
    <row r="1" spans="1:74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74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5.SSJ・SEJ入金消込 (売掛金)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74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74" x14ac:dyDescent="0.3">
      <c r="A4" s="23"/>
    </row>
    <row r="5" spans="1:74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74" s="11" customFormat="1" x14ac:dyDescent="0.3">
      <c r="A6" s="35" t="str">
        <f ca="1">RIGHT(CELL("filename",A1),LEN(CELL("filename",A1))-FIND("]",CELL("filename",A1)))</f>
        <v>5.SSJ・SEJ入金消込 (売掛金)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36"/>
      <c r="BF6" s="8"/>
      <c r="BG6" s="8"/>
      <c r="BH6" s="8"/>
      <c r="BI6" s="8"/>
      <c r="BJ6" s="8"/>
      <c r="BK6" s="8"/>
    </row>
    <row r="7" spans="1:74" s="11" customFormat="1" x14ac:dyDescent="0.3">
      <c r="A7" s="2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BE7" s="13"/>
    </row>
    <row r="8" spans="1:74" s="11" customFormat="1" ht="14.25" customHeight="1" x14ac:dyDescent="0.3">
      <c r="A8" s="24"/>
      <c r="B8" s="225" t="s">
        <v>177</v>
      </c>
      <c r="C8" s="226"/>
      <c r="D8" s="226"/>
      <c r="E8" s="226"/>
      <c r="F8" s="226"/>
      <c r="G8" s="226"/>
      <c r="H8" s="227"/>
      <c r="I8" s="257" t="s">
        <v>178</v>
      </c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9"/>
      <c r="V8" s="222" t="s">
        <v>92</v>
      </c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4"/>
      <c r="AJ8" s="221" t="s">
        <v>110</v>
      </c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0" t="s">
        <v>112</v>
      </c>
      <c r="BA8" s="221"/>
      <c r="BB8" s="221"/>
      <c r="BC8" s="221"/>
      <c r="BD8" s="221"/>
      <c r="BE8" s="13"/>
      <c r="BG8" s="245" t="s">
        <v>118</v>
      </c>
      <c r="BH8" s="246"/>
      <c r="BI8" s="246"/>
      <c r="BJ8" s="246"/>
      <c r="BK8" s="263" t="s">
        <v>119</v>
      </c>
      <c r="BL8" s="264"/>
      <c r="BM8" s="264"/>
      <c r="BN8" s="264"/>
      <c r="BO8" s="264"/>
      <c r="BP8" s="264"/>
      <c r="BQ8" s="264"/>
      <c r="BR8" s="264"/>
      <c r="BS8" s="264"/>
      <c r="BT8" s="264"/>
      <c r="BU8" s="264"/>
      <c r="BV8" s="265"/>
    </row>
    <row r="9" spans="1:74" s="11" customFormat="1" ht="18.75" customHeight="1" x14ac:dyDescent="0.3">
      <c r="A9" s="24"/>
      <c r="B9" s="228"/>
      <c r="C9" s="229"/>
      <c r="D9" s="229"/>
      <c r="E9" s="229"/>
      <c r="F9" s="229"/>
      <c r="G9" s="229"/>
      <c r="H9" s="230"/>
      <c r="I9" s="260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2"/>
      <c r="V9" s="222" t="s">
        <v>107</v>
      </c>
      <c r="W9" s="223"/>
      <c r="X9" s="223"/>
      <c r="Y9" s="223"/>
      <c r="Z9" s="223"/>
      <c r="AA9" s="223"/>
      <c r="AB9" s="224"/>
      <c r="AC9" s="222" t="s">
        <v>109</v>
      </c>
      <c r="AD9" s="223"/>
      <c r="AE9" s="223"/>
      <c r="AF9" s="223"/>
      <c r="AG9" s="223"/>
      <c r="AH9" s="223"/>
      <c r="AI9" s="224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13"/>
      <c r="BG9" s="247"/>
      <c r="BH9" s="247"/>
      <c r="BI9" s="247"/>
      <c r="BJ9" s="247"/>
      <c r="BK9" s="266"/>
      <c r="BL9" s="267"/>
      <c r="BM9" s="267"/>
      <c r="BN9" s="267"/>
      <c r="BO9" s="267"/>
      <c r="BP9" s="267"/>
      <c r="BQ9" s="267"/>
      <c r="BR9" s="267"/>
      <c r="BS9" s="267"/>
      <c r="BT9" s="267"/>
      <c r="BU9" s="267"/>
      <c r="BV9" s="268"/>
    </row>
    <row r="10" spans="1:74" s="11" customFormat="1" x14ac:dyDescent="0.3">
      <c r="A10" s="24"/>
      <c r="B10" s="25" t="s">
        <v>267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13"/>
      <c r="BG10" s="54"/>
      <c r="BH10" s="55"/>
      <c r="BI10" s="55"/>
      <c r="BJ10" s="55"/>
      <c r="BK10" s="54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6"/>
    </row>
    <row r="11" spans="1:74" s="11" customFormat="1" ht="13.5" customHeight="1" x14ac:dyDescent="0.3">
      <c r="A11" s="24"/>
      <c r="B11" s="41"/>
      <c r="C11" s="42"/>
      <c r="D11" s="42"/>
      <c r="E11" s="42"/>
      <c r="F11" s="42"/>
      <c r="G11" s="42"/>
      <c r="H11" s="43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2"/>
      <c r="W11" s="42"/>
      <c r="X11" s="42"/>
      <c r="Y11" s="42"/>
      <c r="Z11" s="42"/>
      <c r="AA11" s="42"/>
      <c r="AB11" s="42"/>
      <c r="AC11" s="44"/>
      <c r="AD11" s="42"/>
      <c r="AE11" s="42"/>
      <c r="AF11" s="42"/>
      <c r="AG11" s="42"/>
      <c r="AH11" s="42"/>
      <c r="AI11" s="43"/>
      <c r="AJ11" s="44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4"/>
      <c r="BA11" s="42"/>
      <c r="BB11" s="42"/>
      <c r="BC11" s="42"/>
      <c r="BD11" s="43"/>
      <c r="BE11" s="13"/>
      <c r="BG11" s="57"/>
      <c r="BK11" s="57"/>
      <c r="BL11" s="269" t="s">
        <v>268</v>
      </c>
      <c r="BM11" s="269"/>
      <c r="BN11" s="269"/>
      <c r="BO11" s="269"/>
      <c r="BP11" s="269"/>
      <c r="BQ11" s="269"/>
      <c r="BR11" s="269"/>
      <c r="BS11" s="269"/>
      <c r="BT11" s="269"/>
      <c r="BU11" s="269"/>
      <c r="BV11" s="58"/>
    </row>
    <row r="12" spans="1:74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20"/>
      <c r="W12" s="20"/>
      <c r="X12" s="20"/>
      <c r="Y12" s="20"/>
      <c r="Z12" s="20"/>
      <c r="AA12" s="20"/>
      <c r="AB12" s="20"/>
      <c r="AC12" s="27"/>
      <c r="AD12" s="20"/>
      <c r="AE12" s="20"/>
      <c r="AF12" s="20"/>
      <c r="AG12" s="20"/>
      <c r="AH12" s="20"/>
      <c r="AI12" s="19"/>
      <c r="AJ12" s="27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7"/>
      <c r="BA12" s="20"/>
      <c r="BB12" s="20"/>
      <c r="BC12" s="20"/>
      <c r="BD12" s="19"/>
      <c r="BE12" s="13"/>
      <c r="BG12" s="57" t="s">
        <v>269</v>
      </c>
      <c r="BK12" s="57"/>
      <c r="BL12" s="269"/>
      <c r="BM12" s="269"/>
      <c r="BN12" s="269"/>
      <c r="BO12" s="269"/>
      <c r="BP12" s="269"/>
      <c r="BQ12" s="269"/>
      <c r="BR12" s="269"/>
      <c r="BS12" s="269"/>
      <c r="BT12" s="269"/>
      <c r="BU12" s="269"/>
      <c r="BV12" s="58"/>
    </row>
    <row r="13" spans="1:74" s="11" customFormat="1" ht="13.5" customHeight="1" x14ac:dyDescent="0.3">
      <c r="A13" s="24"/>
      <c r="B13" s="26"/>
      <c r="C13" s="20"/>
      <c r="D13" s="20"/>
      <c r="E13" s="20"/>
      <c r="F13" s="20"/>
      <c r="G13" s="2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20"/>
      <c r="W13" s="20"/>
      <c r="X13" s="20"/>
      <c r="Y13" s="20"/>
      <c r="Z13" s="20"/>
      <c r="AA13" s="20"/>
      <c r="AB13" s="20"/>
      <c r="AC13" s="27"/>
      <c r="AD13" s="20"/>
      <c r="AE13" s="20"/>
      <c r="AF13" s="20"/>
      <c r="AG13" s="20"/>
      <c r="AH13" s="20"/>
      <c r="AI13" s="19"/>
      <c r="AJ13" s="27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7"/>
      <c r="BA13" s="20"/>
      <c r="BB13" s="20"/>
      <c r="BC13" s="20"/>
      <c r="BD13" s="19"/>
      <c r="BE13" s="13"/>
      <c r="BG13" s="57" t="s">
        <v>270</v>
      </c>
      <c r="BK13" s="57"/>
      <c r="BL13" s="269"/>
      <c r="BM13" s="269"/>
      <c r="BN13" s="269"/>
      <c r="BO13" s="269"/>
      <c r="BP13" s="269"/>
      <c r="BQ13" s="269"/>
      <c r="BR13" s="269"/>
      <c r="BS13" s="269"/>
      <c r="BT13" s="269"/>
      <c r="BU13" s="269"/>
      <c r="BV13" s="58"/>
    </row>
    <row r="14" spans="1:74" s="11" customFormat="1" ht="13.5" customHeight="1" x14ac:dyDescent="0.3">
      <c r="A14" s="24"/>
      <c r="B14" s="26"/>
      <c r="C14" s="20"/>
      <c r="D14" s="20"/>
      <c r="E14" s="20"/>
      <c r="F14" s="20"/>
      <c r="G14" s="20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20"/>
      <c r="W14" s="20"/>
      <c r="X14" s="20"/>
      <c r="Y14" s="20"/>
      <c r="Z14" s="20"/>
      <c r="AA14" s="20"/>
      <c r="AB14" s="20"/>
      <c r="AC14" s="27"/>
      <c r="AD14" s="20"/>
      <c r="AE14" s="20"/>
      <c r="AF14" s="20"/>
      <c r="AG14" s="20"/>
      <c r="AH14" s="20"/>
      <c r="AI14" s="19"/>
      <c r="AJ14" s="27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7"/>
      <c r="BA14" s="20"/>
      <c r="BB14" s="20"/>
      <c r="BC14" s="20"/>
      <c r="BD14" s="19"/>
      <c r="BE14" s="13"/>
      <c r="BG14" s="57"/>
      <c r="BK14" s="57"/>
      <c r="BL14" s="269"/>
      <c r="BM14" s="269"/>
      <c r="BN14" s="269"/>
      <c r="BO14" s="269"/>
      <c r="BP14" s="269"/>
      <c r="BQ14" s="269"/>
      <c r="BR14" s="269"/>
      <c r="BS14" s="269"/>
      <c r="BT14" s="269"/>
      <c r="BU14" s="269"/>
      <c r="BV14" s="58"/>
    </row>
    <row r="15" spans="1:74" s="11" customFormat="1" ht="13.5" customHeight="1" x14ac:dyDescent="0.3">
      <c r="A15" s="24"/>
      <c r="B15" s="26"/>
      <c r="C15" s="20"/>
      <c r="D15" s="20"/>
      <c r="E15" s="20"/>
      <c r="F15" s="20"/>
      <c r="G15" s="20"/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20"/>
      <c r="W15" s="20"/>
      <c r="X15" s="20"/>
      <c r="Y15" s="20"/>
      <c r="Z15" s="20"/>
      <c r="AA15" s="20"/>
      <c r="AB15" s="20"/>
      <c r="AC15" s="27"/>
      <c r="AD15" s="20"/>
      <c r="AE15" s="20"/>
      <c r="AF15" s="20"/>
      <c r="AG15" s="20"/>
      <c r="AH15" s="20"/>
      <c r="AI15" s="19"/>
      <c r="AJ15" s="27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7"/>
      <c r="BA15" s="20"/>
      <c r="BB15" s="20"/>
      <c r="BC15" s="20"/>
      <c r="BD15" s="19"/>
      <c r="BE15" s="13"/>
      <c r="BG15" s="57"/>
      <c r="BK15" s="57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58"/>
    </row>
    <row r="16" spans="1:74" s="11" customFormat="1" ht="13.5" customHeight="1" x14ac:dyDescent="0.3">
      <c r="A16" s="24"/>
      <c r="B16" s="28"/>
      <c r="C16" s="12"/>
      <c r="D16" s="12"/>
      <c r="E16" s="12"/>
      <c r="F16" s="12"/>
      <c r="G16" s="12"/>
      <c r="H16" s="18"/>
      <c r="I16"/>
      <c r="J16"/>
      <c r="K16"/>
      <c r="L16"/>
      <c r="M16"/>
      <c r="N16"/>
      <c r="O16"/>
      <c r="P16"/>
      <c r="Q16"/>
      <c r="R16"/>
      <c r="S16"/>
      <c r="T16"/>
      <c r="U16" s="18"/>
      <c r="V16"/>
      <c r="W16"/>
      <c r="X16"/>
      <c r="Y16"/>
      <c r="Z16"/>
      <c r="AA16"/>
      <c r="AB16"/>
      <c r="AC16" s="29"/>
      <c r="AD16"/>
      <c r="AE16"/>
      <c r="AF16"/>
      <c r="AG16"/>
      <c r="AH16"/>
      <c r="AI16" s="18"/>
      <c r="AJ16" s="30"/>
      <c r="AZ16" s="30"/>
      <c r="BD16" s="13"/>
      <c r="BE16" s="13"/>
      <c r="BG16" s="57"/>
      <c r="BK16" s="57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58"/>
    </row>
    <row r="17" spans="1:74" s="11" customFormat="1" ht="13.5" customHeight="1" x14ac:dyDescent="0.3">
      <c r="A17" s="24"/>
      <c r="B17" s="28"/>
      <c r="C17" s="12"/>
      <c r="D17" s="12"/>
      <c r="E17" s="12"/>
      <c r="F17" s="12"/>
      <c r="G17" s="12"/>
      <c r="H17" s="18"/>
      <c r="I17"/>
      <c r="J17"/>
      <c r="K17"/>
      <c r="L17"/>
      <c r="M17"/>
      <c r="N17"/>
      <c r="U17" s="13"/>
      <c r="AC17" s="30"/>
      <c r="AI17" s="13"/>
      <c r="AK17" s="21" t="s">
        <v>267</v>
      </c>
      <c r="AZ17" s="30"/>
      <c r="BD17" s="13"/>
      <c r="BE17" s="13"/>
      <c r="BG17" s="57"/>
      <c r="BK17" s="57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58"/>
    </row>
    <row r="18" spans="1:74" x14ac:dyDescent="0.3">
      <c r="A18" s="23"/>
      <c r="B18" s="23"/>
      <c r="H18" s="14"/>
      <c r="U18" s="14"/>
      <c r="AC18" s="23"/>
      <c r="AI18" s="14"/>
      <c r="AJ18" s="23"/>
      <c r="AK18" s="11"/>
      <c r="AL18" s="8" t="s">
        <v>271</v>
      </c>
      <c r="AM18" s="11"/>
      <c r="AN18" s="11"/>
      <c r="AZ18" s="23"/>
      <c r="BD18" s="14"/>
      <c r="BE18" s="14"/>
      <c r="BG18" s="57"/>
      <c r="BH18" s="11"/>
      <c r="BI18" s="11"/>
      <c r="BJ18" s="11"/>
      <c r="BK18" s="57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58"/>
    </row>
    <row r="19" spans="1:74" x14ac:dyDescent="0.3">
      <c r="A19" s="23"/>
      <c r="B19" s="23"/>
      <c r="H19" s="14"/>
      <c r="U19" s="14"/>
      <c r="AC19" s="23"/>
      <c r="AI19" s="14"/>
      <c r="AJ19" s="23"/>
      <c r="AK19" s="11"/>
      <c r="AM19" s="11"/>
      <c r="AN19" s="11"/>
      <c r="AZ19" s="23"/>
      <c r="BD19" s="14"/>
      <c r="BE19" s="14"/>
      <c r="BG19" s="59"/>
      <c r="BK19" s="59"/>
      <c r="BV19" s="60"/>
    </row>
    <row r="20" spans="1:74" x14ac:dyDescent="0.3">
      <c r="A20" s="23"/>
      <c r="B20" s="23"/>
      <c r="H20" s="14"/>
      <c r="U20" s="14"/>
      <c r="AC20" s="23"/>
      <c r="AI20" s="14"/>
      <c r="AJ20" s="23"/>
      <c r="AK20" s="11"/>
      <c r="AL20" s="11"/>
      <c r="AM20" s="11"/>
      <c r="AN20" s="11"/>
      <c r="AZ20" s="23"/>
      <c r="BD20" s="14"/>
      <c r="BE20" s="14"/>
      <c r="BG20" s="59"/>
      <c r="BK20" s="59" t="s">
        <v>272</v>
      </c>
      <c r="BV20" s="60"/>
    </row>
    <row r="21" spans="1:74" x14ac:dyDescent="0.3">
      <c r="A21" s="23"/>
      <c r="B21" s="23"/>
      <c r="H21" s="14"/>
      <c r="U21" s="14"/>
      <c r="AC21" s="23"/>
      <c r="AI21" s="14"/>
      <c r="AJ21" s="23"/>
      <c r="AZ21" s="23"/>
      <c r="BD21" s="14"/>
      <c r="BE21" s="14"/>
      <c r="BG21" s="57" t="s">
        <v>123</v>
      </c>
      <c r="BH21" s="11"/>
      <c r="BI21" s="11"/>
      <c r="BJ21" s="11"/>
      <c r="BK21" s="242" t="s">
        <v>124</v>
      </c>
      <c r="BL21" s="243"/>
      <c r="BM21" s="243"/>
      <c r="BN21" s="243"/>
      <c r="BO21" s="243"/>
      <c r="BP21" s="243"/>
      <c r="BQ21" s="243"/>
      <c r="BR21" s="243"/>
      <c r="BS21" s="243"/>
      <c r="BT21" s="243"/>
      <c r="BU21" s="243"/>
      <c r="BV21" s="244"/>
    </row>
    <row r="22" spans="1:74" x14ac:dyDescent="0.3">
      <c r="A22" s="23"/>
      <c r="B22" s="23"/>
      <c r="H22" s="14"/>
      <c r="U22" s="14"/>
      <c r="AC22" s="23"/>
      <c r="AI22" s="14"/>
      <c r="AJ22" s="23"/>
      <c r="AZ22" s="73" t="s">
        <v>132</v>
      </c>
      <c r="BD22" s="14"/>
      <c r="BE22" s="14"/>
      <c r="BG22" s="57" t="s">
        <v>126</v>
      </c>
      <c r="BH22" s="11"/>
      <c r="BI22" s="11"/>
      <c r="BJ22" s="11"/>
      <c r="BK22" s="242" t="s">
        <v>127</v>
      </c>
      <c r="BL22" s="243"/>
      <c r="BM22" s="243"/>
      <c r="BN22" s="243"/>
      <c r="BO22" s="243"/>
      <c r="BP22" s="243"/>
      <c r="BQ22" s="243"/>
      <c r="BR22" s="243"/>
      <c r="BS22" s="243"/>
      <c r="BT22" s="243"/>
      <c r="BU22" s="243"/>
      <c r="BV22" s="244"/>
    </row>
    <row r="23" spans="1:74" x14ac:dyDescent="0.3">
      <c r="A23" s="23"/>
      <c r="B23" s="23"/>
      <c r="H23" s="14"/>
      <c r="U23" s="14"/>
      <c r="AC23" s="23"/>
      <c r="AI23" s="14"/>
      <c r="AJ23" s="23"/>
      <c r="AZ23" s="23" t="s">
        <v>134</v>
      </c>
      <c r="BD23" s="14"/>
      <c r="BE23" s="14"/>
      <c r="BG23" s="57" t="s">
        <v>128</v>
      </c>
      <c r="BH23" s="11"/>
      <c r="BI23" s="11"/>
      <c r="BJ23" s="11"/>
      <c r="BK23" s="57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58"/>
    </row>
    <row r="24" spans="1:74" x14ac:dyDescent="0.3">
      <c r="A24" s="23"/>
      <c r="B24" s="23"/>
      <c r="H24" s="14"/>
      <c r="U24" s="14"/>
      <c r="AC24" s="23"/>
      <c r="AI24" s="14"/>
      <c r="AJ24" s="23"/>
      <c r="AZ24" s="23"/>
      <c r="BA24" s="83" t="s">
        <v>136</v>
      </c>
      <c r="BD24" s="14"/>
      <c r="BE24" s="14"/>
      <c r="BG24" s="57"/>
      <c r="BH24" s="11"/>
      <c r="BI24" s="11"/>
      <c r="BJ24" s="11"/>
      <c r="BK24" s="57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58"/>
    </row>
    <row r="25" spans="1:74" x14ac:dyDescent="0.3">
      <c r="A25" s="23"/>
      <c r="B25" s="23"/>
      <c r="H25" s="14"/>
      <c r="U25" s="14"/>
      <c r="AC25" s="23"/>
      <c r="AI25" s="14"/>
      <c r="AJ25" s="23"/>
      <c r="AZ25" s="23"/>
      <c r="BA25" s="83" t="s">
        <v>137</v>
      </c>
      <c r="BD25" s="14"/>
      <c r="BE25" s="14"/>
      <c r="BG25" s="57"/>
      <c r="BH25" s="11"/>
      <c r="BI25" s="11"/>
      <c r="BJ25" s="11"/>
      <c r="BK25" s="57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58"/>
    </row>
    <row r="26" spans="1:74" x14ac:dyDescent="0.3">
      <c r="A26" s="23"/>
      <c r="B26" s="23"/>
      <c r="H26" s="14"/>
      <c r="U26" s="14"/>
      <c r="AC26" s="23"/>
      <c r="AI26" s="14"/>
      <c r="AJ26" s="23"/>
      <c r="AZ26" s="23"/>
      <c r="BD26" s="14"/>
      <c r="BE26" s="14"/>
      <c r="BG26" s="57"/>
      <c r="BH26" s="11"/>
      <c r="BI26" s="11"/>
      <c r="BJ26" s="11"/>
      <c r="BK26" s="57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58"/>
    </row>
    <row r="27" spans="1:74" x14ac:dyDescent="0.3">
      <c r="A27" s="23"/>
      <c r="B27" s="23"/>
      <c r="H27" s="14"/>
      <c r="U27" s="14"/>
      <c r="AC27" s="23"/>
      <c r="AI27" s="14"/>
      <c r="AJ27" s="23"/>
      <c r="AZ27" s="23"/>
      <c r="BD27" s="14"/>
      <c r="BE27" s="14"/>
      <c r="BG27" s="57"/>
      <c r="BH27" s="11"/>
      <c r="BI27" s="11"/>
      <c r="BJ27" s="11"/>
      <c r="BK27" s="57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58"/>
    </row>
    <row r="28" spans="1:74" x14ac:dyDescent="0.3">
      <c r="A28" s="23"/>
      <c r="B28" s="23"/>
      <c r="H28" s="14"/>
      <c r="U28" s="14"/>
      <c r="AC28" s="23"/>
      <c r="AI28" s="14"/>
      <c r="AJ28" s="23"/>
      <c r="AZ28" s="23"/>
      <c r="BD28" s="14"/>
      <c r="BE28" s="14"/>
      <c r="BG28" s="57"/>
      <c r="BH28" s="11"/>
      <c r="BI28" s="11"/>
      <c r="BJ28" s="11"/>
      <c r="BK28" s="57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58"/>
    </row>
    <row r="29" spans="1:74" x14ac:dyDescent="0.3">
      <c r="A29" s="23"/>
      <c r="B29" s="23"/>
      <c r="H29" s="14"/>
      <c r="U29" s="14"/>
      <c r="AC29" s="23"/>
      <c r="AI29" s="14"/>
      <c r="AJ29" s="23"/>
      <c r="AZ29" s="23"/>
      <c r="BD29" s="14"/>
      <c r="BE29" s="14"/>
      <c r="BG29" s="57"/>
      <c r="BH29" s="11"/>
      <c r="BI29" s="11"/>
      <c r="BJ29" s="11"/>
      <c r="BK29" s="57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58"/>
    </row>
    <row r="30" spans="1:74" x14ac:dyDescent="0.3">
      <c r="A30" s="23"/>
      <c r="B30" s="23"/>
      <c r="H30" s="14"/>
      <c r="U30" s="14"/>
      <c r="AC30" s="23"/>
      <c r="AI30" s="14"/>
      <c r="AJ30" s="23"/>
      <c r="AZ30" s="23"/>
      <c r="BD30" s="14"/>
      <c r="BE30" s="14"/>
      <c r="BG30" s="57"/>
      <c r="BH30" s="11"/>
      <c r="BI30" s="11"/>
      <c r="BJ30" s="11"/>
      <c r="BK30" s="57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58"/>
    </row>
    <row r="31" spans="1:74" x14ac:dyDescent="0.3">
      <c r="A31" s="23"/>
      <c r="B31" s="23"/>
      <c r="H31" s="14"/>
      <c r="U31" s="14"/>
      <c r="AC31" s="23"/>
      <c r="AI31" s="14"/>
      <c r="AJ31" s="23"/>
      <c r="AZ31" s="23"/>
      <c r="BD31" s="14"/>
      <c r="BE31" s="14"/>
      <c r="BG31" s="57"/>
      <c r="BH31" s="11"/>
      <c r="BI31" s="11"/>
      <c r="BJ31" s="11"/>
      <c r="BK31" s="57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58"/>
    </row>
    <row r="32" spans="1:74" x14ac:dyDescent="0.3">
      <c r="A32" s="23"/>
      <c r="B32" s="50"/>
      <c r="C32" s="10"/>
      <c r="D32" s="10"/>
      <c r="E32" s="10"/>
      <c r="F32" s="10"/>
      <c r="G32" s="10"/>
      <c r="H32" s="15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5"/>
      <c r="V32" s="10"/>
      <c r="W32" s="10"/>
      <c r="X32" s="10"/>
      <c r="Y32" s="10"/>
      <c r="Z32" s="10"/>
      <c r="AA32" s="10"/>
      <c r="AB32" s="10"/>
      <c r="AC32" s="50"/>
      <c r="AD32" s="10"/>
      <c r="AE32" s="10"/>
      <c r="AF32" s="10"/>
      <c r="AG32" s="10"/>
      <c r="AH32" s="10"/>
      <c r="AI32" s="15"/>
      <c r="AJ32" s="5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50"/>
      <c r="BA32" s="10"/>
      <c r="BB32" s="10"/>
      <c r="BC32" s="10"/>
      <c r="BD32" s="15"/>
      <c r="BE32" s="14"/>
      <c r="BG32" s="59"/>
      <c r="BK32" s="59"/>
      <c r="BV32" s="60"/>
    </row>
    <row r="33" spans="1:76" ht="13.5" customHeight="1" x14ac:dyDescent="0.3">
      <c r="A33" s="23"/>
      <c r="B33" s="25" t="s">
        <v>273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14"/>
      <c r="BG33" s="59"/>
      <c r="BK33" s="59"/>
      <c r="BV33" s="60"/>
    </row>
    <row r="34" spans="1:76" x14ac:dyDescent="0.3">
      <c r="A34" s="23"/>
      <c r="B34" s="23"/>
      <c r="H34" s="14"/>
      <c r="O34" s="48"/>
      <c r="P34" s="48"/>
      <c r="Q34" s="48"/>
      <c r="R34" s="48"/>
      <c r="S34" s="48"/>
      <c r="T34" s="48"/>
      <c r="U34" s="49"/>
      <c r="AC34" s="23"/>
      <c r="AI34" s="14"/>
      <c r="AJ34" s="23"/>
      <c r="AZ34" s="47"/>
      <c r="BA34" s="48"/>
      <c r="BB34" s="48"/>
      <c r="BC34" s="48"/>
      <c r="BD34" s="49"/>
      <c r="BE34" s="14"/>
      <c r="BG34" s="59"/>
      <c r="BK34" s="59"/>
      <c r="BV34" s="60"/>
    </row>
    <row r="35" spans="1:76" x14ac:dyDescent="0.3">
      <c r="A35" s="23"/>
      <c r="B35" s="23"/>
      <c r="H35" s="14"/>
      <c r="U35" s="14"/>
      <c r="AC35" s="23"/>
      <c r="AI35" s="14"/>
      <c r="AJ35" s="23"/>
      <c r="AZ35" s="23"/>
      <c r="BD35" s="14"/>
      <c r="BE35" s="14"/>
      <c r="BG35" s="59"/>
      <c r="BK35" s="59"/>
      <c r="BV35" s="60"/>
    </row>
    <row r="36" spans="1:76" x14ac:dyDescent="0.3">
      <c r="A36" s="23"/>
      <c r="B36" s="23"/>
      <c r="H36" s="14"/>
      <c r="U36" s="14"/>
      <c r="AC36" s="23"/>
      <c r="AI36" s="14"/>
      <c r="AJ36" s="23"/>
      <c r="AZ36" s="23"/>
      <c r="BD36" s="14"/>
      <c r="BE36" s="14"/>
      <c r="BG36" s="59"/>
      <c r="BK36" s="59"/>
      <c r="BV36" s="60"/>
    </row>
    <row r="37" spans="1:76" x14ac:dyDescent="0.3">
      <c r="A37" s="23"/>
      <c r="B37" s="23"/>
      <c r="H37" s="14"/>
      <c r="U37" s="14"/>
      <c r="AC37" s="23"/>
      <c r="AI37" s="14"/>
      <c r="AJ37" s="23"/>
      <c r="AZ37" s="23"/>
      <c r="BD37" s="14"/>
      <c r="BE37" s="14"/>
      <c r="BG37" s="59"/>
      <c r="BK37" s="59"/>
      <c r="BV37" s="60"/>
    </row>
    <row r="38" spans="1:76" x14ac:dyDescent="0.3">
      <c r="A38" s="23"/>
      <c r="B38" s="23"/>
      <c r="H38" s="14"/>
      <c r="U38" s="14"/>
      <c r="AC38" s="23"/>
      <c r="AI38" s="14"/>
      <c r="AJ38" s="23"/>
      <c r="AZ38" s="23"/>
      <c r="BD38" s="14"/>
      <c r="BE38" s="14"/>
      <c r="BG38" s="59"/>
      <c r="BK38" s="59"/>
      <c r="BV38" s="60"/>
    </row>
    <row r="39" spans="1:76" x14ac:dyDescent="0.3">
      <c r="A39" s="23"/>
      <c r="B39" s="23"/>
      <c r="H39" s="14"/>
      <c r="U39" s="14"/>
      <c r="AC39" s="23"/>
      <c r="AI39" s="14"/>
      <c r="AJ39" s="23"/>
      <c r="AZ39" s="23"/>
      <c r="BD39" s="14"/>
      <c r="BE39" s="14"/>
      <c r="BG39" s="59"/>
      <c r="BK39" s="59"/>
      <c r="BV39" s="60"/>
    </row>
    <row r="40" spans="1:76" x14ac:dyDescent="0.3">
      <c r="A40" s="23"/>
      <c r="B40" s="23"/>
      <c r="H40" s="14"/>
      <c r="U40" s="14"/>
      <c r="AC40" s="23"/>
      <c r="AI40" s="14"/>
      <c r="AJ40" s="23"/>
      <c r="AZ40" s="23"/>
      <c r="BD40" s="14"/>
      <c r="BE40" s="14"/>
      <c r="BG40" s="59"/>
      <c r="BK40" s="59"/>
      <c r="BV40" s="60"/>
    </row>
    <row r="41" spans="1:76" x14ac:dyDescent="0.3">
      <c r="A41" s="23"/>
      <c r="B41" s="23"/>
      <c r="H41" s="14"/>
      <c r="U41" s="14"/>
      <c r="AC41" s="23"/>
      <c r="AI41" s="14"/>
      <c r="AJ41" s="23"/>
      <c r="AK41" s="21" t="s">
        <v>274</v>
      </c>
      <c r="AL41" s="11"/>
      <c r="AZ41" s="23"/>
      <c r="BD41" s="14"/>
      <c r="BE41" s="14"/>
      <c r="BG41" s="59"/>
      <c r="BK41" s="59"/>
      <c r="BV41" s="60"/>
    </row>
    <row r="42" spans="1:76" x14ac:dyDescent="0.3">
      <c r="A42" s="23"/>
      <c r="B42" s="23"/>
      <c r="H42" s="14"/>
      <c r="U42" s="14"/>
      <c r="AC42" s="23"/>
      <c r="AI42" s="14"/>
      <c r="AJ42" s="23"/>
      <c r="AK42" s="11"/>
      <c r="AL42" s="8" t="s">
        <v>275</v>
      </c>
      <c r="AZ42" s="23"/>
      <c r="BD42" s="14"/>
      <c r="BE42" s="14"/>
      <c r="BG42" s="59"/>
      <c r="BK42" s="59"/>
      <c r="BV42" s="60"/>
      <c r="BX42" s="8" t="s">
        <v>276</v>
      </c>
    </row>
    <row r="43" spans="1:76" x14ac:dyDescent="0.3">
      <c r="A43" s="23"/>
      <c r="B43" s="23"/>
      <c r="H43" s="14"/>
      <c r="U43" s="14"/>
      <c r="AC43" s="23"/>
      <c r="AI43" s="14"/>
      <c r="AJ43" s="23"/>
      <c r="AK43" s="11"/>
      <c r="AZ43" s="23"/>
      <c r="BD43" s="14"/>
      <c r="BE43" s="14"/>
      <c r="BG43" s="59"/>
      <c r="BK43" s="59"/>
      <c r="BV43" s="60"/>
    </row>
    <row r="44" spans="1:76" x14ac:dyDescent="0.3">
      <c r="A44" s="23"/>
      <c r="B44" s="23"/>
      <c r="H44" s="14"/>
      <c r="U44" s="14"/>
      <c r="AC44" s="23"/>
      <c r="AI44" s="14"/>
      <c r="AJ44" s="23"/>
      <c r="AZ44" s="23"/>
      <c r="BD44" s="14"/>
      <c r="BE44" s="14"/>
      <c r="BG44" s="59"/>
      <c r="BK44" s="59"/>
      <c r="BV44" s="60"/>
    </row>
    <row r="45" spans="1:76" x14ac:dyDescent="0.3">
      <c r="A45" s="23"/>
      <c r="B45" s="23"/>
      <c r="H45" s="14"/>
      <c r="U45" s="14"/>
      <c r="AC45" s="23"/>
      <c r="AI45" s="14"/>
      <c r="AJ45" s="23"/>
      <c r="AZ45" s="23"/>
      <c r="BD45" s="14"/>
      <c r="BE45" s="14"/>
      <c r="BG45" s="59"/>
      <c r="BK45" s="59"/>
      <c r="BV45" s="60"/>
    </row>
    <row r="46" spans="1:76" x14ac:dyDescent="0.3">
      <c r="A46" s="23"/>
      <c r="B46" s="23"/>
      <c r="H46" s="14"/>
      <c r="U46" s="14"/>
      <c r="AC46" s="23"/>
      <c r="AI46" s="14"/>
      <c r="AJ46" s="23"/>
      <c r="AZ46" s="23"/>
      <c r="BD46" s="14"/>
      <c r="BE46" s="14"/>
      <c r="BG46" s="59"/>
      <c r="BK46" s="59"/>
      <c r="BV46" s="60"/>
    </row>
    <row r="47" spans="1:76" x14ac:dyDescent="0.3">
      <c r="A47" s="23"/>
      <c r="B47" s="23"/>
      <c r="H47" s="14"/>
      <c r="U47" s="14"/>
      <c r="AC47" s="23"/>
      <c r="AI47" s="14"/>
      <c r="AJ47" s="23"/>
      <c r="AZ47" s="23"/>
      <c r="BD47" s="14"/>
      <c r="BE47" s="14"/>
      <c r="BG47" s="59"/>
      <c r="BK47" s="59"/>
      <c r="BV47" s="60"/>
    </row>
    <row r="48" spans="1:76" x14ac:dyDescent="0.3">
      <c r="A48" s="23"/>
      <c r="B48" s="23"/>
      <c r="H48" s="14"/>
      <c r="U48" s="14"/>
      <c r="AC48" s="23"/>
      <c r="AI48" s="14"/>
      <c r="AJ48" s="23"/>
      <c r="AK48" s="21" t="s">
        <v>277</v>
      </c>
      <c r="AL48" s="11"/>
      <c r="AZ48" s="23"/>
      <c r="BD48" s="14"/>
      <c r="BE48" s="14"/>
      <c r="BG48" s="59"/>
      <c r="BK48" s="59"/>
      <c r="BV48" s="60"/>
    </row>
    <row r="49" spans="1:74" x14ac:dyDescent="0.3">
      <c r="A49" s="23"/>
      <c r="B49" s="23"/>
      <c r="H49" s="14"/>
      <c r="U49" s="14"/>
      <c r="AC49" s="23"/>
      <c r="AI49" s="14"/>
      <c r="AJ49" s="23"/>
      <c r="AK49" s="11"/>
      <c r="AL49" s="8" t="s">
        <v>278</v>
      </c>
      <c r="AZ49" s="23"/>
      <c r="BD49" s="14"/>
      <c r="BE49" s="14"/>
      <c r="BG49" s="59"/>
      <c r="BK49" s="59"/>
      <c r="BV49" s="60"/>
    </row>
    <row r="50" spans="1:74" x14ac:dyDescent="0.3">
      <c r="A50" s="23"/>
      <c r="B50" s="23"/>
      <c r="H50" s="14"/>
      <c r="U50" s="14"/>
      <c r="AC50" s="23"/>
      <c r="AI50" s="14"/>
      <c r="AJ50" s="23"/>
      <c r="AK50" s="11"/>
      <c r="AM50" s="11"/>
      <c r="AZ50" s="23"/>
      <c r="BD50" s="14"/>
      <c r="BE50" s="14"/>
      <c r="BG50" s="59"/>
      <c r="BK50" s="59"/>
      <c r="BV50" s="60"/>
    </row>
    <row r="51" spans="1:74" x14ac:dyDescent="0.3">
      <c r="A51" s="23"/>
      <c r="B51" s="23"/>
      <c r="H51" s="14"/>
      <c r="U51" s="14"/>
      <c r="AC51" s="23"/>
      <c r="AI51" s="14"/>
      <c r="AJ51" s="23"/>
      <c r="AM51" s="11"/>
      <c r="AZ51" s="23"/>
      <c r="BD51" s="14"/>
      <c r="BE51" s="14"/>
      <c r="BG51" s="59"/>
      <c r="BK51" s="59"/>
      <c r="BV51" s="60"/>
    </row>
    <row r="52" spans="1:74" x14ac:dyDescent="0.3">
      <c r="A52" s="23"/>
      <c r="B52" s="23"/>
      <c r="H52" s="14"/>
      <c r="U52" s="14"/>
      <c r="AC52" s="23"/>
      <c r="AI52" s="14"/>
      <c r="AJ52" s="23"/>
      <c r="AM52" s="11"/>
      <c r="AZ52" s="23"/>
      <c r="BD52" s="14"/>
      <c r="BE52" s="14"/>
      <c r="BG52" s="59"/>
      <c r="BK52" s="59"/>
      <c r="BV52" s="60"/>
    </row>
    <row r="53" spans="1:74" x14ac:dyDescent="0.3">
      <c r="A53" s="23"/>
      <c r="B53" s="23"/>
      <c r="H53" s="14"/>
      <c r="U53" s="14"/>
      <c r="AC53" s="23"/>
      <c r="AI53" s="14"/>
      <c r="AJ53" s="23"/>
      <c r="AZ53" s="23"/>
      <c r="BD53" s="14"/>
      <c r="BE53" s="14"/>
      <c r="BG53" s="59"/>
      <c r="BK53" s="59"/>
      <c r="BV53" s="60"/>
    </row>
    <row r="54" spans="1:74" x14ac:dyDescent="0.3">
      <c r="A54" s="23"/>
      <c r="B54" s="23"/>
      <c r="H54" s="14"/>
      <c r="U54" s="14"/>
      <c r="AC54" s="23"/>
      <c r="AI54" s="14"/>
      <c r="AJ54" s="23"/>
      <c r="AZ54" s="23"/>
      <c r="BD54" s="14"/>
      <c r="BE54" s="14"/>
      <c r="BG54" s="59"/>
      <c r="BK54" s="59"/>
      <c r="BV54" s="60"/>
    </row>
    <row r="55" spans="1:74" x14ac:dyDescent="0.3">
      <c r="A55" s="23"/>
      <c r="B55" s="23"/>
      <c r="H55" s="14"/>
      <c r="U55" s="14"/>
      <c r="AC55" s="23"/>
      <c r="AI55" s="14"/>
      <c r="AJ55" s="23"/>
      <c r="AZ55" s="23"/>
      <c r="BD55" s="14"/>
      <c r="BE55" s="14"/>
      <c r="BG55" s="59"/>
      <c r="BK55" s="59"/>
      <c r="BV55" s="60"/>
    </row>
    <row r="56" spans="1:74" x14ac:dyDescent="0.3">
      <c r="A56" s="23"/>
      <c r="B56" s="23"/>
      <c r="H56" s="14"/>
      <c r="U56" s="14"/>
      <c r="AC56" s="23"/>
      <c r="AI56" s="14"/>
      <c r="AJ56" s="23"/>
      <c r="AZ56" s="23"/>
      <c r="BD56" s="14"/>
      <c r="BE56" s="14"/>
      <c r="BG56" s="59"/>
      <c r="BK56" s="59"/>
      <c r="BV56" s="60"/>
    </row>
    <row r="57" spans="1:74" x14ac:dyDescent="0.3">
      <c r="A57" s="23"/>
      <c r="B57" s="23"/>
      <c r="H57" s="14"/>
      <c r="U57" s="14"/>
      <c r="AC57" s="23"/>
      <c r="AI57" s="14"/>
      <c r="AJ57" s="23"/>
      <c r="AZ57" s="23"/>
      <c r="BD57" s="14"/>
      <c r="BE57" s="14"/>
      <c r="BG57" s="59"/>
      <c r="BK57" s="59"/>
      <c r="BV57" s="60"/>
    </row>
    <row r="58" spans="1:74" x14ac:dyDescent="0.3">
      <c r="A58" s="23"/>
      <c r="B58" s="23"/>
      <c r="H58" s="14"/>
      <c r="U58" s="14"/>
      <c r="AC58" s="23"/>
      <c r="AI58" s="14"/>
      <c r="AJ58" s="23"/>
      <c r="AZ58" s="23"/>
      <c r="BD58" s="14"/>
      <c r="BE58" s="14"/>
      <c r="BG58" s="59"/>
      <c r="BK58" s="59"/>
      <c r="BV58" s="60"/>
    </row>
    <row r="59" spans="1:74" x14ac:dyDescent="0.3">
      <c r="A59" s="23"/>
      <c r="B59" s="23"/>
      <c r="H59" s="14"/>
      <c r="U59" s="14"/>
      <c r="AC59" s="23"/>
      <c r="AI59" s="14"/>
      <c r="AJ59" s="23"/>
      <c r="AZ59" s="23"/>
      <c r="BD59" s="14"/>
      <c r="BE59" s="14"/>
      <c r="BG59" s="59"/>
      <c r="BK59" s="59"/>
      <c r="BV59" s="60"/>
    </row>
    <row r="60" spans="1:74" x14ac:dyDescent="0.3">
      <c r="A60" s="23"/>
      <c r="B60" s="23"/>
      <c r="H60" s="14"/>
      <c r="U60" s="14"/>
      <c r="AC60" s="23"/>
      <c r="AI60" s="14"/>
      <c r="AJ60" s="23"/>
      <c r="AZ60" s="23"/>
      <c r="BD60" s="14"/>
      <c r="BE60" s="14"/>
      <c r="BG60" s="59"/>
      <c r="BK60" s="59"/>
      <c r="BV60" s="60"/>
    </row>
    <row r="61" spans="1:74" x14ac:dyDescent="0.3">
      <c r="A61" s="23"/>
      <c r="B61" s="50"/>
      <c r="C61" s="10"/>
      <c r="D61" s="10"/>
      <c r="E61" s="10"/>
      <c r="F61" s="10"/>
      <c r="G61" s="10"/>
      <c r="H61" s="15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5"/>
      <c r="V61" s="10"/>
      <c r="W61" s="10"/>
      <c r="X61" s="10"/>
      <c r="Y61" s="10"/>
      <c r="Z61" s="10"/>
      <c r="AA61" s="10"/>
      <c r="AB61" s="10"/>
      <c r="AC61" s="50"/>
      <c r="AD61" s="10"/>
      <c r="AE61" s="10"/>
      <c r="AF61" s="10"/>
      <c r="AG61" s="10"/>
      <c r="AH61" s="10"/>
      <c r="AI61" s="15"/>
      <c r="AJ61" s="5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50"/>
      <c r="BA61" s="10"/>
      <c r="BB61" s="10"/>
      <c r="BC61" s="10"/>
      <c r="BD61" s="15"/>
      <c r="BE61" s="14"/>
      <c r="BG61" s="61"/>
      <c r="BH61" s="62"/>
      <c r="BI61" s="62"/>
      <c r="BJ61" s="62"/>
      <c r="BK61" s="61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3"/>
    </row>
    <row r="62" spans="1:74" x14ac:dyDescent="0.3">
      <c r="A62" s="23"/>
      <c r="BE62" s="14"/>
    </row>
    <row r="63" spans="1:74" x14ac:dyDescent="0.3">
      <c r="A63" s="5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5"/>
    </row>
  </sheetData>
  <mergeCells count="26">
    <mergeCell ref="B8:H9"/>
    <mergeCell ref="I8:U9"/>
    <mergeCell ref="AJ8:AY9"/>
    <mergeCell ref="AZ8:BD9"/>
    <mergeCell ref="A1:E1"/>
    <mergeCell ref="F1:U1"/>
    <mergeCell ref="V1:AI1"/>
    <mergeCell ref="AJ1:AP1"/>
    <mergeCell ref="AQ1:AV1"/>
    <mergeCell ref="A2:E3"/>
    <mergeCell ref="F2:U3"/>
    <mergeCell ref="V2:AI3"/>
    <mergeCell ref="AJ2:AK2"/>
    <mergeCell ref="AL2:AP2"/>
    <mergeCell ref="V9:AB9"/>
    <mergeCell ref="V8:AI8"/>
    <mergeCell ref="AC9:AI9"/>
    <mergeCell ref="BL11:BU17"/>
    <mergeCell ref="BK21:BV21"/>
    <mergeCell ref="BK22:BV22"/>
    <mergeCell ref="AQ2:AV2"/>
    <mergeCell ref="AJ3:AK3"/>
    <mergeCell ref="AL3:AP3"/>
    <mergeCell ref="AQ3:AV3"/>
    <mergeCell ref="BG8:BJ9"/>
    <mergeCell ref="BK8:BV9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V47"/>
  <sheetViews>
    <sheetView showGridLines="0" zoomScale="85" zoomScaleNormal="85" workbookViewId="0">
      <pane ySplit="9" topLeftCell="A10" activePane="bottomLeft" state="frozen"/>
      <selection activeCell="AC49" sqref="AC49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56" width="2.453125" style="8"/>
    <col min="57" max="57" width="2.453125" style="8" customWidth="1"/>
    <col min="58" max="58" width="2.453125" style="8"/>
    <col min="59" max="62" width="6.453125" style="8" customWidth="1"/>
    <col min="63" max="16384" width="2.453125" style="8"/>
  </cols>
  <sheetData>
    <row r="1" spans="1:74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74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 xml:space="preserve">6.SLJ入金消込 (売掛金) 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74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74" x14ac:dyDescent="0.3">
      <c r="A4" s="23"/>
    </row>
    <row r="5" spans="1:74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74" s="11" customFormat="1" x14ac:dyDescent="0.3">
      <c r="A6" s="35" t="str">
        <f ca="1">RIGHT(CELL("filename",A1),LEN(CELL("filename",A1))-FIND("]",CELL("filename",A1)))</f>
        <v xml:space="preserve">6.SLJ入金消込 (売掛金) 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36"/>
      <c r="BF6" s="8"/>
      <c r="BG6" s="8"/>
      <c r="BH6" s="8"/>
      <c r="BI6" s="8"/>
      <c r="BJ6" s="8"/>
      <c r="BK6" s="8"/>
    </row>
    <row r="7" spans="1:74" s="11" customFormat="1" x14ac:dyDescent="0.3">
      <c r="A7" s="2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BE7" s="13"/>
    </row>
    <row r="8" spans="1:74" s="11" customFormat="1" ht="14.25" customHeight="1" x14ac:dyDescent="0.3">
      <c r="A8" s="24"/>
      <c r="B8" s="225" t="s">
        <v>177</v>
      </c>
      <c r="C8" s="226"/>
      <c r="D8" s="226"/>
      <c r="E8" s="226"/>
      <c r="F8" s="226"/>
      <c r="G8" s="226"/>
      <c r="H8" s="227"/>
      <c r="I8" s="257" t="s">
        <v>158</v>
      </c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9"/>
      <c r="V8" s="222" t="s">
        <v>92</v>
      </c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4"/>
      <c r="AJ8" s="221" t="s">
        <v>110</v>
      </c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0" t="s">
        <v>112</v>
      </c>
      <c r="BA8" s="221"/>
      <c r="BB8" s="221"/>
      <c r="BC8" s="221"/>
      <c r="BD8" s="221"/>
      <c r="BE8" s="13"/>
      <c r="BG8" s="245" t="s">
        <v>118</v>
      </c>
      <c r="BH8" s="246"/>
      <c r="BI8" s="246"/>
      <c r="BJ8" s="246"/>
      <c r="BK8" s="263" t="s">
        <v>119</v>
      </c>
      <c r="BL8" s="264"/>
      <c r="BM8" s="264"/>
      <c r="BN8" s="264"/>
      <c r="BO8" s="264"/>
      <c r="BP8" s="264"/>
      <c r="BQ8" s="264"/>
      <c r="BR8" s="264"/>
      <c r="BS8" s="264"/>
      <c r="BT8" s="264"/>
      <c r="BU8" s="264"/>
      <c r="BV8" s="265"/>
    </row>
    <row r="9" spans="1:74" s="11" customFormat="1" ht="18.75" customHeight="1" x14ac:dyDescent="0.3">
      <c r="A9" s="24"/>
      <c r="B9" s="228"/>
      <c r="C9" s="229"/>
      <c r="D9" s="229"/>
      <c r="E9" s="229"/>
      <c r="F9" s="229"/>
      <c r="G9" s="229"/>
      <c r="H9" s="230"/>
      <c r="I9" s="260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2"/>
      <c r="V9" s="222" t="s">
        <v>107</v>
      </c>
      <c r="W9" s="223"/>
      <c r="X9" s="223"/>
      <c r="Y9" s="223"/>
      <c r="Z9" s="223"/>
      <c r="AA9" s="223"/>
      <c r="AB9" s="224"/>
      <c r="AC9" s="222" t="s">
        <v>109</v>
      </c>
      <c r="AD9" s="223"/>
      <c r="AE9" s="223"/>
      <c r="AF9" s="223"/>
      <c r="AG9" s="223"/>
      <c r="AH9" s="223"/>
      <c r="AI9" s="224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13"/>
      <c r="BG9" s="247"/>
      <c r="BH9" s="247"/>
      <c r="BI9" s="247"/>
      <c r="BJ9" s="247"/>
      <c r="BK9" s="266"/>
      <c r="BL9" s="267"/>
      <c r="BM9" s="267"/>
      <c r="BN9" s="267"/>
      <c r="BO9" s="267"/>
      <c r="BP9" s="267"/>
      <c r="BQ9" s="267"/>
      <c r="BR9" s="267"/>
      <c r="BS9" s="267"/>
      <c r="BT9" s="267"/>
      <c r="BU9" s="267"/>
      <c r="BV9" s="268"/>
    </row>
    <row r="10" spans="1:74" s="11" customFormat="1" x14ac:dyDescent="0.3">
      <c r="A10" s="24"/>
      <c r="B10" s="25" t="s">
        <v>267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13"/>
      <c r="BG10" s="54"/>
      <c r="BH10" s="55"/>
      <c r="BI10" s="55"/>
      <c r="BJ10" s="55"/>
      <c r="BK10" s="54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6"/>
    </row>
    <row r="11" spans="1:74" s="11" customFormat="1" ht="18" customHeight="1" x14ac:dyDescent="0.3">
      <c r="A11" s="24"/>
      <c r="B11" s="41"/>
      <c r="C11" s="42"/>
      <c r="D11" s="42"/>
      <c r="E11" s="42"/>
      <c r="F11" s="42"/>
      <c r="G11" s="42"/>
      <c r="H11" s="43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2"/>
      <c r="W11" s="42"/>
      <c r="X11" s="42"/>
      <c r="Y11" s="42"/>
      <c r="Z11" s="42"/>
      <c r="AA11" s="42"/>
      <c r="AB11" s="43"/>
      <c r="AC11" s="44"/>
      <c r="AD11" s="42"/>
      <c r="AE11" s="42"/>
      <c r="AF11" s="42"/>
      <c r="AG11" s="42"/>
      <c r="AH11" s="42"/>
      <c r="AI11" s="43"/>
      <c r="AJ11" s="44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4"/>
      <c r="BA11" s="42"/>
      <c r="BB11" s="42"/>
      <c r="BC11" s="42"/>
      <c r="BD11" s="43"/>
      <c r="BE11" s="13"/>
      <c r="BG11" s="57"/>
      <c r="BK11" s="57"/>
      <c r="BL11" s="269" t="s">
        <v>268</v>
      </c>
      <c r="BM11" s="269"/>
      <c r="BN11" s="269"/>
      <c r="BO11" s="269"/>
      <c r="BP11" s="269"/>
      <c r="BQ11" s="269"/>
      <c r="BR11" s="269"/>
      <c r="BS11" s="269"/>
      <c r="BT11" s="269"/>
      <c r="BU11" s="269"/>
      <c r="BV11" s="58"/>
    </row>
    <row r="12" spans="1:74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20"/>
      <c r="W12" s="20"/>
      <c r="X12" s="20"/>
      <c r="Y12" s="20"/>
      <c r="Z12" s="20"/>
      <c r="AA12" s="20"/>
      <c r="AB12" s="19"/>
      <c r="AC12" s="27"/>
      <c r="AD12" s="20"/>
      <c r="AE12" s="20"/>
      <c r="AF12" s="20"/>
      <c r="AG12" s="20"/>
      <c r="AH12" s="20"/>
      <c r="AI12" s="19"/>
      <c r="AJ12" s="27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7"/>
      <c r="BA12" s="20"/>
      <c r="BB12" s="20"/>
      <c r="BC12" s="20"/>
      <c r="BD12" s="19"/>
      <c r="BE12" s="13"/>
      <c r="BG12" s="57" t="s">
        <v>269</v>
      </c>
      <c r="BK12" s="57"/>
      <c r="BL12" s="269"/>
      <c r="BM12" s="269"/>
      <c r="BN12" s="269"/>
      <c r="BO12" s="269"/>
      <c r="BP12" s="269"/>
      <c r="BQ12" s="269"/>
      <c r="BR12" s="269"/>
      <c r="BS12" s="269"/>
      <c r="BT12" s="269"/>
      <c r="BU12" s="269"/>
      <c r="BV12" s="58"/>
    </row>
    <row r="13" spans="1:74" s="11" customFormat="1" ht="13.5" customHeight="1" x14ac:dyDescent="0.3">
      <c r="A13" s="24"/>
      <c r="B13" s="26"/>
      <c r="C13" s="20"/>
      <c r="D13" s="20"/>
      <c r="E13" s="20"/>
      <c r="F13" s="20"/>
      <c r="G13" s="2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20"/>
      <c r="W13" s="20"/>
      <c r="X13" s="20"/>
      <c r="Y13" s="20"/>
      <c r="Z13" s="20"/>
      <c r="AA13" s="20"/>
      <c r="AB13" s="19"/>
      <c r="AC13" s="27"/>
      <c r="AD13" s="20"/>
      <c r="AE13" s="20"/>
      <c r="AF13" s="20"/>
      <c r="AG13" s="20"/>
      <c r="AH13" s="20"/>
      <c r="AI13" s="19"/>
      <c r="AJ13" s="27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7"/>
      <c r="BA13" s="20"/>
      <c r="BB13" s="20"/>
      <c r="BC13" s="20"/>
      <c r="BD13" s="19"/>
      <c r="BE13" s="13"/>
      <c r="BG13" s="57" t="s">
        <v>270</v>
      </c>
      <c r="BK13" s="57"/>
      <c r="BL13" s="269"/>
      <c r="BM13" s="269"/>
      <c r="BN13" s="269"/>
      <c r="BO13" s="269"/>
      <c r="BP13" s="269"/>
      <c r="BQ13" s="269"/>
      <c r="BR13" s="269"/>
      <c r="BS13" s="269"/>
      <c r="BT13" s="269"/>
      <c r="BU13" s="269"/>
      <c r="BV13" s="58"/>
    </row>
    <row r="14" spans="1:74" s="11" customFormat="1" ht="13.5" customHeight="1" x14ac:dyDescent="0.3">
      <c r="A14" s="24"/>
      <c r="B14" s="26"/>
      <c r="C14" s="20"/>
      <c r="D14" s="20"/>
      <c r="E14" s="20"/>
      <c r="F14" s="20"/>
      <c r="G14" s="20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20"/>
      <c r="W14" s="20"/>
      <c r="X14" s="20"/>
      <c r="Y14" s="20"/>
      <c r="Z14" s="20"/>
      <c r="AA14" s="20"/>
      <c r="AB14" s="19"/>
      <c r="AC14" s="27"/>
      <c r="AD14" s="20"/>
      <c r="AE14" s="20"/>
      <c r="AF14" s="20"/>
      <c r="AG14" s="20"/>
      <c r="AH14" s="20"/>
      <c r="AI14" s="19"/>
      <c r="AJ14" s="27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7"/>
      <c r="BA14" s="20"/>
      <c r="BB14" s="20"/>
      <c r="BC14" s="20"/>
      <c r="BD14" s="19"/>
      <c r="BE14" s="13"/>
      <c r="BG14" s="57"/>
      <c r="BK14" s="57"/>
      <c r="BL14" s="269"/>
      <c r="BM14" s="269"/>
      <c r="BN14" s="269"/>
      <c r="BO14" s="269"/>
      <c r="BP14" s="269"/>
      <c r="BQ14" s="269"/>
      <c r="BR14" s="269"/>
      <c r="BS14" s="269"/>
      <c r="BT14" s="269"/>
      <c r="BU14" s="269"/>
      <c r="BV14" s="58"/>
    </row>
    <row r="15" spans="1:74" s="11" customFormat="1" ht="13.5" customHeight="1" x14ac:dyDescent="0.3">
      <c r="A15" s="24"/>
      <c r="B15" s="26"/>
      <c r="C15" s="20"/>
      <c r="D15" s="20"/>
      <c r="E15" s="20"/>
      <c r="F15" s="20"/>
      <c r="G15" s="20"/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20"/>
      <c r="W15" s="20"/>
      <c r="X15" s="20"/>
      <c r="Y15" s="20"/>
      <c r="Z15" s="20"/>
      <c r="AA15" s="20"/>
      <c r="AB15" s="19"/>
      <c r="AC15" s="27"/>
      <c r="AD15" s="20"/>
      <c r="AE15" s="20"/>
      <c r="AF15" s="20"/>
      <c r="AG15" s="20"/>
      <c r="AH15" s="20"/>
      <c r="AI15" s="19"/>
      <c r="AJ15" s="27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7"/>
      <c r="BA15" s="20"/>
      <c r="BB15" s="20"/>
      <c r="BC15" s="20"/>
      <c r="BD15" s="19"/>
      <c r="BE15" s="13"/>
      <c r="BG15" s="57"/>
      <c r="BK15" s="57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58"/>
    </row>
    <row r="16" spans="1:74" s="11" customFormat="1" ht="13.5" customHeight="1" x14ac:dyDescent="0.3">
      <c r="A16" s="24"/>
      <c r="B16" s="28"/>
      <c r="C16" s="12"/>
      <c r="D16" s="12"/>
      <c r="E16" s="12"/>
      <c r="F16" s="12"/>
      <c r="G16" s="12"/>
      <c r="H16" s="18"/>
      <c r="I16"/>
      <c r="J16"/>
      <c r="K16"/>
      <c r="L16"/>
      <c r="M16"/>
      <c r="N16"/>
      <c r="O16"/>
      <c r="P16"/>
      <c r="Q16"/>
      <c r="R16"/>
      <c r="S16"/>
      <c r="T16"/>
      <c r="U16" s="18"/>
      <c r="V16"/>
      <c r="W16"/>
      <c r="X16"/>
      <c r="Y16"/>
      <c r="Z16"/>
      <c r="AA16"/>
      <c r="AB16" s="18"/>
      <c r="AC16" s="30"/>
      <c r="AI16" s="13"/>
      <c r="AJ16" s="30"/>
      <c r="AZ16" s="30"/>
      <c r="BD16" s="13"/>
      <c r="BE16" s="13"/>
      <c r="BG16" s="57"/>
      <c r="BK16" s="57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58"/>
    </row>
    <row r="17" spans="1:74" s="11" customFormat="1" ht="13.5" customHeight="1" x14ac:dyDescent="0.3">
      <c r="A17" s="24"/>
      <c r="B17" s="28"/>
      <c r="C17" s="12"/>
      <c r="D17" s="12"/>
      <c r="E17" s="12"/>
      <c r="F17" s="12"/>
      <c r="G17" s="12"/>
      <c r="H17" s="18"/>
      <c r="I17"/>
      <c r="J17"/>
      <c r="K17"/>
      <c r="L17"/>
      <c r="M17"/>
      <c r="N17"/>
      <c r="U17" s="13"/>
      <c r="AB17" s="13"/>
      <c r="AI17" s="13"/>
      <c r="AJ17" s="30"/>
      <c r="AK17" s="21" t="s">
        <v>267</v>
      </c>
      <c r="AZ17" s="30"/>
      <c r="BD17" s="13"/>
      <c r="BE17" s="13"/>
      <c r="BG17" s="57"/>
      <c r="BK17" s="57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58"/>
    </row>
    <row r="18" spans="1:74" x14ac:dyDescent="0.3">
      <c r="A18" s="23"/>
      <c r="B18" s="23"/>
      <c r="H18" s="14"/>
      <c r="U18" s="14"/>
      <c r="AC18" s="23"/>
      <c r="AI18" s="14"/>
      <c r="AJ18" s="23"/>
      <c r="AK18" s="11"/>
      <c r="AL18" s="8" t="s">
        <v>279</v>
      </c>
      <c r="AM18" s="11"/>
      <c r="AN18" s="11"/>
      <c r="AZ18" s="23"/>
      <c r="BD18" s="14"/>
      <c r="BE18" s="14"/>
      <c r="BG18" s="57"/>
      <c r="BH18" s="11"/>
      <c r="BI18" s="11"/>
      <c r="BJ18" s="11"/>
      <c r="BK18" s="57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58"/>
    </row>
    <row r="19" spans="1:74" x14ac:dyDescent="0.3">
      <c r="A19" s="23"/>
      <c r="B19" s="23"/>
      <c r="H19" s="14"/>
      <c r="U19" s="14"/>
      <c r="AC19" s="23"/>
      <c r="AI19" s="14"/>
      <c r="AJ19" s="23"/>
      <c r="AK19" s="11"/>
      <c r="AL19" s="8" t="s">
        <v>271</v>
      </c>
      <c r="AM19" s="11"/>
      <c r="AN19" s="11"/>
      <c r="AZ19" s="23"/>
      <c r="BD19" s="14"/>
      <c r="BE19" s="14"/>
      <c r="BG19" s="59"/>
      <c r="BK19" s="59"/>
      <c r="BV19" s="60"/>
    </row>
    <row r="20" spans="1:74" x14ac:dyDescent="0.3">
      <c r="A20" s="23"/>
      <c r="B20" s="23"/>
      <c r="H20" s="14"/>
      <c r="U20" s="14"/>
      <c r="AC20" s="23"/>
      <c r="AI20" s="14"/>
      <c r="AJ20" s="23"/>
      <c r="AK20" s="11"/>
      <c r="AL20" s="11" t="s">
        <v>280</v>
      </c>
      <c r="AM20" s="11"/>
      <c r="AN20" s="11"/>
      <c r="AZ20" s="23"/>
      <c r="BD20" s="14"/>
      <c r="BE20" s="14"/>
      <c r="BG20" s="59"/>
      <c r="BK20" s="59" t="s">
        <v>272</v>
      </c>
      <c r="BV20" s="60"/>
    </row>
    <row r="21" spans="1:74" x14ac:dyDescent="0.3">
      <c r="A21" s="23"/>
      <c r="B21" s="23"/>
      <c r="H21" s="14"/>
      <c r="U21" s="14"/>
      <c r="AC21" s="23"/>
      <c r="AI21" s="14"/>
      <c r="AJ21" s="23"/>
      <c r="AZ21" s="23"/>
      <c r="BD21" s="14"/>
      <c r="BE21" s="14"/>
      <c r="BG21" s="57" t="s">
        <v>161</v>
      </c>
      <c r="BH21" s="11"/>
      <c r="BI21" s="11"/>
      <c r="BJ21" s="11"/>
      <c r="BK21" s="242"/>
      <c r="BL21" s="243"/>
      <c r="BM21" s="243"/>
      <c r="BN21" s="243"/>
      <c r="BO21" s="243"/>
      <c r="BP21" s="243"/>
      <c r="BQ21" s="243"/>
      <c r="BR21" s="243"/>
      <c r="BS21" s="243"/>
      <c r="BT21" s="243"/>
      <c r="BU21" s="243"/>
      <c r="BV21" s="244"/>
    </row>
    <row r="22" spans="1:74" x14ac:dyDescent="0.3">
      <c r="A22" s="23"/>
      <c r="B22" s="23"/>
      <c r="H22" s="14"/>
      <c r="U22" s="14"/>
      <c r="AC22" s="23"/>
      <c r="AI22" s="14"/>
      <c r="AJ22" s="23"/>
      <c r="AZ22" s="23"/>
      <c r="BD22" s="14"/>
      <c r="BE22" s="14"/>
      <c r="BG22" s="57" t="s">
        <v>162</v>
      </c>
      <c r="BH22" s="11"/>
      <c r="BI22" s="11"/>
      <c r="BJ22" s="11"/>
      <c r="BK22" s="242"/>
      <c r="BL22" s="243"/>
      <c r="BM22" s="243"/>
      <c r="BN22" s="243"/>
      <c r="BO22" s="243"/>
      <c r="BP22" s="243"/>
      <c r="BQ22" s="243"/>
      <c r="BR22" s="243"/>
      <c r="BS22" s="243"/>
      <c r="BT22" s="243"/>
      <c r="BU22" s="243"/>
      <c r="BV22" s="244"/>
    </row>
    <row r="23" spans="1:74" x14ac:dyDescent="0.3">
      <c r="A23" s="23"/>
      <c r="B23" s="23"/>
      <c r="H23" s="14"/>
      <c r="U23" s="14"/>
      <c r="AC23" s="23"/>
      <c r="AI23" s="14"/>
      <c r="AJ23" s="23"/>
      <c r="AZ23" s="23"/>
      <c r="BD23" s="14"/>
      <c r="BE23" s="14"/>
      <c r="BG23" s="57"/>
      <c r="BH23" s="11"/>
      <c r="BI23" s="11"/>
      <c r="BJ23" s="11"/>
      <c r="BK23" s="57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58"/>
    </row>
    <row r="24" spans="1:74" x14ac:dyDescent="0.3">
      <c r="A24" s="23"/>
      <c r="B24" s="50"/>
      <c r="C24" s="10"/>
      <c r="D24" s="10"/>
      <c r="E24" s="10"/>
      <c r="F24" s="10"/>
      <c r="G24" s="10"/>
      <c r="H24" s="15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5"/>
      <c r="V24" s="10"/>
      <c r="W24" s="10"/>
      <c r="X24" s="10"/>
      <c r="Y24" s="10"/>
      <c r="Z24" s="10"/>
      <c r="AA24" s="10"/>
      <c r="AB24" s="10"/>
      <c r="AC24" s="50"/>
      <c r="AD24" s="10"/>
      <c r="AE24" s="10"/>
      <c r="AF24" s="10"/>
      <c r="AG24" s="10"/>
      <c r="AH24" s="10"/>
      <c r="AI24" s="15"/>
      <c r="AJ24" s="5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50"/>
      <c r="BA24" s="10"/>
      <c r="BB24" s="10"/>
      <c r="BC24" s="10"/>
      <c r="BD24" s="15"/>
      <c r="BE24" s="14"/>
      <c r="BG24" s="59"/>
      <c r="BK24" s="59"/>
      <c r="BV24" s="60"/>
    </row>
    <row r="25" spans="1:74" ht="13.5" customHeight="1" x14ac:dyDescent="0.3">
      <c r="A25" s="23"/>
      <c r="B25" s="25" t="s">
        <v>273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14"/>
      <c r="BG25" s="59"/>
      <c r="BK25" s="59"/>
      <c r="BV25" s="60"/>
    </row>
    <row r="26" spans="1:74" x14ac:dyDescent="0.3">
      <c r="A26" s="23"/>
      <c r="B26" s="23"/>
      <c r="H26" s="14"/>
      <c r="O26" s="48"/>
      <c r="P26" s="48"/>
      <c r="Q26" s="48"/>
      <c r="R26" s="48"/>
      <c r="S26" s="48"/>
      <c r="T26" s="48"/>
      <c r="U26" s="49"/>
      <c r="AC26" s="23"/>
      <c r="AI26" s="14"/>
      <c r="AJ26" s="23"/>
      <c r="AZ26" s="47"/>
      <c r="BA26" s="48"/>
      <c r="BB26" s="48"/>
      <c r="BC26" s="48"/>
      <c r="BD26" s="49"/>
      <c r="BE26" s="14"/>
      <c r="BG26" s="59"/>
      <c r="BK26" s="59"/>
      <c r="BV26" s="60"/>
    </row>
    <row r="27" spans="1:74" x14ac:dyDescent="0.3">
      <c r="A27" s="23"/>
      <c r="B27" s="23"/>
      <c r="H27" s="14"/>
      <c r="U27" s="14"/>
      <c r="AC27" s="23"/>
      <c r="AI27" s="14"/>
      <c r="AJ27" s="23"/>
      <c r="AZ27" s="23"/>
      <c r="BD27" s="14"/>
      <c r="BE27" s="14"/>
      <c r="BG27" s="59"/>
      <c r="BK27" s="59"/>
      <c r="BV27" s="60"/>
    </row>
    <row r="28" spans="1:74" x14ac:dyDescent="0.3">
      <c r="A28" s="23"/>
      <c r="B28" s="23"/>
      <c r="H28" s="14"/>
      <c r="U28" s="14"/>
      <c r="AC28" s="23"/>
      <c r="AI28" s="14"/>
      <c r="AJ28" s="23"/>
      <c r="AZ28" s="23"/>
      <c r="BD28" s="14"/>
      <c r="BE28" s="14"/>
      <c r="BG28" s="59"/>
      <c r="BK28" s="59"/>
      <c r="BV28" s="60"/>
    </row>
    <row r="29" spans="1:74" x14ac:dyDescent="0.3">
      <c r="A29" s="23"/>
      <c r="B29" s="23"/>
      <c r="H29" s="14"/>
      <c r="U29" s="14"/>
      <c r="AC29" s="23"/>
      <c r="AI29" s="14"/>
      <c r="AJ29" s="23"/>
      <c r="AZ29" s="23"/>
      <c r="BD29" s="14"/>
      <c r="BE29" s="14"/>
      <c r="BG29" s="59"/>
      <c r="BK29" s="59"/>
      <c r="BV29" s="60"/>
    </row>
    <row r="30" spans="1:74" x14ac:dyDescent="0.3">
      <c r="A30" s="23"/>
      <c r="B30" s="23"/>
      <c r="H30" s="14"/>
      <c r="U30" s="14"/>
      <c r="AC30" s="23"/>
      <c r="AI30" s="14"/>
      <c r="AJ30" s="23"/>
      <c r="AZ30" s="23"/>
      <c r="BD30" s="14"/>
      <c r="BE30" s="14"/>
      <c r="BG30" s="59"/>
      <c r="BK30" s="59"/>
      <c r="BV30" s="60"/>
    </row>
    <row r="31" spans="1:74" x14ac:dyDescent="0.3">
      <c r="A31" s="23"/>
      <c r="B31" s="23"/>
      <c r="H31" s="14"/>
      <c r="U31" s="14"/>
      <c r="AC31" s="23"/>
      <c r="AI31" s="14"/>
      <c r="AJ31" s="23"/>
      <c r="AZ31" s="23"/>
      <c r="BD31" s="14"/>
      <c r="BE31" s="14"/>
      <c r="BG31" s="59"/>
      <c r="BK31" s="59"/>
      <c r="BV31" s="60"/>
    </row>
    <row r="32" spans="1:74" x14ac:dyDescent="0.3">
      <c r="A32" s="23"/>
      <c r="B32" s="23"/>
      <c r="H32" s="14"/>
      <c r="U32" s="14"/>
      <c r="AC32" s="23"/>
      <c r="AI32" s="14"/>
      <c r="AJ32" s="23"/>
      <c r="AZ32" s="23"/>
      <c r="BD32" s="14"/>
      <c r="BE32" s="14"/>
      <c r="BG32" s="59"/>
      <c r="BK32" s="59"/>
      <c r="BV32" s="60"/>
    </row>
    <row r="33" spans="1:74" x14ac:dyDescent="0.3">
      <c r="A33" s="23"/>
      <c r="B33" s="23"/>
      <c r="H33" s="14"/>
      <c r="U33" s="14"/>
      <c r="AC33" s="23"/>
      <c r="AI33" s="14"/>
      <c r="AJ33" s="23"/>
      <c r="AK33" s="21" t="s">
        <v>274</v>
      </c>
      <c r="AL33" s="11"/>
      <c r="AZ33" s="23"/>
      <c r="BD33" s="14"/>
      <c r="BE33" s="14"/>
      <c r="BG33" s="59"/>
      <c r="BK33" s="59"/>
      <c r="BV33" s="60"/>
    </row>
    <row r="34" spans="1:74" x14ac:dyDescent="0.3">
      <c r="A34" s="23"/>
      <c r="B34" s="23"/>
      <c r="H34" s="14"/>
      <c r="U34" s="14"/>
      <c r="AC34" s="23"/>
      <c r="AI34" s="14"/>
      <c r="AJ34" s="23"/>
      <c r="AK34" s="11"/>
      <c r="AL34" s="8" t="s">
        <v>275</v>
      </c>
      <c r="AZ34" s="23"/>
      <c r="BD34" s="14"/>
      <c r="BE34" s="14"/>
      <c r="BG34" s="59"/>
      <c r="BK34" s="59"/>
      <c r="BV34" s="60"/>
    </row>
    <row r="35" spans="1:74" x14ac:dyDescent="0.3">
      <c r="A35" s="23"/>
      <c r="B35" s="23"/>
      <c r="H35" s="14"/>
      <c r="U35" s="14"/>
      <c r="AC35" s="23"/>
      <c r="AI35" s="14"/>
      <c r="AJ35" s="23"/>
      <c r="AK35" s="11"/>
      <c r="AZ35" s="23"/>
      <c r="BD35" s="14"/>
      <c r="BE35" s="14"/>
      <c r="BG35" s="59"/>
      <c r="BK35" s="59"/>
      <c r="BV35" s="60"/>
    </row>
    <row r="36" spans="1:74" x14ac:dyDescent="0.3">
      <c r="A36" s="23"/>
      <c r="B36" s="23"/>
      <c r="H36" s="14"/>
      <c r="U36" s="14"/>
      <c r="AC36" s="23"/>
      <c r="AI36" s="14"/>
      <c r="AJ36" s="23"/>
      <c r="AZ36" s="23"/>
      <c r="BD36" s="14"/>
      <c r="BE36" s="14"/>
      <c r="BG36" s="59"/>
      <c r="BK36" s="59"/>
      <c r="BV36" s="60"/>
    </row>
    <row r="37" spans="1:74" x14ac:dyDescent="0.3">
      <c r="A37" s="23"/>
      <c r="B37" s="23"/>
      <c r="H37" s="14"/>
      <c r="U37" s="14"/>
      <c r="AC37" s="23"/>
      <c r="AI37" s="14"/>
      <c r="AJ37" s="23"/>
      <c r="AZ37" s="23"/>
      <c r="BD37" s="14"/>
      <c r="BE37" s="14"/>
      <c r="BG37" s="59"/>
      <c r="BK37" s="59"/>
      <c r="BV37" s="60"/>
    </row>
    <row r="38" spans="1:74" x14ac:dyDescent="0.3">
      <c r="A38" s="23"/>
      <c r="B38" s="23"/>
      <c r="H38" s="14"/>
      <c r="U38" s="14"/>
      <c r="AC38" s="23"/>
      <c r="AI38" s="14"/>
      <c r="AJ38" s="23"/>
      <c r="AK38" s="21" t="s">
        <v>281</v>
      </c>
      <c r="AL38" s="11"/>
      <c r="AZ38" s="23"/>
      <c r="BD38" s="14"/>
      <c r="BE38" s="14"/>
      <c r="BG38" s="59"/>
      <c r="BK38" s="59"/>
      <c r="BV38" s="60"/>
    </row>
    <row r="39" spans="1:74" x14ac:dyDescent="0.3">
      <c r="A39" s="23"/>
      <c r="B39" s="23"/>
      <c r="H39" s="14"/>
      <c r="U39" s="14"/>
      <c r="AC39" s="23"/>
      <c r="AI39" s="14"/>
      <c r="AJ39" s="23"/>
      <c r="AK39" s="11"/>
      <c r="AL39" s="8" t="s">
        <v>282</v>
      </c>
      <c r="AZ39" s="23"/>
      <c r="BD39" s="14"/>
      <c r="BE39" s="14"/>
      <c r="BG39" s="59"/>
      <c r="BK39" s="59"/>
      <c r="BV39" s="60"/>
    </row>
    <row r="40" spans="1:74" x14ac:dyDescent="0.3">
      <c r="A40" s="23"/>
      <c r="B40" s="23"/>
      <c r="H40" s="14"/>
      <c r="U40" s="14"/>
      <c r="AC40" s="23"/>
      <c r="AI40" s="14"/>
      <c r="AJ40" s="23"/>
      <c r="AK40" s="11"/>
      <c r="AM40" s="11"/>
      <c r="AZ40" s="23"/>
      <c r="BD40" s="14"/>
      <c r="BE40" s="14"/>
      <c r="BG40" s="59"/>
      <c r="BK40" s="59"/>
      <c r="BV40" s="60"/>
    </row>
    <row r="41" spans="1:74" x14ac:dyDescent="0.3">
      <c r="A41" s="23"/>
      <c r="B41" s="23"/>
      <c r="H41" s="14"/>
      <c r="U41" s="14"/>
      <c r="AC41" s="23"/>
      <c r="AI41" s="14"/>
      <c r="AJ41" s="23"/>
      <c r="AM41" s="11"/>
      <c r="AZ41" s="23"/>
      <c r="BD41" s="14"/>
      <c r="BE41" s="14"/>
      <c r="BG41" s="59"/>
      <c r="BK41" s="59"/>
      <c r="BV41" s="60"/>
    </row>
    <row r="42" spans="1:74" x14ac:dyDescent="0.3">
      <c r="A42" s="23"/>
      <c r="B42" s="23"/>
      <c r="H42" s="14"/>
      <c r="U42" s="14"/>
      <c r="AC42" s="23"/>
      <c r="AI42" s="14"/>
      <c r="AJ42" s="23"/>
      <c r="AM42" s="11"/>
      <c r="AZ42" s="23"/>
      <c r="BD42" s="14"/>
      <c r="BE42" s="14"/>
      <c r="BG42" s="59"/>
      <c r="BK42" s="59"/>
      <c r="BV42" s="60"/>
    </row>
    <row r="43" spans="1:74" x14ac:dyDescent="0.3">
      <c r="A43" s="23"/>
      <c r="B43" s="23"/>
      <c r="H43" s="14"/>
      <c r="U43" s="14"/>
      <c r="AC43" s="23"/>
      <c r="AI43" s="14"/>
      <c r="AJ43" s="23"/>
      <c r="AZ43" s="23"/>
      <c r="BD43" s="14"/>
      <c r="BE43" s="14"/>
      <c r="BG43" s="59"/>
      <c r="BK43" s="59"/>
      <c r="BV43" s="60"/>
    </row>
    <row r="44" spans="1:74" x14ac:dyDescent="0.3">
      <c r="A44" s="23"/>
      <c r="B44" s="23"/>
      <c r="H44" s="14"/>
      <c r="U44" s="14"/>
      <c r="AC44" s="23"/>
      <c r="AI44" s="14"/>
      <c r="AJ44" s="23"/>
      <c r="AZ44" s="23"/>
      <c r="BD44" s="14"/>
      <c r="BE44" s="14"/>
      <c r="BG44" s="59"/>
      <c r="BK44" s="59"/>
      <c r="BV44" s="60"/>
    </row>
    <row r="45" spans="1:74" x14ac:dyDescent="0.3">
      <c r="A45" s="23"/>
      <c r="B45" s="50"/>
      <c r="C45" s="10"/>
      <c r="D45" s="10"/>
      <c r="E45" s="10"/>
      <c r="F45" s="10"/>
      <c r="G45" s="10"/>
      <c r="H45" s="15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5"/>
      <c r="V45" s="10"/>
      <c r="W45" s="10"/>
      <c r="X45" s="10"/>
      <c r="Y45" s="10"/>
      <c r="Z45" s="10"/>
      <c r="AA45" s="10"/>
      <c r="AB45" s="10"/>
      <c r="AC45" s="50"/>
      <c r="AD45" s="10"/>
      <c r="AE45" s="10"/>
      <c r="AF45" s="10"/>
      <c r="AG45" s="10"/>
      <c r="AH45" s="10"/>
      <c r="AI45" s="15"/>
      <c r="AJ45" s="5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50"/>
      <c r="BA45" s="10"/>
      <c r="BB45" s="10"/>
      <c r="BC45" s="10"/>
      <c r="BD45" s="15"/>
      <c r="BE45" s="14"/>
      <c r="BG45" s="61"/>
      <c r="BH45" s="62"/>
      <c r="BI45" s="62"/>
      <c r="BJ45" s="62"/>
      <c r="BK45" s="61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3"/>
    </row>
    <row r="46" spans="1:74" x14ac:dyDescent="0.3">
      <c r="A46" s="23"/>
      <c r="BE46" s="14"/>
    </row>
    <row r="47" spans="1:74" x14ac:dyDescent="0.3">
      <c r="A47" s="5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5"/>
    </row>
  </sheetData>
  <mergeCells count="26">
    <mergeCell ref="BK21:BV21"/>
    <mergeCell ref="BK22:BV22"/>
    <mergeCell ref="AZ8:BD9"/>
    <mergeCell ref="BG8:BJ9"/>
    <mergeCell ref="BK8:BV9"/>
    <mergeCell ref="AQ2:AV2"/>
    <mergeCell ref="AJ3:AK3"/>
    <mergeCell ref="AL3:AP3"/>
    <mergeCell ref="AQ3:AV3"/>
    <mergeCell ref="BL11:BU17"/>
    <mergeCell ref="B8:H9"/>
    <mergeCell ref="I8:U9"/>
    <mergeCell ref="V8:AI8"/>
    <mergeCell ref="AJ8:AY9"/>
    <mergeCell ref="A1:E1"/>
    <mergeCell ref="F1:U1"/>
    <mergeCell ref="V1:AI1"/>
    <mergeCell ref="AJ1:AP1"/>
    <mergeCell ref="AQ1:AV1"/>
    <mergeCell ref="A2:E3"/>
    <mergeCell ref="F2:U3"/>
    <mergeCell ref="V2:AI3"/>
    <mergeCell ref="AJ2:AK2"/>
    <mergeCell ref="AL2:AP2"/>
    <mergeCell ref="V9:AB9"/>
    <mergeCell ref="AC9:AI9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78C4-45F9-4EE6-8B24-62A7CA64C2A0}">
  <sheetPr>
    <tabColor theme="0" tint="-0.499984740745262"/>
    <pageSetUpPr autoPageBreaks="0"/>
  </sheetPr>
  <dimension ref="A1:CY247"/>
  <sheetViews>
    <sheetView showGridLines="0" zoomScale="75" zoomScaleNormal="80" workbookViewId="0">
      <pane ySplit="9" topLeftCell="A94" activePane="bottomLeft" state="frozen"/>
      <selection activeCell="AS57" sqref="AS57"/>
      <selection pane="bottomLeft" activeCell="L42" sqref="L42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29" width="2.453125" style="8"/>
    <col min="30" max="31" width="2.453125" style="8" customWidth="1"/>
    <col min="32" max="81" width="2.453125" style="8"/>
    <col min="82" max="82" width="2.453125" style="8" customWidth="1"/>
    <col min="83" max="16384" width="2.453125" style="8"/>
  </cols>
  <sheetData>
    <row r="1" spans="1:97" ht="15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97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7.その他取引計上old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97" ht="15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5" spans="1:97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</row>
    <row r="6" spans="1:97" s="11" customFormat="1" x14ac:dyDescent="0.3">
      <c r="A6" s="35" t="str">
        <f ca="1">RIGHT(CELL("filename",A1),LEN(CELL("filename",A1))-FIND("]",CELL("filename",A1)))</f>
        <v>7.その他取引計上old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36"/>
    </row>
    <row r="7" spans="1:97" s="11" customFormat="1" x14ac:dyDescent="0.3">
      <c r="A7" s="24"/>
      <c r="B7" s="12"/>
      <c r="C7" s="12"/>
      <c r="D7" s="12"/>
      <c r="E7" s="12"/>
      <c r="F7" s="12"/>
      <c r="G7" s="12"/>
      <c r="H7" s="12"/>
      <c r="CB7" s="13"/>
    </row>
    <row r="8" spans="1:97" s="11" customFormat="1" x14ac:dyDescent="0.3">
      <c r="A8" s="24"/>
      <c r="B8" s="225" t="s">
        <v>116</v>
      </c>
      <c r="C8" s="226"/>
      <c r="D8" s="226"/>
      <c r="E8" s="226"/>
      <c r="F8" s="226"/>
      <c r="G8" s="226"/>
      <c r="H8" s="227"/>
      <c r="I8" s="241" t="s">
        <v>283</v>
      </c>
      <c r="J8" s="241"/>
      <c r="K8" s="241"/>
      <c r="L8" s="241"/>
      <c r="M8" s="241"/>
      <c r="N8" s="241"/>
      <c r="O8" s="241"/>
      <c r="P8" s="241" t="s">
        <v>284</v>
      </c>
      <c r="Q8" s="241"/>
      <c r="R8" s="241"/>
      <c r="S8" s="241"/>
      <c r="T8" s="241"/>
      <c r="U8" s="241"/>
      <c r="V8" s="241"/>
      <c r="W8" s="231" t="s">
        <v>285</v>
      </c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3"/>
      <c r="AK8" s="241" t="s">
        <v>178</v>
      </c>
      <c r="AL8" s="241"/>
      <c r="AM8" s="241"/>
      <c r="AN8" s="241"/>
      <c r="AO8" s="241"/>
      <c r="AP8" s="241"/>
      <c r="AQ8" s="241"/>
      <c r="AR8" s="222" t="s">
        <v>92</v>
      </c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4"/>
      <c r="BF8" s="221" t="s">
        <v>110</v>
      </c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0" t="s">
        <v>112</v>
      </c>
      <c r="BW8" s="221"/>
      <c r="BX8" s="221"/>
      <c r="BY8" s="221"/>
      <c r="BZ8" s="221"/>
      <c r="CA8" s="221"/>
      <c r="CB8" s="13"/>
      <c r="CD8" s="245" t="s">
        <v>118</v>
      </c>
      <c r="CE8" s="246"/>
      <c r="CF8" s="246"/>
      <c r="CG8" s="246"/>
      <c r="CH8" s="248" t="s">
        <v>119</v>
      </c>
      <c r="CI8" s="249"/>
      <c r="CJ8" s="249"/>
      <c r="CK8" s="249"/>
      <c r="CL8" s="249"/>
      <c r="CM8" s="249"/>
      <c r="CN8" s="249"/>
      <c r="CO8" s="249"/>
      <c r="CP8" s="249"/>
      <c r="CQ8" s="249"/>
      <c r="CR8" s="249"/>
      <c r="CS8" s="249"/>
    </row>
    <row r="9" spans="1:97" s="11" customFormat="1" x14ac:dyDescent="0.3">
      <c r="A9" s="24"/>
      <c r="B9" s="228"/>
      <c r="C9" s="229"/>
      <c r="D9" s="229"/>
      <c r="E9" s="229"/>
      <c r="F9" s="229"/>
      <c r="G9" s="229"/>
      <c r="H9" s="230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31" t="s">
        <v>98</v>
      </c>
      <c r="X9" s="232"/>
      <c r="Y9" s="232"/>
      <c r="Z9" s="232"/>
      <c r="AA9" s="232"/>
      <c r="AB9" s="232"/>
      <c r="AC9" s="233"/>
      <c r="AD9" s="231" t="s">
        <v>99</v>
      </c>
      <c r="AE9" s="232"/>
      <c r="AF9" s="232"/>
      <c r="AG9" s="232"/>
      <c r="AH9" s="232"/>
      <c r="AI9" s="232"/>
      <c r="AJ9" s="233"/>
      <c r="AK9" s="241"/>
      <c r="AL9" s="241"/>
      <c r="AM9" s="241"/>
      <c r="AN9" s="241"/>
      <c r="AO9" s="241"/>
      <c r="AP9" s="241"/>
      <c r="AQ9" s="241"/>
      <c r="AR9" s="222" t="s">
        <v>107</v>
      </c>
      <c r="AS9" s="223"/>
      <c r="AT9" s="223"/>
      <c r="AU9" s="223"/>
      <c r="AV9" s="223"/>
      <c r="AW9" s="223"/>
      <c r="AX9" s="224"/>
      <c r="AY9" s="222" t="s">
        <v>109</v>
      </c>
      <c r="AZ9" s="223"/>
      <c r="BA9" s="223"/>
      <c r="BB9" s="223"/>
      <c r="BC9" s="223"/>
      <c r="BD9" s="223"/>
      <c r="BE9" s="224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13"/>
      <c r="CD9" s="247"/>
      <c r="CE9" s="247"/>
      <c r="CF9" s="247"/>
      <c r="CG9" s="247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</row>
    <row r="10" spans="1:97" s="11" customFormat="1" x14ac:dyDescent="0.3">
      <c r="A10" s="24"/>
      <c r="B10" s="37" t="s">
        <v>286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22"/>
      <c r="AZ10" s="22"/>
      <c r="BA10" s="22"/>
      <c r="BB10" s="22"/>
      <c r="BC10" s="22"/>
      <c r="BD10" s="22"/>
      <c r="BE10" s="2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40"/>
      <c r="CB10" s="13"/>
      <c r="CD10" s="54"/>
      <c r="CE10" s="55"/>
      <c r="CF10" s="55"/>
      <c r="CG10" s="55"/>
      <c r="CH10" s="54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6"/>
    </row>
    <row r="11" spans="1:97" s="11" customFormat="1" x14ac:dyDescent="0.3">
      <c r="A11" s="24"/>
      <c r="B11" s="41"/>
      <c r="C11" s="42"/>
      <c r="D11" s="42"/>
      <c r="E11" s="42"/>
      <c r="F11" s="42"/>
      <c r="G11" s="42"/>
      <c r="H11" s="43"/>
      <c r="I11" s="44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3"/>
      <c r="W11" s="44"/>
      <c r="X11" s="42"/>
      <c r="Y11" s="42"/>
      <c r="Z11" s="42"/>
      <c r="AA11" s="42"/>
      <c r="AB11" s="42"/>
      <c r="AC11" s="43"/>
      <c r="AD11" s="44"/>
      <c r="AE11" s="42"/>
      <c r="AF11" s="42"/>
      <c r="AG11" s="42"/>
      <c r="AH11" s="42"/>
      <c r="AI11" s="42"/>
      <c r="AJ11" s="43"/>
      <c r="AK11" s="44"/>
      <c r="AL11" s="42"/>
      <c r="AM11" s="42"/>
      <c r="AN11" s="42"/>
      <c r="AO11" s="42"/>
      <c r="AP11" s="42"/>
      <c r="AQ11" s="43"/>
      <c r="AR11" s="42"/>
      <c r="AS11" s="42"/>
      <c r="AT11" s="42"/>
      <c r="AU11" s="42"/>
      <c r="AV11" s="42"/>
      <c r="AW11" s="42"/>
      <c r="AX11" s="43"/>
      <c r="AY11" s="44"/>
      <c r="AZ11" s="42"/>
      <c r="BA11" s="42"/>
      <c r="BB11" s="42"/>
      <c r="BC11" s="42"/>
      <c r="BD11" s="42"/>
      <c r="BE11" s="43"/>
      <c r="BF11" s="45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4"/>
      <c r="BW11" s="42"/>
      <c r="BX11" s="42"/>
      <c r="BY11" s="42"/>
      <c r="BZ11" s="42"/>
      <c r="CA11" s="43"/>
      <c r="CB11" s="13"/>
      <c r="CD11" s="57"/>
      <c r="CH11" s="57"/>
      <c r="CS11" s="58"/>
    </row>
    <row r="12" spans="1:97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19"/>
      <c r="W12" s="27"/>
      <c r="X12" s="20"/>
      <c r="Y12" s="20"/>
      <c r="Z12" s="20"/>
      <c r="AA12" s="20"/>
      <c r="AB12" s="20"/>
      <c r="AC12" s="19"/>
      <c r="AD12" s="27"/>
      <c r="AE12" s="20"/>
      <c r="AF12" s="20"/>
      <c r="AG12" s="20"/>
      <c r="AH12" s="20"/>
      <c r="AI12" s="20"/>
      <c r="AJ12" s="19"/>
      <c r="AK12" s="27"/>
      <c r="AL12" s="20"/>
      <c r="AM12" s="20"/>
      <c r="AN12" s="20"/>
      <c r="AO12" s="20"/>
      <c r="AP12" s="20"/>
      <c r="AQ12" s="19"/>
      <c r="AR12" s="20"/>
      <c r="AS12" s="20"/>
      <c r="AT12" s="20"/>
      <c r="AU12" s="20"/>
      <c r="AV12" s="20"/>
      <c r="AW12" s="20"/>
      <c r="AX12" s="19"/>
      <c r="AY12" s="27"/>
      <c r="AZ12" s="20"/>
      <c r="BA12" s="20"/>
      <c r="BB12" s="20"/>
      <c r="BC12" s="20"/>
      <c r="BD12" s="20"/>
      <c r="BE12" s="19"/>
      <c r="BF12" s="34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27"/>
      <c r="BW12" s="20"/>
      <c r="BX12" s="20"/>
      <c r="BY12" s="20"/>
      <c r="BZ12" s="20"/>
      <c r="CA12" s="19"/>
      <c r="CB12" s="13"/>
      <c r="CD12" s="57"/>
      <c r="CH12" s="242"/>
      <c r="CI12" s="243"/>
      <c r="CJ12" s="243"/>
      <c r="CK12" s="243"/>
      <c r="CL12" s="243"/>
      <c r="CM12" s="243"/>
      <c r="CN12" s="243"/>
      <c r="CO12" s="243"/>
      <c r="CP12" s="243"/>
      <c r="CQ12" s="243"/>
      <c r="CR12" s="243"/>
      <c r="CS12" s="244"/>
    </row>
    <row r="13" spans="1:97" s="11" customFormat="1" x14ac:dyDescent="0.3">
      <c r="A13" s="24"/>
      <c r="B13" s="26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19"/>
      <c r="W13" s="27"/>
      <c r="X13" s="20"/>
      <c r="Y13" s="20"/>
      <c r="Z13" s="20"/>
      <c r="AA13" s="20"/>
      <c r="AB13" s="20"/>
      <c r="AC13" s="19"/>
      <c r="AD13" s="27"/>
      <c r="AE13" s="20"/>
      <c r="AF13" s="20"/>
      <c r="AG13" s="20"/>
      <c r="AH13" s="20"/>
      <c r="AI13" s="20"/>
      <c r="AJ13" s="19"/>
      <c r="AK13" s="27"/>
      <c r="AL13" s="20"/>
      <c r="AM13" s="20"/>
      <c r="AN13" s="20"/>
      <c r="AO13" s="20"/>
      <c r="AP13" s="20"/>
      <c r="AQ13" s="19"/>
      <c r="AR13" s="20"/>
      <c r="AS13" s="20"/>
      <c r="AT13" s="20"/>
      <c r="AU13" s="20"/>
      <c r="AV13" s="20"/>
      <c r="AW13" s="20"/>
      <c r="AX13" s="19"/>
      <c r="AY13" s="27"/>
      <c r="AZ13" s="20"/>
      <c r="BA13" s="20"/>
      <c r="BB13" s="20"/>
      <c r="BC13" s="20"/>
      <c r="BD13" s="20"/>
      <c r="BE13" s="19"/>
      <c r="BF13" s="34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27"/>
      <c r="BW13" s="20"/>
      <c r="BX13" s="20"/>
      <c r="BY13" s="20"/>
      <c r="BZ13" s="20"/>
      <c r="CA13" s="19"/>
      <c r="CB13" s="13"/>
      <c r="CD13" s="57"/>
      <c r="CH13" s="242"/>
      <c r="CI13" s="243"/>
      <c r="CJ13" s="243"/>
      <c r="CK13" s="243"/>
      <c r="CL13" s="243"/>
      <c r="CM13" s="243"/>
      <c r="CN13" s="243"/>
      <c r="CO13" s="243"/>
      <c r="CP13" s="243"/>
      <c r="CQ13" s="243"/>
      <c r="CR13" s="243"/>
      <c r="CS13" s="244"/>
    </row>
    <row r="14" spans="1:97" s="11" customFormat="1" x14ac:dyDescent="0.3">
      <c r="A14" s="24"/>
      <c r="B14" s="26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19"/>
      <c r="W14" s="27"/>
      <c r="X14" s="20"/>
      <c r="Y14" s="20"/>
      <c r="Z14" s="20"/>
      <c r="AA14" s="20"/>
      <c r="AB14" s="20"/>
      <c r="AC14" s="19"/>
      <c r="AD14" s="27"/>
      <c r="AE14" s="20"/>
      <c r="AF14" s="20"/>
      <c r="AG14" s="20"/>
      <c r="AH14" s="20"/>
      <c r="AI14" s="20"/>
      <c r="AJ14" s="19"/>
      <c r="AK14" s="27"/>
      <c r="AL14" s="20"/>
      <c r="AM14" s="20"/>
      <c r="AN14" s="20"/>
      <c r="AO14" s="20"/>
      <c r="AP14" s="20"/>
      <c r="AQ14" s="19"/>
      <c r="AR14" s="20"/>
      <c r="AS14" s="20"/>
      <c r="AT14" s="20"/>
      <c r="AU14" s="20"/>
      <c r="AV14" s="20"/>
      <c r="AW14" s="20"/>
      <c r="AX14" s="19"/>
      <c r="AY14" s="27"/>
      <c r="AZ14" s="20"/>
      <c r="BA14" s="20"/>
      <c r="BB14" s="20"/>
      <c r="BC14" s="20"/>
      <c r="BD14" s="20"/>
      <c r="BE14" s="19"/>
      <c r="BF14" s="34"/>
      <c r="BG14" s="21" t="s">
        <v>287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27"/>
      <c r="BW14" s="20"/>
      <c r="BX14" s="20"/>
      <c r="BY14" s="20"/>
      <c r="BZ14" s="20"/>
      <c r="CA14" s="19"/>
      <c r="CB14" s="13"/>
      <c r="CD14" s="57"/>
      <c r="CH14" s="68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70"/>
    </row>
    <row r="15" spans="1:97" s="11" customFormat="1" x14ac:dyDescent="0.3">
      <c r="A15" s="24"/>
      <c r="B15" s="26"/>
      <c r="C15" s="20"/>
      <c r="D15" s="20"/>
      <c r="E15" s="20"/>
      <c r="F15" s="20"/>
      <c r="G15" s="20"/>
      <c r="H15" s="19"/>
      <c r="I15" s="27"/>
      <c r="J15" s="20"/>
      <c r="K15" s="20"/>
      <c r="L15" s="20"/>
      <c r="M15" s="20"/>
      <c r="N15" s="20"/>
      <c r="O15" s="19"/>
      <c r="P15" s="27"/>
      <c r="Q15" s="20"/>
      <c r="R15" s="20"/>
      <c r="S15" s="20"/>
      <c r="T15" s="20"/>
      <c r="U15" s="20"/>
      <c r="V15" s="19"/>
      <c r="W15" s="27"/>
      <c r="X15" s="20"/>
      <c r="Y15" s="20"/>
      <c r="Z15" s="20"/>
      <c r="AA15" s="20"/>
      <c r="AB15" s="20"/>
      <c r="AC15" s="19"/>
      <c r="AD15" s="27"/>
      <c r="AE15" s="20"/>
      <c r="AF15" s="20"/>
      <c r="AG15" s="20"/>
      <c r="AH15" s="20"/>
      <c r="AI15" s="20"/>
      <c r="AJ15" s="19"/>
      <c r="AK15" s="27"/>
      <c r="AL15" s="20"/>
      <c r="AM15" s="20"/>
      <c r="AN15" s="20"/>
      <c r="AO15" s="20"/>
      <c r="AP15" s="20"/>
      <c r="AQ15" s="19"/>
      <c r="AR15" s="20"/>
      <c r="AS15" s="20"/>
      <c r="AT15" s="20"/>
      <c r="AU15" s="20"/>
      <c r="AV15" s="20"/>
      <c r="AW15" s="20"/>
      <c r="AX15" s="19"/>
      <c r="AY15" s="27"/>
      <c r="AZ15" s="20"/>
      <c r="BA15" s="20"/>
      <c r="BB15" s="20"/>
      <c r="BC15" s="20"/>
      <c r="BD15" s="20"/>
      <c r="BE15" s="19"/>
      <c r="BF15" s="34"/>
      <c r="BG15" s="17"/>
      <c r="BH15" s="17" t="s">
        <v>288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27"/>
      <c r="BW15" s="20"/>
      <c r="BX15" s="20"/>
      <c r="BY15" s="20"/>
      <c r="BZ15" s="20"/>
      <c r="CA15" s="19"/>
      <c r="CB15" s="13"/>
      <c r="CD15" s="57"/>
      <c r="CH15" s="68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70"/>
    </row>
    <row r="16" spans="1:97" s="11" customFormat="1" x14ac:dyDescent="0.3">
      <c r="A16" s="24"/>
      <c r="B16" s="26"/>
      <c r="C16" s="20"/>
      <c r="D16" s="20"/>
      <c r="E16" s="20"/>
      <c r="F16" s="20"/>
      <c r="G16" s="20"/>
      <c r="H16" s="19"/>
      <c r="I16" s="27"/>
      <c r="J16" s="20"/>
      <c r="K16" s="20"/>
      <c r="L16" s="20"/>
      <c r="M16" s="20"/>
      <c r="N16" s="20"/>
      <c r="O16" s="19"/>
      <c r="P16" s="27"/>
      <c r="Q16" s="20"/>
      <c r="R16" s="20"/>
      <c r="S16" s="20"/>
      <c r="T16" s="20"/>
      <c r="U16" s="20"/>
      <c r="V16" s="19"/>
      <c r="W16" s="27"/>
      <c r="X16" s="20"/>
      <c r="Y16" s="20"/>
      <c r="Z16" s="20"/>
      <c r="AA16" s="20"/>
      <c r="AB16" s="20"/>
      <c r="AC16" s="19"/>
      <c r="AD16" s="27"/>
      <c r="AE16" s="20"/>
      <c r="AF16" s="20"/>
      <c r="AG16" s="20"/>
      <c r="AH16" s="20"/>
      <c r="AI16" s="20"/>
      <c r="AJ16" s="19"/>
      <c r="AK16" s="27"/>
      <c r="AL16" s="20"/>
      <c r="AM16" s="20"/>
      <c r="AN16" s="20"/>
      <c r="AO16" s="20"/>
      <c r="AP16" s="20"/>
      <c r="AQ16" s="19"/>
      <c r="AR16" s="20"/>
      <c r="AS16" s="20"/>
      <c r="AT16" s="20"/>
      <c r="AU16" s="20"/>
      <c r="AV16" s="20"/>
      <c r="AW16" s="20"/>
      <c r="AX16" s="19"/>
      <c r="AY16" s="27"/>
      <c r="AZ16" s="20"/>
      <c r="BA16" s="20"/>
      <c r="BB16" s="20"/>
      <c r="BC16" s="20"/>
      <c r="BD16" s="20"/>
      <c r="BE16" s="19"/>
      <c r="BF16" s="34"/>
      <c r="BG16" s="17"/>
      <c r="BH16" s="17" t="s">
        <v>289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27"/>
      <c r="BW16" s="20"/>
      <c r="BX16" s="20"/>
      <c r="BY16" s="20"/>
      <c r="BZ16" s="20"/>
      <c r="CA16" s="19"/>
      <c r="CB16" s="13"/>
      <c r="CD16" s="57"/>
      <c r="CH16" s="68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70"/>
    </row>
    <row r="17" spans="1:97" s="11" customFormat="1" x14ac:dyDescent="0.3">
      <c r="A17" s="24"/>
      <c r="B17" s="26"/>
      <c r="C17" s="20"/>
      <c r="D17" s="20"/>
      <c r="E17" s="20"/>
      <c r="F17" s="20"/>
      <c r="G17" s="20"/>
      <c r="H17" s="19"/>
      <c r="I17" s="27"/>
      <c r="J17" s="20"/>
      <c r="K17" s="20"/>
      <c r="L17" s="20"/>
      <c r="M17" s="20"/>
      <c r="N17" s="20"/>
      <c r="O17" s="19"/>
      <c r="P17" s="27"/>
      <c r="Q17" s="20"/>
      <c r="R17" s="20"/>
      <c r="S17" s="20"/>
      <c r="T17" s="20"/>
      <c r="U17" s="20"/>
      <c r="V17" s="19"/>
      <c r="W17" s="27"/>
      <c r="X17" s="20"/>
      <c r="Y17" s="20"/>
      <c r="Z17" s="20"/>
      <c r="AA17" s="20"/>
      <c r="AB17" s="20"/>
      <c r="AC17" s="19"/>
      <c r="AD17" s="27"/>
      <c r="AE17" s="20"/>
      <c r="AF17" s="20"/>
      <c r="AG17" s="20"/>
      <c r="AH17" s="20"/>
      <c r="AI17" s="20"/>
      <c r="AJ17" s="19"/>
      <c r="AK17" s="27"/>
      <c r="AL17" s="20"/>
      <c r="AM17" s="20"/>
      <c r="AN17" s="20"/>
      <c r="AO17" s="20"/>
      <c r="AP17" s="20"/>
      <c r="AQ17" s="19"/>
      <c r="AR17" s="20"/>
      <c r="AS17" s="20"/>
      <c r="AT17" s="20"/>
      <c r="AU17" s="20"/>
      <c r="AV17" s="20"/>
      <c r="AW17" s="20"/>
      <c r="AX17" s="19"/>
      <c r="AY17" s="27"/>
      <c r="AZ17" s="20"/>
      <c r="BA17" s="20"/>
      <c r="BB17" s="20"/>
      <c r="BC17" s="20"/>
      <c r="BD17" s="20"/>
      <c r="BE17" s="19"/>
      <c r="BF17" s="34"/>
      <c r="BG17" s="17"/>
      <c r="BH17" s="17" t="s">
        <v>290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27"/>
      <c r="BW17" s="20"/>
      <c r="BX17" s="20"/>
      <c r="BY17" s="20"/>
      <c r="BZ17" s="20"/>
      <c r="CA17" s="19"/>
      <c r="CB17" s="13"/>
      <c r="CD17" s="57"/>
      <c r="CH17" s="68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70"/>
    </row>
    <row r="18" spans="1:97" s="11" customFormat="1" x14ac:dyDescent="0.3">
      <c r="A18" s="24"/>
      <c r="B18" s="26"/>
      <c r="C18" s="20"/>
      <c r="D18" s="20"/>
      <c r="E18" s="20"/>
      <c r="F18" s="20"/>
      <c r="G18" s="20"/>
      <c r="H18" s="19"/>
      <c r="I18" s="27"/>
      <c r="J18" s="20"/>
      <c r="K18" s="20"/>
      <c r="L18" s="20"/>
      <c r="M18" s="20"/>
      <c r="N18" s="20"/>
      <c r="O18" s="19"/>
      <c r="P18" s="27"/>
      <c r="Q18" s="20"/>
      <c r="R18" s="20"/>
      <c r="S18" s="20"/>
      <c r="T18" s="20"/>
      <c r="U18" s="20"/>
      <c r="V18" s="19"/>
      <c r="W18" s="27"/>
      <c r="X18" s="20"/>
      <c r="Y18" s="20"/>
      <c r="Z18" s="20"/>
      <c r="AA18" s="20"/>
      <c r="AB18" s="20"/>
      <c r="AC18" s="19"/>
      <c r="AD18" s="27"/>
      <c r="AE18" s="20"/>
      <c r="AF18" s="20"/>
      <c r="AG18" s="20"/>
      <c r="AH18" s="20"/>
      <c r="AI18" s="20"/>
      <c r="AJ18" s="19"/>
      <c r="AK18" s="27"/>
      <c r="AL18" s="20"/>
      <c r="AM18" s="20"/>
      <c r="AN18" s="20"/>
      <c r="AO18" s="20"/>
      <c r="AP18" s="20"/>
      <c r="AQ18" s="19"/>
      <c r="AR18" s="20"/>
      <c r="AS18" s="20"/>
      <c r="AT18" s="20"/>
      <c r="AU18" s="20"/>
      <c r="AV18" s="20"/>
      <c r="AW18" s="20"/>
      <c r="AX18" s="19"/>
      <c r="AY18" s="27"/>
      <c r="AZ18" s="20"/>
      <c r="BA18" s="20"/>
      <c r="BB18" s="20"/>
      <c r="BC18" s="20"/>
      <c r="BD18" s="20"/>
      <c r="BE18" s="19"/>
      <c r="BF18" s="34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27"/>
      <c r="BW18" s="20"/>
      <c r="BX18" s="20"/>
      <c r="BY18" s="20"/>
      <c r="BZ18" s="20"/>
      <c r="CA18" s="19"/>
      <c r="CB18" s="13"/>
      <c r="CD18" s="57"/>
      <c r="CH18" s="68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70"/>
    </row>
    <row r="19" spans="1:97" s="11" customFormat="1" x14ac:dyDescent="0.3">
      <c r="A19" s="24"/>
      <c r="B19" s="26"/>
      <c r="C19" s="20"/>
      <c r="D19" s="20"/>
      <c r="E19" s="20"/>
      <c r="F19" s="20"/>
      <c r="G19" s="20"/>
      <c r="H19" s="19"/>
      <c r="I19" s="27"/>
      <c r="J19" s="20"/>
      <c r="K19" s="20"/>
      <c r="L19" s="20"/>
      <c r="M19" s="20"/>
      <c r="N19" s="20"/>
      <c r="O19" s="19"/>
      <c r="P19" s="27"/>
      <c r="Q19" s="20"/>
      <c r="R19" s="20"/>
      <c r="S19" s="20"/>
      <c r="T19" s="20"/>
      <c r="U19" s="20"/>
      <c r="V19" s="19"/>
      <c r="W19" s="27"/>
      <c r="X19" s="20"/>
      <c r="Y19" s="20"/>
      <c r="Z19" s="20"/>
      <c r="AA19" s="20"/>
      <c r="AB19" s="20"/>
      <c r="AC19" s="19"/>
      <c r="AD19" s="27"/>
      <c r="AE19" s="20"/>
      <c r="AF19" s="20"/>
      <c r="AG19" s="20"/>
      <c r="AH19" s="20"/>
      <c r="AI19" s="20"/>
      <c r="AJ19" s="19"/>
      <c r="AK19" s="27"/>
      <c r="AL19" s="20"/>
      <c r="AM19" s="20"/>
      <c r="AN19" s="20"/>
      <c r="AO19" s="20"/>
      <c r="AP19" s="20"/>
      <c r="AQ19" s="19"/>
      <c r="AR19" s="20"/>
      <c r="AS19" s="20"/>
      <c r="AT19" s="20"/>
      <c r="AU19" s="20"/>
      <c r="AV19" s="20"/>
      <c r="AW19" s="20"/>
      <c r="AX19" s="19"/>
      <c r="AY19" s="27"/>
      <c r="AZ19" s="20"/>
      <c r="BA19" s="20"/>
      <c r="BB19" s="20"/>
      <c r="BC19" s="20"/>
      <c r="BD19" s="20"/>
      <c r="BE19" s="19"/>
      <c r="BF19" s="34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27"/>
      <c r="BW19" s="20"/>
      <c r="BX19" s="20"/>
      <c r="BY19" s="20"/>
      <c r="BZ19" s="20"/>
      <c r="CA19" s="19"/>
      <c r="CB19" s="13"/>
      <c r="CD19" s="57"/>
      <c r="CH19" s="68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70"/>
    </row>
    <row r="20" spans="1:97" s="11" customFormat="1" x14ac:dyDescent="0.3">
      <c r="A20" s="24"/>
      <c r="B20" s="26"/>
      <c r="C20" s="20"/>
      <c r="D20" s="20"/>
      <c r="E20" s="20"/>
      <c r="F20" s="20"/>
      <c r="G20" s="20"/>
      <c r="H20" s="19"/>
      <c r="I20" s="27"/>
      <c r="J20" s="20"/>
      <c r="K20" s="20"/>
      <c r="L20" s="20"/>
      <c r="M20" s="20"/>
      <c r="N20" s="20"/>
      <c r="O20" s="19"/>
      <c r="P20" s="27"/>
      <c r="Q20" s="20"/>
      <c r="R20" s="20"/>
      <c r="S20" s="20"/>
      <c r="T20" s="20"/>
      <c r="U20" s="20"/>
      <c r="V20" s="19"/>
      <c r="W20" s="27"/>
      <c r="X20" s="20"/>
      <c r="Y20" s="20"/>
      <c r="Z20" s="20"/>
      <c r="AA20" s="20"/>
      <c r="AB20" s="20"/>
      <c r="AC20" s="19"/>
      <c r="AD20" s="27"/>
      <c r="AE20" s="20"/>
      <c r="AF20" s="20"/>
      <c r="AG20" s="20"/>
      <c r="AH20" s="20"/>
      <c r="AI20" s="20"/>
      <c r="AJ20" s="19"/>
      <c r="AK20" s="27"/>
      <c r="AL20" s="20"/>
      <c r="AM20" s="20"/>
      <c r="AN20" s="20"/>
      <c r="AO20" s="20"/>
      <c r="AP20" s="20"/>
      <c r="AQ20" s="19"/>
      <c r="AR20" s="20"/>
      <c r="AS20" s="20"/>
      <c r="AT20" s="20"/>
      <c r="AU20" s="20"/>
      <c r="AV20" s="20"/>
      <c r="AW20" s="20"/>
      <c r="AX20" s="19"/>
      <c r="AY20" s="27"/>
      <c r="AZ20" s="20"/>
      <c r="BA20" s="20"/>
      <c r="BB20" s="20"/>
      <c r="BC20" s="20"/>
      <c r="BD20" s="20"/>
      <c r="BE20" s="19"/>
      <c r="BF20" s="34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27"/>
      <c r="BW20" s="20"/>
      <c r="BX20" s="20"/>
      <c r="BY20" s="20"/>
      <c r="BZ20" s="20"/>
      <c r="CA20" s="19"/>
      <c r="CB20" s="13"/>
      <c r="CD20" s="57"/>
      <c r="CH20" s="68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70"/>
    </row>
    <row r="21" spans="1:97" s="11" customFormat="1" x14ac:dyDescent="0.3">
      <c r="A21" s="24"/>
      <c r="B21" s="26"/>
      <c r="C21" s="20"/>
      <c r="D21" s="20"/>
      <c r="E21" s="20"/>
      <c r="F21" s="20"/>
      <c r="G21" s="20"/>
      <c r="H21" s="19"/>
      <c r="I21" s="27"/>
      <c r="J21" s="20"/>
      <c r="K21" s="20"/>
      <c r="L21" s="20"/>
      <c r="M21" s="20"/>
      <c r="N21" s="20"/>
      <c r="O21" s="19"/>
      <c r="P21" s="27"/>
      <c r="Q21" s="20"/>
      <c r="R21" s="20"/>
      <c r="S21" s="20"/>
      <c r="T21" s="20"/>
      <c r="U21" s="20"/>
      <c r="V21" s="19"/>
      <c r="W21" s="27"/>
      <c r="X21" s="20"/>
      <c r="Y21" s="20"/>
      <c r="Z21" s="20"/>
      <c r="AA21" s="20"/>
      <c r="AB21" s="20"/>
      <c r="AC21" s="19"/>
      <c r="AD21" s="27"/>
      <c r="AE21" s="20"/>
      <c r="AF21" s="20"/>
      <c r="AG21" s="20"/>
      <c r="AH21" s="20"/>
      <c r="AI21" s="20"/>
      <c r="AJ21" s="19"/>
      <c r="AK21" s="27"/>
      <c r="AL21" s="20"/>
      <c r="AM21" s="20"/>
      <c r="AN21" s="20"/>
      <c r="AO21" s="20"/>
      <c r="AP21" s="20"/>
      <c r="AQ21" s="19"/>
      <c r="AR21" s="20"/>
      <c r="AS21" s="20"/>
      <c r="AT21" s="20"/>
      <c r="AU21" s="20"/>
      <c r="AV21" s="20"/>
      <c r="AW21" s="20"/>
      <c r="AX21" s="19"/>
      <c r="AY21" s="27"/>
      <c r="AZ21" s="20"/>
      <c r="BA21" s="20"/>
      <c r="BB21" s="20"/>
      <c r="BC21" s="20"/>
      <c r="BD21" s="20"/>
      <c r="BE21" s="19"/>
      <c r="BF21" s="34"/>
      <c r="BG21" s="21" t="s">
        <v>291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27"/>
      <c r="BW21" s="20"/>
      <c r="BX21" s="20"/>
      <c r="BY21" s="20"/>
      <c r="BZ21" s="20"/>
      <c r="CA21" s="19"/>
      <c r="CB21" s="13"/>
      <c r="CD21" s="57"/>
      <c r="CH21" s="68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70"/>
    </row>
    <row r="22" spans="1:97" s="11" customFormat="1" x14ac:dyDescent="0.3">
      <c r="A22" s="24"/>
      <c r="B22" s="26"/>
      <c r="C22" s="20"/>
      <c r="D22" s="20"/>
      <c r="E22" s="20"/>
      <c r="F22" s="20"/>
      <c r="G22" s="20"/>
      <c r="H22" s="19"/>
      <c r="I22" s="27"/>
      <c r="J22" s="20"/>
      <c r="K22" s="20"/>
      <c r="L22" s="20"/>
      <c r="M22" s="20"/>
      <c r="N22" s="20"/>
      <c r="O22" s="19"/>
      <c r="P22" s="27"/>
      <c r="Q22" s="20"/>
      <c r="R22" s="20"/>
      <c r="S22" s="20"/>
      <c r="T22" s="20"/>
      <c r="U22" s="20"/>
      <c r="V22" s="19"/>
      <c r="W22" s="27"/>
      <c r="X22" s="20"/>
      <c r="Y22" s="20"/>
      <c r="Z22" s="20"/>
      <c r="AA22" s="20"/>
      <c r="AB22" s="20"/>
      <c r="AC22" s="19"/>
      <c r="AD22" s="27"/>
      <c r="AE22" s="20"/>
      <c r="AF22" s="20"/>
      <c r="AG22" s="20"/>
      <c r="AH22" s="20"/>
      <c r="AI22" s="20"/>
      <c r="AJ22" s="19"/>
      <c r="AK22" s="27"/>
      <c r="AL22" s="20"/>
      <c r="AM22" s="20"/>
      <c r="AN22" s="20"/>
      <c r="AO22" s="20"/>
      <c r="AP22" s="20"/>
      <c r="AQ22" s="19"/>
      <c r="AR22" s="20"/>
      <c r="AS22" s="20"/>
      <c r="AT22" s="20"/>
      <c r="AU22" s="20"/>
      <c r="AV22" s="20"/>
      <c r="AW22" s="20"/>
      <c r="AX22" s="19"/>
      <c r="AY22" s="27"/>
      <c r="AZ22" s="20"/>
      <c r="BA22" s="20"/>
      <c r="BB22" s="20"/>
      <c r="BC22" s="20"/>
      <c r="BD22" s="20"/>
      <c r="BE22" s="19"/>
      <c r="BF22" s="34"/>
      <c r="BG22" s="17"/>
      <c r="BH22" s="17" t="s">
        <v>292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27"/>
      <c r="BW22" s="20"/>
      <c r="BX22" s="20"/>
      <c r="BY22" s="20"/>
      <c r="BZ22" s="20"/>
      <c r="CA22" s="19"/>
      <c r="CB22" s="13"/>
      <c r="CD22" s="57"/>
      <c r="CH22" s="68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70"/>
    </row>
    <row r="23" spans="1:97" s="11" customFormat="1" x14ac:dyDescent="0.3">
      <c r="A23" s="24"/>
      <c r="B23" s="26"/>
      <c r="C23" s="20"/>
      <c r="D23" s="20"/>
      <c r="E23" s="20"/>
      <c r="F23" s="20"/>
      <c r="G23" s="20"/>
      <c r="H23" s="19"/>
      <c r="I23" s="27"/>
      <c r="J23" s="20"/>
      <c r="K23" s="20"/>
      <c r="L23" s="20"/>
      <c r="M23" s="20"/>
      <c r="N23" s="20"/>
      <c r="O23" s="19"/>
      <c r="P23" s="27"/>
      <c r="Q23" s="20"/>
      <c r="R23" s="20"/>
      <c r="S23" s="20"/>
      <c r="T23" s="20"/>
      <c r="U23" s="20"/>
      <c r="V23" s="19"/>
      <c r="W23" s="27"/>
      <c r="X23" s="20"/>
      <c r="Y23" s="20"/>
      <c r="Z23" s="20"/>
      <c r="AA23" s="20"/>
      <c r="AB23" s="20"/>
      <c r="AC23" s="19"/>
      <c r="AD23" s="27"/>
      <c r="AE23" s="20"/>
      <c r="AF23" s="20"/>
      <c r="AG23" s="20"/>
      <c r="AH23" s="20"/>
      <c r="AI23" s="20"/>
      <c r="AJ23" s="19"/>
      <c r="AK23" s="27"/>
      <c r="AL23" s="20"/>
      <c r="AM23" s="20"/>
      <c r="AN23" s="20"/>
      <c r="AO23" s="20"/>
      <c r="AP23" s="20"/>
      <c r="AQ23" s="19"/>
      <c r="AR23" s="20"/>
      <c r="AS23" s="20"/>
      <c r="AT23" s="20"/>
      <c r="AU23" s="20"/>
      <c r="AV23" s="20"/>
      <c r="AW23" s="20"/>
      <c r="AX23" s="19"/>
      <c r="AY23" s="27"/>
      <c r="AZ23" s="20"/>
      <c r="BA23" s="20"/>
      <c r="BB23" s="20"/>
      <c r="BC23" s="20"/>
      <c r="BD23" s="20"/>
      <c r="BE23" s="19"/>
      <c r="BF23" s="34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27"/>
      <c r="BW23" s="20"/>
      <c r="BX23" s="20"/>
      <c r="BY23" s="20"/>
      <c r="BZ23" s="20"/>
      <c r="CA23" s="19"/>
      <c r="CB23" s="13"/>
      <c r="CD23" s="57"/>
      <c r="CH23" s="68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70"/>
    </row>
    <row r="24" spans="1:97" s="11" customFormat="1" x14ac:dyDescent="0.3">
      <c r="A24" s="24"/>
      <c r="B24" s="26"/>
      <c r="C24" s="20"/>
      <c r="D24" s="20"/>
      <c r="E24" s="20"/>
      <c r="F24" s="20"/>
      <c r="G24" s="20"/>
      <c r="H24" s="19"/>
      <c r="I24" s="27"/>
      <c r="J24" s="20"/>
      <c r="K24" s="20"/>
      <c r="L24" s="20"/>
      <c r="M24" s="20"/>
      <c r="N24" s="20"/>
      <c r="O24" s="19"/>
      <c r="P24" s="27"/>
      <c r="Q24" s="20"/>
      <c r="R24" s="20"/>
      <c r="S24" s="20"/>
      <c r="T24" s="20"/>
      <c r="U24" s="20"/>
      <c r="V24" s="19"/>
      <c r="W24" s="27"/>
      <c r="X24" s="20"/>
      <c r="Y24" s="20"/>
      <c r="Z24" s="20"/>
      <c r="AA24" s="20"/>
      <c r="AB24" s="20"/>
      <c r="AC24" s="19"/>
      <c r="AD24" s="27"/>
      <c r="AE24" s="20"/>
      <c r="AF24" s="20"/>
      <c r="AG24" s="20"/>
      <c r="AH24" s="20"/>
      <c r="AI24" s="20"/>
      <c r="AJ24" s="19"/>
      <c r="AK24" s="27"/>
      <c r="AL24" s="20"/>
      <c r="AM24" s="20"/>
      <c r="AN24" s="20"/>
      <c r="AO24" s="20"/>
      <c r="AP24" s="20"/>
      <c r="AQ24" s="19"/>
      <c r="AR24" s="20"/>
      <c r="AS24" s="20"/>
      <c r="AT24" s="20"/>
      <c r="AU24" s="20"/>
      <c r="AV24" s="20"/>
      <c r="AW24" s="20"/>
      <c r="AX24" s="19"/>
      <c r="AY24" s="27"/>
      <c r="AZ24" s="20"/>
      <c r="BA24" s="20"/>
      <c r="BB24" s="20"/>
      <c r="BC24" s="20"/>
      <c r="BD24" s="20"/>
      <c r="BE24" s="19"/>
      <c r="BF24" s="34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27"/>
      <c r="BW24" s="20"/>
      <c r="BX24" s="20"/>
      <c r="BY24" s="20"/>
      <c r="BZ24" s="20"/>
      <c r="CA24" s="19"/>
      <c r="CB24" s="13"/>
      <c r="CD24" s="57"/>
      <c r="CH24" s="68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70"/>
    </row>
    <row r="25" spans="1:97" s="11" customFormat="1" x14ac:dyDescent="0.3">
      <c r="A25" s="24"/>
      <c r="B25" s="26"/>
      <c r="C25" s="20"/>
      <c r="D25" s="20"/>
      <c r="E25" s="20"/>
      <c r="F25" s="20"/>
      <c r="G25" s="20"/>
      <c r="H25" s="19"/>
      <c r="I25" s="27"/>
      <c r="J25" s="20"/>
      <c r="K25" s="20"/>
      <c r="L25" s="20"/>
      <c r="M25" s="20"/>
      <c r="N25" s="20"/>
      <c r="O25" s="19"/>
      <c r="P25" s="27"/>
      <c r="Q25" s="20"/>
      <c r="R25" s="20"/>
      <c r="S25" s="20"/>
      <c r="T25" s="20"/>
      <c r="U25" s="20"/>
      <c r="V25" s="19"/>
      <c r="W25" s="27"/>
      <c r="X25" s="20"/>
      <c r="Y25" s="20"/>
      <c r="Z25" s="20"/>
      <c r="AA25" s="20"/>
      <c r="AB25" s="20"/>
      <c r="AC25" s="19"/>
      <c r="AD25" s="27"/>
      <c r="AE25" s="20"/>
      <c r="AF25" s="20"/>
      <c r="AG25" s="20"/>
      <c r="AH25" s="20"/>
      <c r="AI25" s="20"/>
      <c r="AJ25" s="19"/>
      <c r="AK25" s="27"/>
      <c r="AL25" s="20"/>
      <c r="AM25" s="20"/>
      <c r="AN25" s="20"/>
      <c r="AO25" s="20"/>
      <c r="AP25" s="20"/>
      <c r="AQ25" s="19"/>
      <c r="AR25" s="20"/>
      <c r="AS25" s="20"/>
      <c r="AT25" s="20"/>
      <c r="AU25" s="20"/>
      <c r="AV25" s="20"/>
      <c r="AW25" s="20"/>
      <c r="AX25" s="19"/>
      <c r="AY25" s="27"/>
      <c r="AZ25" s="20"/>
      <c r="BA25" s="20"/>
      <c r="BB25" s="20"/>
      <c r="BC25" s="20"/>
      <c r="BD25" s="20"/>
      <c r="BE25" s="19"/>
      <c r="BF25" s="34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27"/>
      <c r="BW25" s="20"/>
      <c r="BX25" s="20"/>
      <c r="BY25" s="20"/>
      <c r="BZ25" s="20"/>
      <c r="CA25" s="19"/>
      <c r="CB25" s="13"/>
      <c r="CD25" s="57"/>
      <c r="CH25" s="68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70"/>
    </row>
    <row r="26" spans="1:97" s="11" customFormat="1" x14ac:dyDescent="0.3">
      <c r="A26" s="24"/>
      <c r="B26" s="26"/>
      <c r="C26" s="20"/>
      <c r="D26" s="20"/>
      <c r="E26" s="20"/>
      <c r="F26" s="20"/>
      <c r="G26" s="20"/>
      <c r="H26" s="19"/>
      <c r="I26" s="27"/>
      <c r="J26" s="20"/>
      <c r="K26" s="20"/>
      <c r="L26" s="20"/>
      <c r="M26" s="20"/>
      <c r="N26" s="20"/>
      <c r="O26" s="19"/>
      <c r="P26" s="27"/>
      <c r="Q26" s="20"/>
      <c r="R26" s="20"/>
      <c r="S26" s="20"/>
      <c r="T26" s="20"/>
      <c r="U26" s="20"/>
      <c r="V26" s="19"/>
      <c r="W26" s="27"/>
      <c r="X26" s="20"/>
      <c r="Y26" s="20"/>
      <c r="Z26" s="20"/>
      <c r="AA26" s="20"/>
      <c r="AB26" s="20"/>
      <c r="AC26" s="19"/>
      <c r="AD26" s="27"/>
      <c r="AE26" s="20"/>
      <c r="AF26" s="20"/>
      <c r="AG26" s="20"/>
      <c r="AH26" s="20"/>
      <c r="AI26" s="20"/>
      <c r="AJ26" s="19"/>
      <c r="AK26" s="27"/>
      <c r="AL26" s="20"/>
      <c r="AM26" s="20"/>
      <c r="AN26" s="20"/>
      <c r="AO26" s="20"/>
      <c r="AP26" s="20"/>
      <c r="AQ26" s="19"/>
      <c r="AR26" s="20"/>
      <c r="AS26" s="20"/>
      <c r="AT26" s="20"/>
      <c r="AU26" s="20"/>
      <c r="AV26" s="20"/>
      <c r="AW26" s="20"/>
      <c r="AX26" s="19"/>
      <c r="AY26" s="27"/>
      <c r="AZ26" s="20"/>
      <c r="BA26" s="20"/>
      <c r="BB26" s="20"/>
      <c r="BC26" s="20"/>
      <c r="BD26" s="20"/>
      <c r="BE26" s="19"/>
      <c r="BF26" s="34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27"/>
      <c r="BW26" s="20"/>
      <c r="BX26" s="20"/>
      <c r="BY26" s="20"/>
      <c r="BZ26" s="20"/>
      <c r="CA26" s="19"/>
      <c r="CB26" s="13"/>
      <c r="CD26" s="57"/>
      <c r="CH26" s="68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70"/>
    </row>
    <row r="27" spans="1:97" s="11" customFormat="1" x14ac:dyDescent="0.3">
      <c r="A27" s="24"/>
      <c r="B27" s="26"/>
      <c r="C27" s="20"/>
      <c r="D27" s="20"/>
      <c r="E27" s="20"/>
      <c r="F27" s="20"/>
      <c r="G27" s="20"/>
      <c r="H27" s="19"/>
      <c r="I27" s="27"/>
      <c r="J27" s="20"/>
      <c r="K27" s="20"/>
      <c r="L27" s="20"/>
      <c r="M27" s="20"/>
      <c r="N27" s="20"/>
      <c r="O27" s="19"/>
      <c r="P27" s="27"/>
      <c r="Q27" s="20"/>
      <c r="R27" s="20"/>
      <c r="S27" s="20"/>
      <c r="T27" s="20"/>
      <c r="U27" s="20"/>
      <c r="V27" s="19"/>
      <c r="W27" s="27"/>
      <c r="X27" s="20"/>
      <c r="Y27" s="20"/>
      <c r="Z27" s="20"/>
      <c r="AA27" s="20"/>
      <c r="AB27" s="20"/>
      <c r="AC27" s="19"/>
      <c r="AD27" s="27"/>
      <c r="AE27" s="20"/>
      <c r="AF27" s="20"/>
      <c r="AG27" s="20"/>
      <c r="AH27" s="20"/>
      <c r="AI27" s="20"/>
      <c r="AJ27" s="19"/>
      <c r="AK27" s="27"/>
      <c r="AL27" s="20"/>
      <c r="AM27" s="20"/>
      <c r="AN27" s="20"/>
      <c r="AO27" s="20"/>
      <c r="AP27" s="20"/>
      <c r="AQ27" s="19"/>
      <c r="AR27" s="20"/>
      <c r="AS27" s="20"/>
      <c r="AT27" s="20"/>
      <c r="AU27" s="20"/>
      <c r="AV27" s="20"/>
      <c r="AW27" s="20"/>
      <c r="AX27" s="19"/>
      <c r="AY27" s="27"/>
      <c r="AZ27" s="20"/>
      <c r="BA27" s="20"/>
      <c r="BB27" s="20"/>
      <c r="BC27" s="20"/>
      <c r="BD27" s="20"/>
      <c r="BE27" s="19"/>
      <c r="BF27" s="34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27"/>
      <c r="BW27" s="20"/>
      <c r="BX27" s="20"/>
      <c r="BY27" s="20"/>
      <c r="BZ27" s="20"/>
      <c r="CA27" s="19"/>
      <c r="CB27" s="13"/>
      <c r="CD27" s="57"/>
      <c r="CH27" s="68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70"/>
    </row>
    <row r="28" spans="1:97" s="11" customFormat="1" x14ac:dyDescent="0.3">
      <c r="A28" s="24"/>
      <c r="B28" s="26"/>
      <c r="C28" s="20"/>
      <c r="D28" s="20"/>
      <c r="E28" s="20"/>
      <c r="F28" s="20"/>
      <c r="G28" s="20"/>
      <c r="H28" s="19"/>
      <c r="I28" s="27"/>
      <c r="J28" s="20"/>
      <c r="K28" s="20"/>
      <c r="L28" s="20"/>
      <c r="M28" s="20"/>
      <c r="N28" s="20"/>
      <c r="O28" s="19"/>
      <c r="P28" s="27"/>
      <c r="Q28" s="20"/>
      <c r="R28" s="20"/>
      <c r="S28" s="20"/>
      <c r="T28" s="20"/>
      <c r="U28" s="20"/>
      <c r="V28" s="19"/>
      <c r="W28" s="27"/>
      <c r="X28" s="20"/>
      <c r="Y28" s="20"/>
      <c r="Z28" s="20"/>
      <c r="AA28" s="20"/>
      <c r="AB28" s="20"/>
      <c r="AC28" s="19"/>
      <c r="AD28" s="27"/>
      <c r="AE28" s="20"/>
      <c r="AF28" s="20"/>
      <c r="AG28" s="20"/>
      <c r="AH28" s="20"/>
      <c r="AI28" s="20"/>
      <c r="AJ28" s="19"/>
      <c r="AK28" s="27"/>
      <c r="AL28" s="20"/>
      <c r="AM28" s="20"/>
      <c r="AN28" s="20"/>
      <c r="AO28" s="20"/>
      <c r="AP28" s="20"/>
      <c r="AQ28" s="19"/>
      <c r="AR28" s="20"/>
      <c r="AS28" s="20"/>
      <c r="AT28" s="20"/>
      <c r="AU28" s="20"/>
      <c r="AV28" s="20"/>
      <c r="AW28" s="20"/>
      <c r="AX28" s="19"/>
      <c r="AY28" s="27"/>
      <c r="AZ28" s="20"/>
      <c r="BA28" s="20"/>
      <c r="BB28" s="20"/>
      <c r="BC28" s="20"/>
      <c r="BD28" s="20"/>
      <c r="BE28" s="19"/>
      <c r="BF28" s="34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27"/>
      <c r="BW28" s="20"/>
      <c r="BX28" s="20"/>
      <c r="BY28" s="20"/>
      <c r="BZ28" s="20"/>
      <c r="CA28" s="19"/>
      <c r="CB28" s="13"/>
      <c r="CD28" s="57"/>
      <c r="CH28" s="68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70"/>
    </row>
    <row r="29" spans="1:97" s="11" customFormat="1" x14ac:dyDescent="0.3">
      <c r="A29" s="24"/>
      <c r="B29" s="26"/>
      <c r="C29" s="20"/>
      <c r="D29" s="20"/>
      <c r="E29" s="20"/>
      <c r="F29" s="20"/>
      <c r="G29" s="20"/>
      <c r="H29" s="19"/>
      <c r="I29" s="27"/>
      <c r="J29" s="20"/>
      <c r="K29" s="20"/>
      <c r="L29" s="20"/>
      <c r="M29" s="20"/>
      <c r="N29" s="20"/>
      <c r="O29" s="19"/>
      <c r="P29" s="27"/>
      <c r="Q29" s="20"/>
      <c r="R29" s="20"/>
      <c r="S29" s="20"/>
      <c r="T29" s="20"/>
      <c r="U29" s="20"/>
      <c r="V29" s="19"/>
      <c r="W29" s="27"/>
      <c r="X29" s="20"/>
      <c r="Y29" s="20"/>
      <c r="Z29" s="20"/>
      <c r="AA29" s="20"/>
      <c r="AB29" s="20"/>
      <c r="AC29" s="19"/>
      <c r="AD29" s="27"/>
      <c r="AE29" s="20"/>
      <c r="AF29" s="20"/>
      <c r="AG29" s="20"/>
      <c r="AH29" s="20"/>
      <c r="AI29" s="20"/>
      <c r="AJ29" s="19"/>
      <c r="AK29" s="27"/>
      <c r="AL29" s="20"/>
      <c r="AM29" s="20"/>
      <c r="AN29" s="20"/>
      <c r="AO29" s="20"/>
      <c r="AP29" s="20"/>
      <c r="AQ29" s="19"/>
      <c r="AR29" s="20"/>
      <c r="AS29" s="20"/>
      <c r="AT29" s="20"/>
      <c r="AU29" s="20"/>
      <c r="AV29" s="20"/>
      <c r="AW29" s="20"/>
      <c r="AX29" s="19"/>
      <c r="AY29" s="27"/>
      <c r="AZ29" s="20"/>
      <c r="BA29" s="20"/>
      <c r="BB29" s="20"/>
      <c r="BC29" s="20"/>
      <c r="BD29" s="20"/>
      <c r="BE29" s="19"/>
      <c r="BF29" s="34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27"/>
      <c r="BW29" s="20"/>
      <c r="BX29" s="20"/>
      <c r="BY29" s="20"/>
      <c r="BZ29" s="20"/>
      <c r="CA29" s="19"/>
      <c r="CB29" s="13"/>
      <c r="CD29" s="57"/>
      <c r="CH29" s="57"/>
      <c r="CS29" s="58"/>
    </row>
    <row r="30" spans="1:97" s="11" customFormat="1" x14ac:dyDescent="0.3">
      <c r="A30" s="24"/>
      <c r="B30" s="26"/>
      <c r="C30" s="20"/>
      <c r="D30" s="20"/>
      <c r="E30" s="20"/>
      <c r="F30" s="20"/>
      <c r="G30" s="20"/>
      <c r="H30" s="19"/>
      <c r="I30" s="27"/>
      <c r="J30" s="20"/>
      <c r="K30" s="20"/>
      <c r="L30" s="20"/>
      <c r="M30" s="20"/>
      <c r="N30" s="20"/>
      <c r="O30" s="19"/>
      <c r="P30" s="27"/>
      <c r="Q30" s="20"/>
      <c r="R30" s="20"/>
      <c r="S30" s="20"/>
      <c r="T30" s="20"/>
      <c r="U30" s="20"/>
      <c r="V30" s="19"/>
      <c r="W30" s="27"/>
      <c r="X30" s="20"/>
      <c r="Y30" s="20"/>
      <c r="Z30" s="20"/>
      <c r="AA30" s="20"/>
      <c r="AB30" s="20"/>
      <c r="AC30" s="19"/>
      <c r="AD30" s="27"/>
      <c r="AE30" s="20"/>
      <c r="AF30" s="20"/>
      <c r="AG30" s="20"/>
      <c r="AH30" s="20"/>
      <c r="AI30" s="20"/>
      <c r="AJ30" s="19"/>
      <c r="AK30" s="27"/>
      <c r="AL30" s="20"/>
      <c r="AM30" s="20"/>
      <c r="AN30" s="20"/>
      <c r="AO30" s="20"/>
      <c r="AP30" s="20"/>
      <c r="AQ30" s="19"/>
      <c r="AR30" s="20"/>
      <c r="AS30" s="20"/>
      <c r="AT30" s="20"/>
      <c r="AU30" s="20"/>
      <c r="AV30" s="20"/>
      <c r="AW30" s="20"/>
      <c r="AX30" s="19"/>
      <c r="AY30" s="27"/>
      <c r="AZ30" s="20"/>
      <c r="BA30" s="20"/>
      <c r="BB30" s="20"/>
      <c r="BC30" s="20"/>
      <c r="BD30" s="20"/>
      <c r="BE30" s="19"/>
      <c r="BF30" s="34"/>
      <c r="BG30" s="21" t="s">
        <v>293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27"/>
      <c r="BW30" s="20"/>
      <c r="BX30" s="20"/>
      <c r="BY30" s="20"/>
      <c r="BZ30" s="20"/>
      <c r="CA30" s="19"/>
      <c r="CB30" s="13"/>
      <c r="CD30" s="57"/>
      <c r="CH30" s="57"/>
      <c r="CS30" s="58"/>
    </row>
    <row r="31" spans="1:97" s="11" customFormat="1" x14ac:dyDescent="0.3">
      <c r="A31" s="24"/>
      <c r="B31" s="26"/>
      <c r="C31" s="20"/>
      <c r="D31" s="20"/>
      <c r="E31" s="20"/>
      <c r="F31" s="20"/>
      <c r="G31" s="20"/>
      <c r="H31" s="19"/>
      <c r="I31" s="27"/>
      <c r="J31" s="20"/>
      <c r="K31" s="20"/>
      <c r="L31" s="20"/>
      <c r="M31" s="20"/>
      <c r="N31" s="20"/>
      <c r="O31" s="19"/>
      <c r="P31" s="27"/>
      <c r="Q31" s="20"/>
      <c r="R31" s="20"/>
      <c r="S31" s="20"/>
      <c r="T31" s="20"/>
      <c r="U31" s="20"/>
      <c r="V31" s="19"/>
      <c r="W31" s="27"/>
      <c r="X31" s="20"/>
      <c r="Y31" s="20"/>
      <c r="Z31" s="20"/>
      <c r="AA31" s="20"/>
      <c r="AB31" s="20"/>
      <c r="AC31" s="19"/>
      <c r="AD31" s="27"/>
      <c r="AE31" s="20"/>
      <c r="AF31" s="20"/>
      <c r="AG31" s="20"/>
      <c r="AH31" s="20"/>
      <c r="AI31" s="20"/>
      <c r="AJ31" s="19"/>
      <c r="AK31" s="27"/>
      <c r="AL31" s="20"/>
      <c r="AM31" s="20"/>
      <c r="AN31" s="20"/>
      <c r="AO31" s="20"/>
      <c r="AP31" s="20"/>
      <c r="AQ31" s="19"/>
      <c r="AR31" s="20"/>
      <c r="AS31" s="20"/>
      <c r="AT31" s="20"/>
      <c r="AU31" s="20"/>
      <c r="AV31" s="20"/>
      <c r="AW31" s="20"/>
      <c r="AX31" s="19"/>
      <c r="AY31" s="29"/>
      <c r="AZ31"/>
      <c r="BA31"/>
      <c r="BB31"/>
      <c r="BC31"/>
      <c r="BD31"/>
      <c r="BE31" s="18"/>
      <c r="BF31" s="34"/>
      <c r="BG31" s="17"/>
      <c r="BH31" s="17" t="s">
        <v>294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27"/>
      <c r="BW31" s="20"/>
      <c r="BX31" s="20"/>
      <c r="BY31" s="20"/>
      <c r="BZ31" s="20"/>
      <c r="CA31" s="19"/>
      <c r="CB31" s="13"/>
      <c r="CD31" s="57"/>
      <c r="CH31" s="57"/>
      <c r="CS31" s="58"/>
    </row>
    <row r="32" spans="1:97" s="11" customFormat="1" x14ac:dyDescent="0.3">
      <c r="A32" s="24"/>
      <c r="B32" s="26"/>
      <c r="C32" s="20"/>
      <c r="D32" s="20"/>
      <c r="E32" s="20"/>
      <c r="F32" s="20"/>
      <c r="G32" s="20"/>
      <c r="H32" s="19"/>
      <c r="I32" s="27"/>
      <c r="J32" s="20"/>
      <c r="K32" s="20"/>
      <c r="L32" s="20"/>
      <c r="M32" s="20"/>
      <c r="N32" s="20"/>
      <c r="O32" s="19"/>
      <c r="P32" s="27"/>
      <c r="Q32" s="20"/>
      <c r="R32" s="20"/>
      <c r="S32" s="20"/>
      <c r="T32" s="20"/>
      <c r="U32" s="20"/>
      <c r="V32" s="19"/>
      <c r="W32" s="27"/>
      <c r="X32" s="20"/>
      <c r="Y32" s="20"/>
      <c r="Z32" s="20"/>
      <c r="AA32" s="20"/>
      <c r="AB32" s="20"/>
      <c r="AC32" s="19"/>
      <c r="AD32" s="27"/>
      <c r="AE32" s="20"/>
      <c r="AF32" s="20"/>
      <c r="AG32" s="20"/>
      <c r="AH32" s="20"/>
      <c r="AI32" s="20"/>
      <c r="AJ32" s="19"/>
      <c r="AK32" s="27"/>
      <c r="AL32" s="20"/>
      <c r="AM32" s="20"/>
      <c r="AN32" s="20"/>
      <c r="AO32" s="20"/>
      <c r="AP32" s="20"/>
      <c r="AQ32" s="19"/>
      <c r="AR32" s="20"/>
      <c r="AS32" s="20"/>
      <c r="AT32" s="20"/>
      <c r="AU32" s="20"/>
      <c r="AV32" s="20"/>
      <c r="AW32" s="20"/>
      <c r="AX32" s="19"/>
      <c r="AY32" s="30"/>
      <c r="BE32" s="13"/>
      <c r="BF32" s="34"/>
      <c r="BG32" s="21"/>
      <c r="BH32" s="17" t="s">
        <v>295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27"/>
      <c r="BW32" s="20"/>
      <c r="BX32" s="20"/>
      <c r="BY32" s="20"/>
      <c r="BZ32" s="20"/>
      <c r="CA32" s="19"/>
      <c r="CB32" s="13"/>
      <c r="CD32" s="57"/>
      <c r="CH32" s="57"/>
      <c r="CS32" s="58"/>
    </row>
    <row r="33" spans="1:97" s="11" customFormat="1" x14ac:dyDescent="0.3">
      <c r="A33" s="24"/>
      <c r="B33" s="26"/>
      <c r="C33" s="20"/>
      <c r="D33" s="20"/>
      <c r="E33" s="20"/>
      <c r="F33" s="20"/>
      <c r="G33" s="20"/>
      <c r="H33" s="19"/>
      <c r="I33" s="27"/>
      <c r="J33" s="20"/>
      <c r="K33" s="20"/>
      <c r="L33" s="20"/>
      <c r="M33" s="20"/>
      <c r="N33" s="20"/>
      <c r="O33" s="19"/>
      <c r="P33" s="27"/>
      <c r="Q33" s="20"/>
      <c r="R33" s="20"/>
      <c r="S33" s="20"/>
      <c r="T33" s="20"/>
      <c r="U33" s="20"/>
      <c r="V33" s="19"/>
      <c r="W33" s="27"/>
      <c r="X33" s="20"/>
      <c r="Y33" s="20"/>
      <c r="Z33" s="20"/>
      <c r="AA33" s="20"/>
      <c r="AB33" s="20"/>
      <c r="AC33" s="19"/>
      <c r="AD33" s="27"/>
      <c r="AE33" s="20"/>
      <c r="AF33" s="20"/>
      <c r="AG33" s="20"/>
      <c r="AH33" s="20"/>
      <c r="AI33" s="20"/>
      <c r="AJ33" s="19"/>
      <c r="AK33" s="27"/>
      <c r="AL33" s="20"/>
      <c r="AM33" s="20"/>
      <c r="AN33" s="20"/>
      <c r="AO33" s="20"/>
      <c r="AP33" s="20"/>
      <c r="AQ33" s="19"/>
      <c r="AR33" s="20"/>
      <c r="AS33" s="20"/>
      <c r="AT33" s="20"/>
      <c r="AU33" s="20"/>
      <c r="AV33" s="20"/>
      <c r="AW33" s="20"/>
      <c r="AX33" s="19"/>
      <c r="AY33" s="23"/>
      <c r="AZ33" s="8"/>
      <c r="BA33" s="8"/>
      <c r="BB33" s="8"/>
      <c r="BC33" s="8"/>
      <c r="BD33" s="8"/>
      <c r="BE33" s="14"/>
      <c r="BF33" s="34"/>
      <c r="BH33" s="78" t="s">
        <v>296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27"/>
      <c r="BW33" s="20"/>
      <c r="BX33" s="20"/>
      <c r="BY33" s="20"/>
      <c r="BZ33" s="20"/>
      <c r="CA33" s="19"/>
      <c r="CB33" s="14"/>
      <c r="CD33" s="57"/>
      <c r="CH33" s="57"/>
      <c r="CS33" s="58"/>
    </row>
    <row r="34" spans="1:97" s="11" customFormat="1" x14ac:dyDescent="0.3">
      <c r="A34" s="24"/>
      <c r="B34" s="26"/>
      <c r="C34" s="20"/>
      <c r="D34" s="20"/>
      <c r="E34" s="20"/>
      <c r="F34" s="20"/>
      <c r="G34" s="20"/>
      <c r="H34" s="19"/>
      <c r="I34" s="27"/>
      <c r="J34" s="20"/>
      <c r="K34" s="20"/>
      <c r="L34" s="20"/>
      <c r="M34" s="20"/>
      <c r="N34" s="20"/>
      <c r="O34" s="19"/>
      <c r="P34" s="27"/>
      <c r="Q34" s="20"/>
      <c r="R34" s="20"/>
      <c r="S34" s="20"/>
      <c r="T34" s="20"/>
      <c r="U34" s="20"/>
      <c r="V34" s="19"/>
      <c r="W34" s="27"/>
      <c r="X34" s="20"/>
      <c r="Y34" s="20"/>
      <c r="Z34" s="20"/>
      <c r="AA34" s="20"/>
      <c r="AB34" s="20"/>
      <c r="AC34" s="19"/>
      <c r="AD34" s="27"/>
      <c r="AE34" s="20"/>
      <c r="AF34" s="20"/>
      <c r="AG34" s="20"/>
      <c r="AH34" s="20"/>
      <c r="AI34" s="20"/>
      <c r="AJ34" s="19"/>
      <c r="AK34" s="27"/>
      <c r="AL34" s="20"/>
      <c r="AM34" s="20"/>
      <c r="AN34" s="20"/>
      <c r="AO34" s="20"/>
      <c r="AP34" s="20"/>
      <c r="AQ34" s="19"/>
      <c r="AR34" s="20"/>
      <c r="AS34" s="20"/>
      <c r="AT34" s="20"/>
      <c r="AU34" s="20"/>
      <c r="AV34" s="20"/>
      <c r="AW34" s="20"/>
      <c r="AX34" s="19"/>
      <c r="AY34" s="23"/>
      <c r="AZ34" s="8"/>
      <c r="BA34" s="8"/>
      <c r="BB34" s="8"/>
      <c r="BC34" s="8"/>
      <c r="BD34" s="8"/>
      <c r="BE34" s="14"/>
      <c r="BF34" s="34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27"/>
      <c r="BW34" s="20"/>
      <c r="BX34" s="20"/>
      <c r="BY34" s="20"/>
      <c r="BZ34" s="20"/>
      <c r="CA34" s="19"/>
      <c r="CB34" s="14"/>
      <c r="CD34" s="57"/>
      <c r="CH34" s="57"/>
      <c r="CS34" s="58"/>
    </row>
    <row r="35" spans="1:97" s="11" customFormat="1" x14ac:dyDescent="0.3">
      <c r="A35" s="24"/>
      <c r="B35" s="26"/>
      <c r="C35" s="20"/>
      <c r="D35" s="20"/>
      <c r="E35" s="20"/>
      <c r="F35" s="20"/>
      <c r="G35" s="20"/>
      <c r="H35" s="19"/>
      <c r="I35" s="27"/>
      <c r="J35" s="20"/>
      <c r="K35" s="20"/>
      <c r="L35" s="20"/>
      <c r="M35" s="20"/>
      <c r="N35" s="20"/>
      <c r="O35" s="19"/>
      <c r="P35" s="27"/>
      <c r="Q35" s="20"/>
      <c r="R35" s="20"/>
      <c r="S35" s="20"/>
      <c r="T35" s="20"/>
      <c r="U35" s="20"/>
      <c r="V35" s="19"/>
      <c r="W35" s="27"/>
      <c r="X35" s="20"/>
      <c r="Y35" s="20"/>
      <c r="Z35" s="20"/>
      <c r="AA35" s="20"/>
      <c r="AB35" s="20"/>
      <c r="AC35" s="19"/>
      <c r="AD35" s="27"/>
      <c r="AE35" s="20"/>
      <c r="AF35" s="20"/>
      <c r="AG35" s="20"/>
      <c r="AH35" s="20"/>
      <c r="AI35" s="20"/>
      <c r="AJ35" s="19"/>
      <c r="AK35" s="27"/>
      <c r="AL35" s="20"/>
      <c r="AM35" s="20"/>
      <c r="AN35" s="20"/>
      <c r="AO35" s="20"/>
      <c r="AP35" s="20"/>
      <c r="AQ35" s="19"/>
      <c r="AR35" s="20"/>
      <c r="AS35" s="20"/>
      <c r="AT35" s="20"/>
      <c r="AU35" s="20"/>
      <c r="AV35" s="20"/>
      <c r="AW35" s="20"/>
      <c r="AX35" s="19"/>
      <c r="AY35" s="23"/>
      <c r="AZ35" s="8"/>
      <c r="BA35" s="8"/>
      <c r="BB35" s="8"/>
      <c r="BC35" s="8"/>
      <c r="BD35" s="8"/>
      <c r="BE35" s="14"/>
      <c r="BF35" s="34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27"/>
      <c r="BW35" s="20"/>
      <c r="BX35" s="20"/>
      <c r="BY35" s="20"/>
      <c r="BZ35" s="20"/>
      <c r="CA35" s="19"/>
      <c r="CB35" s="14"/>
      <c r="CD35" s="57"/>
      <c r="CH35" s="57"/>
      <c r="CS35" s="58"/>
    </row>
    <row r="36" spans="1:97" s="11" customFormat="1" x14ac:dyDescent="0.3">
      <c r="A36" s="24"/>
      <c r="B36" s="26"/>
      <c r="C36" s="20"/>
      <c r="D36" s="20"/>
      <c r="E36" s="20"/>
      <c r="F36" s="20"/>
      <c r="G36" s="20"/>
      <c r="H36" s="19"/>
      <c r="I36" s="27"/>
      <c r="J36" s="20"/>
      <c r="K36" s="20"/>
      <c r="L36" s="20"/>
      <c r="M36" s="20"/>
      <c r="N36" s="20"/>
      <c r="O36" s="19"/>
      <c r="P36" s="27"/>
      <c r="Q36" s="20"/>
      <c r="R36" s="20"/>
      <c r="S36" s="20"/>
      <c r="T36" s="20"/>
      <c r="U36" s="20"/>
      <c r="V36" s="19"/>
      <c r="W36" s="27"/>
      <c r="X36" s="20"/>
      <c r="Y36" s="20"/>
      <c r="Z36" s="20"/>
      <c r="AA36" s="20"/>
      <c r="AB36" s="20"/>
      <c r="AC36" s="19"/>
      <c r="AD36" s="27"/>
      <c r="AE36" s="20"/>
      <c r="AF36" s="20"/>
      <c r="AG36" s="20"/>
      <c r="AH36" s="20"/>
      <c r="AI36" s="20"/>
      <c r="AJ36" s="19"/>
      <c r="AK36" s="27"/>
      <c r="AL36" s="20"/>
      <c r="AM36" s="20"/>
      <c r="AN36" s="20"/>
      <c r="AO36" s="20"/>
      <c r="AP36" s="20"/>
      <c r="AQ36" s="19"/>
      <c r="AR36" s="20"/>
      <c r="AS36" s="20"/>
      <c r="AT36" s="20"/>
      <c r="AU36" s="20"/>
      <c r="AV36" s="20"/>
      <c r="AW36" s="20"/>
      <c r="AX36" s="19"/>
      <c r="AY36" s="23"/>
      <c r="AZ36" s="8"/>
      <c r="BA36" s="8"/>
      <c r="BB36" s="8"/>
      <c r="BC36" s="8"/>
      <c r="BD36" s="8"/>
      <c r="BE36" s="14"/>
      <c r="BF36" s="34"/>
      <c r="BG36" s="21" t="s">
        <v>297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27"/>
      <c r="BW36" s="20"/>
      <c r="BX36" s="20"/>
      <c r="BY36" s="20"/>
      <c r="BZ36" s="20"/>
      <c r="CA36" s="19"/>
      <c r="CB36" s="14"/>
      <c r="CD36" s="57"/>
      <c r="CH36" s="57"/>
      <c r="CS36" s="58"/>
    </row>
    <row r="37" spans="1:97" s="11" customFormat="1" x14ac:dyDescent="0.3">
      <c r="A37" s="24"/>
      <c r="B37" s="26"/>
      <c r="C37" s="20"/>
      <c r="D37" s="20"/>
      <c r="E37" s="20"/>
      <c r="F37" s="20"/>
      <c r="G37" s="20"/>
      <c r="H37" s="19"/>
      <c r="I37" s="27"/>
      <c r="J37" s="20"/>
      <c r="K37" s="20"/>
      <c r="L37" s="20"/>
      <c r="M37" s="20"/>
      <c r="N37" s="20"/>
      <c r="O37" s="19"/>
      <c r="P37" s="27"/>
      <c r="Q37" s="20"/>
      <c r="R37" s="20"/>
      <c r="S37" s="20"/>
      <c r="T37" s="20"/>
      <c r="U37" s="20"/>
      <c r="V37" s="19"/>
      <c r="W37" s="27"/>
      <c r="X37" s="20"/>
      <c r="Y37" s="20"/>
      <c r="Z37" s="20"/>
      <c r="AA37" s="20"/>
      <c r="AB37" s="20"/>
      <c r="AC37" s="19"/>
      <c r="AD37" s="27"/>
      <c r="AE37" s="20"/>
      <c r="AF37" s="20"/>
      <c r="AG37" s="20"/>
      <c r="AH37" s="20"/>
      <c r="AI37" s="20"/>
      <c r="AJ37" s="19"/>
      <c r="AK37" s="27"/>
      <c r="AL37" s="20"/>
      <c r="AM37" s="20"/>
      <c r="AN37" s="20"/>
      <c r="AO37" s="20"/>
      <c r="AP37" s="20"/>
      <c r="AQ37" s="19"/>
      <c r="AR37" s="20"/>
      <c r="AS37" s="20"/>
      <c r="AT37" s="20"/>
      <c r="AU37" s="20"/>
      <c r="AV37" s="20"/>
      <c r="AW37" s="20"/>
      <c r="AX37" s="19"/>
      <c r="AY37" s="23"/>
      <c r="AZ37" s="8"/>
      <c r="BA37" s="8"/>
      <c r="BB37" s="8"/>
      <c r="BC37" s="8"/>
      <c r="BD37" s="8"/>
      <c r="BE37" s="14"/>
      <c r="BF37" s="34"/>
      <c r="BG37" s="17"/>
      <c r="BH37" s="17" t="s">
        <v>298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27"/>
      <c r="BW37" s="20"/>
      <c r="BX37" s="20"/>
      <c r="BY37" s="20"/>
      <c r="BZ37" s="20"/>
      <c r="CA37" s="19"/>
      <c r="CB37" s="14"/>
      <c r="CD37" s="57"/>
      <c r="CH37" s="57"/>
      <c r="CS37" s="58"/>
    </row>
    <row r="38" spans="1:97" s="11" customFormat="1" x14ac:dyDescent="0.3">
      <c r="A38" s="24"/>
      <c r="B38" s="26"/>
      <c r="C38" s="20"/>
      <c r="D38" s="20"/>
      <c r="E38" s="20"/>
      <c r="F38" s="20"/>
      <c r="G38" s="20"/>
      <c r="H38" s="19"/>
      <c r="I38" s="27"/>
      <c r="J38" s="20"/>
      <c r="K38" s="20"/>
      <c r="L38" s="20"/>
      <c r="M38" s="20"/>
      <c r="N38" s="20"/>
      <c r="O38" s="19"/>
      <c r="P38" s="27"/>
      <c r="Q38" s="20"/>
      <c r="R38" s="20"/>
      <c r="S38" s="20"/>
      <c r="T38" s="20"/>
      <c r="U38" s="20"/>
      <c r="V38" s="19"/>
      <c r="W38" s="27"/>
      <c r="X38" s="20"/>
      <c r="Y38" s="20"/>
      <c r="Z38" s="20"/>
      <c r="AA38" s="20"/>
      <c r="AB38" s="20"/>
      <c r="AC38" s="19"/>
      <c r="AD38" s="27"/>
      <c r="AE38" s="20"/>
      <c r="AF38" s="20"/>
      <c r="AG38" s="20"/>
      <c r="AH38" s="20"/>
      <c r="AI38" s="20"/>
      <c r="AJ38" s="19"/>
      <c r="AK38" s="27"/>
      <c r="AL38" s="20"/>
      <c r="AM38" s="20"/>
      <c r="AN38" s="20"/>
      <c r="AO38" s="20"/>
      <c r="AP38" s="20"/>
      <c r="AQ38" s="19"/>
      <c r="AR38" s="20"/>
      <c r="AS38" s="20"/>
      <c r="AT38" s="20"/>
      <c r="AU38" s="20"/>
      <c r="AV38" s="20"/>
      <c r="AW38" s="20"/>
      <c r="AX38" s="19"/>
      <c r="AY38" s="23"/>
      <c r="AZ38" s="8"/>
      <c r="BA38" s="8"/>
      <c r="BB38" s="8"/>
      <c r="BC38" s="8"/>
      <c r="BD38" s="8"/>
      <c r="BE38" s="14"/>
      <c r="BF38" s="34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27"/>
      <c r="BW38" s="20"/>
      <c r="BX38" s="20"/>
      <c r="BY38" s="20"/>
      <c r="BZ38" s="20"/>
      <c r="CA38" s="19"/>
      <c r="CB38" s="14"/>
      <c r="CD38" s="57"/>
      <c r="CH38" s="57"/>
      <c r="CS38" s="58"/>
    </row>
    <row r="39" spans="1:97" s="11" customFormat="1" x14ac:dyDescent="0.3">
      <c r="A39" s="24"/>
      <c r="B39" s="26"/>
      <c r="C39" s="20"/>
      <c r="D39" s="20"/>
      <c r="E39" s="20"/>
      <c r="F39" s="20"/>
      <c r="G39" s="20"/>
      <c r="H39" s="19"/>
      <c r="I39" s="27"/>
      <c r="J39" s="20"/>
      <c r="K39" s="20"/>
      <c r="L39" s="20"/>
      <c r="M39" s="20"/>
      <c r="N39" s="20"/>
      <c r="O39" s="19"/>
      <c r="P39" s="27"/>
      <c r="Q39" s="20"/>
      <c r="R39" s="20"/>
      <c r="S39" s="20"/>
      <c r="T39" s="20"/>
      <c r="U39" s="20"/>
      <c r="V39" s="19"/>
      <c r="W39" s="27"/>
      <c r="X39" s="20"/>
      <c r="Y39" s="20"/>
      <c r="Z39" s="20"/>
      <c r="AA39" s="20"/>
      <c r="AB39" s="20"/>
      <c r="AC39" s="19"/>
      <c r="AD39" s="27"/>
      <c r="AE39" s="20"/>
      <c r="AF39" s="20"/>
      <c r="AG39" s="20"/>
      <c r="AH39" s="20"/>
      <c r="AI39" s="20"/>
      <c r="AJ39" s="19"/>
      <c r="AK39" s="27"/>
      <c r="AL39" s="20"/>
      <c r="AM39" s="20"/>
      <c r="AN39" s="20"/>
      <c r="AO39" s="20"/>
      <c r="AP39" s="20"/>
      <c r="AQ39" s="19"/>
      <c r="AR39" s="20"/>
      <c r="AS39" s="20"/>
      <c r="AT39" s="20"/>
      <c r="AU39" s="20"/>
      <c r="AV39" s="20"/>
      <c r="AW39" s="20"/>
      <c r="AX39" s="19"/>
      <c r="AY39" s="23"/>
      <c r="AZ39" s="8"/>
      <c r="BA39" s="8"/>
      <c r="BB39" s="8"/>
      <c r="BC39" s="8"/>
      <c r="BD39" s="8"/>
      <c r="BE39" s="14"/>
      <c r="BF39" s="34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27"/>
      <c r="BW39" s="20"/>
      <c r="BX39" s="20"/>
      <c r="BY39" s="20"/>
      <c r="BZ39" s="20"/>
      <c r="CA39" s="19"/>
      <c r="CB39" s="14"/>
      <c r="CD39" s="57"/>
      <c r="CH39" s="57"/>
      <c r="CS39" s="58"/>
    </row>
    <row r="40" spans="1:97" s="11" customFormat="1" x14ac:dyDescent="0.3">
      <c r="A40" s="24"/>
      <c r="B40" s="26"/>
      <c r="C40" s="20"/>
      <c r="D40" s="20"/>
      <c r="E40" s="20"/>
      <c r="F40" s="20"/>
      <c r="G40" s="20"/>
      <c r="H40" s="19"/>
      <c r="I40" s="27"/>
      <c r="J40" s="20"/>
      <c r="K40" s="20"/>
      <c r="L40" s="20"/>
      <c r="M40" s="20"/>
      <c r="N40" s="20"/>
      <c r="O40" s="19"/>
      <c r="P40" s="27"/>
      <c r="Q40" s="20"/>
      <c r="R40" s="20"/>
      <c r="S40" s="20"/>
      <c r="T40" s="20"/>
      <c r="U40" s="20"/>
      <c r="V40" s="19"/>
      <c r="W40" s="27"/>
      <c r="X40" s="20"/>
      <c r="Y40" s="20"/>
      <c r="Z40" s="20"/>
      <c r="AA40" s="20"/>
      <c r="AB40" s="20"/>
      <c r="AC40" s="19"/>
      <c r="AD40" s="27"/>
      <c r="AE40" s="20"/>
      <c r="AF40" s="20"/>
      <c r="AG40" s="20"/>
      <c r="AH40" s="20"/>
      <c r="AI40" s="20"/>
      <c r="AJ40" s="19"/>
      <c r="AK40" s="27"/>
      <c r="AL40" s="20"/>
      <c r="AM40" s="20"/>
      <c r="AN40" s="20"/>
      <c r="AO40" s="20"/>
      <c r="AP40" s="20"/>
      <c r="AQ40" s="19"/>
      <c r="AR40" s="20"/>
      <c r="AS40" s="20"/>
      <c r="AT40" s="20"/>
      <c r="AU40" s="20"/>
      <c r="AV40" s="20"/>
      <c r="AW40" s="20"/>
      <c r="AX40" s="19"/>
      <c r="AY40" s="23"/>
      <c r="AZ40" s="8"/>
      <c r="BA40" s="8"/>
      <c r="BB40" s="8"/>
      <c r="BC40" s="8"/>
      <c r="BD40" s="8"/>
      <c r="BE40" s="14"/>
      <c r="BF40" s="34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73"/>
      <c r="BW40" s="8"/>
      <c r="BX40" s="8"/>
      <c r="BY40" s="20"/>
      <c r="BZ40" s="20"/>
      <c r="CA40" s="19"/>
      <c r="CB40" s="14"/>
      <c r="CD40" s="57"/>
      <c r="CH40" s="57"/>
      <c r="CS40" s="58"/>
    </row>
    <row r="41" spans="1:97" s="11" customFormat="1" ht="13.5" customHeight="1" x14ac:dyDescent="0.3">
      <c r="A41" s="24"/>
      <c r="B41" s="28"/>
      <c r="C41" s="12"/>
      <c r="D41" s="12"/>
      <c r="E41" s="12"/>
      <c r="F41" s="12"/>
      <c r="G41" s="12"/>
      <c r="H41" s="18"/>
      <c r="I41" s="29"/>
      <c r="J41"/>
      <c r="K41"/>
      <c r="L41"/>
      <c r="M41"/>
      <c r="N41"/>
      <c r="O41" s="18"/>
      <c r="P41" s="29"/>
      <c r="Q41"/>
      <c r="R41"/>
      <c r="S41"/>
      <c r="T41"/>
      <c r="U41"/>
      <c r="V41" s="18"/>
      <c r="W41" s="29"/>
      <c r="X41"/>
      <c r="Y41"/>
      <c r="Z41"/>
      <c r="AA41"/>
      <c r="AB41"/>
      <c r="AC41" s="18"/>
      <c r="AD41" s="29"/>
      <c r="AE41"/>
      <c r="AF41"/>
      <c r="AG41"/>
      <c r="AH41"/>
      <c r="AI41"/>
      <c r="AJ41" s="18"/>
      <c r="AK41" s="29"/>
      <c r="AL41"/>
      <c r="AM41"/>
      <c r="AN41"/>
      <c r="AO41"/>
      <c r="AP41"/>
      <c r="AQ41" s="18"/>
      <c r="AR41"/>
      <c r="AS41"/>
      <c r="AT41"/>
      <c r="AU41"/>
      <c r="AV41"/>
      <c r="AW41"/>
      <c r="AX41" s="18"/>
      <c r="AY41" s="23"/>
      <c r="AZ41" s="8"/>
      <c r="BA41" s="8"/>
      <c r="BB41" s="8"/>
      <c r="BC41" s="8"/>
      <c r="BD41" s="8"/>
      <c r="BE41" s="14"/>
      <c r="BF41" s="30"/>
      <c r="BG41" s="21" t="s">
        <v>299</v>
      </c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V41" s="23"/>
      <c r="BW41" s="8"/>
      <c r="BX41" s="8"/>
      <c r="CA41" s="13"/>
      <c r="CB41" s="14"/>
      <c r="CD41" s="57"/>
      <c r="CH41" s="57"/>
      <c r="CS41" s="58"/>
    </row>
    <row r="42" spans="1:97" s="11" customFormat="1" x14ac:dyDescent="0.3">
      <c r="A42" s="24"/>
      <c r="B42" s="28"/>
      <c r="C42" s="12"/>
      <c r="D42" s="12"/>
      <c r="E42" s="12"/>
      <c r="F42" s="12"/>
      <c r="G42" s="12"/>
      <c r="H42" s="18"/>
      <c r="I42" s="30"/>
      <c r="O42" s="13"/>
      <c r="P42" s="30"/>
      <c r="V42" s="13"/>
      <c r="W42" s="30"/>
      <c r="AC42" s="13"/>
      <c r="AD42" s="30"/>
      <c r="AJ42" s="13"/>
      <c r="AK42" s="30"/>
      <c r="AQ42" s="13"/>
      <c r="AX42" s="18"/>
      <c r="AY42" s="23"/>
      <c r="AZ42" s="8"/>
      <c r="BA42" s="8"/>
      <c r="BB42" s="8"/>
      <c r="BC42" s="8"/>
      <c r="BD42" s="8"/>
      <c r="BE42" s="14"/>
      <c r="BH42" s="17" t="s">
        <v>300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V42" s="23"/>
      <c r="BW42" s="8"/>
      <c r="BX42" s="8"/>
      <c r="CA42" s="13"/>
      <c r="CB42" s="14"/>
      <c r="CD42" s="57"/>
      <c r="CH42" s="57"/>
      <c r="CS42" s="58"/>
    </row>
    <row r="43" spans="1:97" x14ac:dyDescent="0.3">
      <c r="A43" s="23"/>
      <c r="B43" s="23"/>
      <c r="H43" s="14"/>
      <c r="I43" s="23"/>
      <c r="O43" s="14"/>
      <c r="P43" s="23"/>
      <c r="V43" s="14"/>
      <c r="W43" s="23"/>
      <c r="AC43" s="14"/>
      <c r="AD43" s="23"/>
      <c r="AJ43" s="14"/>
      <c r="AK43" s="23"/>
      <c r="AQ43" s="14"/>
      <c r="AX43" s="18"/>
      <c r="AY43" s="23"/>
      <c r="BE43" s="14"/>
      <c r="BF43" s="30"/>
      <c r="BG43" s="11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1"/>
      <c r="BU43" s="11"/>
      <c r="BV43" s="23"/>
      <c r="CA43" s="14"/>
      <c r="CB43" s="14"/>
      <c r="CD43" s="59"/>
      <c r="CH43" s="59"/>
      <c r="CS43" s="60"/>
    </row>
    <row r="44" spans="1:97" x14ac:dyDescent="0.3">
      <c r="A44" s="23"/>
      <c r="B44" s="23"/>
      <c r="H44" s="14"/>
      <c r="I44" s="23"/>
      <c r="O44" s="14"/>
      <c r="P44" s="23"/>
      <c r="V44" s="14"/>
      <c r="W44" s="23"/>
      <c r="AC44" s="14"/>
      <c r="AD44" s="23"/>
      <c r="AJ44" s="14"/>
      <c r="AK44" s="23"/>
      <c r="AQ44" s="14"/>
      <c r="AX44" s="18"/>
      <c r="AY44" s="23"/>
      <c r="BE44" s="14"/>
      <c r="BF44" s="30"/>
      <c r="BG44" s="11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U44" s="11"/>
      <c r="BV44" s="23"/>
      <c r="CA44" s="14"/>
      <c r="CB44" s="14"/>
      <c r="CD44" s="59"/>
      <c r="CH44" s="59"/>
      <c r="CS44" s="60"/>
    </row>
    <row r="45" spans="1:97" x14ac:dyDescent="0.3">
      <c r="A45" s="23"/>
      <c r="B45" s="23"/>
      <c r="H45" s="14"/>
      <c r="I45" s="23"/>
      <c r="O45" s="14"/>
      <c r="P45" s="23"/>
      <c r="V45" s="14"/>
      <c r="W45" s="23"/>
      <c r="AC45" s="14"/>
      <c r="AD45" s="23"/>
      <c r="AJ45" s="14"/>
      <c r="AK45" s="23"/>
      <c r="AQ45" s="14"/>
      <c r="AX45" s="18"/>
      <c r="AY45" s="23"/>
      <c r="BE45" s="14"/>
      <c r="BF45" s="30"/>
      <c r="BG45" s="11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U45" s="11"/>
      <c r="BV45" s="23"/>
      <c r="CA45" s="14"/>
      <c r="CB45" s="14"/>
      <c r="CD45" s="59"/>
      <c r="CH45" s="59"/>
      <c r="CS45" s="60"/>
    </row>
    <row r="46" spans="1:97" x14ac:dyDescent="0.3">
      <c r="A46" s="23"/>
      <c r="B46" s="23"/>
      <c r="H46" s="14"/>
      <c r="I46" s="23"/>
      <c r="O46" s="14"/>
      <c r="P46" s="23"/>
      <c r="V46" s="14"/>
      <c r="W46" s="23"/>
      <c r="AC46" s="14"/>
      <c r="AD46" s="23"/>
      <c r="AJ46" s="14"/>
      <c r="AK46" s="23"/>
      <c r="AQ46" s="14"/>
      <c r="AX46" s="18"/>
      <c r="AY46" s="23"/>
      <c r="BE46" s="14"/>
      <c r="BF46" s="30"/>
      <c r="BG46" s="11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U46" s="11"/>
      <c r="BV46" s="23"/>
      <c r="CA46" s="14"/>
      <c r="CB46" s="14"/>
      <c r="CD46" s="59"/>
      <c r="CH46" s="59"/>
      <c r="CS46" s="60"/>
    </row>
    <row r="47" spans="1:97" x14ac:dyDescent="0.3">
      <c r="A47" s="23"/>
      <c r="B47" s="23"/>
      <c r="H47" s="14"/>
      <c r="I47" s="23"/>
      <c r="O47" s="14"/>
      <c r="P47" s="23"/>
      <c r="V47" s="14"/>
      <c r="W47" s="23"/>
      <c r="AC47" s="14"/>
      <c r="AD47" s="23"/>
      <c r="AJ47" s="14"/>
      <c r="AK47" s="23"/>
      <c r="AQ47" s="14"/>
      <c r="AX47" s="18"/>
      <c r="AY47" s="23"/>
      <c r="BE47" s="14"/>
      <c r="BF47" s="30"/>
      <c r="BG47" s="11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U47" s="11"/>
      <c r="BV47" s="23"/>
      <c r="CA47" s="14"/>
      <c r="CB47" s="14"/>
      <c r="CD47" s="59"/>
      <c r="CH47" s="59"/>
      <c r="CS47" s="60"/>
    </row>
    <row r="48" spans="1:97" x14ac:dyDescent="0.3">
      <c r="A48" s="23"/>
      <c r="B48" s="23"/>
      <c r="H48" s="14"/>
      <c r="I48" s="23"/>
      <c r="O48" s="14"/>
      <c r="P48" s="23"/>
      <c r="V48" s="14"/>
      <c r="W48" s="23"/>
      <c r="AC48" s="14"/>
      <c r="AD48" s="23"/>
      <c r="AJ48" s="14"/>
      <c r="AK48" s="23"/>
      <c r="AQ48" s="14"/>
      <c r="AX48" s="18"/>
      <c r="AY48" s="23"/>
      <c r="BE48" s="14"/>
      <c r="BF48" s="23"/>
      <c r="BG48" s="21" t="s">
        <v>301</v>
      </c>
      <c r="BL48" s="17"/>
      <c r="BM48" s="17"/>
      <c r="BN48" s="17"/>
      <c r="BO48" s="17"/>
      <c r="BP48" s="17"/>
      <c r="BQ48" s="17"/>
      <c r="BR48" s="17"/>
      <c r="BS48" s="17"/>
      <c r="BV48" s="23"/>
      <c r="CA48" s="14"/>
      <c r="CB48" s="14"/>
      <c r="CD48" s="59"/>
      <c r="CH48" s="59"/>
      <c r="CS48" s="60"/>
    </row>
    <row r="49" spans="1:97" x14ac:dyDescent="0.3">
      <c r="A49" s="23"/>
      <c r="B49" s="23"/>
      <c r="H49" s="14"/>
      <c r="I49" s="23"/>
      <c r="O49" s="14"/>
      <c r="P49" s="23"/>
      <c r="V49" s="14"/>
      <c r="W49" s="23"/>
      <c r="AC49" s="14"/>
      <c r="AD49" s="23"/>
      <c r="AJ49" s="14"/>
      <c r="AK49" s="23"/>
      <c r="AQ49" s="14"/>
      <c r="AX49" s="18"/>
      <c r="AY49" s="23"/>
      <c r="BE49" s="14"/>
      <c r="BF49" s="23"/>
      <c r="BH49" s="82" t="s">
        <v>302</v>
      </c>
      <c r="BL49" s="17"/>
      <c r="BM49" s="17"/>
      <c r="BN49" s="17"/>
      <c r="BO49" s="17"/>
      <c r="BP49" s="17"/>
      <c r="BQ49" s="17"/>
      <c r="BR49" s="17"/>
      <c r="BS49" s="17"/>
      <c r="BV49" s="23"/>
      <c r="CA49" s="14"/>
      <c r="CB49" s="14"/>
      <c r="CD49" s="59"/>
      <c r="CH49" s="59"/>
      <c r="CS49" s="60"/>
    </row>
    <row r="50" spans="1:97" x14ac:dyDescent="0.3">
      <c r="A50" s="23"/>
      <c r="B50" s="23"/>
      <c r="H50" s="14"/>
      <c r="I50" s="23"/>
      <c r="O50" s="14"/>
      <c r="P50" s="23"/>
      <c r="V50" s="14"/>
      <c r="W50" s="23"/>
      <c r="AC50" s="14"/>
      <c r="AD50" s="23"/>
      <c r="AJ50" s="14"/>
      <c r="AK50" s="23"/>
      <c r="AQ50" s="14"/>
      <c r="AX50" s="18"/>
      <c r="AY50" s="23"/>
      <c r="BE50" s="14"/>
      <c r="BF50" s="23"/>
      <c r="BH50" s="82" t="s">
        <v>303</v>
      </c>
      <c r="BL50" s="17"/>
      <c r="BM50" s="17"/>
      <c r="BN50" s="17"/>
      <c r="BO50" s="17"/>
      <c r="BP50" s="17"/>
      <c r="BQ50" s="17"/>
      <c r="BR50" s="17"/>
      <c r="BS50" s="17"/>
      <c r="BV50" s="23"/>
      <c r="CA50" s="14"/>
      <c r="CB50" s="14"/>
      <c r="CD50" s="59"/>
      <c r="CH50" s="59"/>
      <c r="CS50" s="60"/>
    </row>
    <row r="51" spans="1:97" x14ac:dyDescent="0.3">
      <c r="A51" s="23"/>
      <c r="B51" s="23"/>
      <c r="H51" s="14"/>
      <c r="I51" s="23"/>
      <c r="O51" s="14"/>
      <c r="P51" s="23"/>
      <c r="V51" s="14"/>
      <c r="W51" s="23"/>
      <c r="AC51" s="14"/>
      <c r="AD51" s="23"/>
      <c r="AJ51" s="14"/>
      <c r="AK51" s="23"/>
      <c r="AQ51" s="14"/>
      <c r="AX51" s="18"/>
      <c r="AY51" s="23"/>
      <c r="BE51" s="14"/>
      <c r="BF51" s="23"/>
      <c r="BH51" s="82" t="s">
        <v>304</v>
      </c>
      <c r="BL51" s="17"/>
      <c r="BM51" s="17"/>
      <c r="BN51" s="17"/>
      <c r="BO51" s="17"/>
      <c r="BP51" s="17"/>
      <c r="BQ51" s="17"/>
      <c r="BR51" s="17"/>
      <c r="BS51" s="17"/>
      <c r="BV51" s="23"/>
      <c r="CA51" s="14"/>
      <c r="CB51" s="14"/>
      <c r="CD51" s="59"/>
      <c r="CH51" s="59"/>
      <c r="CS51" s="60"/>
    </row>
    <row r="52" spans="1:97" x14ac:dyDescent="0.3">
      <c r="A52" s="23"/>
      <c r="B52" s="23"/>
      <c r="H52" s="14"/>
      <c r="I52" s="23"/>
      <c r="O52" s="14"/>
      <c r="P52" s="23"/>
      <c r="V52" s="14"/>
      <c r="W52" s="23"/>
      <c r="AC52" s="14"/>
      <c r="AD52" s="23"/>
      <c r="AJ52" s="14"/>
      <c r="AK52" s="23"/>
      <c r="AQ52" s="14"/>
      <c r="AX52" s="18"/>
      <c r="AY52" s="23"/>
      <c r="BE52" s="14"/>
      <c r="BF52" s="23"/>
      <c r="BL52" s="17"/>
      <c r="BM52" s="17"/>
      <c r="BN52" s="17"/>
      <c r="BO52" s="17"/>
      <c r="BP52" s="17"/>
      <c r="BQ52" s="17"/>
      <c r="BR52" s="17"/>
      <c r="BS52" s="17"/>
      <c r="BV52" s="23"/>
      <c r="CA52" s="14"/>
      <c r="CB52" s="14"/>
      <c r="CD52" s="59"/>
      <c r="CH52" s="59"/>
      <c r="CS52" s="60"/>
    </row>
    <row r="53" spans="1:97" x14ac:dyDescent="0.3">
      <c r="A53" s="23"/>
      <c r="B53" s="23"/>
      <c r="H53" s="14"/>
      <c r="I53" s="23"/>
      <c r="O53" s="14"/>
      <c r="P53" s="23"/>
      <c r="V53" s="14"/>
      <c r="W53" s="23"/>
      <c r="AC53" s="14"/>
      <c r="AD53" s="23"/>
      <c r="AJ53" s="14"/>
      <c r="AK53" s="23"/>
      <c r="AQ53" s="14"/>
      <c r="AX53" s="18"/>
      <c r="AY53" s="23"/>
      <c r="BE53" s="14"/>
      <c r="BF53" s="23"/>
      <c r="BL53" s="17"/>
      <c r="BM53" s="17"/>
      <c r="BN53" s="17"/>
      <c r="BO53" s="17"/>
      <c r="BP53" s="17"/>
      <c r="BQ53" s="17"/>
      <c r="BR53" s="17"/>
      <c r="BS53" s="17"/>
      <c r="BV53" s="23"/>
      <c r="CA53" s="14"/>
      <c r="CB53" s="14"/>
      <c r="CD53" s="59"/>
      <c r="CH53" s="59"/>
      <c r="CS53" s="60"/>
    </row>
    <row r="54" spans="1:97" x14ac:dyDescent="0.3">
      <c r="A54" s="23"/>
      <c r="B54" s="23"/>
      <c r="H54" s="14"/>
      <c r="I54" s="23"/>
      <c r="O54" s="14"/>
      <c r="P54" s="23"/>
      <c r="V54" s="14"/>
      <c r="W54" s="23"/>
      <c r="AC54" s="14"/>
      <c r="AD54" s="23"/>
      <c r="AJ54" s="14"/>
      <c r="AK54" s="23"/>
      <c r="AQ54" s="14"/>
      <c r="AX54" s="18"/>
      <c r="AY54" s="23"/>
      <c r="BE54" s="14"/>
      <c r="BF54" s="23"/>
      <c r="BG54" s="21" t="s">
        <v>305</v>
      </c>
      <c r="BL54" s="17"/>
      <c r="BM54" s="17"/>
      <c r="BN54" s="17"/>
      <c r="BO54" s="17"/>
      <c r="BP54" s="17"/>
      <c r="BQ54" s="17"/>
      <c r="BR54" s="17"/>
      <c r="BS54" s="17"/>
      <c r="BV54" s="23"/>
      <c r="CA54" s="14"/>
      <c r="CB54" s="14"/>
      <c r="CD54" s="59"/>
      <c r="CH54" s="59"/>
      <c r="CS54" s="60"/>
    </row>
    <row r="55" spans="1:97" x14ac:dyDescent="0.3">
      <c r="A55" s="23"/>
      <c r="B55" s="23"/>
      <c r="H55" s="14"/>
      <c r="I55" s="23"/>
      <c r="O55" s="14"/>
      <c r="P55" s="23"/>
      <c r="V55" s="14"/>
      <c r="W55" s="23"/>
      <c r="AC55" s="14"/>
      <c r="AD55" s="23"/>
      <c r="AJ55" s="14"/>
      <c r="AK55" s="23"/>
      <c r="AQ55" s="14"/>
      <c r="AX55" s="18"/>
      <c r="AY55" s="23"/>
      <c r="BE55" s="14"/>
      <c r="BF55" s="23"/>
      <c r="BL55" s="17"/>
      <c r="BM55" s="17"/>
      <c r="BN55" s="17"/>
      <c r="BO55" s="17"/>
      <c r="BP55" s="17"/>
      <c r="BQ55" s="17"/>
      <c r="BR55" s="17"/>
      <c r="BS55" s="17"/>
      <c r="BV55" s="23"/>
      <c r="CA55" s="14"/>
      <c r="CB55" s="14"/>
      <c r="CD55" s="59"/>
      <c r="CH55" s="59"/>
      <c r="CS55" s="60"/>
    </row>
    <row r="56" spans="1:97" x14ac:dyDescent="0.3">
      <c r="A56" s="23"/>
      <c r="B56" s="23"/>
      <c r="H56" s="14"/>
      <c r="I56" s="23"/>
      <c r="O56" s="14"/>
      <c r="P56" s="23"/>
      <c r="V56" s="14"/>
      <c r="W56" s="23"/>
      <c r="AC56" s="14"/>
      <c r="AD56" s="23"/>
      <c r="AJ56" s="14"/>
      <c r="AK56" s="23"/>
      <c r="AQ56" s="14"/>
      <c r="AX56" s="18"/>
      <c r="AY56" s="23"/>
      <c r="BE56" s="14"/>
      <c r="BF56" s="23"/>
      <c r="BL56" s="17"/>
      <c r="BM56" s="17"/>
      <c r="BN56" s="17"/>
      <c r="BO56" s="17"/>
      <c r="BP56" s="17"/>
      <c r="BQ56" s="17"/>
      <c r="BR56" s="17"/>
      <c r="BS56" s="17"/>
      <c r="BV56" s="23"/>
      <c r="CA56" s="14"/>
      <c r="CB56" s="14"/>
      <c r="CD56" s="59"/>
      <c r="CH56" s="59"/>
      <c r="CS56" s="60"/>
    </row>
    <row r="57" spans="1:97" x14ac:dyDescent="0.3">
      <c r="A57" s="23"/>
      <c r="B57" s="23"/>
      <c r="H57" s="14"/>
      <c r="I57" s="23"/>
      <c r="O57" s="14"/>
      <c r="P57" s="23"/>
      <c r="V57" s="14"/>
      <c r="W57" s="23"/>
      <c r="AC57" s="14"/>
      <c r="AD57" s="23"/>
      <c r="AJ57" s="14"/>
      <c r="AK57" s="23"/>
      <c r="AQ57" s="14"/>
      <c r="AX57" s="18"/>
      <c r="AY57" s="23"/>
      <c r="BE57" s="14"/>
      <c r="BF57" s="23"/>
      <c r="BL57" s="17"/>
      <c r="BM57" s="17"/>
      <c r="BN57" s="17"/>
      <c r="BO57" s="17"/>
      <c r="BP57" s="17"/>
      <c r="BQ57" s="17"/>
      <c r="BR57" s="17"/>
      <c r="BS57" s="17"/>
      <c r="BV57" s="23"/>
      <c r="CA57" s="14"/>
      <c r="CB57" s="14"/>
      <c r="CD57" s="59"/>
      <c r="CH57" s="59"/>
      <c r="CS57" s="60"/>
    </row>
    <row r="58" spans="1:97" x14ac:dyDescent="0.3">
      <c r="A58" s="23"/>
      <c r="B58" s="23"/>
      <c r="H58" s="14"/>
      <c r="I58" s="23"/>
      <c r="O58" s="14"/>
      <c r="P58" s="23"/>
      <c r="V58" s="14"/>
      <c r="W58" s="23"/>
      <c r="AC58" s="14"/>
      <c r="AD58" s="23"/>
      <c r="AJ58" s="14"/>
      <c r="AK58" s="23"/>
      <c r="AQ58" s="14"/>
      <c r="AX58" s="18"/>
      <c r="AY58" s="23"/>
      <c r="BE58" s="14"/>
      <c r="BF58" s="23"/>
      <c r="BL58" s="17"/>
      <c r="BM58" s="17"/>
      <c r="BN58" s="17"/>
      <c r="BO58" s="17"/>
      <c r="BP58" s="17"/>
      <c r="BQ58" s="17"/>
      <c r="BR58" s="17"/>
      <c r="BS58" s="17"/>
      <c r="BV58" s="23"/>
      <c r="CA58" s="14"/>
      <c r="CB58" s="14"/>
      <c r="CD58" s="59"/>
      <c r="CH58" s="59"/>
      <c r="CS58" s="60"/>
    </row>
    <row r="59" spans="1:97" x14ac:dyDescent="0.3">
      <c r="A59" s="23"/>
      <c r="B59" s="23"/>
      <c r="H59" s="14"/>
      <c r="I59" s="23"/>
      <c r="O59" s="14"/>
      <c r="P59" s="23"/>
      <c r="V59" s="14"/>
      <c r="W59" s="23"/>
      <c r="AC59" s="14"/>
      <c r="AD59" s="23"/>
      <c r="AJ59" s="14"/>
      <c r="AK59" s="23"/>
      <c r="AQ59" s="14"/>
      <c r="AX59" s="18"/>
      <c r="AY59" s="23"/>
      <c r="BE59" s="14"/>
      <c r="BF59" s="23"/>
      <c r="BL59" s="17"/>
      <c r="BM59" s="17"/>
      <c r="BN59" s="17"/>
      <c r="BO59" s="17"/>
      <c r="BP59" s="17"/>
      <c r="BQ59" s="17"/>
      <c r="BR59" s="17"/>
      <c r="BS59" s="17"/>
      <c r="BV59" s="23"/>
      <c r="CA59" s="14"/>
      <c r="CB59" s="14"/>
      <c r="CD59" s="59"/>
      <c r="CH59" s="59"/>
      <c r="CS59" s="60"/>
    </row>
    <row r="60" spans="1:97" x14ac:dyDescent="0.3">
      <c r="A60" s="23"/>
      <c r="B60" s="23"/>
      <c r="H60" s="14"/>
      <c r="I60" s="23"/>
      <c r="O60" s="14"/>
      <c r="P60" s="23"/>
      <c r="V60" s="14"/>
      <c r="W60" s="23"/>
      <c r="AC60" s="14"/>
      <c r="AD60" s="23"/>
      <c r="AJ60" s="14"/>
      <c r="AK60" s="23"/>
      <c r="AQ60" s="14"/>
      <c r="AX60" s="18"/>
      <c r="AY60" s="23"/>
      <c r="BE60" s="14"/>
      <c r="BF60" s="23"/>
      <c r="BG60" s="21" t="s">
        <v>306</v>
      </c>
      <c r="BL60" s="17"/>
      <c r="BM60" s="17"/>
      <c r="BN60" s="17"/>
      <c r="BO60" s="17"/>
      <c r="BP60" s="17"/>
      <c r="BQ60" s="17"/>
      <c r="BR60" s="17"/>
      <c r="BS60" s="17"/>
      <c r="BV60" s="23"/>
      <c r="CA60" s="14"/>
      <c r="CB60" s="14"/>
      <c r="CD60" s="59"/>
      <c r="CH60" s="59"/>
      <c r="CS60" s="60"/>
    </row>
    <row r="61" spans="1:97" x14ac:dyDescent="0.3">
      <c r="A61" s="23"/>
      <c r="B61" s="23"/>
      <c r="H61" s="14"/>
      <c r="I61" s="23"/>
      <c r="O61" s="14"/>
      <c r="P61" s="23"/>
      <c r="V61" s="14"/>
      <c r="W61" s="23"/>
      <c r="AC61" s="14"/>
      <c r="AD61" s="23"/>
      <c r="AJ61" s="14"/>
      <c r="AK61" s="23"/>
      <c r="AQ61" s="14"/>
      <c r="AX61" s="18"/>
      <c r="AY61" s="23"/>
      <c r="BE61" s="14"/>
      <c r="BF61" s="23"/>
      <c r="BH61" s="8" t="s">
        <v>145</v>
      </c>
      <c r="BL61" s="17"/>
      <c r="BM61" s="17"/>
      <c r="BN61" s="17"/>
      <c r="BO61" s="17"/>
      <c r="BP61" s="17"/>
      <c r="BQ61" s="17"/>
      <c r="BR61" s="17"/>
      <c r="BS61" s="17"/>
      <c r="BV61" s="23"/>
      <c r="CA61" s="14"/>
      <c r="CB61" s="14"/>
      <c r="CD61" s="59"/>
      <c r="CH61" s="59"/>
      <c r="CS61" s="60"/>
    </row>
    <row r="62" spans="1:97" x14ac:dyDescent="0.3">
      <c r="A62" s="23"/>
      <c r="B62" s="23"/>
      <c r="H62" s="14"/>
      <c r="I62" s="23"/>
      <c r="O62" s="14"/>
      <c r="P62" s="23"/>
      <c r="V62" s="14"/>
      <c r="W62" s="23"/>
      <c r="AC62" s="14"/>
      <c r="AD62" s="23"/>
      <c r="AJ62" s="14"/>
      <c r="AK62" s="23"/>
      <c r="AQ62" s="14"/>
      <c r="AX62" s="18"/>
      <c r="AY62" s="23"/>
      <c r="BE62" s="14"/>
      <c r="BF62" s="23"/>
      <c r="BL62" s="17"/>
      <c r="BM62" s="17"/>
      <c r="BN62" s="17"/>
      <c r="BO62" s="17"/>
      <c r="BP62" s="17"/>
      <c r="BQ62" s="17"/>
      <c r="BR62" s="17"/>
      <c r="BS62" s="17"/>
      <c r="BV62" s="23"/>
      <c r="CA62" s="14"/>
      <c r="CB62" s="14"/>
      <c r="CD62" s="59"/>
      <c r="CH62" s="59"/>
      <c r="CS62" s="60"/>
    </row>
    <row r="63" spans="1:97" x14ac:dyDescent="0.3">
      <c r="A63" s="23"/>
      <c r="B63" s="23"/>
      <c r="H63" s="14"/>
      <c r="I63" s="23"/>
      <c r="O63" s="14"/>
      <c r="P63" s="23"/>
      <c r="V63" s="14"/>
      <c r="W63" s="23"/>
      <c r="AC63" s="14"/>
      <c r="AD63" s="23"/>
      <c r="AJ63" s="14"/>
      <c r="AK63" s="23"/>
      <c r="AQ63" s="14"/>
      <c r="AX63" s="18"/>
      <c r="AY63" s="23"/>
      <c r="BE63" s="14"/>
      <c r="BF63" s="23"/>
      <c r="BL63" s="17"/>
      <c r="BM63" s="17"/>
      <c r="BN63" s="17"/>
      <c r="BO63" s="17"/>
      <c r="BP63" s="17"/>
      <c r="BQ63" s="17"/>
      <c r="BR63" s="17"/>
      <c r="BS63" s="17"/>
      <c r="BV63" s="23"/>
      <c r="CA63" s="14"/>
      <c r="CB63" s="14"/>
      <c r="CD63" s="59"/>
      <c r="CH63" s="59"/>
      <c r="CS63" s="60"/>
    </row>
    <row r="64" spans="1:97" x14ac:dyDescent="0.3">
      <c r="A64" s="23"/>
      <c r="B64" s="23"/>
      <c r="H64" s="14"/>
      <c r="I64" s="23"/>
      <c r="O64" s="14"/>
      <c r="P64" s="23"/>
      <c r="V64" s="14"/>
      <c r="W64" s="23"/>
      <c r="AC64" s="14"/>
      <c r="AD64" s="23"/>
      <c r="AJ64" s="14"/>
      <c r="AK64" s="23"/>
      <c r="AQ64" s="14"/>
      <c r="AX64" s="18"/>
      <c r="AY64" s="23"/>
      <c r="BE64" s="14"/>
      <c r="BF64" s="23"/>
      <c r="BL64" s="17"/>
      <c r="BM64" s="17"/>
      <c r="BN64" s="17"/>
      <c r="BO64" s="17"/>
      <c r="BP64" s="17"/>
      <c r="BQ64" s="17"/>
      <c r="BR64" s="17"/>
      <c r="BS64" s="17"/>
      <c r="BV64" s="23"/>
      <c r="CA64" s="14"/>
      <c r="CB64" s="14"/>
      <c r="CD64" s="59"/>
      <c r="CH64" s="59"/>
      <c r="CS64" s="60"/>
    </row>
    <row r="65" spans="1:97" x14ac:dyDescent="0.3">
      <c r="A65" s="23"/>
      <c r="B65" s="23"/>
      <c r="H65" s="14"/>
      <c r="I65" s="23"/>
      <c r="O65" s="14"/>
      <c r="P65" s="23"/>
      <c r="V65" s="14"/>
      <c r="W65" s="23"/>
      <c r="AC65" s="14"/>
      <c r="AD65" s="23"/>
      <c r="AJ65" s="14"/>
      <c r="AK65" s="23"/>
      <c r="AQ65" s="14"/>
      <c r="AX65" s="18"/>
      <c r="AY65" s="23"/>
      <c r="BE65" s="14"/>
      <c r="BF65" s="23"/>
      <c r="BL65" s="17"/>
      <c r="BM65" s="17"/>
      <c r="BN65" s="17"/>
      <c r="BO65" s="17"/>
      <c r="BP65" s="17"/>
      <c r="BQ65" s="17"/>
      <c r="BR65" s="17"/>
      <c r="BS65" s="17"/>
      <c r="BV65" s="23"/>
      <c r="CA65" s="14"/>
      <c r="CB65" s="14"/>
      <c r="CD65" s="59"/>
      <c r="CH65" s="59"/>
      <c r="CS65" s="60"/>
    </row>
    <row r="66" spans="1:97" x14ac:dyDescent="0.3">
      <c r="A66" s="23"/>
      <c r="B66" s="23"/>
      <c r="H66" s="14"/>
      <c r="I66" s="23"/>
      <c r="O66" s="14"/>
      <c r="P66" s="23"/>
      <c r="V66" s="14"/>
      <c r="W66" s="23"/>
      <c r="AC66" s="14"/>
      <c r="AD66" s="23"/>
      <c r="AJ66" s="14"/>
      <c r="AK66" s="23"/>
      <c r="AQ66" s="14"/>
      <c r="AX66" s="18"/>
      <c r="AY66" s="23"/>
      <c r="BE66" s="14"/>
      <c r="BF66" s="23"/>
      <c r="BG66" s="21" t="s">
        <v>307</v>
      </c>
      <c r="BL66" s="17"/>
      <c r="BM66" s="17"/>
      <c r="BN66" s="17"/>
      <c r="BO66" s="17"/>
      <c r="BP66" s="17"/>
      <c r="BQ66" s="17"/>
      <c r="BR66" s="17"/>
      <c r="BS66" s="17"/>
      <c r="BV66" s="23"/>
      <c r="CA66" s="14"/>
      <c r="CB66" s="14"/>
      <c r="CD66" s="59"/>
      <c r="CH66" s="59"/>
      <c r="CS66" s="60"/>
    </row>
    <row r="67" spans="1:97" x14ac:dyDescent="0.3">
      <c r="A67" s="23"/>
      <c r="B67" s="23"/>
      <c r="H67" s="14"/>
      <c r="I67" s="23"/>
      <c r="O67" s="14"/>
      <c r="P67" s="23"/>
      <c r="V67" s="14"/>
      <c r="W67" s="23"/>
      <c r="AC67" s="14"/>
      <c r="AD67" s="23"/>
      <c r="AJ67" s="14"/>
      <c r="AK67" s="23"/>
      <c r="AQ67" s="14"/>
      <c r="AX67" s="18"/>
      <c r="AY67" s="23"/>
      <c r="BE67" s="14"/>
      <c r="BF67" s="23"/>
      <c r="BH67" s="8" t="s">
        <v>147</v>
      </c>
      <c r="BL67" s="17"/>
      <c r="BM67" s="17"/>
      <c r="BN67" s="17"/>
      <c r="BO67" s="17"/>
      <c r="BP67" s="17"/>
      <c r="BQ67" s="17"/>
      <c r="BR67" s="17"/>
      <c r="BS67" s="17"/>
      <c r="BV67" s="23"/>
      <c r="CA67" s="14"/>
      <c r="CB67" s="14"/>
      <c r="CD67" s="59"/>
      <c r="CH67" s="59"/>
      <c r="CS67" s="60"/>
    </row>
    <row r="68" spans="1:97" x14ac:dyDescent="0.3">
      <c r="A68" s="23"/>
      <c r="B68" s="23"/>
      <c r="H68" s="14"/>
      <c r="I68" s="23"/>
      <c r="O68" s="14"/>
      <c r="P68" s="23"/>
      <c r="V68" s="14"/>
      <c r="W68" s="23"/>
      <c r="AC68" s="14"/>
      <c r="AD68" s="23"/>
      <c r="AJ68" s="14"/>
      <c r="AK68" s="23"/>
      <c r="AQ68" s="14"/>
      <c r="AX68" s="18"/>
      <c r="AY68" s="23"/>
      <c r="BE68" s="14"/>
      <c r="BF68" s="23"/>
      <c r="BL68" s="17"/>
      <c r="BM68" s="17"/>
      <c r="BN68" s="17"/>
      <c r="BO68" s="17"/>
      <c r="BP68" s="17"/>
      <c r="BQ68" s="17"/>
      <c r="BR68" s="17"/>
      <c r="BS68" s="17"/>
      <c r="BV68" s="23"/>
      <c r="CA68" s="14"/>
      <c r="CB68" s="14"/>
      <c r="CD68" s="59"/>
      <c r="CH68" s="59"/>
      <c r="CS68" s="60"/>
    </row>
    <row r="69" spans="1:97" x14ac:dyDescent="0.3">
      <c r="A69" s="23"/>
      <c r="B69" s="23"/>
      <c r="H69" s="14"/>
      <c r="I69" s="23"/>
      <c r="O69" s="14"/>
      <c r="P69" s="23"/>
      <c r="V69" s="14"/>
      <c r="W69" s="23"/>
      <c r="AC69" s="14"/>
      <c r="AD69" s="23"/>
      <c r="AJ69" s="14"/>
      <c r="AK69" s="23"/>
      <c r="AQ69" s="14"/>
      <c r="AX69" s="18"/>
      <c r="AY69" s="23"/>
      <c r="BE69" s="14"/>
      <c r="BF69" s="23"/>
      <c r="BL69" s="17"/>
      <c r="BM69" s="17"/>
      <c r="BN69" s="17"/>
      <c r="BO69" s="17"/>
      <c r="BP69" s="17"/>
      <c r="BQ69" s="17"/>
      <c r="BR69" s="17"/>
      <c r="BS69" s="17"/>
      <c r="BV69" s="23"/>
      <c r="CA69" s="14"/>
      <c r="CB69" s="14"/>
      <c r="CD69" s="59"/>
      <c r="CH69" s="59"/>
      <c r="CS69" s="60"/>
    </row>
    <row r="70" spans="1:97" x14ac:dyDescent="0.3">
      <c r="A70" s="23"/>
      <c r="B70" s="23"/>
      <c r="H70" s="14"/>
      <c r="I70" s="23"/>
      <c r="O70" s="14"/>
      <c r="P70" s="23"/>
      <c r="V70" s="14"/>
      <c r="W70" s="23"/>
      <c r="AC70" s="14"/>
      <c r="AD70" s="23"/>
      <c r="AJ70" s="14"/>
      <c r="AK70" s="23"/>
      <c r="AQ70" s="14"/>
      <c r="AX70" s="18"/>
      <c r="AY70" s="23"/>
      <c r="BE70" s="14"/>
      <c r="BF70" s="23"/>
      <c r="BG70" s="11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V70" s="23"/>
      <c r="CA70" s="14"/>
      <c r="CB70" s="14"/>
      <c r="CD70" s="59"/>
      <c r="CH70" s="59"/>
      <c r="CS70" s="60"/>
    </row>
    <row r="71" spans="1:97" x14ac:dyDescent="0.3">
      <c r="A71" s="23"/>
      <c r="B71" s="23"/>
      <c r="H71" s="14"/>
      <c r="I71" s="23"/>
      <c r="O71" s="14"/>
      <c r="P71" s="23"/>
      <c r="V71" s="14"/>
      <c r="W71" s="23"/>
      <c r="AC71" s="14"/>
      <c r="AD71" s="23"/>
      <c r="AJ71" s="14"/>
      <c r="AK71" s="23"/>
      <c r="AQ71" s="14"/>
      <c r="AX71" s="18"/>
      <c r="AY71" s="23"/>
      <c r="BE71" s="14"/>
      <c r="BF71" s="23"/>
      <c r="BG71" s="11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V71" s="23"/>
      <c r="CA71" s="14"/>
      <c r="CB71" s="14"/>
      <c r="CD71" s="59"/>
      <c r="CH71" s="59"/>
      <c r="CS71" s="60"/>
    </row>
    <row r="72" spans="1:97" x14ac:dyDescent="0.3">
      <c r="A72" s="23"/>
      <c r="B72" s="23"/>
      <c r="H72" s="14"/>
      <c r="I72" s="23"/>
      <c r="O72" s="14"/>
      <c r="P72" s="23"/>
      <c r="V72" s="14"/>
      <c r="W72" s="23"/>
      <c r="AC72" s="14"/>
      <c r="AD72" s="23"/>
      <c r="AJ72" s="14"/>
      <c r="AK72" s="23"/>
      <c r="AQ72" s="14"/>
      <c r="AX72" s="18"/>
      <c r="AY72" s="23"/>
      <c r="BE72" s="14"/>
      <c r="BF72" s="23"/>
      <c r="BG72" s="11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V72" s="23"/>
      <c r="CA72" s="14"/>
      <c r="CB72" s="14"/>
      <c r="CD72" s="59"/>
      <c r="CH72" s="59"/>
      <c r="CS72" s="60"/>
    </row>
    <row r="73" spans="1:97" x14ac:dyDescent="0.3">
      <c r="A73" s="23"/>
      <c r="B73" s="23"/>
      <c r="H73" s="14"/>
      <c r="I73" s="23"/>
      <c r="O73" s="14"/>
      <c r="P73" s="23"/>
      <c r="V73" s="14"/>
      <c r="W73" s="23"/>
      <c r="AC73" s="14"/>
      <c r="AD73" s="23"/>
      <c r="AJ73" s="14"/>
      <c r="AK73" s="23"/>
      <c r="AQ73" s="14"/>
      <c r="AX73" s="18"/>
      <c r="AY73" s="23"/>
      <c r="BE73" s="14"/>
      <c r="BF73" s="23"/>
      <c r="BG73" s="11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V73" s="23"/>
      <c r="CA73" s="14"/>
      <c r="CB73" s="14"/>
      <c r="CD73" s="59"/>
      <c r="CH73" s="59"/>
      <c r="CS73" s="60"/>
    </row>
    <row r="74" spans="1:97" x14ac:dyDescent="0.3">
      <c r="A74" s="23"/>
      <c r="B74" s="23"/>
      <c r="H74" s="14"/>
      <c r="I74" s="23"/>
      <c r="O74" s="14"/>
      <c r="P74" s="23"/>
      <c r="V74" s="14"/>
      <c r="W74" s="23"/>
      <c r="AC74" s="14"/>
      <c r="AD74" s="23"/>
      <c r="AJ74" s="14"/>
      <c r="AK74" s="23"/>
      <c r="AQ74" s="14"/>
      <c r="AX74" s="18"/>
      <c r="AY74" s="23"/>
      <c r="BE74" s="14"/>
      <c r="BF74" s="23"/>
      <c r="BG74" s="11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V74" s="23"/>
      <c r="CA74" s="14"/>
      <c r="CB74" s="14"/>
      <c r="CD74" s="59"/>
      <c r="CH74" s="59"/>
      <c r="CS74" s="60"/>
    </row>
    <row r="75" spans="1:97" x14ac:dyDescent="0.3">
      <c r="A75" s="23"/>
      <c r="B75" s="23"/>
      <c r="H75" s="14"/>
      <c r="I75" s="23"/>
      <c r="O75" s="14"/>
      <c r="P75" s="23"/>
      <c r="V75" s="14"/>
      <c r="W75" s="23"/>
      <c r="AC75" s="14"/>
      <c r="AD75" s="23"/>
      <c r="AJ75" s="14"/>
      <c r="AK75" s="23"/>
      <c r="AQ75" s="14"/>
      <c r="AX75" s="18"/>
      <c r="AY75" s="23"/>
      <c r="BE75" s="14"/>
      <c r="BF75" s="23"/>
      <c r="BG75" s="11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V75" s="23"/>
      <c r="CA75" s="14"/>
      <c r="CB75" s="14"/>
      <c r="CD75" s="59"/>
      <c r="CH75" s="59"/>
      <c r="CS75" s="60"/>
    </row>
    <row r="76" spans="1:97" x14ac:dyDescent="0.3">
      <c r="A76" s="23"/>
      <c r="B76" s="23"/>
      <c r="H76" s="14"/>
      <c r="I76" s="23"/>
      <c r="O76" s="14"/>
      <c r="P76" s="23"/>
      <c r="V76" s="14"/>
      <c r="W76" s="23"/>
      <c r="AC76" s="14"/>
      <c r="AD76" s="23"/>
      <c r="AJ76" s="14"/>
      <c r="AK76" s="23"/>
      <c r="AQ76" s="14"/>
      <c r="AX76" s="18"/>
      <c r="AY76" s="23"/>
      <c r="BE76" s="14"/>
      <c r="BF76" s="23"/>
      <c r="BG76" s="11"/>
      <c r="BP76" s="11"/>
      <c r="BV76" s="23"/>
      <c r="CA76" s="14"/>
      <c r="CB76" s="14"/>
      <c r="CD76" s="59"/>
      <c r="CH76" s="59"/>
      <c r="CS76" s="60"/>
    </row>
    <row r="77" spans="1:97" x14ac:dyDescent="0.3">
      <c r="A77" s="23"/>
      <c r="B77" s="23"/>
      <c r="H77" s="14"/>
      <c r="I77" s="23"/>
      <c r="O77" s="14"/>
      <c r="P77" s="23"/>
      <c r="V77" s="14"/>
      <c r="W77" s="23"/>
      <c r="AC77" s="14"/>
      <c r="AD77" s="23"/>
      <c r="AJ77" s="14"/>
      <c r="AK77" s="23"/>
      <c r="AQ77" s="14"/>
      <c r="AX77" s="18"/>
      <c r="AY77" s="23"/>
      <c r="BE77" s="14"/>
      <c r="BF77" s="23"/>
      <c r="BG77" s="11"/>
      <c r="BP77" s="11"/>
      <c r="BV77" s="23"/>
      <c r="CA77" s="14"/>
      <c r="CB77" s="14"/>
      <c r="CD77" s="59"/>
      <c r="CH77" s="59"/>
      <c r="CS77" s="60"/>
    </row>
    <row r="78" spans="1:97" x14ac:dyDescent="0.3">
      <c r="A78" s="23"/>
      <c r="B78" s="23"/>
      <c r="H78" s="14"/>
      <c r="I78" s="23"/>
      <c r="O78" s="14"/>
      <c r="P78" s="23"/>
      <c r="V78" s="14"/>
      <c r="W78" s="23"/>
      <c r="AC78" s="14"/>
      <c r="AD78" s="23"/>
      <c r="AJ78" s="14"/>
      <c r="AK78" s="23"/>
      <c r="AQ78" s="14"/>
      <c r="AX78" s="18"/>
      <c r="AY78" s="23"/>
      <c r="BE78" s="14"/>
      <c r="BF78" s="23"/>
      <c r="BG78" s="16"/>
      <c r="BH78" s="11"/>
      <c r="BI78" s="11"/>
      <c r="BJ78" s="11"/>
      <c r="BP78" s="11"/>
      <c r="BV78" s="23"/>
      <c r="CA78" s="14"/>
      <c r="CB78" s="14"/>
      <c r="CD78" s="59"/>
      <c r="CH78" s="59"/>
      <c r="CS78" s="60"/>
    </row>
    <row r="79" spans="1:97" x14ac:dyDescent="0.3">
      <c r="A79" s="23"/>
      <c r="B79" s="23"/>
      <c r="H79" s="14"/>
      <c r="I79" s="23"/>
      <c r="O79" s="14"/>
      <c r="P79" s="23"/>
      <c r="V79" s="14"/>
      <c r="W79" s="23"/>
      <c r="AC79" s="14"/>
      <c r="AD79" s="23"/>
      <c r="AJ79" s="14"/>
      <c r="AK79" s="23"/>
      <c r="AQ79" s="14"/>
      <c r="AX79" s="18"/>
      <c r="AY79" s="23"/>
      <c r="BE79" s="14"/>
      <c r="BF79" s="23"/>
      <c r="BG79" s="11"/>
      <c r="BH79" s="11"/>
      <c r="BI79" s="11"/>
      <c r="BJ79" s="11"/>
      <c r="BP79" s="11"/>
      <c r="BV79" s="23"/>
      <c r="CA79" s="14"/>
      <c r="CB79" s="14"/>
      <c r="CD79" s="59"/>
      <c r="CH79" s="59"/>
      <c r="CS79" s="60"/>
    </row>
    <row r="80" spans="1:97" x14ac:dyDescent="0.3">
      <c r="A80" s="23"/>
      <c r="B80" s="23"/>
      <c r="H80" s="14"/>
      <c r="I80" s="23"/>
      <c r="O80" s="14"/>
      <c r="P80" s="23"/>
      <c r="V80" s="14"/>
      <c r="W80" s="23"/>
      <c r="AC80" s="14"/>
      <c r="AD80" s="23"/>
      <c r="AJ80" s="14"/>
      <c r="AK80" s="23"/>
      <c r="AQ80" s="14"/>
      <c r="AX80" s="18"/>
      <c r="AY80" s="23"/>
      <c r="BE80" s="14"/>
      <c r="BF80" s="23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V80" s="23"/>
      <c r="CA80" s="14"/>
      <c r="CB80" s="14"/>
      <c r="CD80" s="59"/>
      <c r="CH80" s="59"/>
      <c r="CS80" s="60"/>
    </row>
    <row r="81" spans="1:97" s="11" customFormat="1" x14ac:dyDescent="0.3">
      <c r="A81" s="24"/>
      <c r="B81" s="37" t="s">
        <v>308</v>
      </c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22"/>
      <c r="AZ81" s="22"/>
      <c r="BA81" s="22"/>
      <c r="BB81" s="22"/>
      <c r="BC81" s="22"/>
      <c r="BD81" s="22"/>
      <c r="BE81" s="2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40"/>
      <c r="CB81" s="13"/>
      <c r="CD81" s="54"/>
      <c r="CE81" s="55"/>
      <c r="CF81" s="55"/>
      <c r="CG81" s="55"/>
      <c r="CH81" s="54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6"/>
    </row>
    <row r="82" spans="1:97" s="11" customFormat="1" x14ac:dyDescent="0.3">
      <c r="A82" s="24"/>
      <c r="B82" s="41"/>
      <c r="C82" s="42"/>
      <c r="D82" s="42"/>
      <c r="E82" s="42"/>
      <c r="F82" s="42"/>
      <c r="G82" s="42"/>
      <c r="H82" s="43"/>
      <c r="I82" s="44"/>
      <c r="J82" s="42"/>
      <c r="K82" s="42"/>
      <c r="L82" s="42"/>
      <c r="M82" s="42"/>
      <c r="N82" s="42"/>
      <c r="O82" s="43"/>
      <c r="P82" s="44"/>
      <c r="Q82" s="42"/>
      <c r="R82" s="42"/>
      <c r="S82" s="42"/>
      <c r="T82" s="42"/>
      <c r="U82" s="42"/>
      <c r="V82" s="43"/>
      <c r="W82" s="44"/>
      <c r="X82" s="42"/>
      <c r="Y82" s="42"/>
      <c r="Z82" s="42"/>
      <c r="AA82" s="42"/>
      <c r="AB82" s="42"/>
      <c r="AC82" s="43"/>
      <c r="AD82" s="44"/>
      <c r="AE82" s="42"/>
      <c r="AF82" s="42"/>
      <c r="AG82" s="42"/>
      <c r="AH82" s="42"/>
      <c r="AI82" s="42"/>
      <c r="AJ82" s="43"/>
      <c r="AK82" s="44"/>
      <c r="AL82" s="42"/>
      <c r="AM82" s="42"/>
      <c r="AN82" s="42"/>
      <c r="AO82" s="42"/>
      <c r="AP82" s="42"/>
      <c r="AQ82" s="43"/>
      <c r="AR82" s="42"/>
      <c r="AS82" s="42"/>
      <c r="AT82" s="42"/>
      <c r="AU82" s="42"/>
      <c r="AV82" s="42"/>
      <c r="AW82" s="42"/>
      <c r="AX82" s="43"/>
      <c r="AY82" s="44"/>
      <c r="AZ82" s="42"/>
      <c r="BA82" s="42"/>
      <c r="BB82" s="42"/>
      <c r="BC82" s="42"/>
      <c r="BD82" s="42"/>
      <c r="BE82" s="43"/>
      <c r="BF82" s="45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4"/>
      <c r="BW82" s="42"/>
      <c r="BX82" s="42"/>
      <c r="BY82" s="42"/>
      <c r="BZ82" s="42"/>
      <c r="CA82" s="43"/>
      <c r="CB82" s="13"/>
      <c r="CD82" s="57"/>
      <c r="CH82" s="57"/>
      <c r="CS82" s="58"/>
    </row>
    <row r="83" spans="1:97" s="11" customFormat="1" x14ac:dyDescent="0.3">
      <c r="A83" s="24"/>
      <c r="B83" s="26"/>
      <c r="C83" s="20"/>
      <c r="D83" s="20"/>
      <c r="E83" s="20"/>
      <c r="F83" s="20"/>
      <c r="G83" s="20"/>
      <c r="H83" s="19"/>
      <c r="I83" s="27"/>
      <c r="J83" s="20"/>
      <c r="K83" s="20"/>
      <c r="L83" s="20"/>
      <c r="M83" s="20"/>
      <c r="N83" s="20"/>
      <c r="O83" s="19"/>
      <c r="P83" s="27"/>
      <c r="Q83" s="20"/>
      <c r="R83" s="20"/>
      <c r="S83" s="20"/>
      <c r="T83" s="20"/>
      <c r="U83" s="20"/>
      <c r="V83" s="19"/>
      <c r="W83" s="27"/>
      <c r="X83" s="20"/>
      <c r="Y83" s="20"/>
      <c r="Z83" s="20"/>
      <c r="AA83" s="20"/>
      <c r="AB83" s="20"/>
      <c r="AC83" s="19"/>
      <c r="AD83" s="27"/>
      <c r="AE83" s="20"/>
      <c r="AF83" s="20"/>
      <c r="AG83" s="20"/>
      <c r="AH83" s="20"/>
      <c r="AI83" s="20"/>
      <c r="AJ83" s="19"/>
      <c r="AK83" s="27"/>
      <c r="AL83" s="20"/>
      <c r="AM83" s="20"/>
      <c r="AN83" s="20"/>
      <c r="AO83" s="20"/>
      <c r="AP83" s="20"/>
      <c r="AQ83" s="19"/>
      <c r="AR83" s="20"/>
      <c r="AS83" s="20"/>
      <c r="AT83" s="20"/>
      <c r="AU83" s="20"/>
      <c r="AV83" s="20"/>
      <c r="AW83" s="20"/>
      <c r="AX83" s="19"/>
      <c r="AY83" s="27"/>
      <c r="AZ83" s="20"/>
      <c r="BA83" s="20"/>
      <c r="BB83" s="20"/>
      <c r="BC83" s="20"/>
      <c r="BD83" s="20"/>
      <c r="BE83" s="19"/>
      <c r="BF83" s="34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27"/>
      <c r="BW83" s="20"/>
      <c r="BX83" s="20"/>
      <c r="BY83" s="20"/>
      <c r="BZ83" s="20"/>
      <c r="CA83" s="19"/>
      <c r="CB83" s="13"/>
      <c r="CD83" s="57"/>
      <c r="CH83" s="57"/>
      <c r="CS83" s="58"/>
    </row>
    <row r="84" spans="1:97" s="11" customFormat="1" x14ac:dyDescent="0.3">
      <c r="A84" s="24"/>
      <c r="B84" s="26"/>
      <c r="C84" s="20"/>
      <c r="D84" s="20"/>
      <c r="E84" s="20"/>
      <c r="F84" s="20"/>
      <c r="G84" s="20"/>
      <c r="H84" s="19"/>
      <c r="I84" s="27"/>
      <c r="J84" s="20"/>
      <c r="K84" s="20"/>
      <c r="L84" s="20"/>
      <c r="M84" s="20"/>
      <c r="N84" s="20"/>
      <c r="O84" s="19"/>
      <c r="P84" s="27"/>
      <c r="Q84" s="20"/>
      <c r="R84" s="20"/>
      <c r="S84" s="20"/>
      <c r="T84" s="20"/>
      <c r="U84" s="20"/>
      <c r="V84" s="19"/>
      <c r="W84" s="27"/>
      <c r="X84" s="20"/>
      <c r="Y84" s="20"/>
      <c r="Z84" s="20"/>
      <c r="AA84" s="20"/>
      <c r="AB84" s="20"/>
      <c r="AC84" s="19"/>
      <c r="AD84" s="27"/>
      <c r="AE84" s="20"/>
      <c r="AF84" s="20"/>
      <c r="AG84" s="20"/>
      <c r="AH84" s="20"/>
      <c r="AI84" s="20"/>
      <c r="AJ84" s="19"/>
      <c r="AK84" s="27"/>
      <c r="AL84" s="20"/>
      <c r="AM84" s="20"/>
      <c r="AN84" s="20"/>
      <c r="AO84" s="20"/>
      <c r="AP84" s="20"/>
      <c r="AQ84" s="19"/>
      <c r="AR84" s="20"/>
      <c r="AS84" s="20"/>
      <c r="AT84" s="20"/>
      <c r="AU84" s="20"/>
      <c r="AV84" s="20"/>
      <c r="AW84" s="20"/>
      <c r="AX84" s="19"/>
      <c r="AY84" s="27"/>
      <c r="AZ84" s="20"/>
      <c r="BA84" s="20"/>
      <c r="BB84" s="20"/>
      <c r="BC84" s="20"/>
      <c r="BD84" s="20"/>
      <c r="BE84" s="19"/>
      <c r="BF84" s="34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27"/>
      <c r="BW84" s="20"/>
      <c r="BX84" s="20"/>
      <c r="BY84" s="20"/>
      <c r="BZ84" s="20"/>
      <c r="CA84" s="19"/>
      <c r="CB84" s="13"/>
      <c r="CD84" s="57"/>
      <c r="CH84" s="57"/>
      <c r="CS84" s="58"/>
    </row>
    <row r="85" spans="1:97" s="11" customFormat="1" x14ac:dyDescent="0.3">
      <c r="A85" s="24"/>
      <c r="B85" s="26"/>
      <c r="C85" s="20"/>
      <c r="D85" s="20"/>
      <c r="E85" s="20"/>
      <c r="F85" s="20"/>
      <c r="G85" s="20"/>
      <c r="H85" s="19"/>
      <c r="I85" s="27"/>
      <c r="J85" s="20"/>
      <c r="K85" s="20"/>
      <c r="L85" s="20"/>
      <c r="M85" s="20"/>
      <c r="N85" s="20"/>
      <c r="O85" s="19"/>
      <c r="P85" s="27"/>
      <c r="Q85" s="20"/>
      <c r="R85" s="20"/>
      <c r="S85" s="20"/>
      <c r="T85" s="20"/>
      <c r="U85" s="20"/>
      <c r="V85" s="19"/>
      <c r="W85" s="27"/>
      <c r="X85" s="20"/>
      <c r="Y85" s="20"/>
      <c r="Z85" s="20"/>
      <c r="AA85" s="20"/>
      <c r="AB85" s="20"/>
      <c r="AC85" s="19"/>
      <c r="AD85" s="27"/>
      <c r="AE85" s="20"/>
      <c r="AF85" s="20"/>
      <c r="AG85" s="20"/>
      <c r="AH85" s="20"/>
      <c r="AI85" s="20"/>
      <c r="AJ85" s="19"/>
      <c r="AK85" s="27"/>
      <c r="AL85" s="20"/>
      <c r="AM85" s="20"/>
      <c r="AN85" s="20"/>
      <c r="AO85" s="20"/>
      <c r="AP85" s="20"/>
      <c r="AQ85" s="19"/>
      <c r="AR85" s="20"/>
      <c r="AS85" s="20"/>
      <c r="AT85" s="20"/>
      <c r="AU85" s="20"/>
      <c r="AV85" s="20"/>
      <c r="AW85" s="20"/>
      <c r="AX85" s="19"/>
      <c r="AY85" s="27"/>
      <c r="AZ85" s="20"/>
      <c r="BA85" s="20"/>
      <c r="BB85" s="20"/>
      <c r="BC85" s="20"/>
      <c r="BD85" s="20"/>
      <c r="BE85" s="19"/>
      <c r="BF85" s="34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27"/>
      <c r="BW85" s="20"/>
      <c r="BX85" s="20"/>
      <c r="BY85" s="20"/>
      <c r="BZ85" s="20"/>
      <c r="CA85" s="19"/>
      <c r="CB85" s="13"/>
      <c r="CD85" s="57"/>
      <c r="CH85" s="57"/>
      <c r="CS85" s="58"/>
    </row>
    <row r="86" spans="1:97" s="11" customFormat="1" x14ac:dyDescent="0.3">
      <c r="A86" s="24"/>
      <c r="B86" s="26"/>
      <c r="C86" s="20"/>
      <c r="D86" s="20"/>
      <c r="E86" s="20"/>
      <c r="F86" s="20"/>
      <c r="G86" s="20"/>
      <c r="H86" s="19"/>
      <c r="I86" s="27"/>
      <c r="J86" s="20"/>
      <c r="K86" s="20"/>
      <c r="L86" s="20"/>
      <c r="M86" s="20"/>
      <c r="N86" s="20"/>
      <c r="O86" s="19"/>
      <c r="P86" s="27"/>
      <c r="Q86" s="20"/>
      <c r="R86" s="20"/>
      <c r="S86" s="20"/>
      <c r="T86" s="20"/>
      <c r="U86" s="20"/>
      <c r="V86" s="19"/>
      <c r="W86" s="27"/>
      <c r="X86" s="20"/>
      <c r="Y86" s="20"/>
      <c r="Z86" s="20"/>
      <c r="AA86" s="20"/>
      <c r="AB86" s="20"/>
      <c r="AC86" s="19"/>
      <c r="AD86" s="27"/>
      <c r="AE86" s="20"/>
      <c r="AF86" s="20"/>
      <c r="AG86" s="20"/>
      <c r="AH86" s="20"/>
      <c r="AI86" s="20"/>
      <c r="AJ86" s="19"/>
      <c r="AK86" s="27"/>
      <c r="AL86" s="20"/>
      <c r="AM86" s="20"/>
      <c r="AN86" s="20"/>
      <c r="AO86" s="20"/>
      <c r="AP86" s="20"/>
      <c r="AQ86" s="19"/>
      <c r="AR86" s="20"/>
      <c r="AS86" s="20"/>
      <c r="AT86" s="20"/>
      <c r="AU86" s="20"/>
      <c r="AV86" s="20"/>
      <c r="AW86" s="20"/>
      <c r="AX86" s="19"/>
      <c r="AY86" s="27"/>
      <c r="AZ86" s="20"/>
      <c r="BA86" s="20"/>
      <c r="BB86" s="20"/>
      <c r="BC86" s="20"/>
      <c r="BD86" s="20"/>
      <c r="BE86" s="19"/>
      <c r="BF86" s="34"/>
      <c r="BG86" s="21" t="s">
        <v>309</v>
      </c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27"/>
      <c r="BW86" s="20"/>
      <c r="BX86" s="20"/>
      <c r="BY86" s="20"/>
      <c r="BZ86" s="20"/>
      <c r="CA86" s="19"/>
      <c r="CB86" s="13"/>
      <c r="CD86" s="57"/>
      <c r="CH86" s="57"/>
      <c r="CS86" s="58"/>
    </row>
    <row r="87" spans="1:97" s="11" customFormat="1" x14ac:dyDescent="0.3">
      <c r="A87" s="24"/>
      <c r="B87" s="26"/>
      <c r="C87" s="20"/>
      <c r="D87" s="20"/>
      <c r="E87" s="20"/>
      <c r="F87" s="20"/>
      <c r="G87" s="20"/>
      <c r="H87" s="19"/>
      <c r="I87" s="27"/>
      <c r="J87" s="20"/>
      <c r="K87" s="20"/>
      <c r="L87" s="20"/>
      <c r="M87" s="20"/>
      <c r="N87" s="20"/>
      <c r="O87" s="19"/>
      <c r="P87" s="27"/>
      <c r="Q87" s="20"/>
      <c r="R87" s="20"/>
      <c r="S87" s="20"/>
      <c r="T87" s="20"/>
      <c r="U87" s="20"/>
      <c r="V87" s="19"/>
      <c r="W87" s="27"/>
      <c r="X87" s="20"/>
      <c r="Y87" s="20"/>
      <c r="Z87" s="20"/>
      <c r="AA87" s="20"/>
      <c r="AB87" s="20"/>
      <c r="AC87" s="19"/>
      <c r="AD87" s="27"/>
      <c r="AE87" s="20"/>
      <c r="AF87" s="20"/>
      <c r="AG87" s="20"/>
      <c r="AH87" s="20"/>
      <c r="AI87" s="20"/>
      <c r="AJ87" s="19"/>
      <c r="AK87" s="27"/>
      <c r="AL87" s="20"/>
      <c r="AM87" s="20"/>
      <c r="AN87" s="20"/>
      <c r="AO87" s="20"/>
      <c r="AP87" s="20"/>
      <c r="AQ87" s="19"/>
      <c r="AR87" s="20"/>
      <c r="AS87" s="20"/>
      <c r="AT87" s="20"/>
      <c r="AU87" s="20"/>
      <c r="AV87" s="20"/>
      <c r="AW87" s="20"/>
      <c r="AX87" s="19"/>
      <c r="AY87" s="27"/>
      <c r="AZ87" s="20"/>
      <c r="BA87" s="20"/>
      <c r="BB87" s="20"/>
      <c r="BC87" s="20"/>
      <c r="BD87" s="20"/>
      <c r="BE87" s="19"/>
      <c r="BF87" s="34"/>
      <c r="BH87" s="8" t="s">
        <v>310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27"/>
      <c r="BW87" s="20"/>
      <c r="BX87" s="20"/>
      <c r="BY87" s="20"/>
      <c r="BZ87" s="20"/>
      <c r="CA87" s="19"/>
      <c r="CB87" s="13"/>
      <c r="CD87" s="57"/>
      <c r="CH87" s="57"/>
      <c r="CS87" s="58"/>
    </row>
    <row r="88" spans="1:97" s="11" customFormat="1" x14ac:dyDescent="0.3">
      <c r="A88" s="24"/>
      <c r="B88" s="26"/>
      <c r="C88" s="20"/>
      <c r="D88" s="20"/>
      <c r="E88" s="20"/>
      <c r="F88" s="20"/>
      <c r="G88" s="20"/>
      <c r="H88" s="19"/>
      <c r="I88" s="27"/>
      <c r="J88" s="20"/>
      <c r="K88" s="20"/>
      <c r="L88" s="20"/>
      <c r="M88" s="20"/>
      <c r="N88" s="20"/>
      <c r="O88" s="19"/>
      <c r="P88" s="27"/>
      <c r="Q88" s="20"/>
      <c r="R88" s="20"/>
      <c r="S88" s="20"/>
      <c r="T88" s="20"/>
      <c r="U88" s="20"/>
      <c r="V88" s="19"/>
      <c r="W88" s="27"/>
      <c r="X88" s="20"/>
      <c r="Y88" s="20"/>
      <c r="Z88" s="20"/>
      <c r="AA88" s="20"/>
      <c r="AB88" s="20"/>
      <c r="AC88" s="19"/>
      <c r="AD88" s="27"/>
      <c r="AE88" s="20"/>
      <c r="AF88" s="20"/>
      <c r="AG88" s="20"/>
      <c r="AH88" s="20"/>
      <c r="AI88" s="20"/>
      <c r="AJ88" s="19"/>
      <c r="AK88" s="27"/>
      <c r="AL88" s="20"/>
      <c r="AM88" s="20"/>
      <c r="AN88" s="20"/>
      <c r="AO88" s="20"/>
      <c r="AP88" s="20"/>
      <c r="AQ88" s="19"/>
      <c r="AR88" s="20"/>
      <c r="AS88" s="20"/>
      <c r="AT88" s="20"/>
      <c r="AU88" s="20"/>
      <c r="AV88" s="20"/>
      <c r="AW88" s="20"/>
      <c r="AX88" s="19"/>
      <c r="AY88" s="27"/>
      <c r="AZ88" s="20"/>
      <c r="BA88" s="20"/>
      <c r="BB88" s="20"/>
      <c r="BC88" s="20"/>
      <c r="BD88" s="20"/>
      <c r="BE88" s="19"/>
      <c r="BF88" s="34"/>
      <c r="BG88" s="8"/>
      <c r="BH88" s="8"/>
      <c r="BI88" s="8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27"/>
      <c r="BW88" s="20"/>
      <c r="BX88" s="20"/>
      <c r="BY88" s="20"/>
      <c r="BZ88" s="20"/>
      <c r="CA88" s="19"/>
      <c r="CB88" s="13"/>
      <c r="CD88" s="57"/>
      <c r="CH88" s="57"/>
      <c r="CS88" s="58"/>
    </row>
    <row r="89" spans="1:97" s="11" customFormat="1" x14ac:dyDescent="0.3">
      <c r="A89" s="24"/>
      <c r="B89" s="26"/>
      <c r="C89" s="20"/>
      <c r="D89" s="20"/>
      <c r="E89" s="20"/>
      <c r="F89" s="20"/>
      <c r="G89" s="20"/>
      <c r="H89" s="19"/>
      <c r="I89" s="27"/>
      <c r="J89" s="20"/>
      <c r="K89" s="20"/>
      <c r="L89" s="20"/>
      <c r="M89" s="20"/>
      <c r="N89" s="20"/>
      <c r="O89" s="19"/>
      <c r="P89" s="27"/>
      <c r="Q89" s="20"/>
      <c r="R89" s="20"/>
      <c r="S89" s="20"/>
      <c r="T89" s="20"/>
      <c r="U89" s="20"/>
      <c r="V89" s="19"/>
      <c r="W89" s="27"/>
      <c r="X89" s="20"/>
      <c r="Y89" s="20"/>
      <c r="Z89" s="20"/>
      <c r="AA89" s="20"/>
      <c r="AB89" s="20"/>
      <c r="AC89" s="19"/>
      <c r="AD89" s="27"/>
      <c r="AE89" s="20"/>
      <c r="AF89" s="20"/>
      <c r="AG89" s="20"/>
      <c r="AH89" s="20"/>
      <c r="AI89" s="20"/>
      <c r="AJ89" s="19"/>
      <c r="AK89" s="27"/>
      <c r="AL89" s="20"/>
      <c r="AM89" s="20"/>
      <c r="AN89" s="20"/>
      <c r="AO89" s="20"/>
      <c r="AP89" s="20"/>
      <c r="AQ89" s="19"/>
      <c r="AR89" s="20"/>
      <c r="AS89" s="20"/>
      <c r="AT89" s="20"/>
      <c r="AU89" s="20"/>
      <c r="AV89" s="20"/>
      <c r="AW89" s="20"/>
      <c r="AX89" s="19"/>
      <c r="AY89" s="27"/>
      <c r="AZ89" s="20"/>
      <c r="BA89" s="20"/>
      <c r="BB89" s="20"/>
      <c r="BC89" s="20"/>
      <c r="BD89" s="20"/>
      <c r="BE89" s="19"/>
      <c r="BF89" s="34"/>
      <c r="BG89" s="17"/>
      <c r="BH89" s="79" t="s">
        <v>311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27"/>
      <c r="BW89" s="20"/>
      <c r="BX89" s="20"/>
      <c r="BY89" s="20"/>
      <c r="BZ89" s="20"/>
      <c r="CA89" s="19"/>
      <c r="CB89" s="13"/>
      <c r="CD89" s="57"/>
      <c r="CH89" s="57"/>
      <c r="CS89" s="58"/>
    </row>
    <row r="90" spans="1:97" s="11" customFormat="1" ht="13.5" customHeight="1" x14ac:dyDescent="0.3">
      <c r="A90" s="24"/>
      <c r="B90" s="26"/>
      <c r="C90" s="20"/>
      <c r="D90" s="20"/>
      <c r="E90" s="20"/>
      <c r="F90" s="20"/>
      <c r="G90" s="20"/>
      <c r="H90" s="19"/>
      <c r="I90" s="27"/>
      <c r="J90" s="20"/>
      <c r="K90" s="20"/>
      <c r="L90" s="20"/>
      <c r="M90" s="20"/>
      <c r="N90" s="20"/>
      <c r="O90" s="19"/>
      <c r="P90" s="27"/>
      <c r="Q90" s="20"/>
      <c r="R90" s="20"/>
      <c r="S90" s="20"/>
      <c r="T90" s="20"/>
      <c r="U90" s="20"/>
      <c r="V90" s="19"/>
      <c r="W90" s="27"/>
      <c r="X90" s="20"/>
      <c r="Y90" s="20"/>
      <c r="Z90" s="20"/>
      <c r="AA90" s="20"/>
      <c r="AB90" s="20"/>
      <c r="AC90" s="19"/>
      <c r="AD90" s="27"/>
      <c r="AE90" s="20"/>
      <c r="AF90" s="20"/>
      <c r="AG90" s="20"/>
      <c r="AH90" s="20"/>
      <c r="AI90" s="20"/>
      <c r="AJ90" s="19"/>
      <c r="AK90" s="27"/>
      <c r="AL90" s="20"/>
      <c r="AM90" s="20"/>
      <c r="AN90" s="20"/>
      <c r="AO90" s="20"/>
      <c r="AP90" s="20"/>
      <c r="AQ90" s="19"/>
      <c r="AR90" s="20"/>
      <c r="AS90" s="20"/>
      <c r="AT90" s="20"/>
      <c r="AU90" s="20"/>
      <c r="AV90" s="20"/>
      <c r="AW90" s="20"/>
      <c r="AX90" s="19"/>
      <c r="AY90" s="27"/>
      <c r="AZ90" s="20"/>
      <c r="BA90" s="20"/>
      <c r="BB90" s="20"/>
      <c r="BC90" s="20"/>
      <c r="BD90" s="20"/>
      <c r="BE90" s="19"/>
      <c r="BF90" s="34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27"/>
      <c r="BW90" s="20"/>
      <c r="BX90" s="20"/>
      <c r="BY90" s="20"/>
      <c r="BZ90" s="20"/>
      <c r="CA90" s="19"/>
      <c r="CB90" s="13"/>
      <c r="CD90" s="57"/>
      <c r="CH90" s="242"/>
      <c r="CI90" s="243"/>
      <c r="CJ90" s="243"/>
      <c r="CK90" s="243"/>
      <c r="CL90" s="243"/>
      <c r="CM90" s="243"/>
      <c r="CN90" s="243"/>
      <c r="CO90" s="243"/>
      <c r="CP90" s="243"/>
      <c r="CQ90" s="243"/>
      <c r="CR90" s="243"/>
      <c r="CS90" s="244"/>
    </row>
    <row r="91" spans="1:97" s="11" customFormat="1" x14ac:dyDescent="0.3">
      <c r="A91" s="24"/>
      <c r="B91" s="26"/>
      <c r="C91" s="20"/>
      <c r="D91" s="20"/>
      <c r="E91" s="20"/>
      <c r="F91" s="20"/>
      <c r="G91" s="20"/>
      <c r="H91" s="19"/>
      <c r="I91" s="27"/>
      <c r="J91" s="20"/>
      <c r="K91" s="20"/>
      <c r="L91" s="20"/>
      <c r="M91" s="20"/>
      <c r="N91" s="20"/>
      <c r="O91" s="19"/>
      <c r="P91" s="27"/>
      <c r="Q91" s="20"/>
      <c r="R91" s="20"/>
      <c r="S91" s="20"/>
      <c r="T91" s="20"/>
      <c r="U91" s="20"/>
      <c r="V91" s="19"/>
      <c r="W91" s="27"/>
      <c r="X91" s="20"/>
      <c r="Y91" s="20"/>
      <c r="Z91" s="20"/>
      <c r="AA91" s="20"/>
      <c r="AB91" s="20"/>
      <c r="AC91" s="19"/>
      <c r="AD91" s="27"/>
      <c r="AE91" s="20"/>
      <c r="AF91" s="20"/>
      <c r="AG91" s="20"/>
      <c r="AH91" s="20"/>
      <c r="AI91" s="20"/>
      <c r="AJ91" s="19"/>
      <c r="AK91" s="27"/>
      <c r="AL91" s="20"/>
      <c r="AM91" s="20"/>
      <c r="AN91" s="20"/>
      <c r="AO91" s="20"/>
      <c r="AP91" s="20"/>
      <c r="AQ91" s="19"/>
      <c r="AR91" s="20"/>
      <c r="AS91" s="20"/>
      <c r="AT91" s="20"/>
      <c r="AU91" s="20"/>
      <c r="AV91" s="20"/>
      <c r="AW91" s="20"/>
      <c r="AX91" s="19"/>
      <c r="AY91" s="27"/>
      <c r="AZ91" s="20"/>
      <c r="BA91" s="20"/>
      <c r="BB91" s="20"/>
      <c r="BC91" s="20"/>
      <c r="BD91" s="20"/>
      <c r="BE91" s="19"/>
      <c r="BF91" s="34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27"/>
      <c r="BW91" s="20"/>
      <c r="BX91" s="20"/>
      <c r="BY91" s="20"/>
      <c r="BZ91" s="20"/>
      <c r="CA91" s="19"/>
      <c r="CB91" s="13"/>
      <c r="CD91" s="57"/>
      <c r="CH91" s="242"/>
      <c r="CI91" s="243"/>
      <c r="CJ91" s="243"/>
      <c r="CK91" s="243"/>
      <c r="CL91" s="243"/>
      <c r="CM91" s="243"/>
      <c r="CN91" s="243"/>
      <c r="CO91" s="243"/>
      <c r="CP91" s="243"/>
      <c r="CQ91" s="243"/>
      <c r="CR91" s="243"/>
      <c r="CS91" s="244"/>
    </row>
    <row r="92" spans="1:97" s="11" customFormat="1" x14ac:dyDescent="0.3">
      <c r="A92" s="24"/>
      <c r="B92" s="26"/>
      <c r="C92" s="20"/>
      <c r="D92" s="20"/>
      <c r="E92" s="20"/>
      <c r="F92" s="20"/>
      <c r="G92" s="20"/>
      <c r="H92" s="19"/>
      <c r="I92" s="27"/>
      <c r="J92" s="20"/>
      <c r="K92" s="20"/>
      <c r="L92" s="20"/>
      <c r="M92" s="20"/>
      <c r="N92" s="20"/>
      <c r="O92" s="19"/>
      <c r="P92" s="27"/>
      <c r="Q92" s="20"/>
      <c r="R92" s="20"/>
      <c r="S92" s="20"/>
      <c r="T92" s="20"/>
      <c r="U92" s="20"/>
      <c r="V92" s="19"/>
      <c r="W92" s="27"/>
      <c r="X92" s="20"/>
      <c r="Y92" s="20"/>
      <c r="Z92" s="20"/>
      <c r="AA92" s="20"/>
      <c r="AB92" s="20"/>
      <c r="AC92" s="19"/>
      <c r="AD92" s="27"/>
      <c r="AE92" s="20"/>
      <c r="AF92" s="20"/>
      <c r="AG92" s="20"/>
      <c r="AH92" s="20"/>
      <c r="AI92" s="20"/>
      <c r="AJ92" s="19"/>
      <c r="AK92" s="27"/>
      <c r="AL92" s="20"/>
      <c r="AM92" s="20"/>
      <c r="AN92" s="20"/>
      <c r="AO92" s="20"/>
      <c r="AP92" s="20"/>
      <c r="AQ92" s="19"/>
      <c r="AR92" s="20"/>
      <c r="AS92" s="20"/>
      <c r="AT92" s="20"/>
      <c r="AU92" s="20"/>
      <c r="AV92" s="20"/>
      <c r="AW92" s="20"/>
      <c r="AX92" s="19"/>
      <c r="AY92" s="27"/>
      <c r="AZ92" s="20"/>
      <c r="BA92" s="20"/>
      <c r="BB92" s="20"/>
      <c r="BC92" s="20"/>
      <c r="BD92" s="20"/>
      <c r="BE92" s="19"/>
      <c r="BF92" s="34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27"/>
      <c r="BW92" s="20"/>
      <c r="BX92" s="20"/>
      <c r="BY92" s="20"/>
      <c r="BZ92" s="20"/>
      <c r="CA92" s="19"/>
      <c r="CB92" s="13"/>
      <c r="CD92" s="57"/>
      <c r="CH92" s="57"/>
      <c r="CS92" s="58"/>
    </row>
    <row r="93" spans="1:97" s="11" customFormat="1" x14ac:dyDescent="0.3">
      <c r="A93" s="24"/>
      <c r="B93" s="26"/>
      <c r="C93" s="20"/>
      <c r="D93" s="20"/>
      <c r="E93" s="20"/>
      <c r="F93" s="20"/>
      <c r="G93" s="20"/>
      <c r="H93" s="19"/>
      <c r="I93" s="27"/>
      <c r="J93" s="20"/>
      <c r="K93" s="20"/>
      <c r="L93" s="20"/>
      <c r="M93" s="20"/>
      <c r="N93" s="20"/>
      <c r="O93" s="19"/>
      <c r="P93" s="27"/>
      <c r="Q93" s="20"/>
      <c r="R93" s="20"/>
      <c r="S93" s="20"/>
      <c r="T93" s="20"/>
      <c r="U93" s="20"/>
      <c r="V93" s="19"/>
      <c r="W93" s="27"/>
      <c r="X93" s="20"/>
      <c r="Y93" s="20"/>
      <c r="Z93" s="20"/>
      <c r="AA93" s="20"/>
      <c r="AB93" s="20"/>
      <c r="AC93" s="19"/>
      <c r="AD93" s="27"/>
      <c r="AE93" s="20"/>
      <c r="AF93" s="20"/>
      <c r="AG93" s="20"/>
      <c r="AH93" s="20"/>
      <c r="AI93" s="20"/>
      <c r="AJ93" s="19"/>
      <c r="AK93" s="27"/>
      <c r="AL93" s="20"/>
      <c r="AM93" s="20"/>
      <c r="AN93" s="20"/>
      <c r="AO93" s="20"/>
      <c r="AP93" s="20"/>
      <c r="AQ93" s="19"/>
      <c r="AR93" s="20"/>
      <c r="AS93" s="20"/>
      <c r="AT93" s="20"/>
      <c r="AU93" s="20"/>
      <c r="AV93" s="20"/>
      <c r="AW93" s="20"/>
      <c r="AX93" s="19"/>
      <c r="AY93" s="27"/>
      <c r="AZ93" s="20"/>
      <c r="BA93" s="20"/>
      <c r="BB93" s="20"/>
      <c r="BC93" s="20"/>
      <c r="BD93" s="20"/>
      <c r="BE93" s="19"/>
      <c r="BF93" s="34"/>
      <c r="BG93" s="21" t="s">
        <v>312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27"/>
      <c r="BW93" s="20"/>
      <c r="BX93" s="20"/>
      <c r="BY93" s="20"/>
      <c r="BZ93" s="20"/>
      <c r="CA93" s="19"/>
      <c r="CB93" s="13"/>
      <c r="CD93" s="57"/>
      <c r="CH93" s="57"/>
      <c r="CS93" s="58"/>
    </row>
    <row r="94" spans="1:97" s="11" customFormat="1" x14ac:dyDescent="0.3">
      <c r="A94" s="24"/>
      <c r="B94" s="26"/>
      <c r="C94" s="20"/>
      <c r="D94" s="20"/>
      <c r="E94" s="20"/>
      <c r="F94" s="20"/>
      <c r="G94" s="20"/>
      <c r="H94" s="19"/>
      <c r="I94" s="27"/>
      <c r="J94" s="20"/>
      <c r="K94" s="20"/>
      <c r="L94" s="20"/>
      <c r="M94" s="20"/>
      <c r="N94" s="20"/>
      <c r="O94" s="19"/>
      <c r="P94" s="27"/>
      <c r="Q94" s="20"/>
      <c r="R94" s="20"/>
      <c r="S94" s="20"/>
      <c r="T94" s="20"/>
      <c r="U94" s="20"/>
      <c r="V94" s="19"/>
      <c r="W94" s="27"/>
      <c r="X94" s="20"/>
      <c r="Y94" s="20"/>
      <c r="Z94" s="20"/>
      <c r="AA94" s="20"/>
      <c r="AB94" s="20"/>
      <c r="AC94" s="19"/>
      <c r="AD94" s="27"/>
      <c r="AE94" s="20"/>
      <c r="AF94" s="20"/>
      <c r="AG94" s="20"/>
      <c r="AH94" s="20"/>
      <c r="AI94" s="20"/>
      <c r="AJ94" s="19"/>
      <c r="AK94" s="27"/>
      <c r="AL94" s="20"/>
      <c r="AM94" s="20"/>
      <c r="AN94" s="20"/>
      <c r="AO94" s="20"/>
      <c r="AP94" s="20"/>
      <c r="AQ94" s="19"/>
      <c r="AR94" s="20"/>
      <c r="AS94" s="20"/>
      <c r="AT94" s="20"/>
      <c r="AU94" s="20"/>
      <c r="AV94" s="20"/>
      <c r="AW94" s="20"/>
      <c r="AX94" s="19"/>
      <c r="AY94" s="29"/>
      <c r="AZ94"/>
      <c r="BA94"/>
      <c r="BB94"/>
      <c r="BC94"/>
      <c r="BD94"/>
      <c r="BE94" s="18"/>
      <c r="BF94" s="34"/>
      <c r="BH94" s="8" t="s">
        <v>313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27"/>
      <c r="BW94" s="20"/>
      <c r="BX94" s="20"/>
      <c r="BY94" s="20"/>
      <c r="BZ94" s="20"/>
      <c r="CA94" s="19"/>
      <c r="CB94" s="13"/>
      <c r="CD94" s="57"/>
      <c r="CH94" s="57"/>
      <c r="CS94" s="58"/>
    </row>
    <row r="95" spans="1:97" s="11" customFormat="1" x14ac:dyDescent="0.3">
      <c r="A95" s="24"/>
      <c r="B95" s="26"/>
      <c r="C95" s="20"/>
      <c r="D95" s="20"/>
      <c r="E95" s="20"/>
      <c r="F95" s="20"/>
      <c r="G95" s="20"/>
      <c r="H95" s="19"/>
      <c r="I95" s="27"/>
      <c r="J95" s="20"/>
      <c r="K95" s="20"/>
      <c r="L95" s="20"/>
      <c r="M95" s="20"/>
      <c r="N95" s="20"/>
      <c r="O95" s="19"/>
      <c r="P95" s="27"/>
      <c r="Q95" s="20"/>
      <c r="R95" s="20"/>
      <c r="S95" s="20"/>
      <c r="T95" s="20"/>
      <c r="U95" s="20"/>
      <c r="V95" s="19"/>
      <c r="W95" s="27"/>
      <c r="X95" s="20"/>
      <c r="Y95" s="20"/>
      <c r="Z95" s="20"/>
      <c r="AA95" s="20"/>
      <c r="AB95" s="20"/>
      <c r="AC95" s="19"/>
      <c r="AD95" s="27"/>
      <c r="AE95" s="20"/>
      <c r="AF95" s="20"/>
      <c r="AG95" s="20"/>
      <c r="AH95" s="20"/>
      <c r="AI95" s="20"/>
      <c r="AJ95" s="19"/>
      <c r="AK95" s="27"/>
      <c r="AL95" s="20"/>
      <c r="AM95" s="20"/>
      <c r="AN95" s="20"/>
      <c r="AO95" s="20"/>
      <c r="AP95" s="20"/>
      <c r="AQ95" s="19"/>
      <c r="AR95" s="20"/>
      <c r="AS95" s="20"/>
      <c r="AT95" s="20"/>
      <c r="AU95" s="20"/>
      <c r="AV95" s="20"/>
      <c r="AW95" s="20"/>
      <c r="AX95" s="19"/>
      <c r="AY95" s="30"/>
      <c r="BE95" s="13"/>
      <c r="BF95" s="34"/>
      <c r="BG95" s="21"/>
      <c r="BH95" s="17" t="s">
        <v>314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27"/>
      <c r="BW95" s="20"/>
      <c r="BX95" s="20"/>
      <c r="BY95" s="20"/>
      <c r="BZ95" s="20"/>
      <c r="CA95" s="19"/>
      <c r="CB95" s="13"/>
      <c r="CD95" s="57"/>
      <c r="CH95" s="57"/>
      <c r="CS95" s="58"/>
    </row>
    <row r="96" spans="1:97" s="11" customFormat="1" x14ac:dyDescent="0.3">
      <c r="A96" s="24"/>
      <c r="B96" s="26"/>
      <c r="C96" s="20"/>
      <c r="D96" s="20"/>
      <c r="E96" s="20"/>
      <c r="F96" s="20"/>
      <c r="G96" s="20"/>
      <c r="H96" s="19"/>
      <c r="I96" s="27"/>
      <c r="J96" s="20"/>
      <c r="K96" s="20"/>
      <c r="L96" s="20"/>
      <c r="M96" s="20"/>
      <c r="N96" s="20"/>
      <c r="O96" s="19"/>
      <c r="P96" s="27"/>
      <c r="Q96" s="20"/>
      <c r="R96" s="20"/>
      <c r="S96" s="20"/>
      <c r="T96" s="20"/>
      <c r="U96" s="20"/>
      <c r="V96" s="19"/>
      <c r="W96" s="27"/>
      <c r="X96" s="20"/>
      <c r="Y96" s="20"/>
      <c r="Z96" s="20"/>
      <c r="AA96" s="20"/>
      <c r="AB96" s="20"/>
      <c r="AC96" s="19"/>
      <c r="AD96" s="27"/>
      <c r="AE96" s="20"/>
      <c r="AF96" s="20"/>
      <c r="AG96" s="20"/>
      <c r="AH96" s="20"/>
      <c r="AI96" s="20"/>
      <c r="AJ96" s="19"/>
      <c r="AK96" s="27"/>
      <c r="AL96" s="20"/>
      <c r="AM96" s="20"/>
      <c r="AN96" s="20"/>
      <c r="AO96" s="20"/>
      <c r="AP96" s="20"/>
      <c r="AQ96" s="19"/>
      <c r="AR96" s="20"/>
      <c r="AS96" s="20"/>
      <c r="AT96" s="20"/>
      <c r="AU96" s="20"/>
      <c r="AV96" s="20"/>
      <c r="AW96" s="20"/>
      <c r="AX96" s="19"/>
      <c r="AY96" s="23"/>
      <c r="AZ96" s="8"/>
      <c r="BA96" s="8"/>
      <c r="BB96" s="8"/>
      <c r="BC96" s="8"/>
      <c r="BD96" s="8"/>
      <c r="BE96" s="14"/>
      <c r="BF96" s="34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27"/>
      <c r="BW96" s="20"/>
      <c r="BX96" s="20"/>
      <c r="BY96" s="20"/>
      <c r="BZ96" s="20"/>
      <c r="CA96" s="19"/>
      <c r="CB96" s="14"/>
      <c r="CD96" s="57"/>
      <c r="CH96" s="57"/>
      <c r="CS96" s="58"/>
    </row>
    <row r="97" spans="1:103" s="11" customFormat="1" x14ac:dyDescent="0.3">
      <c r="A97" s="24"/>
      <c r="B97" s="26"/>
      <c r="C97" s="20"/>
      <c r="D97" s="20"/>
      <c r="E97" s="20"/>
      <c r="F97" s="20"/>
      <c r="G97" s="20"/>
      <c r="H97" s="19"/>
      <c r="I97" s="27"/>
      <c r="J97" s="20"/>
      <c r="K97" s="20"/>
      <c r="L97" s="20"/>
      <c r="M97" s="20"/>
      <c r="N97" s="20"/>
      <c r="O97" s="19"/>
      <c r="P97" s="27"/>
      <c r="Q97" s="20"/>
      <c r="R97" s="20"/>
      <c r="S97" s="20"/>
      <c r="T97" s="20"/>
      <c r="U97" s="20"/>
      <c r="V97" s="19"/>
      <c r="W97" s="27"/>
      <c r="X97" s="20"/>
      <c r="Y97" s="20"/>
      <c r="Z97" s="20"/>
      <c r="AA97" s="20"/>
      <c r="AB97" s="20"/>
      <c r="AC97" s="19"/>
      <c r="AD97" s="27"/>
      <c r="AE97" s="20"/>
      <c r="AF97" s="20"/>
      <c r="AG97" s="20"/>
      <c r="AH97" s="20"/>
      <c r="AI97" s="20"/>
      <c r="AJ97" s="19"/>
      <c r="AK97" s="27"/>
      <c r="AL97" s="20"/>
      <c r="AM97" s="20"/>
      <c r="AN97" s="20"/>
      <c r="AO97" s="20"/>
      <c r="AP97" s="20"/>
      <c r="AQ97" s="19"/>
      <c r="AR97" s="20"/>
      <c r="AS97" s="20"/>
      <c r="AT97" s="20"/>
      <c r="AU97" s="20"/>
      <c r="AV97" s="20"/>
      <c r="AW97" s="20"/>
      <c r="AX97" s="19"/>
      <c r="AY97" s="23"/>
      <c r="AZ97" s="8"/>
      <c r="BA97" s="8"/>
      <c r="BB97" s="8"/>
      <c r="BC97" s="8"/>
      <c r="BD97" s="8"/>
      <c r="BE97" s="14"/>
      <c r="BF97" s="34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27"/>
      <c r="BW97" s="20"/>
      <c r="BX97" s="20"/>
      <c r="BY97" s="20"/>
      <c r="BZ97" s="20"/>
      <c r="CA97" s="19"/>
      <c r="CB97" s="14"/>
      <c r="CD97" s="57"/>
      <c r="CH97" s="57"/>
      <c r="CS97" s="58"/>
    </row>
    <row r="98" spans="1:103" s="11" customFormat="1" x14ac:dyDescent="0.3">
      <c r="A98" s="24"/>
      <c r="B98" s="26"/>
      <c r="C98" s="20"/>
      <c r="D98" s="20"/>
      <c r="E98" s="20"/>
      <c r="F98" s="20"/>
      <c r="G98" s="20"/>
      <c r="H98" s="19"/>
      <c r="I98" s="27"/>
      <c r="J98" s="20"/>
      <c r="K98" s="20"/>
      <c r="L98" s="20"/>
      <c r="M98" s="20"/>
      <c r="N98" s="20"/>
      <c r="O98" s="19"/>
      <c r="P98" s="27"/>
      <c r="Q98" s="20"/>
      <c r="R98" s="20"/>
      <c r="S98" s="20"/>
      <c r="T98" s="20"/>
      <c r="U98" s="20"/>
      <c r="V98" s="19"/>
      <c r="W98" s="27"/>
      <c r="X98" s="20"/>
      <c r="Y98" s="20"/>
      <c r="Z98" s="20"/>
      <c r="AA98" s="20"/>
      <c r="AB98" s="20"/>
      <c r="AC98" s="19"/>
      <c r="AD98" s="27"/>
      <c r="AE98" s="20"/>
      <c r="AF98" s="20"/>
      <c r="AG98" s="20"/>
      <c r="AH98" s="20"/>
      <c r="AI98" s="20"/>
      <c r="AJ98" s="19"/>
      <c r="AK98" s="27"/>
      <c r="AL98" s="20"/>
      <c r="AM98" s="20"/>
      <c r="AN98" s="20"/>
      <c r="AO98" s="20"/>
      <c r="AP98" s="20"/>
      <c r="AQ98" s="19"/>
      <c r="AR98" s="20"/>
      <c r="AS98" s="20"/>
      <c r="AT98" s="20"/>
      <c r="AU98" s="20"/>
      <c r="AV98" s="20"/>
      <c r="AW98" s="20"/>
      <c r="AX98" s="19"/>
      <c r="AY98" s="23"/>
      <c r="AZ98" s="8"/>
      <c r="BA98" s="8"/>
      <c r="BB98" s="8"/>
      <c r="BC98" s="8"/>
      <c r="BD98" s="8"/>
      <c r="BE98" s="14"/>
      <c r="BF98" s="34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27"/>
      <c r="BW98" s="20"/>
      <c r="BX98" s="20"/>
      <c r="BY98" s="20"/>
      <c r="BZ98" s="20"/>
      <c r="CA98" s="19"/>
      <c r="CB98" s="14"/>
      <c r="CD98" s="57"/>
      <c r="CH98" s="57"/>
      <c r="CS98" s="58"/>
    </row>
    <row r="99" spans="1:103" s="11" customFormat="1" x14ac:dyDescent="0.3">
      <c r="A99" s="24"/>
      <c r="B99" s="26"/>
      <c r="C99" s="20"/>
      <c r="D99" s="20"/>
      <c r="E99" s="20"/>
      <c r="F99" s="20"/>
      <c r="G99" s="20"/>
      <c r="H99" s="19"/>
      <c r="I99" s="27"/>
      <c r="J99" s="20"/>
      <c r="K99" s="20"/>
      <c r="L99" s="20"/>
      <c r="M99" s="20"/>
      <c r="N99" s="20"/>
      <c r="O99" s="19"/>
      <c r="P99" s="27"/>
      <c r="Q99" s="20"/>
      <c r="R99" s="20"/>
      <c r="S99" s="20"/>
      <c r="T99" s="20"/>
      <c r="U99" s="20"/>
      <c r="V99" s="19"/>
      <c r="W99" s="27"/>
      <c r="X99" s="20"/>
      <c r="Y99" s="20"/>
      <c r="Z99" s="20"/>
      <c r="AA99" s="20"/>
      <c r="AB99" s="20"/>
      <c r="AC99" s="19"/>
      <c r="AD99" s="27"/>
      <c r="AE99" s="20"/>
      <c r="AF99" s="20"/>
      <c r="AG99" s="20"/>
      <c r="AH99" s="20"/>
      <c r="AI99" s="20"/>
      <c r="AJ99" s="19"/>
      <c r="AK99" s="27"/>
      <c r="AL99" s="20"/>
      <c r="AM99" s="20"/>
      <c r="AN99" s="20"/>
      <c r="AO99" s="20"/>
      <c r="AP99" s="20"/>
      <c r="AQ99" s="19"/>
      <c r="AR99" s="20"/>
      <c r="AS99" s="20"/>
      <c r="AT99" s="20"/>
      <c r="AU99" s="20"/>
      <c r="AV99" s="20"/>
      <c r="AW99" s="20"/>
      <c r="AX99" s="19"/>
      <c r="AY99" s="23"/>
      <c r="AZ99" s="8"/>
      <c r="BA99" s="8"/>
      <c r="BB99" s="8"/>
      <c r="BC99" s="8"/>
      <c r="BD99" s="8"/>
      <c r="BE99" s="14"/>
      <c r="BF99" s="34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27"/>
      <c r="BW99" s="20"/>
      <c r="BX99" s="20"/>
      <c r="BY99" s="20"/>
      <c r="BZ99" s="20"/>
      <c r="CA99" s="19"/>
      <c r="CB99" s="14"/>
      <c r="CD99" s="57"/>
      <c r="CH99" s="57"/>
      <c r="CS99" s="58"/>
    </row>
    <row r="100" spans="1:103" s="11" customFormat="1" x14ac:dyDescent="0.3">
      <c r="A100" s="24"/>
      <c r="B100" s="26"/>
      <c r="C100" s="20"/>
      <c r="D100" s="20"/>
      <c r="E100" s="20"/>
      <c r="F100" s="20"/>
      <c r="G100" s="20"/>
      <c r="H100" s="19"/>
      <c r="I100" s="27"/>
      <c r="J100" s="20"/>
      <c r="K100" s="20"/>
      <c r="L100" s="20"/>
      <c r="M100" s="20"/>
      <c r="N100" s="20"/>
      <c r="O100" s="19"/>
      <c r="P100" s="27"/>
      <c r="Q100" s="20"/>
      <c r="R100" s="20"/>
      <c r="S100" s="20"/>
      <c r="T100" s="20"/>
      <c r="U100" s="20"/>
      <c r="V100" s="19"/>
      <c r="W100" s="27"/>
      <c r="X100" s="20"/>
      <c r="Y100" s="20"/>
      <c r="Z100" s="20"/>
      <c r="AA100" s="20"/>
      <c r="AB100" s="20"/>
      <c r="AC100" s="19"/>
      <c r="AD100" s="27"/>
      <c r="AE100" s="20"/>
      <c r="AF100" s="20"/>
      <c r="AG100" s="20"/>
      <c r="AH100" s="20"/>
      <c r="AI100" s="20"/>
      <c r="AJ100" s="19"/>
      <c r="AK100" s="27"/>
      <c r="AL100" s="20"/>
      <c r="AM100" s="20"/>
      <c r="AN100" s="20"/>
      <c r="AO100" s="20"/>
      <c r="AP100" s="20"/>
      <c r="AQ100" s="19"/>
      <c r="AR100" s="20"/>
      <c r="AS100" s="20"/>
      <c r="AT100" s="20"/>
      <c r="AU100" s="20"/>
      <c r="AV100" s="20"/>
      <c r="AW100" s="20"/>
      <c r="AX100" s="19"/>
      <c r="AY100" s="23"/>
      <c r="AZ100" s="8"/>
      <c r="BA100" s="8"/>
      <c r="BB100" s="8"/>
      <c r="BC100" s="8"/>
      <c r="BD100" s="8"/>
      <c r="BE100" s="14"/>
      <c r="BF100" s="34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27"/>
      <c r="BW100" s="20"/>
      <c r="BX100" s="20"/>
      <c r="BY100" s="20"/>
      <c r="BZ100" s="20"/>
      <c r="CA100" s="19"/>
      <c r="CB100" s="14"/>
      <c r="CD100" s="57"/>
      <c r="CH100" s="57"/>
      <c r="CS100" s="58"/>
    </row>
    <row r="101" spans="1:103" s="11" customFormat="1" x14ac:dyDescent="0.3">
      <c r="A101" s="24"/>
      <c r="B101" s="26"/>
      <c r="C101" s="20"/>
      <c r="D101" s="20"/>
      <c r="E101" s="20"/>
      <c r="F101" s="20"/>
      <c r="G101" s="20"/>
      <c r="H101" s="19"/>
      <c r="I101" s="27"/>
      <c r="J101" s="20"/>
      <c r="K101" s="20"/>
      <c r="L101" s="20"/>
      <c r="M101" s="20"/>
      <c r="N101" s="20"/>
      <c r="O101" s="19"/>
      <c r="P101" s="27"/>
      <c r="Q101" s="20"/>
      <c r="R101" s="20"/>
      <c r="S101" s="20"/>
      <c r="T101" s="20"/>
      <c r="U101" s="20"/>
      <c r="V101" s="19"/>
      <c r="W101" s="27"/>
      <c r="X101" s="20"/>
      <c r="Y101" s="20"/>
      <c r="Z101" s="20"/>
      <c r="AA101" s="20"/>
      <c r="AB101" s="20"/>
      <c r="AC101" s="19"/>
      <c r="AD101" s="27"/>
      <c r="AE101" s="20"/>
      <c r="AF101" s="20"/>
      <c r="AG101" s="20"/>
      <c r="AH101" s="20"/>
      <c r="AI101" s="20"/>
      <c r="AJ101" s="19"/>
      <c r="AK101" s="27"/>
      <c r="AL101" s="20"/>
      <c r="AM101" s="20"/>
      <c r="AN101" s="20"/>
      <c r="AO101" s="20"/>
      <c r="AP101" s="20"/>
      <c r="AQ101" s="19"/>
      <c r="AR101" s="20"/>
      <c r="AS101" s="20"/>
      <c r="AT101" s="20"/>
      <c r="AU101" s="20"/>
      <c r="AV101" s="20"/>
      <c r="AW101" s="20"/>
      <c r="AX101" s="19"/>
      <c r="AY101" s="23"/>
      <c r="AZ101" s="8"/>
      <c r="BA101" s="8"/>
      <c r="BB101" s="8"/>
      <c r="BC101" s="8"/>
      <c r="BD101" s="8"/>
      <c r="BE101" s="14"/>
      <c r="BF101" s="34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27"/>
      <c r="BW101" s="20"/>
      <c r="BX101" s="20"/>
      <c r="BY101" s="20"/>
      <c r="BZ101" s="20"/>
      <c r="CA101" s="19"/>
      <c r="CB101" s="14"/>
      <c r="CD101" s="57"/>
      <c r="CH101" s="57"/>
      <c r="CS101" s="58"/>
    </row>
    <row r="102" spans="1:103" s="11" customFormat="1" x14ac:dyDescent="0.3">
      <c r="A102" s="24"/>
      <c r="B102" s="26"/>
      <c r="C102" s="20"/>
      <c r="D102" s="20"/>
      <c r="E102" s="20"/>
      <c r="F102" s="20"/>
      <c r="G102" s="20"/>
      <c r="H102" s="19"/>
      <c r="I102" s="27"/>
      <c r="J102" s="20"/>
      <c r="K102" s="20"/>
      <c r="L102" s="20"/>
      <c r="M102" s="20"/>
      <c r="N102" s="20"/>
      <c r="O102" s="19"/>
      <c r="P102" s="27"/>
      <c r="Q102" s="20"/>
      <c r="R102" s="20"/>
      <c r="S102" s="20"/>
      <c r="T102" s="20"/>
      <c r="U102" s="20"/>
      <c r="V102" s="19"/>
      <c r="W102" s="27"/>
      <c r="X102" s="20"/>
      <c r="Y102" s="20"/>
      <c r="Z102" s="20"/>
      <c r="AA102" s="20"/>
      <c r="AB102" s="20"/>
      <c r="AC102" s="19"/>
      <c r="AD102" s="27"/>
      <c r="AE102" s="20"/>
      <c r="AF102" s="20"/>
      <c r="AG102" s="20"/>
      <c r="AH102" s="20"/>
      <c r="AI102" s="20"/>
      <c r="AJ102" s="19"/>
      <c r="AK102" s="27"/>
      <c r="AL102" s="20"/>
      <c r="AM102" s="20"/>
      <c r="AN102" s="20"/>
      <c r="AO102" s="20"/>
      <c r="AP102" s="20"/>
      <c r="AQ102" s="19"/>
      <c r="AR102" s="20"/>
      <c r="AS102" s="20"/>
      <c r="AT102" s="20"/>
      <c r="AU102" s="20"/>
      <c r="AV102" s="20"/>
      <c r="AW102" s="20"/>
      <c r="AX102" s="19"/>
      <c r="AY102" s="23"/>
      <c r="AZ102" s="8"/>
      <c r="BA102" s="8"/>
      <c r="BB102" s="8"/>
      <c r="BC102" s="8"/>
      <c r="BD102" s="8"/>
      <c r="BE102" s="14"/>
      <c r="BF102" s="34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27"/>
      <c r="BW102" s="20"/>
      <c r="BX102" s="20"/>
      <c r="BY102" s="20"/>
      <c r="BZ102" s="20"/>
      <c r="CA102" s="19"/>
      <c r="CB102" s="14"/>
      <c r="CD102" s="57"/>
      <c r="CH102" s="57"/>
      <c r="CS102" s="58"/>
    </row>
    <row r="103" spans="1:103" s="11" customFormat="1" x14ac:dyDescent="0.3">
      <c r="A103" s="24"/>
      <c r="B103" s="26"/>
      <c r="C103" s="20"/>
      <c r="D103" s="20"/>
      <c r="E103" s="20"/>
      <c r="F103" s="20"/>
      <c r="G103" s="20"/>
      <c r="H103" s="19"/>
      <c r="I103" s="27"/>
      <c r="J103" s="20"/>
      <c r="K103" s="20"/>
      <c r="L103" s="20"/>
      <c r="M103" s="20"/>
      <c r="N103" s="20"/>
      <c r="O103" s="19"/>
      <c r="P103" s="27"/>
      <c r="Q103" s="20"/>
      <c r="R103" s="20"/>
      <c r="S103" s="20"/>
      <c r="T103" s="20"/>
      <c r="U103" s="20"/>
      <c r="V103" s="19"/>
      <c r="W103" s="27"/>
      <c r="X103" s="20"/>
      <c r="Y103" s="20"/>
      <c r="Z103" s="20"/>
      <c r="AA103" s="20"/>
      <c r="AB103" s="20"/>
      <c r="AC103" s="19"/>
      <c r="AD103" s="27"/>
      <c r="AE103" s="20"/>
      <c r="AF103" s="20"/>
      <c r="AG103" s="20"/>
      <c r="AH103" s="20"/>
      <c r="AI103" s="20"/>
      <c r="AJ103" s="19"/>
      <c r="AK103" s="27"/>
      <c r="AL103" s="20"/>
      <c r="AM103" s="20"/>
      <c r="AN103" s="20"/>
      <c r="AO103" s="20"/>
      <c r="AP103" s="20"/>
      <c r="AQ103" s="19"/>
      <c r="AR103" s="20"/>
      <c r="AS103" s="20"/>
      <c r="AT103" s="20"/>
      <c r="AU103" s="20"/>
      <c r="AV103" s="20"/>
      <c r="AW103" s="20"/>
      <c r="AX103" s="19"/>
      <c r="AY103" s="23"/>
      <c r="AZ103" s="8"/>
      <c r="BA103" s="8"/>
      <c r="BB103" s="8"/>
      <c r="BC103" s="8"/>
      <c r="BD103" s="8"/>
      <c r="BE103" s="14"/>
      <c r="BF103" s="34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27"/>
      <c r="BW103" s="20"/>
      <c r="BX103" s="20"/>
      <c r="BY103" s="20"/>
      <c r="BZ103" s="20"/>
      <c r="CA103" s="19"/>
      <c r="CB103" s="14"/>
      <c r="CD103" s="57"/>
      <c r="CH103" s="57"/>
      <c r="CS103" s="58"/>
    </row>
    <row r="104" spans="1:103" s="11" customFormat="1" x14ac:dyDescent="0.3">
      <c r="A104" s="24"/>
      <c r="B104" s="37" t="s">
        <v>315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22"/>
      <c r="AZ104" s="22"/>
      <c r="BA104" s="22"/>
      <c r="BB104" s="22"/>
      <c r="BC104" s="22"/>
      <c r="BD104" s="22"/>
      <c r="BE104" s="2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40"/>
      <c r="CB104" s="13"/>
      <c r="CD104" s="54"/>
      <c r="CE104" s="55"/>
      <c r="CF104" s="55"/>
      <c r="CG104" s="55"/>
      <c r="CH104" s="54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6"/>
    </row>
    <row r="105" spans="1:103" s="11" customFormat="1" x14ac:dyDescent="0.3">
      <c r="A105" s="24"/>
      <c r="B105" s="41"/>
      <c r="C105" s="42"/>
      <c r="D105" s="42"/>
      <c r="E105" s="42"/>
      <c r="F105" s="42"/>
      <c r="G105" s="42"/>
      <c r="H105" s="43"/>
      <c r="I105" s="44"/>
      <c r="J105" s="42"/>
      <c r="K105" s="42"/>
      <c r="L105" s="42"/>
      <c r="M105" s="42"/>
      <c r="N105" s="42"/>
      <c r="O105" s="43"/>
      <c r="P105" s="44"/>
      <c r="Q105" s="42"/>
      <c r="R105" s="42"/>
      <c r="S105" s="42"/>
      <c r="T105" s="42"/>
      <c r="U105" s="42"/>
      <c r="V105" s="43"/>
      <c r="W105" s="44"/>
      <c r="X105" s="42"/>
      <c r="Y105" s="42"/>
      <c r="Z105" s="42"/>
      <c r="AA105" s="42"/>
      <c r="AB105" s="42"/>
      <c r="AC105" s="43"/>
      <c r="AD105" s="44"/>
      <c r="AE105" s="42"/>
      <c r="AF105" s="42"/>
      <c r="AG105" s="42"/>
      <c r="AH105" s="42"/>
      <c r="AI105" s="42"/>
      <c r="AJ105" s="43"/>
      <c r="AK105" s="44"/>
      <c r="AL105" s="42"/>
      <c r="AM105" s="42"/>
      <c r="AN105" s="42"/>
      <c r="AO105" s="42"/>
      <c r="AP105" s="42"/>
      <c r="AQ105" s="43"/>
      <c r="AR105" s="42"/>
      <c r="AS105" s="42"/>
      <c r="AT105" s="42"/>
      <c r="AU105" s="42"/>
      <c r="AV105" s="42"/>
      <c r="AW105" s="42"/>
      <c r="AX105" s="43"/>
      <c r="AY105" s="44"/>
      <c r="AZ105" s="42"/>
      <c r="BA105" s="42"/>
      <c r="BB105" s="42"/>
      <c r="BC105" s="42"/>
      <c r="BD105" s="42"/>
      <c r="BE105" s="43"/>
      <c r="BF105" s="45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4"/>
      <c r="BW105" s="42"/>
      <c r="BX105" s="42"/>
      <c r="BY105" s="42"/>
      <c r="BZ105" s="42"/>
      <c r="CA105" s="43"/>
      <c r="CB105" s="13"/>
      <c r="CD105" s="57"/>
      <c r="CH105" s="57"/>
      <c r="CS105" s="58"/>
    </row>
    <row r="106" spans="1:103" s="11" customFormat="1" x14ac:dyDescent="0.3">
      <c r="A106" s="24"/>
      <c r="B106" s="26"/>
      <c r="C106" s="20"/>
      <c r="D106" s="20"/>
      <c r="E106" s="20"/>
      <c r="F106" s="20"/>
      <c r="G106" s="20"/>
      <c r="H106" s="19"/>
      <c r="I106" s="27"/>
      <c r="J106" s="20"/>
      <c r="K106" s="20"/>
      <c r="L106" s="20"/>
      <c r="M106" s="20"/>
      <c r="N106" s="20"/>
      <c r="O106" s="19"/>
      <c r="P106" s="27"/>
      <c r="Q106" s="20"/>
      <c r="R106" s="20"/>
      <c r="S106" s="20"/>
      <c r="T106" s="20"/>
      <c r="U106" s="20"/>
      <c r="V106" s="19"/>
      <c r="W106" s="27"/>
      <c r="X106" s="20"/>
      <c r="Y106" s="20"/>
      <c r="Z106" s="20"/>
      <c r="AA106" s="20"/>
      <c r="AB106" s="20"/>
      <c r="AC106" s="19"/>
      <c r="AD106" s="27"/>
      <c r="AE106" s="20"/>
      <c r="AF106" s="20"/>
      <c r="AG106" s="20"/>
      <c r="AH106" s="20"/>
      <c r="AI106" s="20"/>
      <c r="AJ106" s="19"/>
      <c r="AK106" s="27"/>
      <c r="AL106" s="20"/>
      <c r="AM106" s="20"/>
      <c r="AN106" s="20"/>
      <c r="AO106" s="20"/>
      <c r="AP106" s="20"/>
      <c r="AQ106" s="19"/>
      <c r="AR106" s="20"/>
      <c r="AS106" s="20"/>
      <c r="AT106" s="20"/>
      <c r="AU106" s="20"/>
      <c r="AV106" s="20"/>
      <c r="AW106" s="20"/>
      <c r="AX106" s="19"/>
      <c r="AY106" s="27"/>
      <c r="AZ106" s="20"/>
      <c r="BA106" s="20"/>
      <c r="BB106" s="20"/>
      <c r="BC106" s="20"/>
      <c r="BD106" s="20"/>
      <c r="BE106" s="19"/>
      <c r="BF106" s="34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27"/>
      <c r="BW106" s="20"/>
      <c r="BX106" s="20"/>
      <c r="BY106" s="20"/>
      <c r="BZ106" s="20"/>
      <c r="CA106" s="19"/>
      <c r="CB106" s="13"/>
      <c r="CD106" s="57"/>
      <c r="CH106" s="57"/>
      <c r="CS106" s="58"/>
    </row>
    <row r="107" spans="1:103" s="11" customFormat="1" x14ac:dyDescent="0.3">
      <c r="A107" s="24"/>
      <c r="B107" s="26"/>
      <c r="C107" s="20"/>
      <c r="D107" s="20"/>
      <c r="E107" s="20"/>
      <c r="F107" s="20"/>
      <c r="G107" s="20"/>
      <c r="H107" s="19"/>
      <c r="I107" s="27"/>
      <c r="J107" s="20"/>
      <c r="K107" s="20"/>
      <c r="L107" s="20"/>
      <c r="M107" s="20"/>
      <c r="N107" s="20"/>
      <c r="O107" s="19"/>
      <c r="P107" s="27"/>
      <c r="Q107" s="20"/>
      <c r="R107" s="20"/>
      <c r="S107" s="20"/>
      <c r="T107" s="20"/>
      <c r="U107" s="20"/>
      <c r="V107" s="19"/>
      <c r="W107" s="27"/>
      <c r="X107" s="20"/>
      <c r="Y107" s="20"/>
      <c r="Z107" s="20"/>
      <c r="AA107" s="20"/>
      <c r="AB107" s="20"/>
      <c r="AC107" s="19"/>
      <c r="AD107" s="27"/>
      <c r="AE107" s="20"/>
      <c r="AF107" s="20"/>
      <c r="AG107" s="20"/>
      <c r="AH107" s="20"/>
      <c r="AI107" s="20"/>
      <c r="AJ107" s="19"/>
      <c r="AK107" s="27"/>
      <c r="AL107" s="20"/>
      <c r="AM107" s="20"/>
      <c r="AN107" s="20"/>
      <c r="AO107" s="20"/>
      <c r="AP107" s="20"/>
      <c r="AQ107" s="19"/>
      <c r="AR107" s="20"/>
      <c r="AS107" s="20"/>
      <c r="AT107" s="20"/>
      <c r="AU107" s="20"/>
      <c r="AV107" s="20"/>
      <c r="AW107" s="20"/>
      <c r="AX107" s="19"/>
      <c r="AY107" s="27"/>
      <c r="AZ107" s="20"/>
      <c r="BA107" s="20"/>
      <c r="BB107" s="20"/>
      <c r="BC107" s="20"/>
      <c r="BD107" s="20"/>
      <c r="BE107" s="19"/>
      <c r="BF107" s="34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27"/>
      <c r="BW107" s="20"/>
      <c r="BX107" s="20"/>
      <c r="BY107" s="20"/>
      <c r="BZ107" s="20"/>
      <c r="CA107" s="19"/>
      <c r="CB107" s="13"/>
      <c r="CD107" s="57"/>
      <c r="CH107" s="57"/>
      <c r="CS107" s="58"/>
    </row>
    <row r="108" spans="1:103" s="11" customFormat="1" x14ac:dyDescent="0.3">
      <c r="A108" s="24"/>
      <c r="B108" s="26"/>
      <c r="C108" s="20"/>
      <c r="D108" s="20"/>
      <c r="E108" s="20"/>
      <c r="F108" s="20"/>
      <c r="G108" s="20"/>
      <c r="H108" s="19"/>
      <c r="I108" s="27"/>
      <c r="J108" s="20"/>
      <c r="K108" s="20"/>
      <c r="L108" s="20"/>
      <c r="M108" s="20"/>
      <c r="N108" s="20"/>
      <c r="O108" s="19"/>
      <c r="P108" s="27"/>
      <c r="Q108" s="20"/>
      <c r="R108" s="20"/>
      <c r="S108" s="20"/>
      <c r="T108" s="20"/>
      <c r="U108" s="20"/>
      <c r="V108" s="19"/>
      <c r="W108" s="27"/>
      <c r="X108" s="20"/>
      <c r="Y108" s="20"/>
      <c r="Z108" s="20"/>
      <c r="AA108" s="20"/>
      <c r="AB108" s="20"/>
      <c r="AC108" s="19"/>
      <c r="AD108" s="27"/>
      <c r="AE108" s="20"/>
      <c r="AF108" s="20"/>
      <c r="AG108" s="20"/>
      <c r="AH108" s="20"/>
      <c r="AI108" s="20"/>
      <c r="AJ108" s="19"/>
      <c r="AK108" s="27"/>
      <c r="AL108" s="20"/>
      <c r="AM108" s="20"/>
      <c r="AN108" s="20"/>
      <c r="AO108" s="20"/>
      <c r="AP108" s="20"/>
      <c r="AQ108" s="19"/>
      <c r="AR108" s="20"/>
      <c r="AS108" s="20"/>
      <c r="AT108" s="20"/>
      <c r="AU108" s="20"/>
      <c r="AV108" s="20"/>
      <c r="AW108" s="20"/>
      <c r="AX108" s="19"/>
      <c r="AY108" s="27"/>
      <c r="AZ108" s="20"/>
      <c r="BA108" s="20"/>
      <c r="BB108" s="20"/>
      <c r="BC108" s="20"/>
      <c r="BD108" s="20"/>
      <c r="BE108" s="19"/>
      <c r="BF108" s="34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27"/>
      <c r="BW108" s="20"/>
      <c r="BX108" s="20"/>
      <c r="BY108" s="20"/>
      <c r="BZ108" s="20"/>
      <c r="CA108" s="19"/>
      <c r="CB108" s="13"/>
      <c r="CD108" s="57"/>
      <c r="CH108" s="87" t="s">
        <v>316</v>
      </c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9"/>
      <c r="CT108" s="88"/>
      <c r="CU108" s="88"/>
      <c r="CV108" s="88"/>
      <c r="CW108" s="88"/>
      <c r="CX108" s="88"/>
      <c r="CY108" s="88"/>
    </row>
    <row r="109" spans="1:103" s="11" customFormat="1" x14ac:dyDescent="0.3">
      <c r="A109" s="24"/>
      <c r="B109" s="26"/>
      <c r="C109" s="20"/>
      <c r="D109" s="20"/>
      <c r="E109" s="20"/>
      <c r="F109" s="20"/>
      <c r="G109" s="20"/>
      <c r="H109" s="19"/>
      <c r="I109" s="27"/>
      <c r="J109" s="20"/>
      <c r="K109" s="20"/>
      <c r="L109" s="20"/>
      <c r="M109" s="20"/>
      <c r="N109" s="20"/>
      <c r="O109" s="19"/>
      <c r="P109" s="27"/>
      <c r="Q109" s="20"/>
      <c r="R109" s="20"/>
      <c r="S109" s="20"/>
      <c r="T109" s="20"/>
      <c r="U109" s="20"/>
      <c r="V109" s="19"/>
      <c r="W109" s="27"/>
      <c r="X109" s="20"/>
      <c r="Y109" s="20"/>
      <c r="Z109" s="20"/>
      <c r="AA109" s="20"/>
      <c r="AB109" s="20"/>
      <c r="AC109" s="19"/>
      <c r="AD109" s="27"/>
      <c r="AE109" s="20"/>
      <c r="AF109" s="20"/>
      <c r="AG109" s="20"/>
      <c r="AH109" s="20"/>
      <c r="AI109" s="20"/>
      <c r="AJ109" s="19"/>
      <c r="AK109" s="27"/>
      <c r="AL109" s="20"/>
      <c r="AM109" s="20"/>
      <c r="AN109" s="20"/>
      <c r="AO109" s="20"/>
      <c r="AP109" s="20"/>
      <c r="AQ109" s="19"/>
      <c r="AR109" s="20"/>
      <c r="AS109" s="20"/>
      <c r="AT109" s="20"/>
      <c r="AU109" s="20"/>
      <c r="AV109" s="20"/>
      <c r="AW109" s="20"/>
      <c r="AX109" s="19"/>
      <c r="AY109" s="27"/>
      <c r="AZ109" s="20"/>
      <c r="BA109" s="20"/>
      <c r="BB109" s="20"/>
      <c r="BC109" s="20"/>
      <c r="BD109" s="20"/>
      <c r="BE109" s="19"/>
      <c r="BF109" s="34"/>
      <c r="BG109" s="21" t="s">
        <v>317</v>
      </c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27"/>
      <c r="BW109" s="20"/>
      <c r="BX109" s="20"/>
      <c r="BY109" s="20"/>
      <c r="BZ109" s="20"/>
      <c r="CA109" s="19"/>
      <c r="CB109" s="13"/>
      <c r="CD109" s="57"/>
      <c r="CH109" s="87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9"/>
      <c r="CT109" s="88"/>
      <c r="CU109" s="88"/>
      <c r="CV109" s="88"/>
      <c r="CW109" s="88"/>
      <c r="CX109" s="88"/>
      <c r="CY109" s="88"/>
    </row>
    <row r="110" spans="1:103" s="11" customFormat="1" x14ac:dyDescent="0.3">
      <c r="A110" s="24"/>
      <c r="B110" s="26"/>
      <c r="C110" s="20"/>
      <c r="D110" s="20"/>
      <c r="E110" s="20"/>
      <c r="F110" s="20"/>
      <c r="G110" s="20"/>
      <c r="H110" s="19"/>
      <c r="I110" s="27"/>
      <c r="J110" s="20"/>
      <c r="K110" s="20"/>
      <c r="L110" s="20"/>
      <c r="M110" s="20"/>
      <c r="N110" s="20"/>
      <c r="O110" s="19"/>
      <c r="P110" s="27"/>
      <c r="Q110" s="20"/>
      <c r="R110" s="20"/>
      <c r="S110" s="20"/>
      <c r="T110" s="20"/>
      <c r="U110" s="20"/>
      <c r="V110" s="19"/>
      <c r="W110" s="27"/>
      <c r="X110" s="20"/>
      <c r="Y110" s="20"/>
      <c r="Z110" s="20"/>
      <c r="AA110" s="20"/>
      <c r="AB110" s="20"/>
      <c r="AC110" s="19"/>
      <c r="AD110" s="27"/>
      <c r="AE110" s="20"/>
      <c r="AF110" s="20"/>
      <c r="AG110" s="20"/>
      <c r="AH110" s="20"/>
      <c r="AI110" s="20"/>
      <c r="AJ110" s="19"/>
      <c r="AK110" s="27"/>
      <c r="AL110" s="20"/>
      <c r="AM110" s="20"/>
      <c r="AN110" s="20"/>
      <c r="AO110" s="20"/>
      <c r="AP110" s="20"/>
      <c r="AQ110" s="19"/>
      <c r="AR110" s="20"/>
      <c r="AS110" s="20"/>
      <c r="AT110" s="20"/>
      <c r="AU110" s="20"/>
      <c r="AV110" s="20"/>
      <c r="AW110" s="20"/>
      <c r="AX110" s="19"/>
      <c r="AY110" s="27"/>
      <c r="AZ110" s="20"/>
      <c r="BA110" s="20"/>
      <c r="BB110" s="20"/>
      <c r="BC110" s="20"/>
      <c r="BD110" s="20"/>
      <c r="BE110" s="19"/>
      <c r="BF110" s="34"/>
      <c r="BH110" s="8" t="s">
        <v>318</v>
      </c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27"/>
      <c r="BW110" s="20"/>
      <c r="BX110" s="20"/>
      <c r="BY110" s="20"/>
      <c r="BZ110" s="20"/>
      <c r="CA110" s="19"/>
      <c r="CB110" s="13"/>
      <c r="CD110" s="57"/>
      <c r="CH110" s="87" t="s">
        <v>319</v>
      </c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9"/>
      <c r="CT110" s="88"/>
      <c r="CU110" s="88"/>
      <c r="CV110" s="88"/>
      <c r="CW110" s="88"/>
      <c r="CX110" s="88"/>
      <c r="CY110" s="88"/>
    </row>
    <row r="111" spans="1:103" s="11" customFormat="1" x14ac:dyDescent="0.3">
      <c r="A111" s="24"/>
      <c r="B111" s="26"/>
      <c r="C111" s="20"/>
      <c r="D111" s="20"/>
      <c r="E111" s="20"/>
      <c r="F111" s="20"/>
      <c r="G111" s="20"/>
      <c r="H111" s="19"/>
      <c r="I111" s="27"/>
      <c r="J111" s="20"/>
      <c r="K111" s="20"/>
      <c r="L111" s="20"/>
      <c r="M111" s="20"/>
      <c r="N111" s="20"/>
      <c r="O111" s="19"/>
      <c r="P111" s="27"/>
      <c r="Q111" s="20"/>
      <c r="R111" s="20"/>
      <c r="S111" s="20"/>
      <c r="T111" s="20"/>
      <c r="U111" s="20"/>
      <c r="V111" s="19"/>
      <c r="W111" s="27"/>
      <c r="X111" s="20"/>
      <c r="Y111" s="20"/>
      <c r="Z111" s="20"/>
      <c r="AA111" s="20"/>
      <c r="AB111" s="20"/>
      <c r="AC111" s="19"/>
      <c r="AD111" s="27"/>
      <c r="AE111" s="20"/>
      <c r="AF111" s="20"/>
      <c r="AG111" s="20"/>
      <c r="AH111" s="20"/>
      <c r="AI111" s="20"/>
      <c r="AJ111" s="19"/>
      <c r="AK111" s="27"/>
      <c r="AL111" s="20"/>
      <c r="AM111" s="20"/>
      <c r="AN111" s="20"/>
      <c r="AO111" s="20"/>
      <c r="AP111" s="20"/>
      <c r="AQ111" s="19"/>
      <c r="AR111" s="20"/>
      <c r="AS111" s="20"/>
      <c r="AT111" s="20"/>
      <c r="AU111" s="20"/>
      <c r="AV111" s="20"/>
      <c r="AW111" s="20"/>
      <c r="AX111" s="19"/>
      <c r="AY111" s="27"/>
      <c r="AZ111" s="20"/>
      <c r="BA111" s="20"/>
      <c r="BB111" s="20"/>
      <c r="BC111" s="20"/>
      <c r="BD111" s="20"/>
      <c r="BE111" s="19"/>
      <c r="BF111" s="34"/>
      <c r="BG111" s="8"/>
      <c r="BH111" s="8" t="s">
        <v>320</v>
      </c>
      <c r="BI111" s="8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27"/>
      <c r="BW111" s="20"/>
      <c r="BX111" s="20"/>
      <c r="BY111" s="20"/>
      <c r="BZ111" s="20"/>
      <c r="CA111" s="19"/>
      <c r="CB111" s="13"/>
      <c r="CD111" s="57"/>
      <c r="CH111" s="87"/>
      <c r="CI111" s="88" t="s">
        <v>321</v>
      </c>
      <c r="CJ111" s="88"/>
      <c r="CK111" s="88"/>
      <c r="CL111" s="88"/>
      <c r="CM111" s="88"/>
      <c r="CN111" s="88"/>
      <c r="CO111" s="88"/>
      <c r="CP111" s="88"/>
      <c r="CQ111" s="88"/>
      <c r="CR111" s="88"/>
      <c r="CS111" s="89"/>
      <c r="CT111" s="88"/>
      <c r="CU111" s="88"/>
      <c r="CV111" s="88"/>
      <c r="CW111" s="88"/>
      <c r="CX111" s="88"/>
      <c r="CY111" s="88"/>
    </row>
    <row r="112" spans="1:103" s="11" customFormat="1" x14ac:dyDescent="0.3">
      <c r="A112" s="24"/>
      <c r="B112" s="26"/>
      <c r="C112" s="20"/>
      <c r="D112" s="20"/>
      <c r="E112" s="20"/>
      <c r="F112" s="20"/>
      <c r="G112" s="20"/>
      <c r="H112" s="19"/>
      <c r="I112" s="27"/>
      <c r="J112" s="20"/>
      <c r="K112" s="20"/>
      <c r="L112" s="20"/>
      <c r="M112" s="20"/>
      <c r="N112" s="20"/>
      <c r="O112" s="19"/>
      <c r="P112" s="27"/>
      <c r="Q112" s="20"/>
      <c r="R112" s="20"/>
      <c r="S112" s="20"/>
      <c r="T112" s="20"/>
      <c r="U112" s="20"/>
      <c r="V112" s="19"/>
      <c r="W112" s="27"/>
      <c r="X112" s="20"/>
      <c r="Y112" s="20"/>
      <c r="Z112" s="20"/>
      <c r="AA112" s="20"/>
      <c r="AB112" s="20"/>
      <c r="AC112" s="19"/>
      <c r="AD112" s="27"/>
      <c r="AE112" s="20"/>
      <c r="AF112" s="20"/>
      <c r="AG112" s="20"/>
      <c r="AH112" s="20"/>
      <c r="AI112" s="20"/>
      <c r="AJ112" s="19"/>
      <c r="AK112" s="27"/>
      <c r="AL112" s="20"/>
      <c r="AM112" s="20"/>
      <c r="AN112" s="20"/>
      <c r="AO112" s="20"/>
      <c r="AP112" s="20"/>
      <c r="AQ112" s="19"/>
      <c r="AR112" s="20"/>
      <c r="AS112" s="20"/>
      <c r="AT112" s="20"/>
      <c r="AU112" s="20"/>
      <c r="AV112" s="20"/>
      <c r="AW112" s="20"/>
      <c r="AX112" s="19"/>
      <c r="AY112" s="27"/>
      <c r="AZ112" s="20"/>
      <c r="BA112" s="20"/>
      <c r="BB112" s="20"/>
      <c r="BC112" s="20"/>
      <c r="BD112" s="20"/>
      <c r="BE112" s="19"/>
      <c r="BF112" s="34"/>
      <c r="BG112" s="17"/>
      <c r="BH112" s="17"/>
      <c r="BI112" s="17"/>
      <c r="BJ112" s="17"/>
      <c r="BK112" s="17" t="s">
        <v>322</v>
      </c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27"/>
      <c r="BW112" s="20"/>
      <c r="BX112" s="20"/>
      <c r="BY112" s="20"/>
      <c r="BZ112" s="20"/>
      <c r="CA112" s="19"/>
      <c r="CB112" s="13"/>
      <c r="CD112" s="57"/>
      <c r="CH112" s="87"/>
      <c r="CI112" s="88"/>
      <c r="CJ112" s="88" t="s">
        <v>323</v>
      </c>
      <c r="CK112" s="88"/>
      <c r="CL112" s="88"/>
      <c r="CM112" s="88"/>
      <c r="CN112" s="88"/>
      <c r="CO112" s="88"/>
      <c r="CP112" s="88"/>
      <c r="CQ112" s="88"/>
      <c r="CR112" s="88"/>
      <c r="CS112" s="89"/>
      <c r="CT112" s="88"/>
      <c r="CU112" s="88"/>
      <c r="CV112" s="88"/>
      <c r="CW112" s="88"/>
      <c r="CX112" s="88"/>
      <c r="CY112" s="88"/>
    </row>
    <row r="113" spans="1:103" s="11" customFormat="1" x14ac:dyDescent="0.3">
      <c r="A113" s="24"/>
      <c r="B113" s="26"/>
      <c r="C113" s="20"/>
      <c r="D113" s="20"/>
      <c r="E113" s="20"/>
      <c r="F113" s="20"/>
      <c r="G113" s="20"/>
      <c r="H113" s="19"/>
      <c r="I113" s="27"/>
      <c r="J113" s="20"/>
      <c r="K113" s="20"/>
      <c r="L113" s="20"/>
      <c r="M113" s="20"/>
      <c r="N113" s="20"/>
      <c r="O113" s="19"/>
      <c r="P113" s="27"/>
      <c r="Q113" s="20"/>
      <c r="R113" s="20"/>
      <c r="S113" s="20"/>
      <c r="T113" s="20"/>
      <c r="U113" s="20"/>
      <c r="V113" s="19"/>
      <c r="W113" s="27"/>
      <c r="X113" s="20"/>
      <c r="Y113" s="20"/>
      <c r="Z113" s="20"/>
      <c r="AA113" s="20"/>
      <c r="AB113" s="20"/>
      <c r="AC113" s="19"/>
      <c r="AD113" s="27"/>
      <c r="AE113" s="20"/>
      <c r="AF113" s="20"/>
      <c r="AG113" s="20"/>
      <c r="AH113" s="20"/>
      <c r="AI113" s="20"/>
      <c r="AJ113" s="19"/>
      <c r="AK113" s="27"/>
      <c r="AL113" s="20"/>
      <c r="AM113" s="20"/>
      <c r="AN113" s="20"/>
      <c r="AO113" s="20"/>
      <c r="AP113" s="20"/>
      <c r="AQ113" s="19"/>
      <c r="AR113" s="20"/>
      <c r="AS113" s="20"/>
      <c r="AT113" s="20"/>
      <c r="AU113" s="20"/>
      <c r="AV113" s="20"/>
      <c r="AW113" s="20"/>
      <c r="AX113" s="19"/>
      <c r="AY113" s="27"/>
      <c r="AZ113" s="20"/>
      <c r="BA113" s="20"/>
      <c r="BB113" s="20"/>
      <c r="BC113" s="20"/>
      <c r="BD113" s="20"/>
      <c r="BE113" s="19"/>
      <c r="BF113" s="34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27"/>
      <c r="BW113" s="20"/>
      <c r="BX113" s="20"/>
      <c r="BY113" s="20"/>
      <c r="BZ113" s="20"/>
      <c r="CA113" s="19"/>
      <c r="CB113" s="13"/>
      <c r="CD113" s="57"/>
      <c r="CH113" s="87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9"/>
      <c r="CT113" s="88"/>
      <c r="CU113" s="88"/>
      <c r="CV113" s="88"/>
      <c r="CW113" s="88"/>
      <c r="CX113" s="88"/>
      <c r="CY113" s="88"/>
    </row>
    <row r="114" spans="1:103" s="11" customFormat="1" x14ac:dyDescent="0.3">
      <c r="A114" s="24"/>
      <c r="B114" s="26"/>
      <c r="C114" s="20"/>
      <c r="D114" s="20"/>
      <c r="E114" s="20"/>
      <c r="F114" s="20"/>
      <c r="G114" s="20"/>
      <c r="H114" s="19"/>
      <c r="I114" s="27"/>
      <c r="J114" s="20"/>
      <c r="K114" s="20"/>
      <c r="L114" s="20"/>
      <c r="M114" s="20"/>
      <c r="N114" s="20"/>
      <c r="O114" s="19"/>
      <c r="P114" s="27"/>
      <c r="Q114" s="20"/>
      <c r="R114" s="20"/>
      <c r="S114" s="20"/>
      <c r="T114" s="20"/>
      <c r="U114" s="20"/>
      <c r="V114" s="19"/>
      <c r="W114" s="27"/>
      <c r="X114" s="20"/>
      <c r="Y114" s="20"/>
      <c r="Z114" s="20"/>
      <c r="AA114" s="20"/>
      <c r="AB114" s="20"/>
      <c r="AC114" s="19"/>
      <c r="AD114" s="27"/>
      <c r="AE114" s="20"/>
      <c r="AF114" s="20"/>
      <c r="AG114" s="20"/>
      <c r="AH114" s="20"/>
      <c r="AI114" s="20"/>
      <c r="AJ114" s="19"/>
      <c r="AK114" s="27"/>
      <c r="AL114" s="20"/>
      <c r="AM114" s="20"/>
      <c r="AN114" s="20"/>
      <c r="AO114" s="20"/>
      <c r="AP114" s="20"/>
      <c r="AQ114" s="19"/>
      <c r="AR114" s="20"/>
      <c r="AS114" s="20"/>
      <c r="AT114" s="20"/>
      <c r="AU114" s="20"/>
      <c r="AV114" s="20"/>
      <c r="AW114" s="20"/>
      <c r="AX114" s="19"/>
      <c r="AY114" s="27"/>
      <c r="AZ114" s="20"/>
      <c r="BA114" s="20"/>
      <c r="BB114" s="20"/>
      <c r="BC114" s="20"/>
      <c r="BD114" s="20"/>
      <c r="BE114" s="19"/>
      <c r="BF114" s="34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27"/>
      <c r="BW114" s="20"/>
      <c r="BX114" s="20"/>
      <c r="BY114" s="20"/>
      <c r="BZ114" s="20"/>
      <c r="CA114" s="19"/>
      <c r="CB114" s="13"/>
      <c r="CD114" s="57"/>
      <c r="CH114" s="87"/>
      <c r="CI114" s="88" t="s">
        <v>324</v>
      </c>
      <c r="CJ114" s="88"/>
      <c r="CK114" s="88"/>
      <c r="CL114" s="88"/>
      <c r="CM114" s="88"/>
      <c r="CN114" s="88"/>
      <c r="CO114" s="88"/>
      <c r="CP114" s="88"/>
      <c r="CQ114" s="88"/>
      <c r="CR114" s="88"/>
      <c r="CS114" s="89"/>
      <c r="CT114" s="88"/>
      <c r="CU114" s="88"/>
      <c r="CV114" s="88"/>
      <c r="CW114" s="88"/>
      <c r="CX114" s="88"/>
      <c r="CY114" s="88"/>
    </row>
    <row r="115" spans="1:103" s="11" customFormat="1" x14ac:dyDescent="0.3">
      <c r="A115" s="24"/>
      <c r="B115" s="26"/>
      <c r="C115" s="20"/>
      <c r="D115" s="20"/>
      <c r="E115" s="20"/>
      <c r="F115" s="20"/>
      <c r="G115" s="20"/>
      <c r="H115" s="19"/>
      <c r="I115" s="27"/>
      <c r="J115" s="20"/>
      <c r="K115" s="20"/>
      <c r="L115" s="20"/>
      <c r="M115" s="20"/>
      <c r="N115" s="20"/>
      <c r="O115" s="19"/>
      <c r="P115" s="27"/>
      <c r="Q115" s="20"/>
      <c r="R115" s="20"/>
      <c r="S115" s="20"/>
      <c r="T115" s="20"/>
      <c r="U115" s="20"/>
      <c r="V115" s="19"/>
      <c r="W115" s="27"/>
      <c r="X115" s="20"/>
      <c r="Y115" s="20"/>
      <c r="Z115" s="20"/>
      <c r="AA115" s="20"/>
      <c r="AB115" s="20"/>
      <c r="AC115" s="19"/>
      <c r="AD115" s="27"/>
      <c r="AE115" s="20"/>
      <c r="AF115" s="20"/>
      <c r="AG115" s="20"/>
      <c r="AH115" s="20"/>
      <c r="AI115" s="20"/>
      <c r="AJ115" s="19"/>
      <c r="AK115" s="27"/>
      <c r="AL115" s="20"/>
      <c r="AM115" s="20"/>
      <c r="AN115" s="20"/>
      <c r="AO115" s="20"/>
      <c r="AP115" s="20"/>
      <c r="AQ115" s="19"/>
      <c r="AR115" s="20"/>
      <c r="AS115" s="20"/>
      <c r="AT115" s="20"/>
      <c r="AU115" s="20"/>
      <c r="AV115" s="20"/>
      <c r="AW115" s="20"/>
      <c r="AX115" s="19"/>
      <c r="AY115" s="27"/>
      <c r="AZ115" s="20"/>
      <c r="BA115" s="20"/>
      <c r="BB115" s="20"/>
      <c r="BC115" s="20"/>
      <c r="BD115" s="20"/>
      <c r="BE115" s="19"/>
      <c r="BF115" s="34"/>
      <c r="BG115" s="21" t="s">
        <v>325</v>
      </c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27"/>
      <c r="BW115" s="20"/>
      <c r="BX115" s="20"/>
      <c r="BY115" s="20"/>
      <c r="BZ115" s="20"/>
      <c r="CA115" s="19"/>
      <c r="CB115" s="13"/>
      <c r="CD115" s="57"/>
      <c r="CH115" s="87"/>
      <c r="CI115" s="88"/>
      <c r="CJ115" s="88"/>
      <c r="CK115" s="90" t="s">
        <v>326</v>
      </c>
      <c r="CL115" s="88"/>
      <c r="CM115" s="88"/>
      <c r="CN115" s="88"/>
      <c r="CO115" s="88"/>
      <c r="CP115" s="88"/>
      <c r="CQ115" s="88"/>
      <c r="CR115" s="88"/>
      <c r="CS115" s="89"/>
      <c r="CT115" s="88"/>
      <c r="CU115" s="88"/>
      <c r="CV115" s="88"/>
      <c r="CW115" s="88"/>
      <c r="CX115" s="88"/>
      <c r="CY115" s="88"/>
    </row>
    <row r="116" spans="1:103" s="11" customFormat="1" x14ac:dyDescent="0.3">
      <c r="A116" s="24"/>
      <c r="B116" s="26"/>
      <c r="C116" s="20"/>
      <c r="D116" s="20"/>
      <c r="E116" s="20"/>
      <c r="F116" s="20"/>
      <c r="G116" s="20"/>
      <c r="H116" s="19"/>
      <c r="I116" s="27"/>
      <c r="J116" s="20"/>
      <c r="K116" s="20"/>
      <c r="L116" s="20"/>
      <c r="M116" s="20"/>
      <c r="N116" s="20"/>
      <c r="O116" s="19"/>
      <c r="P116" s="27"/>
      <c r="Q116" s="20"/>
      <c r="R116" s="20"/>
      <c r="S116" s="20"/>
      <c r="T116" s="20"/>
      <c r="U116" s="20"/>
      <c r="V116" s="19"/>
      <c r="W116" s="27"/>
      <c r="X116" s="20"/>
      <c r="Y116" s="20"/>
      <c r="Z116" s="20"/>
      <c r="AA116" s="20"/>
      <c r="AB116" s="20"/>
      <c r="AC116" s="19"/>
      <c r="AD116" s="27"/>
      <c r="AE116" s="20"/>
      <c r="AF116" s="20"/>
      <c r="AG116" s="20"/>
      <c r="AH116" s="20"/>
      <c r="AI116" s="20"/>
      <c r="AJ116" s="19"/>
      <c r="AK116" s="27"/>
      <c r="AL116" s="20"/>
      <c r="AM116" s="20"/>
      <c r="AN116" s="20"/>
      <c r="AO116" s="20"/>
      <c r="AP116" s="20"/>
      <c r="AQ116" s="19"/>
      <c r="AR116" s="20"/>
      <c r="AS116" s="20"/>
      <c r="AT116" s="20"/>
      <c r="AU116" s="20"/>
      <c r="AV116" s="20"/>
      <c r="AW116" s="20"/>
      <c r="AX116" s="19"/>
      <c r="AY116" s="27"/>
      <c r="AZ116" s="20"/>
      <c r="BA116" s="20"/>
      <c r="BB116" s="20"/>
      <c r="BC116" s="20"/>
      <c r="BD116" s="20"/>
      <c r="BE116" s="19"/>
      <c r="BF116" s="34"/>
      <c r="BH116" s="8" t="s">
        <v>327</v>
      </c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27"/>
      <c r="BW116" s="20"/>
      <c r="BX116" s="20"/>
      <c r="BY116" s="20"/>
      <c r="BZ116" s="20"/>
      <c r="CA116" s="19"/>
      <c r="CB116" s="13"/>
      <c r="CD116" s="57"/>
      <c r="CH116" s="57"/>
      <c r="CS116" s="58"/>
    </row>
    <row r="117" spans="1:103" s="11" customFormat="1" x14ac:dyDescent="0.3">
      <c r="A117" s="24"/>
      <c r="B117" s="26"/>
      <c r="C117" s="20"/>
      <c r="D117" s="20"/>
      <c r="E117" s="20"/>
      <c r="F117" s="20"/>
      <c r="G117" s="20"/>
      <c r="H117" s="19"/>
      <c r="I117" s="27"/>
      <c r="J117" s="20"/>
      <c r="K117" s="20"/>
      <c r="L117" s="20"/>
      <c r="M117" s="20"/>
      <c r="N117" s="20"/>
      <c r="O117" s="19"/>
      <c r="P117" s="27"/>
      <c r="Q117" s="20"/>
      <c r="R117" s="20"/>
      <c r="S117" s="20"/>
      <c r="T117" s="20"/>
      <c r="U117" s="20"/>
      <c r="V117" s="19"/>
      <c r="W117" s="27"/>
      <c r="X117" s="20"/>
      <c r="Y117" s="20"/>
      <c r="Z117" s="20"/>
      <c r="AA117" s="20"/>
      <c r="AB117" s="20"/>
      <c r="AC117" s="19"/>
      <c r="AD117" s="27"/>
      <c r="AE117" s="20"/>
      <c r="AF117" s="20"/>
      <c r="AG117" s="20"/>
      <c r="AH117" s="20"/>
      <c r="AI117" s="20"/>
      <c r="AJ117" s="19"/>
      <c r="AK117" s="27"/>
      <c r="AL117" s="20"/>
      <c r="AM117" s="20"/>
      <c r="AN117" s="20"/>
      <c r="AO117" s="20"/>
      <c r="AP117" s="20"/>
      <c r="AQ117" s="19"/>
      <c r="AR117" s="20"/>
      <c r="AS117" s="20"/>
      <c r="AT117" s="20"/>
      <c r="AU117" s="20"/>
      <c r="AV117" s="20"/>
      <c r="AW117" s="20"/>
      <c r="AX117" s="19"/>
      <c r="AY117" s="27"/>
      <c r="AZ117" s="20"/>
      <c r="BA117" s="20"/>
      <c r="BB117" s="20"/>
      <c r="BC117" s="20"/>
      <c r="BD117" s="20"/>
      <c r="BE117" s="19"/>
      <c r="BF117" s="34"/>
      <c r="BG117" s="8"/>
      <c r="BH117" s="8" t="s">
        <v>328</v>
      </c>
      <c r="BI117" s="8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27"/>
      <c r="BW117" s="20"/>
      <c r="BX117" s="20"/>
      <c r="BY117" s="20"/>
      <c r="BZ117" s="20"/>
      <c r="CA117" s="19"/>
      <c r="CB117" s="13"/>
      <c r="CD117" s="57"/>
      <c r="CH117" s="57"/>
      <c r="CS117" s="58"/>
    </row>
    <row r="118" spans="1:103" s="11" customFormat="1" x14ac:dyDescent="0.3">
      <c r="A118" s="24"/>
      <c r="B118" s="26"/>
      <c r="C118" s="20"/>
      <c r="D118" s="20"/>
      <c r="E118" s="20"/>
      <c r="F118" s="20"/>
      <c r="G118" s="20"/>
      <c r="H118" s="19"/>
      <c r="I118" s="27"/>
      <c r="J118" s="20"/>
      <c r="K118" s="20"/>
      <c r="L118" s="20"/>
      <c r="M118" s="20"/>
      <c r="N118" s="20"/>
      <c r="O118" s="19"/>
      <c r="P118" s="27"/>
      <c r="Q118" s="20"/>
      <c r="R118" s="20"/>
      <c r="S118" s="20"/>
      <c r="T118" s="20"/>
      <c r="U118" s="20"/>
      <c r="V118" s="19"/>
      <c r="W118" s="27"/>
      <c r="X118" s="20"/>
      <c r="Y118" s="20"/>
      <c r="Z118" s="20"/>
      <c r="AA118" s="20"/>
      <c r="AB118" s="20"/>
      <c r="AC118" s="19"/>
      <c r="AD118" s="27"/>
      <c r="AE118" s="20"/>
      <c r="AF118" s="20"/>
      <c r="AG118" s="20"/>
      <c r="AH118" s="20"/>
      <c r="AI118" s="20"/>
      <c r="AJ118" s="19"/>
      <c r="AK118" s="27"/>
      <c r="AL118" s="20"/>
      <c r="AM118" s="20"/>
      <c r="AN118" s="20"/>
      <c r="AO118" s="20"/>
      <c r="AP118" s="20"/>
      <c r="AQ118" s="19"/>
      <c r="AR118" s="20"/>
      <c r="AS118" s="20"/>
      <c r="AT118" s="20"/>
      <c r="AU118" s="20"/>
      <c r="AV118" s="20"/>
      <c r="AW118" s="20"/>
      <c r="AX118" s="19"/>
      <c r="AY118" s="27"/>
      <c r="AZ118" s="20"/>
      <c r="BA118" s="20"/>
      <c r="BB118" s="20"/>
      <c r="BC118" s="20"/>
      <c r="BD118" s="20"/>
      <c r="BE118" s="19"/>
      <c r="BF118" s="34"/>
      <c r="BG118" s="17"/>
      <c r="BH118" s="17"/>
      <c r="BI118" s="17"/>
      <c r="BJ118" s="17"/>
      <c r="BK118" s="17"/>
      <c r="BL118" s="17"/>
      <c r="BM118" s="17"/>
      <c r="BN118" s="17" t="s">
        <v>322</v>
      </c>
      <c r="BO118" s="17"/>
      <c r="BP118" s="17"/>
      <c r="BQ118" s="17"/>
      <c r="BR118" s="17"/>
      <c r="BS118" s="17"/>
      <c r="BT118" s="17"/>
      <c r="BU118" s="17"/>
      <c r="BV118" s="27"/>
      <c r="BW118" s="20"/>
      <c r="BX118" s="20"/>
      <c r="BY118" s="20"/>
      <c r="BZ118" s="20"/>
      <c r="CA118" s="19"/>
      <c r="CB118" s="13"/>
      <c r="CD118" s="57"/>
      <c r="CH118" s="57"/>
      <c r="CS118" s="58"/>
    </row>
    <row r="119" spans="1:103" s="11" customFormat="1" ht="13.5" customHeight="1" x14ac:dyDescent="0.3">
      <c r="A119" s="24"/>
      <c r="B119" s="26"/>
      <c r="C119" s="20"/>
      <c r="D119" s="20"/>
      <c r="E119" s="20"/>
      <c r="F119" s="20"/>
      <c r="G119" s="20"/>
      <c r="H119" s="19"/>
      <c r="I119" s="27"/>
      <c r="J119" s="20"/>
      <c r="K119" s="20"/>
      <c r="L119" s="20"/>
      <c r="M119" s="20"/>
      <c r="N119" s="20"/>
      <c r="O119" s="19"/>
      <c r="P119" s="27"/>
      <c r="Q119" s="20"/>
      <c r="R119" s="20"/>
      <c r="S119" s="20"/>
      <c r="T119" s="20"/>
      <c r="U119" s="20"/>
      <c r="V119" s="19"/>
      <c r="W119" s="27"/>
      <c r="X119" s="20"/>
      <c r="Y119" s="20"/>
      <c r="Z119" s="20"/>
      <c r="AA119" s="20"/>
      <c r="AB119" s="20"/>
      <c r="AC119" s="19"/>
      <c r="AD119" s="27"/>
      <c r="AE119" s="20"/>
      <c r="AF119" s="20"/>
      <c r="AG119" s="20"/>
      <c r="AH119" s="20"/>
      <c r="AI119" s="20"/>
      <c r="AJ119" s="19"/>
      <c r="AK119" s="27"/>
      <c r="AL119" s="20"/>
      <c r="AM119" s="20"/>
      <c r="AN119" s="20"/>
      <c r="AO119" s="20"/>
      <c r="AP119" s="20"/>
      <c r="AQ119" s="19"/>
      <c r="AR119" s="20"/>
      <c r="AS119" s="20"/>
      <c r="AT119" s="20"/>
      <c r="AU119" s="20"/>
      <c r="AV119" s="20"/>
      <c r="AW119" s="20"/>
      <c r="AX119" s="19"/>
      <c r="AY119" s="27"/>
      <c r="AZ119" s="20"/>
      <c r="BA119" s="20"/>
      <c r="BB119" s="20"/>
      <c r="BC119" s="20"/>
      <c r="BD119" s="20"/>
      <c r="BE119" s="19"/>
      <c r="BF119" s="34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27"/>
      <c r="BW119" s="20"/>
      <c r="BX119" s="20"/>
      <c r="BY119" s="20"/>
      <c r="BZ119" s="20"/>
      <c r="CA119" s="19"/>
      <c r="CB119" s="13"/>
      <c r="CD119" s="57"/>
      <c r="CH119" s="242"/>
      <c r="CI119" s="243"/>
      <c r="CJ119" s="243"/>
      <c r="CK119" s="243"/>
      <c r="CL119" s="243"/>
      <c r="CM119" s="243"/>
      <c r="CN119" s="243"/>
      <c r="CO119" s="243"/>
      <c r="CP119" s="243"/>
      <c r="CQ119" s="243"/>
      <c r="CR119" s="243"/>
      <c r="CS119" s="244"/>
    </row>
    <row r="120" spans="1:103" s="11" customFormat="1" ht="13.5" customHeight="1" x14ac:dyDescent="0.3">
      <c r="A120" s="24"/>
      <c r="B120" s="26"/>
      <c r="C120" s="20"/>
      <c r="D120" s="20"/>
      <c r="E120" s="20"/>
      <c r="F120" s="20"/>
      <c r="G120" s="20"/>
      <c r="H120" s="19"/>
      <c r="I120" s="27"/>
      <c r="J120" s="20"/>
      <c r="K120" s="20"/>
      <c r="L120" s="20"/>
      <c r="M120" s="20"/>
      <c r="N120" s="20"/>
      <c r="O120" s="19"/>
      <c r="P120" s="27"/>
      <c r="Q120" s="20"/>
      <c r="R120" s="20"/>
      <c r="S120" s="20"/>
      <c r="T120" s="20"/>
      <c r="U120" s="20"/>
      <c r="V120" s="19"/>
      <c r="W120" s="27"/>
      <c r="X120" s="20"/>
      <c r="Y120" s="20"/>
      <c r="Z120" s="20"/>
      <c r="AA120" s="20"/>
      <c r="AB120" s="20"/>
      <c r="AC120" s="19"/>
      <c r="AD120" s="27"/>
      <c r="AE120" s="20"/>
      <c r="AF120" s="20"/>
      <c r="AG120" s="20"/>
      <c r="AH120" s="20"/>
      <c r="AI120" s="20"/>
      <c r="AJ120" s="19"/>
      <c r="AK120" s="27"/>
      <c r="AL120" s="20"/>
      <c r="AM120" s="20"/>
      <c r="AN120" s="20"/>
      <c r="AO120" s="20"/>
      <c r="AP120" s="20"/>
      <c r="AQ120" s="19"/>
      <c r="AR120" s="20"/>
      <c r="AS120" s="20"/>
      <c r="AT120" s="20"/>
      <c r="AU120" s="20"/>
      <c r="AV120" s="20"/>
      <c r="AW120" s="20"/>
      <c r="AX120" s="19"/>
      <c r="AY120" s="27"/>
      <c r="AZ120" s="20"/>
      <c r="BA120" s="20"/>
      <c r="BB120" s="20"/>
      <c r="BC120" s="20"/>
      <c r="BD120" s="20"/>
      <c r="BE120" s="19"/>
      <c r="BF120" s="34"/>
      <c r="BG120" s="17"/>
      <c r="BH120" s="79" t="s">
        <v>311</v>
      </c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27"/>
      <c r="BW120" s="20"/>
      <c r="BX120" s="20"/>
      <c r="BY120" s="20"/>
      <c r="BZ120" s="20"/>
      <c r="CA120" s="19"/>
      <c r="CB120" s="13"/>
      <c r="CD120" s="57"/>
      <c r="CH120" s="68"/>
      <c r="CI120" s="69"/>
      <c r="CJ120" s="69"/>
      <c r="CK120" s="69"/>
      <c r="CL120" s="69"/>
      <c r="CM120" s="69"/>
      <c r="CN120" s="69"/>
      <c r="CO120" s="69"/>
      <c r="CP120" s="69"/>
      <c r="CQ120" s="69"/>
      <c r="CR120" s="69"/>
      <c r="CS120" s="70"/>
    </row>
    <row r="121" spans="1:103" s="11" customFormat="1" ht="13.5" customHeight="1" x14ac:dyDescent="0.3">
      <c r="A121" s="24"/>
      <c r="B121" s="26"/>
      <c r="C121" s="20"/>
      <c r="D121" s="20"/>
      <c r="E121" s="20"/>
      <c r="F121" s="20"/>
      <c r="G121" s="20"/>
      <c r="H121" s="19"/>
      <c r="I121" s="27"/>
      <c r="J121" s="20"/>
      <c r="K121" s="20"/>
      <c r="L121" s="20"/>
      <c r="M121" s="20"/>
      <c r="N121" s="20"/>
      <c r="O121" s="19"/>
      <c r="P121" s="27"/>
      <c r="Q121" s="20"/>
      <c r="R121" s="20"/>
      <c r="S121" s="20"/>
      <c r="T121" s="20"/>
      <c r="U121" s="20"/>
      <c r="V121" s="19"/>
      <c r="W121" s="27"/>
      <c r="X121" s="20"/>
      <c r="Y121" s="20"/>
      <c r="Z121" s="20"/>
      <c r="AA121" s="20"/>
      <c r="AB121" s="20"/>
      <c r="AC121" s="19"/>
      <c r="AD121" s="27"/>
      <c r="AE121" s="20"/>
      <c r="AF121" s="20"/>
      <c r="AG121" s="20"/>
      <c r="AH121" s="20"/>
      <c r="AI121" s="20"/>
      <c r="AJ121" s="19"/>
      <c r="AK121" s="27"/>
      <c r="AL121" s="20"/>
      <c r="AM121" s="20"/>
      <c r="AN121" s="20"/>
      <c r="AO121" s="20"/>
      <c r="AP121" s="20"/>
      <c r="AQ121" s="19"/>
      <c r="AR121" s="20"/>
      <c r="AS121" s="20"/>
      <c r="AT121" s="20"/>
      <c r="AU121" s="20"/>
      <c r="AV121" s="20"/>
      <c r="AW121" s="20"/>
      <c r="AX121" s="19"/>
      <c r="AY121" s="27"/>
      <c r="AZ121" s="20"/>
      <c r="BA121" s="20"/>
      <c r="BB121" s="20"/>
      <c r="BC121" s="20"/>
      <c r="BD121" s="20"/>
      <c r="BE121" s="19"/>
      <c r="BF121" s="34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27"/>
      <c r="BW121" s="20"/>
      <c r="BX121" s="20"/>
      <c r="BY121" s="20"/>
      <c r="BZ121" s="20"/>
      <c r="CA121" s="19"/>
      <c r="CB121" s="13"/>
      <c r="CD121" s="57"/>
      <c r="CH121" s="68"/>
      <c r="CI121" s="69"/>
      <c r="CJ121" s="69"/>
      <c r="CK121" s="69"/>
      <c r="CL121" s="69"/>
      <c r="CM121" s="69"/>
      <c r="CN121" s="69"/>
      <c r="CO121" s="69"/>
      <c r="CP121" s="69"/>
      <c r="CQ121" s="69"/>
      <c r="CR121" s="69"/>
      <c r="CS121" s="70"/>
    </row>
    <row r="122" spans="1:103" s="11" customFormat="1" x14ac:dyDescent="0.3">
      <c r="A122" s="24"/>
      <c r="B122" s="26"/>
      <c r="C122" s="20"/>
      <c r="D122" s="20"/>
      <c r="E122" s="20"/>
      <c r="F122" s="20"/>
      <c r="G122" s="20"/>
      <c r="H122" s="19"/>
      <c r="I122" s="27"/>
      <c r="J122" s="20"/>
      <c r="K122" s="20"/>
      <c r="L122" s="20"/>
      <c r="M122" s="20"/>
      <c r="N122" s="20"/>
      <c r="O122" s="19"/>
      <c r="P122" s="27"/>
      <c r="Q122" s="20"/>
      <c r="R122" s="20"/>
      <c r="S122" s="20"/>
      <c r="T122" s="20"/>
      <c r="U122" s="20"/>
      <c r="V122" s="19"/>
      <c r="W122" s="27"/>
      <c r="X122" s="20"/>
      <c r="Y122" s="20"/>
      <c r="Z122" s="20"/>
      <c r="AA122" s="20"/>
      <c r="AB122" s="20"/>
      <c r="AC122" s="19"/>
      <c r="AD122" s="27"/>
      <c r="AE122" s="20"/>
      <c r="AF122" s="20"/>
      <c r="AG122" s="20"/>
      <c r="AH122" s="20"/>
      <c r="AI122" s="20"/>
      <c r="AJ122" s="19"/>
      <c r="AK122" s="27"/>
      <c r="AL122" s="20"/>
      <c r="AM122" s="20"/>
      <c r="AN122" s="20"/>
      <c r="AO122" s="20"/>
      <c r="AP122" s="20"/>
      <c r="AQ122" s="19"/>
      <c r="AR122" s="20"/>
      <c r="AS122" s="20"/>
      <c r="AT122" s="20"/>
      <c r="AU122" s="20"/>
      <c r="AV122" s="20"/>
      <c r="AW122" s="20"/>
      <c r="AX122" s="19"/>
      <c r="AY122" s="27"/>
      <c r="AZ122" s="20"/>
      <c r="BA122" s="20"/>
      <c r="BB122" s="20"/>
      <c r="BC122" s="20"/>
      <c r="BD122" s="20"/>
      <c r="BE122" s="19"/>
      <c r="BF122" s="34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27"/>
      <c r="BW122" s="20"/>
      <c r="BX122" s="20"/>
      <c r="BY122" s="20"/>
      <c r="BZ122" s="20"/>
      <c r="CA122" s="19"/>
      <c r="CB122" s="13"/>
      <c r="CD122" s="57"/>
      <c r="CH122" s="242"/>
      <c r="CI122" s="243"/>
      <c r="CJ122" s="243"/>
      <c r="CK122" s="243"/>
      <c r="CL122" s="243"/>
      <c r="CM122" s="243"/>
      <c r="CN122" s="243"/>
      <c r="CO122" s="243"/>
      <c r="CP122" s="243"/>
      <c r="CQ122" s="243"/>
      <c r="CR122" s="243"/>
      <c r="CS122" s="244"/>
    </row>
    <row r="123" spans="1:103" s="11" customFormat="1" x14ac:dyDescent="0.3">
      <c r="A123" s="24"/>
      <c r="B123" s="26"/>
      <c r="C123" s="20"/>
      <c r="D123" s="20"/>
      <c r="E123" s="20"/>
      <c r="F123" s="20"/>
      <c r="G123" s="20"/>
      <c r="H123" s="19"/>
      <c r="I123" s="27"/>
      <c r="J123" s="20"/>
      <c r="K123" s="20"/>
      <c r="L123" s="20"/>
      <c r="M123" s="20"/>
      <c r="N123" s="20"/>
      <c r="O123" s="19"/>
      <c r="P123" s="27"/>
      <c r="Q123" s="20"/>
      <c r="R123" s="20"/>
      <c r="S123" s="20"/>
      <c r="T123" s="20"/>
      <c r="U123" s="20"/>
      <c r="V123" s="19"/>
      <c r="W123" s="27"/>
      <c r="X123" s="20"/>
      <c r="Y123" s="20"/>
      <c r="Z123" s="20"/>
      <c r="AA123" s="20"/>
      <c r="AB123" s="20"/>
      <c r="AC123" s="19"/>
      <c r="AD123" s="27"/>
      <c r="AE123" s="20"/>
      <c r="AF123" s="20"/>
      <c r="AG123" s="20"/>
      <c r="AH123" s="20"/>
      <c r="AI123" s="20"/>
      <c r="AJ123" s="19"/>
      <c r="AK123" s="27"/>
      <c r="AL123" s="20"/>
      <c r="AM123" s="20"/>
      <c r="AN123" s="20"/>
      <c r="AO123" s="20"/>
      <c r="AP123" s="20"/>
      <c r="AQ123" s="19"/>
      <c r="AR123" s="20"/>
      <c r="AS123" s="20"/>
      <c r="AT123" s="20"/>
      <c r="AU123" s="20"/>
      <c r="AV123" s="20"/>
      <c r="AW123" s="20"/>
      <c r="AX123" s="19"/>
      <c r="AY123" s="27"/>
      <c r="AZ123" s="20"/>
      <c r="BA123" s="20"/>
      <c r="BB123" s="20"/>
      <c r="BC123" s="20"/>
      <c r="BD123" s="20"/>
      <c r="BE123" s="19"/>
      <c r="BF123" s="34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27"/>
      <c r="BW123" s="20"/>
      <c r="BX123" s="20"/>
      <c r="BY123" s="20"/>
      <c r="BZ123" s="20"/>
      <c r="CA123" s="19"/>
      <c r="CB123" s="13"/>
      <c r="CD123" s="57"/>
      <c r="CH123" s="57"/>
      <c r="CS123" s="58"/>
    </row>
    <row r="124" spans="1:103" s="11" customFormat="1" x14ac:dyDescent="0.3">
      <c r="A124" s="24"/>
      <c r="B124" s="26"/>
      <c r="C124" s="20"/>
      <c r="D124" s="20"/>
      <c r="E124" s="20"/>
      <c r="F124" s="20"/>
      <c r="G124" s="20"/>
      <c r="H124" s="19"/>
      <c r="I124" s="27"/>
      <c r="J124" s="20"/>
      <c r="K124" s="20"/>
      <c r="L124" s="20"/>
      <c r="M124" s="20"/>
      <c r="N124" s="20"/>
      <c r="O124" s="19"/>
      <c r="P124" s="27"/>
      <c r="Q124" s="20"/>
      <c r="R124" s="20"/>
      <c r="S124" s="20"/>
      <c r="T124" s="20"/>
      <c r="U124" s="20"/>
      <c r="V124" s="19"/>
      <c r="W124" s="27"/>
      <c r="X124" s="20"/>
      <c r="Y124" s="20"/>
      <c r="Z124" s="20"/>
      <c r="AA124" s="20"/>
      <c r="AB124" s="20"/>
      <c r="AC124" s="19"/>
      <c r="AD124" s="27"/>
      <c r="AE124" s="20"/>
      <c r="AF124" s="20"/>
      <c r="AG124" s="20"/>
      <c r="AH124" s="20"/>
      <c r="AI124" s="20"/>
      <c r="AJ124" s="19"/>
      <c r="AK124" s="27"/>
      <c r="AL124" s="20"/>
      <c r="AM124" s="20"/>
      <c r="AN124" s="20"/>
      <c r="AO124" s="20"/>
      <c r="AP124" s="20"/>
      <c r="AQ124" s="19"/>
      <c r="AR124" s="20"/>
      <c r="AS124" s="20"/>
      <c r="AT124" s="20"/>
      <c r="AU124" s="20"/>
      <c r="AV124" s="20"/>
      <c r="AW124" s="20"/>
      <c r="AX124" s="19"/>
      <c r="AY124" s="27"/>
      <c r="AZ124" s="20"/>
      <c r="BA124" s="20"/>
      <c r="BB124" s="20"/>
      <c r="BC124" s="20"/>
      <c r="BD124" s="20"/>
      <c r="BE124" s="19"/>
      <c r="BF124" s="34"/>
      <c r="BG124" s="21" t="s">
        <v>329</v>
      </c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27"/>
      <c r="BW124" s="20"/>
      <c r="BX124" s="20"/>
      <c r="BY124" s="20"/>
      <c r="BZ124" s="20"/>
      <c r="CA124" s="19"/>
      <c r="CB124" s="13"/>
      <c r="CD124" s="57"/>
      <c r="CH124" s="57"/>
      <c r="CS124" s="58"/>
    </row>
    <row r="125" spans="1:103" s="11" customFormat="1" x14ac:dyDescent="0.3">
      <c r="A125" s="24"/>
      <c r="B125" s="26"/>
      <c r="C125" s="20"/>
      <c r="D125" s="20"/>
      <c r="E125" s="20"/>
      <c r="F125" s="20"/>
      <c r="G125" s="20"/>
      <c r="H125" s="19"/>
      <c r="I125" s="27"/>
      <c r="J125" s="20"/>
      <c r="K125" s="20"/>
      <c r="L125" s="20"/>
      <c r="M125" s="20"/>
      <c r="N125" s="20"/>
      <c r="O125" s="19"/>
      <c r="P125" s="27"/>
      <c r="Q125" s="20"/>
      <c r="R125" s="20"/>
      <c r="S125" s="20"/>
      <c r="T125" s="20"/>
      <c r="U125" s="20"/>
      <c r="V125" s="19"/>
      <c r="W125" s="27"/>
      <c r="X125" s="20"/>
      <c r="Y125" s="20"/>
      <c r="Z125" s="20"/>
      <c r="AA125" s="20"/>
      <c r="AB125" s="20"/>
      <c r="AC125" s="19"/>
      <c r="AD125" s="27"/>
      <c r="AE125" s="20"/>
      <c r="AF125" s="20"/>
      <c r="AG125" s="20"/>
      <c r="AH125" s="20"/>
      <c r="AI125" s="20"/>
      <c r="AJ125" s="19"/>
      <c r="AK125" s="27"/>
      <c r="AL125" s="20"/>
      <c r="AM125" s="20"/>
      <c r="AN125" s="20"/>
      <c r="AO125" s="20"/>
      <c r="AP125" s="20"/>
      <c r="AQ125" s="19"/>
      <c r="AR125" s="20"/>
      <c r="AS125" s="20"/>
      <c r="AT125" s="20"/>
      <c r="AU125" s="20"/>
      <c r="AV125" s="20"/>
      <c r="AW125" s="20"/>
      <c r="AX125" s="19"/>
      <c r="AY125" s="29"/>
      <c r="AZ125"/>
      <c r="BA125"/>
      <c r="BB125"/>
      <c r="BC125"/>
      <c r="BD125"/>
      <c r="BE125" s="18"/>
      <c r="BF125" s="34"/>
      <c r="BH125" s="8" t="s">
        <v>330</v>
      </c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27"/>
      <c r="BW125" s="20"/>
      <c r="BX125" s="20"/>
      <c r="BY125" s="20"/>
      <c r="BZ125" s="20"/>
      <c r="CA125" s="19"/>
      <c r="CB125" s="13"/>
      <c r="CD125" s="57"/>
      <c r="CH125" s="57"/>
      <c r="CS125" s="58"/>
    </row>
    <row r="126" spans="1:103" s="11" customFormat="1" x14ac:dyDescent="0.3">
      <c r="A126" s="24"/>
      <c r="B126" s="26"/>
      <c r="C126" s="20"/>
      <c r="D126" s="20"/>
      <c r="E126" s="20"/>
      <c r="F126" s="20"/>
      <c r="G126" s="20"/>
      <c r="H126" s="19"/>
      <c r="I126" s="27"/>
      <c r="J126" s="20"/>
      <c r="K126" s="20"/>
      <c r="L126" s="20"/>
      <c r="M126" s="20"/>
      <c r="N126" s="20"/>
      <c r="O126" s="19"/>
      <c r="P126" s="27"/>
      <c r="Q126" s="20"/>
      <c r="R126" s="20"/>
      <c r="S126" s="20"/>
      <c r="T126" s="20"/>
      <c r="U126" s="20"/>
      <c r="V126" s="19"/>
      <c r="W126" s="27"/>
      <c r="X126" s="20"/>
      <c r="Y126" s="20"/>
      <c r="Z126" s="20"/>
      <c r="AA126" s="20"/>
      <c r="AB126" s="20"/>
      <c r="AC126" s="19"/>
      <c r="AD126" s="27"/>
      <c r="AE126" s="20"/>
      <c r="AF126" s="20"/>
      <c r="AG126" s="20"/>
      <c r="AH126" s="20"/>
      <c r="AI126" s="20"/>
      <c r="AJ126" s="19"/>
      <c r="AK126" s="27"/>
      <c r="AL126" s="20"/>
      <c r="AM126" s="20"/>
      <c r="AN126" s="20"/>
      <c r="AO126" s="20"/>
      <c r="AP126" s="20"/>
      <c r="AQ126" s="19"/>
      <c r="AR126" s="20"/>
      <c r="AS126" s="20"/>
      <c r="AT126" s="20"/>
      <c r="AU126" s="20"/>
      <c r="AV126" s="20"/>
      <c r="AW126" s="20"/>
      <c r="AX126" s="19"/>
      <c r="AY126" s="30"/>
      <c r="BE126" s="13"/>
      <c r="BF126" s="34"/>
      <c r="BG126" s="21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27"/>
      <c r="BW126" s="20"/>
      <c r="BX126" s="20"/>
      <c r="BY126" s="20"/>
      <c r="BZ126" s="20"/>
      <c r="CA126" s="19"/>
      <c r="CB126" s="13"/>
      <c r="CD126" s="57"/>
      <c r="CH126" s="57"/>
      <c r="CS126" s="58"/>
    </row>
    <row r="127" spans="1:103" s="11" customFormat="1" x14ac:dyDescent="0.3">
      <c r="A127" s="24"/>
      <c r="B127" s="26"/>
      <c r="C127" s="20"/>
      <c r="D127" s="20"/>
      <c r="E127" s="20"/>
      <c r="F127" s="20"/>
      <c r="G127" s="20"/>
      <c r="H127" s="19"/>
      <c r="I127" s="27"/>
      <c r="J127" s="20"/>
      <c r="K127" s="20"/>
      <c r="L127" s="20"/>
      <c r="M127" s="20"/>
      <c r="N127" s="20"/>
      <c r="O127" s="19"/>
      <c r="P127" s="27"/>
      <c r="Q127" s="20"/>
      <c r="R127" s="20"/>
      <c r="S127" s="20"/>
      <c r="T127" s="20"/>
      <c r="U127" s="20"/>
      <c r="V127" s="19"/>
      <c r="W127" s="27"/>
      <c r="X127" s="20"/>
      <c r="Y127" s="20"/>
      <c r="Z127" s="20"/>
      <c r="AA127" s="20"/>
      <c r="AB127" s="20"/>
      <c r="AC127" s="19"/>
      <c r="AD127" s="27"/>
      <c r="AE127" s="20"/>
      <c r="AF127" s="20"/>
      <c r="AG127" s="20"/>
      <c r="AH127" s="20"/>
      <c r="AI127" s="20"/>
      <c r="AJ127" s="19"/>
      <c r="AK127" s="27"/>
      <c r="AL127" s="20"/>
      <c r="AM127" s="20"/>
      <c r="AN127" s="20"/>
      <c r="AO127" s="20"/>
      <c r="AP127" s="20"/>
      <c r="AQ127" s="19"/>
      <c r="AR127" s="20"/>
      <c r="AS127" s="20"/>
      <c r="AT127" s="20"/>
      <c r="AU127" s="20"/>
      <c r="AV127" s="20"/>
      <c r="AW127" s="20"/>
      <c r="AX127" s="19"/>
      <c r="AY127" s="23"/>
      <c r="AZ127" s="8"/>
      <c r="BA127" s="8"/>
      <c r="BB127" s="8"/>
      <c r="BC127" s="8"/>
      <c r="BD127" s="8"/>
      <c r="BE127" s="14"/>
      <c r="BF127" s="34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27"/>
      <c r="BW127" s="20"/>
      <c r="BX127" s="20"/>
      <c r="BY127" s="20"/>
      <c r="BZ127" s="20"/>
      <c r="CA127" s="19"/>
      <c r="CB127" s="14"/>
      <c r="CD127" s="57"/>
      <c r="CH127" s="57"/>
      <c r="CS127" s="58"/>
    </row>
    <row r="128" spans="1:103" s="11" customFormat="1" x14ac:dyDescent="0.3">
      <c r="A128" s="24"/>
      <c r="B128" s="26"/>
      <c r="C128" s="20"/>
      <c r="D128" s="20"/>
      <c r="E128" s="20"/>
      <c r="F128" s="20"/>
      <c r="G128" s="20"/>
      <c r="H128" s="19"/>
      <c r="I128" s="27"/>
      <c r="J128" s="20"/>
      <c r="K128" s="20"/>
      <c r="L128" s="20"/>
      <c r="M128" s="20"/>
      <c r="N128" s="20"/>
      <c r="O128" s="19"/>
      <c r="P128" s="27"/>
      <c r="Q128" s="20"/>
      <c r="R128" s="20"/>
      <c r="S128" s="20"/>
      <c r="T128" s="20"/>
      <c r="U128" s="20"/>
      <c r="V128" s="19"/>
      <c r="W128" s="27"/>
      <c r="X128" s="20"/>
      <c r="Y128" s="20"/>
      <c r="Z128" s="20"/>
      <c r="AA128" s="20"/>
      <c r="AB128" s="20"/>
      <c r="AC128" s="19"/>
      <c r="AD128" s="27"/>
      <c r="AE128" s="20"/>
      <c r="AF128" s="20"/>
      <c r="AG128" s="20"/>
      <c r="AH128" s="20"/>
      <c r="AI128" s="20"/>
      <c r="AJ128" s="19"/>
      <c r="AK128" s="27"/>
      <c r="AL128" s="20"/>
      <c r="AM128" s="20"/>
      <c r="AN128" s="20"/>
      <c r="AO128" s="20"/>
      <c r="AP128" s="20"/>
      <c r="AQ128" s="19"/>
      <c r="AR128" s="20"/>
      <c r="AS128" s="20"/>
      <c r="AT128" s="20"/>
      <c r="AU128" s="20"/>
      <c r="AV128" s="20"/>
      <c r="AW128" s="20"/>
      <c r="AX128" s="19"/>
      <c r="AY128" s="23"/>
      <c r="AZ128" s="8"/>
      <c r="BA128" s="8"/>
      <c r="BB128" s="8"/>
      <c r="BC128" s="8"/>
      <c r="BD128" s="8"/>
      <c r="BE128" s="14"/>
      <c r="BF128" s="34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27"/>
      <c r="BW128" s="20"/>
      <c r="BX128" s="20"/>
      <c r="BY128" s="20"/>
      <c r="BZ128" s="20"/>
      <c r="CA128" s="19"/>
      <c r="CB128" s="14"/>
      <c r="CD128" s="57"/>
      <c r="CH128" s="57"/>
      <c r="CS128" s="58"/>
    </row>
    <row r="129" spans="1:97" s="11" customFormat="1" x14ac:dyDescent="0.3">
      <c r="A129" s="24"/>
      <c r="B129" s="26"/>
      <c r="C129" s="20"/>
      <c r="D129" s="20"/>
      <c r="E129" s="20"/>
      <c r="F129" s="20"/>
      <c r="G129" s="20"/>
      <c r="H129" s="19"/>
      <c r="I129" s="27"/>
      <c r="J129" s="20"/>
      <c r="K129" s="20"/>
      <c r="L129" s="20"/>
      <c r="M129" s="20"/>
      <c r="N129" s="20"/>
      <c r="O129" s="19"/>
      <c r="P129" s="27"/>
      <c r="Q129" s="20"/>
      <c r="R129" s="20"/>
      <c r="S129" s="20"/>
      <c r="T129" s="20"/>
      <c r="U129" s="20"/>
      <c r="V129" s="19"/>
      <c r="W129" s="27"/>
      <c r="X129" s="20"/>
      <c r="Y129" s="20"/>
      <c r="Z129" s="20"/>
      <c r="AA129" s="20"/>
      <c r="AB129" s="20"/>
      <c r="AC129" s="19"/>
      <c r="AD129" s="27"/>
      <c r="AE129" s="20"/>
      <c r="AF129" s="20"/>
      <c r="AG129" s="20"/>
      <c r="AH129" s="20"/>
      <c r="AI129" s="20"/>
      <c r="AJ129" s="19"/>
      <c r="AK129" s="27"/>
      <c r="AL129" s="20"/>
      <c r="AM129" s="20"/>
      <c r="AN129" s="20"/>
      <c r="AO129" s="20"/>
      <c r="AP129" s="20"/>
      <c r="AQ129" s="19"/>
      <c r="AR129" s="20"/>
      <c r="AS129" s="20"/>
      <c r="AT129" s="20"/>
      <c r="AU129" s="20"/>
      <c r="AV129" s="20"/>
      <c r="AW129" s="20"/>
      <c r="AX129" s="19"/>
      <c r="AY129" s="23"/>
      <c r="AZ129" s="8"/>
      <c r="BA129" s="8"/>
      <c r="BB129" s="8"/>
      <c r="BC129" s="8"/>
      <c r="BD129" s="8"/>
      <c r="BE129" s="14"/>
      <c r="BF129" s="34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27"/>
      <c r="BW129" s="20"/>
      <c r="BX129" s="20"/>
      <c r="BY129" s="20"/>
      <c r="BZ129" s="20"/>
      <c r="CA129" s="19"/>
      <c r="CB129" s="14"/>
      <c r="CD129" s="57"/>
      <c r="CH129" s="57"/>
      <c r="CS129" s="58"/>
    </row>
    <row r="130" spans="1:97" s="11" customFormat="1" x14ac:dyDescent="0.3">
      <c r="A130" s="24"/>
      <c r="B130" s="26"/>
      <c r="C130" s="20"/>
      <c r="D130" s="20"/>
      <c r="E130" s="20"/>
      <c r="F130" s="20"/>
      <c r="G130" s="20"/>
      <c r="H130" s="19"/>
      <c r="I130" s="27"/>
      <c r="J130" s="20"/>
      <c r="K130" s="20"/>
      <c r="L130" s="20"/>
      <c r="M130" s="20"/>
      <c r="N130" s="20"/>
      <c r="O130" s="19"/>
      <c r="P130" s="27"/>
      <c r="Q130" s="20"/>
      <c r="R130" s="20"/>
      <c r="S130" s="20"/>
      <c r="T130" s="20"/>
      <c r="U130" s="20"/>
      <c r="V130" s="19"/>
      <c r="W130" s="27"/>
      <c r="X130" s="20"/>
      <c r="Y130" s="20"/>
      <c r="Z130" s="20"/>
      <c r="AA130" s="20"/>
      <c r="AB130" s="20"/>
      <c r="AC130" s="19"/>
      <c r="AD130" s="27"/>
      <c r="AE130" s="20"/>
      <c r="AF130" s="20"/>
      <c r="AG130" s="20"/>
      <c r="AH130" s="20"/>
      <c r="AI130" s="20"/>
      <c r="AJ130" s="19"/>
      <c r="AK130" s="27"/>
      <c r="AL130" s="20"/>
      <c r="AM130" s="20"/>
      <c r="AN130" s="20"/>
      <c r="AO130" s="20"/>
      <c r="AP130" s="20"/>
      <c r="AQ130" s="19"/>
      <c r="AR130" s="20"/>
      <c r="AS130" s="20"/>
      <c r="AT130" s="20"/>
      <c r="AU130" s="20"/>
      <c r="AV130" s="20"/>
      <c r="AW130" s="20"/>
      <c r="AX130" s="19"/>
      <c r="AY130" s="23"/>
      <c r="AZ130" s="8"/>
      <c r="BA130" s="8"/>
      <c r="BB130" s="8"/>
      <c r="BC130" s="8"/>
      <c r="BD130" s="8"/>
      <c r="BE130" s="14"/>
      <c r="BF130" s="34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27"/>
      <c r="BW130" s="20"/>
      <c r="BX130" s="20"/>
      <c r="BY130" s="20"/>
      <c r="BZ130" s="20"/>
      <c r="CA130" s="19"/>
      <c r="CB130" s="14"/>
      <c r="CD130" s="57"/>
      <c r="CH130" s="57"/>
      <c r="CS130" s="58"/>
    </row>
    <row r="131" spans="1:97" s="11" customFormat="1" x14ac:dyDescent="0.3">
      <c r="A131" s="24"/>
      <c r="B131" s="26"/>
      <c r="C131" s="20"/>
      <c r="D131" s="20"/>
      <c r="E131" s="20"/>
      <c r="F131" s="20"/>
      <c r="G131" s="20"/>
      <c r="H131" s="19"/>
      <c r="I131" s="27"/>
      <c r="J131" s="20"/>
      <c r="K131" s="20"/>
      <c r="L131" s="20"/>
      <c r="M131" s="20"/>
      <c r="N131" s="20"/>
      <c r="O131" s="19"/>
      <c r="P131" s="27"/>
      <c r="Q131" s="20"/>
      <c r="R131" s="20"/>
      <c r="S131" s="20"/>
      <c r="T131" s="20"/>
      <c r="U131" s="20"/>
      <c r="V131" s="19"/>
      <c r="W131" s="27"/>
      <c r="X131" s="20"/>
      <c r="Y131" s="20"/>
      <c r="Z131" s="20"/>
      <c r="AA131" s="20"/>
      <c r="AB131" s="20"/>
      <c r="AC131" s="19"/>
      <c r="AD131" s="27"/>
      <c r="AE131" s="20"/>
      <c r="AF131" s="20"/>
      <c r="AG131" s="20"/>
      <c r="AH131" s="20"/>
      <c r="AI131" s="20"/>
      <c r="AJ131" s="19"/>
      <c r="AK131" s="27"/>
      <c r="AL131" s="20"/>
      <c r="AM131" s="20"/>
      <c r="AN131" s="20"/>
      <c r="AO131" s="20"/>
      <c r="AP131" s="20"/>
      <c r="AQ131" s="19"/>
      <c r="AR131" s="20"/>
      <c r="AS131" s="20"/>
      <c r="AT131" s="20"/>
      <c r="AU131" s="20"/>
      <c r="AV131" s="20"/>
      <c r="AW131" s="20"/>
      <c r="AX131" s="19"/>
      <c r="AY131" s="23"/>
      <c r="AZ131" s="8"/>
      <c r="BA131" s="8"/>
      <c r="BB131" s="8"/>
      <c r="BC131" s="8"/>
      <c r="BD131" s="8"/>
      <c r="BE131" s="14"/>
      <c r="BF131" s="34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27"/>
      <c r="BW131" s="20"/>
      <c r="BX131" s="20"/>
      <c r="BY131" s="20"/>
      <c r="BZ131" s="20"/>
      <c r="CA131" s="19"/>
      <c r="CB131" s="14"/>
      <c r="CD131" s="57"/>
      <c r="CH131" s="57"/>
      <c r="CS131" s="58"/>
    </row>
    <row r="132" spans="1:97" s="11" customFormat="1" x14ac:dyDescent="0.3">
      <c r="A132" s="24"/>
      <c r="B132" s="26"/>
      <c r="C132" s="20"/>
      <c r="D132" s="20"/>
      <c r="E132" s="20"/>
      <c r="F132" s="20"/>
      <c r="G132" s="20"/>
      <c r="H132" s="19"/>
      <c r="I132" s="27"/>
      <c r="J132" s="20"/>
      <c r="K132" s="20"/>
      <c r="L132" s="20"/>
      <c r="M132" s="20"/>
      <c r="N132" s="20"/>
      <c r="O132" s="19"/>
      <c r="P132" s="27"/>
      <c r="Q132" s="20"/>
      <c r="R132" s="20"/>
      <c r="S132" s="20"/>
      <c r="T132" s="20"/>
      <c r="U132" s="20"/>
      <c r="V132" s="19"/>
      <c r="W132" s="27"/>
      <c r="X132" s="20"/>
      <c r="Y132" s="20"/>
      <c r="Z132" s="20"/>
      <c r="AA132" s="20"/>
      <c r="AB132" s="20"/>
      <c r="AC132" s="19"/>
      <c r="AD132" s="27"/>
      <c r="AE132" s="20"/>
      <c r="AF132" s="20"/>
      <c r="AG132" s="20"/>
      <c r="AH132" s="20"/>
      <c r="AI132" s="20"/>
      <c r="AJ132" s="19"/>
      <c r="AK132" s="27"/>
      <c r="AL132" s="20"/>
      <c r="AM132" s="20"/>
      <c r="AN132" s="20"/>
      <c r="AO132" s="20"/>
      <c r="AP132" s="20"/>
      <c r="AQ132" s="19"/>
      <c r="AR132" s="20"/>
      <c r="AS132" s="20"/>
      <c r="AT132" s="20"/>
      <c r="AU132" s="20"/>
      <c r="AV132" s="20"/>
      <c r="AW132" s="20"/>
      <c r="AX132" s="19"/>
      <c r="AY132" s="23"/>
      <c r="AZ132" s="8"/>
      <c r="BA132" s="8"/>
      <c r="BB132" s="8"/>
      <c r="BC132" s="8"/>
      <c r="BD132" s="8"/>
      <c r="BE132" s="14"/>
      <c r="BF132" s="34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27"/>
      <c r="BW132" s="20"/>
      <c r="BX132" s="20"/>
      <c r="BY132" s="20"/>
      <c r="BZ132" s="20"/>
      <c r="CA132" s="19"/>
      <c r="CB132" s="14"/>
      <c r="CD132" s="57"/>
      <c r="CH132" s="57"/>
      <c r="CS132" s="58"/>
    </row>
    <row r="133" spans="1:97" s="11" customFormat="1" x14ac:dyDescent="0.3">
      <c r="A133" s="24"/>
      <c r="B133" s="26"/>
      <c r="C133" s="20"/>
      <c r="D133" s="20"/>
      <c r="E133" s="20"/>
      <c r="F133" s="20"/>
      <c r="G133" s="20"/>
      <c r="H133" s="19"/>
      <c r="I133" s="27"/>
      <c r="J133" s="20"/>
      <c r="K133" s="20"/>
      <c r="L133" s="20"/>
      <c r="M133" s="20"/>
      <c r="N133" s="20"/>
      <c r="O133" s="19"/>
      <c r="P133" s="27"/>
      <c r="Q133" s="20"/>
      <c r="R133" s="20"/>
      <c r="S133" s="20"/>
      <c r="T133" s="20"/>
      <c r="U133" s="20"/>
      <c r="V133" s="19"/>
      <c r="W133" s="27"/>
      <c r="X133" s="20"/>
      <c r="Y133" s="20"/>
      <c r="Z133" s="20"/>
      <c r="AA133" s="20"/>
      <c r="AB133" s="20"/>
      <c r="AC133" s="19"/>
      <c r="AD133" s="27"/>
      <c r="AE133" s="20"/>
      <c r="AF133" s="20"/>
      <c r="AG133" s="20"/>
      <c r="AH133" s="20"/>
      <c r="AI133" s="20"/>
      <c r="AJ133" s="19"/>
      <c r="AK133" s="27"/>
      <c r="AL133" s="20"/>
      <c r="AM133" s="20"/>
      <c r="AN133" s="20"/>
      <c r="AO133" s="20"/>
      <c r="AP133" s="20"/>
      <c r="AQ133" s="19"/>
      <c r="AR133" s="20"/>
      <c r="AS133" s="20"/>
      <c r="AT133" s="20"/>
      <c r="AU133" s="20"/>
      <c r="AV133" s="20"/>
      <c r="AW133" s="20"/>
      <c r="AX133" s="19"/>
      <c r="AY133" s="23"/>
      <c r="AZ133" s="8"/>
      <c r="BA133" s="8"/>
      <c r="BB133" s="8"/>
      <c r="BC133" s="8"/>
      <c r="BD133" s="8"/>
      <c r="BE133" s="14"/>
      <c r="BF133" s="34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27"/>
      <c r="BW133" s="20"/>
      <c r="BX133" s="20"/>
      <c r="BY133" s="20"/>
      <c r="BZ133" s="20"/>
      <c r="CA133" s="19"/>
      <c r="CB133" s="14"/>
      <c r="CD133" s="57"/>
      <c r="CH133" s="57"/>
      <c r="CS133" s="58"/>
    </row>
    <row r="134" spans="1:97" s="11" customFormat="1" x14ac:dyDescent="0.3">
      <c r="A134" s="24"/>
      <c r="B134" s="37" t="s">
        <v>331</v>
      </c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22"/>
      <c r="AZ134" s="22"/>
      <c r="BA134" s="22"/>
      <c r="BB134" s="22"/>
      <c r="BC134" s="22"/>
      <c r="BD134" s="22"/>
      <c r="BE134" s="2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40"/>
      <c r="CB134" s="13"/>
      <c r="CD134" s="54"/>
      <c r="CE134" s="55"/>
      <c r="CF134" s="55"/>
      <c r="CG134" s="55"/>
      <c r="CH134" s="54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6"/>
    </row>
    <row r="135" spans="1:97" s="11" customFormat="1" x14ac:dyDescent="0.3">
      <c r="A135" s="24"/>
      <c r="B135" s="41"/>
      <c r="C135" s="42"/>
      <c r="D135" s="42"/>
      <c r="E135" s="42"/>
      <c r="F135" s="42"/>
      <c r="G135" s="42"/>
      <c r="H135" s="43"/>
      <c r="I135" s="44"/>
      <c r="J135" s="42"/>
      <c r="K135" s="42"/>
      <c r="L135" s="42"/>
      <c r="M135" s="42"/>
      <c r="N135" s="42"/>
      <c r="O135" s="43"/>
      <c r="P135" s="44"/>
      <c r="Q135" s="42"/>
      <c r="R135" s="42"/>
      <c r="S135" s="42"/>
      <c r="T135" s="42"/>
      <c r="U135" s="42"/>
      <c r="V135" s="43"/>
      <c r="W135" s="44"/>
      <c r="X135" s="42"/>
      <c r="Y135" s="42"/>
      <c r="Z135" s="42"/>
      <c r="AA135" s="42"/>
      <c r="AB135" s="42"/>
      <c r="AC135" s="43"/>
      <c r="AD135" s="44"/>
      <c r="AE135" s="42"/>
      <c r="AF135" s="42"/>
      <c r="AG135" s="42"/>
      <c r="AH135" s="42"/>
      <c r="AI135" s="42"/>
      <c r="AJ135" s="43"/>
      <c r="AK135" s="44"/>
      <c r="AL135" s="42"/>
      <c r="AM135" s="42"/>
      <c r="AN135" s="42"/>
      <c r="AO135" s="42"/>
      <c r="AP135" s="42"/>
      <c r="AQ135" s="43"/>
      <c r="AR135" s="42"/>
      <c r="AS135" s="42"/>
      <c r="AT135" s="42"/>
      <c r="AU135" s="42"/>
      <c r="AV135" s="42"/>
      <c r="AW135" s="42"/>
      <c r="AX135" s="43"/>
      <c r="AY135" s="44"/>
      <c r="AZ135" s="42"/>
      <c r="BA135" s="42"/>
      <c r="BB135" s="42"/>
      <c r="BC135" s="42"/>
      <c r="BD135" s="42"/>
      <c r="BE135" s="43"/>
      <c r="BF135" s="45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4"/>
      <c r="BW135" s="42"/>
      <c r="BX135" s="42"/>
      <c r="BY135" s="42"/>
      <c r="BZ135" s="42"/>
      <c r="CA135" s="43"/>
      <c r="CB135" s="13"/>
      <c r="CD135" s="57"/>
      <c r="CH135" s="57"/>
      <c r="CS135" s="58"/>
    </row>
    <row r="136" spans="1:97" s="11" customFormat="1" x14ac:dyDescent="0.3">
      <c r="A136" s="24"/>
      <c r="B136" s="26"/>
      <c r="C136" s="20"/>
      <c r="D136" s="20"/>
      <c r="E136" s="20"/>
      <c r="F136" s="20"/>
      <c r="G136" s="20"/>
      <c r="H136" s="19"/>
      <c r="I136" s="27"/>
      <c r="J136" s="20"/>
      <c r="K136" s="20"/>
      <c r="L136" s="20"/>
      <c r="M136" s="20"/>
      <c r="N136" s="20"/>
      <c r="O136" s="19"/>
      <c r="P136" s="27"/>
      <c r="Q136" s="20"/>
      <c r="R136" s="20"/>
      <c r="S136" s="20"/>
      <c r="T136" s="20"/>
      <c r="U136" s="20"/>
      <c r="V136" s="19"/>
      <c r="W136" s="27"/>
      <c r="X136" s="20"/>
      <c r="Y136" s="20"/>
      <c r="Z136" s="20"/>
      <c r="AA136" s="20"/>
      <c r="AB136" s="20"/>
      <c r="AC136" s="19"/>
      <c r="AD136" s="27"/>
      <c r="AE136" s="20"/>
      <c r="AF136" s="20"/>
      <c r="AG136" s="20"/>
      <c r="AH136" s="20"/>
      <c r="AI136" s="20"/>
      <c r="AJ136" s="19"/>
      <c r="AK136" s="27"/>
      <c r="AL136" s="20"/>
      <c r="AM136" s="20"/>
      <c r="AN136" s="20"/>
      <c r="AO136" s="20"/>
      <c r="AP136" s="20"/>
      <c r="AQ136" s="19"/>
      <c r="AR136" s="20"/>
      <c r="AS136" s="20"/>
      <c r="AT136" s="20"/>
      <c r="AU136" s="20"/>
      <c r="AV136" s="20"/>
      <c r="AW136" s="20"/>
      <c r="AX136" s="19"/>
      <c r="AY136" s="27"/>
      <c r="AZ136" s="20"/>
      <c r="BA136" s="20"/>
      <c r="BB136" s="20"/>
      <c r="BC136" s="20"/>
      <c r="BD136" s="20"/>
      <c r="BE136" s="19"/>
      <c r="BF136" s="34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27"/>
      <c r="BW136" s="20"/>
      <c r="BX136" s="20"/>
      <c r="BY136" s="20"/>
      <c r="BZ136" s="20"/>
      <c r="CA136" s="19"/>
      <c r="CB136" s="13"/>
      <c r="CD136" s="57"/>
      <c r="CH136" s="57"/>
      <c r="CS136" s="58"/>
    </row>
    <row r="137" spans="1:97" s="11" customFormat="1" x14ac:dyDescent="0.3">
      <c r="A137" s="24"/>
      <c r="B137" s="26"/>
      <c r="C137" s="20"/>
      <c r="D137" s="20"/>
      <c r="E137" s="20"/>
      <c r="F137" s="20"/>
      <c r="G137" s="20"/>
      <c r="H137" s="19"/>
      <c r="I137" s="27"/>
      <c r="J137" s="20"/>
      <c r="K137" s="20"/>
      <c r="L137" s="20"/>
      <c r="M137" s="20"/>
      <c r="N137" s="20"/>
      <c r="O137" s="19"/>
      <c r="P137" s="27"/>
      <c r="Q137" s="20"/>
      <c r="R137" s="20"/>
      <c r="S137" s="20"/>
      <c r="T137" s="20"/>
      <c r="U137" s="20"/>
      <c r="V137" s="19"/>
      <c r="W137" s="27"/>
      <c r="X137" s="20"/>
      <c r="Y137" s="20"/>
      <c r="Z137" s="20"/>
      <c r="AA137" s="20"/>
      <c r="AB137" s="20"/>
      <c r="AC137" s="19"/>
      <c r="AD137" s="27"/>
      <c r="AE137" s="20"/>
      <c r="AF137" s="20"/>
      <c r="AG137" s="20"/>
      <c r="AH137" s="20"/>
      <c r="AI137" s="20"/>
      <c r="AJ137" s="19"/>
      <c r="AK137" s="27"/>
      <c r="AL137" s="20"/>
      <c r="AM137" s="20"/>
      <c r="AN137" s="20"/>
      <c r="AO137" s="20"/>
      <c r="AP137" s="20"/>
      <c r="AQ137" s="19"/>
      <c r="AR137" s="20"/>
      <c r="AS137" s="20"/>
      <c r="AT137" s="20"/>
      <c r="AU137" s="20"/>
      <c r="AV137" s="20"/>
      <c r="AW137" s="20"/>
      <c r="AX137" s="19"/>
      <c r="AY137" s="27"/>
      <c r="AZ137" s="20"/>
      <c r="BA137" s="20"/>
      <c r="BB137" s="20"/>
      <c r="BC137" s="20"/>
      <c r="BD137" s="20"/>
      <c r="BE137" s="19"/>
      <c r="BF137" s="34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27"/>
      <c r="BW137" s="20"/>
      <c r="BX137" s="20"/>
      <c r="BY137" s="20"/>
      <c r="BZ137" s="20"/>
      <c r="CA137" s="19"/>
      <c r="CB137" s="13"/>
      <c r="CD137" s="57"/>
      <c r="CH137" s="57"/>
      <c r="CS137" s="58"/>
    </row>
    <row r="138" spans="1:97" s="11" customFormat="1" x14ac:dyDescent="0.3">
      <c r="A138" s="24"/>
      <c r="B138" s="26"/>
      <c r="C138" s="20"/>
      <c r="D138" s="20"/>
      <c r="E138" s="20"/>
      <c r="F138" s="20"/>
      <c r="G138" s="20"/>
      <c r="H138" s="19"/>
      <c r="I138" s="27"/>
      <c r="J138" s="20"/>
      <c r="K138" s="20"/>
      <c r="L138" s="20"/>
      <c r="M138" s="20"/>
      <c r="N138" s="20"/>
      <c r="O138" s="19"/>
      <c r="P138" s="27"/>
      <c r="Q138" s="20"/>
      <c r="R138" s="20"/>
      <c r="S138" s="20"/>
      <c r="T138" s="20"/>
      <c r="U138" s="20"/>
      <c r="V138" s="19"/>
      <c r="W138" s="27"/>
      <c r="X138" s="20"/>
      <c r="Y138" s="20"/>
      <c r="Z138" s="20"/>
      <c r="AA138" s="20"/>
      <c r="AB138" s="20"/>
      <c r="AC138" s="19"/>
      <c r="AD138" s="27"/>
      <c r="AE138" s="20"/>
      <c r="AF138" s="20"/>
      <c r="AG138" s="20"/>
      <c r="AH138" s="20"/>
      <c r="AI138" s="20"/>
      <c r="AJ138" s="19"/>
      <c r="AK138" s="27"/>
      <c r="AL138" s="20"/>
      <c r="AM138" s="20"/>
      <c r="AN138" s="20"/>
      <c r="AO138" s="20"/>
      <c r="AP138" s="20"/>
      <c r="AQ138" s="19"/>
      <c r="AR138" s="20"/>
      <c r="AS138" s="20"/>
      <c r="AT138" s="20"/>
      <c r="AU138" s="20"/>
      <c r="AV138" s="20"/>
      <c r="AW138" s="20"/>
      <c r="AX138" s="19"/>
      <c r="AY138" s="27"/>
      <c r="AZ138" s="20"/>
      <c r="BA138" s="20"/>
      <c r="BB138" s="20"/>
      <c r="BC138" s="20"/>
      <c r="BD138" s="20"/>
      <c r="BE138" s="19"/>
      <c r="BF138" s="34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27"/>
      <c r="BW138" s="20"/>
      <c r="BX138" s="20"/>
      <c r="BY138" s="20"/>
      <c r="BZ138" s="20"/>
      <c r="CA138" s="19"/>
      <c r="CB138" s="13"/>
      <c r="CD138" s="57"/>
      <c r="CH138" s="57"/>
      <c r="CS138" s="58"/>
    </row>
    <row r="139" spans="1:97" s="11" customFormat="1" x14ac:dyDescent="0.3">
      <c r="A139" s="24"/>
      <c r="B139" s="26"/>
      <c r="C139" s="20"/>
      <c r="D139" s="20"/>
      <c r="E139" s="20"/>
      <c r="F139" s="20"/>
      <c r="G139" s="20"/>
      <c r="H139" s="19"/>
      <c r="I139" s="27"/>
      <c r="J139" s="20"/>
      <c r="K139" s="20"/>
      <c r="L139" s="20"/>
      <c r="M139" s="20"/>
      <c r="N139" s="20"/>
      <c r="O139" s="19"/>
      <c r="P139" s="27"/>
      <c r="Q139" s="20"/>
      <c r="R139" s="20"/>
      <c r="S139" s="20"/>
      <c r="T139" s="20"/>
      <c r="U139" s="20"/>
      <c r="V139" s="19"/>
      <c r="W139" s="27"/>
      <c r="X139" s="20"/>
      <c r="Y139" s="20"/>
      <c r="Z139" s="20"/>
      <c r="AA139" s="20"/>
      <c r="AB139" s="20"/>
      <c r="AC139" s="19"/>
      <c r="AD139" s="27"/>
      <c r="AE139" s="20"/>
      <c r="AF139" s="20"/>
      <c r="AG139" s="20"/>
      <c r="AH139" s="20"/>
      <c r="AI139" s="20"/>
      <c r="AJ139" s="19"/>
      <c r="AK139" s="27"/>
      <c r="AL139" s="20"/>
      <c r="AM139" s="20"/>
      <c r="AN139" s="20"/>
      <c r="AO139" s="20"/>
      <c r="AP139" s="20"/>
      <c r="AQ139" s="19"/>
      <c r="AR139" s="20"/>
      <c r="AS139" s="20"/>
      <c r="AT139" s="20"/>
      <c r="AU139" s="20"/>
      <c r="AV139" s="20"/>
      <c r="AW139" s="20"/>
      <c r="AX139" s="19"/>
      <c r="AY139" s="27"/>
      <c r="AZ139" s="20"/>
      <c r="BA139" s="20"/>
      <c r="BB139" s="20"/>
      <c r="BC139" s="20"/>
      <c r="BD139" s="20"/>
      <c r="BE139" s="19"/>
      <c r="BF139" s="34"/>
      <c r="BG139" s="21" t="s">
        <v>332</v>
      </c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27"/>
      <c r="BW139" s="20"/>
      <c r="BX139" s="20"/>
      <c r="BY139" s="20"/>
      <c r="BZ139" s="20"/>
      <c r="CA139" s="19"/>
      <c r="CB139" s="13"/>
      <c r="CD139" s="57"/>
      <c r="CH139" s="87" t="s">
        <v>316</v>
      </c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9"/>
    </row>
    <row r="140" spans="1:97" s="11" customFormat="1" x14ac:dyDescent="0.3">
      <c r="A140" s="24"/>
      <c r="B140" s="26"/>
      <c r="C140" s="20"/>
      <c r="D140" s="20"/>
      <c r="E140" s="20"/>
      <c r="F140" s="20"/>
      <c r="G140" s="20"/>
      <c r="H140" s="19"/>
      <c r="I140" s="27"/>
      <c r="J140" s="20"/>
      <c r="K140" s="20"/>
      <c r="L140" s="20"/>
      <c r="M140" s="20"/>
      <c r="N140" s="20"/>
      <c r="O140" s="19"/>
      <c r="P140" s="27"/>
      <c r="Q140" s="20"/>
      <c r="R140" s="20"/>
      <c r="S140" s="20"/>
      <c r="T140" s="20"/>
      <c r="U140" s="20"/>
      <c r="V140" s="19"/>
      <c r="W140" s="27"/>
      <c r="X140" s="20"/>
      <c r="Y140" s="20"/>
      <c r="Z140" s="20"/>
      <c r="AA140" s="20"/>
      <c r="AB140" s="20"/>
      <c r="AC140" s="19"/>
      <c r="AD140" s="27"/>
      <c r="AE140" s="20"/>
      <c r="AF140" s="20"/>
      <c r="AG140" s="20"/>
      <c r="AH140" s="20"/>
      <c r="AI140" s="20"/>
      <c r="AJ140" s="19"/>
      <c r="AK140" s="27"/>
      <c r="AL140" s="20"/>
      <c r="AM140" s="20"/>
      <c r="AN140" s="20"/>
      <c r="AO140" s="20"/>
      <c r="AP140" s="20"/>
      <c r="AQ140" s="19"/>
      <c r="AR140" s="20"/>
      <c r="AS140" s="20"/>
      <c r="AT140" s="20"/>
      <c r="AU140" s="20"/>
      <c r="AV140" s="20"/>
      <c r="AW140" s="20"/>
      <c r="AX140" s="19"/>
      <c r="AY140" s="27"/>
      <c r="AZ140" s="20"/>
      <c r="BA140" s="20"/>
      <c r="BB140" s="20"/>
      <c r="BC140" s="20"/>
      <c r="BD140" s="20"/>
      <c r="BE140" s="19"/>
      <c r="BF140" s="34"/>
      <c r="BH140" s="8" t="s">
        <v>333</v>
      </c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27"/>
      <c r="BW140" s="20"/>
      <c r="BX140" s="20"/>
      <c r="BY140" s="20"/>
      <c r="BZ140" s="20"/>
      <c r="CA140" s="19"/>
      <c r="CB140" s="13"/>
      <c r="CD140" s="57"/>
      <c r="CH140" s="87"/>
      <c r="CI140" s="88" t="s">
        <v>334</v>
      </c>
      <c r="CJ140" s="88"/>
      <c r="CK140" s="88"/>
      <c r="CL140" s="88"/>
      <c r="CM140" s="88"/>
      <c r="CN140" s="88"/>
      <c r="CO140" s="88"/>
      <c r="CP140" s="88"/>
      <c r="CQ140" s="88"/>
      <c r="CR140" s="88"/>
      <c r="CS140" s="89"/>
    </row>
    <row r="141" spans="1:97" s="11" customFormat="1" x14ac:dyDescent="0.3">
      <c r="A141" s="24"/>
      <c r="B141" s="26"/>
      <c r="C141" s="20"/>
      <c r="D141" s="20"/>
      <c r="E141" s="20"/>
      <c r="F141" s="20"/>
      <c r="G141" s="20"/>
      <c r="H141" s="19"/>
      <c r="I141" s="27"/>
      <c r="J141" s="20"/>
      <c r="K141" s="20"/>
      <c r="L141" s="20"/>
      <c r="M141" s="20"/>
      <c r="N141" s="20"/>
      <c r="O141" s="19"/>
      <c r="P141" s="27"/>
      <c r="Q141" s="20"/>
      <c r="R141" s="20"/>
      <c r="S141" s="20"/>
      <c r="T141" s="20"/>
      <c r="U141" s="20"/>
      <c r="V141" s="19"/>
      <c r="W141" s="27"/>
      <c r="X141" s="20"/>
      <c r="Y141" s="20"/>
      <c r="Z141" s="20"/>
      <c r="AA141" s="20"/>
      <c r="AB141" s="20"/>
      <c r="AC141" s="19"/>
      <c r="AD141" s="27"/>
      <c r="AE141" s="20"/>
      <c r="AF141" s="20"/>
      <c r="AG141" s="20"/>
      <c r="AH141" s="20"/>
      <c r="AI141" s="20"/>
      <c r="AJ141" s="19"/>
      <c r="AK141" s="27"/>
      <c r="AL141" s="20"/>
      <c r="AM141" s="20"/>
      <c r="AN141" s="20"/>
      <c r="AO141" s="20"/>
      <c r="AP141" s="20"/>
      <c r="AQ141" s="19"/>
      <c r="AR141" s="20"/>
      <c r="AS141" s="20"/>
      <c r="AT141" s="20"/>
      <c r="AU141" s="20"/>
      <c r="AV141" s="20"/>
      <c r="AW141" s="20"/>
      <c r="AX141" s="19"/>
      <c r="AY141" s="27"/>
      <c r="AZ141" s="20"/>
      <c r="BA141" s="20"/>
      <c r="BB141" s="20"/>
      <c r="BC141" s="20"/>
      <c r="BD141" s="20"/>
      <c r="BE141" s="19"/>
      <c r="BF141" s="34"/>
      <c r="BG141" s="8"/>
      <c r="BI141" s="8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27"/>
      <c r="BW141" s="20"/>
      <c r="BX141" s="20"/>
      <c r="BY141" s="20"/>
      <c r="BZ141" s="20"/>
      <c r="CA141" s="19"/>
      <c r="CB141" s="13"/>
      <c r="CD141" s="57"/>
      <c r="CH141" s="87"/>
      <c r="CI141" s="88" t="s">
        <v>335</v>
      </c>
      <c r="CJ141" s="88"/>
      <c r="CK141" s="88"/>
      <c r="CL141" s="88"/>
      <c r="CM141" s="88"/>
      <c r="CN141" s="88"/>
      <c r="CO141" s="88"/>
      <c r="CP141" s="88"/>
      <c r="CQ141" s="88"/>
      <c r="CR141" s="88"/>
      <c r="CS141" s="89"/>
    </row>
    <row r="142" spans="1:97" s="11" customFormat="1" x14ac:dyDescent="0.3">
      <c r="A142" s="24"/>
      <c r="B142" s="26"/>
      <c r="C142" s="20"/>
      <c r="D142" s="20"/>
      <c r="E142" s="20"/>
      <c r="F142" s="20"/>
      <c r="G142" s="20"/>
      <c r="H142" s="19"/>
      <c r="I142" s="27"/>
      <c r="J142" s="20"/>
      <c r="K142" s="20"/>
      <c r="L142" s="20"/>
      <c r="M142" s="20"/>
      <c r="N142" s="20"/>
      <c r="O142" s="19"/>
      <c r="P142" s="27"/>
      <c r="Q142" s="20"/>
      <c r="R142" s="20"/>
      <c r="S142" s="20"/>
      <c r="T142" s="20"/>
      <c r="U142" s="20"/>
      <c r="V142" s="19"/>
      <c r="W142" s="27"/>
      <c r="X142" s="20"/>
      <c r="Y142" s="20"/>
      <c r="Z142" s="20"/>
      <c r="AA142" s="20"/>
      <c r="AB142" s="20"/>
      <c r="AC142" s="19"/>
      <c r="AD142" s="27"/>
      <c r="AE142" s="20"/>
      <c r="AF142" s="20"/>
      <c r="AG142" s="20"/>
      <c r="AH142" s="20"/>
      <c r="AI142" s="20"/>
      <c r="AJ142" s="19"/>
      <c r="AK142" s="27"/>
      <c r="AL142" s="20"/>
      <c r="AM142" s="20"/>
      <c r="AN142" s="20"/>
      <c r="AO142" s="20"/>
      <c r="AP142" s="20"/>
      <c r="AQ142" s="19"/>
      <c r="AR142" s="20"/>
      <c r="AS142" s="20"/>
      <c r="AT142" s="20"/>
      <c r="AU142" s="20"/>
      <c r="AV142" s="20"/>
      <c r="AW142" s="20"/>
      <c r="AX142" s="19"/>
      <c r="AY142" s="27"/>
      <c r="AZ142" s="20"/>
      <c r="BA142" s="20"/>
      <c r="BB142" s="20"/>
      <c r="BC142" s="20"/>
      <c r="BD142" s="20"/>
      <c r="BE142" s="19"/>
      <c r="BF142" s="34"/>
      <c r="BG142" s="17"/>
      <c r="BH142" s="8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27"/>
      <c r="BW142" s="20"/>
      <c r="BX142" s="20"/>
      <c r="BY142" s="20"/>
      <c r="BZ142" s="20"/>
      <c r="CA142" s="19"/>
      <c r="CB142" s="13"/>
      <c r="CD142" s="57"/>
      <c r="CH142" s="87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9"/>
    </row>
    <row r="143" spans="1:97" s="11" customFormat="1" x14ac:dyDescent="0.3">
      <c r="A143" s="24"/>
      <c r="B143" s="26"/>
      <c r="C143" s="20"/>
      <c r="D143" s="20"/>
      <c r="E143" s="20"/>
      <c r="F143" s="20"/>
      <c r="G143" s="20"/>
      <c r="H143" s="19"/>
      <c r="I143" s="27"/>
      <c r="J143" s="20"/>
      <c r="K143" s="20"/>
      <c r="L143" s="20"/>
      <c r="M143" s="20"/>
      <c r="N143" s="20"/>
      <c r="O143" s="19"/>
      <c r="P143" s="27"/>
      <c r="Q143" s="20"/>
      <c r="R143" s="20"/>
      <c r="S143" s="20"/>
      <c r="T143" s="20"/>
      <c r="U143" s="20"/>
      <c r="V143" s="19"/>
      <c r="W143" s="27"/>
      <c r="X143" s="20"/>
      <c r="Y143" s="20"/>
      <c r="Z143" s="20"/>
      <c r="AA143" s="20"/>
      <c r="AB143" s="20"/>
      <c r="AC143" s="19"/>
      <c r="AD143" s="27"/>
      <c r="AE143" s="20"/>
      <c r="AF143" s="20"/>
      <c r="AG143" s="20"/>
      <c r="AH143" s="20"/>
      <c r="AI143" s="20"/>
      <c r="AJ143" s="19"/>
      <c r="AK143" s="27"/>
      <c r="AL143" s="20"/>
      <c r="AM143" s="20"/>
      <c r="AN143" s="20"/>
      <c r="AO143" s="20"/>
      <c r="AP143" s="20"/>
      <c r="AQ143" s="19"/>
      <c r="AR143" s="20"/>
      <c r="AS143" s="20"/>
      <c r="AT143" s="20"/>
      <c r="AU143" s="20"/>
      <c r="AV143" s="20"/>
      <c r="AW143" s="20"/>
      <c r="AX143" s="19"/>
      <c r="AY143" s="27"/>
      <c r="AZ143" s="20"/>
      <c r="BA143" s="20"/>
      <c r="BB143" s="20"/>
      <c r="BC143" s="20"/>
      <c r="BD143" s="20"/>
      <c r="BE143" s="19"/>
      <c r="BF143" s="34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27"/>
      <c r="BW143" s="20"/>
      <c r="BX143" s="20"/>
      <c r="BY143" s="20"/>
      <c r="BZ143" s="20"/>
      <c r="CA143" s="19"/>
      <c r="CB143" s="13"/>
      <c r="CD143" s="57"/>
      <c r="CH143" s="57"/>
      <c r="CS143" s="58"/>
    </row>
    <row r="144" spans="1:97" s="11" customFormat="1" ht="13.5" customHeight="1" x14ac:dyDescent="0.3">
      <c r="A144" s="24"/>
      <c r="B144" s="26"/>
      <c r="C144" s="20"/>
      <c r="D144" s="20"/>
      <c r="E144" s="20"/>
      <c r="F144" s="20"/>
      <c r="G144" s="20"/>
      <c r="H144" s="19"/>
      <c r="I144" s="27"/>
      <c r="J144" s="20"/>
      <c r="K144" s="20"/>
      <c r="L144" s="20"/>
      <c r="M144" s="20"/>
      <c r="N144" s="20"/>
      <c r="O144" s="19"/>
      <c r="P144" s="27"/>
      <c r="Q144" s="20"/>
      <c r="R144" s="20"/>
      <c r="S144" s="20"/>
      <c r="T144" s="20"/>
      <c r="U144" s="20"/>
      <c r="V144" s="19"/>
      <c r="W144" s="27"/>
      <c r="X144" s="20"/>
      <c r="Y144" s="20"/>
      <c r="Z144" s="20"/>
      <c r="AA144" s="20"/>
      <c r="AB144" s="20"/>
      <c r="AC144" s="19"/>
      <c r="AD144" s="27"/>
      <c r="AE144" s="20"/>
      <c r="AF144" s="20"/>
      <c r="AG144" s="20"/>
      <c r="AH144" s="20"/>
      <c r="AI144" s="20"/>
      <c r="AJ144" s="19"/>
      <c r="AK144" s="27"/>
      <c r="AL144" s="20"/>
      <c r="AM144" s="20"/>
      <c r="AN144" s="20"/>
      <c r="AO144" s="20"/>
      <c r="AP144" s="20"/>
      <c r="AQ144" s="19"/>
      <c r="AR144" s="20"/>
      <c r="AS144" s="20"/>
      <c r="AT144" s="20"/>
      <c r="AU144" s="20"/>
      <c r="AV144" s="20"/>
      <c r="AW144" s="20"/>
      <c r="AX144" s="19"/>
      <c r="AY144" s="27"/>
      <c r="AZ144" s="20"/>
      <c r="BA144" s="20"/>
      <c r="BB144" s="20"/>
      <c r="BC144" s="20"/>
      <c r="BD144" s="20"/>
      <c r="BE144" s="19"/>
      <c r="BF144" s="34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27"/>
      <c r="BW144" s="20"/>
      <c r="BX144" s="20"/>
      <c r="BY144" s="20"/>
      <c r="BZ144" s="20"/>
      <c r="CA144" s="19"/>
      <c r="CB144" s="13"/>
      <c r="CD144" s="57"/>
      <c r="CH144" s="68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  <c r="CS144" s="70"/>
    </row>
    <row r="145" spans="1:97" s="11" customFormat="1" x14ac:dyDescent="0.3">
      <c r="A145" s="24"/>
      <c r="B145" s="26"/>
      <c r="C145" s="20"/>
      <c r="D145" s="20"/>
      <c r="E145" s="20"/>
      <c r="F145" s="20"/>
      <c r="G145" s="20"/>
      <c r="H145" s="19"/>
      <c r="I145" s="27"/>
      <c r="J145" s="20"/>
      <c r="K145" s="20"/>
      <c r="L145" s="20"/>
      <c r="M145" s="20"/>
      <c r="N145" s="20"/>
      <c r="O145" s="19"/>
      <c r="P145" s="27"/>
      <c r="Q145" s="20"/>
      <c r="R145" s="20"/>
      <c r="S145" s="20"/>
      <c r="T145" s="20"/>
      <c r="U145" s="20"/>
      <c r="V145" s="19"/>
      <c r="W145" s="27"/>
      <c r="X145" s="20"/>
      <c r="Y145" s="20"/>
      <c r="Z145" s="20"/>
      <c r="AA145" s="20"/>
      <c r="AB145" s="20"/>
      <c r="AC145" s="19"/>
      <c r="AD145" s="27"/>
      <c r="AE145" s="20"/>
      <c r="AF145" s="20"/>
      <c r="AG145" s="20"/>
      <c r="AH145" s="20"/>
      <c r="AI145" s="20"/>
      <c r="AJ145" s="19"/>
      <c r="AK145" s="27"/>
      <c r="AL145" s="20"/>
      <c r="AM145" s="20"/>
      <c r="AN145" s="20"/>
      <c r="AO145" s="20"/>
      <c r="AP145" s="20"/>
      <c r="AQ145" s="19"/>
      <c r="AR145" s="20"/>
      <c r="AS145" s="20"/>
      <c r="AT145" s="20"/>
      <c r="AU145" s="20"/>
      <c r="AV145" s="20"/>
      <c r="AW145" s="20"/>
      <c r="AX145" s="19"/>
      <c r="AY145" s="27"/>
      <c r="AZ145" s="20"/>
      <c r="BA145" s="20"/>
      <c r="BB145" s="20"/>
      <c r="BC145" s="20"/>
      <c r="BD145" s="20"/>
      <c r="BE145" s="19"/>
      <c r="BF145" s="34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27"/>
      <c r="BW145" s="20"/>
      <c r="BX145" s="20"/>
      <c r="BY145" s="20"/>
      <c r="BZ145" s="20"/>
      <c r="CA145" s="19"/>
      <c r="CB145" s="13"/>
      <c r="CD145" s="57"/>
      <c r="CH145" s="242"/>
      <c r="CI145" s="243"/>
      <c r="CJ145" s="243"/>
      <c r="CK145" s="243"/>
      <c r="CL145" s="243"/>
      <c r="CM145" s="243"/>
      <c r="CN145" s="243"/>
      <c r="CO145" s="243"/>
      <c r="CP145" s="243"/>
      <c r="CQ145" s="243"/>
      <c r="CR145" s="243"/>
      <c r="CS145" s="244"/>
    </row>
    <row r="146" spans="1:97" s="11" customFormat="1" x14ac:dyDescent="0.3">
      <c r="A146" s="24"/>
      <c r="B146" s="26"/>
      <c r="C146" s="20"/>
      <c r="D146" s="20"/>
      <c r="E146" s="20"/>
      <c r="F146" s="20"/>
      <c r="G146" s="20"/>
      <c r="H146" s="19"/>
      <c r="I146" s="27"/>
      <c r="J146" s="20"/>
      <c r="K146" s="20"/>
      <c r="L146" s="20"/>
      <c r="M146" s="20"/>
      <c r="N146" s="20"/>
      <c r="O146" s="19"/>
      <c r="P146" s="27"/>
      <c r="Q146" s="20"/>
      <c r="R146" s="20"/>
      <c r="S146" s="20"/>
      <c r="T146" s="20"/>
      <c r="U146" s="20"/>
      <c r="V146" s="19"/>
      <c r="W146" s="27"/>
      <c r="X146" s="20"/>
      <c r="Y146" s="20"/>
      <c r="Z146" s="20"/>
      <c r="AA146" s="20"/>
      <c r="AB146" s="20"/>
      <c r="AC146" s="19"/>
      <c r="AD146" s="27"/>
      <c r="AE146" s="20"/>
      <c r="AF146" s="20"/>
      <c r="AG146" s="20"/>
      <c r="AH146" s="20"/>
      <c r="AI146" s="20"/>
      <c r="AJ146" s="19"/>
      <c r="AK146" s="27"/>
      <c r="AL146" s="20"/>
      <c r="AM146" s="20"/>
      <c r="AN146" s="20"/>
      <c r="AO146" s="20"/>
      <c r="AP146" s="20"/>
      <c r="AQ146" s="19"/>
      <c r="AR146" s="20"/>
      <c r="AS146" s="20"/>
      <c r="AT146" s="20"/>
      <c r="AU146" s="20"/>
      <c r="AV146" s="20"/>
      <c r="AW146" s="20"/>
      <c r="AX146" s="19"/>
      <c r="AY146" s="27"/>
      <c r="AZ146" s="20"/>
      <c r="BA146" s="20"/>
      <c r="BB146" s="20"/>
      <c r="BC146" s="20"/>
      <c r="BD146" s="20"/>
      <c r="BE146" s="19"/>
      <c r="BF146" s="34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27"/>
      <c r="BW146" s="20"/>
      <c r="BX146" s="20"/>
      <c r="BY146" s="20"/>
      <c r="BZ146" s="20"/>
      <c r="CA146" s="19"/>
      <c r="CB146" s="13"/>
      <c r="CD146" s="57"/>
      <c r="CH146" s="57"/>
      <c r="CS146" s="58"/>
    </row>
    <row r="147" spans="1:97" s="11" customFormat="1" x14ac:dyDescent="0.3">
      <c r="A147" s="24"/>
      <c r="B147" s="26"/>
      <c r="C147" s="20"/>
      <c r="D147" s="20"/>
      <c r="E147" s="20"/>
      <c r="F147" s="20"/>
      <c r="G147" s="20"/>
      <c r="H147" s="19"/>
      <c r="I147" s="27"/>
      <c r="J147" s="20"/>
      <c r="K147" s="20"/>
      <c r="L147" s="20"/>
      <c r="M147" s="20"/>
      <c r="N147" s="20"/>
      <c r="O147" s="19"/>
      <c r="P147" s="27"/>
      <c r="Q147" s="20"/>
      <c r="R147" s="20"/>
      <c r="S147" s="20"/>
      <c r="T147" s="20"/>
      <c r="U147" s="20"/>
      <c r="V147" s="19"/>
      <c r="W147" s="27"/>
      <c r="X147" s="20"/>
      <c r="Y147" s="20"/>
      <c r="Z147" s="20"/>
      <c r="AA147" s="20"/>
      <c r="AB147" s="20"/>
      <c r="AC147" s="19"/>
      <c r="AD147" s="27"/>
      <c r="AE147" s="20"/>
      <c r="AF147" s="20"/>
      <c r="AG147" s="20"/>
      <c r="AH147" s="20"/>
      <c r="AI147" s="20"/>
      <c r="AJ147" s="19"/>
      <c r="AK147" s="27"/>
      <c r="AL147" s="20"/>
      <c r="AM147" s="20"/>
      <c r="AN147" s="20"/>
      <c r="AO147" s="20"/>
      <c r="AP147" s="20"/>
      <c r="AQ147" s="19"/>
      <c r="AR147" s="20"/>
      <c r="AS147" s="20"/>
      <c r="AT147" s="20"/>
      <c r="AU147" s="20"/>
      <c r="AV147" s="20"/>
      <c r="AW147" s="20"/>
      <c r="AX147" s="19"/>
      <c r="AY147" s="27"/>
      <c r="AZ147" s="20"/>
      <c r="BA147" s="20"/>
      <c r="BB147" s="20"/>
      <c r="BC147" s="20"/>
      <c r="BD147" s="20"/>
      <c r="BE147" s="19"/>
      <c r="BF147" s="34"/>
      <c r="BG147" s="21" t="s">
        <v>312</v>
      </c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27"/>
      <c r="BW147" s="20"/>
      <c r="BX147" s="20"/>
      <c r="BY147" s="20"/>
      <c r="BZ147" s="20"/>
      <c r="CA147" s="19"/>
      <c r="CB147" s="13"/>
      <c r="CD147" s="57"/>
      <c r="CH147" s="57"/>
      <c r="CS147" s="58"/>
    </row>
    <row r="148" spans="1:97" s="11" customFormat="1" x14ac:dyDescent="0.3">
      <c r="A148" s="24"/>
      <c r="B148" s="26"/>
      <c r="C148" s="20"/>
      <c r="D148" s="20"/>
      <c r="E148" s="20"/>
      <c r="F148" s="20"/>
      <c r="G148" s="20"/>
      <c r="H148" s="19"/>
      <c r="I148" s="27"/>
      <c r="J148" s="20"/>
      <c r="K148" s="20"/>
      <c r="L148" s="20"/>
      <c r="M148" s="20"/>
      <c r="N148" s="20"/>
      <c r="O148" s="19"/>
      <c r="P148" s="27"/>
      <c r="Q148" s="20"/>
      <c r="R148" s="20"/>
      <c r="S148" s="20"/>
      <c r="T148" s="20"/>
      <c r="U148" s="20"/>
      <c r="V148" s="19"/>
      <c r="W148" s="27"/>
      <c r="X148" s="20"/>
      <c r="Y148" s="20"/>
      <c r="Z148" s="20"/>
      <c r="AA148" s="20"/>
      <c r="AB148" s="20"/>
      <c r="AC148" s="19"/>
      <c r="AD148" s="27"/>
      <c r="AE148" s="20"/>
      <c r="AF148" s="20"/>
      <c r="AG148" s="20"/>
      <c r="AH148" s="20"/>
      <c r="AI148" s="20"/>
      <c r="AJ148" s="19"/>
      <c r="AK148" s="27"/>
      <c r="AL148" s="20"/>
      <c r="AM148" s="20"/>
      <c r="AN148" s="20"/>
      <c r="AO148" s="20"/>
      <c r="AP148" s="20"/>
      <c r="AQ148" s="19"/>
      <c r="AR148" s="20"/>
      <c r="AS148" s="20"/>
      <c r="AT148" s="20"/>
      <c r="AU148" s="20"/>
      <c r="AV148" s="20"/>
      <c r="AW148" s="20"/>
      <c r="AX148" s="19"/>
      <c r="AY148" s="29"/>
      <c r="AZ148"/>
      <c r="BA148"/>
      <c r="BB148"/>
      <c r="BC148"/>
      <c r="BD148"/>
      <c r="BE148" s="18"/>
      <c r="BF148" s="34"/>
      <c r="BH148" s="8" t="s">
        <v>330</v>
      </c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27"/>
      <c r="BW148" s="20"/>
      <c r="BX148" s="20"/>
      <c r="BY148" s="20"/>
      <c r="BZ148" s="20"/>
      <c r="CA148" s="19"/>
      <c r="CB148" s="13"/>
      <c r="CD148" s="57"/>
      <c r="CH148" s="57"/>
      <c r="CS148" s="58"/>
    </row>
    <row r="149" spans="1:97" s="11" customFormat="1" x14ac:dyDescent="0.3">
      <c r="A149" s="24"/>
      <c r="B149" s="26"/>
      <c r="C149" s="20"/>
      <c r="D149" s="20"/>
      <c r="E149" s="20"/>
      <c r="F149" s="20"/>
      <c r="G149" s="20"/>
      <c r="H149" s="19"/>
      <c r="I149" s="27"/>
      <c r="J149" s="20"/>
      <c r="K149" s="20"/>
      <c r="L149" s="20"/>
      <c r="M149" s="20"/>
      <c r="N149" s="20"/>
      <c r="O149" s="19"/>
      <c r="P149" s="27"/>
      <c r="Q149" s="20"/>
      <c r="R149" s="20"/>
      <c r="S149" s="20"/>
      <c r="T149" s="20"/>
      <c r="U149" s="20"/>
      <c r="V149" s="19"/>
      <c r="W149" s="27"/>
      <c r="X149" s="20"/>
      <c r="Y149" s="20"/>
      <c r="Z149" s="20"/>
      <c r="AA149" s="20"/>
      <c r="AB149" s="20"/>
      <c r="AC149" s="19"/>
      <c r="AD149" s="27"/>
      <c r="AE149" s="20"/>
      <c r="AF149" s="20"/>
      <c r="AG149" s="20"/>
      <c r="AH149" s="20"/>
      <c r="AI149" s="20"/>
      <c r="AJ149" s="19"/>
      <c r="AK149" s="27"/>
      <c r="AL149" s="20"/>
      <c r="AM149" s="20"/>
      <c r="AN149" s="20"/>
      <c r="AO149" s="20"/>
      <c r="AP149" s="20"/>
      <c r="AQ149" s="19"/>
      <c r="AR149" s="20"/>
      <c r="AS149" s="20"/>
      <c r="AT149" s="20"/>
      <c r="AU149" s="20"/>
      <c r="AV149" s="20"/>
      <c r="AW149" s="20"/>
      <c r="AX149" s="19"/>
      <c r="AY149" s="30"/>
      <c r="BE149" s="13"/>
      <c r="BF149" s="34"/>
      <c r="BG149" s="21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27"/>
      <c r="BW149" s="20"/>
      <c r="BX149" s="20"/>
      <c r="BY149" s="20"/>
      <c r="BZ149" s="20"/>
      <c r="CA149" s="19"/>
      <c r="CB149" s="13"/>
      <c r="CD149" s="57"/>
      <c r="CH149" s="57"/>
      <c r="CS149" s="58"/>
    </row>
    <row r="150" spans="1:97" s="11" customFormat="1" x14ac:dyDescent="0.3">
      <c r="A150" s="24"/>
      <c r="B150" s="26"/>
      <c r="C150" s="20"/>
      <c r="D150" s="20"/>
      <c r="E150" s="20"/>
      <c r="F150" s="20"/>
      <c r="G150" s="20"/>
      <c r="H150" s="19"/>
      <c r="I150" s="27"/>
      <c r="J150" s="20"/>
      <c r="K150" s="20"/>
      <c r="L150" s="20"/>
      <c r="M150" s="20"/>
      <c r="N150" s="20"/>
      <c r="O150" s="19"/>
      <c r="P150" s="27"/>
      <c r="Q150" s="20"/>
      <c r="R150" s="20"/>
      <c r="S150" s="20"/>
      <c r="T150" s="20"/>
      <c r="U150" s="20"/>
      <c r="V150" s="19"/>
      <c r="W150" s="27"/>
      <c r="X150" s="20"/>
      <c r="Y150" s="20"/>
      <c r="Z150" s="20"/>
      <c r="AA150" s="20"/>
      <c r="AB150" s="20"/>
      <c r="AC150" s="19"/>
      <c r="AD150" s="27"/>
      <c r="AE150" s="20"/>
      <c r="AF150" s="20"/>
      <c r="AG150" s="20"/>
      <c r="AH150" s="20"/>
      <c r="AI150" s="20"/>
      <c r="AJ150" s="19"/>
      <c r="AK150" s="27"/>
      <c r="AL150" s="20"/>
      <c r="AM150" s="20"/>
      <c r="AN150" s="20"/>
      <c r="AO150" s="20"/>
      <c r="AP150" s="20"/>
      <c r="AQ150" s="19"/>
      <c r="AR150" s="20"/>
      <c r="AS150" s="20"/>
      <c r="AT150" s="20"/>
      <c r="AU150" s="20"/>
      <c r="AV150" s="20"/>
      <c r="AW150" s="20"/>
      <c r="AX150" s="19"/>
      <c r="AY150" s="23"/>
      <c r="AZ150" s="8"/>
      <c r="BA150" s="8"/>
      <c r="BB150" s="8"/>
      <c r="BC150" s="8"/>
      <c r="BD150" s="8"/>
      <c r="BE150" s="14"/>
      <c r="BF150" s="34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27"/>
      <c r="BW150" s="20"/>
      <c r="BX150" s="20"/>
      <c r="BY150" s="20"/>
      <c r="BZ150" s="20"/>
      <c r="CA150" s="19"/>
      <c r="CB150" s="14"/>
      <c r="CD150" s="57"/>
      <c r="CH150" s="57"/>
      <c r="CS150" s="58"/>
    </row>
    <row r="151" spans="1:97" s="11" customFormat="1" x14ac:dyDescent="0.3">
      <c r="A151" s="24"/>
      <c r="B151" s="26"/>
      <c r="C151" s="20"/>
      <c r="D151" s="20"/>
      <c r="E151" s="20"/>
      <c r="F151" s="20"/>
      <c r="G151" s="20"/>
      <c r="H151" s="19"/>
      <c r="I151" s="27"/>
      <c r="J151" s="20"/>
      <c r="K151" s="20"/>
      <c r="L151" s="20"/>
      <c r="M151" s="20"/>
      <c r="N151" s="20"/>
      <c r="O151" s="19"/>
      <c r="P151" s="27"/>
      <c r="Q151" s="20"/>
      <c r="R151" s="20"/>
      <c r="S151" s="20"/>
      <c r="T151" s="20"/>
      <c r="U151" s="20"/>
      <c r="V151" s="19"/>
      <c r="W151" s="27"/>
      <c r="X151" s="20"/>
      <c r="Y151" s="20"/>
      <c r="Z151" s="20"/>
      <c r="AA151" s="20"/>
      <c r="AB151" s="20"/>
      <c r="AC151" s="19"/>
      <c r="AD151" s="27"/>
      <c r="AE151" s="20"/>
      <c r="AF151" s="20"/>
      <c r="AG151" s="20"/>
      <c r="AH151" s="20"/>
      <c r="AI151" s="20"/>
      <c r="AJ151" s="19"/>
      <c r="AK151" s="27"/>
      <c r="AL151" s="20"/>
      <c r="AM151" s="20"/>
      <c r="AN151" s="20"/>
      <c r="AO151" s="20"/>
      <c r="AP151" s="20"/>
      <c r="AQ151" s="19"/>
      <c r="AR151" s="20"/>
      <c r="AS151" s="20"/>
      <c r="AT151" s="20"/>
      <c r="AU151" s="20"/>
      <c r="AV151" s="20"/>
      <c r="AW151" s="20"/>
      <c r="AX151" s="19"/>
      <c r="AY151" s="23"/>
      <c r="AZ151" s="8"/>
      <c r="BA151" s="8"/>
      <c r="BB151" s="8"/>
      <c r="BC151" s="8"/>
      <c r="BD151" s="8"/>
      <c r="BE151" s="14"/>
      <c r="BF151" s="34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27"/>
      <c r="BW151" s="20"/>
      <c r="BX151" s="20"/>
      <c r="BY151" s="20"/>
      <c r="BZ151" s="20"/>
      <c r="CA151" s="19"/>
      <c r="CB151" s="14"/>
      <c r="CD151" s="57"/>
      <c r="CH151" s="57"/>
      <c r="CS151" s="58"/>
    </row>
    <row r="152" spans="1:97" s="11" customFormat="1" x14ac:dyDescent="0.3">
      <c r="A152" s="24"/>
      <c r="B152" s="26"/>
      <c r="C152" s="20"/>
      <c r="D152" s="20"/>
      <c r="E152" s="20"/>
      <c r="F152" s="20"/>
      <c r="G152" s="20"/>
      <c r="H152" s="19"/>
      <c r="I152" s="27"/>
      <c r="J152" s="20"/>
      <c r="K152" s="20"/>
      <c r="L152" s="20"/>
      <c r="M152" s="20"/>
      <c r="N152" s="20"/>
      <c r="O152" s="19"/>
      <c r="P152" s="27"/>
      <c r="Q152" s="20"/>
      <c r="R152" s="20"/>
      <c r="S152" s="20"/>
      <c r="T152" s="20"/>
      <c r="U152" s="20"/>
      <c r="V152" s="19"/>
      <c r="W152" s="27"/>
      <c r="X152" s="20"/>
      <c r="Y152" s="20"/>
      <c r="Z152" s="20"/>
      <c r="AA152" s="20"/>
      <c r="AB152" s="20"/>
      <c r="AC152" s="19"/>
      <c r="AD152" s="27"/>
      <c r="AE152" s="20"/>
      <c r="AF152" s="20"/>
      <c r="AG152" s="20"/>
      <c r="AH152" s="20"/>
      <c r="AI152" s="20"/>
      <c r="AJ152" s="19"/>
      <c r="AK152" s="27"/>
      <c r="AL152" s="20"/>
      <c r="AM152" s="20"/>
      <c r="AN152" s="20"/>
      <c r="AO152" s="20"/>
      <c r="AP152" s="20"/>
      <c r="AQ152" s="19"/>
      <c r="AR152" s="20"/>
      <c r="AS152" s="20"/>
      <c r="AT152" s="20"/>
      <c r="AU152" s="20"/>
      <c r="AV152" s="20"/>
      <c r="AW152" s="20"/>
      <c r="AX152" s="19"/>
      <c r="AY152" s="23"/>
      <c r="AZ152" s="8"/>
      <c r="BA152" s="8"/>
      <c r="BB152" s="8"/>
      <c r="BC152" s="8"/>
      <c r="BD152" s="8"/>
      <c r="BE152" s="14"/>
      <c r="BF152" s="34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27"/>
      <c r="BW152" s="20"/>
      <c r="BX152" s="20"/>
      <c r="BY152" s="20"/>
      <c r="BZ152" s="20"/>
      <c r="CA152" s="19"/>
      <c r="CB152" s="14"/>
      <c r="CD152" s="57"/>
      <c r="CH152" s="57"/>
      <c r="CS152" s="58"/>
    </row>
    <row r="153" spans="1:97" s="11" customFormat="1" x14ac:dyDescent="0.3">
      <c r="A153" s="24"/>
      <c r="B153" s="26"/>
      <c r="C153" s="20"/>
      <c r="D153" s="20"/>
      <c r="E153" s="20"/>
      <c r="F153" s="20"/>
      <c r="G153" s="20"/>
      <c r="H153" s="19"/>
      <c r="I153" s="27"/>
      <c r="J153" s="20"/>
      <c r="K153" s="20"/>
      <c r="L153" s="20"/>
      <c r="M153" s="20"/>
      <c r="N153" s="20"/>
      <c r="O153" s="19"/>
      <c r="P153" s="27"/>
      <c r="Q153" s="20"/>
      <c r="R153" s="20"/>
      <c r="S153" s="20"/>
      <c r="T153" s="20"/>
      <c r="U153" s="20"/>
      <c r="V153" s="19"/>
      <c r="W153" s="27"/>
      <c r="X153" s="20"/>
      <c r="Y153" s="20"/>
      <c r="Z153" s="20"/>
      <c r="AA153" s="20"/>
      <c r="AB153" s="20"/>
      <c r="AC153" s="19"/>
      <c r="AD153" s="27"/>
      <c r="AE153" s="20"/>
      <c r="AF153" s="20"/>
      <c r="AG153" s="20"/>
      <c r="AH153" s="20"/>
      <c r="AI153" s="20"/>
      <c r="AJ153" s="19"/>
      <c r="AK153" s="27"/>
      <c r="AL153" s="20"/>
      <c r="AM153" s="20"/>
      <c r="AN153" s="20"/>
      <c r="AO153" s="20"/>
      <c r="AP153" s="20"/>
      <c r="AQ153" s="19"/>
      <c r="AR153" s="20"/>
      <c r="AS153" s="20"/>
      <c r="AT153" s="20"/>
      <c r="AU153" s="20"/>
      <c r="AV153" s="20"/>
      <c r="AW153" s="20"/>
      <c r="AX153" s="19"/>
      <c r="AY153" s="23"/>
      <c r="AZ153" s="8"/>
      <c r="BA153" s="8"/>
      <c r="BB153" s="8"/>
      <c r="BC153" s="8"/>
      <c r="BD153" s="8"/>
      <c r="BE153" s="14"/>
      <c r="BF153" s="34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27"/>
      <c r="BW153" s="20"/>
      <c r="BX153" s="20"/>
      <c r="BY153" s="20"/>
      <c r="BZ153" s="20"/>
      <c r="CA153" s="19"/>
      <c r="CB153" s="14"/>
      <c r="CD153" s="57"/>
      <c r="CH153" s="57"/>
      <c r="CS153" s="58"/>
    </row>
    <row r="154" spans="1:97" s="11" customFormat="1" x14ac:dyDescent="0.3">
      <c r="A154" s="24"/>
      <c r="B154" s="26"/>
      <c r="C154" s="20"/>
      <c r="D154" s="20"/>
      <c r="E154" s="20"/>
      <c r="F154" s="20"/>
      <c r="G154" s="20"/>
      <c r="H154" s="19"/>
      <c r="I154" s="27"/>
      <c r="J154" s="20"/>
      <c r="K154" s="20"/>
      <c r="L154" s="20"/>
      <c r="M154" s="20"/>
      <c r="N154" s="20"/>
      <c r="O154" s="19"/>
      <c r="P154" s="27"/>
      <c r="Q154" s="20"/>
      <c r="R154" s="20"/>
      <c r="S154" s="20"/>
      <c r="T154" s="20"/>
      <c r="U154" s="20"/>
      <c r="V154" s="19"/>
      <c r="W154" s="27"/>
      <c r="X154" s="20"/>
      <c r="Y154" s="20"/>
      <c r="Z154" s="20"/>
      <c r="AA154" s="20"/>
      <c r="AB154" s="20"/>
      <c r="AC154" s="19"/>
      <c r="AD154" s="27"/>
      <c r="AE154" s="20"/>
      <c r="AF154" s="20"/>
      <c r="AG154" s="20"/>
      <c r="AH154" s="20"/>
      <c r="AI154" s="20"/>
      <c r="AJ154" s="19"/>
      <c r="AK154" s="27"/>
      <c r="AL154" s="20"/>
      <c r="AM154" s="20"/>
      <c r="AN154" s="20"/>
      <c r="AO154" s="20"/>
      <c r="AP154" s="20"/>
      <c r="AQ154" s="19"/>
      <c r="AR154" s="20"/>
      <c r="AS154" s="20"/>
      <c r="AT154" s="20"/>
      <c r="AU154" s="20"/>
      <c r="AV154" s="20"/>
      <c r="AW154" s="20"/>
      <c r="AX154" s="19"/>
      <c r="AY154" s="23"/>
      <c r="AZ154" s="8"/>
      <c r="BA154" s="8"/>
      <c r="BB154" s="8"/>
      <c r="BC154" s="8"/>
      <c r="BD154" s="8"/>
      <c r="BE154" s="14"/>
      <c r="BF154" s="34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27"/>
      <c r="BW154" s="20"/>
      <c r="BX154" s="20"/>
      <c r="BY154" s="20"/>
      <c r="BZ154" s="20"/>
      <c r="CA154" s="19"/>
      <c r="CB154" s="14"/>
      <c r="CD154" s="57"/>
      <c r="CH154" s="57"/>
      <c r="CS154" s="58"/>
    </row>
    <row r="155" spans="1:97" s="11" customFormat="1" x14ac:dyDescent="0.3">
      <c r="A155" s="24"/>
      <c r="B155" s="26"/>
      <c r="C155" s="20"/>
      <c r="D155" s="20"/>
      <c r="E155" s="20"/>
      <c r="F155" s="20"/>
      <c r="G155" s="20"/>
      <c r="H155" s="19"/>
      <c r="I155" s="27"/>
      <c r="J155" s="20"/>
      <c r="K155" s="20"/>
      <c r="L155" s="20"/>
      <c r="M155" s="20"/>
      <c r="N155" s="20"/>
      <c r="O155" s="19"/>
      <c r="P155" s="27"/>
      <c r="Q155" s="20"/>
      <c r="R155" s="20"/>
      <c r="S155" s="20"/>
      <c r="T155" s="20"/>
      <c r="U155" s="20"/>
      <c r="V155" s="19"/>
      <c r="W155" s="27"/>
      <c r="X155" s="20"/>
      <c r="Y155" s="20"/>
      <c r="Z155" s="20"/>
      <c r="AA155" s="20"/>
      <c r="AB155" s="20"/>
      <c r="AC155" s="19"/>
      <c r="AD155" s="27"/>
      <c r="AE155" s="20"/>
      <c r="AF155" s="20"/>
      <c r="AG155" s="20"/>
      <c r="AH155" s="20"/>
      <c r="AI155" s="20"/>
      <c r="AJ155" s="19"/>
      <c r="AK155" s="27"/>
      <c r="AL155" s="20"/>
      <c r="AM155" s="20"/>
      <c r="AN155" s="20"/>
      <c r="AO155" s="20"/>
      <c r="AP155" s="20"/>
      <c r="AQ155" s="19"/>
      <c r="AR155" s="20"/>
      <c r="AS155" s="20"/>
      <c r="AT155" s="20"/>
      <c r="AU155" s="20"/>
      <c r="AV155" s="20"/>
      <c r="AW155" s="20"/>
      <c r="AX155" s="19"/>
      <c r="AY155" s="23"/>
      <c r="AZ155" s="8"/>
      <c r="BA155" s="8"/>
      <c r="BB155" s="8"/>
      <c r="BC155" s="8"/>
      <c r="BD155" s="8"/>
      <c r="BE155" s="14"/>
      <c r="BF155" s="34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27"/>
      <c r="BW155" s="20"/>
      <c r="BX155" s="20"/>
      <c r="BY155" s="20"/>
      <c r="BZ155" s="20"/>
      <c r="CA155" s="19"/>
      <c r="CB155" s="14"/>
      <c r="CD155" s="57"/>
      <c r="CH155" s="57"/>
      <c r="CS155" s="58"/>
    </row>
    <row r="156" spans="1:97" s="11" customFormat="1" x14ac:dyDescent="0.3">
      <c r="A156" s="24"/>
      <c r="B156" s="28"/>
      <c r="C156" s="12"/>
      <c r="D156" s="12"/>
      <c r="E156" s="12"/>
      <c r="F156" s="12"/>
      <c r="G156" s="12"/>
      <c r="H156" s="18"/>
      <c r="I156" s="30"/>
      <c r="O156" s="13"/>
      <c r="P156" s="30"/>
      <c r="V156" s="13"/>
      <c r="W156" s="30"/>
      <c r="AC156" s="13"/>
      <c r="AD156" s="30"/>
      <c r="AJ156" s="13"/>
      <c r="AK156" s="30"/>
      <c r="AQ156" s="13"/>
      <c r="AX156" s="18"/>
      <c r="AY156" s="23"/>
      <c r="AZ156" s="8"/>
      <c r="BA156" s="8"/>
      <c r="BB156" s="8"/>
      <c r="BC156" s="8"/>
      <c r="BD156" s="8"/>
      <c r="BE156" s="14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V156" s="30"/>
      <c r="CA156" s="13"/>
      <c r="CB156" s="14"/>
      <c r="CD156" s="57"/>
      <c r="CH156" s="57"/>
      <c r="CS156" s="58"/>
    </row>
    <row r="157" spans="1:97" x14ac:dyDescent="0.3">
      <c r="A157" s="23"/>
      <c r="B157" s="23"/>
      <c r="H157" s="14"/>
      <c r="I157" s="23"/>
      <c r="O157" s="14"/>
      <c r="P157" s="23"/>
      <c r="V157" s="14"/>
      <c r="W157" s="23"/>
      <c r="AC157" s="14"/>
      <c r="AD157" s="23"/>
      <c r="AJ157" s="14"/>
      <c r="AK157" s="23"/>
      <c r="AQ157" s="14"/>
      <c r="AX157" s="18"/>
      <c r="AY157" s="23"/>
      <c r="BE157" s="14"/>
      <c r="BF157" s="30"/>
      <c r="BG157" s="11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1"/>
      <c r="BU157" s="11"/>
      <c r="BV157" s="23"/>
      <c r="CA157" s="14"/>
      <c r="CB157" s="14"/>
      <c r="CD157" s="59"/>
      <c r="CH157" s="59"/>
      <c r="CS157" s="60"/>
    </row>
    <row r="158" spans="1:97" s="11" customFormat="1" x14ac:dyDescent="0.3">
      <c r="A158" s="24"/>
      <c r="B158" s="37" t="s">
        <v>336</v>
      </c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22"/>
      <c r="AZ158" s="22"/>
      <c r="BA158" s="22"/>
      <c r="BB158" s="22"/>
      <c r="BC158" s="22"/>
      <c r="BD158" s="22"/>
      <c r="BE158" s="2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40"/>
      <c r="CB158" s="13"/>
      <c r="CD158" s="54"/>
      <c r="CE158" s="55"/>
      <c r="CF158" s="55"/>
      <c r="CG158" s="55"/>
      <c r="CH158" s="54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6"/>
    </row>
    <row r="159" spans="1:97" x14ac:dyDescent="0.3">
      <c r="A159" s="23"/>
      <c r="B159" s="23"/>
      <c r="H159" s="14"/>
      <c r="I159" s="23"/>
      <c r="O159" s="14"/>
      <c r="P159" s="23"/>
      <c r="V159" s="14"/>
      <c r="W159" s="23"/>
      <c r="AC159" s="14"/>
      <c r="AD159" s="23"/>
      <c r="AJ159" s="14"/>
      <c r="AK159" s="23"/>
      <c r="AQ159" s="14"/>
      <c r="AX159" s="18"/>
      <c r="AY159" s="23"/>
      <c r="BE159" s="14"/>
      <c r="BF159" s="30"/>
      <c r="BG159" s="11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U159" s="11"/>
      <c r="BV159" s="23"/>
      <c r="CA159" s="14"/>
      <c r="CB159" s="14"/>
      <c r="CD159" s="59"/>
      <c r="CH159" s="59"/>
      <c r="CS159" s="60"/>
    </row>
    <row r="160" spans="1:97" x14ac:dyDescent="0.3">
      <c r="A160" s="23"/>
      <c r="B160" s="23"/>
      <c r="H160" s="14"/>
      <c r="I160" s="23"/>
      <c r="O160" s="14"/>
      <c r="P160" s="23"/>
      <c r="V160" s="14"/>
      <c r="W160" s="23"/>
      <c r="AC160" s="14"/>
      <c r="AD160" s="23"/>
      <c r="AJ160" s="14"/>
      <c r="AK160" s="23"/>
      <c r="AQ160" s="14"/>
      <c r="AX160" s="18"/>
      <c r="AY160" s="23"/>
      <c r="BE160" s="14"/>
      <c r="BF160" s="30"/>
      <c r="BG160" s="11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U160" s="11"/>
      <c r="BV160" s="23"/>
      <c r="CA160" s="14"/>
      <c r="CB160" s="14"/>
      <c r="CD160" s="59"/>
      <c r="CH160" s="59"/>
      <c r="CS160" s="60"/>
    </row>
    <row r="161" spans="1:97" x14ac:dyDescent="0.3">
      <c r="A161" s="23"/>
      <c r="B161" s="23"/>
      <c r="H161" s="14"/>
      <c r="I161" s="23"/>
      <c r="O161" s="14"/>
      <c r="P161" s="23"/>
      <c r="V161" s="14"/>
      <c r="W161" s="23"/>
      <c r="AC161" s="14"/>
      <c r="AD161" s="23"/>
      <c r="AJ161" s="14"/>
      <c r="AK161" s="23"/>
      <c r="AQ161" s="14"/>
      <c r="AX161" s="18"/>
      <c r="AY161" s="23"/>
      <c r="BE161" s="14"/>
      <c r="BF161" s="30"/>
      <c r="BG161" s="11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U161" s="11"/>
      <c r="BV161" s="23"/>
      <c r="CA161" s="14"/>
      <c r="CB161" s="14"/>
      <c r="CD161" s="59"/>
      <c r="CH161" s="59"/>
      <c r="CS161" s="60"/>
    </row>
    <row r="162" spans="1:97" x14ac:dyDescent="0.3">
      <c r="A162" s="23"/>
      <c r="B162" s="23"/>
      <c r="H162" s="14"/>
      <c r="I162" s="23"/>
      <c r="O162" s="14"/>
      <c r="P162" s="23"/>
      <c r="V162" s="14"/>
      <c r="W162" s="23"/>
      <c r="AC162" s="14"/>
      <c r="AD162" s="23"/>
      <c r="AJ162" s="14"/>
      <c r="AK162" s="23"/>
      <c r="AQ162" s="14"/>
      <c r="AX162" s="18"/>
      <c r="AY162" s="23"/>
      <c r="BE162" s="14"/>
      <c r="BF162" s="23"/>
      <c r="BG162" s="11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V162" s="23"/>
      <c r="CA162" s="14"/>
      <c r="CB162" s="14"/>
      <c r="CD162" s="59"/>
      <c r="CH162" s="59"/>
      <c r="CS162" s="60"/>
    </row>
    <row r="163" spans="1:97" x14ac:dyDescent="0.3">
      <c r="A163" s="23"/>
      <c r="B163" s="23"/>
      <c r="H163" s="14"/>
      <c r="I163" s="23"/>
      <c r="O163" s="14"/>
      <c r="P163" s="23"/>
      <c r="V163" s="14"/>
      <c r="W163" s="23"/>
      <c r="AC163" s="14"/>
      <c r="AD163" s="23"/>
      <c r="AJ163" s="14"/>
      <c r="AK163" s="23"/>
      <c r="AQ163" s="14"/>
      <c r="AX163" s="18"/>
      <c r="AY163" s="23"/>
      <c r="BE163" s="14"/>
      <c r="BF163" s="23"/>
      <c r="BG163" s="21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V163" s="23"/>
      <c r="CA163" s="14"/>
      <c r="CB163" s="14"/>
      <c r="CD163" s="59"/>
      <c r="CH163" s="59"/>
      <c r="CS163" s="60"/>
    </row>
    <row r="164" spans="1:97" x14ac:dyDescent="0.3">
      <c r="A164" s="23"/>
      <c r="B164" s="23"/>
      <c r="H164" s="14"/>
      <c r="I164" s="23"/>
      <c r="O164" s="14"/>
      <c r="P164" s="23"/>
      <c r="V164" s="14"/>
      <c r="W164" s="23"/>
      <c r="AC164" s="14"/>
      <c r="AD164" s="23"/>
      <c r="AJ164" s="14"/>
      <c r="AK164" s="23"/>
      <c r="AQ164" s="14"/>
      <c r="AX164" s="18"/>
      <c r="AY164" s="23"/>
      <c r="BE164" s="14"/>
      <c r="BF164" s="23"/>
      <c r="BG164" s="21" t="s">
        <v>337</v>
      </c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V164" s="23"/>
      <c r="CA164" s="14"/>
      <c r="CB164" s="14"/>
      <c r="CD164" s="59"/>
      <c r="CH164" s="59"/>
      <c r="CS164" s="60"/>
    </row>
    <row r="165" spans="1:97" x14ac:dyDescent="0.3">
      <c r="A165" s="23"/>
      <c r="B165" s="23"/>
      <c r="H165" s="14"/>
      <c r="I165" s="23"/>
      <c r="O165" s="14"/>
      <c r="P165" s="23"/>
      <c r="V165" s="14"/>
      <c r="W165" s="23"/>
      <c r="AC165" s="14"/>
      <c r="AD165" s="23"/>
      <c r="AJ165" s="14"/>
      <c r="AK165" s="23"/>
      <c r="AQ165" s="14"/>
      <c r="AX165" s="18"/>
      <c r="AY165" s="23"/>
      <c r="BE165" s="14"/>
      <c r="BF165" s="23"/>
      <c r="BG165" s="17"/>
      <c r="BH165" s="17" t="s">
        <v>338</v>
      </c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V165" s="23"/>
      <c r="CA165" s="14"/>
      <c r="CB165" s="14"/>
      <c r="CD165" s="59"/>
      <c r="CH165" s="59"/>
      <c r="CS165" s="60"/>
    </row>
    <row r="166" spans="1:97" x14ac:dyDescent="0.3">
      <c r="A166" s="23"/>
      <c r="B166" s="23"/>
      <c r="H166" s="14"/>
      <c r="I166" s="23"/>
      <c r="O166" s="14"/>
      <c r="P166" s="23"/>
      <c r="V166" s="14"/>
      <c r="W166" s="23"/>
      <c r="AC166" s="14"/>
      <c r="AD166" s="23"/>
      <c r="AJ166" s="14"/>
      <c r="AK166" s="23"/>
      <c r="AQ166" s="14"/>
      <c r="AX166" s="18"/>
      <c r="AY166" s="23"/>
      <c r="BE166" s="14"/>
      <c r="BF166" s="23"/>
      <c r="BG166" s="21"/>
      <c r="BH166" s="17" t="s">
        <v>339</v>
      </c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V166" s="23"/>
      <c r="CA166" s="14"/>
      <c r="CB166" s="14"/>
      <c r="CD166" s="59"/>
      <c r="CH166" s="59"/>
      <c r="CS166" s="60"/>
    </row>
    <row r="167" spans="1:97" x14ac:dyDescent="0.3">
      <c r="A167" s="23"/>
      <c r="B167" s="23"/>
      <c r="H167" s="14"/>
      <c r="I167" s="23"/>
      <c r="O167" s="14"/>
      <c r="P167" s="23"/>
      <c r="V167" s="14"/>
      <c r="W167" s="23"/>
      <c r="AC167" s="14"/>
      <c r="AD167" s="23"/>
      <c r="AJ167" s="14"/>
      <c r="AK167" s="23"/>
      <c r="AQ167" s="14"/>
      <c r="AX167" s="18"/>
      <c r="AY167" s="23"/>
      <c r="BE167" s="14"/>
      <c r="BF167" s="23"/>
      <c r="BG167" s="11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V167" s="23"/>
      <c r="CA167" s="14"/>
      <c r="CB167" s="14"/>
      <c r="CD167" s="59"/>
      <c r="CH167" s="59"/>
      <c r="CS167" s="60"/>
    </row>
    <row r="168" spans="1:97" x14ac:dyDescent="0.3">
      <c r="A168" s="23"/>
      <c r="B168" s="23"/>
      <c r="H168" s="14"/>
      <c r="I168" s="23"/>
      <c r="O168" s="14"/>
      <c r="P168" s="23"/>
      <c r="V168" s="14"/>
      <c r="W168" s="23"/>
      <c r="AC168" s="14"/>
      <c r="AD168" s="23"/>
      <c r="AJ168" s="14"/>
      <c r="AK168" s="23"/>
      <c r="AQ168" s="14"/>
      <c r="AX168" s="18"/>
      <c r="AY168" s="23"/>
      <c r="BE168" s="14"/>
      <c r="BF168" s="23"/>
      <c r="BG168" s="11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V168" s="23"/>
      <c r="CA168" s="14"/>
      <c r="CB168" s="14"/>
      <c r="CD168" s="59"/>
      <c r="CH168" s="59"/>
      <c r="CS168" s="60"/>
    </row>
    <row r="169" spans="1:97" x14ac:dyDescent="0.3">
      <c r="A169" s="23"/>
      <c r="B169" s="23"/>
      <c r="H169" s="14"/>
      <c r="I169" s="23"/>
      <c r="O169" s="14"/>
      <c r="P169" s="23"/>
      <c r="V169" s="14"/>
      <c r="W169" s="23"/>
      <c r="AC169" s="14"/>
      <c r="AD169" s="23"/>
      <c r="AJ169" s="14"/>
      <c r="AK169" s="23"/>
      <c r="AQ169" s="14"/>
      <c r="AX169" s="18"/>
      <c r="AY169" s="23"/>
      <c r="BE169" s="14"/>
      <c r="BF169" s="23"/>
      <c r="BG169" s="21" t="s">
        <v>340</v>
      </c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V169" s="23"/>
      <c r="CA169" s="14"/>
      <c r="CB169" s="14"/>
      <c r="CD169" s="59"/>
      <c r="CH169" s="59"/>
      <c r="CS169" s="60"/>
    </row>
    <row r="170" spans="1:97" x14ac:dyDescent="0.3">
      <c r="A170" s="23"/>
      <c r="B170" s="23"/>
      <c r="H170" s="14"/>
      <c r="I170" s="23"/>
      <c r="O170" s="14"/>
      <c r="P170" s="23"/>
      <c r="V170" s="14"/>
      <c r="W170" s="23"/>
      <c r="AC170" s="14"/>
      <c r="AD170" s="23"/>
      <c r="AJ170" s="14"/>
      <c r="AK170" s="23"/>
      <c r="AQ170" s="14"/>
      <c r="AX170" s="18"/>
      <c r="AY170" s="23"/>
      <c r="BE170" s="14"/>
      <c r="BF170" s="23"/>
      <c r="BG170" s="17"/>
      <c r="BH170" s="17" t="s">
        <v>341</v>
      </c>
      <c r="BI170" s="17"/>
      <c r="BJ170" s="17"/>
      <c r="BK170" s="17"/>
      <c r="BL170" s="17"/>
      <c r="BM170" s="17"/>
      <c r="BN170" s="17"/>
      <c r="BO170" s="17"/>
      <c r="BP170" s="17"/>
      <c r="BV170" s="23"/>
      <c r="CA170" s="14"/>
      <c r="CB170" s="14"/>
      <c r="CD170" s="59"/>
      <c r="CH170" s="59"/>
      <c r="CS170" s="60"/>
    </row>
    <row r="171" spans="1:97" x14ac:dyDescent="0.3">
      <c r="A171" s="23"/>
      <c r="B171" s="23"/>
      <c r="H171" s="14"/>
      <c r="I171" s="23"/>
      <c r="O171" s="14"/>
      <c r="P171" s="23"/>
      <c r="V171" s="14"/>
      <c r="W171" s="23"/>
      <c r="AC171" s="14"/>
      <c r="AD171" s="23"/>
      <c r="AJ171" s="14"/>
      <c r="AK171" s="23"/>
      <c r="AQ171" s="14"/>
      <c r="AX171" s="18"/>
      <c r="AY171" s="23"/>
      <c r="BE171" s="14"/>
      <c r="BF171" s="23"/>
      <c r="BG171" s="21"/>
      <c r="BH171" s="17"/>
      <c r="BI171" s="17"/>
      <c r="BJ171" s="17"/>
      <c r="BK171" s="17"/>
      <c r="BL171" s="17"/>
      <c r="BM171" s="17"/>
      <c r="BN171" s="17"/>
      <c r="BO171" s="17"/>
      <c r="BP171" s="17"/>
      <c r="BV171" s="23"/>
      <c r="CA171" s="14"/>
      <c r="CB171" s="14"/>
      <c r="CD171" s="59"/>
      <c r="CH171" s="59"/>
      <c r="CS171" s="60"/>
    </row>
    <row r="172" spans="1:97" x14ac:dyDescent="0.3">
      <c r="A172" s="23"/>
      <c r="B172" s="23"/>
      <c r="H172" s="14"/>
      <c r="I172" s="23"/>
      <c r="O172" s="14"/>
      <c r="P172" s="23"/>
      <c r="V172" s="14"/>
      <c r="W172" s="23"/>
      <c r="AC172" s="14"/>
      <c r="AD172" s="23"/>
      <c r="AJ172" s="14"/>
      <c r="AK172" s="23"/>
      <c r="AQ172" s="14"/>
      <c r="AX172" s="18"/>
      <c r="AY172" s="23"/>
      <c r="BE172" s="14"/>
      <c r="BF172" s="23"/>
      <c r="BG172" s="16"/>
      <c r="BH172" s="11"/>
      <c r="BI172" s="11"/>
      <c r="BJ172" s="11"/>
      <c r="BP172" s="11"/>
      <c r="BV172" s="23"/>
      <c r="CA172" s="14"/>
      <c r="CB172" s="14"/>
      <c r="CD172" s="59"/>
      <c r="CH172" s="59"/>
      <c r="CS172" s="60"/>
    </row>
    <row r="173" spans="1:97" x14ac:dyDescent="0.3">
      <c r="A173" s="23"/>
      <c r="B173" s="23"/>
      <c r="H173" s="14"/>
      <c r="I173" s="23"/>
      <c r="O173" s="14"/>
      <c r="P173" s="23"/>
      <c r="V173" s="14"/>
      <c r="W173" s="23"/>
      <c r="AC173" s="14"/>
      <c r="AD173" s="23"/>
      <c r="AJ173" s="14"/>
      <c r="AK173" s="23"/>
      <c r="AQ173" s="14"/>
      <c r="AX173" s="18"/>
      <c r="AY173" s="23"/>
      <c r="BE173" s="14"/>
      <c r="BF173" s="23"/>
      <c r="BG173" s="11"/>
      <c r="BH173" s="11"/>
      <c r="BI173" s="11"/>
      <c r="BJ173" s="11"/>
      <c r="BP173" s="11"/>
      <c r="BV173" s="23"/>
      <c r="CA173" s="14"/>
      <c r="CB173" s="14"/>
      <c r="CD173" s="59"/>
      <c r="CH173" s="59"/>
      <c r="CS173" s="60"/>
    </row>
    <row r="174" spans="1:97" x14ac:dyDescent="0.3">
      <c r="A174" s="23"/>
      <c r="B174" s="23"/>
      <c r="H174" s="14"/>
      <c r="I174" s="23"/>
      <c r="O174" s="14"/>
      <c r="P174" s="23"/>
      <c r="V174" s="14"/>
      <c r="W174" s="23"/>
      <c r="AC174" s="14"/>
      <c r="AD174" s="23"/>
      <c r="AJ174" s="14"/>
      <c r="AK174" s="23"/>
      <c r="AQ174" s="14"/>
      <c r="AX174" s="18"/>
      <c r="AY174" s="23"/>
      <c r="BE174" s="14"/>
      <c r="BF174" s="23"/>
      <c r="BV174" s="23"/>
      <c r="CA174" s="14"/>
      <c r="CB174" s="14"/>
      <c r="CD174" s="59"/>
      <c r="CH174" s="59"/>
      <c r="CS174" s="60"/>
    </row>
    <row r="175" spans="1:97" x14ac:dyDescent="0.3">
      <c r="A175" s="23"/>
      <c r="B175" s="23"/>
      <c r="H175" s="14"/>
      <c r="I175" s="23"/>
      <c r="O175" s="14"/>
      <c r="P175" s="23"/>
      <c r="V175" s="14"/>
      <c r="W175" s="23"/>
      <c r="AC175" s="14"/>
      <c r="AD175" s="23"/>
      <c r="AJ175" s="14"/>
      <c r="AK175" s="23"/>
      <c r="AQ175" s="14"/>
      <c r="AR175" s="23"/>
      <c r="AY175" s="23"/>
      <c r="BF175" s="23"/>
      <c r="BV175" s="23"/>
      <c r="CA175" s="14"/>
      <c r="CB175" s="14"/>
      <c r="CD175" s="59"/>
      <c r="CH175" s="87" t="s">
        <v>316</v>
      </c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2"/>
    </row>
    <row r="176" spans="1:97" x14ac:dyDescent="0.3">
      <c r="A176" s="23"/>
      <c r="B176" s="23"/>
      <c r="H176" s="14"/>
      <c r="I176" s="23"/>
      <c r="O176" s="14"/>
      <c r="P176" s="23"/>
      <c r="V176" s="14"/>
      <c r="W176" s="23"/>
      <c r="AC176" s="14"/>
      <c r="AD176" s="23"/>
      <c r="AJ176" s="14"/>
      <c r="AK176" s="23"/>
      <c r="AQ176" s="14"/>
      <c r="AR176" s="23"/>
      <c r="AY176" s="23"/>
      <c r="BF176" s="23"/>
      <c r="BV176" s="23"/>
      <c r="CA176" s="14"/>
      <c r="CB176" s="14"/>
      <c r="CD176" s="59"/>
      <c r="CH176" s="93" t="s">
        <v>342</v>
      </c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2"/>
    </row>
    <row r="177" spans="1:99" x14ac:dyDescent="0.3">
      <c r="A177" s="23"/>
      <c r="B177" s="23"/>
      <c r="H177" s="14"/>
      <c r="I177" s="23"/>
      <c r="O177" s="14"/>
      <c r="P177" s="23"/>
      <c r="V177" s="14"/>
      <c r="W177" s="23"/>
      <c r="AC177" s="14"/>
      <c r="AD177" s="23"/>
      <c r="AJ177" s="14"/>
      <c r="AK177" s="23"/>
      <c r="AQ177" s="14"/>
      <c r="AR177" s="23"/>
      <c r="AY177" s="23"/>
      <c r="BF177" s="23"/>
      <c r="BG177" s="21" t="s">
        <v>343</v>
      </c>
      <c r="BH177" s="17"/>
      <c r="BV177" s="23"/>
      <c r="CA177" s="14"/>
      <c r="CB177" s="14"/>
      <c r="CD177" s="59"/>
      <c r="CH177" s="94" t="s">
        <v>326</v>
      </c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2"/>
    </row>
    <row r="178" spans="1:99" x14ac:dyDescent="0.3">
      <c r="A178" s="23"/>
      <c r="B178" s="23"/>
      <c r="H178" s="14"/>
      <c r="I178" s="23"/>
      <c r="O178" s="14"/>
      <c r="P178" s="23"/>
      <c r="V178" s="14"/>
      <c r="W178" s="23"/>
      <c r="AC178" s="14"/>
      <c r="AD178" s="23"/>
      <c r="AJ178" s="14"/>
      <c r="AK178" s="23"/>
      <c r="AQ178" s="14"/>
      <c r="AR178" s="23"/>
      <c r="AY178" s="23"/>
      <c r="BF178" s="23"/>
      <c r="BH178" s="8" t="s">
        <v>344</v>
      </c>
      <c r="BV178" s="23"/>
      <c r="CA178" s="14"/>
      <c r="CB178" s="14"/>
      <c r="CD178" s="59"/>
      <c r="CH178" s="93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2"/>
    </row>
    <row r="179" spans="1:99" x14ac:dyDescent="0.3">
      <c r="A179" s="23"/>
      <c r="B179" s="23"/>
      <c r="H179" s="14"/>
      <c r="I179" s="23"/>
      <c r="O179" s="14"/>
      <c r="P179" s="23"/>
      <c r="V179" s="14"/>
      <c r="W179" s="23"/>
      <c r="AC179" s="14"/>
      <c r="AD179" s="23"/>
      <c r="AJ179" s="14"/>
      <c r="AK179" s="23"/>
      <c r="AQ179" s="14"/>
      <c r="AR179" s="23"/>
      <c r="AY179" s="23"/>
      <c r="BF179" s="23"/>
      <c r="BH179" s="8" t="s">
        <v>345</v>
      </c>
      <c r="BV179" s="23"/>
      <c r="CA179" s="14"/>
      <c r="CB179" s="14"/>
      <c r="CD179" s="59"/>
      <c r="CH179" s="93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2"/>
    </row>
    <row r="180" spans="1:99" x14ac:dyDescent="0.3">
      <c r="A180" s="23"/>
      <c r="B180" s="23"/>
      <c r="H180" s="14"/>
      <c r="I180" s="23"/>
      <c r="O180" s="14"/>
      <c r="P180" s="23"/>
      <c r="V180" s="14"/>
      <c r="W180" s="23"/>
      <c r="AC180" s="14"/>
      <c r="AD180" s="23"/>
      <c r="AJ180" s="14"/>
      <c r="AK180" s="23"/>
      <c r="AQ180" s="14"/>
      <c r="AR180" s="23"/>
      <c r="AY180" s="23"/>
      <c r="BF180" s="23"/>
      <c r="BV180" s="23"/>
      <c r="CA180" s="14"/>
      <c r="CB180" s="14"/>
      <c r="CD180" s="59"/>
      <c r="CH180" s="59"/>
      <c r="CS180" s="60"/>
    </row>
    <row r="181" spans="1:99" x14ac:dyDescent="0.3">
      <c r="A181" s="23"/>
      <c r="B181" s="23"/>
      <c r="H181" s="14"/>
      <c r="I181" s="23"/>
      <c r="O181" s="14"/>
      <c r="P181" s="23"/>
      <c r="V181" s="14"/>
      <c r="W181" s="23"/>
      <c r="AC181" s="14"/>
      <c r="AD181" s="23"/>
      <c r="AJ181" s="14"/>
      <c r="AK181" s="23"/>
      <c r="AQ181" s="14"/>
      <c r="AR181" s="23"/>
      <c r="AY181" s="23"/>
      <c r="BF181" s="23"/>
      <c r="BV181" s="23"/>
      <c r="CA181" s="14"/>
      <c r="CB181" s="14"/>
      <c r="CD181" s="59"/>
      <c r="CH181" s="59"/>
      <c r="CS181" s="60"/>
    </row>
    <row r="182" spans="1:99" x14ac:dyDescent="0.3">
      <c r="A182" s="23"/>
      <c r="B182" s="23"/>
      <c r="H182" s="14"/>
      <c r="I182" s="23"/>
      <c r="O182" s="14"/>
      <c r="P182" s="23"/>
      <c r="V182" s="14"/>
      <c r="W182" s="23"/>
      <c r="AC182" s="14"/>
      <c r="AD182" s="23"/>
      <c r="AJ182" s="14"/>
      <c r="AK182" s="23"/>
      <c r="AQ182" s="14"/>
      <c r="AR182" s="23"/>
      <c r="AY182" s="23"/>
      <c r="BF182" s="23"/>
      <c r="BV182" s="23"/>
      <c r="CA182" s="14"/>
      <c r="CB182" s="14"/>
      <c r="CD182" s="59"/>
      <c r="CH182" s="59"/>
      <c r="CS182" s="60"/>
    </row>
    <row r="183" spans="1:99" x14ac:dyDescent="0.3">
      <c r="A183" s="23"/>
      <c r="B183" s="23"/>
      <c r="H183" s="14"/>
      <c r="I183" s="23"/>
      <c r="O183" s="14"/>
      <c r="P183" s="23"/>
      <c r="V183" s="14"/>
      <c r="W183" s="23"/>
      <c r="AC183" s="14"/>
      <c r="AD183" s="23"/>
      <c r="AJ183" s="14"/>
      <c r="AK183" s="23"/>
      <c r="AQ183" s="14"/>
      <c r="AR183" s="23"/>
      <c r="AY183" s="23"/>
      <c r="BF183" s="23"/>
      <c r="BV183" s="23"/>
      <c r="CA183" s="14"/>
      <c r="CB183" s="14"/>
      <c r="CD183" s="59"/>
      <c r="CH183" s="59"/>
      <c r="CS183" s="60"/>
    </row>
    <row r="184" spans="1:99" x14ac:dyDescent="0.3">
      <c r="A184" s="23"/>
      <c r="B184" s="50"/>
      <c r="C184" s="10"/>
      <c r="D184" s="10"/>
      <c r="E184" s="10"/>
      <c r="F184" s="10"/>
      <c r="G184" s="10"/>
      <c r="H184" s="15"/>
      <c r="I184" s="50"/>
      <c r="J184" s="10"/>
      <c r="K184" s="10"/>
      <c r="L184" s="10"/>
      <c r="M184" s="10"/>
      <c r="N184" s="10"/>
      <c r="O184" s="15"/>
      <c r="P184" s="50"/>
      <c r="Q184" s="10"/>
      <c r="R184" s="10"/>
      <c r="S184" s="10"/>
      <c r="T184" s="10"/>
      <c r="U184" s="10"/>
      <c r="V184" s="15"/>
      <c r="W184" s="50"/>
      <c r="X184" s="10"/>
      <c r="Y184" s="10"/>
      <c r="Z184" s="10"/>
      <c r="AA184" s="10"/>
      <c r="AB184" s="10"/>
      <c r="AC184" s="15"/>
      <c r="AD184" s="50"/>
      <c r="AE184" s="10"/>
      <c r="AF184" s="10"/>
      <c r="AG184" s="10"/>
      <c r="AH184" s="10"/>
      <c r="AI184" s="10"/>
      <c r="AJ184" s="15"/>
      <c r="AK184" s="50"/>
      <c r="AL184" s="10"/>
      <c r="AM184" s="10"/>
      <c r="AN184" s="10"/>
      <c r="AO184" s="10"/>
      <c r="AP184" s="10"/>
      <c r="AQ184" s="15"/>
      <c r="AR184" s="50"/>
      <c r="AS184" s="10"/>
      <c r="AT184" s="10"/>
      <c r="AU184" s="10"/>
      <c r="AV184" s="10"/>
      <c r="AW184" s="10"/>
      <c r="AX184" s="10"/>
      <c r="AY184" s="50"/>
      <c r="AZ184" s="10"/>
      <c r="BA184" s="10"/>
      <c r="BB184" s="10"/>
      <c r="BC184" s="10"/>
      <c r="BD184" s="10"/>
      <c r="BE184" s="10"/>
      <c r="BF184" s="5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50"/>
      <c r="BW184" s="10"/>
      <c r="BX184" s="10"/>
      <c r="BY184" s="10"/>
      <c r="BZ184" s="10"/>
      <c r="CA184" s="15"/>
      <c r="CB184" s="14"/>
      <c r="CD184" s="61"/>
      <c r="CE184" s="62"/>
      <c r="CF184" s="62"/>
      <c r="CG184" s="62"/>
      <c r="CH184" s="61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3"/>
    </row>
    <row r="185" spans="1:99" s="11" customFormat="1" x14ac:dyDescent="0.3">
      <c r="A185" s="24"/>
      <c r="B185" s="37" t="s">
        <v>346</v>
      </c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22"/>
      <c r="AZ185" s="22"/>
      <c r="BA185" s="22"/>
      <c r="BB185" s="22"/>
      <c r="BC185" s="22"/>
      <c r="BD185" s="22"/>
      <c r="BE185" s="2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40"/>
      <c r="CB185" s="13"/>
      <c r="CD185" s="54"/>
      <c r="CE185" s="55"/>
      <c r="CF185" s="55"/>
      <c r="CG185" s="55"/>
      <c r="CH185" s="54"/>
      <c r="CI185" s="55"/>
      <c r="CJ185" s="55"/>
      <c r="CK185" s="55"/>
      <c r="CL185" s="55"/>
      <c r="CM185" s="55"/>
      <c r="CN185" s="55"/>
      <c r="CO185" s="55"/>
      <c r="CP185" s="55"/>
      <c r="CQ185" s="55"/>
      <c r="CR185" s="55"/>
      <c r="CS185" s="56"/>
      <c r="CU185" s="77"/>
    </row>
    <row r="186" spans="1:99" x14ac:dyDescent="0.3">
      <c r="A186" s="23"/>
      <c r="B186" s="23"/>
      <c r="H186" s="14"/>
      <c r="I186" s="23"/>
      <c r="O186" s="14"/>
      <c r="P186" s="23"/>
      <c r="V186" s="14"/>
      <c r="W186" s="23"/>
      <c r="AC186" s="14"/>
      <c r="AD186" s="23"/>
      <c r="AJ186" s="14"/>
      <c r="AK186" s="23"/>
      <c r="AQ186" s="14"/>
      <c r="AX186" s="18"/>
      <c r="AY186" s="23"/>
      <c r="BE186" s="14"/>
      <c r="BF186" s="30"/>
      <c r="BG186" s="86" t="s">
        <v>347</v>
      </c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U186" s="11"/>
      <c r="BV186" s="23"/>
      <c r="CA186" s="14"/>
      <c r="CB186" s="14"/>
      <c r="CD186" s="59"/>
      <c r="CH186" s="59"/>
      <c r="CS186" s="60"/>
    </row>
    <row r="187" spans="1:99" x14ac:dyDescent="0.3">
      <c r="A187" s="23"/>
      <c r="B187" s="23"/>
      <c r="H187" s="14"/>
      <c r="I187" s="23"/>
      <c r="O187" s="14"/>
      <c r="P187" s="23"/>
      <c r="V187" s="14"/>
      <c r="W187" s="23"/>
      <c r="AC187" s="14"/>
      <c r="AD187" s="23"/>
      <c r="AJ187" s="14"/>
      <c r="AK187" s="23"/>
      <c r="AQ187" s="14"/>
      <c r="AX187" s="18"/>
      <c r="AY187" s="23"/>
      <c r="BE187" s="14"/>
      <c r="BF187" s="30"/>
      <c r="BG187" s="11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U187" s="11"/>
      <c r="BV187" s="23"/>
      <c r="CA187" s="14"/>
      <c r="CB187" s="14"/>
      <c r="CD187" s="59"/>
      <c r="CH187" s="59"/>
      <c r="CS187" s="60"/>
    </row>
    <row r="188" spans="1:99" x14ac:dyDescent="0.3">
      <c r="A188" s="23"/>
      <c r="B188" s="23"/>
      <c r="H188" s="14"/>
      <c r="I188" s="23"/>
      <c r="O188" s="14"/>
      <c r="P188" s="23"/>
      <c r="V188" s="14"/>
      <c r="W188" s="23"/>
      <c r="AC188" s="14"/>
      <c r="AD188" s="23"/>
      <c r="AJ188" s="14"/>
      <c r="AK188" s="23"/>
      <c r="AQ188" s="14"/>
      <c r="AX188" s="18"/>
      <c r="AY188" s="23"/>
      <c r="BE188" s="14"/>
      <c r="BF188" s="30"/>
      <c r="BG188" s="77" t="s">
        <v>348</v>
      </c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U188" s="11"/>
      <c r="BV188" s="23"/>
      <c r="CA188" s="14"/>
      <c r="CB188" s="14"/>
      <c r="CD188" s="59"/>
      <c r="CH188" s="59"/>
      <c r="CS188" s="60"/>
    </row>
    <row r="189" spans="1:99" x14ac:dyDescent="0.3">
      <c r="A189" s="23"/>
      <c r="B189" s="23"/>
      <c r="H189" s="14"/>
      <c r="I189" s="23"/>
      <c r="O189" s="14"/>
      <c r="P189" s="23"/>
      <c r="V189" s="14"/>
      <c r="W189" s="23"/>
      <c r="AC189" s="14"/>
      <c r="AD189" s="23"/>
      <c r="AJ189" s="14"/>
      <c r="AK189" s="23"/>
      <c r="AQ189" s="14"/>
      <c r="AX189" s="18"/>
      <c r="AY189" s="23"/>
      <c r="BE189" s="14"/>
      <c r="BF189" s="30"/>
      <c r="BG189" s="77" t="s">
        <v>349</v>
      </c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U189" s="11"/>
      <c r="BV189" s="23"/>
      <c r="CA189" s="14"/>
      <c r="CB189" s="14"/>
      <c r="CD189" s="59"/>
      <c r="CH189" s="59"/>
      <c r="CS189" s="60"/>
    </row>
    <row r="190" spans="1:99" s="11" customFormat="1" x14ac:dyDescent="0.3">
      <c r="A190" s="24"/>
      <c r="B190" s="26"/>
      <c r="C190" s="20"/>
      <c r="D190" s="20"/>
      <c r="E190" s="20"/>
      <c r="F190" s="20"/>
      <c r="G190" s="20"/>
      <c r="H190" s="19"/>
      <c r="I190" s="27"/>
      <c r="J190" s="20"/>
      <c r="K190" s="20"/>
      <c r="L190" s="20"/>
      <c r="M190" s="20"/>
      <c r="N190" s="20"/>
      <c r="O190" s="19"/>
      <c r="P190" s="27"/>
      <c r="Q190" s="20"/>
      <c r="R190" s="20"/>
      <c r="S190" s="20"/>
      <c r="T190" s="20"/>
      <c r="U190" s="20"/>
      <c r="V190" s="19"/>
      <c r="W190" s="27"/>
      <c r="X190" s="20"/>
      <c r="Y190" s="20"/>
      <c r="Z190" s="20"/>
      <c r="AA190" s="20"/>
      <c r="AB190" s="20"/>
      <c r="AC190" s="19"/>
      <c r="AD190" s="27"/>
      <c r="AE190" s="20"/>
      <c r="AF190" s="20"/>
      <c r="AG190" s="20"/>
      <c r="AH190" s="20"/>
      <c r="AI190" s="20"/>
      <c r="AJ190" s="19"/>
      <c r="AK190" s="27"/>
      <c r="AL190" s="20"/>
      <c r="AM190" s="20"/>
      <c r="AN190" s="20"/>
      <c r="AO190" s="20"/>
      <c r="AP190" s="20"/>
      <c r="AQ190" s="19"/>
      <c r="AR190" s="20"/>
      <c r="AS190" s="20"/>
      <c r="AT190" s="20"/>
      <c r="AU190" s="20"/>
      <c r="AV190" s="20"/>
      <c r="AW190" s="20"/>
      <c r="AX190" s="19"/>
      <c r="AY190" s="27"/>
      <c r="AZ190" s="20"/>
      <c r="BA190" s="20"/>
      <c r="BB190" s="20"/>
      <c r="BC190" s="20"/>
      <c r="BD190" s="20"/>
      <c r="BE190" s="19"/>
      <c r="BF190" s="34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27"/>
      <c r="BW190" s="20"/>
      <c r="BX190" s="20"/>
      <c r="BY190" s="20"/>
      <c r="BZ190" s="20"/>
      <c r="CA190" s="19"/>
      <c r="CB190" s="13"/>
      <c r="CD190" s="57"/>
      <c r="CH190" s="57"/>
      <c r="CS190" s="58"/>
    </row>
    <row r="191" spans="1:99" s="11" customFormat="1" x14ac:dyDescent="0.3">
      <c r="A191" s="24"/>
      <c r="B191" s="26"/>
      <c r="C191" s="20"/>
      <c r="D191" s="20"/>
      <c r="E191" s="20"/>
      <c r="F191" s="20"/>
      <c r="G191" s="20"/>
      <c r="H191" s="19"/>
      <c r="I191" s="27"/>
      <c r="J191" s="20"/>
      <c r="K191" s="20"/>
      <c r="L191" s="20"/>
      <c r="M191" s="20"/>
      <c r="N191" s="20"/>
      <c r="O191" s="19"/>
      <c r="P191" s="27"/>
      <c r="Q191" s="20"/>
      <c r="R191" s="20"/>
      <c r="S191" s="20"/>
      <c r="T191" s="20"/>
      <c r="U191" s="20"/>
      <c r="V191" s="19"/>
      <c r="W191" s="27"/>
      <c r="X191" s="20"/>
      <c r="Y191" s="20"/>
      <c r="Z191" s="20"/>
      <c r="AA191" s="20"/>
      <c r="AB191" s="20"/>
      <c r="AC191" s="19"/>
      <c r="AD191" s="27"/>
      <c r="AE191" s="20"/>
      <c r="AF191" s="20"/>
      <c r="AG191" s="20"/>
      <c r="AH191" s="20"/>
      <c r="AI191" s="20"/>
      <c r="AJ191" s="19"/>
      <c r="AK191" s="27"/>
      <c r="AL191" s="20"/>
      <c r="AM191" s="20"/>
      <c r="AN191" s="20"/>
      <c r="AO191" s="20"/>
      <c r="AP191" s="20"/>
      <c r="AQ191" s="19"/>
      <c r="AR191" s="20"/>
      <c r="AS191" s="20"/>
      <c r="AT191" s="20"/>
      <c r="AU191" s="20"/>
      <c r="AV191" s="20"/>
      <c r="AW191" s="20"/>
      <c r="AX191" s="19"/>
      <c r="AY191" s="27"/>
      <c r="AZ191" s="20"/>
      <c r="BA191" s="20"/>
      <c r="BB191" s="20"/>
      <c r="BC191" s="20"/>
      <c r="BD191" s="20"/>
      <c r="BE191" s="19"/>
      <c r="BF191" s="34"/>
      <c r="BG191" s="21" t="s">
        <v>350</v>
      </c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27"/>
      <c r="BW191" s="20"/>
      <c r="BX191" s="20"/>
      <c r="BY191" s="20"/>
      <c r="BZ191" s="20"/>
      <c r="CA191" s="19"/>
      <c r="CB191" s="13"/>
      <c r="CD191" s="57"/>
      <c r="CH191" s="57"/>
      <c r="CS191" s="58"/>
    </row>
    <row r="192" spans="1:99" s="11" customFormat="1" x14ac:dyDescent="0.3">
      <c r="A192" s="24"/>
      <c r="B192" s="26"/>
      <c r="C192" s="20"/>
      <c r="D192" s="20"/>
      <c r="E192" s="20"/>
      <c r="F192" s="20"/>
      <c r="G192" s="20"/>
      <c r="H192" s="19"/>
      <c r="I192" s="27"/>
      <c r="J192" s="20"/>
      <c r="K192" s="20"/>
      <c r="L192" s="20"/>
      <c r="M192" s="20"/>
      <c r="N192" s="20"/>
      <c r="O192" s="19"/>
      <c r="P192" s="27"/>
      <c r="Q192" s="20"/>
      <c r="R192" s="20"/>
      <c r="S192" s="20"/>
      <c r="T192" s="20"/>
      <c r="U192" s="20"/>
      <c r="V192" s="19"/>
      <c r="W192" s="27"/>
      <c r="X192" s="20"/>
      <c r="Y192" s="20"/>
      <c r="Z192" s="20"/>
      <c r="AA192" s="20"/>
      <c r="AB192" s="20"/>
      <c r="AC192" s="19"/>
      <c r="AD192" s="27"/>
      <c r="AE192" s="20"/>
      <c r="AF192" s="20"/>
      <c r="AG192" s="20"/>
      <c r="AH192" s="20"/>
      <c r="AI192" s="20"/>
      <c r="AJ192" s="19"/>
      <c r="AK192" s="27"/>
      <c r="AL192" s="20"/>
      <c r="AM192" s="20"/>
      <c r="AN192" s="20"/>
      <c r="AO192" s="20"/>
      <c r="AP192" s="20"/>
      <c r="AQ192" s="19"/>
      <c r="AR192" s="20"/>
      <c r="AS192" s="20"/>
      <c r="AT192" s="20"/>
      <c r="AU192" s="20"/>
      <c r="AV192" s="20"/>
      <c r="AW192" s="20"/>
      <c r="AX192" s="19"/>
      <c r="AY192" s="29"/>
      <c r="AZ192"/>
      <c r="BA192"/>
      <c r="BB192"/>
      <c r="BC192"/>
      <c r="BD192"/>
      <c r="BE192" s="18"/>
      <c r="BF192" s="34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27"/>
      <c r="BW192" s="20"/>
      <c r="BX192" s="20"/>
      <c r="BY192" s="20"/>
      <c r="BZ192" s="20"/>
      <c r="CA192" s="19"/>
      <c r="CB192" s="13"/>
      <c r="CD192" s="57"/>
      <c r="CH192" s="57"/>
      <c r="CS192" s="58"/>
    </row>
    <row r="193" spans="1:103" s="11" customFormat="1" x14ac:dyDescent="0.3">
      <c r="A193" s="24"/>
      <c r="B193" s="26"/>
      <c r="C193" s="20"/>
      <c r="D193" s="20"/>
      <c r="E193" s="20"/>
      <c r="F193" s="20"/>
      <c r="G193" s="20"/>
      <c r="H193" s="19"/>
      <c r="I193" s="27"/>
      <c r="J193" s="20"/>
      <c r="K193" s="20"/>
      <c r="L193" s="20"/>
      <c r="M193" s="20"/>
      <c r="N193" s="20"/>
      <c r="O193" s="19"/>
      <c r="P193" s="27"/>
      <c r="Q193" s="20"/>
      <c r="R193" s="20"/>
      <c r="S193" s="20"/>
      <c r="T193" s="20"/>
      <c r="U193" s="20"/>
      <c r="V193" s="19"/>
      <c r="W193" s="27"/>
      <c r="X193" s="20"/>
      <c r="Y193" s="20"/>
      <c r="Z193" s="20"/>
      <c r="AA193" s="20"/>
      <c r="AB193" s="20"/>
      <c r="AC193" s="19"/>
      <c r="AD193" s="27"/>
      <c r="AE193" s="20"/>
      <c r="AF193" s="20"/>
      <c r="AG193" s="20"/>
      <c r="AH193" s="20"/>
      <c r="AI193" s="20"/>
      <c r="AJ193" s="19"/>
      <c r="AK193" s="27"/>
      <c r="AL193" s="20"/>
      <c r="AM193" s="20"/>
      <c r="AN193" s="20"/>
      <c r="AO193" s="20"/>
      <c r="AP193" s="20"/>
      <c r="AQ193" s="19"/>
      <c r="AR193" s="20"/>
      <c r="AS193" s="20"/>
      <c r="AT193" s="20"/>
      <c r="AU193" s="20"/>
      <c r="AV193" s="20"/>
      <c r="AW193" s="20"/>
      <c r="AX193" s="19"/>
      <c r="AY193" s="30"/>
      <c r="BE193" s="13"/>
      <c r="BF193" s="34"/>
      <c r="BG193" s="21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27"/>
      <c r="BW193" s="20"/>
      <c r="BX193" s="20"/>
      <c r="BY193" s="20"/>
      <c r="BZ193" s="20"/>
      <c r="CA193" s="19"/>
      <c r="CB193" s="13"/>
      <c r="CD193" s="57"/>
      <c r="CH193" s="57"/>
      <c r="CS193" s="58"/>
    </row>
    <row r="194" spans="1:103" s="11" customFormat="1" x14ac:dyDescent="0.3">
      <c r="A194" s="24"/>
      <c r="B194" s="26"/>
      <c r="C194" s="20"/>
      <c r="D194" s="20"/>
      <c r="E194" s="20"/>
      <c r="F194" s="20"/>
      <c r="G194" s="20"/>
      <c r="H194" s="19"/>
      <c r="I194" s="27"/>
      <c r="J194" s="20"/>
      <c r="K194" s="20"/>
      <c r="L194" s="20"/>
      <c r="M194" s="20"/>
      <c r="N194" s="20"/>
      <c r="O194" s="19"/>
      <c r="P194" s="27"/>
      <c r="Q194" s="20"/>
      <c r="R194" s="20"/>
      <c r="S194" s="20"/>
      <c r="T194" s="20"/>
      <c r="U194" s="20"/>
      <c r="V194" s="19"/>
      <c r="W194" s="27"/>
      <c r="X194" s="20"/>
      <c r="Y194" s="20"/>
      <c r="Z194" s="20"/>
      <c r="AA194" s="20"/>
      <c r="AB194" s="20"/>
      <c r="AC194" s="19"/>
      <c r="AD194" s="27"/>
      <c r="AE194" s="20"/>
      <c r="AF194" s="20"/>
      <c r="AG194" s="20"/>
      <c r="AH194" s="20"/>
      <c r="AI194" s="20"/>
      <c r="AJ194" s="19"/>
      <c r="AK194" s="27"/>
      <c r="AL194" s="20"/>
      <c r="AM194" s="20"/>
      <c r="AN194" s="20"/>
      <c r="AO194" s="20"/>
      <c r="AP194" s="20"/>
      <c r="AQ194" s="19"/>
      <c r="AR194" s="20"/>
      <c r="AS194" s="20"/>
      <c r="AT194" s="20"/>
      <c r="AU194" s="20"/>
      <c r="AV194" s="20"/>
      <c r="AW194" s="20"/>
      <c r="AX194" s="19"/>
      <c r="AY194" s="23"/>
      <c r="AZ194" s="8"/>
      <c r="BA194" s="8"/>
      <c r="BB194" s="8"/>
      <c r="BC194" s="8"/>
      <c r="BD194" s="8"/>
      <c r="BE194" s="14"/>
      <c r="BF194" s="34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27"/>
      <c r="BW194" s="20"/>
      <c r="BX194" s="20"/>
      <c r="BY194" s="20"/>
      <c r="BZ194" s="20"/>
      <c r="CA194" s="19"/>
      <c r="CB194" s="14"/>
      <c r="CD194" s="57"/>
      <c r="CH194" s="57"/>
      <c r="CS194" s="58"/>
    </row>
    <row r="195" spans="1:103" s="11" customFormat="1" x14ac:dyDescent="0.3">
      <c r="A195" s="24"/>
      <c r="B195" s="26"/>
      <c r="C195" s="20"/>
      <c r="D195" s="20"/>
      <c r="E195" s="20"/>
      <c r="F195" s="20"/>
      <c r="G195" s="20"/>
      <c r="H195" s="19"/>
      <c r="I195" s="27"/>
      <c r="J195" s="20"/>
      <c r="K195" s="20"/>
      <c r="L195" s="20"/>
      <c r="M195" s="20"/>
      <c r="N195" s="20"/>
      <c r="O195" s="19"/>
      <c r="P195" s="27"/>
      <c r="Q195" s="20"/>
      <c r="R195" s="20"/>
      <c r="S195" s="20"/>
      <c r="T195" s="20"/>
      <c r="U195" s="20"/>
      <c r="V195" s="19"/>
      <c r="W195" s="27"/>
      <c r="X195" s="20"/>
      <c r="Y195" s="20"/>
      <c r="Z195" s="20"/>
      <c r="AA195" s="20"/>
      <c r="AB195" s="20"/>
      <c r="AC195" s="19"/>
      <c r="AD195" s="27"/>
      <c r="AE195" s="20"/>
      <c r="AF195" s="20"/>
      <c r="AG195" s="20"/>
      <c r="AH195" s="20"/>
      <c r="AI195" s="20"/>
      <c r="AJ195" s="19"/>
      <c r="AK195" s="27"/>
      <c r="AL195" s="20"/>
      <c r="AM195" s="20"/>
      <c r="AN195" s="20"/>
      <c r="AO195" s="20"/>
      <c r="AP195" s="20"/>
      <c r="AQ195" s="19"/>
      <c r="AR195" s="20"/>
      <c r="AS195" s="20"/>
      <c r="AT195" s="20"/>
      <c r="AU195" s="20"/>
      <c r="AV195" s="20"/>
      <c r="AW195" s="20"/>
      <c r="AX195" s="19"/>
      <c r="AY195" s="23"/>
      <c r="AZ195" s="8"/>
      <c r="BA195" s="8"/>
      <c r="BB195" s="8"/>
      <c r="BC195" s="8"/>
      <c r="BD195" s="8"/>
      <c r="BE195" s="14"/>
      <c r="BF195" s="34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27"/>
      <c r="BW195" s="20"/>
      <c r="BX195" s="20"/>
      <c r="BY195" s="20"/>
      <c r="BZ195" s="20"/>
      <c r="CA195" s="19"/>
      <c r="CB195" s="14"/>
      <c r="CD195" s="57"/>
      <c r="CH195" s="57"/>
      <c r="CS195" s="58"/>
    </row>
    <row r="196" spans="1:103" s="11" customFormat="1" x14ac:dyDescent="0.3">
      <c r="A196" s="24"/>
      <c r="B196" s="26"/>
      <c r="C196" s="20"/>
      <c r="D196" s="20"/>
      <c r="E196" s="20"/>
      <c r="F196" s="20"/>
      <c r="G196" s="20"/>
      <c r="H196" s="19"/>
      <c r="I196" s="27"/>
      <c r="J196" s="20"/>
      <c r="K196" s="20"/>
      <c r="L196" s="20"/>
      <c r="M196" s="20"/>
      <c r="N196" s="20"/>
      <c r="O196" s="19"/>
      <c r="P196" s="27"/>
      <c r="Q196" s="20"/>
      <c r="R196" s="20"/>
      <c r="S196" s="20"/>
      <c r="T196" s="20"/>
      <c r="U196" s="20"/>
      <c r="V196" s="19"/>
      <c r="W196" s="27"/>
      <c r="X196" s="20"/>
      <c r="Y196" s="20"/>
      <c r="Z196" s="20"/>
      <c r="AA196" s="20"/>
      <c r="AB196" s="20"/>
      <c r="AC196" s="19"/>
      <c r="AD196" s="27"/>
      <c r="AE196" s="20"/>
      <c r="AF196" s="20"/>
      <c r="AG196" s="20"/>
      <c r="AH196" s="20"/>
      <c r="AI196" s="20"/>
      <c r="AJ196" s="19"/>
      <c r="AK196" s="27"/>
      <c r="AL196" s="20"/>
      <c r="AM196" s="20"/>
      <c r="AN196" s="20"/>
      <c r="AO196" s="20"/>
      <c r="AP196" s="20"/>
      <c r="AQ196" s="19"/>
      <c r="AR196" s="20"/>
      <c r="AS196" s="20"/>
      <c r="AT196" s="20"/>
      <c r="AU196" s="20"/>
      <c r="AV196" s="20"/>
      <c r="AW196" s="20"/>
      <c r="AX196" s="19"/>
      <c r="AY196" s="23"/>
      <c r="AZ196" s="8"/>
      <c r="BA196" s="8"/>
      <c r="BB196" s="8"/>
      <c r="BC196" s="8"/>
      <c r="BD196" s="8"/>
      <c r="BE196" s="14"/>
      <c r="BF196" s="34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27"/>
      <c r="BW196" s="20"/>
      <c r="BX196" s="20"/>
      <c r="BY196" s="20"/>
      <c r="BZ196" s="20"/>
      <c r="CA196" s="19"/>
      <c r="CB196" s="14"/>
      <c r="CD196" s="57"/>
      <c r="CH196" s="57"/>
      <c r="CS196" s="58"/>
    </row>
    <row r="197" spans="1:103" s="11" customFormat="1" x14ac:dyDescent="0.3">
      <c r="A197" s="24"/>
      <c r="B197" s="26"/>
      <c r="C197" s="20"/>
      <c r="D197" s="20"/>
      <c r="E197" s="20"/>
      <c r="F197" s="20"/>
      <c r="G197" s="20"/>
      <c r="H197" s="19"/>
      <c r="I197" s="27"/>
      <c r="J197" s="20"/>
      <c r="K197" s="20"/>
      <c r="L197" s="20"/>
      <c r="M197" s="20"/>
      <c r="N197" s="20"/>
      <c r="O197" s="19"/>
      <c r="P197" s="27"/>
      <c r="Q197" s="20"/>
      <c r="R197" s="20"/>
      <c r="S197" s="20"/>
      <c r="T197" s="20"/>
      <c r="U197" s="20"/>
      <c r="V197" s="19"/>
      <c r="W197" s="27"/>
      <c r="X197" s="20"/>
      <c r="Y197" s="20"/>
      <c r="Z197" s="20"/>
      <c r="AA197" s="20"/>
      <c r="AB197" s="20"/>
      <c r="AC197" s="19"/>
      <c r="AD197" s="27"/>
      <c r="AE197" s="20"/>
      <c r="AF197" s="20"/>
      <c r="AG197" s="20"/>
      <c r="AH197" s="20"/>
      <c r="AI197" s="20"/>
      <c r="AJ197" s="19"/>
      <c r="AK197" s="27"/>
      <c r="AL197" s="20"/>
      <c r="AM197" s="20"/>
      <c r="AN197" s="20"/>
      <c r="AO197" s="20"/>
      <c r="AP197" s="20"/>
      <c r="AQ197" s="19"/>
      <c r="AR197" s="20"/>
      <c r="AS197" s="20"/>
      <c r="AT197" s="20"/>
      <c r="AU197" s="20"/>
      <c r="AV197" s="20"/>
      <c r="AW197" s="20"/>
      <c r="AX197" s="19"/>
      <c r="AY197" s="23"/>
      <c r="AZ197" s="8"/>
      <c r="BA197" s="8"/>
      <c r="BB197" s="8"/>
      <c r="BC197" s="8"/>
      <c r="BD197" s="8"/>
      <c r="BE197" s="14"/>
      <c r="BF197" s="34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27"/>
      <c r="BW197" s="20"/>
      <c r="BX197" s="20"/>
      <c r="BY197" s="20"/>
      <c r="BZ197" s="20"/>
      <c r="CA197" s="19"/>
      <c r="CB197" s="14"/>
      <c r="CD197" s="57"/>
      <c r="CH197" s="57"/>
      <c r="CS197" s="58"/>
    </row>
    <row r="198" spans="1:103" s="11" customFormat="1" x14ac:dyDescent="0.3">
      <c r="A198" s="24"/>
      <c r="B198" s="26"/>
      <c r="C198" s="20"/>
      <c r="D198" s="20"/>
      <c r="E198" s="20"/>
      <c r="F198" s="20"/>
      <c r="G198" s="20"/>
      <c r="H198" s="19"/>
      <c r="I198" s="27"/>
      <c r="J198" s="20"/>
      <c r="K198" s="20"/>
      <c r="L198" s="20"/>
      <c r="M198" s="20"/>
      <c r="N198" s="20"/>
      <c r="O198" s="19"/>
      <c r="P198" s="27"/>
      <c r="Q198" s="20"/>
      <c r="R198" s="20"/>
      <c r="S198" s="20"/>
      <c r="T198" s="20"/>
      <c r="U198" s="20"/>
      <c r="V198" s="19"/>
      <c r="W198" s="27"/>
      <c r="X198" s="20"/>
      <c r="Y198" s="20"/>
      <c r="Z198" s="20"/>
      <c r="AA198" s="20"/>
      <c r="AB198" s="20"/>
      <c r="AC198" s="19"/>
      <c r="AD198" s="27"/>
      <c r="AE198" s="20"/>
      <c r="AF198" s="20"/>
      <c r="AG198" s="20"/>
      <c r="AH198" s="20"/>
      <c r="AI198" s="20"/>
      <c r="AJ198" s="19"/>
      <c r="AK198" s="27"/>
      <c r="AL198" s="20"/>
      <c r="AM198" s="20"/>
      <c r="AN198" s="20"/>
      <c r="AO198" s="20"/>
      <c r="AP198" s="20"/>
      <c r="AQ198" s="19"/>
      <c r="AR198" s="20"/>
      <c r="AS198" s="20"/>
      <c r="AT198" s="20"/>
      <c r="AU198" s="20"/>
      <c r="AV198" s="20"/>
      <c r="AW198" s="20"/>
      <c r="AX198" s="19"/>
      <c r="AY198" s="23"/>
      <c r="AZ198" s="8"/>
      <c r="BA198" s="8"/>
      <c r="BB198" s="8"/>
      <c r="BC198" s="8"/>
      <c r="BD198" s="8"/>
      <c r="BE198" s="14"/>
      <c r="BF198" s="34"/>
      <c r="BG198" s="21" t="s">
        <v>351</v>
      </c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27"/>
      <c r="BW198" s="20"/>
      <c r="BX198" s="20"/>
      <c r="BY198" s="20"/>
      <c r="BZ198" s="20"/>
      <c r="CA198" s="19"/>
      <c r="CB198" s="14"/>
      <c r="CD198" s="57"/>
      <c r="CH198" s="57"/>
      <c r="CS198" s="58"/>
    </row>
    <row r="199" spans="1:103" s="11" customFormat="1" x14ac:dyDescent="0.3">
      <c r="A199" s="24"/>
      <c r="B199" s="26"/>
      <c r="C199" s="20"/>
      <c r="D199" s="20"/>
      <c r="E199" s="20"/>
      <c r="F199" s="20"/>
      <c r="G199" s="20"/>
      <c r="H199" s="19"/>
      <c r="I199" s="27"/>
      <c r="J199" s="20"/>
      <c r="K199" s="20"/>
      <c r="L199" s="20"/>
      <c r="M199" s="20"/>
      <c r="N199" s="20"/>
      <c r="O199" s="19"/>
      <c r="P199" s="27"/>
      <c r="Q199" s="20"/>
      <c r="R199" s="20"/>
      <c r="S199" s="20"/>
      <c r="T199" s="20"/>
      <c r="U199" s="20"/>
      <c r="V199" s="19"/>
      <c r="W199" s="27"/>
      <c r="X199" s="20"/>
      <c r="Y199" s="20"/>
      <c r="Z199" s="20"/>
      <c r="AA199" s="20"/>
      <c r="AB199" s="20"/>
      <c r="AC199" s="19"/>
      <c r="AD199" s="27"/>
      <c r="AE199" s="20"/>
      <c r="AF199" s="20"/>
      <c r="AG199" s="20"/>
      <c r="AH199" s="20"/>
      <c r="AI199" s="20"/>
      <c r="AJ199" s="19"/>
      <c r="AK199" s="27"/>
      <c r="AL199" s="20"/>
      <c r="AM199" s="20"/>
      <c r="AN199" s="20"/>
      <c r="AO199" s="20"/>
      <c r="AP199" s="20"/>
      <c r="AQ199" s="19"/>
      <c r="AR199" s="20"/>
      <c r="AS199" s="20"/>
      <c r="AT199" s="20"/>
      <c r="AU199" s="20"/>
      <c r="AV199" s="20"/>
      <c r="AW199" s="20"/>
      <c r="AX199" s="19"/>
      <c r="AY199" s="23"/>
      <c r="AZ199" s="8"/>
      <c r="BA199" s="8"/>
      <c r="BB199" s="8"/>
      <c r="BC199" s="8"/>
      <c r="BD199" s="8"/>
      <c r="BE199" s="14"/>
      <c r="BF199" s="34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27"/>
      <c r="BW199" s="20"/>
      <c r="BX199" s="20"/>
      <c r="BY199" s="20"/>
      <c r="BZ199" s="20"/>
      <c r="CA199" s="19"/>
      <c r="CB199" s="14"/>
      <c r="CD199" s="57"/>
      <c r="CH199" s="57"/>
      <c r="CS199" s="58"/>
    </row>
    <row r="200" spans="1:103" s="11" customFormat="1" x14ac:dyDescent="0.3">
      <c r="A200" s="24"/>
      <c r="B200" s="26"/>
      <c r="C200" s="20"/>
      <c r="D200" s="20"/>
      <c r="E200" s="20"/>
      <c r="F200" s="20"/>
      <c r="G200" s="20"/>
      <c r="H200" s="19"/>
      <c r="I200" s="27"/>
      <c r="J200" s="20"/>
      <c r="K200" s="20"/>
      <c r="L200" s="20"/>
      <c r="M200" s="20"/>
      <c r="N200" s="20"/>
      <c r="O200" s="19"/>
      <c r="P200" s="27"/>
      <c r="Q200" s="20"/>
      <c r="R200" s="20"/>
      <c r="S200" s="20"/>
      <c r="T200" s="20"/>
      <c r="U200" s="20"/>
      <c r="V200" s="19"/>
      <c r="W200" s="27"/>
      <c r="X200" s="20"/>
      <c r="Y200" s="20"/>
      <c r="Z200" s="20"/>
      <c r="AA200" s="20"/>
      <c r="AB200" s="20"/>
      <c r="AC200" s="19"/>
      <c r="AD200" s="27"/>
      <c r="AE200" s="20"/>
      <c r="AF200" s="20"/>
      <c r="AG200" s="20"/>
      <c r="AH200" s="20"/>
      <c r="AI200" s="20"/>
      <c r="AJ200" s="19"/>
      <c r="AK200" s="27"/>
      <c r="AL200" s="20"/>
      <c r="AM200" s="20"/>
      <c r="AN200" s="20"/>
      <c r="AO200" s="20"/>
      <c r="AP200" s="20"/>
      <c r="AQ200" s="19"/>
      <c r="AR200" s="20"/>
      <c r="AS200" s="20"/>
      <c r="AT200" s="20"/>
      <c r="AU200" s="20"/>
      <c r="AV200" s="20"/>
      <c r="AW200" s="20"/>
      <c r="AX200" s="19"/>
      <c r="AY200" s="23"/>
      <c r="AZ200" s="8"/>
      <c r="BA200" s="8"/>
      <c r="BB200" s="8"/>
      <c r="BC200" s="8"/>
      <c r="BD200" s="8"/>
      <c r="BE200" s="14"/>
      <c r="BF200" s="34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27"/>
      <c r="BW200" s="20"/>
      <c r="BX200" s="20"/>
      <c r="BY200" s="20"/>
      <c r="BZ200" s="20"/>
      <c r="CA200" s="19"/>
      <c r="CB200" s="14"/>
      <c r="CD200" s="57"/>
      <c r="CH200" s="57"/>
      <c r="CS200" s="58"/>
    </row>
    <row r="201" spans="1:103" s="11" customFormat="1" x14ac:dyDescent="0.3">
      <c r="A201" s="24"/>
      <c r="B201" s="26"/>
      <c r="C201" s="20"/>
      <c r="D201" s="20"/>
      <c r="E201" s="20"/>
      <c r="F201" s="20"/>
      <c r="G201" s="20"/>
      <c r="H201" s="19"/>
      <c r="I201" s="27"/>
      <c r="J201" s="20"/>
      <c r="K201" s="20"/>
      <c r="L201" s="20"/>
      <c r="M201" s="20"/>
      <c r="N201" s="20"/>
      <c r="O201" s="19"/>
      <c r="P201" s="27"/>
      <c r="Q201" s="20"/>
      <c r="R201" s="20"/>
      <c r="S201" s="20"/>
      <c r="T201" s="20"/>
      <c r="U201" s="20"/>
      <c r="V201" s="19"/>
      <c r="W201" s="27"/>
      <c r="X201" s="20"/>
      <c r="Y201" s="20"/>
      <c r="Z201" s="20"/>
      <c r="AA201" s="20"/>
      <c r="AB201" s="20"/>
      <c r="AC201" s="19"/>
      <c r="AD201" s="27"/>
      <c r="AE201" s="20"/>
      <c r="AF201" s="20"/>
      <c r="AG201" s="20"/>
      <c r="AH201" s="20"/>
      <c r="AI201" s="20"/>
      <c r="AJ201" s="19"/>
      <c r="AK201" s="27"/>
      <c r="AL201" s="20"/>
      <c r="AM201" s="20"/>
      <c r="AN201" s="20"/>
      <c r="AO201" s="20"/>
      <c r="AP201" s="20"/>
      <c r="AQ201" s="19"/>
      <c r="AR201" s="20"/>
      <c r="AS201" s="20"/>
      <c r="AT201" s="20"/>
      <c r="AU201" s="20"/>
      <c r="AV201" s="20"/>
      <c r="AW201" s="20"/>
      <c r="AX201" s="19"/>
      <c r="AY201" s="23"/>
      <c r="AZ201" s="8"/>
      <c r="BA201" s="8"/>
      <c r="BB201" s="8"/>
      <c r="BC201" s="8"/>
      <c r="BD201" s="8"/>
      <c r="BE201" s="14"/>
      <c r="BF201" s="34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27"/>
      <c r="BW201" s="20"/>
      <c r="BX201" s="20"/>
      <c r="BY201" s="20"/>
      <c r="BZ201" s="20"/>
      <c r="CA201" s="19"/>
      <c r="CB201" s="14"/>
      <c r="CD201" s="57"/>
      <c r="CH201" s="57"/>
      <c r="CS201" s="58"/>
      <c r="CY201" s="97"/>
    </row>
    <row r="202" spans="1:103" s="11" customFormat="1" x14ac:dyDescent="0.3">
      <c r="A202" s="24"/>
      <c r="B202" s="26"/>
      <c r="C202" s="20"/>
      <c r="D202" s="20"/>
      <c r="E202" s="20"/>
      <c r="F202" s="20"/>
      <c r="G202" s="20"/>
      <c r="H202" s="19"/>
      <c r="I202" s="27"/>
      <c r="J202" s="20"/>
      <c r="K202" s="20"/>
      <c r="L202" s="20"/>
      <c r="M202" s="20"/>
      <c r="N202" s="20"/>
      <c r="O202" s="19"/>
      <c r="P202" s="27"/>
      <c r="Q202" s="20"/>
      <c r="R202" s="20"/>
      <c r="S202" s="20"/>
      <c r="T202" s="20"/>
      <c r="U202" s="20"/>
      <c r="V202" s="19"/>
      <c r="W202" s="27"/>
      <c r="X202" s="20"/>
      <c r="Y202" s="20"/>
      <c r="Z202" s="20"/>
      <c r="AA202" s="20"/>
      <c r="AB202" s="20"/>
      <c r="AC202" s="19"/>
      <c r="AD202" s="27"/>
      <c r="AE202" s="20"/>
      <c r="AF202" s="20"/>
      <c r="AG202" s="20"/>
      <c r="AH202" s="20"/>
      <c r="AI202" s="20"/>
      <c r="AJ202" s="19"/>
      <c r="AK202" s="27"/>
      <c r="AL202" s="20"/>
      <c r="AM202" s="20"/>
      <c r="AN202" s="20"/>
      <c r="AO202" s="20"/>
      <c r="AP202" s="20"/>
      <c r="AQ202" s="19"/>
      <c r="AR202" s="20"/>
      <c r="AS202" s="20"/>
      <c r="AT202" s="20"/>
      <c r="AU202" s="20"/>
      <c r="AV202" s="20"/>
      <c r="AW202" s="20"/>
      <c r="AX202" s="19"/>
      <c r="AY202" s="23"/>
      <c r="AZ202" s="8"/>
      <c r="BA202" s="8"/>
      <c r="BB202" s="8"/>
      <c r="BC202" s="8"/>
      <c r="BD202" s="8"/>
      <c r="BE202" s="14"/>
      <c r="BF202" s="34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27"/>
      <c r="BW202" s="20"/>
      <c r="BX202" s="20"/>
      <c r="BY202" s="20"/>
      <c r="BZ202" s="20"/>
      <c r="CA202" s="19"/>
      <c r="CB202" s="14"/>
      <c r="CD202" s="57"/>
      <c r="CH202" s="57"/>
      <c r="CS202" s="58"/>
    </row>
    <row r="203" spans="1:103" s="11" customFormat="1" x14ac:dyDescent="0.3">
      <c r="A203" s="24"/>
      <c r="B203" s="26"/>
      <c r="C203" s="20"/>
      <c r="D203" s="20"/>
      <c r="E203" s="20"/>
      <c r="F203" s="20"/>
      <c r="G203" s="20"/>
      <c r="H203" s="19"/>
      <c r="I203" s="27"/>
      <c r="J203" s="20"/>
      <c r="K203" s="20"/>
      <c r="L203" s="20"/>
      <c r="M203" s="20"/>
      <c r="N203" s="20"/>
      <c r="O203" s="19"/>
      <c r="P203" s="27"/>
      <c r="Q203" s="20"/>
      <c r="R203" s="20"/>
      <c r="S203" s="20"/>
      <c r="T203" s="20"/>
      <c r="U203" s="20"/>
      <c r="V203" s="19"/>
      <c r="W203" s="27"/>
      <c r="X203" s="20"/>
      <c r="Y203" s="20"/>
      <c r="Z203" s="20"/>
      <c r="AA203" s="20"/>
      <c r="AB203" s="20"/>
      <c r="AC203" s="19"/>
      <c r="AD203" s="27"/>
      <c r="AE203" s="20"/>
      <c r="AF203" s="20"/>
      <c r="AG203" s="20"/>
      <c r="AH203" s="20"/>
      <c r="AI203" s="20"/>
      <c r="AJ203" s="19"/>
      <c r="AK203" s="27"/>
      <c r="AL203" s="20"/>
      <c r="AM203" s="20"/>
      <c r="AN203" s="20"/>
      <c r="AO203" s="20"/>
      <c r="AP203" s="20"/>
      <c r="AQ203" s="19"/>
      <c r="AR203" s="20"/>
      <c r="AS203" s="20"/>
      <c r="AT203" s="20"/>
      <c r="AU203" s="20"/>
      <c r="AV203" s="20"/>
      <c r="AW203" s="20"/>
      <c r="AX203" s="19"/>
      <c r="AY203" s="23"/>
      <c r="AZ203" s="8"/>
      <c r="BA203" s="8"/>
      <c r="BB203" s="8"/>
      <c r="BC203" s="8"/>
      <c r="BD203" s="8"/>
      <c r="BE203" s="14"/>
      <c r="BF203" s="34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27"/>
      <c r="BW203" s="20"/>
      <c r="BX203" s="20"/>
      <c r="BY203" s="20"/>
      <c r="BZ203" s="20"/>
      <c r="CA203" s="19"/>
      <c r="CB203" s="14"/>
      <c r="CD203" s="57"/>
      <c r="CH203" s="57"/>
      <c r="CS203" s="58"/>
    </row>
    <row r="204" spans="1:103" s="11" customFormat="1" x14ac:dyDescent="0.3">
      <c r="A204" s="24"/>
      <c r="B204" s="26"/>
      <c r="C204" s="20"/>
      <c r="D204" s="20"/>
      <c r="E204" s="20"/>
      <c r="F204" s="20"/>
      <c r="G204" s="20"/>
      <c r="H204" s="19"/>
      <c r="I204" s="27"/>
      <c r="J204" s="20"/>
      <c r="K204" s="20"/>
      <c r="L204" s="20"/>
      <c r="M204" s="20"/>
      <c r="N204" s="20"/>
      <c r="O204" s="19"/>
      <c r="P204" s="27"/>
      <c r="Q204" s="20"/>
      <c r="R204" s="20"/>
      <c r="S204" s="20"/>
      <c r="T204" s="20"/>
      <c r="U204" s="20"/>
      <c r="V204" s="19"/>
      <c r="W204" s="27"/>
      <c r="X204" s="20"/>
      <c r="Y204" s="20"/>
      <c r="Z204" s="20"/>
      <c r="AA204" s="20"/>
      <c r="AB204" s="20"/>
      <c r="AC204" s="19"/>
      <c r="AD204" s="27"/>
      <c r="AE204" s="20"/>
      <c r="AF204" s="20"/>
      <c r="AG204" s="20"/>
      <c r="AH204" s="20"/>
      <c r="AI204" s="20"/>
      <c r="AJ204" s="19"/>
      <c r="AK204" s="27"/>
      <c r="AL204" s="20"/>
      <c r="AM204" s="20"/>
      <c r="AN204" s="20"/>
      <c r="AO204" s="20"/>
      <c r="AP204" s="20"/>
      <c r="AQ204" s="19"/>
      <c r="AR204" s="20"/>
      <c r="AS204" s="20"/>
      <c r="AT204" s="20"/>
      <c r="AU204" s="20"/>
      <c r="AV204" s="20"/>
      <c r="AW204" s="20"/>
      <c r="AX204" s="19"/>
      <c r="AY204" s="23"/>
      <c r="AZ204" s="8"/>
      <c r="BA204" s="8"/>
      <c r="BB204" s="8"/>
      <c r="BC204" s="8"/>
      <c r="BD204" s="8"/>
      <c r="BE204" s="14"/>
      <c r="BF204" s="34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27"/>
      <c r="BW204" s="20"/>
      <c r="BX204" s="20"/>
      <c r="BY204" s="20"/>
      <c r="BZ204" s="20"/>
      <c r="CA204" s="19"/>
      <c r="CB204" s="14"/>
      <c r="CD204" s="57"/>
      <c r="CH204" s="57"/>
      <c r="CS204" s="58"/>
    </row>
    <row r="205" spans="1:103" s="11" customFormat="1" x14ac:dyDescent="0.3">
      <c r="A205" s="24"/>
      <c r="B205" s="26"/>
      <c r="C205" s="20"/>
      <c r="D205" s="20"/>
      <c r="E205" s="20"/>
      <c r="F205" s="20"/>
      <c r="G205" s="20"/>
      <c r="H205" s="19"/>
      <c r="I205" s="27"/>
      <c r="J205" s="20"/>
      <c r="K205" s="20"/>
      <c r="L205" s="20"/>
      <c r="M205" s="20"/>
      <c r="N205" s="20"/>
      <c r="O205" s="19"/>
      <c r="P205" s="27"/>
      <c r="Q205" s="20"/>
      <c r="R205" s="20"/>
      <c r="S205" s="20"/>
      <c r="T205" s="20"/>
      <c r="U205" s="20"/>
      <c r="V205" s="19"/>
      <c r="W205" s="27"/>
      <c r="X205" s="20"/>
      <c r="Y205" s="20"/>
      <c r="Z205" s="20"/>
      <c r="AA205" s="20"/>
      <c r="AB205" s="20"/>
      <c r="AC205" s="19"/>
      <c r="AD205" s="27"/>
      <c r="AE205" s="20"/>
      <c r="AF205" s="20"/>
      <c r="AG205" s="20"/>
      <c r="AH205" s="20"/>
      <c r="AI205" s="20"/>
      <c r="AJ205" s="19"/>
      <c r="AK205" s="27"/>
      <c r="AL205" s="20"/>
      <c r="AM205" s="20"/>
      <c r="AN205" s="20"/>
      <c r="AO205" s="20"/>
      <c r="AP205" s="20"/>
      <c r="AQ205" s="19"/>
      <c r="AR205" s="20"/>
      <c r="AS205" s="20"/>
      <c r="AT205" s="20"/>
      <c r="AU205" s="20"/>
      <c r="AV205" s="20"/>
      <c r="AW205" s="20"/>
      <c r="AX205" s="19"/>
      <c r="AY205" s="23"/>
      <c r="AZ205" s="8"/>
      <c r="BA205" s="8"/>
      <c r="BB205" s="8"/>
      <c r="BC205" s="8"/>
      <c r="BD205" s="8"/>
      <c r="BE205" s="14"/>
      <c r="BF205" s="34"/>
      <c r="BG205" s="21" t="s">
        <v>352</v>
      </c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84"/>
      <c r="BW205" s="20"/>
      <c r="BX205" s="20"/>
      <c r="BY205" s="20"/>
      <c r="BZ205" s="20"/>
      <c r="CA205" s="19"/>
      <c r="CB205" s="14"/>
      <c r="CD205" s="57"/>
      <c r="CH205" s="57"/>
      <c r="CS205" s="58"/>
    </row>
    <row r="206" spans="1:103" s="11" customFormat="1" x14ac:dyDescent="0.3">
      <c r="A206" s="24"/>
      <c r="B206" s="26"/>
      <c r="C206" s="20"/>
      <c r="D206" s="20"/>
      <c r="E206" s="20"/>
      <c r="F206" s="20"/>
      <c r="G206" s="20"/>
      <c r="H206" s="19"/>
      <c r="I206" s="27"/>
      <c r="J206" s="20"/>
      <c r="K206" s="20"/>
      <c r="L206" s="20"/>
      <c r="M206" s="20"/>
      <c r="N206" s="20"/>
      <c r="O206" s="19"/>
      <c r="P206" s="27"/>
      <c r="Q206" s="20"/>
      <c r="R206" s="20"/>
      <c r="S206" s="20"/>
      <c r="T206" s="20"/>
      <c r="U206" s="20"/>
      <c r="V206" s="19"/>
      <c r="W206" s="27"/>
      <c r="X206" s="20"/>
      <c r="Y206" s="20"/>
      <c r="Z206" s="20"/>
      <c r="AA206" s="20"/>
      <c r="AB206" s="20"/>
      <c r="AC206" s="19"/>
      <c r="AD206" s="27"/>
      <c r="AE206" s="20"/>
      <c r="AF206" s="20"/>
      <c r="AG206" s="20"/>
      <c r="AH206" s="20"/>
      <c r="AI206" s="20"/>
      <c r="AJ206" s="19"/>
      <c r="AK206" s="27"/>
      <c r="AL206" s="20"/>
      <c r="AM206" s="20"/>
      <c r="AN206" s="20"/>
      <c r="AO206" s="20"/>
      <c r="AP206" s="20"/>
      <c r="AQ206" s="19"/>
      <c r="AR206" s="20"/>
      <c r="AS206" s="20"/>
      <c r="AT206" s="20"/>
      <c r="AU206" s="20"/>
      <c r="AV206" s="20"/>
      <c r="AW206" s="20"/>
      <c r="AX206" s="19"/>
      <c r="AY206" s="23"/>
      <c r="AZ206" s="8"/>
      <c r="BA206" s="8"/>
      <c r="BB206" s="8"/>
      <c r="BC206" s="8"/>
      <c r="BD206" s="8"/>
      <c r="BE206" s="14"/>
      <c r="BF206" s="34"/>
      <c r="BG206" s="17"/>
      <c r="BH206" s="17" t="s">
        <v>353</v>
      </c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27"/>
      <c r="BW206" s="20"/>
      <c r="BX206" s="20"/>
      <c r="BY206" s="20"/>
      <c r="BZ206" s="20"/>
      <c r="CA206" s="19"/>
      <c r="CB206" s="14"/>
      <c r="CD206" s="57"/>
      <c r="CH206" s="57"/>
      <c r="CS206" s="58"/>
    </row>
    <row r="207" spans="1:103" s="11" customFormat="1" x14ac:dyDescent="0.3">
      <c r="A207" s="24"/>
      <c r="B207" s="26"/>
      <c r="C207" s="20"/>
      <c r="D207" s="20"/>
      <c r="E207" s="20"/>
      <c r="F207" s="20"/>
      <c r="G207" s="20"/>
      <c r="H207" s="19"/>
      <c r="I207" s="27"/>
      <c r="J207" s="20"/>
      <c r="K207" s="20"/>
      <c r="L207" s="20"/>
      <c r="M207" s="20"/>
      <c r="N207" s="20"/>
      <c r="O207" s="19"/>
      <c r="P207" s="27"/>
      <c r="Q207" s="20"/>
      <c r="R207" s="20"/>
      <c r="S207" s="20"/>
      <c r="T207" s="20"/>
      <c r="U207" s="20"/>
      <c r="V207" s="19"/>
      <c r="W207" s="27"/>
      <c r="X207" s="20"/>
      <c r="Y207" s="20"/>
      <c r="Z207" s="20"/>
      <c r="AA207" s="20"/>
      <c r="AB207" s="20"/>
      <c r="AC207" s="19"/>
      <c r="AD207" s="27"/>
      <c r="AE207" s="20"/>
      <c r="AF207" s="20"/>
      <c r="AG207" s="20"/>
      <c r="AH207" s="20"/>
      <c r="AI207" s="20"/>
      <c r="AJ207" s="19"/>
      <c r="AK207" s="27"/>
      <c r="AL207" s="20"/>
      <c r="AM207" s="20"/>
      <c r="AN207" s="20"/>
      <c r="AO207" s="20"/>
      <c r="AP207" s="20"/>
      <c r="AQ207" s="19"/>
      <c r="AR207" s="20"/>
      <c r="AS207" s="20"/>
      <c r="AT207" s="20"/>
      <c r="AU207" s="20"/>
      <c r="AV207" s="20"/>
      <c r="AW207" s="20"/>
      <c r="AX207" s="19"/>
      <c r="AY207" s="23"/>
      <c r="AZ207" s="8"/>
      <c r="BA207" s="8"/>
      <c r="BB207" s="8"/>
      <c r="BC207" s="8"/>
      <c r="BD207" s="8"/>
      <c r="BE207" s="14"/>
      <c r="BF207" s="34"/>
      <c r="BG207" s="21"/>
      <c r="BH207" s="17" t="s">
        <v>354</v>
      </c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27"/>
      <c r="BW207" s="20"/>
      <c r="BX207" s="20"/>
      <c r="BY207" s="20"/>
      <c r="BZ207" s="20"/>
      <c r="CA207" s="19"/>
      <c r="CB207" s="14"/>
      <c r="CD207" s="57"/>
      <c r="CH207" s="57"/>
      <c r="CS207" s="58"/>
    </row>
    <row r="208" spans="1:103" s="11" customFormat="1" x14ac:dyDescent="0.3">
      <c r="A208" s="24"/>
      <c r="B208" s="26"/>
      <c r="C208" s="20"/>
      <c r="D208" s="20"/>
      <c r="E208" s="20"/>
      <c r="F208" s="20"/>
      <c r="G208" s="20"/>
      <c r="H208" s="19"/>
      <c r="I208" s="27"/>
      <c r="J208" s="20"/>
      <c r="K208" s="20"/>
      <c r="L208" s="20"/>
      <c r="M208" s="20"/>
      <c r="N208" s="20"/>
      <c r="O208" s="19"/>
      <c r="P208" s="27"/>
      <c r="Q208" s="20"/>
      <c r="R208" s="20"/>
      <c r="S208" s="20"/>
      <c r="T208" s="20"/>
      <c r="U208" s="20"/>
      <c r="V208" s="19"/>
      <c r="W208" s="27"/>
      <c r="X208" s="20"/>
      <c r="Y208" s="20"/>
      <c r="Z208" s="20"/>
      <c r="AA208" s="20"/>
      <c r="AB208" s="20"/>
      <c r="AC208" s="19"/>
      <c r="AD208" s="27"/>
      <c r="AE208" s="20"/>
      <c r="AF208" s="20"/>
      <c r="AG208" s="20"/>
      <c r="AH208" s="20"/>
      <c r="AI208" s="20"/>
      <c r="AJ208" s="19"/>
      <c r="AK208" s="27"/>
      <c r="AL208" s="20"/>
      <c r="AM208" s="20"/>
      <c r="AN208" s="20"/>
      <c r="AO208" s="20"/>
      <c r="AP208" s="20"/>
      <c r="AQ208" s="19"/>
      <c r="AR208" s="20"/>
      <c r="AS208" s="20"/>
      <c r="AT208" s="20"/>
      <c r="AU208" s="20"/>
      <c r="AV208" s="20"/>
      <c r="AW208" s="20"/>
      <c r="AX208" s="19"/>
      <c r="AY208" s="23"/>
      <c r="AZ208" s="8"/>
      <c r="BA208" s="8"/>
      <c r="BB208" s="8"/>
      <c r="BC208" s="8"/>
      <c r="BD208" s="8"/>
      <c r="BE208" s="14"/>
      <c r="BF208" s="34"/>
      <c r="BH208" s="86" t="s">
        <v>355</v>
      </c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27"/>
      <c r="BW208" s="20"/>
      <c r="BX208" s="20"/>
      <c r="BY208" s="20"/>
      <c r="BZ208" s="20"/>
      <c r="CA208" s="19"/>
      <c r="CB208" s="14"/>
      <c r="CD208" s="57"/>
      <c r="CH208" s="57"/>
      <c r="CS208" s="58"/>
    </row>
    <row r="209" spans="1:97" s="11" customFormat="1" x14ac:dyDescent="0.3">
      <c r="A209" s="24"/>
      <c r="B209" s="26"/>
      <c r="C209" s="20"/>
      <c r="D209" s="20"/>
      <c r="E209" s="20"/>
      <c r="F209" s="20"/>
      <c r="G209" s="20"/>
      <c r="H209" s="19"/>
      <c r="I209" s="27"/>
      <c r="J209" s="20"/>
      <c r="K209" s="20"/>
      <c r="L209" s="20"/>
      <c r="M209" s="20"/>
      <c r="N209" s="20"/>
      <c r="O209" s="19"/>
      <c r="P209" s="27"/>
      <c r="Q209" s="20"/>
      <c r="R209" s="20"/>
      <c r="S209" s="20"/>
      <c r="T209" s="20"/>
      <c r="U209" s="20"/>
      <c r="V209" s="19"/>
      <c r="W209" s="27"/>
      <c r="X209" s="20"/>
      <c r="Y209" s="20"/>
      <c r="Z209" s="20"/>
      <c r="AA209" s="20"/>
      <c r="AB209" s="20"/>
      <c r="AC209" s="19"/>
      <c r="AD209" s="27"/>
      <c r="AE209" s="20"/>
      <c r="AF209" s="20"/>
      <c r="AG209" s="20"/>
      <c r="AH209" s="20"/>
      <c r="AI209" s="20"/>
      <c r="AJ209" s="19"/>
      <c r="AK209" s="27"/>
      <c r="AL209" s="20"/>
      <c r="AM209" s="20"/>
      <c r="AN209" s="20"/>
      <c r="AO209" s="20"/>
      <c r="AP209" s="20"/>
      <c r="AQ209" s="19"/>
      <c r="AR209" s="20"/>
      <c r="AS209" s="20"/>
      <c r="AT209" s="20"/>
      <c r="AU209" s="20"/>
      <c r="AV209" s="20"/>
      <c r="AW209" s="20"/>
      <c r="AX209" s="19"/>
      <c r="AY209" s="23"/>
      <c r="AZ209" s="8"/>
      <c r="BA209" s="8"/>
      <c r="BB209" s="8"/>
      <c r="BC209" s="8"/>
      <c r="BD209" s="8"/>
      <c r="BE209" s="14"/>
      <c r="BF209" s="34"/>
      <c r="BH209" s="85" t="s">
        <v>356</v>
      </c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27"/>
      <c r="BW209" s="20"/>
      <c r="BX209" s="20"/>
      <c r="BY209" s="20"/>
      <c r="BZ209" s="20"/>
      <c r="CA209" s="19"/>
      <c r="CB209" s="14"/>
      <c r="CD209" s="57"/>
      <c r="CH209" s="57"/>
      <c r="CS209" s="58"/>
    </row>
    <row r="210" spans="1:97" s="11" customFormat="1" x14ac:dyDescent="0.3">
      <c r="A210" s="24"/>
      <c r="B210" s="26"/>
      <c r="C210" s="20"/>
      <c r="D210" s="20"/>
      <c r="E210" s="20"/>
      <c r="F210" s="20"/>
      <c r="G210" s="20"/>
      <c r="H210" s="19"/>
      <c r="I210" s="27"/>
      <c r="J210" s="20"/>
      <c r="K210" s="20"/>
      <c r="L210" s="20"/>
      <c r="M210" s="20"/>
      <c r="N210" s="20"/>
      <c r="O210" s="19"/>
      <c r="P210" s="27"/>
      <c r="Q210" s="20"/>
      <c r="R210" s="20"/>
      <c r="S210" s="20"/>
      <c r="T210" s="20"/>
      <c r="U210" s="20"/>
      <c r="V210" s="19"/>
      <c r="W210" s="27"/>
      <c r="X210" s="20"/>
      <c r="Y210" s="20"/>
      <c r="Z210" s="20"/>
      <c r="AA210" s="20"/>
      <c r="AB210" s="20"/>
      <c r="AC210" s="19"/>
      <c r="AD210" s="27"/>
      <c r="AE210" s="20"/>
      <c r="AF210" s="20"/>
      <c r="AG210" s="20"/>
      <c r="AH210" s="20"/>
      <c r="AI210" s="20"/>
      <c r="AJ210" s="19"/>
      <c r="AK210" s="27"/>
      <c r="AL210" s="20"/>
      <c r="AM210" s="20"/>
      <c r="AN210" s="20"/>
      <c r="AO210" s="20"/>
      <c r="AP210" s="20"/>
      <c r="AQ210" s="19"/>
      <c r="AR210" s="20"/>
      <c r="AS210" s="20"/>
      <c r="AT210" s="20"/>
      <c r="AU210" s="20"/>
      <c r="AV210" s="20"/>
      <c r="AW210" s="20"/>
      <c r="AX210" s="19"/>
      <c r="AY210" s="23"/>
      <c r="AZ210" s="8"/>
      <c r="BA210" s="8"/>
      <c r="BB210" s="8"/>
      <c r="BC210" s="8"/>
      <c r="BD210" s="8"/>
      <c r="BE210" s="14"/>
      <c r="BF210" s="34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73"/>
      <c r="BW210" s="8"/>
      <c r="BX210" s="8"/>
      <c r="BY210" s="20"/>
      <c r="BZ210" s="20"/>
      <c r="CA210" s="19"/>
      <c r="CB210" s="14"/>
      <c r="CD210" s="57"/>
      <c r="CH210" s="57"/>
      <c r="CS210" s="58"/>
    </row>
    <row r="211" spans="1:97" s="11" customFormat="1" ht="13.5" customHeight="1" x14ac:dyDescent="0.3">
      <c r="A211" s="24"/>
      <c r="B211" s="28"/>
      <c r="C211" s="12"/>
      <c r="D211" s="12"/>
      <c r="E211" s="12"/>
      <c r="F211" s="12"/>
      <c r="G211" s="12"/>
      <c r="H211" s="18"/>
      <c r="I211" s="29"/>
      <c r="J211"/>
      <c r="K211"/>
      <c r="L211"/>
      <c r="M211"/>
      <c r="N211"/>
      <c r="O211" s="18"/>
      <c r="P211" s="29"/>
      <c r="Q211"/>
      <c r="R211"/>
      <c r="S211"/>
      <c r="T211"/>
      <c r="U211"/>
      <c r="V211" s="18"/>
      <c r="W211" s="29"/>
      <c r="X211"/>
      <c r="Y211"/>
      <c r="Z211"/>
      <c r="AA211"/>
      <c r="AB211"/>
      <c r="AC211" s="18"/>
      <c r="AD211" s="29"/>
      <c r="AE211"/>
      <c r="AF211"/>
      <c r="AG211"/>
      <c r="AH211"/>
      <c r="AI211"/>
      <c r="AJ211" s="18"/>
      <c r="AK211" s="29"/>
      <c r="AL211"/>
      <c r="AM211"/>
      <c r="AN211"/>
      <c r="AO211"/>
      <c r="AP211"/>
      <c r="AQ211" s="18"/>
      <c r="AR211"/>
      <c r="AS211"/>
      <c r="AT211"/>
      <c r="AU211"/>
      <c r="AV211"/>
      <c r="AW211"/>
      <c r="AX211" s="18"/>
      <c r="AY211" s="23"/>
      <c r="AZ211" s="8"/>
      <c r="BA211" s="8"/>
      <c r="BB211" s="8"/>
      <c r="BC211" s="8"/>
      <c r="BD211" s="8"/>
      <c r="BE211" s="14"/>
      <c r="BF211" s="30"/>
      <c r="BG211" s="21" t="s">
        <v>297</v>
      </c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V211" s="23"/>
      <c r="BW211" s="8"/>
      <c r="BX211" s="8"/>
      <c r="CA211" s="13"/>
      <c r="CB211" s="14"/>
      <c r="CD211" s="57"/>
      <c r="CH211" s="57"/>
      <c r="CS211" s="58"/>
    </row>
    <row r="212" spans="1:97" s="11" customFormat="1" x14ac:dyDescent="0.3">
      <c r="A212" s="24"/>
      <c r="B212" s="28"/>
      <c r="C212" s="12"/>
      <c r="D212" s="12"/>
      <c r="E212" s="12"/>
      <c r="F212" s="12"/>
      <c r="G212" s="12"/>
      <c r="H212" s="18"/>
      <c r="I212" s="30"/>
      <c r="O212" s="13"/>
      <c r="P212" s="30"/>
      <c r="V212" s="13"/>
      <c r="W212" s="30"/>
      <c r="AC212" s="13"/>
      <c r="AD212" s="30"/>
      <c r="AJ212" s="13"/>
      <c r="AK212" s="30"/>
      <c r="AQ212" s="13"/>
      <c r="AX212" s="18"/>
      <c r="AY212" s="23"/>
      <c r="AZ212" s="8"/>
      <c r="BA212" s="8"/>
      <c r="BB212" s="8"/>
      <c r="BC212" s="8"/>
      <c r="BD212" s="8"/>
      <c r="BE212" s="14"/>
      <c r="BH212" s="17" t="s">
        <v>298</v>
      </c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V212" s="23"/>
      <c r="BW212" s="8"/>
      <c r="BX212" s="8"/>
      <c r="CA212" s="13"/>
      <c r="CB212" s="14"/>
      <c r="CD212" s="57"/>
      <c r="CH212" s="57"/>
      <c r="CS212" s="58"/>
    </row>
    <row r="213" spans="1:97" x14ac:dyDescent="0.3">
      <c r="A213" s="23"/>
      <c r="B213" s="23"/>
      <c r="H213" s="14"/>
      <c r="I213" s="23"/>
      <c r="O213" s="14"/>
      <c r="P213" s="23"/>
      <c r="V213" s="14"/>
      <c r="W213" s="23"/>
      <c r="AC213" s="14"/>
      <c r="AD213" s="23"/>
      <c r="AJ213" s="14"/>
      <c r="AK213" s="23"/>
      <c r="AQ213" s="14"/>
      <c r="AX213" s="18"/>
      <c r="AY213" s="23"/>
      <c r="BE213" s="14"/>
      <c r="BF213" s="30"/>
      <c r="BG213" s="11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1"/>
      <c r="BU213" s="11"/>
      <c r="BV213" s="23"/>
      <c r="CA213" s="14"/>
      <c r="CB213" s="14"/>
      <c r="CD213" s="59"/>
      <c r="CH213" s="59"/>
      <c r="CS213" s="60"/>
    </row>
    <row r="214" spans="1:97" x14ac:dyDescent="0.3">
      <c r="A214" s="23"/>
      <c r="B214" s="23"/>
      <c r="H214" s="14"/>
      <c r="I214" s="23"/>
      <c r="O214" s="14"/>
      <c r="P214" s="23"/>
      <c r="V214" s="14"/>
      <c r="W214" s="23"/>
      <c r="AC214" s="14"/>
      <c r="AD214" s="23"/>
      <c r="AJ214" s="14"/>
      <c r="AK214" s="23"/>
      <c r="AQ214" s="14"/>
      <c r="AX214" s="18"/>
      <c r="AY214" s="23"/>
      <c r="BE214" s="14"/>
      <c r="BF214" s="30"/>
      <c r="BG214" s="11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U214" s="11"/>
      <c r="BV214" s="23"/>
      <c r="CA214" s="14"/>
      <c r="CB214" s="14"/>
      <c r="CD214" s="59"/>
      <c r="CH214" s="59"/>
      <c r="CS214" s="60"/>
    </row>
    <row r="215" spans="1:97" x14ac:dyDescent="0.3">
      <c r="A215" s="23"/>
      <c r="B215" s="23"/>
      <c r="H215" s="14"/>
      <c r="I215" s="23"/>
      <c r="O215" s="14"/>
      <c r="P215" s="23"/>
      <c r="V215" s="14"/>
      <c r="W215" s="23"/>
      <c r="AC215" s="14"/>
      <c r="AD215" s="23"/>
      <c r="AJ215" s="14"/>
      <c r="AK215" s="23"/>
      <c r="AQ215" s="14"/>
      <c r="AX215" s="18"/>
      <c r="AY215" s="23"/>
      <c r="BE215" s="14"/>
      <c r="BF215" s="30"/>
      <c r="BG215" s="11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U215" s="11"/>
      <c r="BV215" s="23"/>
      <c r="CA215" s="14"/>
      <c r="CB215" s="14"/>
      <c r="CD215" s="59"/>
      <c r="CH215" s="59"/>
      <c r="CS215" s="60"/>
    </row>
    <row r="216" spans="1:97" x14ac:dyDescent="0.3">
      <c r="A216" s="23"/>
      <c r="B216" s="23"/>
      <c r="H216" s="14"/>
      <c r="I216" s="23"/>
      <c r="O216" s="14"/>
      <c r="P216" s="23"/>
      <c r="V216" s="14"/>
      <c r="W216" s="23"/>
      <c r="AC216" s="14"/>
      <c r="AD216" s="23"/>
      <c r="AJ216" s="14"/>
      <c r="AK216" s="23"/>
      <c r="AQ216" s="14"/>
      <c r="AX216" s="18"/>
      <c r="AY216" s="23"/>
      <c r="BE216" s="14"/>
      <c r="BF216" s="30"/>
      <c r="BG216" s="21" t="s">
        <v>357</v>
      </c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U216" s="11"/>
      <c r="BV216" s="23"/>
      <c r="CA216" s="14"/>
      <c r="CB216" s="14"/>
      <c r="CD216" s="59"/>
      <c r="CH216" s="59"/>
      <c r="CS216" s="60"/>
    </row>
    <row r="217" spans="1:97" x14ac:dyDescent="0.3">
      <c r="A217" s="23"/>
      <c r="B217" s="23"/>
      <c r="H217" s="14"/>
      <c r="I217" s="23"/>
      <c r="O217" s="14"/>
      <c r="P217" s="23"/>
      <c r="V217" s="14"/>
      <c r="W217" s="23"/>
      <c r="AC217" s="14"/>
      <c r="AD217" s="23"/>
      <c r="AJ217" s="14"/>
      <c r="AK217" s="23"/>
      <c r="AQ217" s="14"/>
      <c r="AX217" s="18"/>
      <c r="AY217" s="23"/>
      <c r="BE217" s="14"/>
      <c r="BF217" s="30"/>
      <c r="BG217" s="11"/>
      <c r="BH217" s="17" t="s">
        <v>358</v>
      </c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U217" s="11"/>
      <c r="BV217" s="23"/>
      <c r="CA217" s="14"/>
      <c r="CB217" s="14"/>
      <c r="CD217" s="59"/>
      <c r="CH217" s="59"/>
      <c r="CS217" s="60"/>
    </row>
    <row r="218" spans="1:97" x14ac:dyDescent="0.3">
      <c r="A218" s="23"/>
      <c r="B218" s="23"/>
      <c r="H218" s="14"/>
      <c r="I218" s="23"/>
      <c r="O218" s="14"/>
      <c r="P218" s="23"/>
      <c r="V218" s="14"/>
      <c r="W218" s="23"/>
      <c r="AC218" s="14"/>
      <c r="AD218" s="23"/>
      <c r="AJ218" s="14"/>
      <c r="AK218" s="23"/>
      <c r="AQ218" s="14"/>
      <c r="AX218" s="18"/>
      <c r="AY218" s="23"/>
      <c r="BE218" s="14"/>
      <c r="BF218" s="73"/>
      <c r="BG218" s="21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V218" s="23"/>
      <c r="CA218" s="14"/>
      <c r="CB218" s="14"/>
      <c r="CD218" s="59"/>
      <c r="CH218" s="59"/>
      <c r="CS218" s="60"/>
    </row>
    <row r="219" spans="1:97" x14ac:dyDescent="0.3">
      <c r="A219" s="23"/>
      <c r="B219" s="23"/>
      <c r="H219" s="14"/>
      <c r="I219" s="23"/>
      <c r="O219" s="14"/>
      <c r="P219" s="23"/>
      <c r="V219" s="14"/>
      <c r="W219" s="23"/>
      <c r="AC219" s="14"/>
      <c r="AD219" s="23"/>
      <c r="AJ219" s="14"/>
      <c r="AK219" s="23"/>
      <c r="AQ219" s="14"/>
      <c r="AX219" s="18"/>
      <c r="AY219" s="23"/>
      <c r="BE219" s="14"/>
      <c r="BF219" s="30"/>
      <c r="BG219" s="11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V219" s="23"/>
      <c r="CA219" s="14"/>
      <c r="CB219" s="14"/>
      <c r="CD219" s="59"/>
      <c r="CH219" s="59"/>
      <c r="CS219" s="60"/>
    </row>
    <row r="220" spans="1:97" x14ac:dyDescent="0.3">
      <c r="A220" s="23"/>
      <c r="B220" s="23"/>
      <c r="H220" s="14"/>
      <c r="I220" s="23"/>
      <c r="O220" s="14"/>
      <c r="P220" s="23"/>
      <c r="V220" s="14"/>
      <c r="W220" s="23"/>
      <c r="AC220" s="14"/>
      <c r="AD220" s="23"/>
      <c r="AJ220" s="14"/>
      <c r="AK220" s="23"/>
      <c r="AQ220" s="14"/>
      <c r="AX220" s="18"/>
      <c r="AY220" s="23"/>
      <c r="BE220" s="14"/>
      <c r="BF220" s="30"/>
      <c r="BG220" s="11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V220" s="23"/>
      <c r="CA220" s="14"/>
      <c r="CB220" s="14"/>
      <c r="CD220" s="59"/>
      <c r="CH220" s="59"/>
      <c r="CS220" s="60"/>
    </row>
    <row r="221" spans="1:97" x14ac:dyDescent="0.3">
      <c r="A221" s="23"/>
      <c r="B221" s="23"/>
      <c r="H221" s="14"/>
      <c r="I221" s="23"/>
      <c r="O221" s="14"/>
      <c r="P221" s="23"/>
      <c r="V221" s="14"/>
      <c r="W221" s="23"/>
      <c r="AC221" s="14"/>
      <c r="AD221" s="23"/>
      <c r="AJ221" s="14"/>
      <c r="AK221" s="23"/>
      <c r="AQ221" s="14"/>
      <c r="AX221" s="18"/>
      <c r="AY221" s="23"/>
      <c r="BE221" s="14"/>
      <c r="BF221" s="73" t="s">
        <v>359</v>
      </c>
      <c r="BG221" s="21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V221" s="23"/>
      <c r="CA221" s="14"/>
      <c r="CB221" s="14"/>
      <c r="CD221" s="59"/>
      <c r="CH221" s="59"/>
      <c r="CS221" s="60"/>
    </row>
    <row r="222" spans="1:97" x14ac:dyDescent="0.3">
      <c r="A222" s="23"/>
      <c r="B222" s="23"/>
      <c r="H222" s="14"/>
      <c r="I222" s="23"/>
      <c r="O222" s="14"/>
      <c r="P222" s="23"/>
      <c r="V222" s="14"/>
      <c r="W222" s="23"/>
      <c r="AC222" s="14"/>
      <c r="AD222" s="23"/>
      <c r="AJ222" s="14"/>
      <c r="AK222" s="23"/>
      <c r="AQ222" s="14"/>
      <c r="AX222" s="18"/>
      <c r="AY222" s="23"/>
      <c r="BE222" s="14"/>
      <c r="BF222" s="23"/>
      <c r="BG222" s="11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V222" s="23"/>
      <c r="CA222" s="14"/>
      <c r="CB222" s="14"/>
      <c r="CD222" s="59"/>
      <c r="CH222" s="59"/>
      <c r="CS222" s="60"/>
    </row>
    <row r="223" spans="1:97" x14ac:dyDescent="0.3">
      <c r="A223" s="23"/>
      <c r="B223" s="23"/>
      <c r="H223" s="14"/>
      <c r="I223" s="23"/>
      <c r="O223" s="14"/>
      <c r="P223" s="23"/>
      <c r="V223" s="14"/>
      <c r="W223" s="23"/>
      <c r="AC223" s="14"/>
      <c r="AD223" s="23"/>
      <c r="AJ223" s="14"/>
      <c r="AK223" s="23"/>
      <c r="AQ223" s="14"/>
      <c r="AX223" s="18"/>
      <c r="AY223" s="23"/>
      <c r="BE223" s="14"/>
      <c r="BF223" s="23"/>
      <c r="BG223" s="21" t="s">
        <v>360</v>
      </c>
      <c r="BH223" s="17"/>
      <c r="BI223" s="17"/>
      <c r="BJ223" s="17"/>
      <c r="BK223" s="17"/>
      <c r="BL223" s="17"/>
      <c r="BM223" s="17"/>
      <c r="BN223" s="17"/>
      <c r="BO223" s="17"/>
      <c r="BP223" s="11"/>
      <c r="BQ223" s="17"/>
      <c r="BR223" s="17"/>
      <c r="BS223" s="17"/>
      <c r="BV223" s="23"/>
      <c r="CA223" s="14"/>
      <c r="CB223" s="14"/>
      <c r="CD223" s="59"/>
      <c r="CH223" s="59"/>
      <c r="CS223" s="60"/>
    </row>
    <row r="224" spans="1:97" x14ac:dyDescent="0.3">
      <c r="A224" s="23"/>
      <c r="B224" s="23"/>
      <c r="H224" s="14"/>
      <c r="I224" s="23"/>
      <c r="O224" s="14"/>
      <c r="P224" s="23"/>
      <c r="V224" s="14"/>
      <c r="W224" s="23"/>
      <c r="AC224" s="14"/>
      <c r="AD224" s="23"/>
      <c r="AJ224" s="14"/>
      <c r="AK224" s="23"/>
      <c r="AQ224" s="14"/>
      <c r="AX224" s="18"/>
      <c r="AY224" s="23"/>
      <c r="BE224" s="14"/>
      <c r="BF224" s="23"/>
      <c r="BG224" s="17"/>
      <c r="BH224" s="17" t="s">
        <v>361</v>
      </c>
      <c r="BI224" s="17"/>
      <c r="BJ224" s="17"/>
      <c r="BK224" s="17"/>
      <c r="BL224" s="17"/>
      <c r="BM224" s="17"/>
      <c r="BN224" s="17"/>
      <c r="BO224" s="17"/>
      <c r="BP224" s="11"/>
      <c r="BQ224" s="17"/>
      <c r="BR224" s="17"/>
      <c r="BS224" s="17"/>
      <c r="BV224" s="23"/>
      <c r="CA224" s="14"/>
      <c r="CB224" s="14"/>
      <c r="CD224" s="59"/>
      <c r="CH224" s="59"/>
      <c r="CS224" s="60"/>
    </row>
    <row r="225" spans="1:97" x14ac:dyDescent="0.3">
      <c r="A225" s="23"/>
      <c r="B225" s="23"/>
      <c r="H225" s="14"/>
      <c r="I225" s="23"/>
      <c r="O225" s="14"/>
      <c r="P225" s="23"/>
      <c r="V225" s="14"/>
      <c r="W225" s="23"/>
      <c r="AC225" s="14"/>
      <c r="AD225" s="23"/>
      <c r="AJ225" s="14"/>
      <c r="AK225" s="23"/>
      <c r="AQ225" s="14"/>
      <c r="AX225" s="18"/>
      <c r="AY225" s="23"/>
      <c r="BE225" s="14"/>
      <c r="BF225" s="23"/>
      <c r="BG225" s="21"/>
      <c r="BH225" s="17" t="s">
        <v>362</v>
      </c>
      <c r="BI225" s="17"/>
      <c r="BJ225" s="17"/>
      <c r="BK225" s="17"/>
      <c r="BL225" s="17"/>
      <c r="BM225" s="17"/>
      <c r="BN225" s="17"/>
      <c r="BO225" s="17"/>
      <c r="BV225" s="23"/>
      <c r="CA225" s="14"/>
      <c r="CB225" s="14"/>
      <c r="CD225" s="59"/>
      <c r="CH225" s="59"/>
      <c r="CS225" s="60"/>
    </row>
    <row r="226" spans="1:97" x14ac:dyDescent="0.3">
      <c r="A226" s="23"/>
      <c r="B226" s="23"/>
      <c r="H226" s="14"/>
      <c r="I226" s="23"/>
      <c r="O226" s="14"/>
      <c r="P226" s="23"/>
      <c r="V226" s="14"/>
      <c r="W226" s="23"/>
      <c r="AC226" s="14"/>
      <c r="AD226" s="23"/>
      <c r="AJ226" s="14"/>
      <c r="AK226" s="23"/>
      <c r="AQ226" s="14"/>
      <c r="AX226" s="18"/>
      <c r="AY226" s="23"/>
      <c r="BE226" s="14"/>
      <c r="BF226" s="23"/>
      <c r="BG226" s="16"/>
      <c r="BH226" s="11"/>
      <c r="BI226" s="11"/>
      <c r="BJ226" s="11"/>
      <c r="BV226" s="23"/>
      <c r="CA226" s="14"/>
      <c r="CB226" s="14"/>
      <c r="CD226" s="59"/>
      <c r="CH226" s="59"/>
      <c r="CS226" s="60"/>
    </row>
    <row r="227" spans="1:97" x14ac:dyDescent="0.3">
      <c r="A227" s="23"/>
      <c r="B227" s="23"/>
      <c r="H227" s="14"/>
      <c r="I227" s="23"/>
      <c r="O227" s="14"/>
      <c r="P227" s="23"/>
      <c r="V227" s="14"/>
      <c r="W227" s="23"/>
      <c r="AC227" s="14"/>
      <c r="AD227" s="23"/>
      <c r="AJ227" s="14"/>
      <c r="AK227" s="23"/>
      <c r="AQ227" s="14"/>
      <c r="AX227" s="18"/>
      <c r="AY227" s="23"/>
      <c r="BE227" s="14"/>
      <c r="BF227" s="23"/>
      <c r="BG227" s="11"/>
      <c r="BH227" s="11"/>
      <c r="BI227" s="11"/>
      <c r="BJ227" s="11"/>
      <c r="BV227" s="23"/>
      <c r="CA227" s="14"/>
      <c r="CB227" s="14"/>
      <c r="CD227" s="59"/>
      <c r="CH227" s="59"/>
      <c r="CS227" s="60"/>
    </row>
    <row r="228" spans="1:97" x14ac:dyDescent="0.3">
      <c r="A228" s="23"/>
      <c r="B228" s="23"/>
      <c r="H228" s="14"/>
      <c r="I228" s="23"/>
      <c r="O228" s="14"/>
      <c r="P228" s="23"/>
      <c r="V228" s="14"/>
      <c r="W228" s="23"/>
      <c r="AC228" s="14"/>
      <c r="AD228" s="23"/>
      <c r="AJ228" s="14"/>
      <c r="AK228" s="23"/>
      <c r="AQ228" s="14"/>
      <c r="AX228" s="18"/>
      <c r="AY228" s="23"/>
      <c r="BE228" s="14"/>
      <c r="BF228" s="23"/>
      <c r="BV228" s="23"/>
      <c r="CA228" s="14"/>
      <c r="CB228" s="14"/>
      <c r="CD228" s="59"/>
      <c r="CH228" s="59"/>
      <c r="CS228" s="60"/>
    </row>
    <row r="229" spans="1:97" x14ac:dyDescent="0.3">
      <c r="A229" s="23"/>
      <c r="B229" s="23"/>
      <c r="H229" s="14"/>
      <c r="I229" s="23"/>
      <c r="O229" s="14"/>
      <c r="P229" s="23"/>
      <c r="V229" s="14"/>
      <c r="W229" s="23"/>
      <c r="AC229" s="14"/>
      <c r="AD229" s="23"/>
      <c r="AJ229" s="14"/>
      <c r="AK229" s="23"/>
      <c r="AQ229" s="14"/>
      <c r="AR229" s="23"/>
      <c r="AY229" s="23"/>
      <c r="BF229" s="23"/>
      <c r="BV229" s="23"/>
      <c r="CA229" s="14"/>
      <c r="CB229" s="14"/>
      <c r="CD229" s="59"/>
      <c r="CH229" s="59"/>
      <c r="CS229" s="60"/>
    </row>
    <row r="230" spans="1:97" x14ac:dyDescent="0.3">
      <c r="A230" s="23"/>
      <c r="B230" s="23"/>
      <c r="H230" s="14"/>
      <c r="I230" s="23"/>
      <c r="O230" s="14"/>
      <c r="P230" s="23"/>
      <c r="V230" s="14"/>
      <c r="W230" s="23"/>
      <c r="AC230" s="14"/>
      <c r="AD230" s="23"/>
      <c r="AJ230" s="14"/>
      <c r="AK230" s="23"/>
      <c r="AQ230" s="14"/>
      <c r="AR230" s="23"/>
      <c r="AY230" s="23"/>
      <c r="BF230" s="23"/>
      <c r="BL230" s="17"/>
      <c r="BV230" s="23"/>
      <c r="CA230" s="14"/>
      <c r="CB230" s="14"/>
      <c r="CD230" s="59"/>
      <c r="CH230" s="59"/>
      <c r="CS230" s="60"/>
    </row>
    <row r="231" spans="1:97" x14ac:dyDescent="0.3">
      <c r="A231" s="23"/>
      <c r="B231" s="23"/>
      <c r="H231" s="14"/>
      <c r="I231" s="23"/>
      <c r="O231" s="14"/>
      <c r="P231" s="23"/>
      <c r="V231" s="14"/>
      <c r="W231" s="23"/>
      <c r="AC231" s="14"/>
      <c r="AD231" s="23"/>
      <c r="AJ231" s="14"/>
      <c r="AK231" s="23"/>
      <c r="AQ231" s="14"/>
      <c r="AR231" s="23"/>
      <c r="AY231" s="23"/>
      <c r="BF231" s="23"/>
      <c r="BL231" s="17"/>
      <c r="BV231" s="23"/>
      <c r="CA231" s="14"/>
      <c r="CB231" s="14"/>
      <c r="CD231" s="59"/>
      <c r="CH231" s="59"/>
      <c r="CS231" s="60"/>
    </row>
    <row r="232" spans="1:97" x14ac:dyDescent="0.3">
      <c r="A232" s="23"/>
      <c r="B232" s="23"/>
      <c r="H232" s="14"/>
      <c r="I232" s="23"/>
      <c r="O232" s="14"/>
      <c r="P232" s="23"/>
      <c r="V232" s="14"/>
      <c r="W232" s="23"/>
      <c r="AC232" s="14"/>
      <c r="AD232" s="23"/>
      <c r="AJ232" s="14"/>
      <c r="AK232" s="23"/>
      <c r="AQ232" s="14"/>
      <c r="AR232" s="23"/>
      <c r="AY232" s="23"/>
      <c r="BF232" s="23"/>
      <c r="BL232" s="17"/>
      <c r="BV232" s="23"/>
      <c r="CA232" s="14"/>
      <c r="CB232" s="14"/>
      <c r="CD232" s="59"/>
      <c r="CH232" s="59"/>
      <c r="CS232" s="60"/>
    </row>
    <row r="233" spans="1:97" x14ac:dyDescent="0.3">
      <c r="A233" s="23"/>
      <c r="B233" s="23"/>
      <c r="H233" s="14"/>
      <c r="I233" s="23"/>
      <c r="O233" s="14"/>
      <c r="P233" s="23"/>
      <c r="V233" s="14"/>
      <c r="W233" s="23"/>
      <c r="AC233" s="14"/>
      <c r="AD233" s="23"/>
      <c r="AJ233" s="14"/>
      <c r="AK233" s="23"/>
      <c r="AQ233" s="14"/>
      <c r="AR233" s="23"/>
      <c r="AY233" s="23"/>
      <c r="BF233" s="23"/>
      <c r="BG233" s="21" t="s">
        <v>363</v>
      </c>
      <c r="BV233" s="23"/>
      <c r="CA233" s="14"/>
      <c r="CB233" s="14"/>
      <c r="CD233" s="59"/>
      <c r="CH233" s="59"/>
      <c r="CS233" s="60"/>
    </row>
    <row r="234" spans="1:97" x14ac:dyDescent="0.3">
      <c r="A234" s="23"/>
      <c r="B234" s="23"/>
      <c r="H234" s="14"/>
      <c r="I234" s="23"/>
      <c r="O234" s="14"/>
      <c r="P234" s="23"/>
      <c r="V234" s="14"/>
      <c r="W234" s="23"/>
      <c r="AC234" s="14"/>
      <c r="AD234" s="23"/>
      <c r="AJ234" s="14"/>
      <c r="AK234" s="23"/>
      <c r="AQ234" s="14"/>
      <c r="AR234" s="23"/>
      <c r="AY234" s="23"/>
      <c r="BF234" s="23"/>
      <c r="BH234" s="17" t="s">
        <v>364</v>
      </c>
      <c r="BI234" s="17"/>
      <c r="BJ234" s="17"/>
      <c r="BK234" s="17"/>
      <c r="BV234" s="23"/>
      <c r="CA234" s="14"/>
      <c r="CB234" s="14"/>
      <c r="CD234" s="59"/>
      <c r="CH234" s="59"/>
      <c r="CS234" s="60"/>
    </row>
    <row r="235" spans="1:97" x14ac:dyDescent="0.3">
      <c r="A235" s="23"/>
      <c r="B235" s="23"/>
      <c r="H235" s="14"/>
      <c r="I235" s="23"/>
      <c r="O235" s="14"/>
      <c r="P235" s="23"/>
      <c r="V235" s="14"/>
      <c r="W235" s="23"/>
      <c r="AC235" s="14"/>
      <c r="AD235" s="23"/>
      <c r="AJ235" s="14"/>
      <c r="AK235" s="23"/>
      <c r="AQ235" s="14"/>
      <c r="AR235" s="23"/>
      <c r="AY235" s="23"/>
      <c r="BF235" s="23"/>
      <c r="BG235" s="17"/>
      <c r="BH235" s="17" t="s">
        <v>365</v>
      </c>
      <c r="BI235" s="17"/>
      <c r="BJ235" s="17"/>
      <c r="BK235" s="17"/>
      <c r="BV235" s="23"/>
      <c r="CA235" s="14"/>
      <c r="CB235" s="14"/>
      <c r="CD235" s="59"/>
      <c r="CH235" s="59"/>
      <c r="CS235" s="60"/>
    </row>
    <row r="236" spans="1:97" x14ac:dyDescent="0.3">
      <c r="A236" s="23"/>
      <c r="B236" s="23"/>
      <c r="H236" s="14"/>
      <c r="I236" s="23"/>
      <c r="O236" s="14"/>
      <c r="P236" s="23"/>
      <c r="V236" s="14"/>
      <c r="W236" s="23"/>
      <c r="AC236" s="14"/>
      <c r="AD236" s="23"/>
      <c r="AJ236" s="14"/>
      <c r="AK236" s="23"/>
      <c r="AQ236" s="14"/>
      <c r="AR236" s="23"/>
      <c r="AY236" s="23"/>
      <c r="BF236" s="23"/>
      <c r="BG236" s="21"/>
      <c r="BH236" s="17"/>
      <c r="BI236" s="17"/>
      <c r="BJ236" s="17"/>
      <c r="BK236" s="17"/>
      <c r="BV236" s="23"/>
      <c r="CA236" s="14"/>
      <c r="CB236" s="14"/>
      <c r="CD236" s="59"/>
      <c r="CH236" s="59"/>
      <c r="CS236" s="60"/>
    </row>
    <row r="237" spans="1:97" x14ac:dyDescent="0.3">
      <c r="A237" s="23"/>
      <c r="B237" s="23"/>
      <c r="H237" s="14"/>
      <c r="I237" s="23"/>
      <c r="O237" s="14"/>
      <c r="P237" s="23"/>
      <c r="V237" s="14"/>
      <c r="W237" s="23"/>
      <c r="AC237" s="14"/>
      <c r="AD237" s="23"/>
      <c r="AJ237" s="14"/>
      <c r="AK237" s="23"/>
      <c r="AQ237" s="14"/>
      <c r="AR237" s="23"/>
      <c r="AY237" s="23"/>
      <c r="BF237" s="23"/>
      <c r="BV237" s="23"/>
      <c r="CA237" s="14"/>
      <c r="CB237" s="14"/>
      <c r="CD237" s="59"/>
      <c r="CH237" s="59"/>
      <c r="CS237" s="60"/>
    </row>
    <row r="238" spans="1:97" x14ac:dyDescent="0.3">
      <c r="A238" s="23"/>
      <c r="B238" s="23"/>
      <c r="H238" s="14"/>
      <c r="I238" s="23"/>
      <c r="O238" s="14"/>
      <c r="P238" s="23"/>
      <c r="V238" s="14"/>
      <c r="W238" s="23"/>
      <c r="AC238" s="14"/>
      <c r="AD238" s="23"/>
      <c r="AJ238" s="14"/>
      <c r="AK238" s="23"/>
      <c r="AQ238" s="14"/>
      <c r="AR238" s="23"/>
      <c r="AY238" s="23"/>
      <c r="BF238" s="23"/>
      <c r="BV238" s="23"/>
      <c r="CA238" s="14"/>
      <c r="CB238" s="14"/>
      <c r="CD238" s="59"/>
      <c r="CH238" s="59"/>
      <c r="CS238" s="60"/>
    </row>
    <row r="239" spans="1:97" x14ac:dyDescent="0.3">
      <c r="A239" s="23"/>
      <c r="B239" s="23"/>
      <c r="H239" s="14"/>
      <c r="I239" s="23"/>
      <c r="O239" s="14"/>
      <c r="P239" s="23"/>
      <c r="V239" s="14"/>
      <c r="W239" s="23"/>
      <c r="AC239" s="14"/>
      <c r="AD239" s="23"/>
      <c r="AJ239" s="14"/>
      <c r="AK239" s="23"/>
      <c r="AQ239" s="14"/>
      <c r="AR239" s="23"/>
      <c r="AY239" s="23"/>
      <c r="BF239" s="23"/>
      <c r="BV239" s="23"/>
      <c r="CA239" s="14"/>
      <c r="CB239" s="14"/>
      <c r="CD239" s="59"/>
      <c r="CH239" s="59"/>
      <c r="CS239" s="60"/>
    </row>
    <row r="240" spans="1:97" x14ac:dyDescent="0.3">
      <c r="A240" s="23"/>
      <c r="B240" s="23"/>
      <c r="H240" s="14"/>
      <c r="I240" s="23"/>
      <c r="O240" s="14"/>
      <c r="P240" s="23"/>
      <c r="V240" s="14"/>
      <c r="W240" s="23"/>
      <c r="AC240" s="14"/>
      <c r="AD240" s="23"/>
      <c r="AJ240" s="14"/>
      <c r="AK240" s="23"/>
      <c r="AQ240" s="14"/>
      <c r="AR240" s="23"/>
      <c r="AY240" s="23"/>
      <c r="BF240" s="23"/>
      <c r="BV240" s="23"/>
      <c r="CA240" s="14"/>
      <c r="CB240" s="14"/>
      <c r="CD240" s="59"/>
      <c r="CH240" s="59"/>
      <c r="CS240" s="60"/>
    </row>
    <row r="241" spans="1:97" x14ac:dyDescent="0.3">
      <c r="A241" s="23"/>
      <c r="B241" s="23"/>
      <c r="H241" s="14"/>
      <c r="I241" s="23"/>
      <c r="O241" s="14"/>
      <c r="P241" s="23"/>
      <c r="V241" s="14"/>
      <c r="W241" s="23"/>
      <c r="AC241" s="14"/>
      <c r="AD241" s="23"/>
      <c r="AJ241" s="14"/>
      <c r="AK241" s="23"/>
      <c r="AQ241" s="14"/>
      <c r="AR241" s="23"/>
      <c r="AY241" s="23"/>
      <c r="BF241" s="23"/>
      <c r="BV241" s="23"/>
      <c r="CA241" s="14"/>
      <c r="CB241" s="14"/>
      <c r="CD241" s="59"/>
      <c r="CH241" s="59"/>
      <c r="CS241" s="60"/>
    </row>
    <row r="242" spans="1:97" x14ac:dyDescent="0.3">
      <c r="A242" s="23"/>
      <c r="B242" s="23"/>
      <c r="H242" s="14"/>
      <c r="I242" s="23"/>
      <c r="O242" s="14"/>
      <c r="P242" s="23"/>
      <c r="V242" s="14"/>
      <c r="W242" s="23"/>
      <c r="AC242" s="14"/>
      <c r="AD242" s="23"/>
      <c r="AJ242" s="14"/>
      <c r="AK242" s="23"/>
      <c r="AQ242" s="14"/>
      <c r="AR242" s="23"/>
      <c r="AY242" s="23"/>
      <c r="BF242" s="23"/>
      <c r="BV242" s="23"/>
      <c r="CA242" s="14"/>
      <c r="CB242" s="14"/>
      <c r="CD242" s="59"/>
      <c r="CH242" s="59"/>
      <c r="CS242" s="60"/>
    </row>
    <row r="243" spans="1:97" x14ac:dyDescent="0.3">
      <c r="A243" s="23"/>
      <c r="B243" s="23"/>
      <c r="H243" s="14"/>
      <c r="I243" s="23"/>
      <c r="O243" s="14"/>
      <c r="P243" s="23"/>
      <c r="V243" s="14"/>
      <c r="W243" s="23"/>
      <c r="AC243" s="14"/>
      <c r="AD243" s="23"/>
      <c r="AJ243" s="14"/>
      <c r="AK243" s="23"/>
      <c r="AQ243" s="14"/>
      <c r="AR243" s="23"/>
      <c r="AY243" s="23"/>
      <c r="BF243" s="23"/>
      <c r="BV243" s="23"/>
      <c r="CA243" s="14"/>
      <c r="CB243" s="14"/>
      <c r="CD243" s="59"/>
      <c r="CH243" s="59"/>
      <c r="CS243" s="60"/>
    </row>
    <row r="244" spans="1:97" x14ac:dyDescent="0.3">
      <c r="A244" s="23"/>
      <c r="B244" s="23"/>
      <c r="H244" s="14"/>
      <c r="I244" s="23"/>
      <c r="O244" s="14"/>
      <c r="P244" s="23"/>
      <c r="V244" s="14"/>
      <c r="W244" s="23"/>
      <c r="AC244" s="14"/>
      <c r="AD244" s="23"/>
      <c r="AJ244" s="14"/>
      <c r="AK244" s="23"/>
      <c r="AQ244" s="14"/>
      <c r="AR244" s="23"/>
      <c r="AY244" s="23"/>
      <c r="BF244" s="23"/>
      <c r="BV244" s="23"/>
      <c r="CA244" s="14"/>
      <c r="CB244" s="14"/>
      <c r="CD244" s="59"/>
      <c r="CH244" s="59"/>
      <c r="CS244" s="60"/>
    </row>
    <row r="245" spans="1:97" x14ac:dyDescent="0.3">
      <c r="A245" s="23"/>
      <c r="B245" s="50"/>
      <c r="C245" s="10"/>
      <c r="D245" s="10"/>
      <c r="E245" s="10"/>
      <c r="F245" s="10"/>
      <c r="G245" s="10"/>
      <c r="H245" s="15"/>
      <c r="I245" s="50"/>
      <c r="J245" s="10"/>
      <c r="K245" s="10"/>
      <c r="L245" s="10"/>
      <c r="M245" s="10"/>
      <c r="N245" s="10"/>
      <c r="O245" s="15"/>
      <c r="P245" s="50"/>
      <c r="Q245" s="10"/>
      <c r="R245" s="10"/>
      <c r="S245" s="10"/>
      <c r="T245" s="10"/>
      <c r="U245" s="10"/>
      <c r="V245" s="15"/>
      <c r="W245" s="50"/>
      <c r="X245" s="10"/>
      <c r="Y245" s="10"/>
      <c r="Z245" s="10"/>
      <c r="AA245" s="10"/>
      <c r="AB245" s="10"/>
      <c r="AC245" s="15"/>
      <c r="AD245" s="50"/>
      <c r="AE245" s="10"/>
      <c r="AF245" s="10"/>
      <c r="AG245" s="10"/>
      <c r="AH245" s="10"/>
      <c r="AI245" s="10"/>
      <c r="AJ245" s="15"/>
      <c r="AK245" s="50"/>
      <c r="AL245" s="10"/>
      <c r="AM245" s="10"/>
      <c r="AN245" s="10"/>
      <c r="AO245" s="10"/>
      <c r="AP245" s="10"/>
      <c r="AQ245" s="15"/>
      <c r="AR245" s="50"/>
      <c r="AS245" s="10"/>
      <c r="AT245" s="10"/>
      <c r="AU245" s="10"/>
      <c r="AV245" s="10"/>
      <c r="AW245" s="10"/>
      <c r="AX245" s="10"/>
      <c r="AY245" s="50"/>
      <c r="AZ245" s="10"/>
      <c r="BA245" s="10"/>
      <c r="BB245" s="10"/>
      <c r="BC245" s="10"/>
      <c r="BD245" s="10"/>
      <c r="BE245" s="10"/>
      <c r="BF245" s="5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50"/>
      <c r="BW245" s="10"/>
      <c r="BX245" s="10"/>
      <c r="BY245" s="10"/>
      <c r="BZ245" s="10"/>
      <c r="CA245" s="15"/>
      <c r="CB245" s="14"/>
      <c r="CD245" s="61"/>
      <c r="CE245" s="62"/>
      <c r="CF245" s="62"/>
      <c r="CG245" s="62"/>
      <c r="CH245" s="61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3"/>
    </row>
    <row r="246" spans="1:97" x14ac:dyDescent="0.3">
      <c r="A246" s="23"/>
      <c r="CB246" s="14"/>
    </row>
    <row r="247" spans="1:97" x14ac:dyDescent="0.3">
      <c r="A247" s="5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5"/>
    </row>
  </sheetData>
  <mergeCells count="35">
    <mergeCell ref="A1:E1"/>
    <mergeCell ref="F1:U1"/>
    <mergeCell ref="V1:AI1"/>
    <mergeCell ref="AJ1:AP1"/>
    <mergeCell ref="AQ1:AV1"/>
    <mergeCell ref="AQ2:AV2"/>
    <mergeCell ref="AJ3:AK3"/>
    <mergeCell ref="AL3:AP3"/>
    <mergeCell ref="AQ3:AV3"/>
    <mergeCell ref="B8:H9"/>
    <mergeCell ref="I8:O9"/>
    <mergeCell ref="P8:V9"/>
    <mergeCell ref="AK8:AQ9"/>
    <mergeCell ref="A2:E3"/>
    <mergeCell ref="F2:U3"/>
    <mergeCell ref="V2:AI3"/>
    <mergeCell ref="AJ2:AK2"/>
    <mergeCell ref="AL2:AP2"/>
    <mergeCell ref="AR8:BE8"/>
    <mergeCell ref="CH145:CS145"/>
    <mergeCell ref="W8:AJ8"/>
    <mergeCell ref="W9:AC9"/>
    <mergeCell ref="AD9:AJ9"/>
    <mergeCell ref="CH12:CS12"/>
    <mergeCell ref="CH13:CS13"/>
    <mergeCell ref="CH90:CS90"/>
    <mergeCell ref="CH91:CS91"/>
    <mergeCell ref="CH119:CS119"/>
    <mergeCell ref="CH122:CS122"/>
    <mergeCell ref="BF8:BU9"/>
    <mergeCell ref="BV8:CA9"/>
    <mergeCell ref="CD8:CG9"/>
    <mergeCell ref="CH8:CS9"/>
    <mergeCell ref="AR9:AX9"/>
    <mergeCell ref="AY9:BE9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629A-9544-477E-861B-7AC62D1F2622}">
  <sheetPr>
    <pageSetUpPr autoPageBreaks="0"/>
  </sheetPr>
  <dimension ref="A1:DF262"/>
  <sheetViews>
    <sheetView showGridLines="0" zoomScale="70" zoomScaleNormal="70" workbookViewId="0">
      <pane ySplit="9" topLeftCell="A40" activePane="bottomLeft" state="frozen"/>
      <selection activeCell="AS57" sqref="AS57"/>
      <selection pane="bottomLeft" sqref="A1:E1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29" width="2.453125" style="8"/>
    <col min="30" max="31" width="2.453125" style="8" customWidth="1"/>
    <col min="32" max="88" width="2.453125" style="8"/>
    <col min="89" max="89" width="2.453125" style="8" customWidth="1"/>
    <col min="90" max="16384" width="2.453125" style="8"/>
  </cols>
  <sheetData>
    <row r="1" spans="1:104" ht="15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104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7.その他取引計上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104" ht="15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5" spans="1:104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</row>
    <row r="6" spans="1:104" s="11" customFormat="1" x14ac:dyDescent="0.3">
      <c r="A6" s="35" t="str">
        <f ca="1">RIGHT(CELL("filename",A1),LEN(CELL("filename",A1))-FIND("]",CELL("filename",A1)))</f>
        <v>7.その他取引計上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36"/>
    </row>
    <row r="7" spans="1:104" s="11" customFormat="1" x14ac:dyDescent="0.3">
      <c r="A7" s="24"/>
      <c r="B7" s="12"/>
      <c r="C7" s="12"/>
      <c r="D7" s="12"/>
      <c r="E7" s="12"/>
      <c r="F7" s="12"/>
      <c r="G7" s="12"/>
      <c r="H7" s="12"/>
      <c r="CI7" s="13"/>
    </row>
    <row r="8" spans="1:104" s="11" customFormat="1" x14ac:dyDescent="0.3">
      <c r="A8" s="24"/>
      <c r="B8" s="225" t="s">
        <v>116</v>
      </c>
      <c r="C8" s="226"/>
      <c r="D8" s="226"/>
      <c r="E8" s="226"/>
      <c r="F8" s="226"/>
      <c r="G8" s="226"/>
      <c r="H8" s="227"/>
      <c r="I8" s="241" t="s">
        <v>283</v>
      </c>
      <c r="J8" s="241"/>
      <c r="K8" s="241"/>
      <c r="L8" s="241"/>
      <c r="M8" s="241"/>
      <c r="N8" s="241"/>
      <c r="O8" s="241"/>
      <c r="P8" s="241" t="s">
        <v>284</v>
      </c>
      <c r="Q8" s="241"/>
      <c r="R8" s="241"/>
      <c r="S8" s="241"/>
      <c r="T8" s="241"/>
      <c r="U8" s="241"/>
      <c r="V8" s="241"/>
      <c r="W8" s="231" t="s">
        <v>285</v>
      </c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3"/>
      <c r="AK8" s="241" t="s">
        <v>178</v>
      </c>
      <c r="AL8" s="241"/>
      <c r="AM8" s="241"/>
      <c r="AN8" s="241"/>
      <c r="AO8" s="241"/>
      <c r="AP8" s="241"/>
      <c r="AQ8" s="241"/>
      <c r="AR8" s="257" t="s">
        <v>366</v>
      </c>
      <c r="AS8" s="258"/>
      <c r="AT8" s="258"/>
      <c r="AU8" s="258"/>
      <c r="AV8" s="258"/>
      <c r="AW8" s="258"/>
      <c r="AX8" s="259"/>
      <c r="AY8" s="222" t="s">
        <v>92</v>
      </c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4"/>
      <c r="BM8" s="221" t="s">
        <v>110</v>
      </c>
      <c r="BN8" s="221"/>
      <c r="BO8" s="221"/>
      <c r="BP8" s="221"/>
      <c r="BQ8" s="221"/>
      <c r="BR8" s="221"/>
      <c r="BS8" s="221"/>
      <c r="BT8" s="221"/>
      <c r="BU8" s="221"/>
      <c r="BV8" s="221"/>
      <c r="BW8" s="221"/>
      <c r="BX8" s="221"/>
      <c r="BY8" s="221"/>
      <c r="BZ8" s="221"/>
      <c r="CA8" s="221"/>
      <c r="CB8" s="221"/>
      <c r="CC8" s="220" t="s">
        <v>112</v>
      </c>
      <c r="CD8" s="221"/>
      <c r="CE8" s="221"/>
      <c r="CF8" s="221"/>
      <c r="CG8" s="221"/>
      <c r="CH8" s="221"/>
      <c r="CI8" s="13"/>
      <c r="CK8" s="245" t="s">
        <v>118</v>
      </c>
      <c r="CL8" s="246"/>
      <c r="CM8" s="246"/>
      <c r="CN8" s="246"/>
      <c r="CO8" s="248" t="s">
        <v>119</v>
      </c>
      <c r="CP8" s="249"/>
      <c r="CQ8" s="249"/>
      <c r="CR8" s="249"/>
      <c r="CS8" s="249"/>
      <c r="CT8" s="249"/>
      <c r="CU8" s="249"/>
      <c r="CV8" s="249"/>
      <c r="CW8" s="249"/>
      <c r="CX8" s="249"/>
      <c r="CY8" s="249"/>
      <c r="CZ8" s="249"/>
    </row>
    <row r="9" spans="1:104" s="11" customFormat="1" x14ac:dyDescent="0.3">
      <c r="A9" s="24"/>
      <c r="B9" s="228"/>
      <c r="C9" s="229"/>
      <c r="D9" s="229"/>
      <c r="E9" s="229"/>
      <c r="F9" s="229"/>
      <c r="G9" s="229"/>
      <c r="H9" s="230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31" t="s">
        <v>98</v>
      </c>
      <c r="X9" s="232"/>
      <c r="Y9" s="232"/>
      <c r="Z9" s="232"/>
      <c r="AA9" s="232"/>
      <c r="AB9" s="232"/>
      <c r="AC9" s="233"/>
      <c r="AD9" s="231" t="s">
        <v>99</v>
      </c>
      <c r="AE9" s="232"/>
      <c r="AF9" s="232"/>
      <c r="AG9" s="232"/>
      <c r="AH9" s="232"/>
      <c r="AI9" s="232"/>
      <c r="AJ9" s="233"/>
      <c r="AK9" s="241"/>
      <c r="AL9" s="241"/>
      <c r="AM9" s="241"/>
      <c r="AN9" s="241"/>
      <c r="AO9" s="241"/>
      <c r="AP9" s="241"/>
      <c r="AQ9" s="241"/>
      <c r="AR9" s="260"/>
      <c r="AS9" s="261"/>
      <c r="AT9" s="261"/>
      <c r="AU9" s="261"/>
      <c r="AV9" s="261"/>
      <c r="AW9" s="261"/>
      <c r="AX9" s="262"/>
      <c r="AY9" s="222" t="s">
        <v>107</v>
      </c>
      <c r="AZ9" s="223"/>
      <c r="BA9" s="223"/>
      <c r="BB9" s="223"/>
      <c r="BC9" s="223"/>
      <c r="BD9" s="223"/>
      <c r="BE9" s="224"/>
      <c r="BF9" s="222" t="s">
        <v>109</v>
      </c>
      <c r="BG9" s="223"/>
      <c r="BH9" s="223"/>
      <c r="BI9" s="223"/>
      <c r="BJ9" s="223"/>
      <c r="BK9" s="223"/>
      <c r="BL9" s="224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221"/>
      <c r="CG9" s="221"/>
      <c r="CH9" s="221"/>
      <c r="CI9" s="13"/>
      <c r="CK9" s="247"/>
      <c r="CL9" s="247"/>
      <c r="CM9" s="247"/>
      <c r="CN9" s="247"/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50"/>
    </row>
    <row r="10" spans="1:104" s="11" customFormat="1" x14ac:dyDescent="0.3">
      <c r="A10" s="24"/>
      <c r="B10" s="37" t="s">
        <v>286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22"/>
      <c r="BG10" s="22"/>
      <c r="BH10" s="22"/>
      <c r="BI10" s="22"/>
      <c r="BJ10" s="22"/>
      <c r="BK10" s="22"/>
      <c r="BL10" s="2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40"/>
      <c r="CI10" s="13"/>
      <c r="CK10" s="54"/>
      <c r="CL10" s="55"/>
      <c r="CM10" s="55"/>
      <c r="CN10" s="55"/>
      <c r="CO10" s="54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6"/>
    </row>
    <row r="11" spans="1:104" s="11" customFormat="1" x14ac:dyDescent="0.3">
      <c r="A11" s="24"/>
      <c r="B11" s="41"/>
      <c r="C11" s="42"/>
      <c r="D11" s="42"/>
      <c r="E11" s="42"/>
      <c r="F11" s="42"/>
      <c r="G11" s="42"/>
      <c r="H11" s="43"/>
      <c r="I11" s="44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3"/>
      <c r="W11" s="44"/>
      <c r="X11" s="42"/>
      <c r="Y11" s="42"/>
      <c r="Z11" s="42"/>
      <c r="AA11" s="42"/>
      <c r="AB11" s="42"/>
      <c r="AC11" s="43"/>
      <c r="AD11" s="44"/>
      <c r="AE11" s="42"/>
      <c r="AF11" s="42"/>
      <c r="AG11" s="42"/>
      <c r="AH11" s="42"/>
      <c r="AI11" s="42"/>
      <c r="AJ11" s="43"/>
      <c r="AK11" s="44"/>
      <c r="AL11" s="42"/>
      <c r="AM11" s="42"/>
      <c r="AN11" s="42"/>
      <c r="AO11" s="42"/>
      <c r="AP11" s="42"/>
      <c r="AQ11" s="43"/>
      <c r="AR11" s="42"/>
      <c r="AS11" s="42"/>
      <c r="AT11" s="42"/>
      <c r="AU11" s="42"/>
      <c r="AV11" s="42"/>
      <c r="AW11" s="42"/>
      <c r="AX11" s="43"/>
      <c r="AY11" s="42"/>
      <c r="AZ11" s="42"/>
      <c r="BA11" s="42"/>
      <c r="BB11" s="42"/>
      <c r="BC11" s="42"/>
      <c r="BD11" s="42"/>
      <c r="BE11" s="43"/>
      <c r="BF11" s="44"/>
      <c r="BG11" s="42"/>
      <c r="BH11" s="42"/>
      <c r="BI11" s="42"/>
      <c r="BJ11" s="42"/>
      <c r="BK11" s="42"/>
      <c r="BL11" s="43"/>
      <c r="BM11" s="45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4"/>
      <c r="CD11" s="42"/>
      <c r="CE11" s="42"/>
      <c r="CF11" s="42"/>
      <c r="CG11" s="42"/>
      <c r="CH11" s="43"/>
      <c r="CI11" s="13"/>
      <c r="CK11" s="57"/>
      <c r="CO11" s="57"/>
      <c r="CZ11" s="58"/>
    </row>
    <row r="12" spans="1:104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19"/>
      <c r="W12" s="27"/>
      <c r="X12" s="20"/>
      <c r="Y12" s="20"/>
      <c r="Z12" s="20"/>
      <c r="AA12" s="20"/>
      <c r="AB12" s="20"/>
      <c r="AC12" s="19"/>
      <c r="AD12" s="27"/>
      <c r="AE12" s="20"/>
      <c r="AF12" s="20"/>
      <c r="AG12" s="20"/>
      <c r="AH12" s="20"/>
      <c r="AI12" s="20"/>
      <c r="AJ12" s="19"/>
      <c r="AK12" s="27"/>
      <c r="AL12" s="20"/>
      <c r="AM12" s="20"/>
      <c r="AN12" s="20"/>
      <c r="AO12" s="20"/>
      <c r="AP12" s="20"/>
      <c r="AQ12" s="19"/>
      <c r="AR12" s="20"/>
      <c r="AS12" s="20"/>
      <c r="AT12" s="20"/>
      <c r="AU12" s="20"/>
      <c r="AV12" s="20"/>
      <c r="AW12" s="20"/>
      <c r="AX12" s="19"/>
      <c r="AY12" s="20"/>
      <c r="AZ12" s="20"/>
      <c r="BA12" s="20"/>
      <c r="BB12" s="20"/>
      <c r="BC12" s="20"/>
      <c r="BD12" s="20"/>
      <c r="BE12" s="19"/>
      <c r="BF12" s="27"/>
      <c r="BG12" s="20"/>
      <c r="BH12" s="20"/>
      <c r="BI12" s="20"/>
      <c r="BJ12" s="20"/>
      <c r="BK12" s="20"/>
      <c r="BL12" s="19"/>
      <c r="BM12" s="34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27"/>
      <c r="CD12" s="20"/>
      <c r="CE12" s="20"/>
      <c r="CF12" s="20"/>
      <c r="CG12" s="20"/>
      <c r="CH12" s="19"/>
      <c r="CI12" s="13"/>
      <c r="CK12" s="57"/>
      <c r="CO12" s="242"/>
      <c r="CP12" s="243"/>
      <c r="CQ12" s="243"/>
      <c r="CR12" s="243"/>
      <c r="CS12" s="243"/>
      <c r="CT12" s="243"/>
      <c r="CU12" s="243"/>
      <c r="CV12" s="243"/>
      <c r="CW12" s="243"/>
      <c r="CX12" s="243"/>
      <c r="CY12" s="243"/>
      <c r="CZ12" s="244"/>
    </row>
    <row r="13" spans="1:104" s="11" customFormat="1" x14ac:dyDescent="0.3">
      <c r="A13" s="24"/>
      <c r="B13" s="26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19"/>
      <c r="W13" s="27"/>
      <c r="X13" s="20"/>
      <c r="Y13" s="20"/>
      <c r="Z13" s="20"/>
      <c r="AA13" s="20"/>
      <c r="AB13" s="20"/>
      <c r="AC13" s="19"/>
      <c r="AD13" s="27"/>
      <c r="AE13" s="20"/>
      <c r="AF13" s="20"/>
      <c r="AG13" s="20"/>
      <c r="AH13" s="20"/>
      <c r="AI13" s="20"/>
      <c r="AJ13" s="19"/>
      <c r="AK13" s="27"/>
      <c r="AL13" s="20"/>
      <c r="AM13" s="20"/>
      <c r="AN13" s="20"/>
      <c r="AO13" s="20"/>
      <c r="AP13" s="20"/>
      <c r="AQ13" s="19"/>
      <c r="AR13" s="20"/>
      <c r="AS13" s="20"/>
      <c r="AT13" s="20"/>
      <c r="AU13" s="20"/>
      <c r="AV13" s="20"/>
      <c r="AW13" s="20"/>
      <c r="AX13" s="19"/>
      <c r="AY13" s="20"/>
      <c r="AZ13" s="20"/>
      <c r="BA13" s="20"/>
      <c r="BB13" s="20"/>
      <c r="BC13" s="20"/>
      <c r="BD13" s="20"/>
      <c r="BE13" s="19"/>
      <c r="BF13" s="27"/>
      <c r="BG13" s="20"/>
      <c r="BH13" s="20"/>
      <c r="BI13" s="20"/>
      <c r="BJ13" s="20"/>
      <c r="BK13" s="20"/>
      <c r="BL13" s="19"/>
      <c r="BM13" s="34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27"/>
      <c r="CD13" s="20"/>
      <c r="CE13" s="20"/>
      <c r="CF13" s="20"/>
      <c r="CG13" s="20"/>
      <c r="CH13" s="19"/>
      <c r="CI13" s="13"/>
      <c r="CK13" s="57"/>
      <c r="CO13" s="242"/>
      <c r="CP13" s="243"/>
      <c r="CQ13" s="243"/>
      <c r="CR13" s="243"/>
      <c r="CS13" s="243"/>
      <c r="CT13" s="243"/>
      <c r="CU13" s="243"/>
      <c r="CV13" s="243"/>
      <c r="CW13" s="243"/>
      <c r="CX13" s="243"/>
      <c r="CY13" s="243"/>
      <c r="CZ13" s="244"/>
    </row>
    <row r="14" spans="1:104" s="11" customFormat="1" x14ac:dyDescent="0.3">
      <c r="A14" s="24"/>
      <c r="B14" s="26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19"/>
      <c r="W14" s="27"/>
      <c r="X14" s="20"/>
      <c r="Y14" s="20"/>
      <c r="Z14" s="20"/>
      <c r="AA14" s="20"/>
      <c r="AB14" s="20"/>
      <c r="AC14" s="19"/>
      <c r="AD14" s="27"/>
      <c r="AE14" s="20"/>
      <c r="AF14" s="20"/>
      <c r="AG14" s="20"/>
      <c r="AH14" s="20"/>
      <c r="AI14" s="20"/>
      <c r="AJ14" s="19"/>
      <c r="AK14" s="27"/>
      <c r="AL14" s="20"/>
      <c r="AM14" s="20"/>
      <c r="AN14" s="20"/>
      <c r="AO14" s="20"/>
      <c r="AP14" s="20"/>
      <c r="AQ14" s="19"/>
      <c r="AR14" s="20"/>
      <c r="AS14" s="20"/>
      <c r="AT14" s="20"/>
      <c r="AU14" s="20"/>
      <c r="AV14" s="20"/>
      <c r="AW14" s="20"/>
      <c r="AX14" s="19"/>
      <c r="AY14" s="20"/>
      <c r="AZ14" s="20"/>
      <c r="BA14" s="20"/>
      <c r="BB14" s="20"/>
      <c r="BC14" s="20"/>
      <c r="BD14" s="20"/>
      <c r="BE14" s="19"/>
      <c r="BF14" s="27"/>
      <c r="BG14" s="20"/>
      <c r="BH14" s="20"/>
      <c r="BI14" s="20"/>
      <c r="BJ14" s="20"/>
      <c r="BK14" s="20"/>
      <c r="BL14" s="19"/>
      <c r="BM14" s="34"/>
      <c r="BN14" s="21" t="s">
        <v>287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27"/>
      <c r="CD14" s="20"/>
      <c r="CE14" s="20"/>
      <c r="CF14" s="20"/>
      <c r="CG14" s="20"/>
      <c r="CH14" s="19"/>
      <c r="CI14" s="13"/>
      <c r="CK14" s="57"/>
      <c r="CO14" s="68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70"/>
    </row>
    <row r="15" spans="1:104" s="11" customFormat="1" x14ac:dyDescent="0.3">
      <c r="A15" s="24"/>
      <c r="B15" s="26"/>
      <c r="C15" s="20"/>
      <c r="D15" s="20"/>
      <c r="E15" s="20"/>
      <c r="F15" s="20"/>
      <c r="G15" s="20"/>
      <c r="H15" s="19"/>
      <c r="I15" s="27"/>
      <c r="J15" s="20"/>
      <c r="K15" s="20"/>
      <c r="L15" s="20"/>
      <c r="M15" s="20"/>
      <c r="N15" s="20"/>
      <c r="O15" s="19"/>
      <c r="P15" s="27"/>
      <c r="Q15" s="20"/>
      <c r="R15" s="20"/>
      <c r="S15" s="20"/>
      <c r="T15" s="20"/>
      <c r="U15" s="20"/>
      <c r="V15" s="19"/>
      <c r="W15" s="27"/>
      <c r="X15" s="20"/>
      <c r="Y15" s="20"/>
      <c r="Z15" s="20"/>
      <c r="AA15" s="20"/>
      <c r="AB15" s="20"/>
      <c r="AC15" s="19"/>
      <c r="AD15" s="27"/>
      <c r="AE15" s="20"/>
      <c r="AF15" s="20"/>
      <c r="AG15" s="20"/>
      <c r="AH15" s="20"/>
      <c r="AI15" s="20"/>
      <c r="AJ15" s="19"/>
      <c r="AK15" s="27"/>
      <c r="AL15" s="20"/>
      <c r="AM15" s="20"/>
      <c r="AN15" s="20"/>
      <c r="AO15" s="20"/>
      <c r="AP15" s="20"/>
      <c r="AQ15" s="19"/>
      <c r="AR15" s="20"/>
      <c r="AS15" s="20"/>
      <c r="AT15" s="20"/>
      <c r="AU15" s="20"/>
      <c r="AV15" s="20"/>
      <c r="AW15" s="20"/>
      <c r="AX15" s="19"/>
      <c r="AY15" s="20"/>
      <c r="AZ15" s="20"/>
      <c r="BA15" s="20"/>
      <c r="BB15" s="20"/>
      <c r="BC15" s="20"/>
      <c r="BD15" s="20"/>
      <c r="BE15" s="19"/>
      <c r="BF15" s="27"/>
      <c r="BG15" s="20"/>
      <c r="BH15" s="20"/>
      <c r="BI15" s="20"/>
      <c r="BJ15" s="20"/>
      <c r="BK15" s="20"/>
      <c r="BL15" s="19"/>
      <c r="BM15" s="34"/>
      <c r="BN15" s="17"/>
      <c r="BO15" s="17" t="s">
        <v>288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27"/>
      <c r="CD15" s="20"/>
      <c r="CE15" s="20"/>
      <c r="CF15" s="20"/>
      <c r="CG15" s="20"/>
      <c r="CH15" s="19"/>
      <c r="CI15" s="13"/>
      <c r="CK15" s="57"/>
      <c r="CO15" s="68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70"/>
    </row>
    <row r="16" spans="1:104" s="11" customFormat="1" x14ac:dyDescent="0.3">
      <c r="A16" s="24"/>
      <c r="B16" s="26"/>
      <c r="C16" s="20"/>
      <c r="D16" s="20"/>
      <c r="E16" s="20"/>
      <c r="F16" s="20"/>
      <c r="G16" s="20"/>
      <c r="H16" s="19"/>
      <c r="I16" s="27"/>
      <c r="J16" s="20"/>
      <c r="K16" s="20"/>
      <c r="L16" s="20"/>
      <c r="M16" s="20"/>
      <c r="N16" s="20"/>
      <c r="O16" s="19"/>
      <c r="P16" s="27"/>
      <c r="Q16" s="20"/>
      <c r="R16" s="20"/>
      <c r="S16" s="20"/>
      <c r="T16" s="20"/>
      <c r="U16" s="20"/>
      <c r="V16" s="19"/>
      <c r="W16" s="27"/>
      <c r="X16" s="20"/>
      <c r="Y16" s="20"/>
      <c r="Z16" s="20"/>
      <c r="AA16" s="20"/>
      <c r="AB16" s="20"/>
      <c r="AC16" s="19"/>
      <c r="AD16" s="27"/>
      <c r="AE16" s="20"/>
      <c r="AF16" s="20"/>
      <c r="AG16" s="20"/>
      <c r="AH16" s="20"/>
      <c r="AI16" s="20"/>
      <c r="AJ16" s="19"/>
      <c r="AK16" s="27"/>
      <c r="AL16" s="20"/>
      <c r="AM16" s="20"/>
      <c r="AN16" s="20"/>
      <c r="AO16" s="20"/>
      <c r="AP16" s="20"/>
      <c r="AQ16" s="19"/>
      <c r="AR16" s="20"/>
      <c r="AS16" s="20"/>
      <c r="AT16" s="20"/>
      <c r="AU16" s="20"/>
      <c r="AV16" s="20"/>
      <c r="AW16" s="20"/>
      <c r="AX16" s="19"/>
      <c r="AY16" s="20"/>
      <c r="AZ16" s="20"/>
      <c r="BA16" s="20"/>
      <c r="BB16" s="20"/>
      <c r="BC16" s="20"/>
      <c r="BD16" s="20"/>
      <c r="BE16" s="19"/>
      <c r="BF16" s="27"/>
      <c r="BG16" s="20"/>
      <c r="BH16" s="20"/>
      <c r="BI16" s="20"/>
      <c r="BJ16" s="20"/>
      <c r="BK16" s="20"/>
      <c r="BL16" s="19"/>
      <c r="BM16" s="34"/>
      <c r="BN16" s="17"/>
      <c r="BO16" s="17" t="s">
        <v>289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27"/>
      <c r="CD16" s="20"/>
      <c r="CE16" s="20"/>
      <c r="CF16" s="20"/>
      <c r="CG16" s="20"/>
      <c r="CH16" s="19"/>
      <c r="CI16" s="13"/>
      <c r="CK16" s="57"/>
      <c r="CO16" s="68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70"/>
    </row>
    <row r="17" spans="1:104" s="11" customFormat="1" x14ac:dyDescent="0.3">
      <c r="A17" s="24"/>
      <c r="B17" s="26"/>
      <c r="C17" s="20"/>
      <c r="D17" s="20"/>
      <c r="E17" s="20"/>
      <c r="F17" s="20"/>
      <c r="G17" s="20"/>
      <c r="H17" s="19"/>
      <c r="I17" s="27"/>
      <c r="J17" s="20"/>
      <c r="K17" s="20"/>
      <c r="L17" s="20"/>
      <c r="M17" s="20"/>
      <c r="N17" s="20"/>
      <c r="O17" s="19"/>
      <c r="P17" s="27"/>
      <c r="Q17" s="20"/>
      <c r="R17" s="20"/>
      <c r="S17" s="20"/>
      <c r="T17" s="20"/>
      <c r="U17" s="20"/>
      <c r="V17" s="19"/>
      <c r="W17" s="27"/>
      <c r="X17" s="20"/>
      <c r="Y17" s="20"/>
      <c r="Z17" s="20"/>
      <c r="AA17" s="20"/>
      <c r="AB17" s="20"/>
      <c r="AC17" s="19"/>
      <c r="AD17" s="27"/>
      <c r="AE17" s="20"/>
      <c r="AF17" s="20"/>
      <c r="AG17" s="20"/>
      <c r="AH17" s="20"/>
      <c r="AI17" s="20"/>
      <c r="AJ17" s="19"/>
      <c r="AK17" s="27"/>
      <c r="AL17" s="20"/>
      <c r="AM17" s="20"/>
      <c r="AN17" s="20"/>
      <c r="AO17" s="20"/>
      <c r="AP17" s="20"/>
      <c r="AQ17" s="19"/>
      <c r="AR17" s="20"/>
      <c r="AS17" s="20"/>
      <c r="AT17" s="20"/>
      <c r="AU17" s="20"/>
      <c r="AV17" s="20"/>
      <c r="AW17" s="20"/>
      <c r="AX17" s="19"/>
      <c r="AY17" s="20"/>
      <c r="AZ17" s="20"/>
      <c r="BA17" s="20"/>
      <c r="BB17" s="20"/>
      <c r="BC17" s="20"/>
      <c r="BD17" s="20"/>
      <c r="BE17" s="19"/>
      <c r="BF17" s="27"/>
      <c r="BG17" s="20"/>
      <c r="BH17" s="20"/>
      <c r="BI17" s="20"/>
      <c r="BJ17" s="20"/>
      <c r="BK17" s="20"/>
      <c r="BL17" s="19"/>
      <c r="BM17" s="34"/>
      <c r="BN17" s="17"/>
      <c r="BO17" s="17" t="s">
        <v>290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27"/>
      <c r="CD17" s="20"/>
      <c r="CE17" s="20"/>
      <c r="CF17" s="20"/>
      <c r="CG17" s="20"/>
      <c r="CH17" s="19"/>
      <c r="CI17" s="13"/>
      <c r="CK17" s="57"/>
      <c r="CO17" s="68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70"/>
    </row>
    <row r="18" spans="1:104" s="11" customFormat="1" x14ac:dyDescent="0.3">
      <c r="A18" s="24"/>
      <c r="B18" s="26"/>
      <c r="C18" s="20"/>
      <c r="D18" s="20"/>
      <c r="E18" s="20"/>
      <c r="F18" s="20"/>
      <c r="G18" s="20"/>
      <c r="H18" s="19"/>
      <c r="I18" s="27"/>
      <c r="J18" s="20"/>
      <c r="K18" s="20"/>
      <c r="L18" s="20"/>
      <c r="M18" s="20"/>
      <c r="N18" s="20"/>
      <c r="O18" s="19"/>
      <c r="P18" s="27"/>
      <c r="Q18" s="20"/>
      <c r="R18" s="20"/>
      <c r="S18" s="20"/>
      <c r="T18" s="20"/>
      <c r="U18" s="20"/>
      <c r="V18" s="19"/>
      <c r="W18" s="27"/>
      <c r="X18" s="20"/>
      <c r="Y18" s="20"/>
      <c r="Z18" s="20"/>
      <c r="AA18" s="20"/>
      <c r="AB18" s="20"/>
      <c r="AC18" s="19"/>
      <c r="AD18" s="27"/>
      <c r="AE18" s="20"/>
      <c r="AF18" s="20"/>
      <c r="AG18" s="20"/>
      <c r="AH18" s="20"/>
      <c r="AI18" s="20"/>
      <c r="AJ18" s="19"/>
      <c r="AK18" s="27"/>
      <c r="AL18" s="20"/>
      <c r="AM18" s="20"/>
      <c r="AN18" s="20"/>
      <c r="AO18" s="20"/>
      <c r="AP18" s="20"/>
      <c r="AQ18" s="19"/>
      <c r="AR18" s="20"/>
      <c r="AS18" s="20"/>
      <c r="AT18" s="20"/>
      <c r="AU18" s="20"/>
      <c r="AV18" s="20"/>
      <c r="AW18" s="20"/>
      <c r="AX18" s="19"/>
      <c r="AY18" s="20"/>
      <c r="AZ18" s="20"/>
      <c r="BA18" s="20"/>
      <c r="BB18" s="20"/>
      <c r="BC18" s="20"/>
      <c r="BD18" s="20"/>
      <c r="BE18" s="19"/>
      <c r="BF18" s="27"/>
      <c r="BG18" s="20"/>
      <c r="BH18" s="20"/>
      <c r="BI18" s="20"/>
      <c r="BJ18" s="20"/>
      <c r="BK18" s="20"/>
      <c r="BL18" s="19"/>
      <c r="BM18" s="34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27"/>
      <c r="CD18" s="20"/>
      <c r="CE18" s="20"/>
      <c r="CF18" s="20"/>
      <c r="CG18" s="20"/>
      <c r="CH18" s="19"/>
      <c r="CI18" s="13"/>
      <c r="CK18" s="57"/>
      <c r="CO18" s="68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70"/>
    </row>
    <row r="19" spans="1:104" s="11" customFormat="1" x14ac:dyDescent="0.3">
      <c r="A19" s="24"/>
      <c r="B19" s="26"/>
      <c r="C19" s="20"/>
      <c r="D19" s="20"/>
      <c r="E19" s="20"/>
      <c r="F19" s="20"/>
      <c r="G19" s="20"/>
      <c r="H19" s="19"/>
      <c r="I19" s="27"/>
      <c r="J19" s="20"/>
      <c r="K19" s="20"/>
      <c r="L19" s="20"/>
      <c r="M19" s="20"/>
      <c r="N19" s="20"/>
      <c r="O19" s="19"/>
      <c r="P19" s="27"/>
      <c r="Q19" s="20"/>
      <c r="R19" s="20"/>
      <c r="S19" s="20"/>
      <c r="T19" s="20"/>
      <c r="U19" s="20"/>
      <c r="V19" s="19"/>
      <c r="W19" s="27"/>
      <c r="X19" s="20"/>
      <c r="Y19" s="20"/>
      <c r="Z19" s="20"/>
      <c r="AA19" s="20"/>
      <c r="AB19" s="20"/>
      <c r="AC19" s="19"/>
      <c r="AD19" s="27"/>
      <c r="AE19" s="20"/>
      <c r="AF19" s="20"/>
      <c r="AG19" s="20"/>
      <c r="AH19" s="20"/>
      <c r="AI19" s="20"/>
      <c r="AJ19" s="19"/>
      <c r="AK19" s="27"/>
      <c r="AL19" s="20"/>
      <c r="AM19" s="20"/>
      <c r="AN19" s="20"/>
      <c r="AO19" s="20"/>
      <c r="AP19" s="20"/>
      <c r="AQ19" s="19"/>
      <c r="AR19" s="20"/>
      <c r="AS19" s="20"/>
      <c r="AT19" s="20"/>
      <c r="AU19" s="20"/>
      <c r="AV19" s="20"/>
      <c r="AW19" s="20"/>
      <c r="AX19" s="19"/>
      <c r="AY19" s="20"/>
      <c r="AZ19" s="20"/>
      <c r="BA19" s="20"/>
      <c r="BB19" s="20"/>
      <c r="BC19" s="20"/>
      <c r="BD19" s="20"/>
      <c r="BE19" s="19"/>
      <c r="BF19" s="27"/>
      <c r="BG19" s="20"/>
      <c r="BH19" s="20"/>
      <c r="BI19" s="20"/>
      <c r="BJ19" s="20"/>
      <c r="BK19" s="20"/>
      <c r="BL19" s="19"/>
      <c r="BM19" s="34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27"/>
      <c r="CD19" s="20"/>
      <c r="CE19" s="20"/>
      <c r="CF19" s="20"/>
      <c r="CG19" s="20"/>
      <c r="CH19" s="19"/>
      <c r="CI19" s="13"/>
      <c r="CK19" s="57"/>
      <c r="CO19" s="68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70"/>
    </row>
    <row r="20" spans="1:104" s="11" customFormat="1" x14ac:dyDescent="0.3">
      <c r="A20" s="24"/>
      <c r="B20" s="26"/>
      <c r="C20" s="20"/>
      <c r="D20" s="20"/>
      <c r="E20" s="20"/>
      <c r="F20" s="20"/>
      <c r="G20" s="20"/>
      <c r="H20" s="19"/>
      <c r="I20" s="27"/>
      <c r="J20" s="20"/>
      <c r="K20" s="20"/>
      <c r="L20" s="20"/>
      <c r="M20" s="20"/>
      <c r="N20" s="20"/>
      <c r="O20" s="19"/>
      <c r="P20" s="27"/>
      <c r="Q20" s="20"/>
      <c r="R20" s="20"/>
      <c r="S20" s="20"/>
      <c r="T20" s="20"/>
      <c r="U20" s="20"/>
      <c r="V20" s="19"/>
      <c r="W20" s="27"/>
      <c r="X20" s="20"/>
      <c r="Y20" s="20"/>
      <c r="Z20" s="20"/>
      <c r="AA20" s="20"/>
      <c r="AB20" s="20"/>
      <c r="AC20" s="19"/>
      <c r="AD20" s="27"/>
      <c r="AE20" s="20"/>
      <c r="AF20" s="20"/>
      <c r="AG20" s="20"/>
      <c r="AH20" s="20"/>
      <c r="AI20" s="20"/>
      <c r="AJ20" s="19"/>
      <c r="AK20" s="27"/>
      <c r="AL20" s="20"/>
      <c r="AM20" s="20"/>
      <c r="AN20" s="20"/>
      <c r="AO20" s="20"/>
      <c r="AP20" s="20"/>
      <c r="AQ20" s="19"/>
      <c r="AR20" s="20"/>
      <c r="AS20" s="20"/>
      <c r="AT20" s="20"/>
      <c r="AU20" s="20"/>
      <c r="AV20" s="20"/>
      <c r="AW20" s="20"/>
      <c r="AX20" s="19"/>
      <c r="AY20" s="20"/>
      <c r="AZ20" s="20"/>
      <c r="BA20" s="20"/>
      <c r="BB20" s="20"/>
      <c r="BC20" s="20"/>
      <c r="BD20" s="20"/>
      <c r="BE20" s="19"/>
      <c r="BF20" s="27"/>
      <c r="BG20" s="20"/>
      <c r="BH20" s="20"/>
      <c r="BI20" s="20"/>
      <c r="BJ20" s="20"/>
      <c r="BK20" s="20"/>
      <c r="BL20" s="19"/>
      <c r="BM20" s="34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27"/>
      <c r="CD20" s="20"/>
      <c r="CE20" s="20"/>
      <c r="CF20" s="20"/>
      <c r="CG20" s="20"/>
      <c r="CH20" s="19"/>
      <c r="CI20" s="13"/>
      <c r="CK20" s="112" t="s">
        <v>367</v>
      </c>
      <c r="CO20" s="68"/>
      <c r="CP20" s="113" t="s">
        <v>368</v>
      </c>
      <c r="CQ20" s="69"/>
      <c r="CR20" s="69"/>
      <c r="CS20" s="69"/>
      <c r="CT20" s="69"/>
      <c r="CU20" s="69"/>
      <c r="CV20" s="69"/>
      <c r="CW20" s="69"/>
      <c r="CX20" s="69"/>
      <c r="CY20" s="69"/>
      <c r="CZ20" s="70"/>
    </row>
    <row r="21" spans="1:104" s="11" customFormat="1" x14ac:dyDescent="0.3">
      <c r="A21" s="24"/>
      <c r="B21" s="26"/>
      <c r="C21" s="20"/>
      <c r="D21" s="20"/>
      <c r="E21" s="20"/>
      <c r="F21" s="20"/>
      <c r="G21" s="20"/>
      <c r="H21" s="19"/>
      <c r="I21" s="27"/>
      <c r="J21" s="20"/>
      <c r="K21" s="20"/>
      <c r="L21" s="20"/>
      <c r="M21" s="20"/>
      <c r="N21" s="20"/>
      <c r="O21" s="19"/>
      <c r="P21" s="27"/>
      <c r="Q21" s="20"/>
      <c r="R21" s="20"/>
      <c r="S21" s="20"/>
      <c r="T21" s="20"/>
      <c r="U21" s="20"/>
      <c r="V21" s="19"/>
      <c r="W21" s="27"/>
      <c r="X21" s="20"/>
      <c r="Y21" s="20"/>
      <c r="Z21" s="20"/>
      <c r="AA21" s="20"/>
      <c r="AB21" s="20"/>
      <c r="AC21" s="19"/>
      <c r="AD21" s="27"/>
      <c r="AE21" s="20"/>
      <c r="AF21" s="20"/>
      <c r="AG21" s="20"/>
      <c r="AH21" s="20"/>
      <c r="AI21" s="20"/>
      <c r="AJ21" s="19"/>
      <c r="AK21" s="27"/>
      <c r="AL21" s="20"/>
      <c r="AM21" s="20"/>
      <c r="AN21" s="20"/>
      <c r="AO21" s="20"/>
      <c r="AP21" s="20"/>
      <c r="AQ21" s="19"/>
      <c r="AR21" s="20"/>
      <c r="AS21" s="20"/>
      <c r="AT21" s="20"/>
      <c r="AU21" s="20"/>
      <c r="AV21" s="20"/>
      <c r="AW21" s="20"/>
      <c r="AX21" s="19"/>
      <c r="AY21" s="20"/>
      <c r="AZ21" s="20"/>
      <c r="BA21" s="20"/>
      <c r="BB21" s="20"/>
      <c r="BC21" s="20"/>
      <c r="BD21" s="20"/>
      <c r="BE21" s="19"/>
      <c r="BF21" s="27"/>
      <c r="BG21" s="20"/>
      <c r="BH21" s="20"/>
      <c r="BI21" s="20"/>
      <c r="BJ21" s="20"/>
      <c r="BK21" s="20"/>
      <c r="BL21" s="19"/>
      <c r="BM21" s="34"/>
      <c r="BN21" s="21" t="s">
        <v>291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27"/>
      <c r="CD21" s="20"/>
      <c r="CE21" s="20"/>
      <c r="CF21" s="20"/>
      <c r="CG21" s="20"/>
      <c r="CH21" s="19"/>
      <c r="CI21" s="13"/>
      <c r="CK21" s="57"/>
      <c r="CO21" s="68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70"/>
    </row>
    <row r="22" spans="1:104" s="11" customFormat="1" x14ac:dyDescent="0.3">
      <c r="A22" s="24"/>
      <c r="B22" s="26"/>
      <c r="C22" s="20"/>
      <c r="D22" s="20"/>
      <c r="E22" s="20"/>
      <c r="F22" s="20"/>
      <c r="G22" s="20"/>
      <c r="H22" s="19"/>
      <c r="I22" s="27"/>
      <c r="J22" s="20"/>
      <c r="K22" s="20"/>
      <c r="L22" s="20"/>
      <c r="M22" s="20"/>
      <c r="N22" s="20"/>
      <c r="O22" s="19"/>
      <c r="P22" s="27"/>
      <c r="Q22" s="20"/>
      <c r="R22" s="20"/>
      <c r="S22" s="20"/>
      <c r="T22" s="20"/>
      <c r="U22" s="20"/>
      <c r="V22" s="19"/>
      <c r="W22" s="27"/>
      <c r="X22" s="20"/>
      <c r="Y22" s="20"/>
      <c r="Z22" s="20"/>
      <c r="AA22" s="20"/>
      <c r="AB22" s="20"/>
      <c r="AC22" s="19"/>
      <c r="AD22" s="27"/>
      <c r="AE22" s="20"/>
      <c r="AF22" s="20"/>
      <c r="AG22" s="20"/>
      <c r="AH22" s="20"/>
      <c r="AI22" s="20"/>
      <c r="AJ22" s="19"/>
      <c r="AK22" s="27"/>
      <c r="AL22" s="20"/>
      <c r="AM22" s="20"/>
      <c r="AN22" s="20"/>
      <c r="AO22" s="20"/>
      <c r="AP22" s="20"/>
      <c r="AQ22" s="19"/>
      <c r="AR22" s="20"/>
      <c r="AS22" s="20"/>
      <c r="AT22" s="20"/>
      <c r="AU22" s="20"/>
      <c r="AV22" s="20"/>
      <c r="AW22" s="20"/>
      <c r="AX22" s="19"/>
      <c r="AY22" s="20"/>
      <c r="AZ22" s="20"/>
      <c r="BA22" s="20"/>
      <c r="BB22" s="20"/>
      <c r="BC22" s="20"/>
      <c r="BD22" s="20"/>
      <c r="BE22" s="19"/>
      <c r="BF22" s="27"/>
      <c r="BG22" s="20"/>
      <c r="BH22" s="20"/>
      <c r="BI22" s="20"/>
      <c r="BJ22" s="20"/>
      <c r="BK22" s="20"/>
      <c r="BL22" s="19"/>
      <c r="BM22" s="34"/>
      <c r="BN22" s="17"/>
      <c r="BO22" s="17" t="s">
        <v>292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27"/>
      <c r="CD22" s="20"/>
      <c r="CE22" s="20"/>
      <c r="CF22" s="20"/>
      <c r="CG22" s="20"/>
      <c r="CH22" s="19"/>
      <c r="CI22" s="13"/>
      <c r="CK22" s="57"/>
      <c r="CO22" s="68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70"/>
    </row>
    <row r="23" spans="1:104" s="11" customFormat="1" x14ac:dyDescent="0.3">
      <c r="A23" s="24"/>
      <c r="B23" s="26"/>
      <c r="C23" s="20"/>
      <c r="D23" s="20"/>
      <c r="E23" s="20"/>
      <c r="F23" s="20"/>
      <c r="G23" s="20"/>
      <c r="H23" s="19"/>
      <c r="I23" s="27"/>
      <c r="J23" s="20"/>
      <c r="K23" s="20"/>
      <c r="L23" s="20"/>
      <c r="M23" s="20"/>
      <c r="N23" s="20"/>
      <c r="O23" s="19"/>
      <c r="P23" s="27"/>
      <c r="Q23" s="20"/>
      <c r="R23" s="20"/>
      <c r="S23" s="20"/>
      <c r="T23" s="20"/>
      <c r="U23" s="20"/>
      <c r="V23" s="19"/>
      <c r="W23" s="27"/>
      <c r="X23" s="20"/>
      <c r="Y23" s="20"/>
      <c r="Z23" s="20"/>
      <c r="AA23" s="20"/>
      <c r="AB23" s="20"/>
      <c r="AC23" s="19"/>
      <c r="AD23" s="27"/>
      <c r="AE23" s="20"/>
      <c r="AF23" s="20"/>
      <c r="AG23" s="20"/>
      <c r="AH23" s="20"/>
      <c r="AI23" s="20"/>
      <c r="AJ23" s="19"/>
      <c r="AK23" s="27"/>
      <c r="AL23" s="20"/>
      <c r="AM23" s="20"/>
      <c r="AN23" s="20"/>
      <c r="AO23" s="20"/>
      <c r="AP23" s="20"/>
      <c r="AQ23" s="19"/>
      <c r="AR23" s="20"/>
      <c r="AS23" s="20"/>
      <c r="AT23" s="20"/>
      <c r="AU23" s="20"/>
      <c r="AV23" s="20"/>
      <c r="AW23" s="20"/>
      <c r="AX23" s="19"/>
      <c r="AY23" s="20"/>
      <c r="AZ23" s="20"/>
      <c r="BA23" s="20"/>
      <c r="BB23" s="20"/>
      <c r="BC23" s="20"/>
      <c r="BD23" s="20"/>
      <c r="BE23" s="19"/>
      <c r="BF23" s="27"/>
      <c r="BG23" s="20"/>
      <c r="BH23" s="20"/>
      <c r="BI23" s="20"/>
      <c r="BJ23" s="20"/>
      <c r="BK23" s="20"/>
      <c r="BL23" s="19"/>
      <c r="BM23" s="34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27"/>
      <c r="CD23" s="20"/>
      <c r="CE23" s="20"/>
      <c r="CF23" s="20"/>
      <c r="CG23" s="20"/>
      <c r="CH23" s="19"/>
      <c r="CI23" s="13"/>
      <c r="CK23" s="57"/>
      <c r="CO23" s="68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70"/>
    </row>
    <row r="24" spans="1:104" s="11" customFormat="1" x14ac:dyDescent="0.3">
      <c r="A24" s="24"/>
      <c r="B24" s="26"/>
      <c r="C24" s="20"/>
      <c r="D24" s="20"/>
      <c r="E24" s="20"/>
      <c r="F24" s="20"/>
      <c r="G24" s="20"/>
      <c r="H24" s="19"/>
      <c r="I24" s="27"/>
      <c r="J24" s="20"/>
      <c r="K24" s="20"/>
      <c r="L24" s="20"/>
      <c r="M24" s="20"/>
      <c r="N24" s="20"/>
      <c r="O24" s="19"/>
      <c r="P24" s="27"/>
      <c r="Q24" s="20"/>
      <c r="R24" s="20"/>
      <c r="S24" s="20"/>
      <c r="T24" s="20"/>
      <c r="U24" s="20"/>
      <c r="V24" s="19"/>
      <c r="W24" s="27"/>
      <c r="X24" s="20"/>
      <c r="Y24" s="20"/>
      <c r="Z24" s="20"/>
      <c r="AA24" s="20"/>
      <c r="AB24" s="20"/>
      <c r="AC24" s="19"/>
      <c r="AD24" s="27"/>
      <c r="AE24" s="20"/>
      <c r="AF24" s="20"/>
      <c r="AG24" s="20"/>
      <c r="AH24" s="20"/>
      <c r="AI24" s="20"/>
      <c r="AJ24" s="19"/>
      <c r="AK24" s="27"/>
      <c r="AL24" s="20"/>
      <c r="AM24" s="20"/>
      <c r="AN24" s="20"/>
      <c r="AO24" s="20"/>
      <c r="AP24" s="20"/>
      <c r="AQ24" s="19"/>
      <c r="AR24" s="20"/>
      <c r="AS24" s="20"/>
      <c r="AT24" s="20"/>
      <c r="AU24" s="20"/>
      <c r="AV24" s="20"/>
      <c r="AW24" s="20"/>
      <c r="AX24" s="19"/>
      <c r="AY24" s="20"/>
      <c r="AZ24" s="20"/>
      <c r="BA24" s="20"/>
      <c r="BB24" s="20"/>
      <c r="BC24" s="20"/>
      <c r="BD24" s="20"/>
      <c r="BE24" s="19"/>
      <c r="BF24" s="27"/>
      <c r="BG24" s="20"/>
      <c r="BH24" s="20"/>
      <c r="BI24" s="20"/>
      <c r="BJ24" s="20"/>
      <c r="BK24" s="20"/>
      <c r="BL24" s="19"/>
      <c r="BM24" s="34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27"/>
      <c r="CD24" s="20"/>
      <c r="CE24" s="20"/>
      <c r="CF24" s="20"/>
      <c r="CG24" s="20"/>
      <c r="CH24" s="19"/>
      <c r="CI24" s="13"/>
      <c r="CK24" s="57"/>
      <c r="CO24" s="68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70"/>
    </row>
    <row r="25" spans="1:104" s="11" customFormat="1" x14ac:dyDescent="0.3">
      <c r="A25" s="24"/>
      <c r="B25" s="26"/>
      <c r="C25" s="20"/>
      <c r="D25" s="20"/>
      <c r="E25" s="20"/>
      <c r="F25" s="20"/>
      <c r="G25" s="20"/>
      <c r="H25" s="19"/>
      <c r="I25" s="27"/>
      <c r="J25" s="20"/>
      <c r="K25" s="20"/>
      <c r="L25" s="20"/>
      <c r="M25" s="20"/>
      <c r="N25" s="20"/>
      <c r="O25" s="19"/>
      <c r="P25" s="27"/>
      <c r="Q25" s="20"/>
      <c r="R25" s="20"/>
      <c r="S25" s="20"/>
      <c r="T25" s="20"/>
      <c r="U25" s="20"/>
      <c r="V25" s="19"/>
      <c r="W25" s="27"/>
      <c r="X25" s="20"/>
      <c r="Y25" s="20"/>
      <c r="Z25" s="20"/>
      <c r="AA25" s="20"/>
      <c r="AB25" s="20"/>
      <c r="AC25" s="19"/>
      <c r="AD25" s="27"/>
      <c r="AE25" s="20"/>
      <c r="AF25" s="20"/>
      <c r="AG25" s="20"/>
      <c r="AH25" s="20"/>
      <c r="AI25" s="20"/>
      <c r="AJ25" s="19"/>
      <c r="AK25" s="27"/>
      <c r="AL25" s="20"/>
      <c r="AM25" s="20"/>
      <c r="AN25" s="20"/>
      <c r="AO25" s="20"/>
      <c r="AP25" s="20"/>
      <c r="AQ25" s="19"/>
      <c r="AR25" s="20"/>
      <c r="AS25" s="20"/>
      <c r="AT25" s="20"/>
      <c r="AU25" s="20"/>
      <c r="AV25" s="20"/>
      <c r="AW25" s="20"/>
      <c r="AX25" s="19"/>
      <c r="AY25" s="20"/>
      <c r="AZ25" s="20"/>
      <c r="BA25" s="20"/>
      <c r="BB25" s="20"/>
      <c r="BC25" s="20"/>
      <c r="BD25" s="20"/>
      <c r="BE25" s="19"/>
      <c r="BF25" s="27"/>
      <c r="BG25" s="20"/>
      <c r="BH25" s="20"/>
      <c r="BI25" s="20"/>
      <c r="BJ25" s="20"/>
      <c r="BK25" s="20"/>
      <c r="BL25" s="19"/>
      <c r="BM25" s="34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27"/>
      <c r="CD25" s="20"/>
      <c r="CE25" s="20"/>
      <c r="CF25" s="20"/>
      <c r="CG25" s="20"/>
      <c r="CH25" s="19"/>
      <c r="CI25" s="13"/>
      <c r="CK25" s="57"/>
      <c r="CO25" s="68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70"/>
    </row>
    <row r="26" spans="1:104" s="11" customFormat="1" x14ac:dyDescent="0.3">
      <c r="A26" s="24"/>
      <c r="B26" s="26"/>
      <c r="C26" s="20"/>
      <c r="D26" s="20"/>
      <c r="E26" s="20"/>
      <c r="F26" s="20"/>
      <c r="G26" s="20"/>
      <c r="H26" s="19"/>
      <c r="I26" s="27"/>
      <c r="J26" s="20"/>
      <c r="K26" s="20"/>
      <c r="L26" s="20"/>
      <c r="M26" s="20"/>
      <c r="N26" s="20"/>
      <c r="O26" s="19"/>
      <c r="P26" s="27"/>
      <c r="Q26" s="20"/>
      <c r="R26" s="20"/>
      <c r="S26" s="20"/>
      <c r="T26" s="20"/>
      <c r="U26" s="20"/>
      <c r="V26" s="19"/>
      <c r="W26" s="27"/>
      <c r="X26" s="20"/>
      <c r="Y26" s="20"/>
      <c r="Z26" s="20"/>
      <c r="AA26" s="20"/>
      <c r="AB26" s="20"/>
      <c r="AC26" s="19"/>
      <c r="AD26" s="27"/>
      <c r="AE26" s="20"/>
      <c r="AF26" s="20"/>
      <c r="AG26" s="20"/>
      <c r="AH26" s="20"/>
      <c r="AI26" s="20"/>
      <c r="AJ26" s="19"/>
      <c r="AK26" s="27"/>
      <c r="AL26" s="20"/>
      <c r="AM26" s="20"/>
      <c r="AN26" s="20"/>
      <c r="AO26" s="20"/>
      <c r="AP26" s="20"/>
      <c r="AQ26" s="19"/>
      <c r="AR26" s="20"/>
      <c r="AS26" s="20"/>
      <c r="AT26" s="20"/>
      <c r="AU26" s="20"/>
      <c r="AV26" s="20"/>
      <c r="AW26" s="20"/>
      <c r="AX26" s="19"/>
      <c r="AY26" s="20"/>
      <c r="AZ26" s="20"/>
      <c r="BA26" s="20"/>
      <c r="BB26" s="20"/>
      <c r="BC26" s="20"/>
      <c r="BD26" s="20"/>
      <c r="BE26" s="19"/>
      <c r="BF26" s="27"/>
      <c r="BG26" s="20"/>
      <c r="BH26" s="20"/>
      <c r="BI26" s="20"/>
      <c r="BJ26" s="20"/>
      <c r="BK26" s="20"/>
      <c r="BL26" s="19"/>
      <c r="BM26" s="34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27"/>
      <c r="CD26" s="20"/>
      <c r="CE26" s="20"/>
      <c r="CF26" s="20"/>
      <c r="CG26" s="20"/>
      <c r="CH26" s="19"/>
      <c r="CI26" s="13"/>
      <c r="CK26" s="57"/>
      <c r="CO26" s="68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70"/>
    </row>
    <row r="27" spans="1:104" s="11" customFormat="1" x14ac:dyDescent="0.3">
      <c r="A27" s="24"/>
      <c r="B27" s="26"/>
      <c r="C27" s="20"/>
      <c r="D27" s="20"/>
      <c r="E27" s="20"/>
      <c r="F27" s="20"/>
      <c r="G27" s="20"/>
      <c r="H27" s="19"/>
      <c r="I27" s="27"/>
      <c r="J27" s="20"/>
      <c r="K27" s="20"/>
      <c r="L27" s="20"/>
      <c r="M27" s="20"/>
      <c r="N27" s="20"/>
      <c r="O27" s="19"/>
      <c r="P27" s="27"/>
      <c r="Q27" s="20"/>
      <c r="R27" s="20"/>
      <c r="S27" s="20"/>
      <c r="T27" s="20"/>
      <c r="U27" s="20"/>
      <c r="V27" s="19"/>
      <c r="W27" s="27"/>
      <c r="X27" s="20"/>
      <c r="Y27" s="20"/>
      <c r="Z27" s="20"/>
      <c r="AA27" s="20"/>
      <c r="AB27" s="20"/>
      <c r="AC27" s="19"/>
      <c r="AD27" s="27"/>
      <c r="AE27" s="20"/>
      <c r="AF27" s="20"/>
      <c r="AG27" s="20"/>
      <c r="AH27" s="20"/>
      <c r="AI27" s="20"/>
      <c r="AJ27" s="19"/>
      <c r="AK27" s="27"/>
      <c r="AL27" s="20"/>
      <c r="AM27" s="20"/>
      <c r="AN27" s="20"/>
      <c r="AO27" s="20"/>
      <c r="AP27" s="20"/>
      <c r="AQ27" s="19"/>
      <c r="AR27" s="20"/>
      <c r="AS27" s="20"/>
      <c r="AT27" s="20"/>
      <c r="AU27" s="20"/>
      <c r="AV27" s="20"/>
      <c r="AW27" s="20"/>
      <c r="AX27" s="19"/>
      <c r="AY27" s="20"/>
      <c r="AZ27" s="20"/>
      <c r="BA27" s="20"/>
      <c r="BB27" s="20"/>
      <c r="BC27" s="20"/>
      <c r="BD27" s="20"/>
      <c r="BE27" s="19"/>
      <c r="BF27" s="27"/>
      <c r="BG27" s="20"/>
      <c r="BH27" s="20"/>
      <c r="BI27" s="20"/>
      <c r="BJ27" s="20"/>
      <c r="BK27" s="20"/>
      <c r="BL27" s="19"/>
      <c r="BM27" s="34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27"/>
      <c r="CD27" s="20"/>
      <c r="CE27" s="20"/>
      <c r="CF27" s="20"/>
      <c r="CG27" s="20"/>
      <c r="CH27" s="19"/>
      <c r="CI27" s="13"/>
      <c r="CK27" s="57"/>
      <c r="CO27" s="68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70"/>
    </row>
    <row r="28" spans="1:104" s="11" customFormat="1" x14ac:dyDescent="0.3">
      <c r="A28" s="24"/>
      <c r="B28" s="26"/>
      <c r="C28" s="20"/>
      <c r="D28" s="20"/>
      <c r="E28" s="20"/>
      <c r="F28" s="20"/>
      <c r="G28" s="20"/>
      <c r="H28" s="19"/>
      <c r="I28" s="27"/>
      <c r="J28" s="20"/>
      <c r="K28" s="20"/>
      <c r="L28" s="20"/>
      <c r="M28" s="20"/>
      <c r="N28" s="20"/>
      <c r="O28" s="19"/>
      <c r="P28" s="27"/>
      <c r="Q28" s="20"/>
      <c r="R28" s="20"/>
      <c r="S28" s="20"/>
      <c r="T28" s="20"/>
      <c r="U28" s="20"/>
      <c r="V28" s="19"/>
      <c r="W28" s="27"/>
      <c r="X28" s="20"/>
      <c r="Y28" s="20"/>
      <c r="Z28" s="20"/>
      <c r="AA28" s="20"/>
      <c r="AB28" s="20"/>
      <c r="AC28" s="19"/>
      <c r="AD28" s="27"/>
      <c r="AE28" s="20"/>
      <c r="AF28" s="20"/>
      <c r="AG28" s="20"/>
      <c r="AH28" s="20"/>
      <c r="AI28" s="20"/>
      <c r="AJ28" s="19"/>
      <c r="AK28" s="27"/>
      <c r="AL28" s="20"/>
      <c r="AM28" s="20"/>
      <c r="AN28" s="20"/>
      <c r="AO28" s="20"/>
      <c r="AP28" s="20"/>
      <c r="AQ28" s="19"/>
      <c r="AR28" s="20"/>
      <c r="AS28" s="20"/>
      <c r="AT28" s="20"/>
      <c r="AU28" s="20"/>
      <c r="AV28" s="20"/>
      <c r="AW28" s="20"/>
      <c r="AX28" s="19"/>
      <c r="AY28" s="20"/>
      <c r="AZ28" s="20"/>
      <c r="BA28" s="20"/>
      <c r="BB28" s="20"/>
      <c r="BC28" s="20"/>
      <c r="BD28" s="20"/>
      <c r="BE28" s="19"/>
      <c r="BF28" s="27"/>
      <c r="BG28" s="20"/>
      <c r="BH28" s="20"/>
      <c r="BI28" s="20"/>
      <c r="BJ28" s="20"/>
      <c r="BK28" s="20"/>
      <c r="BL28" s="19"/>
      <c r="BM28" s="34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27"/>
      <c r="CD28" s="20"/>
      <c r="CE28" s="20"/>
      <c r="CF28" s="20"/>
      <c r="CG28" s="20"/>
      <c r="CH28" s="19"/>
      <c r="CI28" s="13"/>
      <c r="CK28" s="57"/>
      <c r="CO28" s="68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70"/>
    </row>
    <row r="29" spans="1:104" s="11" customFormat="1" x14ac:dyDescent="0.3">
      <c r="A29" s="24"/>
      <c r="B29" s="26"/>
      <c r="C29" s="20"/>
      <c r="D29" s="20"/>
      <c r="E29" s="20"/>
      <c r="F29" s="20"/>
      <c r="G29" s="20"/>
      <c r="H29" s="19"/>
      <c r="I29" s="27"/>
      <c r="J29" s="20"/>
      <c r="K29" s="20"/>
      <c r="L29" s="20"/>
      <c r="M29" s="20"/>
      <c r="N29" s="20"/>
      <c r="O29" s="19"/>
      <c r="P29" s="27"/>
      <c r="Q29" s="20"/>
      <c r="R29" s="20"/>
      <c r="S29" s="20"/>
      <c r="T29" s="20"/>
      <c r="U29" s="20"/>
      <c r="V29" s="19"/>
      <c r="W29" s="27"/>
      <c r="X29" s="20"/>
      <c r="Y29" s="20"/>
      <c r="Z29" s="20"/>
      <c r="AA29" s="20"/>
      <c r="AB29" s="20"/>
      <c r="AC29" s="19"/>
      <c r="AD29" s="27"/>
      <c r="AE29" s="20"/>
      <c r="AF29" s="20"/>
      <c r="AG29" s="20"/>
      <c r="AH29" s="20"/>
      <c r="AI29" s="20"/>
      <c r="AJ29" s="19"/>
      <c r="AK29" s="27"/>
      <c r="AL29" s="20"/>
      <c r="AM29" s="20"/>
      <c r="AN29" s="20"/>
      <c r="AO29" s="20"/>
      <c r="AP29" s="20"/>
      <c r="AQ29" s="19"/>
      <c r="AR29" s="20"/>
      <c r="AS29" s="20"/>
      <c r="AT29" s="20"/>
      <c r="AU29" s="20"/>
      <c r="AV29" s="20"/>
      <c r="AW29" s="20"/>
      <c r="AX29" s="19"/>
      <c r="AY29" s="20"/>
      <c r="AZ29" s="20"/>
      <c r="BA29" s="20"/>
      <c r="BB29" s="20"/>
      <c r="BC29" s="20"/>
      <c r="BD29" s="20"/>
      <c r="BE29" s="19"/>
      <c r="BF29" s="27"/>
      <c r="BG29" s="20"/>
      <c r="BH29" s="20"/>
      <c r="BI29" s="20"/>
      <c r="BJ29" s="20"/>
      <c r="BK29" s="20"/>
      <c r="BL29" s="19"/>
      <c r="BM29" s="34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27"/>
      <c r="CD29" s="20"/>
      <c r="CE29" s="20"/>
      <c r="CF29" s="20"/>
      <c r="CG29" s="20"/>
      <c r="CH29" s="19"/>
      <c r="CI29" s="13"/>
      <c r="CK29" s="57"/>
      <c r="CO29" s="57"/>
      <c r="CZ29" s="58"/>
    </row>
    <row r="30" spans="1:104" s="11" customFormat="1" x14ac:dyDescent="0.3">
      <c r="A30" s="24"/>
      <c r="B30" s="26"/>
      <c r="C30" s="20"/>
      <c r="D30" s="20"/>
      <c r="E30" s="20"/>
      <c r="F30" s="20"/>
      <c r="G30" s="20"/>
      <c r="H30" s="19"/>
      <c r="I30" s="27"/>
      <c r="J30" s="20"/>
      <c r="K30" s="20"/>
      <c r="L30" s="20"/>
      <c r="M30" s="20"/>
      <c r="N30" s="20"/>
      <c r="O30" s="19"/>
      <c r="P30" s="27"/>
      <c r="Q30" s="20"/>
      <c r="R30" s="20"/>
      <c r="S30" s="20"/>
      <c r="T30" s="20"/>
      <c r="U30" s="20"/>
      <c r="V30" s="19"/>
      <c r="W30" s="27"/>
      <c r="X30" s="20"/>
      <c r="Y30" s="20"/>
      <c r="Z30" s="20"/>
      <c r="AA30" s="20"/>
      <c r="AB30" s="20"/>
      <c r="AC30" s="19"/>
      <c r="AD30" s="27"/>
      <c r="AE30" s="20"/>
      <c r="AF30" s="20"/>
      <c r="AG30" s="20"/>
      <c r="AH30" s="20"/>
      <c r="AI30" s="20"/>
      <c r="AJ30" s="19"/>
      <c r="AK30" s="27"/>
      <c r="AL30" s="20"/>
      <c r="AM30" s="20"/>
      <c r="AN30" s="20"/>
      <c r="AO30" s="20"/>
      <c r="AP30" s="20"/>
      <c r="AQ30" s="19"/>
      <c r="AR30" s="20"/>
      <c r="AS30" s="20"/>
      <c r="AT30" s="20"/>
      <c r="AU30" s="20"/>
      <c r="AV30" s="20"/>
      <c r="AW30" s="20"/>
      <c r="AX30" s="19"/>
      <c r="AY30" s="20"/>
      <c r="AZ30" s="20"/>
      <c r="BA30" s="20"/>
      <c r="BB30" s="20"/>
      <c r="BC30" s="20"/>
      <c r="BD30" s="20"/>
      <c r="BE30" s="19"/>
      <c r="BF30" s="27"/>
      <c r="BG30" s="20"/>
      <c r="BH30" s="20"/>
      <c r="BI30" s="20"/>
      <c r="BJ30" s="20"/>
      <c r="BK30" s="20"/>
      <c r="BL30" s="19"/>
      <c r="BM30" s="34"/>
      <c r="BN30" s="21" t="s">
        <v>293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27"/>
      <c r="CD30" s="20"/>
      <c r="CE30" s="20"/>
      <c r="CF30" s="20"/>
      <c r="CG30" s="20"/>
      <c r="CH30" s="19"/>
      <c r="CI30" s="13"/>
      <c r="CK30" s="57"/>
      <c r="CO30" s="57"/>
      <c r="CZ30" s="58"/>
    </row>
    <row r="31" spans="1:104" s="11" customFormat="1" x14ac:dyDescent="0.3">
      <c r="A31" s="24"/>
      <c r="B31" s="26"/>
      <c r="C31" s="20"/>
      <c r="D31" s="20"/>
      <c r="E31" s="20"/>
      <c r="F31" s="20"/>
      <c r="G31" s="20"/>
      <c r="H31" s="19"/>
      <c r="I31" s="27"/>
      <c r="J31" s="20"/>
      <c r="K31" s="20"/>
      <c r="L31" s="20"/>
      <c r="M31" s="20"/>
      <c r="N31" s="20"/>
      <c r="O31" s="19"/>
      <c r="P31" s="27"/>
      <c r="Q31" s="20"/>
      <c r="R31" s="20"/>
      <c r="S31" s="20"/>
      <c r="T31" s="20"/>
      <c r="U31" s="20"/>
      <c r="V31" s="19"/>
      <c r="W31" s="27"/>
      <c r="X31" s="20"/>
      <c r="Y31" s="20"/>
      <c r="Z31" s="20"/>
      <c r="AA31" s="20"/>
      <c r="AB31" s="20"/>
      <c r="AC31" s="19"/>
      <c r="AD31" s="27"/>
      <c r="AE31" s="20"/>
      <c r="AF31" s="20"/>
      <c r="AG31" s="20"/>
      <c r="AH31" s="20"/>
      <c r="AI31" s="20"/>
      <c r="AJ31" s="19"/>
      <c r="AK31" s="27"/>
      <c r="AL31" s="20"/>
      <c r="AM31" s="20"/>
      <c r="AN31" s="20"/>
      <c r="AO31" s="20"/>
      <c r="AP31" s="20"/>
      <c r="AQ31" s="19"/>
      <c r="AR31" s="20"/>
      <c r="AS31" s="20"/>
      <c r="AT31" s="20"/>
      <c r="AU31" s="20"/>
      <c r="AV31" s="20"/>
      <c r="AW31" s="20"/>
      <c r="AX31" s="19"/>
      <c r="AY31" s="20"/>
      <c r="AZ31" s="20"/>
      <c r="BA31" s="20"/>
      <c r="BB31" s="20"/>
      <c r="BC31" s="20"/>
      <c r="BD31" s="20"/>
      <c r="BE31" s="19"/>
      <c r="BF31" s="29"/>
      <c r="BG31"/>
      <c r="BH31"/>
      <c r="BI31"/>
      <c r="BJ31"/>
      <c r="BK31"/>
      <c r="BL31" s="18"/>
      <c r="BM31" s="34"/>
      <c r="BN31" s="17"/>
      <c r="BO31" s="17" t="s">
        <v>294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27"/>
      <c r="CD31" s="20"/>
      <c r="CE31" s="20"/>
      <c r="CF31" s="20"/>
      <c r="CG31" s="20"/>
      <c r="CH31" s="19"/>
      <c r="CI31" s="13"/>
      <c r="CK31" s="57"/>
      <c r="CO31" s="57"/>
      <c r="CZ31" s="58"/>
    </row>
    <row r="32" spans="1:104" s="11" customFormat="1" x14ac:dyDescent="0.3">
      <c r="A32" s="24"/>
      <c r="B32" s="26"/>
      <c r="C32" s="20"/>
      <c r="D32" s="20"/>
      <c r="E32" s="20"/>
      <c r="F32" s="20"/>
      <c r="G32" s="20"/>
      <c r="H32" s="19"/>
      <c r="I32" s="27"/>
      <c r="J32" s="20"/>
      <c r="K32" s="20"/>
      <c r="L32" s="20"/>
      <c r="M32" s="20"/>
      <c r="N32" s="20"/>
      <c r="O32" s="19"/>
      <c r="P32" s="27"/>
      <c r="Q32" s="20"/>
      <c r="R32" s="20"/>
      <c r="S32" s="20"/>
      <c r="T32" s="20"/>
      <c r="U32" s="20"/>
      <c r="V32" s="19"/>
      <c r="W32" s="27"/>
      <c r="X32" s="20"/>
      <c r="Y32" s="20"/>
      <c r="Z32" s="20"/>
      <c r="AA32" s="20"/>
      <c r="AB32" s="20"/>
      <c r="AC32" s="19"/>
      <c r="AD32" s="27"/>
      <c r="AE32" s="20"/>
      <c r="AF32" s="20"/>
      <c r="AG32" s="20"/>
      <c r="AH32" s="20"/>
      <c r="AI32" s="20"/>
      <c r="AJ32" s="19"/>
      <c r="AK32" s="27"/>
      <c r="AL32" s="20"/>
      <c r="AM32" s="20"/>
      <c r="AN32" s="20"/>
      <c r="AO32" s="20"/>
      <c r="AP32" s="20"/>
      <c r="AQ32" s="19"/>
      <c r="AR32" s="20"/>
      <c r="AS32" s="20"/>
      <c r="AT32" s="20"/>
      <c r="AU32" s="20"/>
      <c r="AV32" s="20"/>
      <c r="AW32" s="20"/>
      <c r="AX32" s="19"/>
      <c r="AY32" s="20"/>
      <c r="AZ32" s="20"/>
      <c r="BA32" s="20"/>
      <c r="BB32" s="20"/>
      <c r="BC32" s="20"/>
      <c r="BD32" s="20"/>
      <c r="BE32" s="19"/>
      <c r="BF32" s="30"/>
      <c r="BL32" s="13"/>
      <c r="BM32" s="34"/>
      <c r="BN32" s="21"/>
      <c r="BO32" s="17" t="s">
        <v>295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27"/>
      <c r="CD32" s="20"/>
      <c r="CE32" s="20"/>
      <c r="CF32" s="20"/>
      <c r="CG32" s="20"/>
      <c r="CH32" s="19"/>
      <c r="CI32" s="13"/>
      <c r="CK32" s="57"/>
      <c r="CO32" s="57"/>
      <c r="CZ32" s="58"/>
    </row>
    <row r="33" spans="1:104" s="11" customFormat="1" x14ac:dyDescent="0.3">
      <c r="A33" s="24"/>
      <c r="B33" s="26"/>
      <c r="C33" s="20"/>
      <c r="D33" s="20"/>
      <c r="E33" s="20"/>
      <c r="F33" s="20"/>
      <c r="G33" s="20"/>
      <c r="H33" s="19"/>
      <c r="I33" s="27"/>
      <c r="J33" s="20"/>
      <c r="K33" s="20"/>
      <c r="L33" s="20"/>
      <c r="M33" s="20"/>
      <c r="N33" s="20"/>
      <c r="O33" s="19"/>
      <c r="P33" s="27"/>
      <c r="Q33" s="20"/>
      <c r="R33" s="20"/>
      <c r="S33" s="20"/>
      <c r="T33" s="20"/>
      <c r="U33" s="20"/>
      <c r="V33" s="19"/>
      <c r="W33" s="27"/>
      <c r="X33" s="20"/>
      <c r="Y33" s="20"/>
      <c r="Z33" s="20"/>
      <c r="AA33" s="20"/>
      <c r="AB33" s="20"/>
      <c r="AC33" s="19"/>
      <c r="AD33" s="27"/>
      <c r="AE33" s="20"/>
      <c r="AF33" s="20"/>
      <c r="AG33" s="20"/>
      <c r="AH33" s="20"/>
      <c r="AI33" s="20"/>
      <c r="AJ33" s="19"/>
      <c r="AK33" s="27"/>
      <c r="AL33" s="20"/>
      <c r="AM33" s="20"/>
      <c r="AN33" s="20"/>
      <c r="AO33" s="20"/>
      <c r="AP33" s="20"/>
      <c r="AQ33" s="19"/>
      <c r="AR33" s="20"/>
      <c r="AS33" s="20"/>
      <c r="AT33" s="20"/>
      <c r="AU33" s="20"/>
      <c r="AV33" s="20"/>
      <c r="AW33" s="20"/>
      <c r="AX33" s="19"/>
      <c r="AY33" s="20"/>
      <c r="AZ33" s="20"/>
      <c r="BA33" s="20"/>
      <c r="BB33" s="20"/>
      <c r="BC33" s="20"/>
      <c r="BD33" s="20"/>
      <c r="BE33" s="19"/>
      <c r="BF33" s="23"/>
      <c r="BG33" s="8"/>
      <c r="BH33" s="8"/>
      <c r="BI33" s="8"/>
      <c r="BJ33" s="8"/>
      <c r="BK33" s="8"/>
      <c r="BL33" s="14"/>
      <c r="BM33" s="34"/>
      <c r="BO33" s="78" t="s">
        <v>296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27"/>
      <c r="CD33" s="20"/>
      <c r="CE33" s="20"/>
      <c r="CF33" s="20"/>
      <c r="CG33" s="20"/>
      <c r="CH33" s="19"/>
      <c r="CI33" s="14"/>
      <c r="CK33" s="57"/>
      <c r="CO33" s="57"/>
      <c r="CZ33" s="58"/>
    </row>
    <row r="34" spans="1:104" s="11" customFormat="1" x14ac:dyDescent="0.3">
      <c r="A34" s="24"/>
      <c r="B34" s="26"/>
      <c r="C34" s="20"/>
      <c r="D34" s="20"/>
      <c r="E34" s="20"/>
      <c r="F34" s="20"/>
      <c r="G34" s="20"/>
      <c r="H34" s="19"/>
      <c r="I34" s="27"/>
      <c r="J34" s="20"/>
      <c r="K34" s="20"/>
      <c r="L34" s="20"/>
      <c r="M34" s="20"/>
      <c r="N34" s="20"/>
      <c r="O34" s="19"/>
      <c r="P34" s="27"/>
      <c r="Q34" s="20"/>
      <c r="R34" s="20"/>
      <c r="S34" s="20"/>
      <c r="T34" s="20"/>
      <c r="U34" s="20"/>
      <c r="V34" s="19"/>
      <c r="W34" s="27"/>
      <c r="X34" s="20"/>
      <c r="Y34" s="20"/>
      <c r="Z34" s="20"/>
      <c r="AA34" s="20"/>
      <c r="AB34" s="20"/>
      <c r="AC34" s="19"/>
      <c r="AD34" s="27"/>
      <c r="AE34" s="20"/>
      <c r="AF34" s="20"/>
      <c r="AG34" s="20"/>
      <c r="AH34" s="20"/>
      <c r="AI34" s="20"/>
      <c r="AJ34" s="19"/>
      <c r="AK34" s="27"/>
      <c r="AL34" s="20"/>
      <c r="AM34" s="20"/>
      <c r="AN34" s="20"/>
      <c r="AO34" s="20"/>
      <c r="AP34" s="20"/>
      <c r="AQ34" s="19"/>
      <c r="AR34" s="20"/>
      <c r="AS34" s="20"/>
      <c r="AT34" s="20"/>
      <c r="AU34" s="20"/>
      <c r="AV34" s="20"/>
      <c r="AW34" s="20"/>
      <c r="AX34" s="19"/>
      <c r="AY34" s="20"/>
      <c r="AZ34" s="20"/>
      <c r="BA34" s="20"/>
      <c r="BB34" s="20"/>
      <c r="BC34" s="20"/>
      <c r="BD34" s="20"/>
      <c r="BE34" s="19"/>
      <c r="BF34" s="23"/>
      <c r="BG34" s="8"/>
      <c r="BH34" s="8"/>
      <c r="BI34" s="8"/>
      <c r="BJ34" s="8"/>
      <c r="BK34" s="8"/>
      <c r="BL34" s="14"/>
      <c r="BM34" s="34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27"/>
      <c r="CD34" s="20"/>
      <c r="CE34" s="20"/>
      <c r="CF34" s="20"/>
      <c r="CG34" s="20"/>
      <c r="CH34" s="19"/>
      <c r="CI34" s="14"/>
      <c r="CK34" s="57"/>
      <c r="CO34" s="57"/>
      <c r="CZ34" s="58"/>
    </row>
    <row r="35" spans="1:104" s="11" customFormat="1" x14ac:dyDescent="0.3">
      <c r="A35" s="24"/>
      <c r="B35" s="26"/>
      <c r="C35" s="20"/>
      <c r="D35" s="20"/>
      <c r="E35" s="20"/>
      <c r="F35" s="20"/>
      <c r="G35" s="20"/>
      <c r="H35" s="19"/>
      <c r="I35" s="27"/>
      <c r="J35" s="20"/>
      <c r="K35" s="20"/>
      <c r="L35" s="20"/>
      <c r="M35" s="20"/>
      <c r="N35" s="20"/>
      <c r="O35" s="19"/>
      <c r="P35" s="27"/>
      <c r="Q35" s="20"/>
      <c r="R35" s="20"/>
      <c r="S35" s="20"/>
      <c r="T35" s="20"/>
      <c r="U35" s="20"/>
      <c r="V35" s="19"/>
      <c r="W35" s="27"/>
      <c r="X35" s="20"/>
      <c r="Y35" s="20"/>
      <c r="Z35" s="20"/>
      <c r="AA35" s="20"/>
      <c r="AB35" s="20"/>
      <c r="AC35" s="19"/>
      <c r="AD35" s="27"/>
      <c r="AE35" s="20"/>
      <c r="AF35" s="20"/>
      <c r="AG35" s="20"/>
      <c r="AH35" s="20"/>
      <c r="AI35" s="20"/>
      <c r="AJ35" s="19"/>
      <c r="AK35" s="27"/>
      <c r="AL35" s="20"/>
      <c r="AM35" s="20"/>
      <c r="AN35" s="20"/>
      <c r="AO35" s="20"/>
      <c r="AP35" s="20"/>
      <c r="AQ35" s="19"/>
      <c r="AR35" s="20"/>
      <c r="AS35" s="20"/>
      <c r="AT35" s="20"/>
      <c r="AU35" s="20"/>
      <c r="AV35" s="20"/>
      <c r="AW35" s="20"/>
      <c r="AX35" s="19"/>
      <c r="AY35" s="20"/>
      <c r="AZ35" s="20"/>
      <c r="BA35" s="20"/>
      <c r="BB35" s="20"/>
      <c r="BC35" s="20"/>
      <c r="BD35" s="20"/>
      <c r="BE35" s="19"/>
      <c r="BF35" s="23"/>
      <c r="BG35" s="8"/>
      <c r="BH35" s="8"/>
      <c r="BI35" s="8"/>
      <c r="BJ35" s="8"/>
      <c r="BK35" s="8"/>
      <c r="BL35" s="14"/>
      <c r="BM35" s="34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27"/>
      <c r="CD35" s="20"/>
      <c r="CE35" s="20"/>
      <c r="CF35" s="20"/>
      <c r="CG35" s="20"/>
      <c r="CH35" s="19"/>
      <c r="CI35" s="14"/>
      <c r="CK35" s="57"/>
      <c r="CO35" s="57"/>
      <c r="CZ35" s="58"/>
    </row>
    <row r="36" spans="1:104" s="11" customFormat="1" x14ac:dyDescent="0.3">
      <c r="A36" s="24"/>
      <c r="B36" s="26"/>
      <c r="C36" s="20"/>
      <c r="D36" s="20"/>
      <c r="E36" s="20"/>
      <c r="F36" s="20"/>
      <c r="G36" s="20"/>
      <c r="H36" s="19"/>
      <c r="I36" s="27"/>
      <c r="J36" s="20"/>
      <c r="K36" s="20"/>
      <c r="L36" s="20"/>
      <c r="M36" s="20"/>
      <c r="N36" s="20"/>
      <c r="O36" s="19"/>
      <c r="P36" s="27"/>
      <c r="Q36" s="20"/>
      <c r="R36" s="20"/>
      <c r="S36" s="20"/>
      <c r="T36" s="20"/>
      <c r="U36" s="20"/>
      <c r="V36" s="19"/>
      <c r="W36" s="27"/>
      <c r="X36" s="20"/>
      <c r="Y36" s="20"/>
      <c r="Z36" s="20"/>
      <c r="AA36" s="20"/>
      <c r="AB36" s="20"/>
      <c r="AC36" s="19"/>
      <c r="AD36" s="27"/>
      <c r="AE36" s="20"/>
      <c r="AF36" s="20"/>
      <c r="AG36" s="20"/>
      <c r="AH36" s="20"/>
      <c r="AI36" s="20"/>
      <c r="AJ36" s="19"/>
      <c r="AK36" s="27"/>
      <c r="AL36" s="20"/>
      <c r="AM36" s="20"/>
      <c r="AN36" s="20"/>
      <c r="AO36" s="20"/>
      <c r="AP36" s="20"/>
      <c r="AQ36" s="19"/>
      <c r="AR36" s="20"/>
      <c r="AS36" s="20"/>
      <c r="AT36" s="20"/>
      <c r="AU36" s="20"/>
      <c r="AV36" s="20"/>
      <c r="AW36" s="20"/>
      <c r="AX36" s="19"/>
      <c r="AY36" s="20"/>
      <c r="AZ36" s="20"/>
      <c r="BA36" s="20"/>
      <c r="BB36" s="20"/>
      <c r="BC36" s="20"/>
      <c r="BD36" s="20"/>
      <c r="BE36" s="19"/>
      <c r="BF36" s="23"/>
      <c r="BG36" s="8"/>
      <c r="BH36" s="8"/>
      <c r="BI36" s="8"/>
      <c r="BJ36" s="8"/>
      <c r="BK36" s="8"/>
      <c r="BL36" s="14"/>
      <c r="BM36" s="34"/>
      <c r="BN36" s="21" t="s">
        <v>297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27"/>
      <c r="CD36" s="20"/>
      <c r="CE36" s="20"/>
      <c r="CF36" s="20"/>
      <c r="CG36" s="20"/>
      <c r="CH36" s="19"/>
      <c r="CI36" s="14"/>
      <c r="CK36" s="57"/>
      <c r="CO36" s="57"/>
      <c r="CZ36" s="58"/>
    </row>
    <row r="37" spans="1:104" s="11" customFormat="1" x14ac:dyDescent="0.3">
      <c r="A37" s="24"/>
      <c r="B37" s="26"/>
      <c r="C37" s="20"/>
      <c r="D37" s="20"/>
      <c r="E37" s="20"/>
      <c r="F37" s="20"/>
      <c r="G37" s="20"/>
      <c r="H37" s="19"/>
      <c r="I37" s="27"/>
      <c r="J37" s="20"/>
      <c r="K37" s="20"/>
      <c r="L37" s="20"/>
      <c r="M37" s="20"/>
      <c r="N37" s="20"/>
      <c r="O37" s="19"/>
      <c r="P37" s="27"/>
      <c r="Q37" s="20"/>
      <c r="R37" s="20"/>
      <c r="S37" s="20"/>
      <c r="T37" s="20"/>
      <c r="U37" s="20"/>
      <c r="V37" s="19"/>
      <c r="W37" s="27"/>
      <c r="X37" s="20"/>
      <c r="Y37" s="20"/>
      <c r="Z37" s="20"/>
      <c r="AA37" s="20"/>
      <c r="AB37" s="20"/>
      <c r="AC37" s="19"/>
      <c r="AD37" s="27"/>
      <c r="AE37" s="20"/>
      <c r="AF37" s="20"/>
      <c r="AG37" s="20"/>
      <c r="AH37" s="20"/>
      <c r="AI37" s="20"/>
      <c r="AJ37" s="19"/>
      <c r="AK37" s="27"/>
      <c r="AL37" s="20"/>
      <c r="AM37" s="20"/>
      <c r="AN37" s="20"/>
      <c r="AO37" s="20"/>
      <c r="AP37" s="20"/>
      <c r="AQ37" s="19"/>
      <c r="AR37" s="20"/>
      <c r="AS37" s="20"/>
      <c r="AT37" s="20"/>
      <c r="AU37" s="20"/>
      <c r="AV37" s="20"/>
      <c r="AW37" s="20"/>
      <c r="AX37" s="19"/>
      <c r="AY37" s="20"/>
      <c r="AZ37" s="20"/>
      <c r="BA37" s="20"/>
      <c r="BB37" s="20"/>
      <c r="BC37" s="20"/>
      <c r="BD37" s="20"/>
      <c r="BE37" s="19"/>
      <c r="BF37" s="23"/>
      <c r="BG37" s="8"/>
      <c r="BH37" s="8"/>
      <c r="BI37" s="8"/>
      <c r="BJ37" s="8"/>
      <c r="BK37" s="8"/>
      <c r="BL37" s="14"/>
      <c r="BM37" s="34"/>
      <c r="BN37" s="17"/>
      <c r="BO37" s="17" t="s">
        <v>298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27"/>
      <c r="CD37" s="20"/>
      <c r="CE37" s="20"/>
      <c r="CF37" s="20"/>
      <c r="CG37" s="20"/>
      <c r="CH37" s="19"/>
      <c r="CI37" s="14"/>
      <c r="CK37" s="57"/>
      <c r="CO37" s="57"/>
      <c r="CZ37" s="58"/>
    </row>
    <row r="38" spans="1:104" s="11" customFormat="1" x14ac:dyDescent="0.3">
      <c r="A38" s="24"/>
      <c r="B38" s="26"/>
      <c r="C38" s="20"/>
      <c r="D38" s="20"/>
      <c r="E38" s="20"/>
      <c r="F38" s="20"/>
      <c r="G38" s="20"/>
      <c r="H38" s="19"/>
      <c r="I38" s="27"/>
      <c r="J38" s="20"/>
      <c r="K38" s="20"/>
      <c r="L38" s="20"/>
      <c r="M38" s="20"/>
      <c r="N38" s="20"/>
      <c r="O38" s="19"/>
      <c r="P38" s="27"/>
      <c r="Q38" s="20"/>
      <c r="R38" s="20"/>
      <c r="S38" s="20"/>
      <c r="T38" s="20"/>
      <c r="U38" s="20"/>
      <c r="V38" s="19"/>
      <c r="W38" s="27"/>
      <c r="X38" s="20"/>
      <c r="Y38" s="20"/>
      <c r="Z38" s="20"/>
      <c r="AA38" s="20"/>
      <c r="AB38" s="20"/>
      <c r="AC38" s="19"/>
      <c r="AD38" s="27"/>
      <c r="AE38" s="20"/>
      <c r="AF38" s="20"/>
      <c r="AG38" s="20"/>
      <c r="AH38" s="20"/>
      <c r="AI38" s="20"/>
      <c r="AJ38" s="19"/>
      <c r="AK38" s="27"/>
      <c r="AL38" s="20"/>
      <c r="AM38" s="20"/>
      <c r="AN38" s="20"/>
      <c r="AO38" s="20"/>
      <c r="AP38" s="20"/>
      <c r="AQ38" s="19"/>
      <c r="AR38" s="20"/>
      <c r="AS38" s="20"/>
      <c r="AT38" s="20"/>
      <c r="AU38" s="20"/>
      <c r="AV38" s="20"/>
      <c r="AW38" s="20"/>
      <c r="AX38" s="19"/>
      <c r="AY38" s="20"/>
      <c r="AZ38" s="20"/>
      <c r="BA38" s="20"/>
      <c r="BB38" s="20"/>
      <c r="BC38" s="20"/>
      <c r="BD38" s="20"/>
      <c r="BE38" s="19"/>
      <c r="BF38" s="23"/>
      <c r="BG38" s="8"/>
      <c r="BH38" s="8"/>
      <c r="BI38" s="8"/>
      <c r="BJ38" s="8"/>
      <c r="BK38" s="8"/>
      <c r="BL38" s="14"/>
      <c r="BM38" s="34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27"/>
      <c r="CD38" s="20"/>
      <c r="CE38" s="20"/>
      <c r="CF38" s="20"/>
      <c r="CG38" s="20"/>
      <c r="CH38" s="19"/>
      <c r="CI38" s="14"/>
      <c r="CK38" s="57"/>
      <c r="CO38" s="57"/>
      <c r="CZ38" s="58"/>
    </row>
    <row r="39" spans="1:104" s="11" customFormat="1" x14ac:dyDescent="0.3">
      <c r="A39" s="24"/>
      <c r="B39" s="26"/>
      <c r="C39" s="20"/>
      <c r="D39" s="20"/>
      <c r="E39" s="20"/>
      <c r="F39" s="20"/>
      <c r="G39" s="20"/>
      <c r="H39" s="19"/>
      <c r="I39" s="27"/>
      <c r="J39" s="20"/>
      <c r="K39" s="20"/>
      <c r="L39" s="20"/>
      <c r="M39" s="20"/>
      <c r="N39" s="20"/>
      <c r="O39" s="19"/>
      <c r="P39" s="27"/>
      <c r="Q39" s="20"/>
      <c r="R39" s="20"/>
      <c r="S39" s="20"/>
      <c r="T39" s="20"/>
      <c r="U39" s="20"/>
      <c r="V39" s="19"/>
      <c r="W39" s="27"/>
      <c r="X39" s="20"/>
      <c r="Y39" s="20"/>
      <c r="Z39" s="20"/>
      <c r="AA39" s="20"/>
      <c r="AB39" s="20"/>
      <c r="AC39" s="19"/>
      <c r="AD39" s="27"/>
      <c r="AE39" s="20"/>
      <c r="AF39" s="20"/>
      <c r="AG39" s="20"/>
      <c r="AH39" s="20"/>
      <c r="AI39" s="20"/>
      <c r="AJ39" s="19"/>
      <c r="AK39" s="27"/>
      <c r="AL39" s="20"/>
      <c r="AM39" s="20"/>
      <c r="AN39" s="20"/>
      <c r="AO39" s="20"/>
      <c r="AP39" s="20"/>
      <c r="AQ39" s="19"/>
      <c r="AR39" s="20"/>
      <c r="AS39" s="20"/>
      <c r="AT39" s="20"/>
      <c r="AU39" s="20"/>
      <c r="AV39" s="20"/>
      <c r="AW39" s="20"/>
      <c r="AX39" s="19"/>
      <c r="AY39" s="20"/>
      <c r="AZ39" s="20"/>
      <c r="BA39" s="20"/>
      <c r="BB39" s="20"/>
      <c r="BC39" s="20"/>
      <c r="BD39" s="20"/>
      <c r="BE39" s="19"/>
      <c r="BF39" s="23"/>
      <c r="BG39" s="8"/>
      <c r="BH39" s="8"/>
      <c r="BI39" s="8"/>
      <c r="BJ39" s="8"/>
      <c r="BK39" s="8"/>
      <c r="BL39" s="14"/>
      <c r="BM39" s="34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73" t="s">
        <v>253</v>
      </c>
      <c r="CD39" s="20"/>
      <c r="CE39" s="20"/>
      <c r="CF39" s="20"/>
      <c r="CG39" s="20"/>
      <c r="CH39" s="19"/>
      <c r="CI39" s="14"/>
      <c r="CK39" s="57"/>
      <c r="CO39" s="57"/>
      <c r="CZ39" s="58"/>
    </row>
    <row r="40" spans="1:104" s="11" customFormat="1" x14ac:dyDescent="0.3">
      <c r="A40" s="24"/>
      <c r="B40" s="26"/>
      <c r="C40" s="20"/>
      <c r="D40" s="20"/>
      <c r="E40" s="20"/>
      <c r="F40" s="20"/>
      <c r="G40" s="20"/>
      <c r="H40" s="19"/>
      <c r="I40" s="27"/>
      <c r="J40" s="20"/>
      <c r="K40" s="20"/>
      <c r="L40" s="20"/>
      <c r="M40" s="20"/>
      <c r="N40" s="20"/>
      <c r="O40" s="19"/>
      <c r="P40" s="27"/>
      <c r="Q40" s="20"/>
      <c r="R40" s="20"/>
      <c r="S40" s="20"/>
      <c r="T40" s="20"/>
      <c r="U40" s="20"/>
      <c r="V40" s="19"/>
      <c r="W40" s="27"/>
      <c r="X40" s="20"/>
      <c r="Y40" s="20"/>
      <c r="Z40" s="20"/>
      <c r="AA40" s="20"/>
      <c r="AB40" s="20"/>
      <c r="AC40" s="19"/>
      <c r="AD40" s="27"/>
      <c r="AE40" s="20"/>
      <c r="AF40" s="20"/>
      <c r="AG40" s="20"/>
      <c r="AH40" s="20"/>
      <c r="AI40" s="20"/>
      <c r="AJ40" s="19"/>
      <c r="AK40" s="27"/>
      <c r="AL40" s="20"/>
      <c r="AM40" s="20"/>
      <c r="AN40" s="20"/>
      <c r="AO40" s="20"/>
      <c r="AP40" s="20"/>
      <c r="AQ40" s="19"/>
      <c r="AR40" s="20"/>
      <c r="AS40" s="20"/>
      <c r="AT40" s="20"/>
      <c r="AU40" s="20"/>
      <c r="AV40" s="20"/>
      <c r="AW40" s="20"/>
      <c r="AX40" s="19"/>
      <c r="AY40" s="20"/>
      <c r="AZ40" s="20"/>
      <c r="BA40" s="20"/>
      <c r="BB40" s="20"/>
      <c r="BC40" s="20"/>
      <c r="BD40" s="20"/>
      <c r="BE40" s="19"/>
      <c r="BF40" s="23"/>
      <c r="BG40" s="8"/>
      <c r="BH40" s="8"/>
      <c r="BI40" s="8"/>
      <c r="BJ40" s="8"/>
      <c r="BK40" s="8"/>
      <c r="BL40" s="14"/>
      <c r="BM40" s="34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27"/>
      <c r="CD40" s="83" t="s">
        <v>136</v>
      </c>
      <c r="CE40" s="20"/>
      <c r="CF40" s="20"/>
      <c r="CG40" s="20"/>
      <c r="CH40" s="19"/>
      <c r="CI40" s="14"/>
      <c r="CK40" s="57"/>
      <c r="CO40" s="57"/>
      <c r="CZ40" s="58"/>
    </row>
    <row r="41" spans="1:104" s="11" customFormat="1" ht="13.5" customHeight="1" x14ac:dyDescent="0.3">
      <c r="A41" s="24"/>
      <c r="B41" s="28"/>
      <c r="C41" s="12"/>
      <c r="D41" s="12"/>
      <c r="E41" s="12"/>
      <c r="F41" s="12"/>
      <c r="G41" s="12"/>
      <c r="H41" s="18"/>
      <c r="I41" s="29"/>
      <c r="J41"/>
      <c r="K41"/>
      <c r="L41"/>
      <c r="M41"/>
      <c r="N41"/>
      <c r="O41" s="18"/>
      <c r="P41" s="29"/>
      <c r="Q41"/>
      <c r="R41"/>
      <c r="S41"/>
      <c r="T41"/>
      <c r="U41"/>
      <c r="V41" s="18"/>
      <c r="W41" s="29"/>
      <c r="X41"/>
      <c r="Y41"/>
      <c r="Z41"/>
      <c r="AA41"/>
      <c r="AB41"/>
      <c r="AC41" s="18"/>
      <c r="AD41" s="29"/>
      <c r="AE41"/>
      <c r="AF41"/>
      <c r="AG41"/>
      <c r="AH41"/>
      <c r="AI41"/>
      <c r="AJ41" s="18"/>
      <c r="AK41" s="29"/>
      <c r="AL41"/>
      <c r="AM41"/>
      <c r="AN41"/>
      <c r="AO41"/>
      <c r="AP41"/>
      <c r="AQ41" s="18"/>
      <c r="AR41"/>
      <c r="AS41"/>
      <c r="AT41"/>
      <c r="AU41"/>
      <c r="AV41"/>
      <c r="AW41"/>
      <c r="AX41" s="18"/>
      <c r="AY41"/>
      <c r="AZ41"/>
      <c r="BA41"/>
      <c r="BB41"/>
      <c r="BC41"/>
      <c r="BD41"/>
      <c r="BE41" s="18"/>
      <c r="BF41" s="23"/>
      <c r="BG41" s="8"/>
      <c r="BH41" s="8"/>
      <c r="BI41" s="8"/>
      <c r="BJ41" s="8"/>
      <c r="BK41" s="8"/>
      <c r="BL41" s="14"/>
      <c r="BM41" s="30"/>
      <c r="BN41" s="21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C41" s="27"/>
      <c r="CD41" s="83" t="s">
        <v>137</v>
      </c>
      <c r="CE41" s="20"/>
      <c r="CH41" s="13"/>
      <c r="CI41" s="14"/>
      <c r="CK41" s="57"/>
      <c r="CO41" s="57"/>
      <c r="CZ41" s="58"/>
    </row>
    <row r="42" spans="1:104" s="11" customFormat="1" x14ac:dyDescent="0.3">
      <c r="A42" s="24"/>
      <c r="B42" s="28"/>
      <c r="C42" s="12"/>
      <c r="D42" s="12"/>
      <c r="E42" s="12"/>
      <c r="F42" s="12"/>
      <c r="G42" s="12"/>
      <c r="H42" s="18"/>
      <c r="I42" s="30"/>
      <c r="O42" s="13"/>
      <c r="P42" s="30"/>
      <c r="V42" s="13"/>
      <c r="W42" s="30"/>
      <c r="AC42" s="13"/>
      <c r="AD42" s="30"/>
      <c r="AJ42" s="13"/>
      <c r="AK42" s="30"/>
      <c r="AQ42" s="13"/>
      <c r="AX42" s="18"/>
      <c r="BE42" s="18"/>
      <c r="BF42" s="23"/>
      <c r="BG42" s="8"/>
      <c r="BH42" s="8"/>
      <c r="BI42" s="8"/>
      <c r="BJ42" s="8"/>
      <c r="BK42" s="8"/>
      <c r="BL42" s="14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C42" s="23"/>
      <c r="CD42" s="8"/>
      <c r="CE42" s="8"/>
      <c r="CH42" s="13"/>
      <c r="CI42" s="14"/>
      <c r="CK42" s="57"/>
      <c r="CO42" s="57"/>
      <c r="CZ42" s="58"/>
    </row>
    <row r="43" spans="1:104" x14ac:dyDescent="0.3">
      <c r="A43" s="23"/>
      <c r="B43" s="23"/>
      <c r="H43" s="14"/>
      <c r="I43" s="23"/>
      <c r="O43" s="14"/>
      <c r="P43" s="23"/>
      <c r="V43" s="14"/>
      <c r="W43" s="23"/>
      <c r="AC43" s="14"/>
      <c r="AD43" s="23"/>
      <c r="AJ43" s="14"/>
      <c r="AK43" s="23"/>
      <c r="AQ43" s="14"/>
      <c r="AX43" s="18"/>
      <c r="BE43" s="18"/>
      <c r="BF43" s="23"/>
      <c r="BL43" s="14"/>
      <c r="BM43" s="30"/>
      <c r="BN43" s="11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1"/>
      <c r="CB43" s="11"/>
      <c r="CC43" s="23"/>
      <c r="CH43" s="14"/>
      <c r="CI43" s="14"/>
      <c r="CK43" s="59"/>
      <c r="CO43" s="59"/>
      <c r="CZ43" s="60"/>
    </row>
    <row r="44" spans="1:104" x14ac:dyDescent="0.3">
      <c r="A44" s="23"/>
      <c r="B44" s="23"/>
      <c r="H44" s="14"/>
      <c r="I44" s="23"/>
      <c r="O44" s="14"/>
      <c r="P44" s="23"/>
      <c r="V44" s="14"/>
      <c r="W44" s="23"/>
      <c r="AC44" s="14"/>
      <c r="AD44" s="23"/>
      <c r="AJ44" s="14"/>
      <c r="AK44" s="23"/>
      <c r="AQ44" s="14"/>
      <c r="AX44" s="18"/>
      <c r="BE44" s="18"/>
      <c r="BF44" s="23"/>
      <c r="BL44" s="14"/>
      <c r="BM44" s="30"/>
      <c r="BN44" s="11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B44" s="11"/>
      <c r="CC44" s="23"/>
      <c r="CH44" s="14"/>
      <c r="CI44" s="14"/>
      <c r="CK44" s="59"/>
      <c r="CO44" s="59"/>
      <c r="CZ44" s="60"/>
    </row>
    <row r="45" spans="1:104" x14ac:dyDescent="0.3">
      <c r="A45" s="23"/>
      <c r="B45" s="23"/>
      <c r="H45" s="14"/>
      <c r="I45" s="23"/>
      <c r="O45" s="14"/>
      <c r="P45" s="23"/>
      <c r="V45" s="14"/>
      <c r="W45" s="23"/>
      <c r="AC45" s="14"/>
      <c r="AD45" s="23"/>
      <c r="AJ45" s="14"/>
      <c r="AK45" s="23"/>
      <c r="AQ45" s="14"/>
      <c r="AX45" s="18"/>
      <c r="BE45" s="18"/>
      <c r="BF45" s="23"/>
      <c r="BL45" s="14"/>
      <c r="BM45" s="30"/>
      <c r="BN45" s="11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B45" s="11"/>
      <c r="CC45" s="23"/>
      <c r="CH45" s="14"/>
      <c r="CI45" s="14"/>
      <c r="CK45" s="59"/>
      <c r="CO45" s="59"/>
      <c r="CZ45" s="60"/>
    </row>
    <row r="46" spans="1:104" x14ac:dyDescent="0.3">
      <c r="A46" s="23"/>
      <c r="B46" s="23"/>
      <c r="H46" s="14"/>
      <c r="I46" s="23"/>
      <c r="O46" s="14"/>
      <c r="P46" s="23"/>
      <c r="V46" s="14"/>
      <c r="W46" s="23"/>
      <c r="AC46" s="14"/>
      <c r="AD46" s="23"/>
      <c r="AJ46" s="14"/>
      <c r="AK46" s="23"/>
      <c r="AQ46" s="14"/>
      <c r="AX46" s="18"/>
      <c r="BE46" s="18"/>
      <c r="BF46" s="23"/>
      <c r="BL46" s="14"/>
      <c r="BM46" s="30"/>
      <c r="BN46" s="11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B46" s="11"/>
      <c r="CC46" s="23"/>
      <c r="CH46" s="14"/>
      <c r="CI46" s="14"/>
      <c r="CK46" s="59"/>
      <c r="CO46" s="59"/>
      <c r="CZ46" s="60"/>
    </row>
    <row r="47" spans="1:104" x14ac:dyDescent="0.3">
      <c r="A47" s="23"/>
      <c r="B47" s="23"/>
      <c r="H47" s="14"/>
      <c r="I47" s="23"/>
      <c r="O47" s="14"/>
      <c r="P47" s="23"/>
      <c r="V47" s="14"/>
      <c r="W47" s="23"/>
      <c r="AC47" s="14"/>
      <c r="AD47" s="23"/>
      <c r="AJ47" s="14"/>
      <c r="AK47" s="23"/>
      <c r="AQ47" s="14"/>
      <c r="AX47" s="18"/>
      <c r="BE47" s="18"/>
      <c r="BF47" s="23"/>
      <c r="BL47" s="14"/>
      <c r="BM47" s="30"/>
      <c r="BN47" s="11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B47" s="11"/>
      <c r="CC47" s="23"/>
      <c r="CH47" s="14"/>
      <c r="CI47" s="14"/>
      <c r="CK47" s="59"/>
      <c r="CO47" s="59"/>
      <c r="CZ47" s="60"/>
    </row>
    <row r="48" spans="1:104" x14ac:dyDescent="0.3">
      <c r="A48" s="23"/>
      <c r="B48" s="23"/>
      <c r="H48" s="14"/>
      <c r="I48" s="23"/>
      <c r="O48" s="14"/>
      <c r="P48" s="23"/>
      <c r="V48" s="14"/>
      <c r="W48" s="23"/>
      <c r="AC48" s="14"/>
      <c r="AD48" s="23"/>
      <c r="AJ48" s="14"/>
      <c r="AK48" s="23"/>
      <c r="AQ48" s="14"/>
      <c r="AX48" s="18"/>
      <c r="BE48" s="18"/>
      <c r="BF48" s="23"/>
      <c r="BL48" s="14"/>
      <c r="BM48" s="23"/>
      <c r="BN48" s="21" t="s">
        <v>369</v>
      </c>
      <c r="BS48" s="17"/>
      <c r="BT48" s="17"/>
      <c r="BU48" s="17"/>
      <c r="BV48" s="17"/>
      <c r="BW48" s="17"/>
      <c r="BX48" s="17"/>
      <c r="BY48" s="17"/>
      <c r="BZ48" s="17"/>
      <c r="CC48" s="23"/>
      <c r="CH48" s="14"/>
      <c r="CI48" s="14"/>
      <c r="CK48" s="59"/>
      <c r="CO48" s="59"/>
      <c r="CZ48" s="60"/>
    </row>
    <row r="49" spans="1:104" x14ac:dyDescent="0.3">
      <c r="A49" s="23"/>
      <c r="B49" s="23"/>
      <c r="H49" s="14"/>
      <c r="I49" s="23"/>
      <c r="O49" s="14"/>
      <c r="P49" s="23"/>
      <c r="V49" s="14"/>
      <c r="W49" s="23"/>
      <c r="AC49" s="14"/>
      <c r="AD49" s="23"/>
      <c r="AJ49" s="14"/>
      <c r="AK49" s="23"/>
      <c r="AQ49" s="14"/>
      <c r="AX49" s="18"/>
      <c r="BE49" s="18"/>
      <c r="BF49" s="23"/>
      <c r="BL49" s="14"/>
      <c r="BM49" s="23"/>
      <c r="BO49" s="82" t="s">
        <v>302</v>
      </c>
      <c r="BS49" s="17"/>
      <c r="BT49" s="17"/>
      <c r="BU49" s="17"/>
      <c r="BV49" s="17"/>
      <c r="BW49" s="17"/>
      <c r="BX49" s="17"/>
      <c r="BY49" s="17"/>
      <c r="BZ49" s="17"/>
      <c r="CC49" s="23"/>
      <c r="CH49" s="14"/>
      <c r="CI49" s="14"/>
      <c r="CK49" s="59"/>
      <c r="CO49" s="59"/>
      <c r="CZ49" s="60"/>
    </row>
    <row r="50" spans="1:104" x14ac:dyDescent="0.3">
      <c r="A50" s="23"/>
      <c r="B50" s="23"/>
      <c r="H50" s="14"/>
      <c r="I50" s="23"/>
      <c r="O50" s="14"/>
      <c r="P50" s="23"/>
      <c r="V50" s="14"/>
      <c r="W50" s="23"/>
      <c r="AC50" s="14"/>
      <c r="AD50" s="23"/>
      <c r="AJ50" s="14"/>
      <c r="AK50" s="23"/>
      <c r="AQ50" s="14"/>
      <c r="AX50" s="18"/>
      <c r="BE50" s="18"/>
      <c r="BF50" s="23"/>
      <c r="BL50" s="14"/>
      <c r="BM50" s="23"/>
      <c r="BO50" s="82" t="s">
        <v>303</v>
      </c>
      <c r="BS50" s="17"/>
      <c r="BT50" s="17"/>
      <c r="BU50" s="17"/>
      <c r="BV50" s="17"/>
      <c r="BW50" s="17"/>
      <c r="BX50" s="17"/>
      <c r="BY50" s="17"/>
      <c r="BZ50" s="17"/>
      <c r="CC50" s="23"/>
      <c r="CH50" s="14"/>
      <c r="CI50" s="14"/>
      <c r="CK50" s="59"/>
      <c r="CO50" s="59"/>
      <c r="CZ50" s="60"/>
    </row>
    <row r="51" spans="1:104" x14ac:dyDescent="0.3">
      <c r="A51" s="23"/>
      <c r="B51" s="23"/>
      <c r="H51" s="14"/>
      <c r="I51" s="23"/>
      <c r="O51" s="14"/>
      <c r="P51" s="23"/>
      <c r="V51" s="14"/>
      <c r="W51" s="23"/>
      <c r="AC51" s="14"/>
      <c r="AD51" s="23"/>
      <c r="AJ51" s="14"/>
      <c r="AK51" s="23"/>
      <c r="AQ51" s="14"/>
      <c r="AX51" s="18"/>
      <c r="BE51" s="18"/>
      <c r="BF51" s="23"/>
      <c r="BL51" s="14"/>
      <c r="BM51" s="23"/>
      <c r="BO51" s="82" t="s">
        <v>304</v>
      </c>
      <c r="BS51" s="17"/>
      <c r="BT51" s="17"/>
      <c r="BU51" s="17"/>
      <c r="BV51" s="17"/>
      <c r="BW51" s="17"/>
      <c r="BX51" s="17"/>
      <c r="BY51" s="17"/>
      <c r="BZ51" s="17"/>
      <c r="CC51" s="23"/>
      <c r="CH51" s="14"/>
      <c r="CI51" s="14"/>
      <c r="CK51" s="59"/>
      <c r="CO51" s="59"/>
      <c r="CZ51" s="60"/>
    </row>
    <row r="52" spans="1:104" x14ac:dyDescent="0.3">
      <c r="A52" s="23"/>
      <c r="B52" s="23"/>
      <c r="H52" s="14"/>
      <c r="I52" s="23"/>
      <c r="O52" s="14"/>
      <c r="P52" s="23"/>
      <c r="V52" s="14"/>
      <c r="W52" s="23"/>
      <c r="AC52" s="14"/>
      <c r="AD52" s="23"/>
      <c r="AJ52" s="14"/>
      <c r="AK52" s="23"/>
      <c r="AQ52" s="14"/>
      <c r="AX52" s="18"/>
      <c r="BE52" s="18"/>
      <c r="BF52" s="23"/>
      <c r="BL52" s="14"/>
      <c r="BM52" s="23"/>
      <c r="BS52" s="17"/>
      <c r="BT52" s="17"/>
      <c r="BU52" s="17"/>
      <c r="BV52" s="17"/>
      <c r="BW52" s="17"/>
      <c r="BX52" s="17"/>
      <c r="BY52" s="17"/>
      <c r="BZ52" s="17"/>
      <c r="CC52" s="23"/>
      <c r="CH52" s="14"/>
      <c r="CI52" s="14"/>
      <c r="CK52" s="59"/>
      <c r="CO52" s="59"/>
      <c r="CZ52" s="60"/>
    </row>
    <row r="53" spans="1:104" x14ac:dyDescent="0.3">
      <c r="A53" s="23"/>
      <c r="B53" s="23"/>
      <c r="H53" s="14"/>
      <c r="I53" s="23"/>
      <c r="O53" s="14"/>
      <c r="P53" s="23"/>
      <c r="V53" s="14"/>
      <c r="W53" s="23"/>
      <c r="AC53" s="14"/>
      <c r="AD53" s="23"/>
      <c r="AJ53" s="14"/>
      <c r="AK53" s="23"/>
      <c r="AQ53" s="14"/>
      <c r="AX53" s="18"/>
      <c r="BE53" s="18"/>
      <c r="BF53" s="23"/>
      <c r="BL53" s="14"/>
      <c r="BM53" s="23"/>
      <c r="BS53" s="17"/>
      <c r="BT53" s="17"/>
      <c r="BU53" s="17"/>
      <c r="BV53" s="17"/>
      <c r="BW53" s="17"/>
      <c r="BX53" s="17"/>
      <c r="BY53" s="17"/>
      <c r="BZ53" s="17"/>
      <c r="CC53" s="23"/>
      <c r="CH53" s="14"/>
      <c r="CI53" s="14"/>
      <c r="CK53" s="59"/>
      <c r="CO53" s="59"/>
      <c r="CZ53" s="60"/>
    </row>
    <row r="54" spans="1:104" x14ac:dyDescent="0.3">
      <c r="A54" s="23"/>
      <c r="B54" s="23"/>
      <c r="H54" s="14"/>
      <c r="I54" s="23"/>
      <c r="O54" s="14"/>
      <c r="P54" s="23"/>
      <c r="V54" s="14"/>
      <c r="W54" s="23"/>
      <c r="AC54" s="14"/>
      <c r="AD54" s="23"/>
      <c r="AJ54" s="14"/>
      <c r="AK54" s="23"/>
      <c r="AQ54" s="14"/>
      <c r="AX54" s="18"/>
      <c r="BE54" s="18"/>
      <c r="BF54" s="23"/>
      <c r="BL54" s="14"/>
      <c r="BM54" s="23"/>
      <c r="BN54" s="21" t="s">
        <v>370</v>
      </c>
      <c r="BS54" s="17"/>
      <c r="BT54" s="17"/>
      <c r="BU54" s="17"/>
      <c r="BV54" s="17"/>
      <c r="BW54" s="17"/>
      <c r="BX54" s="17"/>
      <c r="BY54" s="17"/>
      <c r="BZ54" s="17"/>
      <c r="CC54" s="23"/>
      <c r="CH54" s="14"/>
      <c r="CI54" s="14"/>
      <c r="CK54" s="59"/>
      <c r="CO54" s="59"/>
      <c r="CZ54" s="60"/>
    </row>
    <row r="55" spans="1:104" x14ac:dyDescent="0.3">
      <c r="A55" s="23"/>
      <c r="B55" s="23"/>
      <c r="H55" s="14"/>
      <c r="I55" s="23"/>
      <c r="O55" s="14"/>
      <c r="P55" s="23"/>
      <c r="V55" s="14"/>
      <c r="W55" s="23"/>
      <c r="AC55" s="14"/>
      <c r="AD55" s="23"/>
      <c r="AJ55" s="14"/>
      <c r="AK55" s="23"/>
      <c r="AQ55" s="14"/>
      <c r="AX55" s="18"/>
      <c r="BE55" s="18"/>
      <c r="BF55" s="23"/>
      <c r="BL55" s="14"/>
      <c r="BM55" s="23"/>
      <c r="BS55" s="17"/>
      <c r="BT55" s="17"/>
      <c r="BU55" s="17"/>
      <c r="BV55" s="17"/>
      <c r="BW55" s="17"/>
      <c r="BX55" s="17"/>
      <c r="BY55" s="17"/>
      <c r="BZ55" s="17"/>
      <c r="CC55" s="23"/>
      <c r="CH55" s="14"/>
      <c r="CI55" s="14"/>
      <c r="CK55" s="59"/>
      <c r="CO55" s="59"/>
      <c r="CZ55" s="60"/>
    </row>
    <row r="56" spans="1:104" x14ac:dyDescent="0.3">
      <c r="A56" s="23"/>
      <c r="B56" s="23"/>
      <c r="H56" s="14"/>
      <c r="I56" s="23"/>
      <c r="O56" s="14"/>
      <c r="P56" s="23"/>
      <c r="V56" s="14"/>
      <c r="W56" s="23"/>
      <c r="AC56" s="14"/>
      <c r="AD56" s="23"/>
      <c r="AJ56" s="14"/>
      <c r="AK56" s="23"/>
      <c r="AQ56" s="14"/>
      <c r="AX56" s="18"/>
      <c r="BE56" s="18"/>
      <c r="BF56" s="23"/>
      <c r="BL56" s="14"/>
      <c r="BM56" s="23"/>
      <c r="BS56" s="17"/>
      <c r="BT56" s="17"/>
      <c r="BU56" s="17"/>
      <c r="BV56" s="17"/>
      <c r="BW56" s="17"/>
      <c r="BX56" s="17"/>
      <c r="BY56" s="17"/>
      <c r="BZ56" s="17"/>
      <c r="CC56" s="23"/>
      <c r="CH56" s="14"/>
      <c r="CI56" s="14"/>
      <c r="CK56" s="59"/>
      <c r="CO56" s="59"/>
      <c r="CZ56" s="60"/>
    </row>
    <row r="57" spans="1:104" x14ac:dyDescent="0.3">
      <c r="A57" s="23"/>
      <c r="B57" s="23"/>
      <c r="H57" s="14"/>
      <c r="I57" s="23"/>
      <c r="O57" s="14"/>
      <c r="P57" s="23"/>
      <c r="V57" s="14"/>
      <c r="W57" s="23"/>
      <c r="AC57" s="14"/>
      <c r="AD57" s="23"/>
      <c r="AJ57" s="14"/>
      <c r="AK57" s="23"/>
      <c r="AQ57" s="14"/>
      <c r="AX57" s="18"/>
      <c r="BE57" s="18"/>
      <c r="BF57" s="23"/>
      <c r="BL57" s="14"/>
      <c r="BM57" s="23"/>
      <c r="BS57" s="17"/>
      <c r="BT57" s="17"/>
      <c r="BU57" s="17"/>
      <c r="BV57" s="17"/>
      <c r="BW57" s="17"/>
      <c r="BX57" s="17"/>
      <c r="BY57" s="17"/>
      <c r="BZ57" s="17"/>
      <c r="CC57" s="23"/>
      <c r="CH57" s="14"/>
      <c r="CI57" s="14"/>
      <c r="CK57" s="59"/>
      <c r="CO57" s="59"/>
      <c r="CZ57" s="60"/>
    </row>
    <row r="58" spans="1:104" x14ac:dyDescent="0.3">
      <c r="A58" s="23"/>
      <c r="B58" s="23"/>
      <c r="H58" s="14"/>
      <c r="I58" s="23"/>
      <c r="O58" s="14"/>
      <c r="P58" s="23"/>
      <c r="V58" s="14"/>
      <c r="W58" s="23"/>
      <c r="AC58" s="14"/>
      <c r="AD58" s="23"/>
      <c r="AJ58" s="14"/>
      <c r="AK58" s="23"/>
      <c r="AQ58" s="14"/>
      <c r="AX58" s="18"/>
      <c r="BE58" s="18"/>
      <c r="BF58" s="23"/>
      <c r="BL58" s="14"/>
      <c r="BM58" s="23"/>
      <c r="BS58" s="17"/>
      <c r="BT58" s="17"/>
      <c r="BU58" s="17"/>
      <c r="BV58" s="17"/>
      <c r="BW58" s="17"/>
      <c r="BX58" s="17"/>
      <c r="BY58" s="17"/>
      <c r="BZ58" s="17"/>
      <c r="CC58" s="23"/>
      <c r="CH58" s="14"/>
      <c r="CI58" s="14"/>
      <c r="CK58" s="59"/>
      <c r="CO58" s="59"/>
      <c r="CZ58" s="60"/>
    </row>
    <row r="59" spans="1:104" x14ac:dyDescent="0.3">
      <c r="A59" s="23"/>
      <c r="B59" s="23"/>
      <c r="H59" s="14"/>
      <c r="I59" s="23"/>
      <c r="O59" s="14"/>
      <c r="P59" s="23"/>
      <c r="V59" s="14"/>
      <c r="W59" s="23"/>
      <c r="AC59" s="14"/>
      <c r="AD59" s="23"/>
      <c r="AJ59" s="14"/>
      <c r="AK59" s="23"/>
      <c r="AQ59" s="14"/>
      <c r="AX59" s="18"/>
      <c r="BE59" s="18"/>
      <c r="BF59" s="23"/>
      <c r="BL59" s="14"/>
      <c r="BM59" s="23"/>
      <c r="BS59" s="17"/>
      <c r="BT59" s="17"/>
      <c r="BU59" s="17"/>
      <c r="BV59" s="17"/>
      <c r="BW59" s="17"/>
      <c r="BX59" s="17"/>
      <c r="BY59" s="17"/>
      <c r="BZ59" s="17"/>
      <c r="CC59" s="23"/>
      <c r="CH59" s="14"/>
      <c r="CI59" s="14"/>
      <c r="CK59" s="59"/>
      <c r="CO59" s="59"/>
      <c r="CZ59" s="60"/>
    </row>
    <row r="60" spans="1:104" x14ac:dyDescent="0.3">
      <c r="A60" s="23"/>
      <c r="B60" s="23"/>
      <c r="H60" s="14"/>
      <c r="I60" s="23"/>
      <c r="O60" s="14"/>
      <c r="P60" s="23"/>
      <c r="V60" s="14"/>
      <c r="W60" s="23"/>
      <c r="AC60" s="14"/>
      <c r="AD60" s="23"/>
      <c r="AJ60" s="14"/>
      <c r="AK60" s="23"/>
      <c r="AQ60" s="14"/>
      <c r="AX60" s="18"/>
      <c r="BE60" s="18"/>
      <c r="BF60" s="23"/>
      <c r="BL60" s="14"/>
      <c r="BM60" s="23"/>
      <c r="BN60" s="21" t="s">
        <v>371</v>
      </c>
      <c r="BS60" s="17"/>
      <c r="BT60" s="17"/>
      <c r="BU60" s="17"/>
      <c r="BV60" s="17"/>
      <c r="BW60" s="17"/>
      <c r="BX60" s="17"/>
      <c r="BY60" s="17"/>
      <c r="BZ60" s="17"/>
      <c r="CC60" s="23"/>
      <c r="CH60" s="14"/>
      <c r="CI60" s="14"/>
      <c r="CK60" s="59"/>
      <c r="CO60" s="59"/>
      <c r="CZ60" s="60"/>
    </row>
    <row r="61" spans="1:104" x14ac:dyDescent="0.3">
      <c r="A61" s="23"/>
      <c r="B61" s="23"/>
      <c r="H61" s="14"/>
      <c r="I61" s="23"/>
      <c r="O61" s="14"/>
      <c r="P61" s="23"/>
      <c r="V61" s="14"/>
      <c r="W61" s="23"/>
      <c r="AC61" s="14"/>
      <c r="AD61" s="23"/>
      <c r="AJ61" s="14"/>
      <c r="AK61" s="23"/>
      <c r="AQ61" s="14"/>
      <c r="AX61" s="18"/>
      <c r="BE61" s="18"/>
      <c r="BF61" s="23"/>
      <c r="BL61" s="14"/>
      <c r="BM61" s="23"/>
      <c r="BO61" s="8" t="s">
        <v>145</v>
      </c>
      <c r="BS61" s="17"/>
      <c r="BT61" s="17"/>
      <c r="BU61" s="17"/>
      <c r="BV61" s="17"/>
      <c r="BW61" s="17"/>
      <c r="BX61" s="17"/>
      <c r="BY61" s="17"/>
      <c r="BZ61" s="17"/>
      <c r="CC61" s="23"/>
      <c r="CH61" s="14"/>
      <c r="CI61" s="14"/>
      <c r="CK61" s="59"/>
      <c r="CO61" s="59"/>
      <c r="CZ61" s="60"/>
    </row>
    <row r="62" spans="1:104" x14ac:dyDescent="0.3">
      <c r="A62" s="23"/>
      <c r="B62" s="23"/>
      <c r="H62" s="14"/>
      <c r="I62" s="23"/>
      <c r="O62" s="14"/>
      <c r="P62" s="23"/>
      <c r="V62" s="14"/>
      <c r="W62" s="23"/>
      <c r="AC62" s="14"/>
      <c r="AD62" s="23"/>
      <c r="AJ62" s="14"/>
      <c r="AK62" s="23"/>
      <c r="AQ62" s="14"/>
      <c r="AX62" s="18"/>
      <c r="BE62" s="18"/>
      <c r="BF62" s="23"/>
      <c r="BL62" s="14"/>
      <c r="BM62" s="23"/>
      <c r="BS62" s="17"/>
      <c r="BT62" s="17"/>
      <c r="BU62" s="17"/>
      <c r="BV62" s="17"/>
      <c r="BW62" s="17"/>
      <c r="BX62" s="17"/>
      <c r="BY62" s="17"/>
      <c r="BZ62" s="17"/>
      <c r="CC62" s="23"/>
      <c r="CH62" s="14"/>
      <c r="CI62" s="14"/>
      <c r="CK62" s="59"/>
      <c r="CO62" s="59"/>
      <c r="CZ62" s="60"/>
    </row>
    <row r="63" spans="1:104" x14ac:dyDescent="0.3">
      <c r="A63" s="23"/>
      <c r="B63" s="23"/>
      <c r="H63" s="14"/>
      <c r="I63" s="23"/>
      <c r="O63" s="14"/>
      <c r="P63" s="23"/>
      <c r="V63" s="14"/>
      <c r="W63" s="23"/>
      <c r="AC63" s="14"/>
      <c r="AD63" s="23"/>
      <c r="AJ63" s="14"/>
      <c r="AK63" s="23"/>
      <c r="AQ63" s="14"/>
      <c r="AX63" s="18"/>
      <c r="BE63" s="18"/>
      <c r="BF63" s="23"/>
      <c r="BL63" s="14"/>
      <c r="BM63" s="23"/>
      <c r="BS63" s="17"/>
      <c r="BT63" s="17"/>
      <c r="BU63" s="17"/>
      <c r="BV63" s="17"/>
      <c r="BW63" s="17"/>
      <c r="BX63" s="17"/>
      <c r="BY63" s="17"/>
      <c r="BZ63" s="17"/>
      <c r="CC63" s="23"/>
      <c r="CH63" s="14"/>
      <c r="CI63" s="14"/>
      <c r="CK63" s="59"/>
      <c r="CO63" s="59"/>
      <c r="CZ63" s="60"/>
    </row>
    <row r="64" spans="1:104" x14ac:dyDescent="0.3">
      <c r="A64" s="23"/>
      <c r="B64" s="23"/>
      <c r="H64" s="14"/>
      <c r="I64" s="23"/>
      <c r="O64" s="14"/>
      <c r="P64" s="23"/>
      <c r="V64" s="14"/>
      <c r="W64" s="23"/>
      <c r="AC64" s="14"/>
      <c r="AD64" s="23"/>
      <c r="AJ64" s="14"/>
      <c r="AK64" s="23"/>
      <c r="AQ64" s="14"/>
      <c r="AX64" s="18"/>
      <c r="BE64" s="18"/>
      <c r="BF64" s="23"/>
      <c r="BL64" s="14"/>
      <c r="BM64" s="23"/>
      <c r="BS64" s="17"/>
      <c r="BT64" s="17"/>
      <c r="BU64" s="17"/>
      <c r="BV64" s="17"/>
      <c r="BW64" s="17"/>
      <c r="BX64" s="17"/>
      <c r="BY64" s="17"/>
      <c r="BZ64" s="17"/>
      <c r="CC64" s="23"/>
      <c r="CH64" s="14"/>
      <c r="CI64" s="14"/>
      <c r="CK64" s="59"/>
      <c r="CO64" s="59"/>
      <c r="CZ64" s="60"/>
    </row>
    <row r="65" spans="1:104" x14ac:dyDescent="0.3">
      <c r="A65" s="23"/>
      <c r="B65" s="23"/>
      <c r="H65" s="14"/>
      <c r="I65" s="23"/>
      <c r="O65" s="14"/>
      <c r="P65" s="23"/>
      <c r="V65" s="14"/>
      <c r="W65" s="23"/>
      <c r="AC65" s="14"/>
      <c r="AD65" s="23"/>
      <c r="AJ65" s="14"/>
      <c r="AK65" s="23"/>
      <c r="AQ65" s="14"/>
      <c r="AX65" s="18"/>
      <c r="BE65" s="18"/>
      <c r="BF65" s="23"/>
      <c r="BL65" s="14"/>
      <c r="BM65" s="23"/>
      <c r="BS65" s="17"/>
      <c r="BT65" s="17"/>
      <c r="BU65" s="17"/>
      <c r="BV65" s="17"/>
      <c r="BW65" s="17"/>
      <c r="BX65" s="17"/>
      <c r="BY65" s="17"/>
      <c r="BZ65" s="17"/>
      <c r="CC65" s="23"/>
      <c r="CH65" s="14"/>
      <c r="CI65" s="14"/>
      <c r="CK65" s="59"/>
      <c r="CO65" s="59"/>
      <c r="CZ65" s="60"/>
    </row>
    <row r="66" spans="1:104" x14ac:dyDescent="0.3">
      <c r="A66" s="23"/>
      <c r="B66" s="23"/>
      <c r="H66" s="14"/>
      <c r="I66" s="23"/>
      <c r="O66" s="14"/>
      <c r="P66" s="23"/>
      <c r="V66" s="14"/>
      <c r="W66" s="23"/>
      <c r="AC66" s="14"/>
      <c r="AD66" s="23"/>
      <c r="AJ66" s="14"/>
      <c r="AK66" s="23"/>
      <c r="AQ66" s="14"/>
      <c r="AX66" s="18"/>
      <c r="BE66" s="18"/>
      <c r="BF66" s="23"/>
      <c r="BL66" s="14"/>
      <c r="BM66" s="23"/>
      <c r="BN66" s="21" t="s">
        <v>372</v>
      </c>
      <c r="BS66" s="17"/>
      <c r="BT66" s="17"/>
      <c r="BU66" s="17"/>
      <c r="BV66" s="17"/>
      <c r="BW66" s="17"/>
      <c r="BX66" s="17"/>
      <c r="BY66" s="17"/>
      <c r="BZ66" s="17"/>
      <c r="CC66" s="23"/>
      <c r="CH66" s="14"/>
      <c r="CI66" s="14"/>
      <c r="CK66" s="59"/>
      <c r="CO66" s="59"/>
      <c r="CZ66" s="60"/>
    </row>
    <row r="67" spans="1:104" x14ac:dyDescent="0.3">
      <c r="A67" s="23"/>
      <c r="B67" s="23"/>
      <c r="H67" s="14"/>
      <c r="I67" s="23"/>
      <c r="O67" s="14"/>
      <c r="P67" s="23"/>
      <c r="V67" s="14"/>
      <c r="W67" s="23"/>
      <c r="AC67" s="14"/>
      <c r="AD67" s="23"/>
      <c r="AJ67" s="14"/>
      <c r="AK67" s="23"/>
      <c r="AQ67" s="14"/>
      <c r="AX67" s="18"/>
      <c r="BE67" s="18"/>
      <c r="BF67" s="23"/>
      <c r="BL67" s="14"/>
      <c r="BM67" s="23"/>
      <c r="BO67" s="8" t="s">
        <v>147</v>
      </c>
      <c r="BS67" s="17"/>
      <c r="BT67" s="17"/>
      <c r="BU67" s="17"/>
      <c r="BV67" s="17"/>
      <c r="BW67" s="17"/>
      <c r="BX67" s="17"/>
      <c r="BY67" s="17"/>
      <c r="BZ67" s="17"/>
      <c r="CC67" s="23"/>
      <c r="CH67" s="14"/>
      <c r="CI67" s="14"/>
      <c r="CK67" s="59"/>
      <c r="CO67" s="59"/>
      <c r="CZ67" s="60"/>
    </row>
    <row r="68" spans="1:104" x14ac:dyDescent="0.3">
      <c r="A68" s="23"/>
      <c r="B68" s="23"/>
      <c r="H68" s="14"/>
      <c r="I68" s="23"/>
      <c r="O68" s="14"/>
      <c r="P68" s="23"/>
      <c r="V68" s="14"/>
      <c r="W68" s="23"/>
      <c r="AC68" s="14"/>
      <c r="AD68" s="23"/>
      <c r="AJ68" s="14"/>
      <c r="AK68" s="23"/>
      <c r="AQ68" s="14"/>
      <c r="AX68" s="18"/>
      <c r="BE68" s="18"/>
      <c r="BF68" s="23"/>
      <c r="BL68" s="14"/>
      <c r="BM68" s="23"/>
      <c r="BS68" s="17"/>
      <c r="BT68" s="17"/>
      <c r="BU68" s="17"/>
      <c r="BV68" s="17"/>
      <c r="BW68" s="17"/>
      <c r="BX68" s="17"/>
      <c r="BY68" s="17"/>
      <c r="BZ68" s="17"/>
      <c r="CC68" s="23"/>
      <c r="CH68" s="14"/>
      <c r="CI68" s="14"/>
      <c r="CK68" s="59"/>
      <c r="CO68" s="59"/>
      <c r="CZ68" s="60"/>
    </row>
    <row r="69" spans="1:104" x14ac:dyDescent="0.3">
      <c r="A69" s="23"/>
      <c r="B69" s="23"/>
      <c r="H69" s="14"/>
      <c r="I69" s="23"/>
      <c r="O69" s="14"/>
      <c r="P69" s="23"/>
      <c r="V69" s="14"/>
      <c r="W69" s="23"/>
      <c r="AC69" s="14"/>
      <c r="AD69" s="23"/>
      <c r="AJ69" s="14"/>
      <c r="AK69" s="23"/>
      <c r="AQ69" s="14"/>
      <c r="AX69" s="18"/>
      <c r="BE69" s="18"/>
      <c r="BF69" s="23"/>
      <c r="BL69" s="14"/>
      <c r="BM69" s="23"/>
      <c r="BS69" s="17"/>
      <c r="BT69" s="17"/>
      <c r="BU69" s="17"/>
      <c r="BV69" s="17"/>
      <c r="BW69" s="17"/>
      <c r="BX69" s="17"/>
      <c r="BY69" s="17"/>
      <c r="BZ69" s="17"/>
      <c r="CC69" s="23"/>
      <c r="CH69" s="14"/>
      <c r="CI69" s="14"/>
      <c r="CK69" s="59"/>
      <c r="CO69" s="59"/>
      <c r="CZ69" s="60"/>
    </row>
    <row r="70" spans="1:104" x14ac:dyDescent="0.3">
      <c r="A70" s="23"/>
      <c r="B70" s="23"/>
      <c r="H70" s="14"/>
      <c r="I70" s="23"/>
      <c r="O70" s="14"/>
      <c r="P70" s="23"/>
      <c r="V70" s="14"/>
      <c r="W70" s="23"/>
      <c r="AC70" s="14"/>
      <c r="AD70" s="23"/>
      <c r="AJ70" s="14"/>
      <c r="AK70" s="23"/>
      <c r="AQ70" s="14"/>
      <c r="AX70" s="18"/>
      <c r="BE70" s="18"/>
      <c r="BF70" s="23"/>
      <c r="BL70" s="14"/>
      <c r="BM70" s="23"/>
      <c r="BN70" s="11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C70" s="23"/>
      <c r="CH70" s="14"/>
      <c r="CI70" s="14"/>
      <c r="CK70" s="59"/>
      <c r="CO70" s="59"/>
      <c r="CZ70" s="60"/>
    </row>
    <row r="71" spans="1:104" x14ac:dyDescent="0.3">
      <c r="A71" s="23"/>
      <c r="B71" s="23"/>
      <c r="H71" s="14"/>
      <c r="I71" s="23"/>
      <c r="O71" s="14"/>
      <c r="P71" s="23"/>
      <c r="V71" s="14"/>
      <c r="W71" s="23"/>
      <c r="AC71" s="14"/>
      <c r="AD71" s="23"/>
      <c r="AJ71" s="14"/>
      <c r="AK71" s="23"/>
      <c r="AQ71" s="14"/>
      <c r="AX71" s="18"/>
      <c r="BE71" s="18"/>
      <c r="BF71" s="23"/>
      <c r="BL71" s="14"/>
      <c r="BM71" s="23"/>
      <c r="BN71" s="11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C71" s="23"/>
      <c r="CH71" s="14"/>
      <c r="CI71" s="14"/>
      <c r="CK71" s="59"/>
      <c r="CO71" s="59"/>
      <c r="CZ71" s="60"/>
    </row>
    <row r="72" spans="1:104" x14ac:dyDescent="0.3">
      <c r="A72" s="23"/>
      <c r="B72" s="23"/>
      <c r="H72" s="14"/>
      <c r="I72" s="23"/>
      <c r="O72" s="14"/>
      <c r="P72" s="23"/>
      <c r="V72" s="14"/>
      <c r="W72" s="23"/>
      <c r="AC72" s="14"/>
      <c r="AD72" s="23"/>
      <c r="AJ72" s="14"/>
      <c r="AK72" s="23"/>
      <c r="AQ72" s="14"/>
      <c r="AX72" s="18"/>
      <c r="BE72" s="18"/>
      <c r="BF72" s="23"/>
      <c r="BL72" s="14"/>
      <c r="BM72" s="23"/>
      <c r="BN72" s="11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C72" s="23"/>
      <c r="CH72" s="14"/>
      <c r="CI72" s="14"/>
      <c r="CK72" s="59"/>
      <c r="CO72" s="59"/>
      <c r="CZ72" s="60"/>
    </row>
    <row r="73" spans="1:104" x14ac:dyDescent="0.3">
      <c r="A73" s="23"/>
      <c r="B73" s="23"/>
      <c r="H73" s="14"/>
      <c r="I73" s="23"/>
      <c r="O73" s="14"/>
      <c r="P73" s="23"/>
      <c r="V73" s="14"/>
      <c r="W73" s="23"/>
      <c r="AC73" s="14"/>
      <c r="AD73" s="23"/>
      <c r="AJ73" s="14"/>
      <c r="AK73" s="23"/>
      <c r="AQ73" s="14"/>
      <c r="AX73" s="18"/>
      <c r="BE73" s="18"/>
      <c r="BF73" s="23"/>
      <c r="BL73" s="14"/>
      <c r="BM73" s="23"/>
      <c r="BN73" s="11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C73" s="23"/>
      <c r="CH73" s="14"/>
      <c r="CI73" s="14"/>
      <c r="CK73" s="59"/>
      <c r="CO73" s="59"/>
      <c r="CZ73" s="60"/>
    </row>
    <row r="74" spans="1:104" x14ac:dyDescent="0.3">
      <c r="A74" s="23"/>
      <c r="B74" s="23"/>
      <c r="H74" s="14"/>
      <c r="I74" s="23"/>
      <c r="O74" s="14"/>
      <c r="P74" s="23"/>
      <c r="V74" s="14"/>
      <c r="W74" s="23"/>
      <c r="AC74" s="14"/>
      <c r="AD74" s="23"/>
      <c r="AJ74" s="14"/>
      <c r="AK74" s="23"/>
      <c r="AQ74" s="14"/>
      <c r="AX74" s="18"/>
      <c r="BE74" s="18"/>
      <c r="BF74" s="23"/>
      <c r="BL74" s="14"/>
      <c r="BM74" s="23"/>
      <c r="BN74" s="11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C74" s="23"/>
      <c r="CH74" s="14"/>
      <c r="CI74" s="14"/>
      <c r="CK74" s="59"/>
      <c r="CO74" s="59"/>
      <c r="CZ74" s="60"/>
    </row>
    <row r="75" spans="1:104" x14ac:dyDescent="0.3">
      <c r="A75" s="23"/>
      <c r="B75" s="23"/>
      <c r="H75" s="14"/>
      <c r="I75" s="23"/>
      <c r="O75" s="14"/>
      <c r="P75" s="23"/>
      <c r="V75" s="14"/>
      <c r="W75" s="23"/>
      <c r="AC75" s="14"/>
      <c r="AD75" s="23"/>
      <c r="AJ75" s="14"/>
      <c r="AK75" s="23"/>
      <c r="AQ75" s="14"/>
      <c r="AX75" s="18"/>
      <c r="BE75" s="18"/>
      <c r="BF75" s="23"/>
      <c r="BL75" s="14"/>
      <c r="BM75" s="23"/>
      <c r="BN75" s="11"/>
      <c r="BW75" s="11"/>
      <c r="CC75" s="23"/>
      <c r="CH75" s="14"/>
      <c r="CI75" s="14"/>
      <c r="CK75" s="59"/>
      <c r="CO75" s="59"/>
      <c r="CZ75" s="60"/>
    </row>
    <row r="76" spans="1:104" x14ac:dyDescent="0.3">
      <c r="A76" s="23"/>
      <c r="B76" s="23"/>
      <c r="H76" s="14"/>
      <c r="I76" s="23"/>
      <c r="O76" s="14"/>
      <c r="P76" s="23"/>
      <c r="V76" s="14"/>
      <c r="W76" s="23"/>
      <c r="AC76" s="14"/>
      <c r="AD76" s="23"/>
      <c r="AJ76" s="14"/>
      <c r="AK76" s="23"/>
      <c r="AQ76" s="14"/>
      <c r="AX76" s="18"/>
      <c r="BE76" s="18"/>
      <c r="BF76" s="23"/>
      <c r="BL76" s="14"/>
      <c r="BM76" s="23"/>
      <c r="BN76" s="11"/>
      <c r="BW76" s="11"/>
      <c r="CC76" s="23"/>
      <c r="CH76" s="14"/>
      <c r="CI76" s="14"/>
      <c r="CK76" s="59"/>
      <c r="CO76" s="59"/>
      <c r="CZ76" s="60"/>
    </row>
    <row r="77" spans="1:104" x14ac:dyDescent="0.3">
      <c r="A77" s="23"/>
      <c r="B77" s="23"/>
      <c r="H77" s="14"/>
      <c r="I77" s="23"/>
      <c r="O77" s="14"/>
      <c r="P77" s="23"/>
      <c r="V77" s="14"/>
      <c r="W77" s="23"/>
      <c r="AC77" s="14"/>
      <c r="AD77" s="23"/>
      <c r="AJ77" s="14"/>
      <c r="AK77" s="23"/>
      <c r="AQ77" s="14"/>
      <c r="AX77" s="18"/>
      <c r="BE77" s="18"/>
      <c r="BF77" s="23"/>
      <c r="BL77" s="14"/>
      <c r="BM77" s="23"/>
      <c r="BN77" s="16"/>
      <c r="BO77" s="11"/>
      <c r="BP77" s="11"/>
      <c r="BQ77" s="11"/>
      <c r="BW77" s="11"/>
      <c r="CC77" s="23"/>
      <c r="CH77" s="14"/>
      <c r="CI77" s="14"/>
      <c r="CK77" s="59"/>
      <c r="CO77" s="59"/>
      <c r="CZ77" s="60"/>
    </row>
    <row r="78" spans="1:104" x14ac:dyDescent="0.3">
      <c r="A78" s="23"/>
      <c r="B78" s="23"/>
      <c r="H78" s="14"/>
      <c r="I78" s="23"/>
      <c r="O78" s="14"/>
      <c r="P78" s="23"/>
      <c r="V78" s="14"/>
      <c r="W78" s="23"/>
      <c r="AC78" s="14"/>
      <c r="AD78" s="23"/>
      <c r="AJ78" s="14"/>
      <c r="AK78" s="23"/>
      <c r="AQ78" s="14"/>
      <c r="AX78" s="18"/>
      <c r="BE78" s="18"/>
      <c r="BF78" s="23"/>
      <c r="BL78" s="14"/>
      <c r="BM78" s="23"/>
      <c r="BN78" s="11"/>
      <c r="BO78" s="11"/>
      <c r="BP78" s="11"/>
      <c r="BQ78" s="11"/>
      <c r="BW78" s="11"/>
      <c r="CC78" s="23"/>
      <c r="CH78" s="14"/>
      <c r="CI78" s="14"/>
      <c r="CK78" s="59"/>
      <c r="CO78" s="59"/>
      <c r="CZ78" s="60"/>
    </row>
    <row r="79" spans="1:104" x14ac:dyDescent="0.3">
      <c r="A79" s="23"/>
      <c r="B79" s="23"/>
      <c r="H79" s="14"/>
      <c r="I79" s="23"/>
      <c r="O79" s="14"/>
      <c r="P79" s="23"/>
      <c r="V79" s="14"/>
      <c r="W79" s="23"/>
      <c r="AC79" s="14"/>
      <c r="AD79" s="23"/>
      <c r="AJ79" s="14"/>
      <c r="AK79" s="23"/>
      <c r="AQ79" s="14"/>
      <c r="AX79" s="18"/>
      <c r="BE79" s="18"/>
      <c r="BF79" s="23"/>
      <c r="BL79" s="14"/>
      <c r="BM79" s="23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CC79" s="23"/>
      <c r="CH79" s="14"/>
      <c r="CI79" s="14"/>
      <c r="CK79" s="59"/>
      <c r="CO79" s="59"/>
      <c r="CZ79" s="60"/>
    </row>
    <row r="80" spans="1:104" s="11" customFormat="1" x14ac:dyDescent="0.3">
      <c r="A80" s="24"/>
      <c r="B80" s="37" t="s">
        <v>308</v>
      </c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22"/>
      <c r="BG80" s="22"/>
      <c r="BH80" s="22"/>
      <c r="BI80" s="22"/>
      <c r="BJ80" s="22"/>
      <c r="BK80" s="22"/>
      <c r="BL80" s="2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40"/>
      <c r="CI80" s="13"/>
      <c r="CK80" s="54"/>
      <c r="CL80" s="55"/>
      <c r="CM80" s="55"/>
      <c r="CN80" s="55"/>
      <c r="CO80" s="54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6"/>
    </row>
    <row r="81" spans="1:104" s="11" customFormat="1" x14ac:dyDescent="0.3">
      <c r="A81" s="24"/>
      <c r="B81" s="41"/>
      <c r="C81" s="42"/>
      <c r="D81" s="42"/>
      <c r="E81" s="42"/>
      <c r="F81" s="42"/>
      <c r="G81" s="42"/>
      <c r="H81" s="43"/>
      <c r="I81" s="44"/>
      <c r="J81" s="42"/>
      <c r="K81" s="42"/>
      <c r="L81" s="42"/>
      <c r="M81" s="42"/>
      <c r="N81" s="42"/>
      <c r="O81" s="43"/>
      <c r="P81" s="44"/>
      <c r="Q81" s="42"/>
      <c r="R81" s="42"/>
      <c r="S81" s="42"/>
      <c r="T81" s="42"/>
      <c r="U81" s="42"/>
      <c r="V81" s="43"/>
      <c r="W81" s="44"/>
      <c r="X81" s="42"/>
      <c r="Y81" s="42"/>
      <c r="Z81" s="42"/>
      <c r="AA81" s="42"/>
      <c r="AB81" s="42"/>
      <c r="AC81" s="43"/>
      <c r="AD81" s="44"/>
      <c r="AE81" s="42"/>
      <c r="AF81" s="42"/>
      <c r="AG81" s="42"/>
      <c r="AH81" s="42"/>
      <c r="AI81" s="42"/>
      <c r="AJ81" s="43"/>
      <c r="AK81" s="44"/>
      <c r="AL81" s="42"/>
      <c r="AM81" s="42"/>
      <c r="AN81" s="42"/>
      <c r="AO81" s="42"/>
      <c r="AP81" s="42"/>
      <c r="AQ81" s="43"/>
      <c r="AR81" s="42"/>
      <c r="AS81" s="42"/>
      <c r="AT81" s="42"/>
      <c r="AU81" s="42"/>
      <c r="AV81" s="42"/>
      <c r="AW81" s="42"/>
      <c r="AX81" s="43"/>
      <c r="AY81" s="42"/>
      <c r="AZ81" s="42"/>
      <c r="BA81" s="42"/>
      <c r="BB81" s="42"/>
      <c r="BC81" s="42"/>
      <c r="BD81" s="42"/>
      <c r="BE81" s="43"/>
      <c r="BF81" s="44"/>
      <c r="BG81" s="42"/>
      <c r="BH81" s="42"/>
      <c r="BI81" s="42"/>
      <c r="BJ81" s="42"/>
      <c r="BK81" s="42"/>
      <c r="BL81" s="43"/>
      <c r="BM81" s="45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4"/>
      <c r="CD81" s="42"/>
      <c r="CE81" s="42"/>
      <c r="CF81" s="42"/>
      <c r="CG81" s="42"/>
      <c r="CH81" s="43"/>
      <c r="CI81" s="13"/>
      <c r="CK81" s="57"/>
      <c r="CO81" s="57"/>
      <c r="CZ81" s="58"/>
    </row>
    <row r="82" spans="1:104" s="11" customFormat="1" x14ac:dyDescent="0.3">
      <c r="A82" s="24"/>
      <c r="B82" s="26"/>
      <c r="C82" s="20"/>
      <c r="D82" s="20"/>
      <c r="E82" s="20"/>
      <c r="F82" s="20"/>
      <c r="G82" s="20"/>
      <c r="H82" s="19"/>
      <c r="I82" s="27"/>
      <c r="J82" s="20"/>
      <c r="K82" s="20"/>
      <c r="L82" s="20"/>
      <c r="M82" s="20"/>
      <c r="N82" s="20"/>
      <c r="O82" s="19"/>
      <c r="P82" s="27"/>
      <c r="Q82" s="20"/>
      <c r="R82" s="20"/>
      <c r="S82" s="20"/>
      <c r="T82" s="20"/>
      <c r="U82" s="20"/>
      <c r="V82" s="19"/>
      <c r="W82" s="27"/>
      <c r="X82" s="20"/>
      <c r="Y82" s="20"/>
      <c r="Z82" s="20"/>
      <c r="AA82" s="20"/>
      <c r="AB82" s="20"/>
      <c r="AC82" s="19"/>
      <c r="AD82" s="27"/>
      <c r="AE82" s="20"/>
      <c r="AF82" s="20"/>
      <c r="AG82" s="20"/>
      <c r="AH82" s="20"/>
      <c r="AI82" s="20"/>
      <c r="AJ82" s="19"/>
      <c r="AK82" s="27"/>
      <c r="AL82" s="20"/>
      <c r="AM82" s="20"/>
      <c r="AN82" s="20"/>
      <c r="AO82" s="20"/>
      <c r="AP82" s="20"/>
      <c r="AQ82" s="19"/>
      <c r="AR82" s="20"/>
      <c r="AS82" s="20"/>
      <c r="AT82" s="20"/>
      <c r="AU82" s="20"/>
      <c r="AV82" s="20"/>
      <c r="AW82" s="20"/>
      <c r="AX82" s="19"/>
      <c r="AY82" s="20"/>
      <c r="AZ82" s="20"/>
      <c r="BA82" s="20"/>
      <c r="BB82" s="20"/>
      <c r="BC82" s="20"/>
      <c r="BD82" s="20"/>
      <c r="BE82" s="19"/>
      <c r="BF82" s="27"/>
      <c r="BG82" s="20"/>
      <c r="BH82" s="20"/>
      <c r="BI82" s="20"/>
      <c r="BJ82" s="20"/>
      <c r="BK82" s="20"/>
      <c r="BL82" s="19"/>
      <c r="BM82" s="34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27"/>
      <c r="CD82" s="20"/>
      <c r="CE82" s="20"/>
      <c r="CF82" s="20"/>
      <c r="CG82" s="20"/>
      <c r="CH82" s="19"/>
      <c r="CI82" s="13"/>
      <c r="CK82" s="57"/>
      <c r="CO82" s="57"/>
      <c r="CZ82" s="58"/>
    </row>
    <row r="83" spans="1:104" s="11" customFormat="1" x14ac:dyDescent="0.3">
      <c r="A83" s="24"/>
      <c r="B83" s="26"/>
      <c r="C83" s="20"/>
      <c r="D83" s="20"/>
      <c r="E83" s="20"/>
      <c r="F83" s="20"/>
      <c r="G83" s="20"/>
      <c r="H83" s="19"/>
      <c r="I83" s="27"/>
      <c r="J83" s="20"/>
      <c r="K83" s="20"/>
      <c r="L83" s="20"/>
      <c r="M83" s="20"/>
      <c r="N83" s="20"/>
      <c r="O83" s="19"/>
      <c r="P83" s="27"/>
      <c r="Q83" s="20"/>
      <c r="R83" s="20"/>
      <c r="S83" s="20"/>
      <c r="T83" s="20"/>
      <c r="U83" s="20"/>
      <c r="V83" s="19"/>
      <c r="W83" s="27"/>
      <c r="X83" s="20"/>
      <c r="Y83" s="20"/>
      <c r="Z83" s="20"/>
      <c r="AA83" s="20"/>
      <c r="AB83" s="20"/>
      <c r="AC83" s="19"/>
      <c r="AD83" s="27"/>
      <c r="AE83" s="20"/>
      <c r="AF83" s="20"/>
      <c r="AG83" s="20"/>
      <c r="AH83" s="20"/>
      <c r="AI83" s="20"/>
      <c r="AJ83" s="19"/>
      <c r="AK83" s="27"/>
      <c r="AL83" s="20"/>
      <c r="AM83" s="20"/>
      <c r="AN83" s="20"/>
      <c r="AO83" s="20"/>
      <c r="AP83" s="20"/>
      <c r="AQ83" s="19"/>
      <c r="AR83" s="20"/>
      <c r="AS83" s="20"/>
      <c r="AT83" s="20"/>
      <c r="AU83" s="20"/>
      <c r="AV83" s="20"/>
      <c r="AW83" s="20"/>
      <c r="AX83" s="19"/>
      <c r="AY83" s="20"/>
      <c r="AZ83" s="20"/>
      <c r="BA83" s="20"/>
      <c r="BB83" s="20"/>
      <c r="BC83" s="20"/>
      <c r="BD83" s="20"/>
      <c r="BE83" s="19"/>
      <c r="BF83" s="27"/>
      <c r="BG83" s="20"/>
      <c r="BH83" s="20"/>
      <c r="BI83" s="20"/>
      <c r="BJ83" s="20"/>
      <c r="BK83" s="20"/>
      <c r="BL83" s="19"/>
      <c r="BM83" s="34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27"/>
      <c r="CD83" s="20"/>
      <c r="CE83" s="20"/>
      <c r="CF83" s="20"/>
      <c r="CG83" s="20"/>
      <c r="CH83" s="19"/>
      <c r="CI83" s="13"/>
      <c r="CK83" s="57"/>
      <c r="CO83" s="57"/>
      <c r="CZ83" s="58"/>
    </row>
    <row r="84" spans="1:104" s="11" customFormat="1" x14ac:dyDescent="0.3">
      <c r="A84" s="24"/>
      <c r="B84" s="26"/>
      <c r="C84" s="20"/>
      <c r="D84" s="20"/>
      <c r="E84" s="20"/>
      <c r="F84" s="20"/>
      <c r="G84" s="20"/>
      <c r="H84" s="19"/>
      <c r="I84" s="27"/>
      <c r="J84" s="20"/>
      <c r="K84" s="20"/>
      <c r="L84" s="20"/>
      <c r="M84" s="20"/>
      <c r="N84" s="20"/>
      <c r="O84" s="19"/>
      <c r="P84" s="27"/>
      <c r="Q84" s="20"/>
      <c r="R84" s="20"/>
      <c r="S84" s="20"/>
      <c r="T84" s="20"/>
      <c r="U84" s="20"/>
      <c r="V84" s="19"/>
      <c r="W84" s="27"/>
      <c r="X84" s="20"/>
      <c r="Y84" s="20"/>
      <c r="Z84" s="20"/>
      <c r="AA84" s="20"/>
      <c r="AB84" s="20"/>
      <c r="AC84" s="19"/>
      <c r="AD84" s="27"/>
      <c r="AE84" s="20"/>
      <c r="AF84" s="20"/>
      <c r="AG84" s="20"/>
      <c r="AH84" s="20"/>
      <c r="AI84" s="20"/>
      <c r="AJ84" s="19"/>
      <c r="AK84" s="27"/>
      <c r="AL84" s="20"/>
      <c r="AM84" s="20"/>
      <c r="AN84" s="20"/>
      <c r="AO84" s="20"/>
      <c r="AP84" s="20"/>
      <c r="AQ84" s="19"/>
      <c r="AR84" s="20"/>
      <c r="AS84" s="20"/>
      <c r="AT84" s="20"/>
      <c r="AU84" s="20"/>
      <c r="AV84" s="20"/>
      <c r="AW84" s="20"/>
      <c r="AX84" s="19"/>
      <c r="AY84" s="20"/>
      <c r="AZ84" s="20"/>
      <c r="BA84" s="20"/>
      <c r="BB84" s="20"/>
      <c r="BC84" s="20"/>
      <c r="BD84" s="20"/>
      <c r="BE84" s="19"/>
      <c r="BF84" s="27"/>
      <c r="BG84" s="20"/>
      <c r="BH84" s="20"/>
      <c r="BI84" s="20"/>
      <c r="BJ84" s="20"/>
      <c r="BK84" s="20"/>
      <c r="BL84" s="19"/>
      <c r="BM84" s="34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27"/>
      <c r="CD84" s="20"/>
      <c r="CE84" s="20"/>
      <c r="CF84" s="20"/>
      <c r="CG84" s="20"/>
      <c r="CH84" s="19"/>
      <c r="CI84" s="13"/>
      <c r="CK84" s="57"/>
      <c r="CO84" s="57"/>
      <c r="CZ84" s="58"/>
    </row>
    <row r="85" spans="1:104" s="11" customFormat="1" x14ac:dyDescent="0.3">
      <c r="A85" s="24"/>
      <c r="B85" s="26"/>
      <c r="C85" s="20"/>
      <c r="D85" s="20"/>
      <c r="E85" s="20"/>
      <c r="F85" s="20"/>
      <c r="G85" s="20"/>
      <c r="H85" s="19"/>
      <c r="I85" s="27"/>
      <c r="J85" s="20"/>
      <c r="K85" s="20"/>
      <c r="L85" s="20"/>
      <c r="M85" s="20"/>
      <c r="N85" s="20"/>
      <c r="O85" s="19"/>
      <c r="P85" s="27"/>
      <c r="Q85" s="20"/>
      <c r="R85" s="20"/>
      <c r="S85" s="20"/>
      <c r="T85" s="20"/>
      <c r="U85" s="20"/>
      <c r="V85" s="19"/>
      <c r="W85" s="27"/>
      <c r="X85" s="20"/>
      <c r="Y85" s="20"/>
      <c r="Z85" s="20"/>
      <c r="AA85" s="20"/>
      <c r="AB85" s="20"/>
      <c r="AC85" s="19"/>
      <c r="AD85" s="27"/>
      <c r="AE85" s="20"/>
      <c r="AF85" s="20"/>
      <c r="AG85" s="20"/>
      <c r="AH85" s="20"/>
      <c r="AI85" s="20"/>
      <c r="AJ85" s="19"/>
      <c r="AK85" s="27"/>
      <c r="AL85" s="20"/>
      <c r="AM85" s="20"/>
      <c r="AN85" s="20"/>
      <c r="AO85" s="20"/>
      <c r="AP85" s="20"/>
      <c r="AQ85" s="19"/>
      <c r="AR85" s="20"/>
      <c r="AS85" s="20"/>
      <c r="AT85" s="20"/>
      <c r="AU85" s="20"/>
      <c r="AV85" s="20"/>
      <c r="AW85" s="20"/>
      <c r="AX85" s="19"/>
      <c r="AY85" s="20"/>
      <c r="AZ85" s="20"/>
      <c r="BA85" s="20"/>
      <c r="BB85" s="20"/>
      <c r="BC85" s="20"/>
      <c r="BD85" s="20"/>
      <c r="BE85" s="19"/>
      <c r="BF85" s="27"/>
      <c r="BG85" s="20"/>
      <c r="BH85" s="20"/>
      <c r="BI85" s="20"/>
      <c r="BJ85" s="20"/>
      <c r="BK85" s="20"/>
      <c r="BL85" s="19"/>
      <c r="BM85" s="34"/>
      <c r="BN85" s="21" t="s">
        <v>309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27"/>
      <c r="CD85" s="20"/>
      <c r="CE85" s="20"/>
      <c r="CF85" s="20"/>
      <c r="CG85" s="20"/>
      <c r="CH85" s="19"/>
      <c r="CI85" s="13"/>
      <c r="CK85" s="57"/>
      <c r="CO85" s="57"/>
      <c r="CZ85" s="58"/>
    </row>
    <row r="86" spans="1:104" s="11" customFormat="1" x14ac:dyDescent="0.3">
      <c r="A86" s="24"/>
      <c r="B86" s="26"/>
      <c r="C86" s="20"/>
      <c r="D86" s="20"/>
      <c r="E86" s="20"/>
      <c r="F86" s="20"/>
      <c r="G86" s="20"/>
      <c r="H86" s="19"/>
      <c r="I86" s="27"/>
      <c r="J86" s="20"/>
      <c r="K86" s="20"/>
      <c r="L86" s="20"/>
      <c r="M86" s="20"/>
      <c r="N86" s="20"/>
      <c r="O86" s="19"/>
      <c r="P86" s="27"/>
      <c r="Q86" s="20"/>
      <c r="R86" s="20"/>
      <c r="S86" s="20"/>
      <c r="T86" s="20"/>
      <c r="U86" s="20"/>
      <c r="V86" s="19"/>
      <c r="W86" s="27"/>
      <c r="X86" s="20"/>
      <c r="Y86" s="20"/>
      <c r="Z86" s="20"/>
      <c r="AA86" s="20"/>
      <c r="AB86" s="20"/>
      <c r="AC86" s="19"/>
      <c r="AD86" s="27"/>
      <c r="AE86" s="20"/>
      <c r="AF86" s="20"/>
      <c r="AG86" s="20"/>
      <c r="AH86" s="20"/>
      <c r="AI86" s="20"/>
      <c r="AJ86" s="19"/>
      <c r="AK86" s="27"/>
      <c r="AL86" s="20"/>
      <c r="AM86" s="20"/>
      <c r="AN86" s="20"/>
      <c r="AO86" s="20"/>
      <c r="AP86" s="20"/>
      <c r="AQ86" s="19"/>
      <c r="AR86" s="20"/>
      <c r="AS86" s="20"/>
      <c r="AT86" s="20"/>
      <c r="AU86" s="20"/>
      <c r="AV86" s="20"/>
      <c r="AW86" s="20"/>
      <c r="AX86" s="19"/>
      <c r="AY86" s="20"/>
      <c r="AZ86" s="20"/>
      <c r="BA86" s="20"/>
      <c r="BB86" s="20"/>
      <c r="BC86" s="20"/>
      <c r="BD86" s="20"/>
      <c r="BE86" s="19"/>
      <c r="BF86" s="27"/>
      <c r="BG86" s="20"/>
      <c r="BH86" s="20"/>
      <c r="BI86" s="20"/>
      <c r="BJ86" s="20"/>
      <c r="BK86" s="20"/>
      <c r="BL86" s="19"/>
      <c r="BM86" s="34"/>
      <c r="BO86" s="8" t="s">
        <v>310</v>
      </c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27"/>
      <c r="CD86" s="20"/>
      <c r="CE86" s="20"/>
      <c r="CF86" s="20"/>
      <c r="CG86" s="20"/>
      <c r="CH86" s="19"/>
      <c r="CI86" s="13"/>
      <c r="CK86" s="57"/>
      <c r="CO86" s="57"/>
      <c r="CZ86" s="58"/>
    </row>
    <row r="87" spans="1:104" s="11" customFormat="1" x14ac:dyDescent="0.3">
      <c r="A87" s="24"/>
      <c r="B87" s="26"/>
      <c r="C87" s="20"/>
      <c r="D87" s="20"/>
      <c r="E87" s="20"/>
      <c r="F87" s="20"/>
      <c r="G87" s="20"/>
      <c r="H87" s="19"/>
      <c r="I87" s="27"/>
      <c r="J87" s="20"/>
      <c r="K87" s="20"/>
      <c r="L87" s="20"/>
      <c r="M87" s="20"/>
      <c r="N87" s="20"/>
      <c r="O87" s="19"/>
      <c r="P87" s="27"/>
      <c r="Q87" s="20"/>
      <c r="R87" s="20"/>
      <c r="S87" s="20"/>
      <c r="T87" s="20"/>
      <c r="U87" s="20"/>
      <c r="V87" s="19"/>
      <c r="W87" s="27"/>
      <c r="X87" s="20"/>
      <c r="Y87" s="20"/>
      <c r="Z87" s="20"/>
      <c r="AA87" s="20"/>
      <c r="AB87" s="20"/>
      <c r="AC87" s="19"/>
      <c r="AD87" s="27"/>
      <c r="AE87" s="20"/>
      <c r="AF87" s="20"/>
      <c r="AG87" s="20"/>
      <c r="AH87" s="20"/>
      <c r="AI87" s="20"/>
      <c r="AJ87" s="19"/>
      <c r="AK87" s="27"/>
      <c r="AL87" s="20"/>
      <c r="AM87" s="20"/>
      <c r="AN87" s="20"/>
      <c r="AO87" s="20"/>
      <c r="AP87" s="20"/>
      <c r="AQ87" s="19"/>
      <c r="AR87" s="20"/>
      <c r="AS87" s="20"/>
      <c r="AT87" s="20"/>
      <c r="AU87" s="20"/>
      <c r="AV87" s="20"/>
      <c r="AW87" s="20"/>
      <c r="AX87" s="19"/>
      <c r="AY87" s="20"/>
      <c r="AZ87" s="20"/>
      <c r="BA87" s="20"/>
      <c r="BB87" s="20"/>
      <c r="BC87" s="20"/>
      <c r="BD87" s="20"/>
      <c r="BE87" s="19"/>
      <c r="BF87" s="27"/>
      <c r="BG87" s="20"/>
      <c r="BH87" s="20"/>
      <c r="BI87" s="20"/>
      <c r="BJ87" s="20"/>
      <c r="BK87" s="20"/>
      <c r="BL87" s="19"/>
      <c r="BM87" s="34"/>
      <c r="BN87" s="8"/>
      <c r="BO87" s="8"/>
      <c r="BP87" s="8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27"/>
      <c r="CD87" s="20"/>
      <c r="CE87" s="20"/>
      <c r="CF87" s="20"/>
      <c r="CG87" s="20"/>
      <c r="CH87" s="19"/>
      <c r="CI87" s="13"/>
      <c r="CK87" s="57"/>
      <c r="CO87" s="57"/>
      <c r="CZ87" s="58"/>
    </row>
    <row r="88" spans="1:104" s="11" customFormat="1" x14ac:dyDescent="0.3">
      <c r="A88" s="24"/>
      <c r="B88" s="26"/>
      <c r="C88" s="20"/>
      <c r="D88" s="20"/>
      <c r="E88" s="20"/>
      <c r="F88" s="20"/>
      <c r="G88" s="20"/>
      <c r="H88" s="19"/>
      <c r="I88" s="27"/>
      <c r="J88" s="20"/>
      <c r="K88" s="20"/>
      <c r="L88" s="20"/>
      <c r="M88" s="20"/>
      <c r="N88" s="20"/>
      <c r="O88" s="19"/>
      <c r="P88" s="27"/>
      <c r="Q88" s="20"/>
      <c r="R88" s="20"/>
      <c r="S88" s="20"/>
      <c r="T88" s="20"/>
      <c r="U88" s="20"/>
      <c r="V88" s="19"/>
      <c r="W88" s="27"/>
      <c r="X88" s="20"/>
      <c r="Y88" s="20"/>
      <c r="Z88" s="20"/>
      <c r="AA88" s="20"/>
      <c r="AB88" s="20"/>
      <c r="AC88" s="19"/>
      <c r="AD88" s="27"/>
      <c r="AE88" s="20"/>
      <c r="AF88" s="20"/>
      <c r="AG88" s="20"/>
      <c r="AH88" s="20"/>
      <c r="AI88" s="20"/>
      <c r="AJ88" s="19"/>
      <c r="AK88" s="27"/>
      <c r="AL88" s="20"/>
      <c r="AM88" s="20"/>
      <c r="AN88" s="20"/>
      <c r="AO88" s="20"/>
      <c r="AP88" s="20"/>
      <c r="AQ88" s="19"/>
      <c r="AR88" s="20"/>
      <c r="AS88" s="20"/>
      <c r="AT88" s="20"/>
      <c r="AU88" s="20"/>
      <c r="AV88" s="20"/>
      <c r="AW88" s="20"/>
      <c r="AX88" s="19"/>
      <c r="AY88" s="20"/>
      <c r="AZ88" s="20"/>
      <c r="BA88" s="20"/>
      <c r="BB88" s="20"/>
      <c r="BC88" s="20"/>
      <c r="BD88" s="20"/>
      <c r="BE88" s="19"/>
      <c r="BF88" s="27"/>
      <c r="BG88" s="20"/>
      <c r="BH88" s="20"/>
      <c r="BI88" s="20"/>
      <c r="BJ88" s="20"/>
      <c r="BK88" s="20"/>
      <c r="BL88" s="19"/>
      <c r="BM88" s="34"/>
      <c r="BN88" s="17"/>
      <c r="BO88" s="111" t="s">
        <v>373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27"/>
      <c r="CD88" s="20"/>
      <c r="CE88" s="20"/>
      <c r="CF88" s="20"/>
      <c r="CG88" s="20"/>
      <c r="CH88" s="19"/>
      <c r="CI88" s="13"/>
      <c r="CK88" s="57"/>
      <c r="CO88" s="57"/>
      <c r="CZ88" s="58"/>
    </row>
    <row r="89" spans="1:104" s="11" customFormat="1" ht="13.5" customHeight="1" x14ac:dyDescent="0.3">
      <c r="A89" s="24"/>
      <c r="B89" s="26"/>
      <c r="C89" s="20"/>
      <c r="D89" s="20"/>
      <c r="E89" s="20"/>
      <c r="F89" s="20"/>
      <c r="G89" s="20"/>
      <c r="H89" s="19"/>
      <c r="I89" s="27"/>
      <c r="J89" s="20"/>
      <c r="K89" s="20"/>
      <c r="L89" s="20"/>
      <c r="M89" s="20"/>
      <c r="N89" s="20"/>
      <c r="O89" s="19"/>
      <c r="P89" s="27"/>
      <c r="Q89" s="20"/>
      <c r="R89" s="20"/>
      <c r="S89" s="20"/>
      <c r="T89" s="20"/>
      <c r="U89" s="20"/>
      <c r="V89" s="19"/>
      <c r="W89" s="27"/>
      <c r="X89" s="20"/>
      <c r="Y89" s="20"/>
      <c r="Z89" s="20"/>
      <c r="AA89" s="20"/>
      <c r="AB89" s="20"/>
      <c r="AC89" s="19"/>
      <c r="AD89" s="27"/>
      <c r="AE89" s="20"/>
      <c r="AF89" s="20"/>
      <c r="AG89" s="20"/>
      <c r="AH89" s="20"/>
      <c r="AI89" s="20"/>
      <c r="AJ89" s="19"/>
      <c r="AK89" s="27"/>
      <c r="AL89" s="20"/>
      <c r="AM89" s="20"/>
      <c r="AN89" s="20"/>
      <c r="AO89" s="20"/>
      <c r="AP89" s="20"/>
      <c r="AQ89" s="19"/>
      <c r="AR89" s="20"/>
      <c r="AS89" s="20"/>
      <c r="AT89" s="20"/>
      <c r="AU89" s="20"/>
      <c r="AV89" s="20"/>
      <c r="AW89" s="20"/>
      <c r="AX89" s="19"/>
      <c r="AY89" s="20"/>
      <c r="AZ89" s="20"/>
      <c r="BA89" s="20"/>
      <c r="BB89" s="20"/>
      <c r="BC89" s="20"/>
      <c r="BD89" s="20"/>
      <c r="BE89" s="19"/>
      <c r="BF89" s="27"/>
      <c r="BG89" s="20"/>
      <c r="BH89" s="20"/>
      <c r="BI89" s="20"/>
      <c r="BJ89" s="20"/>
      <c r="BK89" s="20"/>
      <c r="BL89" s="19"/>
      <c r="BM89" s="34"/>
      <c r="BN89" s="17"/>
      <c r="BO89" s="110" t="s">
        <v>374</v>
      </c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27"/>
      <c r="CD89" s="20"/>
      <c r="CE89" s="20"/>
      <c r="CF89" s="20"/>
      <c r="CG89" s="20"/>
      <c r="CH89" s="19"/>
      <c r="CI89" s="13"/>
      <c r="CK89" s="57"/>
      <c r="CO89" s="242"/>
      <c r="CP89" s="243"/>
      <c r="CQ89" s="243"/>
      <c r="CR89" s="243"/>
      <c r="CS89" s="243"/>
      <c r="CT89" s="243"/>
      <c r="CU89" s="243"/>
      <c r="CV89" s="243"/>
      <c r="CW89" s="243"/>
      <c r="CX89" s="243"/>
      <c r="CY89" s="243"/>
      <c r="CZ89" s="244"/>
    </row>
    <row r="90" spans="1:104" s="11" customFormat="1" x14ac:dyDescent="0.3">
      <c r="A90" s="24"/>
      <c r="B90" s="26"/>
      <c r="C90" s="20"/>
      <c r="D90" s="20"/>
      <c r="E90" s="20"/>
      <c r="F90" s="20"/>
      <c r="G90" s="20"/>
      <c r="H90" s="19"/>
      <c r="I90" s="27"/>
      <c r="J90" s="20"/>
      <c r="K90" s="20"/>
      <c r="L90" s="20"/>
      <c r="M90" s="20"/>
      <c r="N90" s="20"/>
      <c r="O90" s="19"/>
      <c r="P90" s="27"/>
      <c r="Q90" s="20"/>
      <c r="R90" s="20"/>
      <c r="S90" s="20"/>
      <c r="T90" s="20"/>
      <c r="U90" s="20"/>
      <c r="V90" s="19"/>
      <c r="W90" s="27"/>
      <c r="X90" s="20"/>
      <c r="Y90" s="20"/>
      <c r="Z90" s="20"/>
      <c r="AA90" s="20"/>
      <c r="AB90" s="20"/>
      <c r="AC90" s="19"/>
      <c r="AD90" s="27"/>
      <c r="AE90" s="20"/>
      <c r="AF90" s="20"/>
      <c r="AG90" s="20"/>
      <c r="AH90" s="20"/>
      <c r="AI90" s="20"/>
      <c r="AJ90" s="19"/>
      <c r="AK90" s="27"/>
      <c r="AL90" s="20"/>
      <c r="AM90" s="20"/>
      <c r="AN90" s="20"/>
      <c r="AO90" s="20"/>
      <c r="AP90" s="20"/>
      <c r="AQ90" s="19"/>
      <c r="AR90" s="20"/>
      <c r="AS90" s="20"/>
      <c r="AT90" s="20"/>
      <c r="AU90" s="20"/>
      <c r="AV90" s="20"/>
      <c r="AW90" s="20"/>
      <c r="AX90" s="19"/>
      <c r="AY90" s="20"/>
      <c r="AZ90" s="20"/>
      <c r="BA90" s="20"/>
      <c r="BB90" s="20"/>
      <c r="BC90" s="20"/>
      <c r="BD90" s="20"/>
      <c r="BE90" s="19"/>
      <c r="BF90" s="27"/>
      <c r="BG90" s="20"/>
      <c r="BH90" s="20"/>
      <c r="BI90" s="20"/>
      <c r="BJ90" s="20"/>
      <c r="BK90" s="20"/>
      <c r="BL90" s="19"/>
      <c r="BM90" s="34"/>
      <c r="BN90" s="17"/>
      <c r="BO90" s="110" t="s">
        <v>375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27"/>
      <c r="CD90" s="20"/>
      <c r="CE90" s="20"/>
      <c r="CF90" s="20"/>
      <c r="CG90" s="20"/>
      <c r="CH90" s="19"/>
      <c r="CI90" s="13"/>
      <c r="CK90" s="57"/>
      <c r="CO90" s="242"/>
      <c r="CP90" s="243"/>
      <c r="CQ90" s="243"/>
      <c r="CR90" s="243"/>
      <c r="CS90" s="243"/>
      <c r="CT90" s="243"/>
      <c r="CU90" s="243"/>
      <c r="CV90" s="243"/>
      <c r="CW90" s="243"/>
      <c r="CX90" s="243"/>
      <c r="CY90" s="243"/>
      <c r="CZ90" s="244"/>
    </row>
    <row r="91" spans="1:104" s="11" customFormat="1" x14ac:dyDescent="0.3">
      <c r="A91" s="24"/>
      <c r="B91" s="26"/>
      <c r="C91" s="20"/>
      <c r="D91" s="20"/>
      <c r="E91" s="20"/>
      <c r="F91" s="20"/>
      <c r="G91" s="20"/>
      <c r="H91" s="19"/>
      <c r="I91" s="27"/>
      <c r="J91" s="20"/>
      <c r="K91" s="20"/>
      <c r="L91" s="20"/>
      <c r="M91" s="20"/>
      <c r="N91" s="20"/>
      <c r="O91" s="19"/>
      <c r="P91" s="27"/>
      <c r="Q91" s="20"/>
      <c r="R91" s="20"/>
      <c r="S91" s="20"/>
      <c r="T91" s="20"/>
      <c r="U91" s="20"/>
      <c r="V91" s="19"/>
      <c r="W91" s="27"/>
      <c r="X91" s="20"/>
      <c r="Y91" s="20"/>
      <c r="Z91" s="20"/>
      <c r="AA91" s="20"/>
      <c r="AB91" s="20"/>
      <c r="AC91" s="19"/>
      <c r="AD91" s="27"/>
      <c r="AE91" s="20"/>
      <c r="AF91" s="20"/>
      <c r="AG91" s="20"/>
      <c r="AH91" s="20"/>
      <c r="AI91" s="20"/>
      <c r="AJ91" s="19"/>
      <c r="AK91" s="27"/>
      <c r="AL91" s="20"/>
      <c r="AM91" s="20"/>
      <c r="AN91" s="20"/>
      <c r="AO91" s="20"/>
      <c r="AP91" s="20"/>
      <c r="AQ91" s="19"/>
      <c r="AR91" s="20"/>
      <c r="AS91" s="20"/>
      <c r="AT91" s="20"/>
      <c r="AU91" s="20"/>
      <c r="AV91" s="20"/>
      <c r="AW91" s="20"/>
      <c r="AX91" s="19"/>
      <c r="AY91" s="20"/>
      <c r="AZ91" s="20"/>
      <c r="BA91" s="20"/>
      <c r="BB91" s="20"/>
      <c r="BC91" s="20"/>
      <c r="BD91" s="20"/>
      <c r="BE91" s="19"/>
      <c r="BF91" s="27"/>
      <c r="BG91" s="20"/>
      <c r="BH91" s="20"/>
      <c r="BI91" s="20"/>
      <c r="BJ91" s="20"/>
      <c r="BK91" s="20"/>
      <c r="BL91" s="19"/>
      <c r="BM91" s="34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27"/>
      <c r="CD91" s="20"/>
      <c r="CE91" s="20"/>
      <c r="CF91" s="20"/>
      <c r="CG91" s="20"/>
      <c r="CH91" s="19"/>
      <c r="CI91" s="13"/>
      <c r="CK91" s="57"/>
      <c r="CO91" s="57"/>
      <c r="CZ91" s="58"/>
    </row>
    <row r="92" spans="1:104" s="11" customFormat="1" x14ac:dyDescent="0.3">
      <c r="A92" s="24"/>
      <c r="B92" s="26"/>
      <c r="C92" s="20"/>
      <c r="D92" s="20"/>
      <c r="E92" s="20"/>
      <c r="F92" s="20"/>
      <c r="G92" s="20"/>
      <c r="H92" s="19"/>
      <c r="I92" s="27"/>
      <c r="J92" s="20"/>
      <c r="K92" s="20"/>
      <c r="L92" s="20"/>
      <c r="M92" s="20"/>
      <c r="N92" s="20"/>
      <c r="O92" s="19"/>
      <c r="P92" s="27"/>
      <c r="Q92" s="20"/>
      <c r="R92" s="20"/>
      <c r="S92" s="20"/>
      <c r="T92" s="20"/>
      <c r="U92" s="20"/>
      <c r="V92" s="19"/>
      <c r="W92" s="27"/>
      <c r="X92" s="20"/>
      <c r="Y92" s="20"/>
      <c r="Z92" s="20"/>
      <c r="AA92" s="20"/>
      <c r="AB92" s="20"/>
      <c r="AC92" s="19"/>
      <c r="AD92" s="27"/>
      <c r="AE92" s="20"/>
      <c r="AF92" s="20"/>
      <c r="AG92" s="20"/>
      <c r="AH92" s="20"/>
      <c r="AI92" s="20"/>
      <c r="AJ92" s="19"/>
      <c r="AK92" s="27"/>
      <c r="AL92" s="20"/>
      <c r="AM92" s="20"/>
      <c r="AN92" s="20"/>
      <c r="AO92" s="20"/>
      <c r="AP92" s="20"/>
      <c r="AQ92" s="19"/>
      <c r="AR92" s="20"/>
      <c r="AS92" s="20"/>
      <c r="AT92" s="20"/>
      <c r="AU92" s="20"/>
      <c r="AV92" s="20"/>
      <c r="AW92" s="20"/>
      <c r="AX92" s="19"/>
      <c r="AY92" s="20"/>
      <c r="AZ92" s="20"/>
      <c r="BA92" s="20"/>
      <c r="BB92" s="20"/>
      <c r="BC92" s="20"/>
      <c r="BD92" s="20"/>
      <c r="BE92" s="19"/>
      <c r="BF92" s="27"/>
      <c r="BG92" s="20"/>
      <c r="BH92" s="20"/>
      <c r="BI92" s="20"/>
      <c r="BJ92" s="20"/>
      <c r="BK92" s="20"/>
      <c r="BL92" s="19"/>
      <c r="BM92" s="34"/>
      <c r="BN92" s="21" t="s">
        <v>312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27"/>
      <c r="CD92" s="20"/>
      <c r="CE92" s="20"/>
      <c r="CF92" s="20"/>
      <c r="CG92" s="20"/>
      <c r="CH92" s="19"/>
      <c r="CI92" s="13"/>
      <c r="CK92" s="57"/>
      <c r="CO92" s="57"/>
      <c r="CZ92" s="58"/>
    </row>
    <row r="93" spans="1:104" s="11" customFormat="1" x14ac:dyDescent="0.3">
      <c r="A93" s="24"/>
      <c r="B93" s="26"/>
      <c r="C93" s="20"/>
      <c r="D93" s="20"/>
      <c r="E93" s="20"/>
      <c r="F93" s="20"/>
      <c r="G93" s="20"/>
      <c r="H93" s="19"/>
      <c r="I93" s="27"/>
      <c r="J93" s="20"/>
      <c r="K93" s="20"/>
      <c r="L93" s="20"/>
      <c r="M93" s="20"/>
      <c r="N93" s="20"/>
      <c r="O93" s="19"/>
      <c r="P93" s="27"/>
      <c r="Q93" s="20"/>
      <c r="R93" s="20"/>
      <c r="S93" s="20"/>
      <c r="T93" s="20"/>
      <c r="U93" s="20"/>
      <c r="V93" s="19"/>
      <c r="W93" s="27"/>
      <c r="X93" s="20"/>
      <c r="Y93" s="20"/>
      <c r="Z93" s="20"/>
      <c r="AA93" s="20"/>
      <c r="AB93" s="20"/>
      <c r="AC93" s="19"/>
      <c r="AD93" s="27"/>
      <c r="AE93" s="20"/>
      <c r="AF93" s="20"/>
      <c r="AG93" s="20"/>
      <c r="AH93" s="20"/>
      <c r="AI93" s="20"/>
      <c r="AJ93" s="19"/>
      <c r="AK93" s="27"/>
      <c r="AL93" s="20"/>
      <c r="AM93" s="20"/>
      <c r="AN93" s="20"/>
      <c r="AO93" s="20"/>
      <c r="AP93" s="20"/>
      <c r="AQ93" s="19"/>
      <c r="AR93" s="20"/>
      <c r="AS93" s="20"/>
      <c r="AT93" s="20"/>
      <c r="AU93" s="20"/>
      <c r="AV93" s="20"/>
      <c r="AW93" s="20"/>
      <c r="AX93" s="19"/>
      <c r="AY93" s="20"/>
      <c r="AZ93" s="20"/>
      <c r="BA93" s="20"/>
      <c r="BB93" s="20"/>
      <c r="BC93" s="20"/>
      <c r="BD93" s="20"/>
      <c r="BE93" s="19"/>
      <c r="BF93" s="29"/>
      <c r="BG93"/>
      <c r="BH93"/>
      <c r="BI93"/>
      <c r="BJ93"/>
      <c r="BK93"/>
      <c r="BL93" s="18"/>
      <c r="BM93" s="34"/>
      <c r="BO93" s="8" t="s">
        <v>313</v>
      </c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27"/>
      <c r="CD93" s="20"/>
      <c r="CE93" s="20"/>
      <c r="CF93" s="20"/>
      <c r="CG93" s="20"/>
      <c r="CH93" s="19"/>
      <c r="CI93" s="13"/>
      <c r="CK93" s="57"/>
      <c r="CO93" s="57"/>
      <c r="CZ93" s="58"/>
    </row>
    <row r="94" spans="1:104" s="11" customFormat="1" x14ac:dyDescent="0.3">
      <c r="A94" s="24"/>
      <c r="B94" s="26"/>
      <c r="C94" s="20"/>
      <c r="D94" s="20"/>
      <c r="E94" s="20"/>
      <c r="F94" s="20"/>
      <c r="G94" s="20"/>
      <c r="H94" s="19"/>
      <c r="I94" s="27"/>
      <c r="J94" s="20"/>
      <c r="K94" s="20"/>
      <c r="L94" s="20"/>
      <c r="M94" s="20"/>
      <c r="N94" s="20"/>
      <c r="O94" s="19"/>
      <c r="P94" s="27"/>
      <c r="Q94" s="20"/>
      <c r="R94" s="20"/>
      <c r="S94" s="20"/>
      <c r="T94" s="20"/>
      <c r="U94" s="20"/>
      <c r="V94" s="19"/>
      <c r="W94" s="27"/>
      <c r="X94" s="20"/>
      <c r="Y94" s="20"/>
      <c r="Z94" s="20"/>
      <c r="AA94" s="20"/>
      <c r="AB94" s="20"/>
      <c r="AC94" s="19"/>
      <c r="AD94" s="27"/>
      <c r="AE94" s="20"/>
      <c r="AF94" s="20"/>
      <c r="AG94" s="20"/>
      <c r="AH94" s="20"/>
      <c r="AI94" s="20"/>
      <c r="AJ94" s="19"/>
      <c r="AK94" s="27"/>
      <c r="AL94" s="20"/>
      <c r="AM94" s="20"/>
      <c r="AN94" s="20"/>
      <c r="AO94" s="20"/>
      <c r="AP94" s="20"/>
      <c r="AQ94" s="19"/>
      <c r="AR94" s="20"/>
      <c r="AS94" s="20"/>
      <c r="AT94" s="20"/>
      <c r="AU94" s="20"/>
      <c r="AV94" s="20"/>
      <c r="AW94" s="20"/>
      <c r="AX94" s="19"/>
      <c r="AY94" s="20"/>
      <c r="AZ94" s="20"/>
      <c r="BA94" s="20"/>
      <c r="BB94" s="20"/>
      <c r="BC94" s="20"/>
      <c r="BD94" s="20"/>
      <c r="BE94" s="19"/>
      <c r="BF94" s="30"/>
      <c r="BL94" s="13"/>
      <c r="BM94" s="34"/>
      <c r="BN94" s="21"/>
      <c r="BO94" s="17" t="s">
        <v>314</v>
      </c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27"/>
      <c r="CD94" s="20"/>
      <c r="CE94" s="20"/>
      <c r="CF94" s="20"/>
      <c r="CG94" s="20"/>
      <c r="CH94" s="19"/>
      <c r="CI94" s="13"/>
      <c r="CK94" s="57"/>
      <c r="CO94" s="57"/>
      <c r="CZ94" s="58"/>
    </row>
    <row r="95" spans="1:104" s="11" customFormat="1" x14ac:dyDescent="0.3">
      <c r="A95" s="24"/>
      <c r="B95" s="26"/>
      <c r="C95" s="20"/>
      <c r="D95" s="20"/>
      <c r="E95" s="20"/>
      <c r="F95" s="20"/>
      <c r="G95" s="20"/>
      <c r="H95" s="19"/>
      <c r="I95" s="27"/>
      <c r="J95" s="20"/>
      <c r="K95" s="20"/>
      <c r="L95" s="20"/>
      <c r="M95" s="20"/>
      <c r="N95" s="20"/>
      <c r="O95" s="19"/>
      <c r="P95" s="27"/>
      <c r="Q95" s="20"/>
      <c r="R95" s="20"/>
      <c r="S95" s="20"/>
      <c r="T95" s="20"/>
      <c r="U95" s="20"/>
      <c r="V95" s="19"/>
      <c r="W95" s="27"/>
      <c r="X95" s="20"/>
      <c r="Y95" s="20"/>
      <c r="Z95" s="20"/>
      <c r="AA95" s="20"/>
      <c r="AB95" s="20"/>
      <c r="AC95" s="19"/>
      <c r="AD95" s="27"/>
      <c r="AE95" s="20"/>
      <c r="AF95" s="20"/>
      <c r="AG95" s="20"/>
      <c r="AH95" s="20"/>
      <c r="AI95" s="20"/>
      <c r="AJ95" s="19"/>
      <c r="AK95" s="27"/>
      <c r="AL95" s="20"/>
      <c r="AM95" s="20"/>
      <c r="AN95" s="20"/>
      <c r="AO95" s="20"/>
      <c r="AP95" s="20"/>
      <c r="AQ95" s="19"/>
      <c r="AR95" s="20"/>
      <c r="AS95" s="20"/>
      <c r="AT95" s="20"/>
      <c r="AU95" s="20"/>
      <c r="AV95" s="20"/>
      <c r="AW95" s="20"/>
      <c r="AX95" s="19"/>
      <c r="AY95" s="20"/>
      <c r="AZ95" s="20"/>
      <c r="BA95" s="20"/>
      <c r="BB95" s="20"/>
      <c r="BC95" s="20"/>
      <c r="BD95" s="20"/>
      <c r="BE95" s="19"/>
      <c r="BF95" s="23"/>
      <c r="BG95" s="8"/>
      <c r="BH95" s="8"/>
      <c r="BI95" s="8"/>
      <c r="BJ95" s="8"/>
      <c r="BK95" s="8"/>
      <c r="BL95" s="14"/>
      <c r="BM95" s="34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27"/>
      <c r="CD95" s="20"/>
      <c r="CE95" s="20"/>
      <c r="CF95" s="20"/>
      <c r="CG95" s="20"/>
      <c r="CH95" s="19"/>
      <c r="CI95" s="14"/>
      <c r="CK95" s="57"/>
      <c r="CO95" s="57"/>
      <c r="CZ95" s="58"/>
    </row>
    <row r="96" spans="1:104" s="11" customFormat="1" x14ac:dyDescent="0.3">
      <c r="A96" s="24"/>
      <c r="B96" s="26"/>
      <c r="C96" s="20"/>
      <c r="D96" s="20"/>
      <c r="E96" s="20"/>
      <c r="F96" s="20"/>
      <c r="G96" s="20"/>
      <c r="H96" s="19"/>
      <c r="I96" s="27"/>
      <c r="J96" s="20"/>
      <c r="K96" s="20"/>
      <c r="L96" s="20"/>
      <c r="M96" s="20"/>
      <c r="N96" s="20"/>
      <c r="O96" s="19"/>
      <c r="P96" s="27"/>
      <c r="Q96" s="20"/>
      <c r="R96" s="20"/>
      <c r="S96" s="20"/>
      <c r="T96" s="20"/>
      <c r="U96" s="20"/>
      <c r="V96" s="19"/>
      <c r="W96" s="27"/>
      <c r="X96" s="20"/>
      <c r="Y96" s="20"/>
      <c r="Z96" s="20"/>
      <c r="AA96" s="20"/>
      <c r="AB96" s="20"/>
      <c r="AC96" s="19"/>
      <c r="AD96" s="27"/>
      <c r="AE96" s="20"/>
      <c r="AF96" s="20"/>
      <c r="AG96" s="20"/>
      <c r="AH96" s="20"/>
      <c r="AI96" s="20"/>
      <c r="AJ96" s="19"/>
      <c r="AK96" s="27"/>
      <c r="AL96" s="20"/>
      <c r="AM96" s="20"/>
      <c r="AN96" s="20"/>
      <c r="AO96" s="20"/>
      <c r="AP96" s="20"/>
      <c r="AQ96" s="19"/>
      <c r="AR96" s="20"/>
      <c r="AS96" s="20"/>
      <c r="AT96" s="20"/>
      <c r="AU96" s="20"/>
      <c r="AV96" s="20"/>
      <c r="AW96" s="20"/>
      <c r="AX96" s="19"/>
      <c r="AY96" s="20"/>
      <c r="AZ96" s="20"/>
      <c r="BA96" s="20"/>
      <c r="BB96" s="20"/>
      <c r="BC96" s="20"/>
      <c r="BD96" s="20"/>
      <c r="BE96" s="19"/>
      <c r="BF96" s="23"/>
      <c r="BG96" s="8"/>
      <c r="BH96" s="8"/>
      <c r="BI96" s="8"/>
      <c r="BJ96" s="8"/>
      <c r="BK96" s="8"/>
      <c r="BL96" s="14"/>
      <c r="BM96" s="34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27"/>
      <c r="CD96" s="20"/>
      <c r="CE96" s="20"/>
      <c r="CF96" s="20"/>
      <c r="CG96" s="20"/>
      <c r="CH96" s="19"/>
      <c r="CI96" s="14"/>
      <c r="CK96" s="57"/>
      <c r="CO96" s="57"/>
      <c r="CZ96" s="58"/>
    </row>
    <row r="97" spans="1:110" s="11" customFormat="1" x14ac:dyDescent="0.3">
      <c r="A97" s="24"/>
      <c r="B97" s="26"/>
      <c r="C97" s="20"/>
      <c r="D97" s="20"/>
      <c r="E97" s="20"/>
      <c r="F97" s="20"/>
      <c r="G97" s="20"/>
      <c r="H97" s="19"/>
      <c r="I97" s="27"/>
      <c r="J97" s="20"/>
      <c r="K97" s="20"/>
      <c r="L97" s="20"/>
      <c r="M97" s="20"/>
      <c r="N97" s="20"/>
      <c r="O97" s="19"/>
      <c r="P97" s="27"/>
      <c r="Q97" s="20"/>
      <c r="R97" s="20"/>
      <c r="S97" s="20"/>
      <c r="T97" s="20"/>
      <c r="U97" s="20"/>
      <c r="V97" s="19"/>
      <c r="W97" s="27"/>
      <c r="X97" s="20"/>
      <c r="Y97" s="20"/>
      <c r="Z97" s="20"/>
      <c r="AA97" s="20"/>
      <c r="AB97" s="20"/>
      <c r="AC97" s="19"/>
      <c r="AD97" s="27"/>
      <c r="AE97" s="20"/>
      <c r="AF97" s="20"/>
      <c r="AG97" s="20"/>
      <c r="AH97" s="20"/>
      <c r="AI97" s="20"/>
      <c r="AJ97" s="19"/>
      <c r="AK97" s="27"/>
      <c r="AL97" s="20"/>
      <c r="AM97" s="20"/>
      <c r="AN97" s="20"/>
      <c r="AO97" s="20"/>
      <c r="AP97" s="20"/>
      <c r="AQ97" s="19"/>
      <c r="AR97" s="20"/>
      <c r="AS97" s="20"/>
      <c r="AT97" s="20"/>
      <c r="AU97" s="20"/>
      <c r="AV97" s="20"/>
      <c r="AW97" s="20"/>
      <c r="AX97" s="19"/>
      <c r="AY97" s="20"/>
      <c r="AZ97" s="20"/>
      <c r="BA97" s="20"/>
      <c r="BB97" s="20"/>
      <c r="BC97" s="20"/>
      <c r="BD97" s="20"/>
      <c r="BE97" s="19"/>
      <c r="BF97" s="23"/>
      <c r="BG97" s="8"/>
      <c r="BH97" s="8"/>
      <c r="BI97" s="8"/>
      <c r="BJ97" s="8"/>
      <c r="BK97" s="8"/>
      <c r="BL97" s="14"/>
      <c r="BM97" s="34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27"/>
      <c r="CD97" s="20"/>
      <c r="CE97" s="20"/>
      <c r="CF97" s="20"/>
      <c r="CG97" s="20"/>
      <c r="CH97" s="19"/>
      <c r="CI97" s="14"/>
      <c r="CK97" s="57"/>
      <c r="CO97" s="57"/>
      <c r="CZ97" s="58"/>
    </row>
    <row r="98" spans="1:110" s="11" customFormat="1" x14ac:dyDescent="0.3">
      <c r="A98" s="24"/>
      <c r="B98" s="26"/>
      <c r="C98" s="20"/>
      <c r="D98" s="20"/>
      <c r="E98" s="20"/>
      <c r="F98" s="20"/>
      <c r="G98" s="20"/>
      <c r="H98" s="19"/>
      <c r="I98" s="27"/>
      <c r="J98" s="20"/>
      <c r="K98" s="20"/>
      <c r="L98" s="20"/>
      <c r="M98" s="20"/>
      <c r="N98" s="20"/>
      <c r="O98" s="19"/>
      <c r="P98" s="27"/>
      <c r="Q98" s="20"/>
      <c r="R98" s="20"/>
      <c r="S98" s="20"/>
      <c r="T98" s="20"/>
      <c r="U98" s="20"/>
      <c r="V98" s="19"/>
      <c r="W98" s="27"/>
      <c r="X98" s="20"/>
      <c r="Y98" s="20"/>
      <c r="Z98" s="20"/>
      <c r="AA98" s="20"/>
      <c r="AB98" s="20"/>
      <c r="AC98" s="19"/>
      <c r="AD98" s="27"/>
      <c r="AE98" s="20"/>
      <c r="AF98" s="20"/>
      <c r="AG98" s="20"/>
      <c r="AH98" s="20"/>
      <c r="AI98" s="20"/>
      <c r="AJ98" s="19"/>
      <c r="AK98" s="27"/>
      <c r="AL98" s="20"/>
      <c r="AM98" s="20"/>
      <c r="AN98" s="20"/>
      <c r="AO98" s="20"/>
      <c r="AP98" s="20"/>
      <c r="AQ98" s="19"/>
      <c r="AR98" s="20"/>
      <c r="AS98" s="20"/>
      <c r="AT98" s="20"/>
      <c r="AU98" s="20"/>
      <c r="AV98" s="20"/>
      <c r="AW98" s="20"/>
      <c r="AX98" s="19"/>
      <c r="AY98" s="20"/>
      <c r="AZ98" s="20"/>
      <c r="BA98" s="20"/>
      <c r="BB98" s="20"/>
      <c r="BC98" s="20"/>
      <c r="BD98" s="20"/>
      <c r="BE98" s="19"/>
      <c r="BF98" s="23"/>
      <c r="BG98" s="8"/>
      <c r="BH98" s="8"/>
      <c r="BI98" s="8"/>
      <c r="BJ98" s="8"/>
      <c r="BK98" s="8"/>
      <c r="BL98" s="14"/>
      <c r="BM98" s="34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27"/>
      <c r="CD98" s="20"/>
      <c r="CE98" s="20"/>
      <c r="CF98" s="20"/>
      <c r="CG98" s="20"/>
      <c r="CH98" s="19"/>
      <c r="CI98" s="14"/>
      <c r="CK98" s="57"/>
      <c r="CO98" s="57"/>
      <c r="CZ98" s="58"/>
    </row>
    <row r="99" spans="1:110" s="11" customFormat="1" x14ac:dyDescent="0.3">
      <c r="A99" s="24"/>
      <c r="B99" s="26"/>
      <c r="C99" s="20"/>
      <c r="D99" s="20"/>
      <c r="E99" s="20"/>
      <c r="F99" s="20"/>
      <c r="G99" s="20"/>
      <c r="H99" s="19"/>
      <c r="I99" s="27"/>
      <c r="J99" s="20"/>
      <c r="K99" s="20"/>
      <c r="L99" s="20"/>
      <c r="M99" s="20"/>
      <c r="N99" s="20"/>
      <c r="O99" s="19"/>
      <c r="P99" s="27"/>
      <c r="Q99" s="20"/>
      <c r="R99" s="20"/>
      <c r="S99" s="20"/>
      <c r="T99" s="20"/>
      <c r="U99" s="20"/>
      <c r="V99" s="19"/>
      <c r="W99" s="27"/>
      <c r="X99" s="20"/>
      <c r="Y99" s="20"/>
      <c r="Z99" s="20"/>
      <c r="AA99" s="20"/>
      <c r="AB99" s="20"/>
      <c r="AC99" s="19"/>
      <c r="AD99" s="27"/>
      <c r="AE99" s="20"/>
      <c r="AF99" s="20"/>
      <c r="AG99" s="20"/>
      <c r="AH99" s="20"/>
      <c r="AI99" s="20"/>
      <c r="AJ99" s="19"/>
      <c r="AK99" s="27"/>
      <c r="AL99" s="20"/>
      <c r="AM99" s="20"/>
      <c r="AN99" s="20"/>
      <c r="AO99" s="20"/>
      <c r="AP99" s="20"/>
      <c r="AQ99" s="19"/>
      <c r="AR99" s="20"/>
      <c r="AS99" s="20"/>
      <c r="AT99" s="20"/>
      <c r="AU99" s="20"/>
      <c r="AV99" s="20"/>
      <c r="AW99" s="20"/>
      <c r="AX99" s="19"/>
      <c r="AY99" s="20"/>
      <c r="AZ99" s="20"/>
      <c r="BA99" s="20"/>
      <c r="BB99" s="20"/>
      <c r="BC99" s="20"/>
      <c r="BD99" s="20"/>
      <c r="BE99" s="19"/>
      <c r="BF99" s="23"/>
      <c r="BG99" s="8"/>
      <c r="BH99" s="8"/>
      <c r="BI99" s="8"/>
      <c r="BJ99" s="8"/>
      <c r="BK99" s="8"/>
      <c r="BL99" s="14"/>
      <c r="BM99" s="34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27"/>
      <c r="CD99" s="20"/>
      <c r="CE99" s="20"/>
      <c r="CF99" s="20"/>
      <c r="CG99" s="20"/>
      <c r="CH99" s="19"/>
      <c r="CI99" s="14"/>
      <c r="CK99" s="57"/>
      <c r="CO99" s="57"/>
      <c r="CZ99" s="58"/>
    </row>
    <row r="100" spans="1:110" s="11" customFormat="1" x14ac:dyDescent="0.3">
      <c r="A100" s="24"/>
      <c r="B100" s="26"/>
      <c r="C100" s="20"/>
      <c r="D100" s="20"/>
      <c r="E100" s="20"/>
      <c r="F100" s="20"/>
      <c r="G100" s="20"/>
      <c r="H100" s="19"/>
      <c r="I100" s="27"/>
      <c r="J100" s="20"/>
      <c r="K100" s="20"/>
      <c r="L100" s="20"/>
      <c r="M100" s="20"/>
      <c r="N100" s="20"/>
      <c r="O100" s="19"/>
      <c r="P100" s="27"/>
      <c r="Q100" s="20"/>
      <c r="R100" s="20"/>
      <c r="S100" s="20"/>
      <c r="T100" s="20"/>
      <c r="U100" s="20"/>
      <c r="V100" s="19"/>
      <c r="W100" s="27"/>
      <c r="X100" s="20"/>
      <c r="Y100" s="20"/>
      <c r="Z100" s="20"/>
      <c r="AA100" s="20"/>
      <c r="AB100" s="20"/>
      <c r="AC100" s="19"/>
      <c r="AD100" s="27"/>
      <c r="AE100" s="20"/>
      <c r="AF100" s="20"/>
      <c r="AG100" s="20"/>
      <c r="AH100" s="20"/>
      <c r="AI100" s="20"/>
      <c r="AJ100" s="19"/>
      <c r="AK100" s="27"/>
      <c r="AL100" s="20"/>
      <c r="AM100" s="20"/>
      <c r="AN100" s="20"/>
      <c r="AO100" s="20"/>
      <c r="AP100" s="20"/>
      <c r="AQ100" s="19"/>
      <c r="AR100" s="20"/>
      <c r="AS100" s="20"/>
      <c r="AT100" s="20"/>
      <c r="AU100" s="20"/>
      <c r="AV100" s="20"/>
      <c r="AW100" s="20"/>
      <c r="AX100" s="19"/>
      <c r="AY100" s="20"/>
      <c r="AZ100" s="20"/>
      <c r="BA100" s="20"/>
      <c r="BB100" s="20"/>
      <c r="BC100" s="20"/>
      <c r="BD100" s="20"/>
      <c r="BE100" s="19"/>
      <c r="BF100" s="23"/>
      <c r="BG100" s="8"/>
      <c r="BH100" s="8"/>
      <c r="BI100" s="8"/>
      <c r="BJ100" s="8"/>
      <c r="BK100" s="8"/>
      <c r="BL100" s="14"/>
      <c r="BM100" s="34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27"/>
      <c r="CD100" s="20"/>
      <c r="CE100" s="20"/>
      <c r="CF100" s="20"/>
      <c r="CG100" s="20"/>
      <c r="CH100" s="19"/>
      <c r="CI100" s="14"/>
      <c r="CK100" s="57"/>
      <c r="CO100" s="57"/>
      <c r="CZ100" s="58"/>
    </row>
    <row r="101" spans="1:110" s="11" customFormat="1" x14ac:dyDescent="0.3">
      <c r="A101" s="24"/>
      <c r="B101" s="26"/>
      <c r="C101" s="20"/>
      <c r="D101" s="20"/>
      <c r="E101" s="20"/>
      <c r="F101" s="20"/>
      <c r="G101" s="20"/>
      <c r="H101" s="19"/>
      <c r="I101" s="27"/>
      <c r="J101" s="20"/>
      <c r="K101" s="20"/>
      <c r="L101" s="20"/>
      <c r="M101" s="20"/>
      <c r="N101" s="20"/>
      <c r="O101" s="19"/>
      <c r="P101" s="27"/>
      <c r="Q101" s="20"/>
      <c r="R101" s="20"/>
      <c r="S101" s="20"/>
      <c r="T101" s="20"/>
      <c r="U101" s="20"/>
      <c r="V101" s="19"/>
      <c r="W101" s="27"/>
      <c r="X101" s="20"/>
      <c r="Y101" s="20"/>
      <c r="Z101" s="20"/>
      <c r="AA101" s="20"/>
      <c r="AB101" s="20"/>
      <c r="AC101" s="19"/>
      <c r="AD101" s="27"/>
      <c r="AE101" s="20"/>
      <c r="AF101" s="20"/>
      <c r="AG101" s="20"/>
      <c r="AH101" s="20"/>
      <c r="AI101" s="20"/>
      <c r="AJ101" s="19"/>
      <c r="AK101" s="27"/>
      <c r="AL101" s="20"/>
      <c r="AM101" s="20"/>
      <c r="AN101" s="20"/>
      <c r="AO101" s="20"/>
      <c r="AP101" s="20"/>
      <c r="AQ101" s="19"/>
      <c r="AR101" s="20"/>
      <c r="AS101" s="20"/>
      <c r="AT101" s="20"/>
      <c r="AU101" s="20"/>
      <c r="AV101" s="20"/>
      <c r="AW101" s="20"/>
      <c r="AX101" s="19"/>
      <c r="AY101" s="20"/>
      <c r="AZ101" s="20"/>
      <c r="BA101" s="20"/>
      <c r="BB101" s="20"/>
      <c r="BC101" s="20"/>
      <c r="BD101" s="20"/>
      <c r="BE101" s="19"/>
      <c r="BF101" s="23"/>
      <c r="BG101" s="8"/>
      <c r="BH101" s="8"/>
      <c r="BI101" s="8"/>
      <c r="BJ101" s="8"/>
      <c r="BK101" s="8"/>
      <c r="BL101" s="14"/>
      <c r="BM101" s="34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27"/>
      <c r="CD101" s="20"/>
      <c r="CE101" s="20"/>
      <c r="CF101" s="20"/>
      <c r="CG101" s="20"/>
      <c r="CH101" s="19"/>
      <c r="CI101" s="14"/>
      <c r="CK101" s="57"/>
      <c r="CO101" s="57"/>
      <c r="CZ101" s="58"/>
    </row>
    <row r="102" spans="1:110" s="11" customFormat="1" x14ac:dyDescent="0.3">
      <c r="A102" s="24"/>
      <c r="B102" s="26"/>
      <c r="C102" s="20"/>
      <c r="D102" s="20"/>
      <c r="E102" s="20"/>
      <c r="F102" s="20"/>
      <c r="G102" s="20"/>
      <c r="H102" s="19"/>
      <c r="I102" s="27"/>
      <c r="J102" s="20"/>
      <c r="K102" s="20"/>
      <c r="L102" s="20"/>
      <c r="M102" s="20"/>
      <c r="N102" s="20"/>
      <c r="O102" s="19"/>
      <c r="P102" s="27"/>
      <c r="Q102" s="20"/>
      <c r="R102" s="20"/>
      <c r="S102" s="20"/>
      <c r="T102" s="20"/>
      <c r="U102" s="20"/>
      <c r="V102" s="19"/>
      <c r="W102" s="27"/>
      <c r="X102" s="20"/>
      <c r="Y102" s="20"/>
      <c r="Z102" s="20"/>
      <c r="AA102" s="20"/>
      <c r="AB102" s="20"/>
      <c r="AC102" s="19"/>
      <c r="AD102" s="27"/>
      <c r="AE102" s="20"/>
      <c r="AF102" s="20"/>
      <c r="AG102" s="20"/>
      <c r="AH102" s="20"/>
      <c r="AI102" s="20"/>
      <c r="AJ102" s="19"/>
      <c r="AK102" s="27"/>
      <c r="AL102" s="20"/>
      <c r="AM102" s="20"/>
      <c r="AN102" s="20"/>
      <c r="AO102" s="20"/>
      <c r="AP102" s="20"/>
      <c r="AQ102" s="19"/>
      <c r="AR102" s="20"/>
      <c r="AS102" s="20"/>
      <c r="AT102" s="20"/>
      <c r="AU102" s="20"/>
      <c r="AV102" s="20"/>
      <c r="AW102" s="20"/>
      <c r="AX102" s="19"/>
      <c r="AY102" s="20"/>
      <c r="AZ102" s="20"/>
      <c r="BA102" s="20"/>
      <c r="BB102" s="20"/>
      <c r="BC102" s="20"/>
      <c r="BD102" s="20"/>
      <c r="BE102" s="19"/>
      <c r="BF102" s="23"/>
      <c r="BG102" s="8"/>
      <c r="BH102" s="8"/>
      <c r="BI102" s="8"/>
      <c r="BJ102" s="8"/>
      <c r="BK102" s="8"/>
      <c r="BL102" s="14"/>
      <c r="BM102" s="34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27"/>
      <c r="CD102" s="20"/>
      <c r="CE102" s="20"/>
      <c r="CF102" s="20"/>
      <c r="CG102" s="20"/>
      <c r="CH102" s="19"/>
      <c r="CI102" s="14"/>
      <c r="CK102" s="57"/>
      <c r="CO102" s="57"/>
      <c r="CZ102" s="58"/>
    </row>
    <row r="103" spans="1:110" s="11" customFormat="1" x14ac:dyDescent="0.3">
      <c r="A103" s="24"/>
      <c r="B103" s="37" t="s">
        <v>315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22"/>
      <c r="BG103" s="22"/>
      <c r="BH103" s="22"/>
      <c r="BI103" s="22"/>
      <c r="BJ103" s="22"/>
      <c r="BK103" s="22"/>
      <c r="BL103" s="2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40"/>
      <c r="CI103" s="13"/>
      <c r="CK103" s="54"/>
      <c r="CL103" s="55"/>
      <c r="CM103" s="55"/>
      <c r="CN103" s="55"/>
      <c r="CO103" s="54"/>
      <c r="CP103" s="55"/>
      <c r="CQ103" s="55"/>
      <c r="CR103" s="55"/>
      <c r="CS103" s="55"/>
      <c r="CT103" s="55"/>
      <c r="CU103" s="55"/>
      <c r="CV103" s="55"/>
      <c r="CW103" s="55"/>
      <c r="CX103" s="55"/>
      <c r="CY103" s="55"/>
      <c r="CZ103" s="56"/>
    </row>
    <row r="104" spans="1:110" s="11" customFormat="1" x14ac:dyDescent="0.3">
      <c r="A104" s="24"/>
      <c r="B104" s="41"/>
      <c r="C104" s="42"/>
      <c r="D104" s="42"/>
      <c r="E104" s="42"/>
      <c r="F104" s="42"/>
      <c r="G104" s="42"/>
      <c r="H104" s="43"/>
      <c r="I104" s="44"/>
      <c r="J104" s="42"/>
      <c r="K104" s="42"/>
      <c r="L104" s="42"/>
      <c r="M104" s="42"/>
      <c r="N104" s="42"/>
      <c r="O104" s="43"/>
      <c r="P104" s="44"/>
      <c r="Q104" s="42"/>
      <c r="R104" s="42"/>
      <c r="S104" s="42"/>
      <c r="T104" s="42"/>
      <c r="U104" s="42"/>
      <c r="V104" s="43"/>
      <c r="W104" s="44"/>
      <c r="X104" s="42"/>
      <c r="Y104" s="42"/>
      <c r="Z104" s="42"/>
      <c r="AA104" s="42"/>
      <c r="AB104" s="42"/>
      <c r="AC104" s="43"/>
      <c r="AD104" s="44"/>
      <c r="AE104" s="42"/>
      <c r="AF104" s="42"/>
      <c r="AG104" s="42"/>
      <c r="AH104" s="42"/>
      <c r="AI104" s="42"/>
      <c r="AJ104" s="43"/>
      <c r="AK104" s="44"/>
      <c r="AL104" s="42"/>
      <c r="AM104" s="42"/>
      <c r="AN104" s="42"/>
      <c r="AO104" s="42"/>
      <c r="AP104" s="42"/>
      <c r="AQ104" s="43"/>
      <c r="AR104" s="42"/>
      <c r="AS104" s="42"/>
      <c r="AT104" s="42"/>
      <c r="AU104" s="42"/>
      <c r="AV104" s="42"/>
      <c r="AW104" s="42"/>
      <c r="AX104" s="43"/>
      <c r="AY104" s="42"/>
      <c r="AZ104" s="42"/>
      <c r="BA104" s="42"/>
      <c r="BB104" s="42"/>
      <c r="BC104" s="42"/>
      <c r="BD104" s="42"/>
      <c r="BE104" s="43"/>
      <c r="BF104" s="44"/>
      <c r="BG104" s="42"/>
      <c r="BH104" s="42"/>
      <c r="BI104" s="42"/>
      <c r="BJ104" s="42"/>
      <c r="BK104" s="42"/>
      <c r="BL104" s="43"/>
      <c r="BM104" s="45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4"/>
      <c r="CD104" s="42"/>
      <c r="CE104" s="42"/>
      <c r="CF104" s="42"/>
      <c r="CG104" s="42"/>
      <c r="CH104" s="43"/>
      <c r="CI104" s="13"/>
      <c r="CK104" s="57"/>
      <c r="CO104" s="57"/>
      <c r="CZ104" s="58"/>
    </row>
    <row r="105" spans="1:110" s="11" customFormat="1" x14ac:dyDescent="0.3">
      <c r="A105" s="24"/>
      <c r="B105" s="26"/>
      <c r="C105" s="20"/>
      <c r="D105" s="20"/>
      <c r="E105" s="20"/>
      <c r="F105" s="20"/>
      <c r="G105" s="20"/>
      <c r="H105" s="19"/>
      <c r="I105" s="27"/>
      <c r="J105" s="20"/>
      <c r="K105" s="20"/>
      <c r="L105" s="20"/>
      <c r="M105" s="20"/>
      <c r="N105" s="20"/>
      <c r="O105" s="19"/>
      <c r="P105" s="27"/>
      <c r="Q105" s="20"/>
      <c r="R105" s="20"/>
      <c r="S105" s="20"/>
      <c r="T105" s="20"/>
      <c r="U105" s="20"/>
      <c r="V105" s="19"/>
      <c r="W105" s="27"/>
      <c r="X105" s="20"/>
      <c r="Y105" s="20"/>
      <c r="Z105" s="20"/>
      <c r="AA105" s="20"/>
      <c r="AB105" s="20"/>
      <c r="AC105" s="19"/>
      <c r="AD105" s="27"/>
      <c r="AE105" s="20"/>
      <c r="AF105" s="20"/>
      <c r="AG105" s="20"/>
      <c r="AH105" s="20"/>
      <c r="AI105" s="20"/>
      <c r="AJ105" s="19"/>
      <c r="AK105" s="27"/>
      <c r="AL105" s="20"/>
      <c r="AM105" s="20"/>
      <c r="AN105" s="20"/>
      <c r="AO105" s="20"/>
      <c r="AP105" s="20"/>
      <c r="AQ105" s="19"/>
      <c r="AR105" s="20"/>
      <c r="AS105" s="20"/>
      <c r="AT105" s="20"/>
      <c r="AU105" s="20"/>
      <c r="AV105" s="20"/>
      <c r="AW105" s="20"/>
      <c r="AX105" s="19"/>
      <c r="AY105" s="20"/>
      <c r="AZ105" s="20"/>
      <c r="BA105" s="20"/>
      <c r="BB105" s="20"/>
      <c r="BC105" s="20"/>
      <c r="BD105" s="20"/>
      <c r="BE105" s="19"/>
      <c r="BF105" s="27"/>
      <c r="BG105" s="20"/>
      <c r="BH105" s="20"/>
      <c r="BI105" s="20"/>
      <c r="BJ105" s="20"/>
      <c r="BK105" s="20"/>
      <c r="BL105" s="19"/>
      <c r="BM105" s="34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27"/>
      <c r="CD105" s="20"/>
      <c r="CE105" s="20"/>
      <c r="CF105" s="20"/>
      <c r="CG105" s="20"/>
      <c r="CH105" s="19"/>
      <c r="CI105" s="13"/>
      <c r="CK105" s="57"/>
      <c r="CO105" s="57"/>
      <c r="CZ105" s="58"/>
    </row>
    <row r="106" spans="1:110" s="11" customFormat="1" x14ac:dyDescent="0.3">
      <c r="A106" s="24"/>
      <c r="B106" s="26"/>
      <c r="C106" s="20"/>
      <c r="D106" s="20"/>
      <c r="E106" s="20"/>
      <c r="F106" s="20"/>
      <c r="G106" s="20"/>
      <c r="H106" s="19"/>
      <c r="I106" s="27"/>
      <c r="J106" s="20"/>
      <c r="K106" s="20"/>
      <c r="L106" s="20"/>
      <c r="M106" s="20"/>
      <c r="N106" s="20"/>
      <c r="O106" s="19"/>
      <c r="P106" s="27"/>
      <c r="Q106" s="20"/>
      <c r="R106" s="20"/>
      <c r="S106" s="20"/>
      <c r="T106" s="20"/>
      <c r="U106" s="20"/>
      <c r="V106" s="19"/>
      <c r="W106" s="27"/>
      <c r="X106" s="20"/>
      <c r="Y106" s="20"/>
      <c r="Z106" s="20"/>
      <c r="AA106" s="20"/>
      <c r="AB106" s="20"/>
      <c r="AC106" s="19"/>
      <c r="AD106" s="27"/>
      <c r="AE106" s="20"/>
      <c r="AF106" s="20"/>
      <c r="AG106" s="20"/>
      <c r="AH106" s="20"/>
      <c r="AI106" s="20"/>
      <c r="AJ106" s="19"/>
      <c r="AK106" s="27"/>
      <c r="AL106" s="20"/>
      <c r="AM106" s="20"/>
      <c r="AN106" s="20"/>
      <c r="AO106" s="20"/>
      <c r="AP106" s="20"/>
      <c r="AQ106" s="19"/>
      <c r="AR106" s="20"/>
      <c r="AS106" s="20"/>
      <c r="AT106" s="20"/>
      <c r="AU106" s="20"/>
      <c r="AV106" s="20"/>
      <c r="AW106" s="20"/>
      <c r="AX106" s="19"/>
      <c r="AY106" s="20"/>
      <c r="AZ106" s="20"/>
      <c r="BA106" s="20"/>
      <c r="BB106" s="20"/>
      <c r="BC106" s="20"/>
      <c r="BD106" s="20"/>
      <c r="BE106" s="19"/>
      <c r="BF106" s="27"/>
      <c r="BG106" s="20"/>
      <c r="BH106" s="20"/>
      <c r="BI106" s="20"/>
      <c r="BJ106" s="20"/>
      <c r="BK106" s="20"/>
      <c r="BL106" s="19"/>
      <c r="BM106" s="34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27"/>
      <c r="CD106" s="20"/>
      <c r="CE106" s="20"/>
      <c r="CF106" s="20"/>
      <c r="CG106" s="20"/>
      <c r="CH106" s="19"/>
      <c r="CI106" s="13"/>
      <c r="CK106" s="57"/>
      <c r="CO106" s="57"/>
      <c r="CZ106" s="58"/>
    </row>
    <row r="107" spans="1:110" s="11" customFormat="1" x14ac:dyDescent="0.3">
      <c r="A107" s="24"/>
      <c r="B107" s="26"/>
      <c r="C107" s="20"/>
      <c r="D107" s="20"/>
      <c r="E107" s="20"/>
      <c r="F107" s="20"/>
      <c r="G107" s="20"/>
      <c r="H107" s="19"/>
      <c r="I107" s="27"/>
      <c r="J107" s="20"/>
      <c r="K107" s="20"/>
      <c r="L107" s="20"/>
      <c r="M107" s="20"/>
      <c r="N107" s="20"/>
      <c r="O107" s="19"/>
      <c r="P107" s="27"/>
      <c r="Q107" s="20"/>
      <c r="R107" s="20"/>
      <c r="S107" s="20"/>
      <c r="T107" s="20"/>
      <c r="U107" s="20"/>
      <c r="V107" s="19"/>
      <c r="W107" s="27"/>
      <c r="X107" s="20"/>
      <c r="Y107" s="20"/>
      <c r="Z107" s="20"/>
      <c r="AA107" s="20"/>
      <c r="AB107" s="20"/>
      <c r="AC107" s="19"/>
      <c r="AD107" s="27"/>
      <c r="AE107" s="20"/>
      <c r="AF107" s="20"/>
      <c r="AG107" s="20"/>
      <c r="AH107" s="20"/>
      <c r="AI107" s="20"/>
      <c r="AJ107" s="19"/>
      <c r="AK107" s="27"/>
      <c r="AL107" s="20"/>
      <c r="AM107" s="20"/>
      <c r="AN107" s="20"/>
      <c r="AO107" s="20"/>
      <c r="AP107" s="20"/>
      <c r="AQ107" s="19"/>
      <c r="AR107" s="20"/>
      <c r="AS107" s="20"/>
      <c r="AT107" s="20"/>
      <c r="AU107" s="20"/>
      <c r="AV107" s="20"/>
      <c r="AW107" s="20"/>
      <c r="AX107" s="19"/>
      <c r="AY107" s="20"/>
      <c r="AZ107" s="20"/>
      <c r="BA107" s="20"/>
      <c r="BB107" s="20"/>
      <c r="BC107" s="20"/>
      <c r="BD107" s="20"/>
      <c r="BE107" s="19"/>
      <c r="BF107" s="27"/>
      <c r="BG107" s="20"/>
      <c r="BH107" s="20"/>
      <c r="BI107" s="20"/>
      <c r="BJ107" s="20"/>
      <c r="BK107" s="20"/>
      <c r="BL107" s="19"/>
      <c r="BM107" s="34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27"/>
      <c r="CD107" s="20"/>
      <c r="CE107" s="20"/>
      <c r="CF107" s="20"/>
      <c r="CG107" s="20"/>
      <c r="CH107" s="19"/>
      <c r="CI107" s="13"/>
      <c r="CK107" s="57"/>
      <c r="CO107" s="87" t="s">
        <v>316</v>
      </c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9"/>
      <c r="DA107" s="88"/>
      <c r="DB107" s="88"/>
      <c r="DC107" s="88"/>
      <c r="DD107" s="88"/>
      <c r="DE107" s="88"/>
      <c r="DF107" s="88"/>
    </row>
    <row r="108" spans="1:110" s="11" customFormat="1" x14ac:dyDescent="0.3">
      <c r="A108" s="24"/>
      <c r="B108" s="26"/>
      <c r="C108" s="20"/>
      <c r="D108" s="20"/>
      <c r="E108" s="20"/>
      <c r="F108" s="20"/>
      <c r="G108" s="20"/>
      <c r="H108" s="19"/>
      <c r="I108" s="27"/>
      <c r="J108" s="20"/>
      <c r="K108" s="20"/>
      <c r="L108" s="20"/>
      <c r="M108" s="20"/>
      <c r="N108" s="20"/>
      <c r="O108" s="19"/>
      <c r="P108" s="27"/>
      <c r="Q108" s="20"/>
      <c r="R108" s="20"/>
      <c r="S108" s="20"/>
      <c r="T108" s="20"/>
      <c r="U108" s="20"/>
      <c r="V108" s="19"/>
      <c r="W108" s="27"/>
      <c r="X108" s="20"/>
      <c r="Y108" s="20"/>
      <c r="Z108" s="20"/>
      <c r="AA108" s="20"/>
      <c r="AB108" s="20"/>
      <c r="AC108" s="19"/>
      <c r="AD108" s="27"/>
      <c r="AE108" s="20"/>
      <c r="AF108" s="20"/>
      <c r="AG108" s="20"/>
      <c r="AH108" s="20"/>
      <c r="AI108" s="20"/>
      <c r="AJ108" s="19"/>
      <c r="AK108" s="27"/>
      <c r="AL108" s="20"/>
      <c r="AM108" s="20"/>
      <c r="AN108" s="20"/>
      <c r="AO108" s="20"/>
      <c r="AP108" s="20"/>
      <c r="AQ108" s="19"/>
      <c r="AR108" s="20"/>
      <c r="AS108" s="20"/>
      <c r="AT108" s="20"/>
      <c r="AU108" s="20"/>
      <c r="AV108" s="20"/>
      <c r="AW108" s="20"/>
      <c r="AX108" s="19"/>
      <c r="AY108" s="20"/>
      <c r="AZ108" s="20"/>
      <c r="BA108" s="20"/>
      <c r="BB108" s="20"/>
      <c r="BC108" s="20"/>
      <c r="BD108" s="20"/>
      <c r="BE108" s="19"/>
      <c r="BF108" s="27"/>
      <c r="BG108" s="20"/>
      <c r="BH108" s="20"/>
      <c r="BI108" s="20"/>
      <c r="BJ108" s="20"/>
      <c r="BK108" s="20"/>
      <c r="BL108" s="19"/>
      <c r="BM108" s="34"/>
      <c r="BN108" s="21" t="s">
        <v>317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27"/>
      <c r="CD108" s="20"/>
      <c r="CE108" s="20"/>
      <c r="CF108" s="20"/>
      <c r="CG108" s="20"/>
      <c r="CH108" s="19"/>
      <c r="CI108" s="13"/>
      <c r="CK108" s="57"/>
      <c r="CO108" s="87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9"/>
      <c r="DA108" s="88"/>
      <c r="DB108" s="88"/>
      <c r="DC108" s="88"/>
      <c r="DD108" s="88"/>
      <c r="DE108" s="88"/>
      <c r="DF108" s="88"/>
    </row>
    <row r="109" spans="1:110" s="11" customFormat="1" x14ac:dyDescent="0.3">
      <c r="A109" s="24"/>
      <c r="B109" s="26"/>
      <c r="C109" s="20"/>
      <c r="D109" s="20"/>
      <c r="E109" s="20"/>
      <c r="F109" s="20"/>
      <c r="G109" s="20"/>
      <c r="H109" s="19"/>
      <c r="I109" s="27"/>
      <c r="J109" s="20"/>
      <c r="K109" s="20"/>
      <c r="L109" s="20"/>
      <c r="M109" s="20"/>
      <c r="N109" s="20"/>
      <c r="O109" s="19"/>
      <c r="P109" s="27"/>
      <c r="Q109" s="20"/>
      <c r="R109" s="20"/>
      <c r="S109" s="20"/>
      <c r="T109" s="20"/>
      <c r="U109" s="20"/>
      <c r="V109" s="19"/>
      <c r="W109" s="27"/>
      <c r="X109" s="20"/>
      <c r="Y109" s="20"/>
      <c r="Z109" s="20"/>
      <c r="AA109" s="20"/>
      <c r="AB109" s="20"/>
      <c r="AC109" s="19"/>
      <c r="AD109" s="27"/>
      <c r="AE109" s="20"/>
      <c r="AF109" s="20"/>
      <c r="AG109" s="20"/>
      <c r="AH109" s="20"/>
      <c r="AI109" s="20"/>
      <c r="AJ109" s="19"/>
      <c r="AK109" s="27"/>
      <c r="AL109" s="20"/>
      <c r="AM109" s="20"/>
      <c r="AN109" s="20"/>
      <c r="AO109" s="20"/>
      <c r="AP109" s="20"/>
      <c r="AQ109" s="19"/>
      <c r="AR109" s="20"/>
      <c r="AS109" s="20"/>
      <c r="AT109" s="20"/>
      <c r="AU109" s="20"/>
      <c r="AV109" s="20"/>
      <c r="AW109" s="20"/>
      <c r="AX109" s="19"/>
      <c r="AY109" s="20"/>
      <c r="AZ109" s="20"/>
      <c r="BA109" s="20"/>
      <c r="BB109" s="20"/>
      <c r="BC109" s="20"/>
      <c r="BD109" s="20"/>
      <c r="BE109" s="19"/>
      <c r="BF109" s="27"/>
      <c r="BG109" s="20"/>
      <c r="BH109" s="20"/>
      <c r="BI109" s="20"/>
      <c r="BJ109" s="20"/>
      <c r="BK109" s="20"/>
      <c r="BL109" s="19"/>
      <c r="BM109" s="34"/>
      <c r="BO109" s="8" t="s">
        <v>318</v>
      </c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27"/>
      <c r="CD109" s="20"/>
      <c r="CE109" s="20"/>
      <c r="CF109" s="20"/>
      <c r="CG109" s="20"/>
      <c r="CH109" s="19"/>
      <c r="CI109" s="13"/>
      <c r="CK109" s="57"/>
      <c r="CO109" s="87" t="s">
        <v>319</v>
      </c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9"/>
      <c r="DA109" s="88"/>
      <c r="DB109" s="88"/>
      <c r="DC109" s="88"/>
      <c r="DD109" s="88"/>
      <c r="DE109" s="88"/>
      <c r="DF109" s="88"/>
    </row>
    <row r="110" spans="1:110" s="11" customFormat="1" x14ac:dyDescent="0.3">
      <c r="A110" s="24"/>
      <c r="B110" s="26"/>
      <c r="C110" s="20"/>
      <c r="D110" s="20"/>
      <c r="E110" s="20"/>
      <c r="F110" s="20"/>
      <c r="G110" s="20"/>
      <c r="H110" s="19"/>
      <c r="I110" s="27"/>
      <c r="J110" s="20"/>
      <c r="K110" s="20"/>
      <c r="L110" s="20"/>
      <c r="M110" s="20"/>
      <c r="N110" s="20"/>
      <c r="O110" s="19"/>
      <c r="P110" s="27"/>
      <c r="Q110" s="20"/>
      <c r="R110" s="20"/>
      <c r="S110" s="20"/>
      <c r="T110" s="20"/>
      <c r="U110" s="20"/>
      <c r="V110" s="19"/>
      <c r="W110" s="27"/>
      <c r="X110" s="20"/>
      <c r="Y110" s="20"/>
      <c r="Z110" s="20"/>
      <c r="AA110" s="20"/>
      <c r="AB110" s="20"/>
      <c r="AC110" s="19"/>
      <c r="AD110" s="27"/>
      <c r="AE110" s="20"/>
      <c r="AF110" s="20"/>
      <c r="AG110" s="20"/>
      <c r="AH110" s="20"/>
      <c r="AI110" s="20"/>
      <c r="AJ110" s="19"/>
      <c r="AK110" s="27"/>
      <c r="AL110" s="20"/>
      <c r="AM110" s="20"/>
      <c r="AN110" s="20"/>
      <c r="AO110" s="20"/>
      <c r="AP110" s="20"/>
      <c r="AQ110" s="19"/>
      <c r="AR110" s="20"/>
      <c r="AS110" s="20"/>
      <c r="AT110" s="20"/>
      <c r="AU110" s="20"/>
      <c r="AV110" s="20"/>
      <c r="AW110" s="20"/>
      <c r="AX110" s="19"/>
      <c r="AY110" s="20"/>
      <c r="AZ110" s="20"/>
      <c r="BA110" s="20"/>
      <c r="BB110" s="20"/>
      <c r="BC110" s="20"/>
      <c r="BD110" s="20"/>
      <c r="BE110" s="19"/>
      <c r="BF110" s="27"/>
      <c r="BG110" s="20"/>
      <c r="BH110" s="20"/>
      <c r="BI110" s="20"/>
      <c r="BJ110" s="20"/>
      <c r="BK110" s="20"/>
      <c r="BL110" s="19"/>
      <c r="BM110" s="34"/>
      <c r="BN110" s="8"/>
      <c r="BO110" s="8" t="s">
        <v>320</v>
      </c>
      <c r="BP110" s="8"/>
      <c r="BQ110" s="17"/>
      <c r="BR110" s="17" t="s">
        <v>376</v>
      </c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27"/>
      <c r="CD110" s="20"/>
      <c r="CE110" s="20"/>
      <c r="CF110" s="20"/>
      <c r="CG110" s="20"/>
      <c r="CH110" s="19"/>
      <c r="CI110" s="13"/>
      <c r="CK110" s="57"/>
      <c r="CO110" s="87"/>
      <c r="CP110" s="88" t="s">
        <v>321</v>
      </c>
      <c r="CQ110" s="88"/>
      <c r="CR110" s="88"/>
      <c r="CS110" s="88"/>
      <c r="CT110" s="88"/>
      <c r="CU110" s="88"/>
      <c r="CV110" s="88"/>
      <c r="CW110" s="88"/>
      <c r="CX110" s="88"/>
      <c r="CY110" s="88"/>
      <c r="CZ110" s="89"/>
      <c r="DA110" s="88"/>
      <c r="DB110" s="88"/>
      <c r="DC110" s="88"/>
      <c r="DD110" s="88"/>
      <c r="DE110" s="88"/>
      <c r="DF110" s="88"/>
    </row>
    <row r="111" spans="1:110" s="11" customFormat="1" x14ac:dyDescent="0.3">
      <c r="A111" s="24"/>
      <c r="B111" s="26"/>
      <c r="C111" s="20"/>
      <c r="D111" s="20"/>
      <c r="E111" s="20"/>
      <c r="F111" s="20"/>
      <c r="G111" s="20"/>
      <c r="H111" s="19"/>
      <c r="I111" s="27"/>
      <c r="J111" s="20"/>
      <c r="K111" s="20"/>
      <c r="L111" s="20"/>
      <c r="M111" s="20"/>
      <c r="N111" s="20"/>
      <c r="O111" s="19"/>
      <c r="P111" s="27"/>
      <c r="Q111" s="20"/>
      <c r="R111" s="20"/>
      <c r="S111" s="20"/>
      <c r="T111" s="20"/>
      <c r="U111" s="20"/>
      <c r="V111" s="19"/>
      <c r="W111" s="27"/>
      <c r="X111" s="20"/>
      <c r="Y111" s="20"/>
      <c r="Z111" s="20"/>
      <c r="AA111" s="20"/>
      <c r="AB111" s="20"/>
      <c r="AC111" s="19"/>
      <c r="AD111" s="27"/>
      <c r="AE111" s="20"/>
      <c r="AF111" s="20"/>
      <c r="AG111" s="20"/>
      <c r="AH111" s="20"/>
      <c r="AI111" s="20"/>
      <c r="AJ111" s="19"/>
      <c r="AK111" s="27"/>
      <c r="AL111" s="20"/>
      <c r="AM111" s="20"/>
      <c r="AN111" s="20"/>
      <c r="AO111" s="20"/>
      <c r="AP111" s="20"/>
      <c r="AQ111" s="19"/>
      <c r="AR111" s="20"/>
      <c r="AS111" s="20"/>
      <c r="AT111" s="20"/>
      <c r="AU111" s="20"/>
      <c r="AV111" s="20"/>
      <c r="AW111" s="20"/>
      <c r="AX111" s="19"/>
      <c r="AY111" s="20"/>
      <c r="AZ111" s="20"/>
      <c r="BA111" s="20"/>
      <c r="BB111" s="20"/>
      <c r="BC111" s="20"/>
      <c r="BD111" s="20"/>
      <c r="BE111" s="19"/>
      <c r="BF111" s="27"/>
      <c r="BG111" s="20"/>
      <c r="BH111" s="20"/>
      <c r="BI111" s="20"/>
      <c r="BJ111" s="20"/>
      <c r="BK111" s="20"/>
      <c r="BL111" s="19"/>
      <c r="BM111" s="34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27"/>
      <c r="CD111" s="20"/>
      <c r="CE111" s="20"/>
      <c r="CF111" s="20"/>
      <c r="CG111" s="20"/>
      <c r="CH111" s="19"/>
      <c r="CI111" s="13"/>
      <c r="CK111" s="57"/>
      <c r="CO111" s="87"/>
      <c r="CP111" s="88"/>
      <c r="CQ111" s="88" t="s">
        <v>323</v>
      </c>
      <c r="CR111" s="88"/>
      <c r="CS111" s="88"/>
      <c r="CT111" s="88"/>
      <c r="CU111" s="88"/>
      <c r="CV111" s="88"/>
      <c r="CW111" s="88"/>
      <c r="CX111" s="88"/>
      <c r="CY111" s="88"/>
      <c r="CZ111" s="89"/>
      <c r="DA111" s="88"/>
      <c r="DB111" s="88"/>
      <c r="DC111" s="88"/>
      <c r="DD111" s="88"/>
      <c r="DE111" s="88"/>
      <c r="DF111" s="88"/>
    </row>
    <row r="112" spans="1:110" s="11" customFormat="1" x14ac:dyDescent="0.3">
      <c r="A112" s="24"/>
      <c r="B112" s="26"/>
      <c r="C112" s="20"/>
      <c r="D112" s="20"/>
      <c r="E112" s="20"/>
      <c r="F112" s="20"/>
      <c r="G112" s="20"/>
      <c r="H112" s="19"/>
      <c r="I112" s="27"/>
      <c r="J112" s="20"/>
      <c r="K112" s="20"/>
      <c r="L112" s="20"/>
      <c r="M112" s="20"/>
      <c r="N112" s="20"/>
      <c r="O112" s="19"/>
      <c r="P112" s="27"/>
      <c r="Q112" s="20"/>
      <c r="R112" s="20"/>
      <c r="S112" s="20"/>
      <c r="T112" s="20"/>
      <c r="U112" s="20"/>
      <c r="V112" s="19"/>
      <c r="W112" s="27"/>
      <c r="X112" s="20"/>
      <c r="Y112" s="20"/>
      <c r="Z112" s="20"/>
      <c r="AA112" s="20"/>
      <c r="AB112" s="20"/>
      <c r="AC112" s="19"/>
      <c r="AD112" s="27"/>
      <c r="AE112" s="20"/>
      <c r="AF112" s="20"/>
      <c r="AG112" s="20"/>
      <c r="AH112" s="20"/>
      <c r="AI112" s="20"/>
      <c r="AJ112" s="19"/>
      <c r="AK112" s="27"/>
      <c r="AL112" s="20"/>
      <c r="AM112" s="20"/>
      <c r="AN112" s="20"/>
      <c r="AO112" s="20"/>
      <c r="AP112" s="20"/>
      <c r="AQ112" s="19"/>
      <c r="AR112" s="20"/>
      <c r="AS112" s="20"/>
      <c r="AT112" s="20"/>
      <c r="AU112" s="20"/>
      <c r="AV112" s="20"/>
      <c r="AW112" s="20"/>
      <c r="AX112" s="19"/>
      <c r="AY112" s="20"/>
      <c r="AZ112" s="20"/>
      <c r="BA112" s="20"/>
      <c r="BB112" s="20"/>
      <c r="BC112" s="20"/>
      <c r="BD112" s="20"/>
      <c r="BE112" s="19"/>
      <c r="BF112" s="27"/>
      <c r="BG112" s="20"/>
      <c r="BH112" s="20"/>
      <c r="BI112" s="20"/>
      <c r="BJ112" s="20"/>
      <c r="BK112" s="20"/>
      <c r="BL112" s="19"/>
      <c r="BM112" s="34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27"/>
      <c r="CD112" s="20"/>
      <c r="CE112" s="20"/>
      <c r="CF112" s="20"/>
      <c r="CG112" s="20"/>
      <c r="CH112" s="19"/>
      <c r="CI112" s="13"/>
      <c r="CK112" s="57"/>
      <c r="CO112" s="87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9"/>
      <c r="DA112" s="88"/>
      <c r="DB112" s="88"/>
      <c r="DC112" s="88"/>
      <c r="DD112" s="88"/>
      <c r="DE112" s="88"/>
      <c r="DF112" s="88"/>
    </row>
    <row r="113" spans="1:110" s="11" customFormat="1" x14ac:dyDescent="0.3">
      <c r="A113" s="24"/>
      <c r="B113" s="26"/>
      <c r="C113" s="20"/>
      <c r="D113" s="20"/>
      <c r="E113" s="20"/>
      <c r="F113" s="20"/>
      <c r="G113" s="20"/>
      <c r="H113" s="19"/>
      <c r="I113" s="27"/>
      <c r="J113" s="20"/>
      <c r="K113" s="20"/>
      <c r="L113" s="20"/>
      <c r="M113" s="20"/>
      <c r="N113" s="20"/>
      <c r="O113" s="19"/>
      <c r="P113" s="27"/>
      <c r="Q113" s="20"/>
      <c r="R113" s="20"/>
      <c r="S113" s="20"/>
      <c r="T113" s="20"/>
      <c r="U113" s="20"/>
      <c r="V113" s="19"/>
      <c r="W113" s="27"/>
      <c r="X113" s="20"/>
      <c r="Y113" s="20"/>
      <c r="Z113" s="20"/>
      <c r="AA113" s="20"/>
      <c r="AB113" s="20"/>
      <c r="AC113" s="19"/>
      <c r="AD113" s="27"/>
      <c r="AE113" s="20"/>
      <c r="AF113" s="20"/>
      <c r="AG113" s="20"/>
      <c r="AH113" s="20"/>
      <c r="AI113" s="20"/>
      <c r="AJ113" s="19"/>
      <c r="AK113" s="27"/>
      <c r="AL113" s="20"/>
      <c r="AM113" s="20"/>
      <c r="AN113" s="20"/>
      <c r="AO113" s="20"/>
      <c r="AP113" s="20"/>
      <c r="AQ113" s="19"/>
      <c r="AR113" s="20"/>
      <c r="AS113" s="20"/>
      <c r="AT113" s="20"/>
      <c r="AU113" s="20"/>
      <c r="AV113" s="20"/>
      <c r="AW113" s="20"/>
      <c r="AX113" s="19"/>
      <c r="AY113" s="20"/>
      <c r="AZ113" s="20"/>
      <c r="BA113" s="20"/>
      <c r="BB113" s="20"/>
      <c r="BC113" s="20"/>
      <c r="BD113" s="20"/>
      <c r="BE113" s="19"/>
      <c r="BF113" s="27"/>
      <c r="BG113" s="20"/>
      <c r="BH113" s="20"/>
      <c r="BI113" s="20"/>
      <c r="BJ113" s="20"/>
      <c r="BK113" s="20"/>
      <c r="BL113" s="19"/>
      <c r="BM113" s="34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27"/>
      <c r="CD113" s="20"/>
      <c r="CE113" s="20"/>
      <c r="CF113" s="20"/>
      <c r="CG113" s="20"/>
      <c r="CH113" s="19"/>
      <c r="CI113" s="13"/>
      <c r="CK113" s="57"/>
      <c r="CO113" s="87"/>
      <c r="CP113" s="88" t="s">
        <v>324</v>
      </c>
      <c r="CQ113" s="88"/>
      <c r="CR113" s="88"/>
      <c r="CS113" s="88"/>
      <c r="CT113" s="88"/>
      <c r="CU113" s="88"/>
      <c r="CV113" s="88"/>
      <c r="CW113" s="88"/>
      <c r="CX113" s="88"/>
      <c r="CY113" s="88"/>
      <c r="CZ113" s="89"/>
      <c r="DA113" s="88"/>
      <c r="DB113" s="88"/>
      <c r="DC113" s="88"/>
      <c r="DD113" s="88"/>
      <c r="DE113" s="88"/>
      <c r="DF113" s="88"/>
    </row>
    <row r="114" spans="1:110" s="11" customFormat="1" x14ac:dyDescent="0.3">
      <c r="A114" s="24"/>
      <c r="B114" s="26"/>
      <c r="C114" s="20"/>
      <c r="D114" s="20"/>
      <c r="E114" s="20"/>
      <c r="F114" s="20"/>
      <c r="G114" s="20"/>
      <c r="H114" s="19"/>
      <c r="I114" s="27"/>
      <c r="J114" s="20"/>
      <c r="K114" s="20"/>
      <c r="L114" s="20"/>
      <c r="M114" s="20"/>
      <c r="N114" s="20"/>
      <c r="O114" s="19"/>
      <c r="P114" s="27"/>
      <c r="Q114" s="20"/>
      <c r="R114" s="20"/>
      <c r="S114" s="20"/>
      <c r="T114" s="20"/>
      <c r="U114" s="20"/>
      <c r="V114" s="19"/>
      <c r="W114" s="27"/>
      <c r="X114" s="20"/>
      <c r="Y114" s="20"/>
      <c r="Z114" s="20"/>
      <c r="AA114" s="20"/>
      <c r="AB114" s="20"/>
      <c r="AC114" s="19"/>
      <c r="AD114" s="27"/>
      <c r="AE114" s="20"/>
      <c r="AF114" s="20"/>
      <c r="AG114" s="20"/>
      <c r="AH114" s="20"/>
      <c r="AI114" s="20"/>
      <c r="AJ114" s="19"/>
      <c r="AK114" s="27"/>
      <c r="AL114" s="20"/>
      <c r="AM114" s="20"/>
      <c r="AN114" s="20"/>
      <c r="AO114" s="20"/>
      <c r="AP114" s="20"/>
      <c r="AQ114" s="19"/>
      <c r="AR114" s="20"/>
      <c r="AS114" s="20"/>
      <c r="AT114" s="20"/>
      <c r="AU114" s="20"/>
      <c r="AV114" s="20"/>
      <c r="AW114" s="20"/>
      <c r="AX114" s="19"/>
      <c r="AY114" s="20"/>
      <c r="AZ114" s="20"/>
      <c r="BA114" s="20"/>
      <c r="BB114" s="20"/>
      <c r="BC114" s="20"/>
      <c r="BD114" s="20"/>
      <c r="BE114" s="19"/>
      <c r="BF114" s="27"/>
      <c r="BG114" s="20"/>
      <c r="BH114" s="20"/>
      <c r="BI114" s="20"/>
      <c r="BJ114" s="20"/>
      <c r="BK114" s="20"/>
      <c r="BL114" s="19"/>
      <c r="BM114" s="34"/>
      <c r="BN114" s="21" t="s">
        <v>377</v>
      </c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27"/>
      <c r="CD114" s="20"/>
      <c r="CE114" s="20"/>
      <c r="CF114" s="20"/>
      <c r="CG114" s="20"/>
      <c r="CH114" s="19"/>
      <c r="CI114" s="13"/>
      <c r="CK114" s="57"/>
      <c r="CO114" s="87"/>
      <c r="CP114" s="88"/>
      <c r="CQ114" s="88"/>
      <c r="CR114" s="90" t="s">
        <v>326</v>
      </c>
      <c r="CS114" s="88"/>
      <c r="CT114" s="88"/>
      <c r="CU114" s="88"/>
      <c r="CV114" s="88"/>
      <c r="CW114" s="88"/>
      <c r="CX114" s="88"/>
      <c r="CY114" s="88"/>
      <c r="CZ114" s="89"/>
      <c r="DA114" s="88"/>
      <c r="DB114" s="88"/>
      <c r="DC114" s="88"/>
      <c r="DD114" s="88"/>
      <c r="DE114" s="88"/>
      <c r="DF114" s="88"/>
    </row>
    <row r="115" spans="1:110" s="11" customFormat="1" x14ac:dyDescent="0.3">
      <c r="A115" s="24"/>
      <c r="B115" s="26"/>
      <c r="C115" s="20"/>
      <c r="D115" s="20"/>
      <c r="E115" s="20"/>
      <c r="F115" s="20"/>
      <c r="G115" s="20"/>
      <c r="H115" s="19"/>
      <c r="I115" s="27"/>
      <c r="J115" s="20"/>
      <c r="K115" s="20"/>
      <c r="L115" s="20"/>
      <c r="M115" s="20"/>
      <c r="N115" s="20"/>
      <c r="O115" s="19"/>
      <c r="P115" s="27"/>
      <c r="Q115" s="20"/>
      <c r="R115" s="20"/>
      <c r="S115" s="20"/>
      <c r="T115" s="20"/>
      <c r="U115" s="20"/>
      <c r="V115" s="19"/>
      <c r="W115" s="27"/>
      <c r="X115" s="20"/>
      <c r="Y115" s="20"/>
      <c r="Z115" s="20"/>
      <c r="AA115" s="20"/>
      <c r="AB115" s="20"/>
      <c r="AC115" s="19"/>
      <c r="AD115" s="27"/>
      <c r="AE115" s="20"/>
      <c r="AF115" s="20"/>
      <c r="AG115" s="20"/>
      <c r="AH115" s="20"/>
      <c r="AI115" s="20"/>
      <c r="AJ115" s="19"/>
      <c r="AK115" s="27"/>
      <c r="AL115" s="20"/>
      <c r="AM115" s="20"/>
      <c r="AN115" s="20"/>
      <c r="AO115" s="20"/>
      <c r="AP115" s="20"/>
      <c r="AQ115" s="19"/>
      <c r="AR115" s="20"/>
      <c r="AS115" s="20"/>
      <c r="AT115" s="20"/>
      <c r="AU115" s="20"/>
      <c r="AV115" s="20"/>
      <c r="AW115" s="20"/>
      <c r="AX115" s="19"/>
      <c r="AY115" s="20"/>
      <c r="AZ115" s="20"/>
      <c r="BA115" s="20"/>
      <c r="BB115" s="20"/>
      <c r="BC115" s="20"/>
      <c r="BD115" s="20"/>
      <c r="BE115" s="19"/>
      <c r="BF115" s="27"/>
      <c r="BG115" s="20"/>
      <c r="BH115" s="20"/>
      <c r="BI115" s="20"/>
      <c r="BJ115" s="20"/>
      <c r="BK115" s="20"/>
      <c r="BL115" s="19"/>
      <c r="BM115" s="34"/>
      <c r="BO115" s="8" t="s">
        <v>378</v>
      </c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27"/>
      <c r="CD115" s="20"/>
      <c r="CE115" s="20"/>
      <c r="CF115" s="20"/>
      <c r="CG115" s="20"/>
      <c r="CH115" s="19"/>
      <c r="CI115" s="13"/>
      <c r="CK115" s="57"/>
      <c r="CO115" s="57"/>
      <c r="CZ115" s="58"/>
    </row>
    <row r="116" spans="1:110" s="11" customFormat="1" x14ac:dyDescent="0.3">
      <c r="A116" s="24"/>
      <c r="B116" s="26"/>
      <c r="C116" s="20"/>
      <c r="D116" s="20"/>
      <c r="E116" s="20"/>
      <c r="F116" s="20"/>
      <c r="G116" s="20"/>
      <c r="H116" s="19"/>
      <c r="I116" s="27"/>
      <c r="J116" s="20"/>
      <c r="K116" s="20"/>
      <c r="L116" s="20"/>
      <c r="M116" s="20"/>
      <c r="N116" s="20"/>
      <c r="O116" s="19"/>
      <c r="P116" s="27"/>
      <c r="Q116" s="20"/>
      <c r="R116" s="20"/>
      <c r="S116" s="20"/>
      <c r="T116" s="20"/>
      <c r="U116" s="20"/>
      <c r="V116" s="19"/>
      <c r="W116" s="27"/>
      <c r="X116" s="20"/>
      <c r="Y116" s="20"/>
      <c r="Z116" s="20"/>
      <c r="AA116" s="20"/>
      <c r="AB116" s="20"/>
      <c r="AC116" s="19"/>
      <c r="AD116" s="27"/>
      <c r="AE116" s="20"/>
      <c r="AF116" s="20"/>
      <c r="AG116" s="20"/>
      <c r="AH116" s="20"/>
      <c r="AI116" s="20"/>
      <c r="AJ116" s="19"/>
      <c r="AK116" s="27"/>
      <c r="AL116" s="20"/>
      <c r="AM116" s="20"/>
      <c r="AN116" s="20"/>
      <c r="AO116" s="20"/>
      <c r="AP116" s="20"/>
      <c r="AQ116" s="19"/>
      <c r="AR116" s="20"/>
      <c r="AS116" s="20"/>
      <c r="AT116" s="20"/>
      <c r="AU116" s="20"/>
      <c r="AV116" s="20"/>
      <c r="AW116" s="20"/>
      <c r="AX116" s="19"/>
      <c r="AY116" s="20"/>
      <c r="AZ116" s="20"/>
      <c r="BA116" s="20"/>
      <c r="BB116" s="20"/>
      <c r="BC116" s="20"/>
      <c r="BD116" s="20"/>
      <c r="BE116" s="19"/>
      <c r="BF116" s="27"/>
      <c r="BG116" s="20"/>
      <c r="BH116" s="20"/>
      <c r="BI116" s="20"/>
      <c r="BJ116" s="20"/>
      <c r="BK116" s="20"/>
      <c r="BL116" s="19"/>
      <c r="BM116" s="34"/>
      <c r="BN116" s="8"/>
      <c r="BO116" s="8" t="s">
        <v>328</v>
      </c>
      <c r="BP116" s="8"/>
      <c r="BQ116" s="17"/>
      <c r="BR116" s="17" t="s">
        <v>379</v>
      </c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27"/>
      <c r="CD116" s="20"/>
      <c r="CE116" s="20"/>
      <c r="CF116" s="20"/>
      <c r="CG116" s="20"/>
      <c r="CH116" s="19"/>
      <c r="CI116" s="13"/>
      <c r="CK116" s="57"/>
      <c r="CO116" s="57"/>
      <c r="CZ116" s="58"/>
    </row>
    <row r="117" spans="1:110" s="11" customFormat="1" x14ac:dyDescent="0.3">
      <c r="A117" s="24"/>
      <c r="B117" s="26"/>
      <c r="C117" s="20"/>
      <c r="D117" s="20"/>
      <c r="E117" s="20"/>
      <c r="F117" s="20"/>
      <c r="G117" s="20"/>
      <c r="H117" s="19"/>
      <c r="I117" s="27"/>
      <c r="J117" s="20"/>
      <c r="K117" s="20"/>
      <c r="L117" s="20"/>
      <c r="M117" s="20"/>
      <c r="N117" s="20"/>
      <c r="O117" s="19"/>
      <c r="P117" s="27"/>
      <c r="Q117" s="20"/>
      <c r="R117" s="20"/>
      <c r="S117" s="20"/>
      <c r="T117" s="20"/>
      <c r="U117" s="20"/>
      <c r="V117" s="19"/>
      <c r="W117" s="27"/>
      <c r="X117" s="20"/>
      <c r="Y117" s="20"/>
      <c r="Z117" s="20"/>
      <c r="AA117" s="20"/>
      <c r="AB117" s="20"/>
      <c r="AC117" s="19"/>
      <c r="AD117" s="27"/>
      <c r="AE117" s="20"/>
      <c r="AF117" s="20"/>
      <c r="AG117" s="20"/>
      <c r="AH117" s="20"/>
      <c r="AI117" s="20"/>
      <c r="AJ117" s="19"/>
      <c r="AK117" s="27"/>
      <c r="AL117" s="20"/>
      <c r="AM117" s="20"/>
      <c r="AN117" s="20"/>
      <c r="AO117" s="20"/>
      <c r="AP117" s="20"/>
      <c r="AQ117" s="19"/>
      <c r="AR117" s="20"/>
      <c r="AS117" s="20"/>
      <c r="AT117" s="20"/>
      <c r="AU117" s="20"/>
      <c r="AV117" s="20"/>
      <c r="AW117" s="20"/>
      <c r="AX117" s="19"/>
      <c r="AY117" s="20"/>
      <c r="AZ117" s="20"/>
      <c r="BA117" s="20"/>
      <c r="BB117" s="20"/>
      <c r="BC117" s="20"/>
      <c r="BD117" s="20"/>
      <c r="BE117" s="19"/>
      <c r="BF117" s="27"/>
      <c r="BG117" s="20"/>
      <c r="BH117" s="20"/>
      <c r="BI117" s="20"/>
      <c r="BJ117" s="20"/>
      <c r="BK117" s="20"/>
      <c r="BL117" s="19"/>
      <c r="BM117" s="34"/>
      <c r="BN117" s="17"/>
      <c r="BO117" s="111" t="s">
        <v>373</v>
      </c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27"/>
      <c r="CD117" s="20"/>
      <c r="CE117" s="20"/>
      <c r="CF117" s="20"/>
      <c r="CG117" s="20"/>
      <c r="CH117" s="19"/>
      <c r="CI117" s="13"/>
      <c r="CK117" s="57"/>
      <c r="CO117" s="57"/>
      <c r="CZ117" s="58"/>
    </row>
    <row r="118" spans="1:110" s="11" customFormat="1" ht="13.5" customHeight="1" x14ac:dyDescent="0.3">
      <c r="A118" s="24"/>
      <c r="B118" s="26"/>
      <c r="C118" s="20"/>
      <c r="D118" s="20"/>
      <c r="E118" s="20"/>
      <c r="F118" s="20"/>
      <c r="G118" s="20"/>
      <c r="H118" s="19"/>
      <c r="I118" s="27"/>
      <c r="J118" s="20"/>
      <c r="K118" s="20"/>
      <c r="L118" s="20"/>
      <c r="M118" s="20"/>
      <c r="N118" s="20"/>
      <c r="O118" s="19"/>
      <c r="P118" s="27"/>
      <c r="Q118" s="20"/>
      <c r="R118" s="20"/>
      <c r="S118" s="20"/>
      <c r="T118" s="20"/>
      <c r="U118" s="20"/>
      <c r="V118" s="19"/>
      <c r="W118" s="27"/>
      <c r="X118" s="20"/>
      <c r="Y118" s="20"/>
      <c r="Z118" s="20"/>
      <c r="AA118" s="20"/>
      <c r="AB118" s="20"/>
      <c r="AC118" s="19"/>
      <c r="AD118" s="27"/>
      <c r="AE118" s="20"/>
      <c r="AF118" s="20"/>
      <c r="AG118" s="20"/>
      <c r="AH118" s="20"/>
      <c r="AI118" s="20"/>
      <c r="AJ118" s="19"/>
      <c r="AK118" s="27"/>
      <c r="AL118" s="20"/>
      <c r="AM118" s="20"/>
      <c r="AN118" s="20"/>
      <c r="AO118" s="20"/>
      <c r="AP118" s="20"/>
      <c r="AQ118" s="19"/>
      <c r="AR118" s="20"/>
      <c r="AS118" s="20"/>
      <c r="AT118" s="20"/>
      <c r="AU118" s="20"/>
      <c r="AV118" s="20"/>
      <c r="AW118" s="20"/>
      <c r="AX118" s="19"/>
      <c r="AY118" s="20"/>
      <c r="AZ118" s="20"/>
      <c r="BA118" s="20"/>
      <c r="BB118" s="20"/>
      <c r="BC118" s="20"/>
      <c r="BD118" s="20"/>
      <c r="BE118" s="19"/>
      <c r="BF118" s="27"/>
      <c r="BG118" s="20"/>
      <c r="BH118" s="20"/>
      <c r="BI118" s="20"/>
      <c r="BJ118" s="20"/>
      <c r="BK118" s="20"/>
      <c r="BL118" s="19"/>
      <c r="BM118" s="34"/>
      <c r="BN118" s="17"/>
      <c r="BO118" s="110" t="s">
        <v>374</v>
      </c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73"/>
      <c r="CD118" s="20"/>
      <c r="CE118" s="20"/>
      <c r="CF118" s="20"/>
      <c r="CG118" s="20"/>
      <c r="CH118" s="19"/>
      <c r="CI118" s="13"/>
      <c r="CK118" s="57"/>
      <c r="CO118" s="242"/>
      <c r="CP118" s="243"/>
      <c r="CQ118" s="243"/>
      <c r="CR118" s="243"/>
      <c r="CS118" s="243"/>
      <c r="CT118" s="243"/>
      <c r="CU118" s="243"/>
      <c r="CV118" s="243"/>
      <c r="CW118" s="243"/>
      <c r="CX118" s="243"/>
      <c r="CY118" s="243"/>
      <c r="CZ118" s="244"/>
    </row>
    <row r="119" spans="1:110" s="11" customFormat="1" ht="13.5" customHeight="1" x14ac:dyDescent="0.3">
      <c r="A119" s="24"/>
      <c r="B119" s="26"/>
      <c r="C119" s="20"/>
      <c r="D119" s="20"/>
      <c r="E119" s="20"/>
      <c r="F119" s="20"/>
      <c r="G119" s="20"/>
      <c r="H119" s="19"/>
      <c r="I119" s="27"/>
      <c r="J119" s="20"/>
      <c r="K119" s="20"/>
      <c r="L119" s="20"/>
      <c r="M119" s="20"/>
      <c r="N119" s="20"/>
      <c r="O119" s="19"/>
      <c r="P119" s="27"/>
      <c r="Q119" s="20"/>
      <c r="R119" s="20"/>
      <c r="S119" s="20"/>
      <c r="T119" s="20"/>
      <c r="U119" s="20"/>
      <c r="V119" s="19"/>
      <c r="W119" s="27"/>
      <c r="X119" s="20"/>
      <c r="Y119" s="20"/>
      <c r="Z119" s="20"/>
      <c r="AA119" s="20"/>
      <c r="AB119" s="20"/>
      <c r="AC119" s="19"/>
      <c r="AD119" s="27"/>
      <c r="AE119" s="20"/>
      <c r="AF119" s="20"/>
      <c r="AG119" s="20"/>
      <c r="AH119" s="20"/>
      <c r="AI119" s="20"/>
      <c r="AJ119" s="19"/>
      <c r="AK119" s="27"/>
      <c r="AL119" s="20"/>
      <c r="AM119" s="20"/>
      <c r="AN119" s="20"/>
      <c r="AO119" s="20"/>
      <c r="AP119" s="20"/>
      <c r="AQ119" s="19"/>
      <c r="AR119" s="20"/>
      <c r="AS119" s="20"/>
      <c r="AT119" s="20"/>
      <c r="AU119" s="20"/>
      <c r="AV119" s="20"/>
      <c r="AW119" s="20"/>
      <c r="AX119" s="19"/>
      <c r="AY119" s="20"/>
      <c r="AZ119" s="20"/>
      <c r="BA119" s="20"/>
      <c r="BB119" s="20"/>
      <c r="BC119" s="20"/>
      <c r="BD119" s="20"/>
      <c r="BE119" s="19"/>
      <c r="BF119" s="27"/>
      <c r="BG119" s="20"/>
      <c r="BH119" s="20"/>
      <c r="BI119" s="20"/>
      <c r="BJ119" s="20"/>
      <c r="BK119" s="20"/>
      <c r="BL119" s="19"/>
      <c r="BM119" s="34"/>
      <c r="BN119" s="17"/>
      <c r="BO119" s="110" t="s">
        <v>375</v>
      </c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27"/>
      <c r="CD119" s="83"/>
      <c r="CE119" s="20"/>
      <c r="CF119" s="20"/>
      <c r="CG119" s="20"/>
      <c r="CH119" s="19"/>
      <c r="CI119" s="13"/>
      <c r="CK119" s="57"/>
      <c r="CO119" s="68"/>
      <c r="CP119" s="69"/>
      <c r="CQ119" s="69"/>
      <c r="CR119" s="69"/>
      <c r="CS119" s="69"/>
      <c r="CT119" s="69"/>
      <c r="CU119" s="69"/>
      <c r="CV119" s="69"/>
      <c r="CW119" s="69"/>
      <c r="CX119" s="69"/>
      <c r="CY119" s="69"/>
      <c r="CZ119" s="70"/>
    </row>
    <row r="120" spans="1:110" s="11" customFormat="1" ht="13.5" customHeight="1" x14ac:dyDescent="0.3">
      <c r="A120" s="24"/>
      <c r="B120" s="26"/>
      <c r="C120" s="20"/>
      <c r="D120" s="20"/>
      <c r="E120" s="20"/>
      <c r="F120" s="20"/>
      <c r="G120" s="20"/>
      <c r="H120" s="19"/>
      <c r="I120" s="27"/>
      <c r="J120" s="20"/>
      <c r="K120" s="20"/>
      <c r="L120" s="20"/>
      <c r="M120" s="20"/>
      <c r="N120" s="20"/>
      <c r="O120" s="19"/>
      <c r="P120" s="27"/>
      <c r="Q120" s="20"/>
      <c r="R120" s="20"/>
      <c r="S120" s="20"/>
      <c r="T120" s="20"/>
      <c r="U120" s="20"/>
      <c r="V120" s="19"/>
      <c r="W120" s="27"/>
      <c r="X120" s="20"/>
      <c r="Y120" s="20"/>
      <c r="Z120" s="20"/>
      <c r="AA120" s="20"/>
      <c r="AB120" s="20"/>
      <c r="AC120" s="19"/>
      <c r="AD120" s="27"/>
      <c r="AE120" s="20"/>
      <c r="AF120" s="20"/>
      <c r="AG120" s="20"/>
      <c r="AH120" s="20"/>
      <c r="AI120" s="20"/>
      <c r="AJ120" s="19"/>
      <c r="AK120" s="27"/>
      <c r="AL120" s="20"/>
      <c r="AM120" s="20"/>
      <c r="AN120" s="20"/>
      <c r="AO120" s="20"/>
      <c r="AP120" s="20"/>
      <c r="AQ120" s="19"/>
      <c r="AR120" s="20"/>
      <c r="AS120" s="20"/>
      <c r="AT120" s="20"/>
      <c r="AU120" s="20"/>
      <c r="AV120" s="20"/>
      <c r="AW120" s="20"/>
      <c r="AX120" s="19"/>
      <c r="AY120" s="20"/>
      <c r="AZ120" s="20"/>
      <c r="BA120" s="20"/>
      <c r="BB120" s="20"/>
      <c r="BC120" s="20"/>
      <c r="BD120" s="20"/>
      <c r="BE120" s="19"/>
      <c r="BF120" s="27"/>
      <c r="BG120" s="20"/>
      <c r="BH120" s="20"/>
      <c r="BI120" s="20"/>
      <c r="BJ120" s="20"/>
      <c r="BK120" s="20"/>
      <c r="BL120" s="19"/>
      <c r="BM120" s="34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73" t="s">
        <v>253</v>
      </c>
      <c r="CD120" s="20"/>
      <c r="CE120" s="20"/>
      <c r="CF120" s="20"/>
      <c r="CG120" s="20"/>
      <c r="CH120" s="19"/>
      <c r="CI120" s="13"/>
      <c r="CK120" s="57"/>
      <c r="CO120" s="68"/>
      <c r="CP120" s="69"/>
      <c r="CQ120" s="69"/>
      <c r="CR120" s="69"/>
      <c r="CS120" s="69"/>
      <c r="CT120" s="69"/>
      <c r="CU120" s="69"/>
      <c r="CV120" s="69"/>
      <c r="CW120" s="69"/>
      <c r="CX120" s="69"/>
      <c r="CY120" s="69"/>
      <c r="CZ120" s="70"/>
    </row>
    <row r="121" spans="1:110" s="11" customFormat="1" x14ac:dyDescent="0.3">
      <c r="A121" s="24"/>
      <c r="B121" s="26"/>
      <c r="C121" s="20"/>
      <c r="D121" s="20"/>
      <c r="E121" s="20"/>
      <c r="F121" s="20"/>
      <c r="G121" s="20"/>
      <c r="H121" s="19"/>
      <c r="I121" s="27"/>
      <c r="J121" s="20"/>
      <c r="K121" s="20"/>
      <c r="L121" s="20"/>
      <c r="M121" s="20"/>
      <c r="N121" s="20"/>
      <c r="O121" s="19"/>
      <c r="P121" s="27"/>
      <c r="Q121" s="20"/>
      <c r="R121" s="20"/>
      <c r="S121" s="20"/>
      <c r="T121" s="20"/>
      <c r="U121" s="20"/>
      <c r="V121" s="19"/>
      <c r="W121" s="27"/>
      <c r="X121" s="20"/>
      <c r="Y121" s="20"/>
      <c r="Z121" s="20"/>
      <c r="AA121" s="20"/>
      <c r="AB121" s="20"/>
      <c r="AC121" s="19"/>
      <c r="AD121" s="27"/>
      <c r="AE121" s="20"/>
      <c r="AF121" s="20"/>
      <c r="AG121" s="20"/>
      <c r="AH121" s="20"/>
      <c r="AI121" s="20"/>
      <c r="AJ121" s="19"/>
      <c r="AK121" s="27"/>
      <c r="AL121" s="20"/>
      <c r="AM121" s="20"/>
      <c r="AN121" s="20"/>
      <c r="AO121" s="20"/>
      <c r="AP121" s="20"/>
      <c r="AQ121" s="19"/>
      <c r="AR121" s="20"/>
      <c r="AS121" s="20"/>
      <c r="AT121" s="20"/>
      <c r="AU121" s="20"/>
      <c r="AV121" s="20"/>
      <c r="AW121" s="20"/>
      <c r="AX121" s="19"/>
      <c r="AY121" s="20"/>
      <c r="AZ121" s="20"/>
      <c r="BA121" s="20"/>
      <c r="BB121" s="20"/>
      <c r="BC121" s="20"/>
      <c r="BD121" s="20"/>
      <c r="BE121" s="19"/>
      <c r="BF121" s="27"/>
      <c r="BG121" s="20"/>
      <c r="BH121" s="20"/>
      <c r="BI121" s="20"/>
      <c r="BJ121" s="20"/>
      <c r="BK121" s="20"/>
      <c r="BL121" s="19"/>
      <c r="BM121" s="34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27"/>
      <c r="CD121" s="83" t="s">
        <v>136</v>
      </c>
      <c r="CE121" s="20"/>
      <c r="CF121" s="20"/>
      <c r="CG121" s="20"/>
      <c r="CH121" s="19"/>
      <c r="CI121" s="13"/>
      <c r="CK121" s="57"/>
      <c r="CO121" s="242"/>
      <c r="CP121" s="243"/>
      <c r="CQ121" s="243"/>
      <c r="CR121" s="243"/>
      <c r="CS121" s="243"/>
      <c r="CT121" s="243"/>
      <c r="CU121" s="243"/>
      <c r="CV121" s="243"/>
      <c r="CW121" s="243"/>
      <c r="CX121" s="243"/>
      <c r="CY121" s="243"/>
      <c r="CZ121" s="244"/>
    </row>
    <row r="122" spans="1:110" s="11" customFormat="1" x14ac:dyDescent="0.3">
      <c r="A122" s="24"/>
      <c r="B122" s="26"/>
      <c r="C122" s="20"/>
      <c r="D122" s="20"/>
      <c r="E122" s="20"/>
      <c r="F122" s="20"/>
      <c r="G122" s="20"/>
      <c r="H122" s="19"/>
      <c r="I122" s="27"/>
      <c r="J122" s="20"/>
      <c r="K122" s="20"/>
      <c r="L122" s="20"/>
      <c r="M122" s="20"/>
      <c r="N122" s="20"/>
      <c r="O122" s="19"/>
      <c r="P122" s="27"/>
      <c r="Q122" s="20"/>
      <c r="R122" s="20"/>
      <c r="S122" s="20"/>
      <c r="T122" s="20"/>
      <c r="U122" s="20"/>
      <c r="V122" s="19"/>
      <c r="W122" s="27"/>
      <c r="X122" s="20"/>
      <c r="Y122" s="20"/>
      <c r="Z122" s="20"/>
      <c r="AA122" s="20"/>
      <c r="AB122" s="20"/>
      <c r="AC122" s="19"/>
      <c r="AD122" s="27"/>
      <c r="AE122" s="20"/>
      <c r="AF122" s="20"/>
      <c r="AG122" s="20"/>
      <c r="AH122" s="20"/>
      <c r="AI122" s="20"/>
      <c r="AJ122" s="19"/>
      <c r="AK122" s="27"/>
      <c r="AL122" s="20"/>
      <c r="AM122" s="20"/>
      <c r="AN122" s="20"/>
      <c r="AO122" s="20"/>
      <c r="AP122" s="20"/>
      <c r="AQ122" s="19"/>
      <c r="AR122" s="20"/>
      <c r="AS122" s="20"/>
      <c r="AT122" s="20"/>
      <c r="AU122" s="20"/>
      <c r="AV122" s="20"/>
      <c r="AW122" s="20"/>
      <c r="AX122" s="19"/>
      <c r="AY122" s="20"/>
      <c r="AZ122" s="20"/>
      <c r="BA122" s="20"/>
      <c r="BB122" s="20"/>
      <c r="BC122" s="20"/>
      <c r="BD122" s="20"/>
      <c r="BE122" s="19"/>
      <c r="BF122" s="27"/>
      <c r="BG122" s="20"/>
      <c r="BH122" s="20"/>
      <c r="BI122" s="20"/>
      <c r="BJ122" s="20"/>
      <c r="BK122" s="20"/>
      <c r="BL122" s="19"/>
      <c r="BM122" s="34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27"/>
      <c r="CD122" s="83" t="s">
        <v>137</v>
      </c>
      <c r="CE122" s="20"/>
      <c r="CF122" s="20"/>
      <c r="CG122" s="20"/>
      <c r="CH122" s="19"/>
      <c r="CI122" s="13"/>
      <c r="CK122" s="57"/>
      <c r="CO122" s="57"/>
      <c r="CZ122" s="58"/>
    </row>
    <row r="123" spans="1:110" s="11" customFormat="1" x14ac:dyDescent="0.3">
      <c r="A123" s="24"/>
      <c r="B123" s="26"/>
      <c r="C123" s="20"/>
      <c r="D123" s="20"/>
      <c r="E123" s="20"/>
      <c r="F123" s="20"/>
      <c r="G123" s="20"/>
      <c r="H123" s="19"/>
      <c r="I123" s="27"/>
      <c r="J123" s="20"/>
      <c r="K123" s="20"/>
      <c r="L123" s="20"/>
      <c r="M123" s="20"/>
      <c r="N123" s="20"/>
      <c r="O123" s="19"/>
      <c r="P123" s="27"/>
      <c r="Q123" s="20"/>
      <c r="R123" s="20"/>
      <c r="S123" s="20"/>
      <c r="T123" s="20"/>
      <c r="U123" s="20"/>
      <c r="V123" s="19"/>
      <c r="W123" s="27"/>
      <c r="X123" s="20"/>
      <c r="Y123" s="20"/>
      <c r="Z123" s="20"/>
      <c r="AA123" s="20"/>
      <c r="AB123" s="20"/>
      <c r="AC123" s="19"/>
      <c r="AD123" s="27"/>
      <c r="AE123" s="20"/>
      <c r="AF123" s="20"/>
      <c r="AG123" s="20"/>
      <c r="AH123" s="20"/>
      <c r="AI123" s="20"/>
      <c r="AJ123" s="19"/>
      <c r="AK123" s="27"/>
      <c r="AL123" s="20"/>
      <c r="AM123" s="20"/>
      <c r="AN123" s="20"/>
      <c r="AO123" s="20"/>
      <c r="AP123" s="20"/>
      <c r="AQ123" s="19"/>
      <c r="AR123" s="20"/>
      <c r="AS123" s="20"/>
      <c r="AT123" s="20"/>
      <c r="AU123" s="20"/>
      <c r="AV123" s="20"/>
      <c r="AW123" s="20"/>
      <c r="AX123" s="19"/>
      <c r="AY123" s="20"/>
      <c r="AZ123" s="20"/>
      <c r="BA123" s="20"/>
      <c r="BB123" s="20"/>
      <c r="BC123" s="20"/>
      <c r="BD123" s="20"/>
      <c r="BE123" s="19"/>
      <c r="BF123" s="27"/>
      <c r="BG123" s="20"/>
      <c r="BH123" s="20"/>
      <c r="BI123" s="20"/>
      <c r="BJ123" s="20"/>
      <c r="BK123" s="20"/>
      <c r="BL123" s="19"/>
      <c r="BM123" s="34"/>
      <c r="BN123" s="21" t="s">
        <v>329</v>
      </c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27"/>
      <c r="CD123" s="20"/>
      <c r="CE123" s="20"/>
      <c r="CF123" s="20"/>
      <c r="CG123" s="20"/>
      <c r="CH123" s="19"/>
      <c r="CI123" s="13"/>
      <c r="CK123" s="57"/>
      <c r="CO123" s="57"/>
      <c r="CZ123" s="58"/>
    </row>
    <row r="124" spans="1:110" s="11" customFormat="1" x14ac:dyDescent="0.3">
      <c r="A124" s="24"/>
      <c r="B124" s="26"/>
      <c r="C124" s="20"/>
      <c r="D124" s="20"/>
      <c r="E124" s="20"/>
      <c r="F124" s="20"/>
      <c r="G124" s="20"/>
      <c r="H124" s="19"/>
      <c r="I124" s="27"/>
      <c r="J124" s="20"/>
      <c r="K124" s="20"/>
      <c r="L124" s="20"/>
      <c r="M124" s="20"/>
      <c r="N124" s="20"/>
      <c r="O124" s="19"/>
      <c r="P124" s="27"/>
      <c r="Q124" s="20"/>
      <c r="R124" s="20"/>
      <c r="S124" s="20"/>
      <c r="T124" s="20"/>
      <c r="U124" s="20"/>
      <c r="V124" s="19"/>
      <c r="W124" s="27"/>
      <c r="X124" s="20"/>
      <c r="Y124" s="20"/>
      <c r="Z124" s="20"/>
      <c r="AA124" s="20"/>
      <c r="AB124" s="20"/>
      <c r="AC124" s="19"/>
      <c r="AD124" s="27"/>
      <c r="AE124" s="20"/>
      <c r="AF124" s="20"/>
      <c r="AG124" s="20"/>
      <c r="AH124" s="20"/>
      <c r="AI124" s="20"/>
      <c r="AJ124" s="19"/>
      <c r="AK124" s="27"/>
      <c r="AL124" s="20"/>
      <c r="AM124" s="20"/>
      <c r="AN124" s="20"/>
      <c r="AO124" s="20"/>
      <c r="AP124" s="20"/>
      <c r="AQ124" s="19"/>
      <c r="AR124" s="20"/>
      <c r="AS124" s="20"/>
      <c r="AT124" s="20"/>
      <c r="AU124" s="20"/>
      <c r="AV124" s="20"/>
      <c r="AW124" s="20"/>
      <c r="AX124" s="19"/>
      <c r="AY124" s="20"/>
      <c r="AZ124" s="20"/>
      <c r="BA124" s="20"/>
      <c r="BB124" s="20"/>
      <c r="BC124" s="20"/>
      <c r="BD124" s="20"/>
      <c r="BE124" s="19"/>
      <c r="BF124" s="29"/>
      <c r="BG124"/>
      <c r="BH124"/>
      <c r="BI124"/>
      <c r="BJ124"/>
      <c r="BK124"/>
      <c r="BL124" s="18"/>
      <c r="BM124" s="34"/>
      <c r="BO124" s="8" t="s">
        <v>330</v>
      </c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27"/>
      <c r="CD124" s="20"/>
      <c r="CE124" s="20"/>
      <c r="CF124" s="20"/>
      <c r="CG124" s="20"/>
      <c r="CH124" s="19"/>
      <c r="CI124" s="13"/>
      <c r="CK124" s="57"/>
      <c r="CO124" s="57"/>
      <c r="CZ124" s="58"/>
    </row>
    <row r="125" spans="1:110" s="11" customFormat="1" x14ac:dyDescent="0.3">
      <c r="A125" s="24"/>
      <c r="B125" s="26"/>
      <c r="C125" s="20"/>
      <c r="D125" s="20"/>
      <c r="E125" s="20"/>
      <c r="F125" s="20"/>
      <c r="G125" s="20"/>
      <c r="H125" s="19"/>
      <c r="I125" s="27"/>
      <c r="J125" s="20"/>
      <c r="K125" s="20"/>
      <c r="L125" s="20"/>
      <c r="M125" s="20"/>
      <c r="N125" s="20"/>
      <c r="O125" s="19"/>
      <c r="P125" s="27"/>
      <c r="Q125" s="20"/>
      <c r="R125" s="20"/>
      <c r="S125" s="20"/>
      <c r="T125" s="20"/>
      <c r="U125" s="20"/>
      <c r="V125" s="19"/>
      <c r="W125" s="27"/>
      <c r="X125" s="20"/>
      <c r="Y125" s="20"/>
      <c r="Z125" s="20"/>
      <c r="AA125" s="20"/>
      <c r="AB125" s="20"/>
      <c r="AC125" s="19"/>
      <c r="AD125" s="27"/>
      <c r="AE125" s="20"/>
      <c r="AF125" s="20"/>
      <c r="AG125" s="20"/>
      <c r="AH125" s="20"/>
      <c r="AI125" s="20"/>
      <c r="AJ125" s="19"/>
      <c r="AK125" s="27"/>
      <c r="AL125" s="20"/>
      <c r="AM125" s="20"/>
      <c r="AN125" s="20"/>
      <c r="AO125" s="20"/>
      <c r="AP125" s="20"/>
      <c r="AQ125" s="19"/>
      <c r="AR125" s="20"/>
      <c r="AS125" s="20"/>
      <c r="AT125" s="20"/>
      <c r="AU125" s="20"/>
      <c r="AV125" s="20"/>
      <c r="AW125" s="20"/>
      <c r="AX125" s="19"/>
      <c r="AY125" s="20"/>
      <c r="AZ125" s="20"/>
      <c r="BA125" s="20"/>
      <c r="BB125" s="20"/>
      <c r="BC125" s="20"/>
      <c r="BD125" s="20"/>
      <c r="BE125" s="19"/>
      <c r="BF125" s="30"/>
      <c r="BL125" s="13"/>
      <c r="BM125" s="34"/>
      <c r="BN125" s="21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27"/>
      <c r="CD125" s="20"/>
      <c r="CE125" s="20"/>
      <c r="CF125" s="20"/>
      <c r="CG125" s="20"/>
      <c r="CH125" s="19"/>
      <c r="CI125" s="13"/>
      <c r="CK125" s="57"/>
      <c r="CO125" s="57"/>
      <c r="CZ125" s="58"/>
    </row>
    <row r="126" spans="1:110" s="11" customFormat="1" x14ac:dyDescent="0.3">
      <c r="A126" s="24"/>
      <c r="B126" s="26"/>
      <c r="C126" s="20"/>
      <c r="D126" s="20"/>
      <c r="E126" s="20"/>
      <c r="F126" s="20"/>
      <c r="G126" s="20"/>
      <c r="H126" s="19"/>
      <c r="I126" s="27"/>
      <c r="J126" s="20"/>
      <c r="K126" s="20"/>
      <c r="L126" s="20"/>
      <c r="M126" s="20"/>
      <c r="N126" s="20"/>
      <c r="O126" s="19"/>
      <c r="P126" s="27"/>
      <c r="Q126" s="20"/>
      <c r="R126" s="20"/>
      <c r="S126" s="20"/>
      <c r="T126" s="20"/>
      <c r="U126" s="20"/>
      <c r="V126" s="19"/>
      <c r="W126" s="27"/>
      <c r="X126" s="20"/>
      <c r="Y126" s="20"/>
      <c r="Z126" s="20"/>
      <c r="AA126" s="20"/>
      <c r="AB126" s="20"/>
      <c r="AC126" s="19"/>
      <c r="AD126" s="27"/>
      <c r="AE126" s="20"/>
      <c r="AF126" s="20"/>
      <c r="AG126" s="20"/>
      <c r="AH126" s="20"/>
      <c r="AI126" s="20"/>
      <c r="AJ126" s="19"/>
      <c r="AK126" s="27"/>
      <c r="AL126" s="20"/>
      <c r="AM126" s="20"/>
      <c r="AN126" s="20"/>
      <c r="AO126" s="20"/>
      <c r="AP126" s="20"/>
      <c r="AQ126" s="19"/>
      <c r="AR126" s="20"/>
      <c r="AS126" s="20"/>
      <c r="AT126" s="20"/>
      <c r="AU126" s="20"/>
      <c r="AV126" s="20"/>
      <c r="AW126" s="20"/>
      <c r="AX126" s="19"/>
      <c r="AY126" s="20"/>
      <c r="AZ126" s="20"/>
      <c r="BA126" s="20"/>
      <c r="BB126" s="20"/>
      <c r="BC126" s="20"/>
      <c r="BD126" s="20"/>
      <c r="BE126" s="19"/>
      <c r="BF126" s="23"/>
      <c r="BG126" s="8"/>
      <c r="BH126" s="8"/>
      <c r="BI126" s="8"/>
      <c r="BJ126" s="8"/>
      <c r="BK126" s="8"/>
      <c r="BL126" s="14"/>
      <c r="BM126" s="34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27"/>
      <c r="CD126" s="20"/>
      <c r="CE126" s="20"/>
      <c r="CF126" s="20"/>
      <c r="CG126" s="20"/>
      <c r="CH126" s="19"/>
      <c r="CI126" s="14"/>
      <c r="CK126" s="57"/>
      <c r="CO126" s="57"/>
      <c r="CZ126" s="58"/>
    </row>
    <row r="127" spans="1:110" s="11" customFormat="1" x14ac:dyDescent="0.3">
      <c r="A127" s="24"/>
      <c r="B127" s="26"/>
      <c r="C127" s="20"/>
      <c r="D127" s="20"/>
      <c r="E127" s="20"/>
      <c r="F127" s="20"/>
      <c r="G127" s="20"/>
      <c r="H127" s="19"/>
      <c r="I127" s="27"/>
      <c r="J127" s="20"/>
      <c r="K127" s="20"/>
      <c r="L127" s="20"/>
      <c r="M127" s="20"/>
      <c r="N127" s="20"/>
      <c r="O127" s="19"/>
      <c r="P127" s="27"/>
      <c r="Q127" s="20"/>
      <c r="R127" s="20"/>
      <c r="S127" s="20"/>
      <c r="T127" s="20"/>
      <c r="U127" s="20"/>
      <c r="V127" s="19"/>
      <c r="W127" s="27"/>
      <c r="X127" s="20"/>
      <c r="Y127" s="20"/>
      <c r="Z127" s="20"/>
      <c r="AA127" s="20"/>
      <c r="AB127" s="20"/>
      <c r="AC127" s="19"/>
      <c r="AD127" s="27"/>
      <c r="AE127" s="20"/>
      <c r="AF127" s="20"/>
      <c r="AG127" s="20"/>
      <c r="AH127" s="20"/>
      <c r="AI127" s="20"/>
      <c r="AJ127" s="19"/>
      <c r="AK127" s="27"/>
      <c r="AL127" s="20"/>
      <c r="AM127" s="20"/>
      <c r="AN127" s="20"/>
      <c r="AO127" s="20"/>
      <c r="AP127" s="20"/>
      <c r="AQ127" s="19"/>
      <c r="AR127" s="20"/>
      <c r="AS127" s="20"/>
      <c r="AT127" s="20"/>
      <c r="AU127" s="20"/>
      <c r="AV127" s="20"/>
      <c r="AW127" s="20"/>
      <c r="AX127" s="19"/>
      <c r="AY127" s="20"/>
      <c r="AZ127" s="20"/>
      <c r="BA127" s="20"/>
      <c r="BB127" s="20"/>
      <c r="BC127" s="20"/>
      <c r="BD127" s="20"/>
      <c r="BE127" s="19"/>
      <c r="BF127" s="23"/>
      <c r="BG127" s="8"/>
      <c r="BH127" s="8"/>
      <c r="BI127" s="8"/>
      <c r="BJ127" s="8"/>
      <c r="BK127" s="8"/>
      <c r="BL127" s="14"/>
      <c r="BM127" s="34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27"/>
      <c r="CD127" s="20"/>
      <c r="CE127" s="20"/>
      <c r="CF127" s="20"/>
      <c r="CG127" s="20"/>
      <c r="CH127" s="19"/>
      <c r="CI127" s="14"/>
      <c r="CK127" s="57"/>
      <c r="CO127" s="57"/>
      <c r="CZ127" s="58"/>
    </row>
    <row r="128" spans="1:110" s="11" customFormat="1" x14ac:dyDescent="0.3">
      <c r="A128" s="24"/>
      <c r="B128" s="26"/>
      <c r="C128" s="20"/>
      <c r="D128" s="20"/>
      <c r="E128" s="20"/>
      <c r="F128" s="20"/>
      <c r="G128" s="20"/>
      <c r="H128" s="19"/>
      <c r="I128" s="27"/>
      <c r="J128" s="20"/>
      <c r="K128" s="20"/>
      <c r="L128" s="20"/>
      <c r="M128" s="20"/>
      <c r="N128" s="20"/>
      <c r="O128" s="19"/>
      <c r="P128" s="27"/>
      <c r="Q128" s="20"/>
      <c r="R128" s="20"/>
      <c r="S128" s="20"/>
      <c r="T128" s="20"/>
      <c r="U128" s="20"/>
      <c r="V128" s="19"/>
      <c r="W128" s="27"/>
      <c r="X128" s="20"/>
      <c r="Y128" s="20"/>
      <c r="Z128" s="20"/>
      <c r="AA128" s="20"/>
      <c r="AB128" s="20"/>
      <c r="AC128" s="19"/>
      <c r="AD128" s="27"/>
      <c r="AE128" s="20"/>
      <c r="AF128" s="20"/>
      <c r="AG128" s="20"/>
      <c r="AH128" s="20"/>
      <c r="AI128" s="20"/>
      <c r="AJ128" s="19"/>
      <c r="AK128" s="27"/>
      <c r="AL128" s="20"/>
      <c r="AM128" s="20"/>
      <c r="AN128" s="20"/>
      <c r="AO128" s="20"/>
      <c r="AP128" s="20"/>
      <c r="AQ128" s="19"/>
      <c r="AR128" s="20"/>
      <c r="AS128" s="20"/>
      <c r="AT128" s="20"/>
      <c r="AU128" s="20"/>
      <c r="AV128" s="20"/>
      <c r="AW128" s="20"/>
      <c r="AX128" s="19"/>
      <c r="AY128" s="20"/>
      <c r="AZ128" s="20"/>
      <c r="BA128" s="20"/>
      <c r="BB128" s="20"/>
      <c r="BC128" s="20"/>
      <c r="BD128" s="20"/>
      <c r="BE128" s="19"/>
      <c r="BF128" s="23"/>
      <c r="BG128" s="8"/>
      <c r="BH128" s="8"/>
      <c r="BI128" s="8"/>
      <c r="BJ128" s="8"/>
      <c r="BK128" s="8"/>
      <c r="BL128" s="14"/>
      <c r="BM128" s="34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27"/>
      <c r="CD128" s="20"/>
      <c r="CE128" s="20"/>
      <c r="CF128" s="20"/>
      <c r="CG128" s="20"/>
      <c r="CH128" s="19"/>
      <c r="CI128" s="14"/>
      <c r="CK128" s="57"/>
      <c r="CO128" s="57"/>
      <c r="CZ128" s="58"/>
    </row>
    <row r="129" spans="1:104" s="11" customFormat="1" x14ac:dyDescent="0.3">
      <c r="A129" s="24"/>
      <c r="B129" s="26"/>
      <c r="C129" s="20"/>
      <c r="D129" s="20"/>
      <c r="E129" s="20"/>
      <c r="F129" s="20"/>
      <c r="G129" s="20"/>
      <c r="H129" s="19"/>
      <c r="I129" s="27"/>
      <c r="J129" s="20"/>
      <c r="K129" s="20"/>
      <c r="L129" s="20"/>
      <c r="M129" s="20"/>
      <c r="N129" s="20"/>
      <c r="O129" s="19"/>
      <c r="P129" s="27"/>
      <c r="Q129" s="20"/>
      <c r="R129" s="20"/>
      <c r="S129" s="20"/>
      <c r="T129" s="20"/>
      <c r="U129" s="20"/>
      <c r="V129" s="19"/>
      <c r="W129" s="27"/>
      <c r="X129" s="20"/>
      <c r="Y129" s="20"/>
      <c r="Z129" s="20"/>
      <c r="AA129" s="20"/>
      <c r="AB129" s="20"/>
      <c r="AC129" s="19"/>
      <c r="AD129" s="27"/>
      <c r="AE129" s="20"/>
      <c r="AF129" s="20"/>
      <c r="AG129" s="20"/>
      <c r="AH129" s="20"/>
      <c r="AI129" s="20"/>
      <c r="AJ129" s="19"/>
      <c r="AK129" s="27"/>
      <c r="AL129" s="20"/>
      <c r="AM129" s="20"/>
      <c r="AN129" s="20"/>
      <c r="AO129" s="20"/>
      <c r="AP129" s="20"/>
      <c r="AQ129" s="19"/>
      <c r="AR129" s="20"/>
      <c r="AS129" s="20"/>
      <c r="AT129" s="20"/>
      <c r="AU129" s="20"/>
      <c r="AV129" s="20"/>
      <c r="AW129" s="20"/>
      <c r="AX129" s="19"/>
      <c r="AY129" s="20"/>
      <c r="AZ129" s="20"/>
      <c r="BA129" s="20"/>
      <c r="BB129" s="20"/>
      <c r="BC129" s="20"/>
      <c r="BD129" s="20"/>
      <c r="BE129" s="19"/>
      <c r="BF129" s="23"/>
      <c r="BG129" s="8"/>
      <c r="BH129" s="8"/>
      <c r="BI129" s="8"/>
      <c r="BJ129" s="8"/>
      <c r="BK129" s="8"/>
      <c r="BL129" s="14"/>
      <c r="BM129" s="34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27"/>
      <c r="CD129" s="20"/>
      <c r="CE129" s="20"/>
      <c r="CF129" s="20"/>
      <c r="CG129" s="20"/>
      <c r="CH129" s="19"/>
      <c r="CI129" s="14"/>
      <c r="CK129" s="57"/>
      <c r="CO129" s="57"/>
      <c r="CZ129" s="58"/>
    </row>
    <row r="130" spans="1:104" s="11" customFormat="1" x14ac:dyDescent="0.3">
      <c r="A130" s="24"/>
      <c r="B130" s="26"/>
      <c r="C130" s="20"/>
      <c r="D130" s="20"/>
      <c r="E130" s="20"/>
      <c r="F130" s="20"/>
      <c r="G130" s="20"/>
      <c r="H130" s="19"/>
      <c r="I130" s="27"/>
      <c r="J130" s="20"/>
      <c r="K130" s="20"/>
      <c r="L130" s="20"/>
      <c r="M130" s="20"/>
      <c r="N130" s="20"/>
      <c r="O130" s="19"/>
      <c r="P130" s="27"/>
      <c r="Q130" s="20"/>
      <c r="R130" s="20"/>
      <c r="S130" s="20"/>
      <c r="T130" s="20"/>
      <c r="U130" s="20"/>
      <c r="V130" s="19"/>
      <c r="W130" s="27"/>
      <c r="X130" s="20"/>
      <c r="Y130" s="20"/>
      <c r="Z130" s="20"/>
      <c r="AA130" s="20"/>
      <c r="AB130" s="20"/>
      <c r="AC130" s="19"/>
      <c r="AD130" s="27"/>
      <c r="AE130" s="20"/>
      <c r="AF130" s="20"/>
      <c r="AG130" s="20"/>
      <c r="AH130" s="20"/>
      <c r="AI130" s="20"/>
      <c r="AJ130" s="19"/>
      <c r="AK130" s="27"/>
      <c r="AL130" s="20"/>
      <c r="AM130" s="20"/>
      <c r="AN130" s="20"/>
      <c r="AO130" s="20"/>
      <c r="AP130" s="20"/>
      <c r="AQ130" s="19"/>
      <c r="AR130" s="20"/>
      <c r="AS130" s="20"/>
      <c r="AT130" s="20"/>
      <c r="AU130" s="20"/>
      <c r="AV130" s="20"/>
      <c r="AW130" s="20"/>
      <c r="AX130" s="19"/>
      <c r="AY130" s="20"/>
      <c r="AZ130" s="20"/>
      <c r="BA130" s="20"/>
      <c r="BB130" s="20"/>
      <c r="BC130" s="20"/>
      <c r="BD130" s="20"/>
      <c r="BE130" s="19"/>
      <c r="BF130" s="23"/>
      <c r="BG130" s="8"/>
      <c r="BH130" s="8"/>
      <c r="BI130" s="8"/>
      <c r="BJ130" s="8"/>
      <c r="BK130" s="8"/>
      <c r="BL130" s="14"/>
      <c r="BM130" s="34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27"/>
      <c r="CD130" s="20"/>
      <c r="CE130" s="20"/>
      <c r="CF130" s="20"/>
      <c r="CG130" s="20"/>
      <c r="CH130" s="19"/>
      <c r="CI130" s="14"/>
      <c r="CK130" s="57"/>
      <c r="CO130" s="57"/>
      <c r="CZ130" s="58"/>
    </row>
    <row r="131" spans="1:104" s="11" customFormat="1" x14ac:dyDescent="0.3">
      <c r="A131" s="24"/>
      <c r="B131" s="26"/>
      <c r="C131" s="20"/>
      <c r="D131" s="20"/>
      <c r="E131" s="20"/>
      <c r="F131" s="20"/>
      <c r="G131" s="20"/>
      <c r="H131" s="19"/>
      <c r="I131" s="27"/>
      <c r="J131" s="20"/>
      <c r="K131" s="20"/>
      <c r="L131" s="20"/>
      <c r="M131" s="20"/>
      <c r="N131" s="20"/>
      <c r="O131" s="19"/>
      <c r="P131" s="27"/>
      <c r="Q131" s="20"/>
      <c r="R131" s="20"/>
      <c r="S131" s="20"/>
      <c r="T131" s="20"/>
      <c r="U131" s="20"/>
      <c r="V131" s="19"/>
      <c r="W131" s="27"/>
      <c r="X131" s="20"/>
      <c r="Y131" s="20"/>
      <c r="Z131" s="20"/>
      <c r="AA131" s="20"/>
      <c r="AB131" s="20"/>
      <c r="AC131" s="19"/>
      <c r="AD131" s="27"/>
      <c r="AE131" s="20"/>
      <c r="AF131" s="20"/>
      <c r="AG131" s="20"/>
      <c r="AH131" s="20"/>
      <c r="AI131" s="20"/>
      <c r="AJ131" s="19"/>
      <c r="AK131" s="27"/>
      <c r="AL131" s="20"/>
      <c r="AM131" s="20"/>
      <c r="AN131" s="20"/>
      <c r="AO131" s="20"/>
      <c r="AP131" s="20"/>
      <c r="AQ131" s="19"/>
      <c r="AR131" s="20"/>
      <c r="AS131" s="20"/>
      <c r="AT131" s="20"/>
      <c r="AU131" s="20"/>
      <c r="AV131" s="20"/>
      <c r="AW131" s="20"/>
      <c r="AX131" s="19"/>
      <c r="AY131" s="20"/>
      <c r="AZ131" s="20"/>
      <c r="BA131" s="20"/>
      <c r="BB131" s="20"/>
      <c r="BC131" s="20"/>
      <c r="BD131" s="20"/>
      <c r="BE131" s="19"/>
      <c r="BF131" s="23"/>
      <c r="BG131" s="8"/>
      <c r="BH131" s="8"/>
      <c r="BI131" s="8"/>
      <c r="BJ131" s="8"/>
      <c r="BK131" s="8"/>
      <c r="BL131" s="14"/>
      <c r="BM131" s="34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27"/>
      <c r="CD131" s="20"/>
      <c r="CE131" s="20"/>
      <c r="CF131" s="20"/>
      <c r="CG131" s="20"/>
      <c r="CH131" s="19"/>
      <c r="CI131" s="14"/>
      <c r="CK131" s="57"/>
      <c r="CO131" s="57"/>
      <c r="CZ131" s="58"/>
    </row>
    <row r="132" spans="1:104" s="11" customFormat="1" x14ac:dyDescent="0.3">
      <c r="A132" s="24"/>
      <c r="B132" s="26"/>
      <c r="C132" s="20"/>
      <c r="D132" s="20"/>
      <c r="E132" s="20"/>
      <c r="F132" s="20"/>
      <c r="G132" s="20"/>
      <c r="H132" s="19"/>
      <c r="I132" s="27"/>
      <c r="J132" s="20"/>
      <c r="K132" s="20"/>
      <c r="L132" s="20"/>
      <c r="M132" s="20"/>
      <c r="N132" s="20"/>
      <c r="O132" s="19"/>
      <c r="P132" s="27"/>
      <c r="Q132" s="20"/>
      <c r="R132" s="20"/>
      <c r="S132" s="20"/>
      <c r="T132" s="20"/>
      <c r="U132" s="20"/>
      <c r="V132" s="19"/>
      <c r="W132" s="27"/>
      <c r="X132" s="20"/>
      <c r="Y132" s="20"/>
      <c r="Z132" s="20"/>
      <c r="AA132" s="20"/>
      <c r="AB132" s="20"/>
      <c r="AC132" s="19"/>
      <c r="AD132" s="27"/>
      <c r="AE132" s="20"/>
      <c r="AF132" s="20"/>
      <c r="AG132" s="20"/>
      <c r="AH132" s="20"/>
      <c r="AI132" s="20"/>
      <c r="AJ132" s="19"/>
      <c r="AK132" s="27"/>
      <c r="AL132" s="20"/>
      <c r="AM132" s="20"/>
      <c r="AN132" s="20"/>
      <c r="AO132" s="20"/>
      <c r="AP132" s="20"/>
      <c r="AQ132" s="19"/>
      <c r="AR132" s="20"/>
      <c r="AS132" s="20"/>
      <c r="AT132" s="20"/>
      <c r="AU132" s="20"/>
      <c r="AV132" s="20"/>
      <c r="AW132" s="20"/>
      <c r="AX132" s="19"/>
      <c r="AY132" s="20"/>
      <c r="AZ132" s="20"/>
      <c r="BA132" s="20"/>
      <c r="BB132" s="20"/>
      <c r="BC132" s="20"/>
      <c r="BD132" s="20"/>
      <c r="BE132" s="19"/>
      <c r="BF132" s="23"/>
      <c r="BG132" s="8"/>
      <c r="BH132" s="8"/>
      <c r="BI132" s="8"/>
      <c r="BJ132" s="8"/>
      <c r="BK132" s="8"/>
      <c r="BL132" s="14"/>
      <c r="BM132" s="34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27"/>
      <c r="CD132" s="20"/>
      <c r="CE132" s="20"/>
      <c r="CF132" s="20"/>
      <c r="CG132" s="20"/>
      <c r="CH132" s="19"/>
      <c r="CI132" s="14"/>
      <c r="CK132" s="57"/>
      <c r="CO132" s="57"/>
      <c r="CZ132" s="58"/>
    </row>
    <row r="133" spans="1:104" s="11" customFormat="1" x14ac:dyDescent="0.3">
      <c r="A133" s="24"/>
      <c r="B133" s="26"/>
      <c r="C133" s="20"/>
      <c r="D133" s="20"/>
      <c r="E133" s="20"/>
      <c r="F133" s="20"/>
      <c r="G133" s="20"/>
      <c r="H133" s="19"/>
      <c r="I133" s="27"/>
      <c r="J133" s="20"/>
      <c r="K133" s="20"/>
      <c r="L133" s="20"/>
      <c r="M133" s="20"/>
      <c r="N133" s="20"/>
      <c r="O133" s="19"/>
      <c r="P133" s="27"/>
      <c r="Q133" s="20"/>
      <c r="R133" s="20"/>
      <c r="S133" s="20"/>
      <c r="T133" s="20"/>
      <c r="U133" s="20"/>
      <c r="V133" s="19"/>
      <c r="W133" s="27"/>
      <c r="X133" s="20"/>
      <c r="Y133" s="20"/>
      <c r="Z133" s="20"/>
      <c r="AA133" s="20"/>
      <c r="AB133" s="20"/>
      <c r="AC133" s="19"/>
      <c r="AD133" s="27"/>
      <c r="AE133" s="20"/>
      <c r="AF133" s="20"/>
      <c r="AG133" s="20"/>
      <c r="AH133" s="20"/>
      <c r="AI133" s="20"/>
      <c r="AJ133" s="19"/>
      <c r="AK133" s="27"/>
      <c r="AL133" s="20"/>
      <c r="AM133" s="20"/>
      <c r="AN133" s="20"/>
      <c r="AO133" s="20"/>
      <c r="AP133" s="20"/>
      <c r="AQ133" s="19"/>
      <c r="AR133" s="20"/>
      <c r="AS133" s="20"/>
      <c r="AT133" s="20"/>
      <c r="AU133" s="20"/>
      <c r="AV133" s="20"/>
      <c r="AW133" s="20"/>
      <c r="AX133" s="19"/>
      <c r="AY133" s="20"/>
      <c r="AZ133" s="20"/>
      <c r="BA133" s="20"/>
      <c r="BB133" s="20"/>
      <c r="BC133" s="20"/>
      <c r="BD133" s="20"/>
      <c r="BE133" s="19"/>
      <c r="BF133" s="23"/>
      <c r="BG133" s="8"/>
      <c r="BH133" s="8"/>
      <c r="BI133" s="8"/>
      <c r="BJ133" s="8"/>
      <c r="BK133" s="8"/>
      <c r="BL133" s="14"/>
      <c r="BM133" s="34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27"/>
      <c r="CD133" s="20"/>
      <c r="CE133" s="20"/>
      <c r="CF133" s="20"/>
      <c r="CG133" s="20"/>
      <c r="CH133" s="19"/>
      <c r="CI133" s="14"/>
      <c r="CK133" s="57"/>
      <c r="CO133" s="57"/>
      <c r="CZ133" s="58"/>
    </row>
    <row r="134" spans="1:104" s="11" customFormat="1" x14ac:dyDescent="0.3">
      <c r="A134" s="24"/>
      <c r="B134" s="26"/>
      <c r="C134" s="20"/>
      <c r="D134" s="20"/>
      <c r="E134" s="20"/>
      <c r="F134" s="20"/>
      <c r="G134" s="20"/>
      <c r="H134" s="19"/>
      <c r="I134" s="27"/>
      <c r="J134" s="20"/>
      <c r="K134" s="20"/>
      <c r="L134" s="20"/>
      <c r="M134" s="20"/>
      <c r="N134" s="20"/>
      <c r="O134" s="19"/>
      <c r="P134" s="27"/>
      <c r="Q134" s="20"/>
      <c r="R134" s="20"/>
      <c r="S134" s="20"/>
      <c r="T134" s="20"/>
      <c r="U134" s="20"/>
      <c r="V134" s="19"/>
      <c r="W134" s="27"/>
      <c r="X134" s="20"/>
      <c r="Y134" s="20"/>
      <c r="Z134" s="20"/>
      <c r="AA134" s="20"/>
      <c r="AB134" s="20"/>
      <c r="AC134" s="19"/>
      <c r="AD134" s="27"/>
      <c r="AE134" s="20"/>
      <c r="AF134" s="20"/>
      <c r="AG134" s="20"/>
      <c r="AH134" s="20"/>
      <c r="AI134" s="20"/>
      <c r="AJ134" s="19"/>
      <c r="AK134" s="27"/>
      <c r="AL134" s="20"/>
      <c r="AM134" s="20"/>
      <c r="AN134" s="20"/>
      <c r="AO134" s="20"/>
      <c r="AP134" s="20"/>
      <c r="AQ134" s="19"/>
      <c r="AR134" s="20"/>
      <c r="AS134" s="20"/>
      <c r="AT134" s="20"/>
      <c r="AU134" s="20"/>
      <c r="AV134" s="20"/>
      <c r="AW134" s="20"/>
      <c r="AX134" s="19"/>
      <c r="AY134" s="20"/>
      <c r="AZ134" s="20"/>
      <c r="BA134" s="20"/>
      <c r="BB134" s="20"/>
      <c r="BC134" s="20"/>
      <c r="BD134" s="20"/>
      <c r="BE134" s="19"/>
      <c r="BF134" s="23"/>
      <c r="BG134" s="8"/>
      <c r="BH134" s="8"/>
      <c r="BI134" s="8"/>
      <c r="BJ134" s="8"/>
      <c r="BK134" s="8"/>
      <c r="BL134" s="14"/>
      <c r="BM134" s="34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27"/>
      <c r="CD134" s="20"/>
      <c r="CE134" s="20"/>
      <c r="CF134" s="20"/>
      <c r="CG134" s="20"/>
      <c r="CH134" s="19"/>
      <c r="CI134" s="14"/>
      <c r="CK134" s="57"/>
      <c r="CO134" s="57"/>
      <c r="CZ134" s="58"/>
    </row>
    <row r="135" spans="1:104" s="11" customFormat="1" x14ac:dyDescent="0.3">
      <c r="A135" s="24"/>
      <c r="B135" s="37" t="s">
        <v>380</v>
      </c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22"/>
      <c r="BG135" s="22"/>
      <c r="BH135" s="22"/>
      <c r="BI135" s="22"/>
      <c r="BJ135" s="22"/>
      <c r="BK135" s="22"/>
      <c r="BL135" s="2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40"/>
      <c r="CI135" s="13"/>
      <c r="CK135" s="54"/>
      <c r="CL135" s="55"/>
      <c r="CM135" s="55"/>
      <c r="CN135" s="55"/>
      <c r="CO135" s="54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6"/>
    </row>
    <row r="136" spans="1:104" x14ac:dyDescent="0.3">
      <c r="A136" s="23"/>
      <c r="B136" s="23"/>
      <c r="H136" s="14"/>
      <c r="I136" s="23"/>
      <c r="O136" s="14"/>
      <c r="P136" s="23"/>
      <c r="V136" s="14"/>
      <c r="W136" s="23"/>
      <c r="AC136" s="14"/>
      <c r="AD136" s="23"/>
      <c r="AJ136" s="14"/>
      <c r="AK136" s="23"/>
      <c r="AQ136" s="14"/>
      <c r="AX136" s="18"/>
      <c r="BE136" s="18"/>
      <c r="BF136" s="23"/>
      <c r="BL136" s="14"/>
      <c r="BM136" s="30"/>
      <c r="BN136" s="11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B136" s="11"/>
      <c r="CC136" s="23"/>
      <c r="CH136" s="14"/>
      <c r="CI136" s="14"/>
      <c r="CK136" s="59"/>
      <c r="CO136" s="59"/>
      <c r="CZ136" s="60"/>
    </row>
    <row r="137" spans="1:104" x14ac:dyDescent="0.3">
      <c r="A137" s="23"/>
      <c r="B137" s="23"/>
      <c r="H137" s="14"/>
      <c r="I137" s="23"/>
      <c r="O137" s="14"/>
      <c r="P137" s="23"/>
      <c r="V137" s="14"/>
      <c r="W137" s="23"/>
      <c r="AC137" s="14"/>
      <c r="AD137" s="23"/>
      <c r="AJ137" s="14"/>
      <c r="AK137" s="23"/>
      <c r="AQ137" s="14"/>
      <c r="AX137" s="18"/>
      <c r="BE137" s="18"/>
      <c r="BF137" s="23"/>
      <c r="BL137" s="14"/>
      <c r="BM137" s="30"/>
      <c r="BN137" s="11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B137" s="11"/>
      <c r="CC137" s="23"/>
      <c r="CH137" s="14"/>
      <c r="CI137" s="14"/>
      <c r="CK137" s="59"/>
      <c r="CO137" s="59"/>
      <c r="CZ137" s="60"/>
    </row>
    <row r="138" spans="1:104" x14ac:dyDescent="0.3">
      <c r="A138" s="23"/>
      <c r="B138" s="23"/>
      <c r="H138" s="14"/>
      <c r="I138" s="23"/>
      <c r="O138" s="14"/>
      <c r="P138" s="23"/>
      <c r="V138" s="14"/>
      <c r="W138" s="23"/>
      <c r="AC138" s="14"/>
      <c r="AD138" s="23"/>
      <c r="AJ138" s="14"/>
      <c r="AK138" s="23"/>
      <c r="AQ138" s="14"/>
      <c r="AX138" s="18"/>
      <c r="BE138" s="18"/>
      <c r="BF138" s="23"/>
      <c r="BL138" s="14"/>
      <c r="BM138" s="30"/>
      <c r="BN138" s="11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B138" s="11"/>
      <c r="CC138" s="23"/>
      <c r="CH138" s="14"/>
      <c r="CI138" s="14"/>
      <c r="CK138" s="59"/>
      <c r="CO138" s="59"/>
      <c r="CZ138" s="60"/>
    </row>
    <row r="139" spans="1:104" x14ac:dyDescent="0.3">
      <c r="A139" s="23"/>
      <c r="B139" s="23"/>
      <c r="H139" s="14"/>
      <c r="I139" s="23"/>
      <c r="O139" s="14"/>
      <c r="P139" s="23"/>
      <c r="V139" s="14"/>
      <c r="W139" s="23"/>
      <c r="AC139" s="14"/>
      <c r="AD139" s="23"/>
      <c r="AJ139" s="14"/>
      <c r="AK139" s="23"/>
      <c r="AQ139" s="14"/>
      <c r="AX139" s="18"/>
      <c r="BE139" s="18"/>
      <c r="BF139" s="23"/>
      <c r="BL139" s="14"/>
      <c r="BM139" s="23"/>
      <c r="BN139" s="11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C139" s="23"/>
      <c r="CH139" s="14"/>
      <c r="CI139" s="14"/>
      <c r="CK139" s="59"/>
      <c r="CO139" s="59"/>
      <c r="CZ139" s="60"/>
    </row>
    <row r="140" spans="1:104" x14ac:dyDescent="0.3">
      <c r="A140" s="23"/>
      <c r="B140" s="23"/>
      <c r="H140" s="14"/>
      <c r="I140" s="23"/>
      <c r="O140" s="14"/>
      <c r="P140" s="23"/>
      <c r="V140" s="14"/>
      <c r="W140" s="23"/>
      <c r="AC140" s="14"/>
      <c r="AD140" s="23"/>
      <c r="AJ140" s="14"/>
      <c r="AK140" s="23"/>
      <c r="AQ140" s="14"/>
      <c r="AX140" s="18"/>
      <c r="BE140" s="18"/>
      <c r="BF140" s="23"/>
      <c r="BL140" s="14"/>
      <c r="BM140" s="23"/>
      <c r="BN140" s="21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C140" s="23"/>
      <c r="CH140" s="14"/>
      <c r="CI140" s="14"/>
      <c r="CK140" s="59"/>
      <c r="CO140" s="59"/>
      <c r="CZ140" s="60"/>
    </row>
    <row r="141" spans="1:104" x14ac:dyDescent="0.3">
      <c r="A141" s="23"/>
      <c r="B141" s="23"/>
      <c r="H141" s="14"/>
      <c r="I141" s="23"/>
      <c r="O141" s="14"/>
      <c r="P141" s="23"/>
      <c r="V141" s="14"/>
      <c r="W141" s="23"/>
      <c r="AC141" s="14"/>
      <c r="AD141" s="23"/>
      <c r="AJ141" s="14"/>
      <c r="AK141" s="23"/>
      <c r="AQ141" s="14"/>
      <c r="AX141" s="18"/>
      <c r="BE141" s="18"/>
      <c r="BF141" s="23"/>
      <c r="BL141" s="14"/>
      <c r="BM141" s="23"/>
      <c r="BN141" s="21" t="s">
        <v>337</v>
      </c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C141" s="23"/>
      <c r="CH141" s="14"/>
      <c r="CI141" s="14"/>
      <c r="CK141" s="59"/>
      <c r="CO141" s="59"/>
      <c r="CZ141" s="60"/>
    </row>
    <row r="142" spans="1:104" x14ac:dyDescent="0.3">
      <c r="A142" s="23"/>
      <c r="B142" s="23"/>
      <c r="H142" s="14"/>
      <c r="I142" s="23"/>
      <c r="O142" s="14"/>
      <c r="P142" s="23"/>
      <c r="V142" s="14"/>
      <c r="W142" s="23"/>
      <c r="AC142" s="14"/>
      <c r="AD142" s="23"/>
      <c r="AJ142" s="14"/>
      <c r="AK142" s="23"/>
      <c r="AQ142" s="14"/>
      <c r="AX142" s="18"/>
      <c r="BE142" s="18"/>
      <c r="BF142" s="23"/>
      <c r="BL142" s="14"/>
      <c r="BM142" s="23"/>
      <c r="BN142" s="17"/>
      <c r="BO142" s="17" t="s">
        <v>338</v>
      </c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C142" s="23"/>
      <c r="CH142" s="14"/>
      <c r="CI142" s="14"/>
      <c r="CK142" s="59"/>
      <c r="CO142" s="59"/>
      <c r="CZ142" s="60"/>
    </row>
    <row r="143" spans="1:104" x14ac:dyDescent="0.3">
      <c r="A143" s="23"/>
      <c r="B143" s="23"/>
      <c r="H143" s="14"/>
      <c r="I143" s="23"/>
      <c r="O143" s="14"/>
      <c r="P143" s="23"/>
      <c r="V143" s="14"/>
      <c r="W143" s="23"/>
      <c r="AC143" s="14"/>
      <c r="AD143" s="23"/>
      <c r="AJ143" s="14"/>
      <c r="AK143" s="23"/>
      <c r="AQ143" s="14"/>
      <c r="AX143" s="18"/>
      <c r="BE143" s="18"/>
      <c r="BF143" s="23"/>
      <c r="BL143" s="14"/>
      <c r="BM143" s="23"/>
      <c r="BN143" s="21"/>
      <c r="BO143" s="17" t="s">
        <v>339</v>
      </c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C143" s="23"/>
      <c r="CH143" s="14"/>
      <c r="CI143" s="14"/>
      <c r="CK143" s="59"/>
      <c r="CO143" s="59"/>
      <c r="CZ143" s="60"/>
    </row>
    <row r="144" spans="1:104" x14ac:dyDescent="0.3">
      <c r="A144" s="23"/>
      <c r="B144" s="23"/>
      <c r="H144" s="14"/>
      <c r="I144" s="23"/>
      <c r="O144" s="14"/>
      <c r="P144" s="23"/>
      <c r="V144" s="14"/>
      <c r="W144" s="23"/>
      <c r="AC144" s="14"/>
      <c r="AD144" s="23"/>
      <c r="AJ144" s="14"/>
      <c r="AK144" s="23"/>
      <c r="AQ144" s="14"/>
      <c r="AX144" s="18"/>
      <c r="BE144" s="18"/>
      <c r="BF144" s="23"/>
      <c r="BL144" s="14"/>
      <c r="BM144" s="23"/>
      <c r="BN144" s="11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C144" s="23"/>
      <c r="CH144" s="14"/>
      <c r="CI144" s="14"/>
      <c r="CK144" s="59"/>
      <c r="CO144" s="59"/>
      <c r="CZ144" s="60"/>
    </row>
    <row r="145" spans="1:104" x14ac:dyDescent="0.3">
      <c r="A145" s="23"/>
      <c r="B145" s="23"/>
      <c r="H145" s="14"/>
      <c r="I145" s="23"/>
      <c r="O145" s="14"/>
      <c r="P145" s="23"/>
      <c r="V145" s="14"/>
      <c r="W145" s="23"/>
      <c r="AC145" s="14"/>
      <c r="AD145" s="23"/>
      <c r="AJ145" s="14"/>
      <c r="AK145" s="23"/>
      <c r="AQ145" s="14"/>
      <c r="AX145" s="18"/>
      <c r="BE145" s="18"/>
      <c r="BF145" s="23"/>
      <c r="BL145" s="14"/>
      <c r="BM145" s="23"/>
      <c r="BN145" s="11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C145" s="23"/>
      <c r="CH145" s="14"/>
      <c r="CI145" s="14"/>
      <c r="CK145" s="59"/>
      <c r="CO145" s="59"/>
      <c r="CZ145" s="60"/>
    </row>
    <row r="146" spans="1:104" x14ac:dyDescent="0.3">
      <c r="A146" s="23"/>
      <c r="B146" s="23"/>
      <c r="H146" s="14"/>
      <c r="I146" s="23"/>
      <c r="O146" s="14"/>
      <c r="P146" s="23"/>
      <c r="V146" s="14"/>
      <c r="W146" s="23"/>
      <c r="AC146" s="14"/>
      <c r="AD146" s="23"/>
      <c r="AJ146" s="14"/>
      <c r="AK146" s="23"/>
      <c r="AQ146" s="14"/>
      <c r="AX146" s="18"/>
      <c r="BE146" s="18"/>
      <c r="BF146" s="23"/>
      <c r="BL146" s="14"/>
      <c r="BM146" s="23"/>
      <c r="BN146" s="21" t="s">
        <v>340</v>
      </c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C146" s="23"/>
      <c r="CH146" s="14"/>
      <c r="CI146" s="14"/>
      <c r="CK146" s="59"/>
      <c r="CO146" s="59"/>
      <c r="CZ146" s="60"/>
    </row>
    <row r="147" spans="1:104" x14ac:dyDescent="0.3">
      <c r="A147" s="23"/>
      <c r="B147" s="23"/>
      <c r="H147" s="14"/>
      <c r="I147" s="23"/>
      <c r="O147" s="14"/>
      <c r="P147" s="23"/>
      <c r="V147" s="14"/>
      <c r="W147" s="23"/>
      <c r="AC147" s="14"/>
      <c r="AD147" s="23"/>
      <c r="AJ147" s="14"/>
      <c r="AK147" s="23"/>
      <c r="AQ147" s="14"/>
      <c r="AX147" s="18"/>
      <c r="BE147" s="18"/>
      <c r="BF147" s="23"/>
      <c r="BL147" s="14"/>
      <c r="BM147" s="23"/>
      <c r="BN147" s="17"/>
      <c r="BO147" s="17" t="s">
        <v>341</v>
      </c>
      <c r="BP147" s="17"/>
      <c r="BQ147" s="17"/>
      <c r="BR147" s="17"/>
      <c r="BS147" s="17"/>
      <c r="BT147" s="17"/>
      <c r="BU147" s="17"/>
      <c r="BV147" s="17"/>
      <c r="BW147" s="17"/>
      <c r="CC147" s="23"/>
      <c r="CH147" s="14"/>
      <c r="CI147" s="14"/>
      <c r="CK147" s="59"/>
      <c r="CO147" s="59"/>
      <c r="CZ147" s="60"/>
    </row>
    <row r="148" spans="1:104" x14ac:dyDescent="0.3">
      <c r="A148" s="23"/>
      <c r="B148" s="23"/>
      <c r="H148" s="14"/>
      <c r="I148" s="23"/>
      <c r="O148" s="14"/>
      <c r="P148" s="23"/>
      <c r="V148" s="14"/>
      <c r="W148" s="23"/>
      <c r="AC148" s="14"/>
      <c r="AD148" s="23"/>
      <c r="AJ148" s="14"/>
      <c r="AK148" s="23"/>
      <c r="AQ148" s="14"/>
      <c r="AX148" s="18"/>
      <c r="BE148" s="18"/>
      <c r="BF148" s="23"/>
      <c r="BL148" s="14"/>
      <c r="BM148" s="23"/>
      <c r="BN148" s="21"/>
      <c r="BO148" s="17"/>
      <c r="BP148" s="17"/>
      <c r="BQ148" s="17"/>
      <c r="BR148" s="17"/>
      <c r="BS148" s="17"/>
      <c r="BT148" s="17"/>
      <c r="BU148" s="17"/>
      <c r="BV148" s="17"/>
      <c r="BW148" s="17"/>
      <c r="CC148" s="23"/>
      <c r="CH148" s="14"/>
      <c r="CI148" s="14"/>
      <c r="CK148" s="59"/>
      <c r="CO148" s="59"/>
      <c r="CZ148" s="60"/>
    </row>
    <row r="149" spans="1:104" x14ac:dyDescent="0.3">
      <c r="A149" s="23"/>
      <c r="B149" s="23"/>
      <c r="H149" s="14"/>
      <c r="I149" s="23"/>
      <c r="O149" s="14"/>
      <c r="P149" s="23"/>
      <c r="V149" s="14"/>
      <c r="W149" s="23"/>
      <c r="AC149" s="14"/>
      <c r="AD149" s="23"/>
      <c r="AJ149" s="14"/>
      <c r="AK149" s="23"/>
      <c r="AQ149" s="14"/>
      <c r="AX149" s="18"/>
      <c r="BE149" s="18"/>
      <c r="BF149" s="23"/>
      <c r="BL149" s="14"/>
      <c r="BM149" s="23"/>
      <c r="BN149" s="16"/>
      <c r="BO149" s="11"/>
      <c r="BP149" s="11"/>
      <c r="BQ149" s="11"/>
      <c r="BW149" s="11"/>
      <c r="CC149" s="23"/>
      <c r="CH149" s="14"/>
      <c r="CI149" s="14"/>
      <c r="CK149" s="59"/>
      <c r="CO149" s="59"/>
      <c r="CZ149" s="60"/>
    </row>
    <row r="150" spans="1:104" x14ac:dyDescent="0.3">
      <c r="A150" s="23"/>
      <c r="B150" s="23"/>
      <c r="H150" s="14"/>
      <c r="I150" s="23"/>
      <c r="O150" s="14"/>
      <c r="P150" s="23"/>
      <c r="V150" s="14"/>
      <c r="W150" s="23"/>
      <c r="AC150" s="14"/>
      <c r="AD150" s="23"/>
      <c r="AJ150" s="14"/>
      <c r="AK150" s="23"/>
      <c r="AQ150" s="14"/>
      <c r="AX150" s="18"/>
      <c r="BE150" s="18"/>
      <c r="BF150" s="23"/>
      <c r="BL150" s="14"/>
      <c r="BM150" s="23"/>
      <c r="BN150" s="11"/>
      <c r="BO150" s="11"/>
      <c r="BP150" s="11"/>
      <c r="BQ150" s="11"/>
      <c r="BW150" s="11"/>
      <c r="CC150" s="23"/>
      <c r="CH150" s="14"/>
      <c r="CI150" s="14"/>
      <c r="CK150" s="59"/>
      <c r="CO150" s="59"/>
      <c r="CZ150" s="60"/>
    </row>
    <row r="151" spans="1:104" x14ac:dyDescent="0.3">
      <c r="A151" s="23"/>
      <c r="B151" s="23"/>
      <c r="H151" s="14"/>
      <c r="I151" s="23"/>
      <c r="O151" s="14"/>
      <c r="P151" s="23"/>
      <c r="V151" s="14"/>
      <c r="W151" s="23"/>
      <c r="AC151" s="14"/>
      <c r="AD151" s="23"/>
      <c r="AJ151" s="14"/>
      <c r="AK151" s="23"/>
      <c r="AQ151" s="14"/>
      <c r="AX151" s="18"/>
      <c r="BE151" s="18"/>
      <c r="BF151" s="23"/>
      <c r="BL151" s="14"/>
      <c r="BM151" s="23"/>
      <c r="CC151" s="23"/>
      <c r="CH151" s="14"/>
      <c r="CI151" s="14"/>
      <c r="CK151" s="59"/>
      <c r="CO151" s="59"/>
      <c r="CZ151" s="60"/>
    </row>
    <row r="152" spans="1:104" x14ac:dyDescent="0.3">
      <c r="A152" s="23"/>
      <c r="B152" s="23"/>
      <c r="H152" s="14"/>
      <c r="I152" s="23"/>
      <c r="O152" s="14"/>
      <c r="P152" s="23"/>
      <c r="V152" s="14"/>
      <c r="W152" s="23"/>
      <c r="AC152" s="14"/>
      <c r="AD152" s="23"/>
      <c r="AJ152" s="14"/>
      <c r="AK152" s="23"/>
      <c r="AQ152" s="14"/>
      <c r="AR152" s="23"/>
      <c r="AY152" s="23"/>
      <c r="BF152" s="23"/>
      <c r="BM152" s="23"/>
      <c r="CC152" s="23"/>
      <c r="CH152" s="14"/>
      <c r="CI152" s="14"/>
      <c r="CK152" s="59"/>
      <c r="CO152" s="87" t="s">
        <v>316</v>
      </c>
      <c r="CP152" s="91"/>
      <c r="CQ152" s="91"/>
      <c r="CR152" s="91"/>
      <c r="CS152" s="91"/>
      <c r="CT152" s="91"/>
      <c r="CU152" s="91"/>
      <c r="CV152" s="91"/>
      <c r="CW152" s="91"/>
      <c r="CX152" s="91"/>
      <c r="CY152" s="91"/>
      <c r="CZ152" s="92"/>
    </row>
    <row r="153" spans="1:104" x14ac:dyDescent="0.3">
      <c r="A153" s="23"/>
      <c r="B153" s="23"/>
      <c r="H153" s="14"/>
      <c r="I153" s="23"/>
      <c r="O153" s="14"/>
      <c r="P153" s="23"/>
      <c r="V153" s="14"/>
      <c r="W153" s="23"/>
      <c r="AC153" s="14"/>
      <c r="AD153" s="23"/>
      <c r="AJ153" s="14"/>
      <c r="AK153" s="23"/>
      <c r="AQ153" s="14"/>
      <c r="AR153" s="23"/>
      <c r="AY153" s="23"/>
      <c r="BF153" s="23"/>
      <c r="BM153" s="23"/>
      <c r="CC153" s="23"/>
      <c r="CH153" s="14"/>
      <c r="CI153" s="14"/>
      <c r="CK153" s="59"/>
      <c r="CO153" s="93" t="s">
        <v>342</v>
      </c>
      <c r="CP153" s="91"/>
      <c r="CQ153" s="91"/>
      <c r="CR153" s="91"/>
      <c r="CS153" s="91"/>
      <c r="CT153" s="91"/>
      <c r="CU153" s="91"/>
      <c r="CV153" s="91"/>
      <c r="CW153" s="91"/>
      <c r="CX153" s="91"/>
      <c r="CY153" s="91"/>
      <c r="CZ153" s="92"/>
    </row>
    <row r="154" spans="1:104" x14ac:dyDescent="0.3">
      <c r="A154" s="23"/>
      <c r="B154" s="23"/>
      <c r="H154" s="14"/>
      <c r="I154" s="23"/>
      <c r="O154" s="14"/>
      <c r="P154" s="23"/>
      <c r="V154" s="14"/>
      <c r="W154" s="23"/>
      <c r="AC154" s="14"/>
      <c r="AD154" s="23"/>
      <c r="AJ154" s="14"/>
      <c r="AK154" s="23"/>
      <c r="AQ154" s="14"/>
      <c r="AR154" s="23"/>
      <c r="AY154" s="23"/>
      <c r="BF154" s="23"/>
      <c r="BM154" s="23"/>
      <c r="BN154" s="21" t="s">
        <v>343</v>
      </c>
      <c r="BO154" s="17"/>
      <c r="CC154" s="23"/>
      <c r="CH154" s="14"/>
      <c r="CI154" s="14"/>
      <c r="CK154" s="59"/>
      <c r="CO154" s="94" t="s">
        <v>326</v>
      </c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2"/>
    </row>
    <row r="155" spans="1:104" x14ac:dyDescent="0.3">
      <c r="A155" s="23"/>
      <c r="B155" s="23"/>
      <c r="H155" s="14"/>
      <c r="I155" s="23"/>
      <c r="O155" s="14"/>
      <c r="P155" s="23"/>
      <c r="V155" s="14"/>
      <c r="W155" s="23"/>
      <c r="AC155" s="14"/>
      <c r="AD155" s="23"/>
      <c r="AJ155" s="14"/>
      <c r="AK155" s="23"/>
      <c r="AQ155" s="14"/>
      <c r="AR155" s="23"/>
      <c r="AY155" s="23"/>
      <c r="BF155" s="23"/>
      <c r="BM155" s="23"/>
      <c r="BO155" s="8" t="s">
        <v>344</v>
      </c>
      <c r="CC155" s="23"/>
      <c r="CH155" s="14"/>
      <c r="CI155" s="14"/>
      <c r="CK155" s="59"/>
      <c r="CO155" s="93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2"/>
    </row>
    <row r="156" spans="1:104" x14ac:dyDescent="0.3">
      <c r="A156" s="23"/>
      <c r="B156" s="23"/>
      <c r="H156" s="14"/>
      <c r="I156" s="23"/>
      <c r="O156" s="14"/>
      <c r="P156" s="23"/>
      <c r="V156" s="14"/>
      <c r="W156" s="23"/>
      <c r="AC156" s="14"/>
      <c r="AD156" s="23"/>
      <c r="AJ156" s="14"/>
      <c r="AK156" s="23"/>
      <c r="AQ156" s="14"/>
      <c r="AR156" s="23"/>
      <c r="AY156" s="23"/>
      <c r="BF156" s="23"/>
      <c r="BM156" s="23"/>
      <c r="BO156" s="8" t="s">
        <v>345</v>
      </c>
      <c r="CC156" s="73" t="s">
        <v>253</v>
      </c>
      <c r="CD156" s="20"/>
      <c r="CE156" s="20"/>
      <c r="CF156" s="20"/>
      <c r="CG156" s="20"/>
      <c r="CH156" s="14"/>
      <c r="CI156" s="14"/>
      <c r="CK156" s="59"/>
      <c r="CO156" s="93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2"/>
    </row>
    <row r="157" spans="1:104" x14ac:dyDescent="0.3">
      <c r="A157" s="23"/>
      <c r="B157" s="23"/>
      <c r="H157" s="14"/>
      <c r="I157" s="23"/>
      <c r="O157" s="14"/>
      <c r="P157" s="23"/>
      <c r="V157" s="14"/>
      <c r="W157" s="23"/>
      <c r="AC157" s="14"/>
      <c r="AD157" s="23"/>
      <c r="AJ157" s="14"/>
      <c r="AK157" s="23"/>
      <c r="AQ157" s="14"/>
      <c r="AR157" s="23"/>
      <c r="AY157" s="23"/>
      <c r="BF157" s="23"/>
      <c r="BM157" s="23"/>
      <c r="CC157" s="27"/>
      <c r="CD157" s="83" t="s">
        <v>136</v>
      </c>
      <c r="CE157" s="20"/>
      <c r="CF157" s="20"/>
      <c r="CG157" s="20"/>
      <c r="CH157" s="14"/>
      <c r="CI157" s="14"/>
      <c r="CK157" s="59"/>
      <c r="CO157" s="59"/>
      <c r="CZ157" s="60"/>
    </row>
    <row r="158" spans="1:104" x14ac:dyDescent="0.3">
      <c r="A158" s="23"/>
      <c r="B158" s="23"/>
      <c r="H158" s="14"/>
      <c r="I158" s="23"/>
      <c r="O158" s="14"/>
      <c r="P158" s="23"/>
      <c r="V158" s="14"/>
      <c r="W158" s="23"/>
      <c r="AC158" s="14"/>
      <c r="AD158" s="23"/>
      <c r="AJ158" s="14"/>
      <c r="AK158" s="23"/>
      <c r="AQ158" s="14"/>
      <c r="AR158" s="23"/>
      <c r="AY158" s="23"/>
      <c r="BF158" s="23"/>
      <c r="BM158" s="23"/>
      <c r="CC158" s="27"/>
      <c r="CD158" s="83" t="s">
        <v>137</v>
      </c>
      <c r="CE158" s="20"/>
      <c r="CF158" s="20"/>
      <c r="CG158" s="20"/>
      <c r="CH158" s="14"/>
      <c r="CI158" s="14"/>
      <c r="CK158" s="59"/>
      <c r="CO158" s="59"/>
      <c r="CZ158" s="60"/>
    </row>
    <row r="159" spans="1:104" x14ac:dyDescent="0.3">
      <c r="A159" s="23"/>
      <c r="B159" s="23"/>
      <c r="H159" s="14"/>
      <c r="I159" s="23"/>
      <c r="O159" s="14"/>
      <c r="P159" s="23"/>
      <c r="V159" s="14"/>
      <c r="W159" s="23"/>
      <c r="AC159" s="14"/>
      <c r="AD159" s="23"/>
      <c r="AJ159" s="14"/>
      <c r="AK159" s="23"/>
      <c r="AQ159" s="14"/>
      <c r="AR159" s="23"/>
      <c r="AY159" s="23"/>
      <c r="BF159" s="23"/>
      <c r="BM159" s="23"/>
      <c r="CC159" s="27"/>
      <c r="CD159" s="20"/>
      <c r="CE159" s="20"/>
      <c r="CF159" s="20"/>
      <c r="CG159" s="20"/>
      <c r="CH159" s="14"/>
      <c r="CI159" s="14"/>
      <c r="CK159" s="59"/>
      <c r="CO159" s="59"/>
      <c r="CZ159" s="60"/>
    </row>
    <row r="160" spans="1:104" x14ac:dyDescent="0.3">
      <c r="A160" s="23"/>
      <c r="B160" s="23"/>
      <c r="H160" s="14"/>
      <c r="I160" s="23"/>
      <c r="O160" s="14"/>
      <c r="P160" s="23"/>
      <c r="V160" s="14"/>
      <c r="W160" s="23"/>
      <c r="AC160" s="14"/>
      <c r="AD160" s="23"/>
      <c r="AJ160" s="14"/>
      <c r="AK160" s="23"/>
      <c r="AQ160" s="14"/>
      <c r="AR160" s="23"/>
      <c r="AY160" s="23"/>
      <c r="BF160" s="23"/>
      <c r="BM160" s="23"/>
      <c r="CC160" s="23"/>
      <c r="CH160" s="14"/>
      <c r="CI160" s="14"/>
      <c r="CK160" s="59"/>
      <c r="CO160" s="59"/>
      <c r="CZ160" s="60"/>
    </row>
    <row r="161" spans="1:106" x14ac:dyDescent="0.3">
      <c r="A161" s="23"/>
      <c r="B161" s="50"/>
      <c r="C161" s="10"/>
      <c r="D161" s="10"/>
      <c r="E161" s="10"/>
      <c r="F161" s="10"/>
      <c r="G161" s="10"/>
      <c r="H161" s="15"/>
      <c r="I161" s="50"/>
      <c r="J161" s="10"/>
      <c r="K161" s="10"/>
      <c r="L161" s="10"/>
      <c r="M161" s="10"/>
      <c r="N161" s="10"/>
      <c r="O161" s="15"/>
      <c r="P161" s="50"/>
      <c r="Q161" s="10"/>
      <c r="R161" s="10"/>
      <c r="S161" s="10"/>
      <c r="T161" s="10"/>
      <c r="U161" s="10"/>
      <c r="V161" s="15"/>
      <c r="W161" s="50"/>
      <c r="X161" s="10"/>
      <c r="Y161" s="10"/>
      <c r="Z161" s="10"/>
      <c r="AA161" s="10"/>
      <c r="AB161" s="10"/>
      <c r="AC161" s="15"/>
      <c r="AD161" s="50"/>
      <c r="AE161" s="10"/>
      <c r="AF161" s="10"/>
      <c r="AG161" s="10"/>
      <c r="AH161" s="10"/>
      <c r="AI161" s="10"/>
      <c r="AJ161" s="15"/>
      <c r="AK161" s="50"/>
      <c r="AL161" s="10"/>
      <c r="AM161" s="10"/>
      <c r="AN161" s="10"/>
      <c r="AO161" s="10"/>
      <c r="AP161" s="10"/>
      <c r="AQ161" s="15"/>
      <c r="AR161" s="50"/>
      <c r="AS161" s="10"/>
      <c r="AT161" s="10"/>
      <c r="AU161" s="10"/>
      <c r="AV161" s="10"/>
      <c r="AW161" s="10"/>
      <c r="AX161" s="10"/>
      <c r="AY161" s="50"/>
      <c r="AZ161" s="10"/>
      <c r="BA161" s="10"/>
      <c r="BB161" s="10"/>
      <c r="BC161" s="10"/>
      <c r="BD161" s="10"/>
      <c r="BE161" s="10"/>
      <c r="BF161" s="50"/>
      <c r="BG161" s="10"/>
      <c r="BH161" s="10"/>
      <c r="BI161" s="10"/>
      <c r="BJ161" s="10"/>
      <c r="BK161" s="10"/>
      <c r="BL161" s="10"/>
      <c r="BM161" s="5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50"/>
      <c r="CD161" s="10"/>
      <c r="CE161" s="10"/>
      <c r="CF161" s="10"/>
      <c r="CG161" s="10"/>
      <c r="CH161" s="15"/>
      <c r="CI161" s="14"/>
      <c r="CK161" s="61"/>
      <c r="CL161" s="62"/>
      <c r="CM161" s="62"/>
      <c r="CN161" s="62"/>
      <c r="CO161" s="61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3"/>
    </row>
    <row r="162" spans="1:106" s="11" customFormat="1" x14ac:dyDescent="0.3">
      <c r="A162" s="24"/>
      <c r="B162" s="37" t="s">
        <v>381</v>
      </c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22"/>
      <c r="BG162" s="22"/>
      <c r="BH162" s="22"/>
      <c r="BI162" s="22"/>
      <c r="BJ162" s="22"/>
      <c r="BK162" s="22"/>
      <c r="BL162" s="2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40"/>
      <c r="CI162" s="13"/>
      <c r="CK162" s="54"/>
      <c r="CL162" s="55"/>
      <c r="CM162" s="55"/>
      <c r="CN162" s="55"/>
      <c r="CO162" s="54"/>
      <c r="CP162" s="55"/>
      <c r="CQ162" s="55"/>
      <c r="CR162" s="55"/>
      <c r="CS162" s="55"/>
      <c r="CT162" s="55"/>
      <c r="CU162" s="55"/>
      <c r="CV162" s="55"/>
      <c r="CW162" s="55"/>
      <c r="CX162" s="55"/>
      <c r="CY162" s="55"/>
      <c r="CZ162" s="56"/>
      <c r="DB162" s="77"/>
    </row>
    <row r="163" spans="1:106" x14ac:dyDescent="0.3">
      <c r="A163" s="23"/>
      <c r="B163" s="23"/>
      <c r="H163" s="14"/>
      <c r="I163" s="23"/>
      <c r="O163" s="14"/>
      <c r="P163" s="23"/>
      <c r="V163" s="14"/>
      <c r="W163" s="23"/>
      <c r="AC163" s="14"/>
      <c r="AD163" s="23"/>
      <c r="AJ163" s="14"/>
      <c r="AK163" s="23"/>
      <c r="AQ163" s="14"/>
      <c r="AX163" s="18"/>
      <c r="BE163" s="18"/>
      <c r="BF163" s="23"/>
      <c r="BL163" s="14"/>
      <c r="BM163" s="30"/>
      <c r="BN163" s="86" t="s">
        <v>347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B163" s="11"/>
      <c r="CC163" s="23"/>
      <c r="CH163" s="14"/>
      <c r="CI163" s="14"/>
      <c r="CK163" s="59"/>
      <c r="CO163" s="59"/>
      <c r="CZ163" s="60"/>
    </row>
    <row r="164" spans="1:106" x14ac:dyDescent="0.3">
      <c r="A164" s="23"/>
      <c r="B164" s="23"/>
      <c r="H164" s="14"/>
      <c r="I164" s="23"/>
      <c r="O164" s="14"/>
      <c r="P164" s="23"/>
      <c r="V164" s="14"/>
      <c r="W164" s="23"/>
      <c r="AC164" s="14"/>
      <c r="AD164" s="23"/>
      <c r="AJ164" s="14"/>
      <c r="AK164" s="23"/>
      <c r="AQ164" s="14"/>
      <c r="AX164" s="18"/>
      <c r="BE164" s="18"/>
      <c r="BF164" s="23"/>
      <c r="BL164" s="14"/>
      <c r="BM164" s="30"/>
      <c r="BN164" s="11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B164" s="11"/>
      <c r="CC164" s="23"/>
      <c r="CH164" s="14"/>
      <c r="CI164" s="14"/>
      <c r="CK164" s="59"/>
      <c r="CO164" s="59"/>
      <c r="CZ164" s="60"/>
    </row>
    <row r="165" spans="1:106" x14ac:dyDescent="0.3">
      <c r="A165" s="23"/>
      <c r="B165" s="23"/>
      <c r="H165" s="14"/>
      <c r="I165" s="23"/>
      <c r="O165" s="14"/>
      <c r="P165" s="23"/>
      <c r="V165" s="14"/>
      <c r="W165" s="23"/>
      <c r="AC165" s="14"/>
      <c r="AD165" s="23"/>
      <c r="AJ165" s="14"/>
      <c r="AK165" s="23"/>
      <c r="AQ165" s="14"/>
      <c r="AX165" s="18"/>
      <c r="BE165" s="18"/>
      <c r="BF165" s="23"/>
      <c r="BL165" s="14"/>
      <c r="BM165" s="30"/>
      <c r="BN165" s="77" t="s">
        <v>348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B165" s="11"/>
      <c r="CC165" s="23"/>
      <c r="CH165" s="14"/>
      <c r="CI165" s="14"/>
      <c r="CK165" s="59"/>
      <c r="CO165" s="59"/>
      <c r="CZ165" s="60"/>
    </row>
    <row r="166" spans="1:106" x14ac:dyDescent="0.3">
      <c r="A166" s="23"/>
      <c r="B166" s="23"/>
      <c r="H166" s="14"/>
      <c r="I166" s="23"/>
      <c r="O166" s="14"/>
      <c r="P166" s="23"/>
      <c r="V166" s="14"/>
      <c r="W166" s="23"/>
      <c r="AC166" s="14"/>
      <c r="AD166" s="23"/>
      <c r="AJ166" s="14"/>
      <c r="AK166" s="23"/>
      <c r="AQ166" s="14"/>
      <c r="AX166" s="18"/>
      <c r="BE166" s="18"/>
      <c r="BF166" s="23"/>
      <c r="BL166" s="14"/>
      <c r="BM166" s="30"/>
      <c r="BN166" s="77" t="s">
        <v>349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B166" s="11"/>
      <c r="CC166" s="23"/>
      <c r="CH166" s="14"/>
      <c r="CI166" s="14"/>
      <c r="CK166" s="59"/>
      <c r="CO166" s="59"/>
      <c r="CZ166" s="60"/>
    </row>
    <row r="167" spans="1:106" s="11" customFormat="1" x14ac:dyDescent="0.3">
      <c r="A167" s="24"/>
      <c r="B167" s="26"/>
      <c r="C167" s="20"/>
      <c r="D167" s="20"/>
      <c r="E167" s="20"/>
      <c r="F167" s="20"/>
      <c r="G167" s="20"/>
      <c r="H167" s="19"/>
      <c r="I167" s="27"/>
      <c r="J167" s="20"/>
      <c r="K167" s="20"/>
      <c r="L167" s="20"/>
      <c r="M167" s="20"/>
      <c r="N167" s="20"/>
      <c r="O167" s="19"/>
      <c r="P167" s="27"/>
      <c r="Q167" s="20"/>
      <c r="R167" s="20"/>
      <c r="S167" s="20"/>
      <c r="T167" s="20"/>
      <c r="U167" s="20"/>
      <c r="V167" s="19"/>
      <c r="W167" s="27"/>
      <c r="X167" s="20"/>
      <c r="Y167" s="20"/>
      <c r="Z167" s="20"/>
      <c r="AA167" s="20"/>
      <c r="AB167" s="20"/>
      <c r="AC167" s="19"/>
      <c r="AD167" s="27"/>
      <c r="AE167" s="20"/>
      <c r="AF167" s="20"/>
      <c r="AG167" s="20"/>
      <c r="AH167" s="20"/>
      <c r="AI167" s="20"/>
      <c r="AJ167" s="19"/>
      <c r="AK167" s="27"/>
      <c r="AL167" s="20"/>
      <c r="AM167" s="20"/>
      <c r="AN167" s="20"/>
      <c r="AO167" s="20"/>
      <c r="AP167" s="20"/>
      <c r="AQ167" s="19"/>
      <c r="AR167" s="20"/>
      <c r="AS167" s="20"/>
      <c r="AT167" s="20"/>
      <c r="AU167" s="20"/>
      <c r="AV167" s="20"/>
      <c r="AW167" s="20"/>
      <c r="AX167" s="19"/>
      <c r="AY167" s="20"/>
      <c r="AZ167" s="20"/>
      <c r="BA167" s="20"/>
      <c r="BB167" s="20"/>
      <c r="BC167" s="20"/>
      <c r="BD167" s="20"/>
      <c r="BE167" s="19"/>
      <c r="BF167" s="27"/>
      <c r="BG167" s="20"/>
      <c r="BH167" s="20"/>
      <c r="BI167" s="20"/>
      <c r="BJ167" s="20"/>
      <c r="BK167" s="20"/>
      <c r="BL167" s="19"/>
      <c r="BM167" s="34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27"/>
      <c r="CD167" s="20"/>
      <c r="CE167" s="20"/>
      <c r="CF167" s="20"/>
      <c r="CG167" s="20"/>
      <c r="CH167" s="19"/>
      <c r="CI167" s="13"/>
      <c r="CK167" s="57"/>
      <c r="CO167" s="57"/>
      <c r="CZ167" s="58"/>
    </row>
    <row r="168" spans="1:106" s="11" customFormat="1" x14ac:dyDescent="0.3">
      <c r="A168" s="24"/>
      <c r="B168" s="26"/>
      <c r="C168" s="20"/>
      <c r="D168" s="20"/>
      <c r="E168" s="20"/>
      <c r="F168" s="20"/>
      <c r="G168" s="20"/>
      <c r="H168" s="19"/>
      <c r="I168" s="27"/>
      <c r="J168" s="20"/>
      <c r="K168" s="20"/>
      <c r="L168" s="20"/>
      <c r="M168" s="20"/>
      <c r="N168" s="20"/>
      <c r="O168" s="19"/>
      <c r="P168" s="27"/>
      <c r="Q168" s="20"/>
      <c r="R168" s="20"/>
      <c r="S168" s="20"/>
      <c r="T168" s="20"/>
      <c r="U168" s="20"/>
      <c r="V168" s="19"/>
      <c r="W168" s="27"/>
      <c r="X168" s="20"/>
      <c r="Y168" s="20"/>
      <c r="Z168" s="20"/>
      <c r="AA168" s="20"/>
      <c r="AB168" s="20"/>
      <c r="AC168" s="19"/>
      <c r="AD168" s="27"/>
      <c r="AE168" s="20"/>
      <c r="AF168" s="20"/>
      <c r="AG168" s="20"/>
      <c r="AH168" s="20"/>
      <c r="AI168" s="20"/>
      <c r="AJ168" s="19"/>
      <c r="AK168" s="27"/>
      <c r="AL168" s="20"/>
      <c r="AM168" s="20"/>
      <c r="AN168" s="20"/>
      <c r="AO168" s="20"/>
      <c r="AP168" s="20"/>
      <c r="AQ168" s="19"/>
      <c r="AR168" s="20"/>
      <c r="AS168" s="20"/>
      <c r="AT168" s="20"/>
      <c r="AU168" s="20"/>
      <c r="AV168" s="20"/>
      <c r="AW168" s="20"/>
      <c r="AX168" s="19"/>
      <c r="AY168" s="20"/>
      <c r="AZ168" s="20"/>
      <c r="BA168" s="20"/>
      <c r="BB168" s="20"/>
      <c r="BC168" s="20"/>
      <c r="BD168" s="20"/>
      <c r="BE168" s="19"/>
      <c r="BF168" s="27"/>
      <c r="BG168" s="20"/>
      <c r="BH168" s="20"/>
      <c r="BI168" s="20"/>
      <c r="BJ168" s="20"/>
      <c r="BK168" s="20"/>
      <c r="BL168" s="19"/>
      <c r="BM168" s="34"/>
      <c r="BN168" s="21" t="s">
        <v>350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27"/>
      <c r="CD168" s="20"/>
      <c r="CE168" s="20"/>
      <c r="CF168" s="20"/>
      <c r="CG168" s="20"/>
      <c r="CH168" s="19"/>
      <c r="CI168" s="13"/>
      <c r="CK168" s="57"/>
      <c r="CO168" s="57"/>
      <c r="CZ168" s="58"/>
    </row>
    <row r="169" spans="1:106" s="11" customFormat="1" x14ac:dyDescent="0.3">
      <c r="A169" s="24"/>
      <c r="B169" s="26"/>
      <c r="C169" s="20"/>
      <c r="D169" s="20"/>
      <c r="E169" s="20"/>
      <c r="F169" s="20"/>
      <c r="G169" s="20"/>
      <c r="H169" s="19"/>
      <c r="I169" s="27"/>
      <c r="J169" s="20"/>
      <c r="K169" s="20"/>
      <c r="L169" s="20"/>
      <c r="M169" s="20"/>
      <c r="N169" s="20"/>
      <c r="O169" s="19"/>
      <c r="P169" s="27"/>
      <c r="Q169" s="20"/>
      <c r="R169" s="20"/>
      <c r="S169" s="20"/>
      <c r="T169" s="20"/>
      <c r="U169" s="20"/>
      <c r="V169" s="19"/>
      <c r="W169" s="27"/>
      <c r="X169" s="20"/>
      <c r="Y169" s="20"/>
      <c r="Z169" s="20"/>
      <c r="AA169" s="20"/>
      <c r="AB169" s="20"/>
      <c r="AC169" s="19"/>
      <c r="AD169" s="27"/>
      <c r="AE169" s="20"/>
      <c r="AF169" s="20"/>
      <c r="AG169" s="20"/>
      <c r="AH169" s="20"/>
      <c r="AI169" s="20"/>
      <c r="AJ169" s="19"/>
      <c r="AK169" s="27"/>
      <c r="AL169" s="20"/>
      <c r="AM169" s="20"/>
      <c r="AN169" s="20"/>
      <c r="AO169" s="20"/>
      <c r="AP169" s="20"/>
      <c r="AQ169" s="19"/>
      <c r="AR169" s="20"/>
      <c r="AS169" s="20"/>
      <c r="AT169" s="20"/>
      <c r="AU169" s="20"/>
      <c r="AV169" s="20"/>
      <c r="AW169" s="20"/>
      <c r="AX169" s="19"/>
      <c r="AY169" s="20"/>
      <c r="AZ169" s="20"/>
      <c r="BA169" s="20"/>
      <c r="BB169" s="20"/>
      <c r="BC169" s="20"/>
      <c r="BD169" s="20"/>
      <c r="BE169" s="19"/>
      <c r="BF169" s="29"/>
      <c r="BG169"/>
      <c r="BH169"/>
      <c r="BI169"/>
      <c r="BJ169"/>
      <c r="BK169"/>
      <c r="BL169" s="18"/>
      <c r="BM169" s="34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27"/>
      <c r="CD169" s="20"/>
      <c r="CE169" s="20"/>
      <c r="CF169" s="20"/>
      <c r="CG169" s="20"/>
      <c r="CH169" s="19"/>
      <c r="CI169" s="13"/>
      <c r="CK169" s="57"/>
      <c r="CO169" s="57"/>
      <c r="CZ169" s="58"/>
    </row>
    <row r="170" spans="1:106" s="11" customFormat="1" x14ac:dyDescent="0.3">
      <c r="A170" s="24"/>
      <c r="B170" s="26"/>
      <c r="C170" s="20"/>
      <c r="D170" s="20"/>
      <c r="E170" s="20"/>
      <c r="F170" s="20"/>
      <c r="G170" s="20"/>
      <c r="H170" s="19"/>
      <c r="I170" s="27"/>
      <c r="J170" s="20"/>
      <c r="K170" s="20"/>
      <c r="L170" s="20"/>
      <c r="M170" s="20"/>
      <c r="N170" s="20"/>
      <c r="O170" s="19"/>
      <c r="P170" s="27"/>
      <c r="Q170" s="20"/>
      <c r="R170" s="20"/>
      <c r="S170" s="20"/>
      <c r="T170" s="20"/>
      <c r="U170" s="20"/>
      <c r="V170" s="19"/>
      <c r="W170" s="27"/>
      <c r="X170" s="20"/>
      <c r="Y170" s="20"/>
      <c r="Z170" s="20"/>
      <c r="AA170" s="20"/>
      <c r="AB170" s="20"/>
      <c r="AC170" s="19"/>
      <c r="AD170" s="27"/>
      <c r="AE170" s="20"/>
      <c r="AF170" s="20"/>
      <c r="AG170" s="20"/>
      <c r="AH170" s="20"/>
      <c r="AI170" s="20"/>
      <c r="AJ170" s="19"/>
      <c r="AK170" s="27"/>
      <c r="AL170" s="20"/>
      <c r="AM170" s="20"/>
      <c r="AN170" s="20"/>
      <c r="AO170" s="20"/>
      <c r="AP170" s="20"/>
      <c r="AQ170" s="19"/>
      <c r="AR170" s="20"/>
      <c r="AS170" s="20"/>
      <c r="AT170" s="20"/>
      <c r="AU170" s="20"/>
      <c r="AV170" s="20"/>
      <c r="AW170" s="20"/>
      <c r="AX170" s="19"/>
      <c r="AY170" s="20"/>
      <c r="AZ170" s="20"/>
      <c r="BA170" s="20"/>
      <c r="BB170" s="20"/>
      <c r="BC170" s="20"/>
      <c r="BD170" s="20"/>
      <c r="BE170" s="19"/>
      <c r="BF170" s="30"/>
      <c r="BL170" s="13"/>
      <c r="BM170" s="34"/>
      <c r="BN170" s="21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27"/>
      <c r="CD170" s="20"/>
      <c r="CE170" s="20"/>
      <c r="CF170" s="20"/>
      <c r="CG170" s="20"/>
      <c r="CH170" s="19"/>
      <c r="CI170" s="13"/>
      <c r="CK170" s="57"/>
      <c r="CO170" s="57"/>
      <c r="CZ170" s="58"/>
    </row>
    <row r="171" spans="1:106" s="11" customFormat="1" x14ac:dyDescent="0.3">
      <c r="A171" s="24"/>
      <c r="B171" s="26"/>
      <c r="C171" s="20"/>
      <c r="D171" s="20"/>
      <c r="E171" s="20"/>
      <c r="F171" s="20"/>
      <c r="G171" s="20"/>
      <c r="H171" s="19"/>
      <c r="I171" s="27"/>
      <c r="J171" s="20"/>
      <c r="K171" s="20"/>
      <c r="L171" s="20"/>
      <c r="M171" s="20"/>
      <c r="N171" s="20"/>
      <c r="O171" s="19"/>
      <c r="P171" s="27"/>
      <c r="Q171" s="20"/>
      <c r="R171" s="20"/>
      <c r="S171" s="20"/>
      <c r="T171" s="20"/>
      <c r="U171" s="20"/>
      <c r="V171" s="19"/>
      <c r="W171" s="27"/>
      <c r="X171" s="20"/>
      <c r="Y171" s="20"/>
      <c r="Z171" s="20"/>
      <c r="AA171" s="20"/>
      <c r="AB171" s="20"/>
      <c r="AC171" s="19"/>
      <c r="AD171" s="27"/>
      <c r="AE171" s="20"/>
      <c r="AF171" s="20"/>
      <c r="AG171" s="20"/>
      <c r="AH171" s="20"/>
      <c r="AI171" s="20"/>
      <c r="AJ171" s="19"/>
      <c r="AK171" s="27"/>
      <c r="AL171" s="20"/>
      <c r="AM171" s="20"/>
      <c r="AN171" s="20"/>
      <c r="AO171" s="20"/>
      <c r="AP171" s="20"/>
      <c r="AQ171" s="19"/>
      <c r="AR171" s="20"/>
      <c r="AS171" s="20"/>
      <c r="AT171" s="20"/>
      <c r="AU171" s="20"/>
      <c r="AV171" s="20"/>
      <c r="AW171" s="20"/>
      <c r="AX171" s="19"/>
      <c r="AY171" s="20"/>
      <c r="AZ171" s="20"/>
      <c r="BA171" s="20"/>
      <c r="BB171" s="20"/>
      <c r="BC171" s="20"/>
      <c r="BD171" s="20"/>
      <c r="BE171" s="19"/>
      <c r="BF171" s="23"/>
      <c r="BG171" s="8"/>
      <c r="BH171" s="8"/>
      <c r="BI171" s="8"/>
      <c r="BJ171" s="8"/>
      <c r="BK171" s="8"/>
      <c r="BL171" s="14"/>
      <c r="BM171" s="34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27"/>
      <c r="CD171" s="20"/>
      <c r="CE171" s="20"/>
      <c r="CF171" s="20"/>
      <c r="CG171" s="20"/>
      <c r="CH171" s="19"/>
      <c r="CI171" s="14"/>
      <c r="CK171" s="57"/>
      <c r="CO171" s="57"/>
      <c r="CZ171" s="58"/>
    </row>
    <row r="172" spans="1:106" s="11" customFormat="1" x14ac:dyDescent="0.3">
      <c r="A172" s="24"/>
      <c r="B172" s="26"/>
      <c r="C172" s="20"/>
      <c r="D172" s="20"/>
      <c r="E172" s="20"/>
      <c r="F172" s="20"/>
      <c r="G172" s="20"/>
      <c r="H172" s="19"/>
      <c r="I172" s="27"/>
      <c r="J172" s="20"/>
      <c r="K172" s="20"/>
      <c r="L172" s="20"/>
      <c r="M172" s="20"/>
      <c r="N172" s="20"/>
      <c r="O172" s="19"/>
      <c r="P172" s="27"/>
      <c r="Q172" s="20"/>
      <c r="R172" s="20"/>
      <c r="S172" s="20"/>
      <c r="T172" s="20"/>
      <c r="U172" s="20"/>
      <c r="V172" s="19"/>
      <c r="W172" s="27"/>
      <c r="X172" s="20"/>
      <c r="Y172" s="20"/>
      <c r="Z172" s="20"/>
      <c r="AA172" s="20"/>
      <c r="AB172" s="20"/>
      <c r="AC172" s="19"/>
      <c r="AD172" s="27"/>
      <c r="AE172" s="20"/>
      <c r="AF172" s="20"/>
      <c r="AG172" s="20"/>
      <c r="AH172" s="20"/>
      <c r="AI172" s="20"/>
      <c r="AJ172" s="19"/>
      <c r="AK172" s="27"/>
      <c r="AL172" s="20"/>
      <c r="AM172" s="20"/>
      <c r="AN172" s="20"/>
      <c r="AO172" s="20"/>
      <c r="AP172" s="20"/>
      <c r="AQ172" s="19"/>
      <c r="AR172" s="20"/>
      <c r="AS172" s="20"/>
      <c r="AT172" s="20"/>
      <c r="AU172" s="20"/>
      <c r="AV172" s="20"/>
      <c r="AW172" s="20"/>
      <c r="AX172" s="19"/>
      <c r="AY172" s="20"/>
      <c r="AZ172" s="20"/>
      <c r="BA172" s="20"/>
      <c r="BB172" s="20"/>
      <c r="BC172" s="20"/>
      <c r="BD172" s="20"/>
      <c r="BE172" s="19"/>
      <c r="BF172" s="23"/>
      <c r="BG172" s="8"/>
      <c r="BH172" s="8"/>
      <c r="BI172" s="8"/>
      <c r="BJ172" s="8"/>
      <c r="BK172" s="8"/>
      <c r="BL172" s="14"/>
      <c r="BM172" s="34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27"/>
      <c r="CD172" s="20"/>
      <c r="CE172" s="20"/>
      <c r="CF172" s="20"/>
      <c r="CG172" s="20"/>
      <c r="CH172" s="19"/>
      <c r="CI172" s="14"/>
      <c r="CK172" s="57"/>
      <c r="CO172" s="57"/>
      <c r="CZ172" s="58"/>
    </row>
    <row r="173" spans="1:106" s="11" customFormat="1" x14ac:dyDescent="0.3">
      <c r="A173" s="24"/>
      <c r="B173" s="26"/>
      <c r="C173" s="20"/>
      <c r="D173" s="20"/>
      <c r="E173" s="20"/>
      <c r="F173" s="20"/>
      <c r="G173" s="20"/>
      <c r="H173" s="19"/>
      <c r="I173" s="27"/>
      <c r="J173" s="20"/>
      <c r="K173" s="20"/>
      <c r="L173" s="20"/>
      <c r="M173" s="20"/>
      <c r="N173" s="20"/>
      <c r="O173" s="19"/>
      <c r="P173" s="27"/>
      <c r="Q173" s="20"/>
      <c r="R173" s="20"/>
      <c r="S173" s="20"/>
      <c r="T173" s="20"/>
      <c r="U173" s="20"/>
      <c r="V173" s="19"/>
      <c r="W173" s="27"/>
      <c r="X173" s="20"/>
      <c r="Y173" s="20"/>
      <c r="Z173" s="20"/>
      <c r="AA173" s="20"/>
      <c r="AB173" s="20"/>
      <c r="AC173" s="19"/>
      <c r="AD173" s="27"/>
      <c r="AE173" s="20"/>
      <c r="AF173" s="20"/>
      <c r="AG173" s="20"/>
      <c r="AH173" s="20"/>
      <c r="AI173" s="20"/>
      <c r="AJ173" s="19"/>
      <c r="AK173" s="27"/>
      <c r="AL173" s="20"/>
      <c r="AM173" s="20"/>
      <c r="AN173" s="20"/>
      <c r="AO173" s="20"/>
      <c r="AP173" s="20"/>
      <c r="AQ173" s="19"/>
      <c r="AR173" s="20"/>
      <c r="AS173" s="20"/>
      <c r="AT173" s="20"/>
      <c r="AU173" s="20"/>
      <c r="AV173" s="20"/>
      <c r="AW173" s="20"/>
      <c r="AX173" s="19"/>
      <c r="AY173" s="20"/>
      <c r="AZ173" s="20"/>
      <c r="BA173" s="20"/>
      <c r="BB173" s="20"/>
      <c r="BC173" s="20"/>
      <c r="BD173" s="20"/>
      <c r="BE173" s="19"/>
      <c r="BF173" s="23"/>
      <c r="BG173" s="8"/>
      <c r="BH173" s="8"/>
      <c r="BI173" s="8"/>
      <c r="BJ173" s="8"/>
      <c r="BK173" s="8"/>
      <c r="BL173" s="14"/>
      <c r="BM173" s="34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27"/>
      <c r="CD173" s="20"/>
      <c r="CE173" s="20"/>
      <c r="CF173" s="20"/>
      <c r="CG173" s="20"/>
      <c r="CH173" s="19"/>
      <c r="CI173" s="14"/>
      <c r="CK173" s="57"/>
      <c r="CO173" s="57"/>
      <c r="CZ173" s="58"/>
    </row>
    <row r="174" spans="1:106" s="11" customFormat="1" x14ac:dyDescent="0.3">
      <c r="A174" s="24"/>
      <c r="B174" s="26"/>
      <c r="C174" s="20"/>
      <c r="D174" s="20"/>
      <c r="E174" s="20"/>
      <c r="F174" s="20"/>
      <c r="G174" s="20"/>
      <c r="H174" s="19"/>
      <c r="I174" s="27"/>
      <c r="J174" s="20"/>
      <c r="K174" s="20"/>
      <c r="L174" s="20"/>
      <c r="M174" s="20"/>
      <c r="N174" s="20"/>
      <c r="O174" s="19"/>
      <c r="P174" s="27"/>
      <c r="Q174" s="20"/>
      <c r="R174" s="20"/>
      <c r="S174" s="20"/>
      <c r="T174" s="20"/>
      <c r="U174" s="20"/>
      <c r="V174" s="19"/>
      <c r="W174" s="27"/>
      <c r="X174" s="20"/>
      <c r="Y174" s="20"/>
      <c r="Z174" s="20"/>
      <c r="AA174" s="20"/>
      <c r="AB174" s="20"/>
      <c r="AC174" s="19"/>
      <c r="AD174" s="27"/>
      <c r="AE174" s="20"/>
      <c r="AF174" s="20"/>
      <c r="AG174" s="20"/>
      <c r="AH174" s="20"/>
      <c r="AI174" s="20"/>
      <c r="AJ174" s="19"/>
      <c r="AK174" s="27"/>
      <c r="AL174" s="20"/>
      <c r="AM174" s="20"/>
      <c r="AN174" s="20"/>
      <c r="AO174" s="20"/>
      <c r="AP174" s="20"/>
      <c r="AQ174" s="19"/>
      <c r="AR174" s="20"/>
      <c r="AS174" s="20"/>
      <c r="AT174" s="20"/>
      <c r="AU174" s="20"/>
      <c r="AV174" s="20"/>
      <c r="AW174" s="20"/>
      <c r="AX174" s="19"/>
      <c r="AY174" s="20"/>
      <c r="AZ174" s="20"/>
      <c r="BA174" s="20"/>
      <c r="BB174" s="20"/>
      <c r="BC174" s="20"/>
      <c r="BD174" s="20"/>
      <c r="BE174" s="19"/>
      <c r="BF174" s="23"/>
      <c r="BG174" s="8"/>
      <c r="BH174" s="8"/>
      <c r="BI174" s="8"/>
      <c r="BJ174" s="8"/>
      <c r="BK174" s="8"/>
      <c r="BL174" s="14"/>
      <c r="BM174" s="34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27"/>
      <c r="CD174" s="20"/>
      <c r="CE174" s="20"/>
      <c r="CF174" s="20"/>
      <c r="CG174" s="20"/>
      <c r="CH174" s="19"/>
      <c r="CI174" s="14"/>
      <c r="CK174" s="57"/>
      <c r="CO174" s="57"/>
      <c r="CZ174" s="58"/>
    </row>
    <row r="175" spans="1:106" s="11" customFormat="1" x14ac:dyDescent="0.3">
      <c r="A175" s="24"/>
      <c r="B175" s="26"/>
      <c r="C175" s="20"/>
      <c r="D175" s="20"/>
      <c r="E175" s="20"/>
      <c r="F175" s="20"/>
      <c r="G175" s="20"/>
      <c r="H175" s="19"/>
      <c r="I175" s="27"/>
      <c r="J175" s="20"/>
      <c r="K175" s="20"/>
      <c r="L175" s="20"/>
      <c r="M175" s="20"/>
      <c r="N175" s="20"/>
      <c r="O175" s="19"/>
      <c r="P175" s="27"/>
      <c r="Q175" s="20"/>
      <c r="R175" s="20"/>
      <c r="S175" s="20"/>
      <c r="T175" s="20"/>
      <c r="U175" s="20"/>
      <c r="V175" s="19"/>
      <c r="W175" s="27"/>
      <c r="X175" s="20"/>
      <c r="Y175" s="20"/>
      <c r="Z175" s="20"/>
      <c r="AA175" s="20"/>
      <c r="AB175" s="20"/>
      <c r="AC175" s="19"/>
      <c r="AD175" s="27"/>
      <c r="AE175" s="20"/>
      <c r="AF175" s="20"/>
      <c r="AG175" s="20"/>
      <c r="AH175" s="20"/>
      <c r="AI175" s="20"/>
      <c r="AJ175" s="19"/>
      <c r="AK175" s="27"/>
      <c r="AL175" s="20"/>
      <c r="AM175" s="20"/>
      <c r="AN175" s="20"/>
      <c r="AO175" s="20"/>
      <c r="AP175" s="20"/>
      <c r="AQ175" s="19"/>
      <c r="AR175" s="20"/>
      <c r="AS175" s="20"/>
      <c r="AT175" s="20"/>
      <c r="AU175" s="20"/>
      <c r="AV175" s="20"/>
      <c r="AW175" s="20"/>
      <c r="AX175" s="19"/>
      <c r="AY175" s="20"/>
      <c r="AZ175" s="20"/>
      <c r="BA175" s="20"/>
      <c r="BB175" s="20"/>
      <c r="BC175" s="20"/>
      <c r="BD175" s="20"/>
      <c r="BE175" s="19"/>
      <c r="BF175" s="23"/>
      <c r="BG175" s="8"/>
      <c r="BH175" s="8"/>
      <c r="BI175" s="8"/>
      <c r="BJ175" s="8"/>
      <c r="BK175" s="8"/>
      <c r="BL175" s="14"/>
      <c r="BM175" s="34"/>
      <c r="BN175" s="21" t="s">
        <v>351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27"/>
      <c r="CD175" s="20"/>
      <c r="CE175" s="20"/>
      <c r="CF175" s="20"/>
      <c r="CG175" s="20"/>
      <c r="CH175" s="19"/>
      <c r="CI175" s="14"/>
      <c r="CK175" s="57"/>
      <c r="CO175" s="57"/>
      <c r="CZ175" s="58"/>
    </row>
    <row r="176" spans="1:106" s="11" customFormat="1" x14ac:dyDescent="0.3">
      <c r="A176" s="24"/>
      <c r="B176" s="26"/>
      <c r="C176" s="20"/>
      <c r="D176" s="20"/>
      <c r="E176" s="20"/>
      <c r="F176" s="20"/>
      <c r="G176" s="20"/>
      <c r="H176" s="19"/>
      <c r="I176" s="27"/>
      <c r="J176" s="20"/>
      <c r="K176" s="20"/>
      <c r="L176" s="20"/>
      <c r="M176" s="20"/>
      <c r="N176" s="20"/>
      <c r="O176" s="19"/>
      <c r="P176" s="27"/>
      <c r="Q176" s="20"/>
      <c r="R176" s="20"/>
      <c r="S176" s="20"/>
      <c r="T176" s="20"/>
      <c r="U176" s="20"/>
      <c r="V176" s="19"/>
      <c r="W176" s="27"/>
      <c r="X176" s="20"/>
      <c r="Y176" s="20"/>
      <c r="Z176" s="20"/>
      <c r="AA176" s="20"/>
      <c r="AB176" s="20"/>
      <c r="AC176" s="19"/>
      <c r="AD176" s="27"/>
      <c r="AE176" s="20"/>
      <c r="AF176" s="20"/>
      <c r="AG176" s="20"/>
      <c r="AH176" s="20"/>
      <c r="AI176" s="20"/>
      <c r="AJ176" s="19"/>
      <c r="AK176" s="27"/>
      <c r="AL176" s="20"/>
      <c r="AM176" s="20"/>
      <c r="AN176" s="20"/>
      <c r="AO176" s="20"/>
      <c r="AP176" s="20"/>
      <c r="AQ176" s="19"/>
      <c r="AR176" s="20"/>
      <c r="AS176" s="20"/>
      <c r="AT176" s="20"/>
      <c r="AU176" s="20"/>
      <c r="AV176" s="20"/>
      <c r="AW176" s="20"/>
      <c r="AX176" s="19"/>
      <c r="AY176" s="20"/>
      <c r="AZ176" s="20"/>
      <c r="BA176" s="20"/>
      <c r="BB176" s="20"/>
      <c r="BC176" s="20"/>
      <c r="BD176" s="20"/>
      <c r="BE176" s="19"/>
      <c r="BF176" s="23"/>
      <c r="BG176" s="8"/>
      <c r="BH176" s="8"/>
      <c r="BI176" s="8"/>
      <c r="BJ176" s="8"/>
      <c r="BK176" s="8"/>
      <c r="BL176" s="14"/>
      <c r="BM176" s="34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27"/>
      <c r="CD176" s="20"/>
      <c r="CE176" s="20"/>
      <c r="CF176" s="20"/>
      <c r="CG176" s="20"/>
      <c r="CH176" s="19"/>
      <c r="CI176" s="14"/>
      <c r="CK176" s="57"/>
      <c r="CO176" s="57"/>
      <c r="CZ176" s="58"/>
    </row>
    <row r="177" spans="1:104" s="11" customFormat="1" x14ac:dyDescent="0.3">
      <c r="A177" s="24"/>
      <c r="B177" s="26"/>
      <c r="C177" s="20"/>
      <c r="D177" s="20"/>
      <c r="E177" s="20"/>
      <c r="F177" s="20"/>
      <c r="G177" s="20"/>
      <c r="H177" s="19"/>
      <c r="I177" s="27"/>
      <c r="J177" s="20"/>
      <c r="K177" s="20"/>
      <c r="L177" s="20"/>
      <c r="M177" s="20"/>
      <c r="N177" s="20"/>
      <c r="O177" s="19"/>
      <c r="P177" s="27"/>
      <c r="Q177" s="20"/>
      <c r="R177" s="20"/>
      <c r="S177" s="20"/>
      <c r="T177" s="20"/>
      <c r="U177" s="20"/>
      <c r="V177" s="19"/>
      <c r="W177" s="27"/>
      <c r="X177" s="20"/>
      <c r="Y177" s="20"/>
      <c r="Z177" s="20"/>
      <c r="AA177" s="20"/>
      <c r="AB177" s="20"/>
      <c r="AC177" s="19"/>
      <c r="AD177" s="27"/>
      <c r="AE177" s="20"/>
      <c r="AF177" s="20"/>
      <c r="AG177" s="20"/>
      <c r="AH177" s="20"/>
      <c r="AI177" s="20"/>
      <c r="AJ177" s="19"/>
      <c r="AK177" s="27"/>
      <c r="AL177" s="20"/>
      <c r="AM177" s="20"/>
      <c r="AN177" s="20"/>
      <c r="AO177" s="20"/>
      <c r="AP177" s="20"/>
      <c r="AQ177" s="19"/>
      <c r="AR177" s="20"/>
      <c r="AS177" s="20"/>
      <c r="AT177" s="20"/>
      <c r="AU177" s="20"/>
      <c r="AV177" s="20"/>
      <c r="AW177" s="20"/>
      <c r="AX177" s="19"/>
      <c r="AY177" s="20"/>
      <c r="AZ177" s="20"/>
      <c r="BA177" s="20"/>
      <c r="BB177" s="20"/>
      <c r="BC177" s="20"/>
      <c r="BD177" s="20"/>
      <c r="BE177" s="19"/>
      <c r="BF177" s="23"/>
      <c r="BG177" s="8"/>
      <c r="BH177" s="8"/>
      <c r="BI177" s="8"/>
      <c r="BJ177" s="8"/>
      <c r="BK177" s="8"/>
      <c r="BL177" s="14"/>
      <c r="BM177" s="34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27"/>
      <c r="CD177" s="20"/>
      <c r="CE177" s="20"/>
      <c r="CF177" s="20"/>
      <c r="CG177" s="20"/>
      <c r="CH177" s="19"/>
      <c r="CI177" s="14"/>
      <c r="CK177" s="57"/>
      <c r="CO177" s="57"/>
      <c r="CZ177" s="58"/>
    </row>
    <row r="178" spans="1:104" s="11" customFormat="1" x14ac:dyDescent="0.3">
      <c r="A178" s="24"/>
      <c r="B178" s="26"/>
      <c r="C178" s="20"/>
      <c r="D178" s="20"/>
      <c r="E178" s="20"/>
      <c r="F178" s="20"/>
      <c r="G178" s="20"/>
      <c r="H178" s="19"/>
      <c r="I178" s="27"/>
      <c r="J178" s="20"/>
      <c r="K178" s="20"/>
      <c r="L178" s="20"/>
      <c r="M178" s="20"/>
      <c r="N178" s="20"/>
      <c r="O178" s="19"/>
      <c r="P178" s="27"/>
      <c r="Q178" s="20"/>
      <c r="R178" s="20"/>
      <c r="S178" s="20"/>
      <c r="T178" s="20"/>
      <c r="U178" s="20"/>
      <c r="V178" s="19"/>
      <c r="W178" s="27"/>
      <c r="X178" s="20"/>
      <c r="Y178" s="20"/>
      <c r="Z178" s="20"/>
      <c r="AA178" s="20"/>
      <c r="AB178" s="20"/>
      <c r="AC178" s="19"/>
      <c r="AD178" s="27"/>
      <c r="AE178" s="20"/>
      <c r="AF178" s="20"/>
      <c r="AG178" s="20"/>
      <c r="AH178" s="20"/>
      <c r="AI178" s="20"/>
      <c r="AJ178" s="19"/>
      <c r="AK178" s="27"/>
      <c r="AL178" s="20"/>
      <c r="AM178" s="20"/>
      <c r="AN178" s="20"/>
      <c r="AO178" s="20"/>
      <c r="AP178" s="20"/>
      <c r="AQ178" s="19"/>
      <c r="AR178" s="20"/>
      <c r="AS178" s="20"/>
      <c r="AT178" s="20"/>
      <c r="AU178" s="20"/>
      <c r="AV178" s="20"/>
      <c r="AW178" s="20"/>
      <c r="AX178" s="19"/>
      <c r="AY178" s="20"/>
      <c r="AZ178" s="20"/>
      <c r="BA178" s="20"/>
      <c r="BB178" s="20"/>
      <c r="BC178" s="20"/>
      <c r="BD178" s="20"/>
      <c r="BE178" s="19"/>
      <c r="BF178" s="23"/>
      <c r="BG178" s="8"/>
      <c r="BH178" s="8"/>
      <c r="BI178" s="8"/>
      <c r="BJ178" s="8"/>
      <c r="BK178" s="8"/>
      <c r="BL178" s="14"/>
      <c r="BM178" s="34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27"/>
      <c r="CD178" s="20"/>
      <c r="CE178" s="20"/>
      <c r="CF178" s="20"/>
      <c r="CG178" s="20"/>
      <c r="CH178" s="19"/>
      <c r="CI178" s="14"/>
      <c r="CK178" s="57"/>
      <c r="CO178" s="57"/>
      <c r="CZ178" s="58"/>
    </row>
    <row r="179" spans="1:104" s="11" customFormat="1" x14ac:dyDescent="0.3">
      <c r="A179" s="24"/>
      <c r="B179" s="26"/>
      <c r="C179" s="20"/>
      <c r="D179" s="20"/>
      <c r="E179" s="20"/>
      <c r="F179" s="20"/>
      <c r="G179" s="20"/>
      <c r="H179" s="19"/>
      <c r="I179" s="27"/>
      <c r="J179" s="20"/>
      <c r="K179" s="20"/>
      <c r="L179" s="20"/>
      <c r="M179" s="20"/>
      <c r="N179" s="20"/>
      <c r="O179" s="19"/>
      <c r="P179" s="27"/>
      <c r="Q179" s="20"/>
      <c r="R179" s="20"/>
      <c r="S179" s="20"/>
      <c r="T179" s="20"/>
      <c r="U179" s="20"/>
      <c r="V179" s="19"/>
      <c r="W179" s="27"/>
      <c r="X179" s="20"/>
      <c r="Y179" s="20"/>
      <c r="Z179" s="20"/>
      <c r="AA179" s="20"/>
      <c r="AB179" s="20"/>
      <c r="AC179" s="19"/>
      <c r="AD179" s="27"/>
      <c r="AE179" s="20"/>
      <c r="AF179" s="20"/>
      <c r="AG179" s="20"/>
      <c r="AH179" s="20"/>
      <c r="AI179" s="20"/>
      <c r="AJ179" s="19"/>
      <c r="AK179" s="27"/>
      <c r="AL179" s="20"/>
      <c r="AM179" s="20"/>
      <c r="AN179" s="20"/>
      <c r="AO179" s="20"/>
      <c r="AP179" s="20"/>
      <c r="AQ179" s="19"/>
      <c r="AR179" s="20"/>
      <c r="AS179" s="20"/>
      <c r="AT179" s="20"/>
      <c r="AU179" s="20"/>
      <c r="AV179" s="20"/>
      <c r="AW179" s="20"/>
      <c r="AX179" s="19"/>
      <c r="AY179" s="20"/>
      <c r="AZ179" s="20"/>
      <c r="BA179" s="20"/>
      <c r="BB179" s="20"/>
      <c r="BC179" s="20"/>
      <c r="BD179" s="20"/>
      <c r="BE179" s="19"/>
      <c r="BF179" s="23"/>
      <c r="BG179" s="8"/>
      <c r="BH179" s="8"/>
      <c r="BI179" s="8"/>
      <c r="BJ179" s="8"/>
      <c r="BK179" s="8"/>
      <c r="BL179" s="14"/>
      <c r="BM179" s="34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27"/>
      <c r="CD179" s="20"/>
      <c r="CE179" s="20"/>
      <c r="CF179" s="20"/>
      <c r="CG179" s="20"/>
      <c r="CH179" s="19"/>
      <c r="CI179" s="14"/>
      <c r="CK179" s="57"/>
      <c r="CO179" s="57"/>
      <c r="CZ179" s="58"/>
    </row>
    <row r="180" spans="1:104" s="11" customFormat="1" x14ac:dyDescent="0.3">
      <c r="A180" s="24"/>
      <c r="B180" s="26"/>
      <c r="C180" s="20"/>
      <c r="D180" s="20"/>
      <c r="E180" s="20"/>
      <c r="F180" s="20"/>
      <c r="G180" s="20"/>
      <c r="H180" s="19"/>
      <c r="I180" s="27"/>
      <c r="J180" s="20"/>
      <c r="K180" s="20"/>
      <c r="L180" s="20"/>
      <c r="M180" s="20"/>
      <c r="N180" s="20"/>
      <c r="O180" s="19"/>
      <c r="P180" s="27"/>
      <c r="Q180" s="20"/>
      <c r="R180" s="20"/>
      <c r="S180" s="20"/>
      <c r="T180" s="20"/>
      <c r="U180" s="20"/>
      <c r="V180" s="19"/>
      <c r="W180" s="27"/>
      <c r="X180" s="20"/>
      <c r="Y180" s="20"/>
      <c r="Z180" s="20"/>
      <c r="AA180" s="20"/>
      <c r="AB180" s="20"/>
      <c r="AC180" s="19"/>
      <c r="AD180" s="27"/>
      <c r="AE180" s="20"/>
      <c r="AF180" s="20"/>
      <c r="AG180" s="20"/>
      <c r="AH180" s="20"/>
      <c r="AI180" s="20"/>
      <c r="AJ180" s="19"/>
      <c r="AK180" s="27"/>
      <c r="AL180" s="20"/>
      <c r="AM180" s="20"/>
      <c r="AN180" s="20"/>
      <c r="AO180" s="20"/>
      <c r="AP180" s="20"/>
      <c r="AQ180" s="19"/>
      <c r="AR180" s="20"/>
      <c r="AS180" s="20"/>
      <c r="AT180" s="20"/>
      <c r="AU180" s="20"/>
      <c r="AV180" s="20"/>
      <c r="AW180" s="20"/>
      <c r="AX180" s="19"/>
      <c r="AY180" s="20"/>
      <c r="AZ180" s="20"/>
      <c r="BA180" s="20"/>
      <c r="BB180" s="20"/>
      <c r="BC180" s="20"/>
      <c r="BD180" s="20"/>
      <c r="BE180" s="19"/>
      <c r="BF180" s="23"/>
      <c r="BG180" s="8"/>
      <c r="BH180" s="8"/>
      <c r="BI180" s="8"/>
      <c r="BJ180" s="8"/>
      <c r="BK180" s="8"/>
      <c r="BL180" s="14"/>
      <c r="BM180" s="34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27"/>
      <c r="CD180" s="20"/>
      <c r="CE180" s="20"/>
      <c r="CF180" s="20"/>
      <c r="CG180" s="20"/>
      <c r="CH180" s="19"/>
      <c r="CI180" s="14"/>
      <c r="CK180" s="57"/>
      <c r="CO180" s="57"/>
      <c r="CZ180" s="58"/>
    </row>
    <row r="181" spans="1:104" s="11" customFormat="1" x14ac:dyDescent="0.3">
      <c r="A181" s="24"/>
      <c r="B181" s="26"/>
      <c r="C181" s="20"/>
      <c r="D181" s="20"/>
      <c r="E181" s="20"/>
      <c r="F181" s="20"/>
      <c r="G181" s="20"/>
      <c r="H181" s="19"/>
      <c r="I181" s="27"/>
      <c r="J181" s="20"/>
      <c r="K181" s="20"/>
      <c r="L181" s="20"/>
      <c r="M181" s="20"/>
      <c r="N181" s="20"/>
      <c r="O181" s="19"/>
      <c r="P181" s="27"/>
      <c r="Q181" s="20"/>
      <c r="R181" s="20"/>
      <c r="S181" s="20"/>
      <c r="T181" s="20"/>
      <c r="U181" s="20"/>
      <c r="V181" s="19"/>
      <c r="W181" s="27"/>
      <c r="X181" s="20"/>
      <c r="Y181" s="20"/>
      <c r="Z181" s="20"/>
      <c r="AA181" s="20"/>
      <c r="AB181" s="20"/>
      <c r="AC181" s="19"/>
      <c r="AD181" s="27"/>
      <c r="AE181" s="20"/>
      <c r="AF181" s="20"/>
      <c r="AG181" s="20"/>
      <c r="AH181" s="20"/>
      <c r="AI181" s="20"/>
      <c r="AJ181" s="19"/>
      <c r="AK181" s="27"/>
      <c r="AL181" s="20"/>
      <c r="AM181" s="20"/>
      <c r="AN181" s="20"/>
      <c r="AO181" s="20"/>
      <c r="AP181" s="20"/>
      <c r="AQ181" s="19"/>
      <c r="AR181" s="20"/>
      <c r="AS181" s="20"/>
      <c r="AT181" s="20"/>
      <c r="AU181" s="20"/>
      <c r="AV181" s="20"/>
      <c r="AW181" s="20"/>
      <c r="AX181" s="19"/>
      <c r="AY181" s="20"/>
      <c r="AZ181" s="20"/>
      <c r="BA181" s="20"/>
      <c r="BB181" s="20"/>
      <c r="BC181" s="20"/>
      <c r="BD181" s="20"/>
      <c r="BE181" s="19"/>
      <c r="BF181" s="23"/>
      <c r="BG181" s="8"/>
      <c r="BH181" s="8"/>
      <c r="BI181" s="8"/>
      <c r="BJ181" s="8"/>
      <c r="BK181" s="8"/>
      <c r="BL181" s="14"/>
      <c r="BM181" s="34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27"/>
      <c r="CD181" s="20"/>
      <c r="CE181" s="20"/>
      <c r="CF181" s="20"/>
      <c r="CG181" s="20"/>
      <c r="CH181" s="19"/>
      <c r="CI181" s="14"/>
      <c r="CK181" s="57"/>
      <c r="CO181" s="57"/>
      <c r="CZ181" s="58"/>
    </row>
    <row r="182" spans="1:104" s="11" customFormat="1" x14ac:dyDescent="0.3">
      <c r="A182" s="24"/>
      <c r="B182" s="26"/>
      <c r="C182" s="20"/>
      <c r="D182" s="20"/>
      <c r="E182" s="20"/>
      <c r="F182" s="20"/>
      <c r="G182" s="20"/>
      <c r="H182" s="19"/>
      <c r="I182" s="27"/>
      <c r="J182" s="20"/>
      <c r="K182" s="20"/>
      <c r="L182" s="20"/>
      <c r="M182" s="20"/>
      <c r="N182" s="20"/>
      <c r="O182" s="19"/>
      <c r="P182" s="27"/>
      <c r="Q182" s="20"/>
      <c r="R182" s="20"/>
      <c r="S182" s="20"/>
      <c r="T182" s="20"/>
      <c r="U182" s="20"/>
      <c r="V182" s="19"/>
      <c r="W182" s="27"/>
      <c r="X182" s="20"/>
      <c r="Y182" s="20"/>
      <c r="Z182" s="20"/>
      <c r="AA182" s="20"/>
      <c r="AB182" s="20"/>
      <c r="AC182" s="19"/>
      <c r="AD182" s="27"/>
      <c r="AE182" s="20"/>
      <c r="AF182" s="20"/>
      <c r="AG182" s="20"/>
      <c r="AH182" s="20"/>
      <c r="AI182" s="20"/>
      <c r="AJ182" s="19"/>
      <c r="AK182" s="27"/>
      <c r="AL182" s="20"/>
      <c r="AM182" s="20"/>
      <c r="AN182" s="20"/>
      <c r="AO182" s="20"/>
      <c r="AP182" s="20"/>
      <c r="AQ182" s="19"/>
      <c r="AR182" s="20"/>
      <c r="AS182" s="20"/>
      <c r="AT182" s="20"/>
      <c r="AU182" s="20"/>
      <c r="AV182" s="20"/>
      <c r="AW182" s="20"/>
      <c r="AX182" s="19"/>
      <c r="AY182" s="20"/>
      <c r="AZ182" s="20"/>
      <c r="BA182" s="20"/>
      <c r="BB182" s="20"/>
      <c r="BC182" s="20"/>
      <c r="BD182" s="20"/>
      <c r="BE182" s="19"/>
      <c r="BF182" s="23"/>
      <c r="BG182" s="8"/>
      <c r="BH182" s="8"/>
      <c r="BI182" s="8"/>
      <c r="BJ182" s="8"/>
      <c r="BK182" s="8"/>
      <c r="BL182" s="14"/>
      <c r="BM182" s="34"/>
      <c r="BN182" s="21" t="s">
        <v>352</v>
      </c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84"/>
      <c r="CD182" s="20"/>
      <c r="CE182" s="20"/>
      <c r="CF182" s="20"/>
      <c r="CG182" s="20"/>
      <c r="CH182" s="19"/>
      <c r="CI182" s="14"/>
      <c r="CK182" s="57"/>
      <c r="CO182" s="57"/>
      <c r="CZ182" s="58"/>
    </row>
    <row r="183" spans="1:104" s="11" customFormat="1" x14ac:dyDescent="0.3">
      <c r="A183" s="24"/>
      <c r="B183" s="26"/>
      <c r="C183" s="20"/>
      <c r="D183" s="20"/>
      <c r="E183" s="20"/>
      <c r="F183" s="20"/>
      <c r="G183" s="20"/>
      <c r="H183" s="19"/>
      <c r="I183" s="27"/>
      <c r="J183" s="20"/>
      <c r="K183" s="20"/>
      <c r="L183" s="20"/>
      <c r="M183" s="20"/>
      <c r="N183" s="20"/>
      <c r="O183" s="19"/>
      <c r="P183" s="27"/>
      <c r="Q183" s="20"/>
      <c r="R183" s="20"/>
      <c r="S183" s="20"/>
      <c r="T183" s="20"/>
      <c r="U183" s="20"/>
      <c r="V183" s="19"/>
      <c r="W183" s="27"/>
      <c r="X183" s="20"/>
      <c r="Y183" s="20"/>
      <c r="Z183" s="20"/>
      <c r="AA183" s="20"/>
      <c r="AB183" s="20"/>
      <c r="AC183" s="19"/>
      <c r="AD183" s="27"/>
      <c r="AE183" s="20"/>
      <c r="AF183" s="20"/>
      <c r="AG183" s="20"/>
      <c r="AH183" s="20"/>
      <c r="AI183" s="20"/>
      <c r="AJ183" s="19"/>
      <c r="AK183" s="27"/>
      <c r="AL183" s="20"/>
      <c r="AM183" s="20"/>
      <c r="AN183" s="20"/>
      <c r="AO183" s="20"/>
      <c r="AP183" s="20"/>
      <c r="AQ183" s="19"/>
      <c r="AR183" s="20"/>
      <c r="AS183" s="20"/>
      <c r="AT183" s="20"/>
      <c r="AU183" s="20"/>
      <c r="AV183" s="20"/>
      <c r="AW183" s="20"/>
      <c r="AX183" s="19"/>
      <c r="AY183" s="20"/>
      <c r="AZ183" s="20"/>
      <c r="BA183" s="20"/>
      <c r="BB183" s="20"/>
      <c r="BC183" s="20"/>
      <c r="BD183" s="20"/>
      <c r="BE183" s="19"/>
      <c r="BF183" s="23"/>
      <c r="BG183" s="8"/>
      <c r="BH183" s="8"/>
      <c r="BI183" s="8"/>
      <c r="BJ183" s="8"/>
      <c r="BK183" s="8"/>
      <c r="BL183" s="14"/>
      <c r="BM183" s="34"/>
      <c r="BN183" s="17"/>
      <c r="BO183" s="17" t="s">
        <v>353</v>
      </c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73"/>
      <c r="CD183" s="20"/>
      <c r="CE183" s="20"/>
      <c r="CF183" s="20"/>
      <c r="CG183" s="20"/>
      <c r="CH183" s="19"/>
      <c r="CI183" s="14"/>
      <c r="CK183" s="57"/>
      <c r="CO183" s="57"/>
      <c r="CZ183" s="58"/>
    </row>
    <row r="184" spans="1:104" s="11" customFormat="1" x14ac:dyDescent="0.3">
      <c r="A184" s="24"/>
      <c r="B184" s="26"/>
      <c r="C184" s="20"/>
      <c r="D184" s="20"/>
      <c r="E184" s="20"/>
      <c r="F184" s="20"/>
      <c r="G184" s="20"/>
      <c r="H184" s="19"/>
      <c r="I184" s="27"/>
      <c r="J184" s="20"/>
      <c r="K184" s="20"/>
      <c r="L184" s="20"/>
      <c r="M184" s="20"/>
      <c r="N184" s="20"/>
      <c r="O184" s="19"/>
      <c r="P184" s="27"/>
      <c r="Q184" s="20"/>
      <c r="R184" s="20"/>
      <c r="S184" s="20"/>
      <c r="T184" s="20"/>
      <c r="U184" s="20"/>
      <c r="V184" s="19"/>
      <c r="W184" s="27"/>
      <c r="X184" s="20"/>
      <c r="Y184" s="20"/>
      <c r="Z184" s="20"/>
      <c r="AA184" s="20"/>
      <c r="AB184" s="20"/>
      <c r="AC184" s="19"/>
      <c r="AD184" s="27"/>
      <c r="AE184" s="20"/>
      <c r="AF184" s="20"/>
      <c r="AG184" s="20"/>
      <c r="AH184" s="20"/>
      <c r="AI184" s="20"/>
      <c r="AJ184" s="19"/>
      <c r="AK184" s="27"/>
      <c r="AL184" s="20"/>
      <c r="AM184" s="20"/>
      <c r="AN184" s="20"/>
      <c r="AO184" s="20"/>
      <c r="AP184" s="20"/>
      <c r="AQ184" s="19"/>
      <c r="AR184" s="20"/>
      <c r="AS184" s="20"/>
      <c r="AT184" s="20"/>
      <c r="AU184" s="20"/>
      <c r="AV184" s="20"/>
      <c r="AW184" s="20"/>
      <c r="AX184" s="19"/>
      <c r="AY184" s="20"/>
      <c r="AZ184" s="20"/>
      <c r="BA184" s="20"/>
      <c r="BB184" s="20"/>
      <c r="BC184" s="20"/>
      <c r="BD184" s="20"/>
      <c r="BE184" s="19"/>
      <c r="BF184" s="23"/>
      <c r="BG184" s="8"/>
      <c r="BH184" s="8"/>
      <c r="BI184" s="8"/>
      <c r="BJ184" s="8"/>
      <c r="BK184" s="8"/>
      <c r="BL184" s="14"/>
      <c r="BM184" s="34"/>
      <c r="BN184" s="21"/>
      <c r="BO184" s="17" t="s">
        <v>354</v>
      </c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84"/>
      <c r="CD184" s="20"/>
      <c r="CE184" s="20"/>
      <c r="CF184" s="20"/>
      <c r="CG184" s="20"/>
      <c r="CH184" s="19"/>
      <c r="CI184" s="14"/>
      <c r="CK184" s="57"/>
      <c r="CO184" s="57"/>
      <c r="CZ184" s="58"/>
    </row>
    <row r="185" spans="1:104" s="11" customFormat="1" x14ac:dyDescent="0.3">
      <c r="A185" s="24"/>
      <c r="B185" s="26"/>
      <c r="C185" s="20"/>
      <c r="D185" s="20"/>
      <c r="E185" s="20"/>
      <c r="F185" s="20"/>
      <c r="G185" s="20"/>
      <c r="H185" s="19"/>
      <c r="I185" s="27"/>
      <c r="J185" s="20"/>
      <c r="K185" s="20"/>
      <c r="L185" s="20"/>
      <c r="M185" s="20"/>
      <c r="N185" s="20"/>
      <c r="O185" s="19"/>
      <c r="P185" s="27"/>
      <c r="Q185" s="20"/>
      <c r="R185" s="20"/>
      <c r="S185" s="20"/>
      <c r="T185" s="20"/>
      <c r="U185" s="20"/>
      <c r="V185" s="19"/>
      <c r="W185" s="27"/>
      <c r="X185" s="20"/>
      <c r="Y185" s="20"/>
      <c r="Z185" s="20"/>
      <c r="AA185" s="20"/>
      <c r="AB185" s="20"/>
      <c r="AC185" s="19"/>
      <c r="AD185" s="27"/>
      <c r="AE185" s="20"/>
      <c r="AF185" s="20"/>
      <c r="AG185" s="20"/>
      <c r="AH185" s="20"/>
      <c r="AI185" s="20"/>
      <c r="AJ185" s="19"/>
      <c r="AK185" s="27"/>
      <c r="AL185" s="20"/>
      <c r="AM185" s="20"/>
      <c r="AN185" s="20"/>
      <c r="AO185" s="20"/>
      <c r="AP185" s="20"/>
      <c r="AQ185" s="19"/>
      <c r="AR185" s="20"/>
      <c r="AS185" s="20"/>
      <c r="AT185" s="20"/>
      <c r="AU185" s="20"/>
      <c r="AV185" s="20"/>
      <c r="AW185" s="20"/>
      <c r="AX185" s="19"/>
      <c r="AY185" s="20"/>
      <c r="AZ185" s="20"/>
      <c r="BA185" s="20"/>
      <c r="BB185" s="20"/>
      <c r="BC185" s="20"/>
      <c r="BD185" s="20"/>
      <c r="BE185" s="19"/>
      <c r="BF185" s="23"/>
      <c r="BG185" s="8"/>
      <c r="BH185" s="8"/>
      <c r="BI185" s="8"/>
      <c r="BJ185" s="8"/>
      <c r="BK185" s="8"/>
      <c r="BL185" s="14"/>
      <c r="BM185" s="34"/>
      <c r="BO185" s="86" t="s">
        <v>355</v>
      </c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73" t="s">
        <v>253</v>
      </c>
      <c r="CD185" s="20"/>
      <c r="CE185" s="20"/>
      <c r="CF185" s="20"/>
      <c r="CG185" s="20"/>
      <c r="CH185" s="19"/>
      <c r="CI185" s="14"/>
      <c r="CK185" s="57"/>
      <c r="CO185" s="57"/>
      <c r="CZ185" s="58"/>
    </row>
    <row r="186" spans="1:104" s="11" customFormat="1" x14ac:dyDescent="0.3">
      <c r="A186" s="24"/>
      <c r="B186" s="26"/>
      <c r="C186" s="20"/>
      <c r="D186" s="20"/>
      <c r="E186" s="20"/>
      <c r="F186" s="20"/>
      <c r="G186" s="20"/>
      <c r="H186" s="19"/>
      <c r="I186" s="27"/>
      <c r="J186" s="20"/>
      <c r="K186" s="20"/>
      <c r="L186" s="20"/>
      <c r="M186" s="20"/>
      <c r="N186" s="20"/>
      <c r="O186" s="19"/>
      <c r="P186" s="27"/>
      <c r="Q186" s="20"/>
      <c r="R186" s="20"/>
      <c r="S186" s="20"/>
      <c r="T186" s="20"/>
      <c r="U186" s="20"/>
      <c r="V186" s="19"/>
      <c r="W186" s="27"/>
      <c r="X186" s="20"/>
      <c r="Y186" s="20"/>
      <c r="Z186" s="20"/>
      <c r="AA186" s="20"/>
      <c r="AB186" s="20"/>
      <c r="AC186" s="19"/>
      <c r="AD186" s="27"/>
      <c r="AE186" s="20"/>
      <c r="AF186" s="20"/>
      <c r="AG186" s="20"/>
      <c r="AH186" s="20"/>
      <c r="AI186" s="20"/>
      <c r="AJ186" s="19"/>
      <c r="AK186" s="27"/>
      <c r="AL186" s="20"/>
      <c r="AM186" s="20"/>
      <c r="AN186" s="20"/>
      <c r="AO186" s="20"/>
      <c r="AP186" s="20"/>
      <c r="AQ186" s="19"/>
      <c r="AR186" s="20"/>
      <c r="AS186" s="20"/>
      <c r="AT186" s="20"/>
      <c r="AU186" s="20"/>
      <c r="AV186" s="20"/>
      <c r="AW186" s="20"/>
      <c r="AX186" s="19"/>
      <c r="AY186" s="20"/>
      <c r="AZ186" s="20"/>
      <c r="BA186" s="20"/>
      <c r="BB186" s="20"/>
      <c r="BC186" s="20"/>
      <c r="BD186" s="20"/>
      <c r="BE186" s="19"/>
      <c r="BF186" s="23"/>
      <c r="BG186" s="8"/>
      <c r="BH186" s="8"/>
      <c r="BI186" s="8"/>
      <c r="BJ186" s="8"/>
      <c r="BK186" s="8"/>
      <c r="BL186" s="14"/>
      <c r="BM186" s="34"/>
      <c r="BO186" s="85" t="s">
        <v>356</v>
      </c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27"/>
      <c r="CD186" s="83" t="s">
        <v>382</v>
      </c>
      <c r="CE186" s="20"/>
      <c r="CF186" s="20"/>
      <c r="CG186" s="20"/>
      <c r="CH186" s="19"/>
      <c r="CI186" s="14"/>
      <c r="CK186" s="57"/>
      <c r="CO186" s="57"/>
      <c r="CZ186" s="58"/>
    </row>
    <row r="187" spans="1:104" s="11" customFormat="1" x14ac:dyDescent="0.3">
      <c r="A187" s="24"/>
      <c r="B187" s="26"/>
      <c r="C187" s="20"/>
      <c r="D187" s="20"/>
      <c r="E187" s="20"/>
      <c r="F187" s="20"/>
      <c r="G187" s="20"/>
      <c r="H187" s="19"/>
      <c r="I187" s="27"/>
      <c r="J187" s="20"/>
      <c r="K187" s="20"/>
      <c r="L187" s="20"/>
      <c r="M187" s="20"/>
      <c r="N187" s="20"/>
      <c r="O187" s="19"/>
      <c r="P187" s="27"/>
      <c r="Q187" s="20"/>
      <c r="R187" s="20"/>
      <c r="S187" s="20"/>
      <c r="T187" s="20"/>
      <c r="U187" s="20"/>
      <c r="V187" s="19"/>
      <c r="W187" s="27"/>
      <c r="X187" s="20"/>
      <c r="Y187" s="20"/>
      <c r="Z187" s="20"/>
      <c r="AA187" s="20"/>
      <c r="AB187" s="20"/>
      <c r="AC187" s="19"/>
      <c r="AD187" s="27"/>
      <c r="AE187" s="20"/>
      <c r="AF187" s="20"/>
      <c r="AG187" s="20"/>
      <c r="AH187" s="20"/>
      <c r="AI187" s="20"/>
      <c r="AJ187" s="19"/>
      <c r="AK187" s="27"/>
      <c r="AL187" s="20"/>
      <c r="AM187" s="20"/>
      <c r="AN187" s="20"/>
      <c r="AO187" s="20"/>
      <c r="AP187" s="20"/>
      <c r="AQ187" s="19"/>
      <c r="AR187" s="20"/>
      <c r="AS187" s="20"/>
      <c r="AT187" s="20"/>
      <c r="AU187" s="20"/>
      <c r="AV187" s="20"/>
      <c r="AW187" s="20"/>
      <c r="AX187" s="19"/>
      <c r="AY187" s="20"/>
      <c r="AZ187" s="20"/>
      <c r="BA187" s="20"/>
      <c r="BB187" s="20"/>
      <c r="BC187" s="20"/>
      <c r="BD187" s="20"/>
      <c r="BE187" s="19"/>
      <c r="BF187" s="23"/>
      <c r="BG187" s="8"/>
      <c r="BH187" s="8"/>
      <c r="BI187" s="8"/>
      <c r="BJ187" s="8"/>
      <c r="BK187" s="8"/>
      <c r="BL187" s="14"/>
      <c r="BM187" s="34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27"/>
      <c r="CD187" s="20"/>
      <c r="CE187" s="20"/>
      <c r="CF187" s="20"/>
      <c r="CG187" s="20"/>
      <c r="CH187" s="19"/>
      <c r="CI187" s="14"/>
      <c r="CK187" s="57"/>
      <c r="CO187" s="57"/>
      <c r="CZ187" s="58"/>
    </row>
    <row r="188" spans="1:104" s="11" customFormat="1" ht="13.5" customHeight="1" x14ac:dyDescent="0.3">
      <c r="A188" s="24"/>
      <c r="B188" s="28"/>
      <c r="C188" s="12"/>
      <c r="D188" s="12"/>
      <c r="E188" s="12"/>
      <c r="F188" s="12"/>
      <c r="G188" s="12"/>
      <c r="H188" s="18"/>
      <c r="I188" s="29"/>
      <c r="J188"/>
      <c r="K188"/>
      <c r="L188"/>
      <c r="M188"/>
      <c r="N188"/>
      <c r="O188" s="18"/>
      <c r="P188" s="29"/>
      <c r="Q188"/>
      <c r="R188"/>
      <c r="S188"/>
      <c r="T188"/>
      <c r="U188"/>
      <c r="V188" s="18"/>
      <c r="W188" s="29"/>
      <c r="X188"/>
      <c r="Y188"/>
      <c r="Z188"/>
      <c r="AA188"/>
      <c r="AB188"/>
      <c r="AC188" s="18"/>
      <c r="AD188" s="29"/>
      <c r="AE188"/>
      <c r="AF188"/>
      <c r="AG188"/>
      <c r="AH188"/>
      <c r="AI188"/>
      <c r="AJ188" s="18"/>
      <c r="AK188" s="29"/>
      <c r="AL188"/>
      <c r="AM188"/>
      <c r="AN188"/>
      <c r="AO188"/>
      <c r="AP188"/>
      <c r="AQ188" s="18"/>
      <c r="AR188"/>
      <c r="AS188"/>
      <c r="AT188"/>
      <c r="AU188"/>
      <c r="AV188"/>
      <c r="AW188"/>
      <c r="AX188" s="18"/>
      <c r="AY188"/>
      <c r="AZ188"/>
      <c r="BA188"/>
      <c r="BB188"/>
      <c r="BC188"/>
      <c r="BD188"/>
      <c r="BE188" s="18"/>
      <c r="BF188" s="23"/>
      <c r="BG188" s="8"/>
      <c r="BH188" s="8"/>
      <c r="BI188" s="8"/>
      <c r="BJ188" s="8"/>
      <c r="BK188" s="8"/>
      <c r="BL188" s="14"/>
      <c r="BM188" s="30"/>
      <c r="BN188" s="21" t="s">
        <v>297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C188" s="27"/>
      <c r="CD188" s="20"/>
      <c r="CE188" s="20"/>
      <c r="CF188" s="20"/>
      <c r="CH188" s="13"/>
      <c r="CI188" s="14"/>
      <c r="CK188" s="57"/>
      <c r="CO188" s="57"/>
      <c r="CZ188" s="58"/>
    </row>
    <row r="189" spans="1:104" s="11" customFormat="1" x14ac:dyDescent="0.3">
      <c r="A189" s="24"/>
      <c r="B189" s="28"/>
      <c r="C189" s="12"/>
      <c r="D189" s="12"/>
      <c r="E189" s="12"/>
      <c r="F189" s="12"/>
      <c r="G189" s="12"/>
      <c r="H189" s="18"/>
      <c r="I189" s="30"/>
      <c r="O189" s="13"/>
      <c r="P189" s="30"/>
      <c r="V189" s="13"/>
      <c r="W189" s="30"/>
      <c r="AC189" s="13"/>
      <c r="AD189" s="30"/>
      <c r="AJ189" s="13"/>
      <c r="AK189" s="30"/>
      <c r="AQ189" s="13"/>
      <c r="AX189" s="18"/>
      <c r="BE189" s="18"/>
      <c r="BF189" s="23"/>
      <c r="BG189" s="8"/>
      <c r="BH189" s="8"/>
      <c r="BI189" s="8"/>
      <c r="BJ189" s="8"/>
      <c r="BK189" s="8"/>
      <c r="BL189" s="14"/>
      <c r="BO189" s="17" t="s">
        <v>298</v>
      </c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C189" s="23"/>
      <c r="CD189" s="8"/>
      <c r="CE189" s="8"/>
      <c r="CH189" s="13"/>
      <c r="CI189" s="14"/>
      <c r="CK189" s="57"/>
      <c r="CO189" s="57"/>
      <c r="CZ189" s="58"/>
    </row>
    <row r="190" spans="1:104" x14ac:dyDescent="0.3">
      <c r="A190" s="23"/>
      <c r="B190" s="23"/>
      <c r="H190" s="14"/>
      <c r="I190" s="23"/>
      <c r="O190" s="14"/>
      <c r="P190" s="23"/>
      <c r="V190" s="14"/>
      <c r="W190" s="23"/>
      <c r="AC190" s="14"/>
      <c r="AD190" s="23"/>
      <c r="AJ190" s="14"/>
      <c r="AK190" s="23"/>
      <c r="AQ190" s="14"/>
      <c r="AX190" s="18"/>
      <c r="BE190" s="18"/>
      <c r="BF190" s="23"/>
      <c r="BL190" s="14"/>
      <c r="BM190" s="30"/>
      <c r="BN190" s="11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1"/>
      <c r="CB190" s="11"/>
      <c r="CC190" s="23"/>
      <c r="CH190" s="14"/>
      <c r="CI190" s="14"/>
      <c r="CK190" s="59"/>
      <c r="CO190" s="59"/>
      <c r="CZ190" s="60"/>
    </row>
    <row r="191" spans="1:104" x14ac:dyDescent="0.3">
      <c r="A191" s="23"/>
      <c r="B191" s="23"/>
      <c r="H191" s="14"/>
      <c r="I191" s="23"/>
      <c r="O191" s="14"/>
      <c r="P191" s="23"/>
      <c r="V191" s="14"/>
      <c r="W191" s="23"/>
      <c r="AC191" s="14"/>
      <c r="AD191" s="23"/>
      <c r="AJ191" s="14"/>
      <c r="AK191" s="23"/>
      <c r="AQ191" s="14"/>
      <c r="AX191" s="18"/>
      <c r="BE191" s="18"/>
      <c r="BF191" s="23"/>
      <c r="BL191" s="14"/>
      <c r="BM191" s="30"/>
      <c r="BN191" s="11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B191" s="11"/>
      <c r="CC191" s="23"/>
      <c r="CH191" s="14"/>
      <c r="CI191" s="14"/>
      <c r="CK191" s="59"/>
      <c r="CO191" s="59"/>
      <c r="CZ191" s="60"/>
    </row>
    <row r="192" spans="1:104" x14ac:dyDescent="0.3">
      <c r="A192" s="23"/>
      <c r="B192" s="23"/>
      <c r="H192" s="14"/>
      <c r="I192" s="23"/>
      <c r="O192" s="14"/>
      <c r="P192" s="23"/>
      <c r="V192" s="14"/>
      <c r="W192" s="23"/>
      <c r="AC192" s="14"/>
      <c r="AD192" s="23"/>
      <c r="AJ192" s="14"/>
      <c r="AK192" s="23"/>
      <c r="AQ192" s="14"/>
      <c r="AX192" s="18"/>
      <c r="BE192" s="18"/>
      <c r="BF192" s="23"/>
      <c r="BL192" s="14"/>
      <c r="BM192" s="30"/>
      <c r="BN192" s="11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B192" s="11"/>
      <c r="CC192" s="23"/>
      <c r="CH192" s="14"/>
      <c r="CI192" s="14"/>
      <c r="CK192" s="59"/>
      <c r="CO192" s="59"/>
      <c r="CZ192" s="60"/>
    </row>
    <row r="193" spans="1:104" x14ac:dyDescent="0.3">
      <c r="A193" s="23"/>
      <c r="B193" s="23"/>
      <c r="H193" s="14"/>
      <c r="I193" s="23"/>
      <c r="O193" s="14"/>
      <c r="P193" s="23"/>
      <c r="V193" s="14"/>
      <c r="W193" s="23"/>
      <c r="AC193" s="14"/>
      <c r="AD193" s="23"/>
      <c r="AJ193" s="14"/>
      <c r="AK193" s="23"/>
      <c r="AQ193" s="14"/>
      <c r="AX193" s="18"/>
      <c r="BE193" s="18"/>
      <c r="BF193" s="23"/>
      <c r="BL193" s="14"/>
      <c r="BM193" s="30"/>
      <c r="BN193" s="21" t="s">
        <v>357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B193" s="11"/>
      <c r="CC193" s="23"/>
      <c r="CH193" s="14"/>
      <c r="CI193" s="14"/>
      <c r="CK193" s="59"/>
      <c r="CO193" s="59"/>
      <c r="CZ193" s="60"/>
    </row>
    <row r="194" spans="1:104" x14ac:dyDescent="0.3">
      <c r="A194" s="23"/>
      <c r="B194" s="23"/>
      <c r="H194" s="14"/>
      <c r="I194" s="23"/>
      <c r="O194" s="14"/>
      <c r="P194" s="23"/>
      <c r="V194" s="14"/>
      <c r="W194" s="23"/>
      <c r="AC194" s="14"/>
      <c r="AD194" s="23"/>
      <c r="AJ194" s="14"/>
      <c r="AK194" s="23"/>
      <c r="AQ194" s="14"/>
      <c r="AX194" s="18"/>
      <c r="BE194" s="18"/>
      <c r="BF194" s="23"/>
      <c r="BL194" s="14"/>
      <c r="BM194" s="30"/>
      <c r="BN194" s="11"/>
      <c r="BO194" s="17" t="s">
        <v>358</v>
      </c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B194" s="11"/>
      <c r="CC194" s="23"/>
      <c r="CH194" s="14"/>
      <c r="CI194" s="14"/>
      <c r="CK194" s="59"/>
      <c r="CO194" s="59"/>
      <c r="CZ194" s="60"/>
    </row>
    <row r="195" spans="1:104" x14ac:dyDescent="0.3">
      <c r="A195" s="23"/>
      <c r="B195" s="23"/>
      <c r="H195" s="14"/>
      <c r="I195" s="23"/>
      <c r="O195" s="14"/>
      <c r="P195" s="23"/>
      <c r="V195" s="14"/>
      <c r="W195" s="23"/>
      <c r="AC195" s="14"/>
      <c r="AD195" s="23"/>
      <c r="AJ195" s="14"/>
      <c r="AK195" s="23"/>
      <c r="AQ195" s="14"/>
      <c r="AX195" s="18"/>
      <c r="BE195" s="18"/>
      <c r="BF195" s="23"/>
      <c r="BL195" s="14"/>
      <c r="BM195" s="73"/>
      <c r="BN195" s="21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C195" s="23"/>
      <c r="CH195" s="14"/>
      <c r="CI195" s="14"/>
      <c r="CK195" s="59"/>
      <c r="CO195" s="59"/>
      <c r="CZ195" s="60"/>
    </row>
    <row r="196" spans="1:104" x14ac:dyDescent="0.3">
      <c r="A196" s="23"/>
      <c r="B196" s="23"/>
      <c r="H196" s="14"/>
      <c r="I196" s="23"/>
      <c r="O196" s="14"/>
      <c r="P196" s="23"/>
      <c r="V196" s="14"/>
      <c r="W196" s="23"/>
      <c r="AC196" s="14"/>
      <c r="AD196" s="23"/>
      <c r="AJ196" s="14"/>
      <c r="AK196" s="23"/>
      <c r="AQ196" s="14"/>
      <c r="AX196" s="18"/>
      <c r="BE196" s="18"/>
      <c r="BF196" s="23"/>
      <c r="BL196" s="14"/>
      <c r="BM196" s="30"/>
      <c r="BN196" s="11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C196" s="23"/>
      <c r="CH196" s="14"/>
      <c r="CI196" s="14"/>
      <c r="CK196" s="59"/>
      <c r="CO196" s="59"/>
      <c r="CZ196" s="60"/>
    </row>
    <row r="197" spans="1:104" x14ac:dyDescent="0.3">
      <c r="A197" s="23"/>
      <c r="B197" s="23"/>
      <c r="H197" s="14"/>
      <c r="I197" s="23"/>
      <c r="O197" s="14"/>
      <c r="P197" s="23"/>
      <c r="V197" s="14"/>
      <c r="W197" s="23"/>
      <c r="AC197" s="14"/>
      <c r="AD197" s="23"/>
      <c r="AJ197" s="14"/>
      <c r="AK197" s="23"/>
      <c r="AQ197" s="14"/>
      <c r="AX197" s="18"/>
      <c r="BE197" s="18"/>
      <c r="BF197" s="23"/>
      <c r="BL197" s="14"/>
      <c r="BM197" s="30"/>
      <c r="BN197" s="11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C197" s="23"/>
      <c r="CH197" s="14"/>
      <c r="CI197" s="14"/>
      <c r="CK197" s="59"/>
      <c r="CO197" s="59"/>
      <c r="CZ197" s="60"/>
    </row>
    <row r="198" spans="1:104" x14ac:dyDescent="0.3">
      <c r="A198" s="23"/>
      <c r="B198" s="23"/>
      <c r="H198" s="14"/>
      <c r="I198" s="23"/>
      <c r="O198" s="14"/>
      <c r="P198" s="23"/>
      <c r="V198" s="14"/>
      <c r="W198" s="23"/>
      <c r="AC198" s="14"/>
      <c r="AD198" s="23"/>
      <c r="AJ198" s="14"/>
      <c r="AK198" s="23"/>
      <c r="AQ198" s="14"/>
      <c r="AX198" s="18"/>
      <c r="BE198" s="18"/>
      <c r="BF198" s="23"/>
      <c r="BL198" s="14"/>
      <c r="BM198" s="73" t="s">
        <v>359</v>
      </c>
      <c r="BN198" s="21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C198" s="23"/>
      <c r="CH198" s="14"/>
      <c r="CI198" s="14"/>
      <c r="CK198" s="59"/>
      <c r="CO198" s="59"/>
      <c r="CZ198" s="60"/>
    </row>
    <row r="199" spans="1:104" x14ac:dyDescent="0.3">
      <c r="A199" s="23"/>
      <c r="B199" s="23"/>
      <c r="H199" s="14"/>
      <c r="I199" s="23"/>
      <c r="O199" s="14"/>
      <c r="P199" s="23"/>
      <c r="V199" s="14"/>
      <c r="W199" s="23"/>
      <c r="AC199" s="14"/>
      <c r="AD199" s="23"/>
      <c r="AJ199" s="14"/>
      <c r="AK199" s="23"/>
      <c r="AQ199" s="14"/>
      <c r="AX199" s="18"/>
      <c r="BE199" s="18"/>
      <c r="BF199" s="23"/>
      <c r="BL199" s="14"/>
      <c r="BM199" s="23"/>
      <c r="BN199" s="11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C199" s="23"/>
      <c r="CH199" s="14"/>
      <c r="CI199" s="14"/>
      <c r="CK199" s="59"/>
      <c r="CO199" s="59"/>
      <c r="CZ199" s="60"/>
    </row>
    <row r="200" spans="1:104" x14ac:dyDescent="0.3">
      <c r="A200" s="23"/>
      <c r="B200" s="23"/>
      <c r="H200" s="14"/>
      <c r="I200" s="23"/>
      <c r="O200" s="14"/>
      <c r="P200" s="23"/>
      <c r="V200" s="14"/>
      <c r="W200" s="23"/>
      <c r="AC200" s="14"/>
      <c r="AD200" s="23"/>
      <c r="AJ200" s="14"/>
      <c r="AK200" s="23"/>
      <c r="AQ200" s="14"/>
      <c r="AX200" s="18"/>
      <c r="BE200" s="18"/>
      <c r="BF200" s="23"/>
      <c r="BL200" s="14"/>
      <c r="BM200" s="23"/>
      <c r="BN200" s="21" t="s">
        <v>360</v>
      </c>
      <c r="BO200" s="17"/>
      <c r="BP200" s="17"/>
      <c r="BQ200" s="17"/>
      <c r="BR200" s="17"/>
      <c r="BS200" s="17"/>
      <c r="BT200" s="17"/>
      <c r="BU200" s="17"/>
      <c r="BV200" s="17"/>
      <c r="BW200" s="11"/>
      <c r="BX200" s="17"/>
      <c r="BY200" s="17"/>
      <c r="BZ200" s="17"/>
      <c r="CC200" s="23"/>
      <c r="CH200" s="14"/>
      <c r="CI200" s="14"/>
      <c r="CK200" s="59"/>
      <c r="CO200" s="59"/>
      <c r="CZ200" s="60"/>
    </row>
    <row r="201" spans="1:104" x14ac:dyDescent="0.3">
      <c r="A201" s="23"/>
      <c r="B201" s="23"/>
      <c r="H201" s="14"/>
      <c r="I201" s="23"/>
      <c r="O201" s="14"/>
      <c r="P201" s="23"/>
      <c r="V201" s="14"/>
      <c r="W201" s="23"/>
      <c r="AC201" s="14"/>
      <c r="AD201" s="23"/>
      <c r="AJ201" s="14"/>
      <c r="AK201" s="23"/>
      <c r="AQ201" s="14"/>
      <c r="AX201" s="18"/>
      <c r="BE201" s="18"/>
      <c r="BF201" s="23"/>
      <c r="BL201" s="14"/>
      <c r="BM201" s="23"/>
      <c r="BN201" s="17"/>
      <c r="BO201" s="17" t="s">
        <v>361</v>
      </c>
      <c r="BP201" s="17"/>
      <c r="BQ201" s="17"/>
      <c r="BR201" s="17"/>
      <c r="BS201" s="17"/>
      <c r="BT201" s="17"/>
      <c r="BU201" s="17"/>
      <c r="BV201" s="17"/>
      <c r="BW201" s="11"/>
      <c r="BX201" s="17"/>
      <c r="BY201" s="17"/>
      <c r="BZ201" s="17"/>
      <c r="CC201" s="23"/>
      <c r="CH201" s="14"/>
      <c r="CI201" s="14"/>
      <c r="CK201" s="59"/>
      <c r="CO201" s="59"/>
      <c r="CZ201" s="60"/>
    </row>
    <row r="202" spans="1:104" x14ac:dyDescent="0.3">
      <c r="A202" s="23"/>
      <c r="B202" s="23"/>
      <c r="H202" s="14"/>
      <c r="I202" s="23"/>
      <c r="O202" s="14"/>
      <c r="P202" s="23"/>
      <c r="V202" s="14"/>
      <c r="W202" s="23"/>
      <c r="AC202" s="14"/>
      <c r="AD202" s="23"/>
      <c r="AJ202" s="14"/>
      <c r="AK202" s="23"/>
      <c r="AQ202" s="14"/>
      <c r="AX202" s="18"/>
      <c r="BE202" s="18"/>
      <c r="BF202" s="23"/>
      <c r="BL202" s="14"/>
      <c r="BM202" s="23"/>
      <c r="BN202" s="21"/>
      <c r="BO202" s="17" t="s">
        <v>362</v>
      </c>
      <c r="BP202" s="17"/>
      <c r="BQ202" s="17"/>
      <c r="BR202" s="17"/>
      <c r="BS202" s="17"/>
      <c r="BT202" s="17"/>
      <c r="BU202" s="17"/>
      <c r="BV202" s="17"/>
      <c r="CC202" s="23"/>
      <c r="CH202" s="14"/>
      <c r="CI202" s="14"/>
      <c r="CK202" s="59"/>
      <c r="CO202" s="59"/>
      <c r="CZ202" s="60"/>
    </row>
    <row r="203" spans="1:104" x14ac:dyDescent="0.3">
      <c r="A203" s="23"/>
      <c r="B203" s="23"/>
      <c r="H203" s="14"/>
      <c r="I203" s="23"/>
      <c r="O203" s="14"/>
      <c r="P203" s="23"/>
      <c r="V203" s="14"/>
      <c r="W203" s="23"/>
      <c r="AC203" s="14"/>
      <c r="AD203" s="23"/>
      <c r="AJ203" s="14"/>
      <c r="AK203" s="23"/>
      <c r="AQ203" s="14"/>
      <c r="AX203" s="18"/>
      <c r="BE203" s="18"/>
      <c r="BF203" s="23"/>
      <c r="BL203" s="14"/>
      <c r="BM203" s="23"/>
      <c r="BN203" s="16"/>
      <c r="BO203" s="11"/>
      <c r="BP203" s="11"/>
      <c r="BQ203" s="11"/>
      <c r="CC203" s="23"/>
      <c r="CH203" s="14"/>
      <c r="CI203" s="14"/>
      <c r="CK203" s="59"/>
      <c r="CO203" s="59"/>
      <c r="CZ203" s="60"/>
    </row>
    <row r="204" spans="1:104" x14ac:dyDescent="0.3">
      <c r="A204" s="23"/>
      <c r="B204" s="23"/>
      <c r="H204" s="14"/>
      <c r="I204" s="23"/>
      <c r="O204" s="14"/>
      <c r="P204" s="23"/>
      <c r="V204" s="14"/>
      <c r="W204" s="23"/>
      <c r="AC204" s="14"/>
      <c r="AD204" s="23"/>
      <c r="AJ204" s="14"/>
      <c r="AK204" s="23"/>
      <c r="AQ204" s="14"/>
      <c r="AX204" s="18"/>
      <c r="BE204" s="18"/>
      <c r="BF204" s="23"/>
      <c r="BL204" s="14"/>
      <c r="BM204" s="23"/>
      <c r="BN204" s="11"/>
      <c r="BO204" s="11"/>
      <c r="BP204" s="11"/>
      <c r="BQ204" s="11"/>
      <c r="CC204" s="23"/>
      <c r="CH204" s="14"/>
      <c r="CI204" s="14"/>
      <c r="CK204" s="59"/>
      <c r="CO204" s="59"/>
      <c r="CZ204" s="60"/>
    </row>
    <row r="205" spans="1:104" x14ac:dyDescent="0.3">
      <c r="A205" s="23"/>
      <c r="B205" s="23"/>
      <c r="H205" s="14"/>
      <c r="I205" s="23"/>
      <c r="O205" s="14"/>
      <c r="P205" s="23"/>
      <c r="V205" s="14"/>
      <c r="W205" s="23"/>
      <c r="AC205" s="14"/>
      <c r="AD205" s="23"/>
      <c r="AJ205" s="14"/>
      <c r="AK205" s="23"/>
      <c r="AQ205" s="14"/>
      <c r="AX205" s="18"/>
      <c r="BE205" s="18"/>
      <c r="BF205" s="23"/>
      <c r="BL205" s="14"/>
      <c r="BM205" s="23"/>
      <c r="CC205" s="23"/>
      <c r="CH205" s="14"/>
      <c r="CI205" s="14"/>
      <c r="CK205" s="59"/>
      <c r="CO205" s="59"/>
      <c r="CZ205" s="60"/>
    </row>
    <row r="206" spans="1:104" x14ac:dyDescent="0.3">
      <c r="A206" s="23"/>
      <c r="B206" s="23"/>
      <c r="H206" s="14"/>
      <c r="I206" s="23"/>
      <c r="O206" s="14"/>
      <c r="P206" s="23"/>
      <c r="V206" s="14"/>
      <c r="W206" s="23"/>
      <c r="AC206" s="14"/>
      <c r="AD206" s="23"/>
      <c r="AJ206" s="14"/>
      <c r="AK206" s="23"/>
      <c r="AQ206" s="14"/>
      <c r="AR206" s="23"/>
      <c r="AY206" s="23"/>
      <c r="BF206" s="23"/>
      <c r="BM206" s="23"/>
      <c r="CC206" s="23"/>
      <c r="CH206" s="14"/>
      <c r="CI206" s="14"/>
      <c r="CK206" s="59"/>
      <c r="CO206" s="59"/>
      <c r="CZ206" s="60"/>
    </row>
    <row r="207" spans="1:104" x14ac:dyDescent="0.3">
      <c r="A207" s="23"/>
      <c r="B207" s="23"/>
      <c r="H207" s="14"/>
      <c r="I207" s="23"/>
      <c r="O207" s="14"/>
      <c r="P207" s="23"/>
      <c r="V207" s="14"/>
      <c r="W207" s="23"/>
      <c r="AC207" s="14"/>
      <c r="AD207" s="23"/>
      <c r="AJ207" s="14"/>
      <c r="AK207" s="23"/>
      <c r="AQ207" s="14"/>
      <c r="AR207" s="23"/>
      <c r="AY207" s="23"/>
      <c r="BF207" s="23"/>
      <c r="BM207" s="23"/>
      <c r="BS207" s="17"/>
      <c r="CC207" s="23"/>
      <c r="CH207" s="14"/>
      <c r="CI207" s="14"/>
      <c r="CK207" s="59"/>
      <c r="CO207" s="59"/>
      <c r="CZ207" s="60"/>
    </row>
    <row r="208" spans="1:104" x14ac:dyDescent="0.3">
      <c r="A208" s="23"/>
      <c r="B208" s="23"/>
      <c r="H208" s="14"/>
      <c r="I208" s="23"/>
      <c r="O208" s="14"/>
      <c r="P208" s="23"/>
      <c r="V208" s="14"/>
      <c r="W208" s="23"/>
      <c r="AC208" s="14"/>
      <c r="AD208" s="23"/>
      <c r="AJ208" s="14"/>
      <c r="AK208" s="23"/>
      <c r="AQ208" s="14"/>
      <c r="AR208" s="23"/>
      <c r="AY208" s="23"/>
      <c r="BF208" s="23"/>
      <c r="BM208" s="23"/>
      <c r="BS208" s="17"/>
      <c r="CC208" s="23"/>
      <c r="CH208" s="14"/>
      <c r="CI208" s="14"/>
      <c r="CK208" s="59"/>
      <c r="CO208" s="59"/>
      <c r="CZ208" s="60"/>
    </row>
    <row r="209" spans="1:106" x14ac:dyDescent="0.3">
      <c r="A209" s="23"/>
      <c r="B209" s="23"/>
      <c r="H209" s="14"/>
      <c r="I209" s="23"/>
      <c r="O209" s="14"/>
      <c r="P209" s="23"/>
      <c r="V209" s="14"/>
      <c r="W209" s="23"/>
      <c r="AC209" s="14"/>
      <c r="AD209" s="23"/>
      <c r="AJ209" s="14"/>
      <c r="AK209" s="23"/>
      <c r="AQ209" s="14"/>
      <c r="AR209" s="23"/>
      <c r="AY209" s="23"/>
      <c r="BF209" s="23"/>
      <c r="BM209" s="23"/>
      <c r="BS209" s="17"/>
      <c r="CC209" s="23"/>
      <c r="CH209" s="14"/>
      <c r="CI209" s="14"/>
      <c r="CK209" s="59"/>
      <c r="CO209" s="59"/>
      <c r="CZ209" s="60"/>
    </row>
    <row r="210" spans="1:106" x14ac:dyDescent="0.3">
      <c r="A210" s="23"/>
      <c r="B210" s="23"/>
      <c r="H210" s="14"/>
      <c r="I210" s="23"/>
      <c r="O210" s="14"/>
      <c r="P210" s="23"/>
      <c r="V210" s="14"/>
      <c r="W210" s="23"/>
      <c r="AC210" s="14"/>
      <c r="AD210" s="23"/>
      <c r="AJ210" s="14"/>
      <c r="AK210" s="23"/>
      <c r="AQ210" s="14"/>
      <c r="AR210" s="23"/>
      <c r="AY210" s="23"/>
      <c r="BF210" s="23"/>
      <c r="BM210" s="23"/>
      <c r="BN210" s="21" t="s">
        <v>363</v>
      </c>
      <c r="CC210" s="23"/>
      <c r="CH210" s="14"/>
      <c r="CI210" s="14"/>
      <c r="CK210" s="59"/>
      <c r="CO210" s="59"/>
      <c r="CZ210" s="60"/>
    </row>
    <row r="211" spans="1:106" x14ac:dyDescent="0.3">
      <c r="A211" s="23"/>
      <c r="B211" s="23"/>
      <c r="H211" s="14"/>
      <c r="I211" s="23"/>
      <c r="O211" s="14"/>
      <c r="P211" s="23"/>
      <c r="V211" s="14"/>
      <c r="W211" s="23"/>
      <c r="AC211" s="14"/>
      <c r="AD211" s="23"/>
      <c r="AJ211" s="14"/>
      <c r="AK211" s="23"/>
      <c r="AQ211" s="14"/>
      <c r="AR211" s="23"/>
      <c r="AY211" s="23"/>
      <c r="BF211" s="23"/>
      <c r="BM211" s="23"/>
      <c r="BO211" s="17" t="s">
        <v>364</v>
      </c>
      <c r="BP211" s="17"/>
      <c r="BQ211" s="17"/>
      <c r="BR211" s="17"/>
      <c r="CC211" s="23"/>
      <c r="CH211" s="14"/>
      <c r="CI211" s="14"/>
      <c r="CK211" s="59"/>
      <c r="CO211" s="59"/>
      <c r="CZ211" s="60"/>
    </row>
    <row r="212" spans="1:106" x14ac:dyDescent="0.3">
      <c r="A212" s="23"/>
      <c r="B212" s="23"/>
      <c r="H212" s="14"/>
      <c r="I212" s="23"/>
      <c r="O212" s="14"/>
      <c r="P212" s="23"/>
      <c r="V212" s="14"/>
      <c r="W212" s="23"/>
      <c r="AC212" s="14"/>
      <c r="AD212" s="23"/>
      <c r="AJ212" s="14"/>
      <c r="AK212" s="23"/>
      <c r="AQ212" s="14"/>
      <c r="AR212" s="23"/>
      <c r="AY212" s="23"/>
      <c r="BF212" s="23"/>
      <c r="BM212" s="23"/>
      <c r="BN212" s="17"/>
      <c r="BO212" s="17" t="s">
        <v>365</v>
      </c>
      <c r="BP212" s="17"/>
      <c r="BQ212" s="17"/>
      <c r="BR212" s="17"/>
      <c r="CC212" s="23"/>
      <c r="CH212" s="14"/>
      <c r="CI212" s="14"/>
      <c r="CK212" s="59"/>
      <c r="CO212" s="59"/>
      <c r="CZ212" s="60"/>
    </row>
    <row r="213" spans="1:106" x14ac:dyDescent="0.3">
      <c r="A213" s="23"/>
      <c r="B213" s="23"/>
      <c r="H213" s="14"/>
      <c r="I213" s="23"/>
      <c r="O213" s="14"/>
      <c r="P213" s="23"/>
      <c r="V213" s="14"/>
      <c r="W213" s="23"/>
      <c r="AC213" s="14"/>
      <c r="AD213" s="23"/>
      <c r="AJ213" s="14"/>
      <c r="AK213" s="23"/>
      <c r="AQ213" s="14"/>
      <c r="AR213" s="23"/>
      <c r="AY213" s="23"/>
      <c r="BF213" s="23"/>
      <c r="BM213" s="23"/>
      <c r="BN213" s="21"/>
      <c r="BO213" s="17"/>
      <c r="BP213" s="17"/>
      <c r="BQ213" s="17"/>
      <c r="BR213" s="17"/>
      <c r="CC213" s="23"/>
      <c r="CH213" s="14"/>
      <c r="CI213" s="14"/>
      <c r="CK213" s="59"/>
      <c r="CO213" s="59"/>
      <c r="CZ213" s="60"/>
    </row>
    <row r="214" spans="1:106" x14ac:dyDescent="0.3">
      <c r="A214" s="23"/>
      <c r="B214" s="23"/>
      <c r="H214" s="14"/>
      <c r="I214" s="23"/>
      <c r="O214" s="14"/>
      <c r="P214" s="23"/>
      <c r="V214" s="14"/>
      <c r="W214" s="23"/>
      <c r="AC214" s="14"/>
      <c r="AD214" s="23"/>
      <c r="AJ214" s="14"/>
      <c r="AK214" s="23"/>
      <c r="AQ214" s="14"/>
      <c r="AR214" s="23"/>
      <c r="AY214" s="23"/>
      <c r="BF214" s="23"/>
      <c r="BM214" s="23"/>
      <c r="CC214" s="23"/>
      <c r="CH214" s="14"/>
      <c r="CI214" s="14"/>
      <c r="CK214" s="59"/>
      <c r="CO214" s="59"/>
      <c r="CZ214" s="60"/>
    </row>
    <row r="215" spans="1:106" x14ac:dyDescent="0.3">
      <c r="A215" s="23"/>
      <c r="B215" s="23"/>
      <c r="H215" s="14"/>
      <c r="I215" s="23"/>
      <c r="O215" s="14"/>
      <c r="P215" s="23"/>
      <c r="V215" s="14"/>
      <c r="W215" s="23"/>
      <c r="AC215" s="14"/>
      <c r="AD215" s="23"/>
      <c r="AJ215" s="14"/>
      <c r="AK215" s="23"/>
      <c r="AQ215" s="14"/>
      <c r="AR215" s="23"/>
      <c r="AY215" s="23"/>
      <c r="BF215" s="23"/>
      <c r="BM215" s="23"/>
      <c r="CC215" s="23"/>
      <c r="CH215" s="14"/>
      <c r="CI215" s="14"/>
      <c r="CK215" s="59"/>
      <c r="CO215" s="59"/>
      <c r="CZ215" s="60"/>
    </row>
    <row r="216" spans="1:106" x14ac:dyDescent="0.3">
      <c r="A216" s="23"/>
      <c r="B216" s="23"/>
      <c r="H216" s="14"/>
      <c r="I216" s="23"/>
      <c r="O216" s="14"/>
      <c r="P216" s="23"/>
      <c r="V216" s="14"/>
      <c r="W216" s="23"/>
      <c r="AC216" s="14"/>
      <c r="AD216" s="23"/>
      <c r="AJ216" s="14"/>
      <c r="AK216" s="23"/>
      <c r="AQ216" s="14"/>
      <c r="AR216" s="23"/>
      <c r="AY216" s="23"/>
      <c r="BF216" s="23"/>
      <c r="BM216" s="23"/>
      <c r="CC216" s="23"/>
      <c r="CH216" s="14"/>
      <c r="CI216" s="14"/>
      <c r="CK216" s="59"/>
      <c r="CO216" s="59"/>
      <c r="CZ216" s="60"/>
    </row>
    <row r="217" spans="1:106" x14ac:dyDescent="0.3">
      <c r="A217" s="23"/>
      <c r="B217" s="23"/>
      <c r="H217" s="14"/>
      <c r="I217" s="23"/>
      <c r="O217" s="14"/>
      <c r="P217" s="23"/>
      <c r="V217" s="14"/>
      <c r="W217" s="23"/>
      <c r="AC217" s="14"/>
      <c r="AD217" s="23"/>
      <c r="AJ217" s="14"/>
      <c r="AK217" s="23"/>
      <c r="AQ217" s="14"/>
      <c r="AR217" s="23"/>
      <c r="AY217" s="23"/>
      <c r="BF217" s="23"/>
      <c r="BM217" s="23"/>
      <c r="CC217" s="23"/>
      <c r="CH217" s="14"/>
      <c r="CI217" s="14"/>
      <c r="CK217" s="59"/>
      <c r="CO217" s="59"/>
      <c r="CZ217" s="60"/>
    </row>
    <row r="218" spans="1:106" x14ac:dyDescent="0.3">
      <c r="A218" s="23"/>
      <c r="B218" s="23"/>
      <c r="H218" s="14"/>
      <c r="I218" s="23"/>
      <c r="O218" s="14"/>
      <c r="P218" s="23"/>
      <c r="V218" s="14"/>
      <c r="W218" s="23"/>
      <c r="AC218" s="14"/>
      <c r="AD218" s="23"/>
      <c r="AJ218" s="14"/>
      <c r="AK218" s="23"/>
      <c r="AQ218" s="14"/>
      <c r="AR218" s="23"/>
      <c r="AY218" s="23"/>
      <c r="BF218" s="23"/>
      <c r="BM218" s="23"/>
      <c r="CC218" s="23"/>
      <c r="CH218" s="14"/>
      <c r="CI218" s="14"/>
      <c r="CK218" s="59"/>
      <c r="CO218" s="59"/>
      <c r="CZ218" s="60"/>
    </row>
    <row r="219" spans="1:106" x14ac:dyDescent="0.3">
      <c r="A219" s="23"/>
      <c r="B219" s="23"/>
      <c r="H219" s="14"/>
      <c r="I219" s="23"/>
      <c r="O219" s="14"/>
      <c r="P219" s="23"/>
      <c r="V219" s="14"/>
      <c r="W219" s="23"/>
      <c r="AC219" s="14"/>
      <c r="AD219" s="23"/>
      <c r="AJ219" s="14"/>
      <c r="AK219" s="23"/>
      <c r="AQ219" s="14"/>
      <c r="AR219" s="23"/>
      <c r="AY219" s="23"/>
      <c r="BF219" s="23"/>
      <c r="BM219" s="23"/>
      <c r="CC219" s="23"/>
      <c r="CH219" s="14"/>
      <c r="CI219" s="14"/>
      <c r="CK219" s="59"/>
      <c r="CO219" s="59"/>
      <c r="CZ219" s="60"/>
    </row>
    <row r="220" spans="1:106" x14ac:dyDescent="0.3">
      <c r="A220" s="23"/>
      <c r="B220" s="23"/>
      <c r="H220" s="14"/>
      <c r="I220" s="23"/>
      <c r="O220" s="14"/>
      <c r="P220" s="23"/>
      <c r="V220" s="14"/>
      <c r="W220" s="23"/>
      <c r="AC220" s="14"/>
      <c r="AD220" s="23"/>
      <c r="AJ220" s="14"/>
      <c r="AK220" s="23"/>
      <c r="AQ220" s="14"/>
      <c r="AR220" s="23"/>
      <c r="AY220" s="23"/>
      <c r="BF220" s="23"/>
      <c r="BM220" s="23"/>
      <c r="CC220" s="23"/>
      <c r="CH220" s="14"/>
      <c r="CI220" s="14"/>
      <c r="CK220" s="59"/>
      <c r="CO220" s="59"/>
      <c r="CZ220" s="60"/>
    </row>
    <row r="221" spans="1:106" x14ac:dyDescent="0.3">
      <c r="A221" s="23"/>
      <c r="B221" s="23"/>
      <c r="H221" s="14"/>
      <c r="I221" s="23"/>
      <c r="O221" s="14"/>
      <c r="P221" s="23"/>
      <c r="V221" s="14"/>
      <c r="W221" s="23"/>
      <c r="AC221" s="14"/>
      <c r="AD221" s="23"/>
      <c r="AJ221" s="14"/>
      <c r="AK221" s="23"/>
      <c r="AQ221" s="14"/>
      <c r="AR221" s="23"/>
      <c r="AY221" s="23"/>
      <c r="BF221" s="23"/>
      <c r="BM221" s="23"/>
      <c r="CC221" s="23"/>
      <c r="CH221" s="14"/>
      <c r="CI221" s="14"/>
      <c r="CK221" s="59"/>
      <c r="CO221" s="59"/>
      <c r="CZ221" s="60"/>
    </row>
    <row r="222" spans="1:106" x14ac:dyDescent="0.3">
      <c r="A222" s="23"/>
      <c r="B222" s="50"/>
      <c r="C222" s="10"/>
      <c r="D222" s="10"/>
      <c r="E222" s="10"/>
      <c r="F222" s="10"/>
      <c r="G222" s="10"/>
      <c r="H222" s="15"/>
      <c r="I222" s="50"/>
      <c r="J222" s="10"/>
      <c r="K222" s="10"/>
      <c r="L222" s="10"/>
      <c r="M222" s="10"/>
      <c r="N222" s="10"/>
      <c r="O222" s="15"/>
      <c r="P222" s="50"/>
      <c r="Q222" s="10"/>
      <c r="R222" s="10"/>
      <c r="S222" s="10"/>
      <c r="T222" s="10"/>
      <c r="U222" s="10"/>
      <c r="V222" s="15"/>
      <c r="W222" s="50"/>
      <c r="X222" s="10"/>
      <c r="Y222" s="10"/>
      <c r="Z222" s="10"/>
      <c r="AA222" s="10"/>
      <c r="AB222" s="10"/>
      <c r="AC222" s="15"/>
      <c r="AD222" s="50"/>
      <c r="AE222" s="10"/>
      <c r="AF222" s="10"/>
      <c r="AG222" s="10"/>
      <c r="AH222" s="10"/>
      <c r="AI222" s="10"/>
      <c r="AJ222" s="15"/>
      <c r="AK222" s="50"/>
      <c r="AL222" s="10"/>
      <c r="AM222" s="10"/>
      <c r="AN222" s="10"/>
      <c r="AO222" s="10"/>
      <c r="AP222" s="10"/>
      <c r="AQ222" s="15"/>
      <c r="AR222" s="50"/>
      <c r="AS222" s="10"/>
      <c r="AT222" s="10"/>
      <c r="AU222" s="10"/>
      <c r="AV222" s="10"/>
      <c r="AW222" s="10"/>
      <c r="AX222" s="10"/>
      <c r="AY222" s="50"/>
      <c r="AZ222" s="10"/>
      <c r="BA222" s="10"/>
      <c r="BB222" s="10"/>
      <c r="BC222" s="10"/>
      <c r="BD222" s="10"/>
      <c r="BE222" s="10"/>
      <c r="BF222" s="50"/>
      <c r="BG222" s="10"/>
      <c r="BH222" s="10"/>
      <c r="BI222" s="10"/>
      <c r="BJ222" s="10"/>
      <c r="BK222" s="10"/>
      <c r="BL222" s="10"/>
      <c r="BM222" s="5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50"/>
      <c r="CD222" s="10"/>
      <c r="CE222" s="10"/>
      <c r="CF222" s="10"/>
      <c r="CG222" s="10"/>
      <c r="CH222" s="15"/>
      <c r="CI222" s="14"/>
      <c r="CK222" s="61"/>
      <c r="CL222" s="62"/>
      <c r="CM222" s="62"/>
      <c r="CN222" s="62"/>
      <c r="CO222" s="61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3"/>
    </row>
    <row r="223" spans="1:106" s="11" customFormat="1" x14ac:dyDescent="0.3">
      <c r="A223" s="24"/>
      <c r="B223" s="37" t="s">
        <v>383</v>
      </c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22"/>
      <c r="BG223" s="22"/>
      <c r="BH223" s="22"/>
      <c r="BI223" s="22"/>
      <c r="BJ223" s="22"/>
      <c r="BK223" s="22"/>
      <c r="BL223" s="2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40"/>
      <c r="CI223" s="13"/>
      <c r="CK223" s="54"/>
      <c r="CL223" s="55"/>
      <c r="CM223" s="55"/>
      <c r="CN223" s="55"/>
      <c r="CO223" s="54"/>
      <c r="CP223" s="55"/>
      <c r="CQ223" s="55"/>
      <c r="CR223" s="55"/>
      <c r="CS223" s="55"/>
      <c r="CT223" s="55"/>
      <c r="CU223" s="55"/>
      <c r="CV223" s="55"/>
      <c r="CW223" s="55"/>
      <c r="CX223" s="55"/>
      <c r="CY223" s="55"/>
      <c r="CZ223" s="56"/>
      <c r="DB223" s="82" t="s">
        <v>384</v>
      </c>
    </row>
    <row r="224" spans="1:106" s="11" customFormat="1" x14ac:dyDescent="0.3">
      <c r="A224" s="24"/>
      <c r="B224" s="41"/>
      <c r="C224" s="42"/>
      <c r="D224" s="42"/>
      <c r="E224" s="42"/>
      <c r="F224" s="42"/>
      <c r="G224" s="42"/>
      <c r="H224" s="43"/>
      <c r="I224" s="44"/>
      <c r="J224" s="42"/>
      <c r="K224" s="42"/>
      <c r="L224" s="42"/>
      <c r="M224" s="42"/>
      <c r="N224" s="42"/>
      <c r="O224" s="43"/>
      <c r="P224" s="44"/>
      <c r="Q224" s="42"/>
      <c r="R224" s="42"/>
      <c r="S224" s="42"/>
      <c r="T224" s="42"/>
      <c r="U224" s="42"/>
      <c r="V224" s="43"/>
      <c r="W224" s="44"/>
      <c r="X224" s="42"/>
      <c r="Y224" s="42"/>
      <c r="Z224" s="42"/>
      <c r="AA224" s="42"/>
      <c r="AB224" s="42"/>
      <c r="AC224" s="43"/>
      <c r="AD224" s="44"/>
      <c r="AE224" s="42"/>
      <c r="AF224" s="42"/>
      <c r="AG224" s="42"/>
      <c r="AH224" s="42"/>
      <c r="AI224" s="42"/>
      <c r="AJ224" s="43"/>
      <c r="AK224" s="44"/>
      <c r="AL224" s="42"/>
      <c r="AM224" s="42"/>
      <c r="AN224" s="42"/>
      <c r="AO224" s="42"/>
      <c r="AP224" s="42"/>
      <c r="AQ224" s="43"/>
      <c r="AR224" s="42"/>
      <c r="AS224" s="42"/>
      <c r="AT224" s="42"/>
      <c r="AU224" s="42"/>
      <c r="AV224" s="42"/>
      <c r="AW224" s="42"/>
      <c r="AX224" s="43"/>
      <c r="AY224" s="42"/>
      <c r="AZ224" s="42"/>
      <c r="BA224" s="42"/>
      <c r="BB224" s="42"/>
      <c r="BC224" s="42"/>
      <c r="BD224" s="42"/>
      <c r="BE224" s="43"/>
      <c r="BF224" s="44"/>
      <c r="BG224" s="42"/>
      <c r="BH224" s="42"/>
      <c r="BI224" s="42"/>
      <c r="BJ224" s="42"/>
      <c r="BK224" s="42"/>
      <c r="BL224" s="43"/>
      <c r="BM224" s="45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4"/>
      <c r="CD224" s="42"/>
      <c r="CE224" s="42"/>
      <c r="CF224" s="42"/>
      <c r="CG224" s="42"/>
      <c r="CH224" s="43"/>
      <c r="CI224" s="13"/>
      <c r="CK224" s="57"/>
      <c r="CO224" s="57"/>
      <c r="CZ224" s="58"/>
    </row>
    <row r="225" spans="1:104" s="11" customFormat="1" x14ac:dyDescent="0.3">
      <c r="A225" s="24"/>
      <c r="B225" s="26"/>
      <c r="C225" s="20"/>
      <c r="D225" s="20"/>
      <c r="E225" s="20"/>
      <c r="F225" s="20"/>
      <c r="G225" s="20"/>
      <c r="H225" s="19"/>
      <c r="I225" s="27"/>
      <c r="J225" s="20"/>
      <c r="K225" s="20"/>
      <c r="L225" s="20"/>
      <c r="M225" s="20"/>
      <c r="N225" s="20"/>
      <c r="O225" s="19"/>
      <c r="P225" s="27"/>
      <c r="Q225" s="20"/>
      <c r="R225" s="20"/>
      <c r="S225" s="20"/>
      <c r="T225" s="20"/>
      <c r="U225" s="20"/>
      <c r="V225" s="19"/>
      <c r="W225" s="27"/>
      <c r="X225" s="20"/>
      <c r="Y225" s="20"/>
      <c r="Z225" s="20"/>
      <c r="AA225" s="20"/>
      <c r="AB225" s="20"/>
      <c r="AC225" s="19"/>
      <c r="AD225" s="27"/>
      <c r="AE225" s="20"/>
      <c r="AF225" s="20"/>
      <c r="AG225" s="20"/>
      <c r="AH225" s="20"/>
      <c r="AI225" s="20"/>
      <c r="AJ225" s="19"/>
      <c r="AK225" s="27"/>
      <c r="AL225" s="20"/>
      <c r="AM225" s="20"/>
      <c r="AN225" s="20"/>
      <c r="AO225" s="20"/>
      <c r="AP225" s="20"/>
      <c r="AQ225" s="19"/>
      <c r="AR225" s="20"/>
      <c r="AS225" s="20"/>
      <c r="AT225" s="20"/>
      <c r="AU225" s="20"/>
      <c r="AV225" s="20"/>
      <c r="AW225" s="20"/>
      <c r="AX225" s="19"/>
      <c r="AY225" s="20"/>
      <c r="AZ225" s="20"/>
      <c r="BA225" s="20"/>
      <c r="BB225" s="20"/>
      <c r="BC225" s="20"/>
      <c r="BD225" s="20"/>
      <c r="BE225" s="19"/>
      <c r="BF225" s="27"/>
      <c r="BG225" s="20"/>
      <c r="BH225" s="20"/>
      <c r="BI225" s="20"/>
      <c r="BJ225" s="20"/>
      <c r="BK225" s="20"/>
      <c r="BL225" s="19"/>
      <c r="BM225" s="34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27"/>
      <c r="CD225" s="20"/>
      <c r="CE225" s="20"/>
      <c r="CF225" s="20"/>
      <c r="CG225" s="20"/>
      <c r="CH225" s="19"/>
      <c r="CI225" s="13"/>
      <c r="CK225" s="57"/>
      <c r="CO225" s="57"/>
      <c r="CZ225" s="58"/>
    </row>
    <row r="226" spans="1:104" s="11" customFormat="1" x14ac:dyDescent="0.3">
      <c r="A226" s="24"/>
      <c r="B226" s="26"/>
      <c r="C226" s="20"/>
      <c r="D226" s="20"/>
      <c r="E226" s="20"/>
      <c r="F226" s="20"/>
      <c r="G226" s="20"/>
      <c r="H226" s="19"/>
      <c r="I226" s="27"/>
      <c r="J226" s="20"/>
      <c r="K226" s="20"/>
      <c r="L226" s="20"/>
      <c r="M226" s="20"/>
      <c r="N226" s="20"/>
      <c r="O226" s="19"/>
      <c r="P226" s="27"/>
      <c r="Q226" s="20"/>
      <c r="R226" s="20"/>
      <c r="S226" s="20"/>
      <c r="T226" s="20"/>
      <c r="U226" s="20"/>
      <c r="V226" s="19"/>
      <c r="W226" s="27"/>
      <c r="X226" s="20"/>
      <c r="Y226" s="20"/>
      <c r="Z226" s="20"/>
      <c r="AA226" s="20"/>
      <c r="AB226" s="20"/>
      <c r="AC226" s="19"/>
      <c r="AD226" s="27"/>
      <c r="AE226" s="20"/>
      <c r="AF226" s="20"/>
      <c r="AG226" s="20"/>
      <c r="AH226" s="20"/>
      <c r="AI226" s="20"/>
      <c r="AJ226" s="19"/>
      <c r="AK226" s="27"/>
      <c r="AL226" s="20"/>
      <c r="AM226" s="20"/>
      <c r="AN226" s="20"/>
      <c r="AO226" s="20"/>
      <c r="AP226" s="20"/>
      <c r="AQ226" s="19"/>
      <c r="AR226" s="20"/>
      <c r="AS226" s="20"/>
      <c r="AT226" s="20"/>
      <c r="AU226" s="20"/>
      <c r="AV226" s="20"/>
      <c r="AW226" s="20"/>
      <c r="AX226" s="19"/>
      <c r="AY226" s="20"/>
      <c r="AZ226" s="20"/>
      <c r="BA226" s="20"/>
      <c r="BB226" s="20"/>
      <c r="BC226" s="20"/>
      <c r="BD226" s="20"/>
      <c r="BE226" s="19"/>
      <c r="BF226" s="27"/>
      <c r="BG226" s="20"/>
      <c r="BH226" s="20"/>
      <c r="BI226" s="20"/>
      <c r="BJ226" s="20"/>
      <c r="BK226" s="20"/>
      <c r="BL226" s="19"/>
      <c r="BM226" s="34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27"/>
      <c r="CD226" s="20"/>
      <c r="CE226" s="20"/>
      <c r="CF226" s="20"/>
      <c r="CG226" s="20"/>
      <c r="CH226" s="19"/>
      <c r="CI226" s="13"/>
      <c r="CK226" s="57"/>
      <c r="CO226" s="57"/>
      <c r="CZ226" s="58"/>
    </row>
    <row r="227" spans="1:104" s="11" customFormat="1" x14ac:dyDescent="0.3">
      <c r="A227" s="24"/>
      <c r="B227" s="26"/>
      <c r="C227" s="20"/>
      <c r="D227" s="20"/>
      <c r="E227" s="20"/>
      <c r="F227" s="20"/>
      <c r="G227" s="20"/>
      <c r="H227" s="19"/>
      <c r="I227" s="27"/>
      <c r="J227" s="20"/>
      <c r="K227" s="20"/>
      <c r="L227" s="20"/>
      <c r="M227" s="20"/>
      <c r="N227" s="20"/>
      <c r="O227" s="19"/>
      <c r="P227" s="27"/>
      <c r="Q227" s="20"/>
      <c r="R227" s="20"/>
      <c r="S227" s="20"/>
      <c r="T227" s="20"/>
      <c r="U227" s="20"/>
      <c r="V227" s="19"/>
      <c r="W227" s="27"/>
      <c r="X227" s="20"/>
      <c r="Y227" s="20"/>
      <c r="Z227" s="20"/>
      <c r="AA227" s="20"/>
      <c r="AB227" s="20"/>
      <c r="AC227" s="19"/>
      <c r="AD227" s="27"/>
      <c r="AE227" s="20"/>
      <c r="AF227" s="20"/>
      <c r="AG227" s="20"/>
      <c r="AH227" s="20"/>
      <c r="AI227" s="20"/>
      <c r="AJ227" s="19"/>
      <c r="AK227" s="27"/>
      <c r="AL227" s="20"/>
      <c r="AM227" s="20"/>
      <c r="AN227" s="20"/>
      <c r="AO227" s="20"/>
      <c r="AP227" s="20"/>
      <c r="AQ227" s="19"/>
      <c r="AR227" s="20"/>
      <c r="AS227" s="20"/>
      <c r="AT227" s="20"/>
      <c r="AU227" s="20"/>
      <c r="AV227" s="20"/>
      <c r="AW227" s="20"/>
      <c r="AX227" s="19"/>
      <c r="AY227" s="20"/>
      <c r="AZ227" s="20"/>
      <c r="BA227" s="20"/>
      <c r="BB227" s="20"/>
      <c r="BC227" s="20"/>
      <c r="BD227" s="20"/>
      <c r="BE227" s="19"/>
      <c r="BF227" s="27"/>
      <c r="BG227" s="20"/>
      <c r="BH227" s="20"/>
      <c r="BI227" s="20"/>
      <c r="BJ227" s="20"/>
      <c r="BK227" s="20"/>
      <c r="BL227" s="19"/>
      <c r="BM227" s="34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27"/>
      <c r="CD227" s="20"/>
      <c r="CE227" s="20"/>
      <c r="CF227" s="20"/>
      <c r="CG227" s="20"/>
      <c r="CH227" s="19"/>
      <c r="CI227" s="13"/>
      <c r="CK227" s="57"/>
      <c r="CO227" s="57"/>
      <c r="CZ227" s="58"/>
    </row>
    <row r="228" spans="1:104" s="11" customFormat="1" x14ac:dyDescent="0.3">
      <c r="A228" s="24"/>
      <c r="B228" s="26"/>
      <c r="C228" s="20"/>
      <c r="D228" s="20"/>
      <c r="E228" s="20"/>
      <c r="F228" s="20"/>
      <c r="G228" s="20"/>
      <c r="H228" s="19"/>
      <c r="I228" s="27"/>
      <c r="J228" s="20"/>
      <c r="K228" s="20"/>
      <c r="L228" s="20"/>
      <c r="M228" s="20"/>
      <c r="N228" s="20"/>
      <c r="O228" s="19"/>
      <c r="P228" s="27"/>
      <c r="Q228" s="20"/>
      <c r="R228" s="20"/>
      <c r="S228" s="20"/>
      <c r="T228" s="20"/>
      <c r="U228" s="20"/>
      <c r="V228" s="19"/>
      <c r="W228" s="27"/>
      <c r="X228" s="20"/>
      <c r="Y228" s="20"/>
      <c r="Z228" s="20"/>
      <c r="AA228" s="20"/>
      <c r="AB228" s="20"/>
      <c r="AC228" s="19"/>
      <c r="AD228" s="27"/>
      <c r="AE228" s="20"/>
      <c r="AF228" s="20"/>
      <c r="AG228" s="20"/>
      <c r="AH228" s="20"/>
      <c r="AI228" s="20"/>
      <c r="AJ228" s="19"/>
      <c r="AK228" s="27"/>
      <c r="AL228" s="20"/>
      <c r="AM228" s="20"/>
      <c r="AN228" s="20"/>
      <c r="AO228" s="20"/>
      <c r="AP228" s="20"/>
      <c r="AQ228" s="19"/>
      <c r="AR228" s="20"/>
      <c r="AS228" s="20"/>
      <c r="AT228" s="20"/>
      <c r="AU228" s="20"/>
      <c r="AV228" s="20"/>
      <c r="AW228" s="20"/>
      <c r="AX228" s="19"/>
      <c r="AY228" s="20"/>
      <c r="AZ228" s="20"/>
      <c r="BA228" s="20"/>
      <c r="BB228" s="20"/>
      <c r="BC228" s="20"/>
      <c r="BD228" s="20"/>
      <c r="BE228" s="19"/>
      <c r="BF228" s="27"/>
      <c r="BG228" s="20"/>
      <c r="BH228" s="20"/>
      <c r="BI228" s="20"/>
      <c r="BJ228" s="20"/>
      <c r="BK228" s="20"/>
      <c r="BL228" s="19"/>
      <c r="BM228" s="34"/>
      <c r="BN228" s="21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27"/>
      <c r="CD228" s="20"/>
      <c r="CE228" s="20"/>
      <c r="CF228" s="20"/>
      <c r="CG228" s="20"/>
      <c r="CH228" s="19"/>
      <c r="CI228" s="13"/>
      <c r="CK228" s="57"/>
      <c r="CO228" s="57"/>
      <c r="CZ228" s="58"/>
    </row>
    <row r="229" spans="1:104" s="11" customFormat="1" x14ac:dyDescent="0.3">
      <c r="A229" s="24"/>
      <c r="B229" s="26"/>
      <c r="C229" s="20"/>
      <c r="D229" s="20"/>
      <c r="E229" s="20"/>
      <c r="F229" s="20"/>
      <c r="G229" s="20"/>
      <c r="H229" s="19"/>
      <c r="I229" s="27"/>
      <c r="J229" s="20"/>
      <c r="K229" s="20"/>
      <c r="L229" s="20"/>
      <c r="M229" s="20"/>
      <c r="N229" s="20"/>
      <c r="O229" s="19"/>
      <c r="P229" s="27"/>
      <c r="Q229" s="20"/>
      <c r="R229" s="20"/>
      <c r="S229" s="20"/>
      <c r="T229" s="20"/>
      <c r="U229" s="20"/>
      <c r="V229" s="19"/>
      <c r="W229" s="27"/>
      <c r="X229" s="20"/>
      <c r="Y229" s="20"/>
      <c r="Z229" s="20"/>
      <c r="AA229" s="20"/>
      <c r="AB229" s="20"/>
      <c r="AC229" s="19"/>
      <c r="AD229" s="27"/>
      <c r="AE229" s="20"/>
      <c r="AF229" s="20"/>
      <c r="AG229" s="20"/>
      <c r="AH229" s="20"/>
      <c r="AI229" s="20"/>
      <c r="AJ229" s="19"/>
      <c r="AK229" s="27"/>
      <c r="AL229" s="20"/>
      <c r="AM229" s="20"/>
      <c r="AN229" s="20"/>
      <c r="AO229" s="20"/>
      <c r="AP229" s="20"/>
      <c r="AQ229" s="19"/>
      <c r="AR229" s="20"/>
      <c r="AS229" s="20"/>
      <c r="AT229" s="20"/>
      <c r="AU229" s="20"/>
      <c r="AV229" s="20"/>
      <c r="AW229" s="20"/>
      <c r="AX229" s="19"/>
      <c r="AY229" s="20"/>
      <c r="AZ229" s="20"/>
      <c r="BA229" s="20"/>
      <c r="BB229" s="20"/>
      <c r="BC229" s="20"/>
      <c r="BD229" s="20"/>
      <c r="BE229" s="19"/>
      <c r="BF229" s="27"/>
      <c r="BG229" s="20"/>
      <c r="BH229" s="20"/>
      <c r="BI229" s="20"/>
      <c r="BJ229" s="20"/>
      <c r="BK229" s="20"/>
      <c r="BL229" s="19"/>
      <c r="BM229" s="34"/>
      <c r="BO229" s="8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27"/>
      <c r="CD229" s="20"/>
      <c r="CE229" s="20"/>
      <c r="CF229" s="20"/>
      <c r="CG229" s="20"/>
      <c r="CH229" s="19"/>
      <c r="CI229" s="13"/>
      <c r="CK229" s="57"/>
      <c r="CO229" s="57"/>
      <c r="CZ229" s="58"/>
    </row>
    <row r="230" spans="1:104" s="11" customFormat="1" x14ac:dyDescent="0.3">
      <c r="A230" s="24"/>
      <c r="B230" s="26"/>
      <c r="C230" s="20"/>
      <c r="D230" s="20"/>
      <c r="E230" s="20"/>
      <c r="F230" s="20"/>
      <c r="G230" s="20"/>
      <c r="H230" s="19"/>
      <c r="I230" s="27"/>
      <c r="J230" s="20"/>
      <c r="K230" s="20"/>
      <c r="L230" s="20"/>
      <c r="M230" s="20"/>
      <c r="N230" s="20"/>
      <c r="O230" s="19"/>
      <c r="P230" s="27"/>
      <c r="Q230" s="20"/>
      <c r="R230" s="20"/>
      <c r="S230" s="20"/>
      <c r="T230" s="20"/>
      <c r="U230" s="20"/>
      <c r="V230" s="19"/>
      <c r="W230" s="27"/>
      <c r="X230" s="20"/>
      <c r="Y230" s="20"/>
      <c r="Z230" s="20"/>
      <c r="AA230" s="20"/>
      <c r="AB230" s="20"/>
      <c r="AC230" s="19"/>
      <c r="AD230" s="27"/>
      <c r="AE230" s="20"/>
      <c r="AF230" s="20"/>
      <c r="AG230" s="20"/>
      <c r="AH230" s="20"/>
      <c r="AI230" s="20"/>
      <c r="AJ230" s="19"/>
      <c r="AK230" s="27"/>
      <c r="AL230" s="20"/>
      <c r="AM230" s="20"/>
      <c r="AN230" s="20"/>
      <c r="AO230" s="20"/>
      <c r="AP230" s="20"/>
      <c r="AQ230" s="19"/>
      <c r="AR230" s="20"/>
      <c r="AS230" s="20"/>
      <c r="AT230" s="20"/>
      <c r="AU230" s="20"/>
      <c r="AV230" s="20"/>
      <c r="AW230" s="20"/>
      <c r="AX230" s="19"/>
      <c r="AY230" s="20"/>
      <c r="AZ230" s="20"/>
      <c r="BA230" s="20"/>
      <c r="BB230" s="20"/>
      <c r="BC230" s="20"/>
      <c r="BD230" s="20"/>
      <c r="BE230" s="19"/>
      <c r="BF230" s="27"/>
      <c r="BG230" s="20"/>
      <c r="BH230" s="20"/>
      <c r="BI230" s="20"/>
      <c r="BJ230" s="20"/>
      <c r="BK230" s="20"/>
      <c r="BL230" s="19"/>
      <c r="BM230" s="34"/>
      <c r="BN230" s="21" t="s">
        <v>385</v>
      </c>
      <c r="BP230" s="8"/>
      <c r="BQ230" s="8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27"/>
      <c r="CD230" s="20"/>
      <c r="CE230" s="20"/>
      <c r="CF230" s="20"/>
      <c r="CG230" s="20"/>
      <c r="CH230" s="19"/>
      <c r="CI230" s="13"/>
      <c r="CK230" s="57"/>
      <c r="CO230" s="57"/>
      <c r="CZ230" s="58"/>
    </row>
    <row r="231" spans="1:104" s="11" customFormat="1" x14ac:dyDescent="0.3">
      <c r="A231" s="24"/>
      <c r="B231" s="26"/>
      <c r="C231" s="20"/>
      <c r="D231" s="20"/>
      <c r="E231" s="20"/>
      <c r="F231" s="20"/>
      <c r="G231" s="20"/>
      <c r="H231" s="19"/>
      <c r="I231" s="27"/>
      <c r="J231" s="20"/>
      <c r="K231" s="20"/>
      <c r="L231" s="20"/>
      <c r="M231" s="20"/>
      <c r="N231" s="20"/>
      <c r="O231" s="19"/>
      <c r="P231" s="27"/>
      <c r="Q231" s="20"/>
      <c r="R231" s="20"/>
      <c r="S231" s="20"/>
      <c r="T231" s="20"/>
      <c r="U231" s="20"/>
      <c r="V231" s="19"/>
      <c r="W231" s="27"/>
      <c r="X231" s="20"/>
      <c r="Y231" s="20"/>
      <c r="Z231" s="20"/>
      <c r="AA231" s="20"/>
      <c r="AB231" s="20"/>
      <c r="AC231" s="19"/>
      <c r="AD231" s="27"/>
      <c r="AE231" s="20"/>
      <c r="AF231" s="20"/>
      <c r="AG231" s="20"/>
      <c r="AH231" s="20"/>
      <c r="AI231" s="20"/>
      <c r="AJ231" s="19"/>
      <c r="AK231" s="27"/>
      <c r="AL231" s="20"/>
      <c r="AM231" s="20"/>
      <c r="AN231" s="20"/>
      <c r="AO231" s="20"/>
      <c r="AP231" s="20"/>
      <c r="AQ231" s="19"/>
      <c r="AR231" s="20"/>
      <c r="AS231" s="20"/>
      <c r="AT231" s="20"/>
      <c r="AU231" s="20"/>
      <c r="AV231" s="20"/>
      <c r="AW231" s="20"/>
      <c r="AX231" s="19"/>
      <c r="AY231" s="20"/>
      <c r="AZ231" s="20"/>
      <c r="BA231" s="20"/>
      <c r="BB231" s="20"/>
      <c r="BC231" s="20"/>
      <c r="BD231" s="20"/>
      <c r="BE231" s="19"/>
      <c r="BF231" s="27"/>
      <c r="BG231" s="20"/>
      <c r="BH231" s="20"/>
      <c r="BI231" s="20"/>
      <c r="BJ231" s="20"/>
      <c r="BK231" s="20"/>
      <c r="BL231" s="19"/>
      <c r="BM231" s="34"/>
      <c r="BO231" s="17" t="s">
        <v>386</v>
      </c>
      <c r="BP231" s="8"/>
      <c r="BQ231" s="8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27"/>
      <c r="CD231" s="20"/>
      <c r="CE231" s="20"/>
      <c r="CF231" s="20"/>
      <c r="CG231" s="20"/>
      <c r="CH231" s="19"/>
      <c r="CI231" s="13"/>
      <c r="CK231" s="57"/>
      <c r="CO231" s="57"/>
      <c r="CZ231" s="58"/>
    </row>
    <row r="232" spans="1:104" s="11" customFormat="1" ht="13.5" customHeight="1" x14ac:dyDescent="0.3">
      <c r="A232" s="24"/>
      <c r="B232" s="26"/>
      <c r="C232" s="20"/>
      <c r="D232" s="20"/>
      <c r="E232" s="20"/>
      <c r="F232" s="20"/>
      <c r="G232" s="20"/>
      <c r="H232" s="19"/>
      <c r="I232" s="27"/>
      <c r="J232" s="20"/>
      <c r="K232" s="20"/>
      <c r="L232" s="20"/>
      <c r="M232" s="20"/>
      <c r="N232" s="20"/>
      <c r="O232" s="19"/>
      <c r="P232" s="27"/>
      <c r="Q232" s="20"/>
      <c r="R232" s="20"/>
      <c r="S232" s="20"/>
      <c r="T232" s="20"/>
      <c r="U232" s="20"/>
      <c r="V232" s="19"/>
      <c r="W232" s="27"/>
      <c r="X232" s="20"/>
      <c r="Y232" s="20"/>
      <c r="Z232" s="20"/>
      <c r="AA232" s="20"/>
      <c r="AB232" s="20"/>
      <c r="AC232" s="19"/>
      <c r="AD232" s="27"/>
      <c r="AE232" s="20"/>
      <c r="AF232" s="20"/>
      <c r="AG232" s="20"/>
      <c r="AH232" s="20"/>
      <c r="AI232" s="20"/>
      <c r="AJ232" s="19"/>
      <c r="AK232" s="27"/>
      <c r="AL232" s="20"/>
      <c r="AM232" s="20"/>
      <c r="AN232" s="20"/>
      <c r="AO232" s="20"/>
      <c r="AP232" s="20"/>
      <c r="AQ232" s="19"/>
      <c r="AR232" s="20"/>
      <c r="AS232" s="20"/>
      <c r="AT232" s="20"/>
      <c r="AU232" s="20"/>
      <c r="AV232" s="20"/>
      <c r="AW232" s="20"/>
      <c r="AX232" s="19"/>
      <c r="AY232" s="20"/>
      <c r="AZ232" s="20"/>
      <c r="BA232" s="20"/>
      <c r="BB232" s="20"/>
      <c r="BC232" s="20"/>
      <c r="BD232" s="20"/>
      <c r="BE232" s="19"/>
      <c r="BF232" s="27"/>
      <c r="BG232" s="20"/>
      <c r="BH232" s="20"/>
      <c r="BI232" s="20"/>
      <c r="BJ232" s="20"/>
      <c r="BK232" s="20"/>
      <c r="BL232" s="19"/>
      <c r="BM232" s="34"/>
      <c r="BN232" s="17"/>
      <c r="BO232" t="s">
        <v>387</v>
      </c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27"/>
      <c r="CD232" s="20"/>
      <c r="CE232" s="20"/>
      <c r="CF232" s="20"/>
      <c r="CG232" s="20"/>
      <c r="CH232" s="19"/>
      <c r="CI232" s="13"/>
      <c r="CK232" s="57"/>
      <c r="CO232" s="242"/>
      <c r="CP232" s="243"/>
      <c r="CQ232" s="243"/>
      <c r="CR232" s="243"/>
      <c r="CS232" s="243"/>
      <c r="CT232" s="243"/>
      <c r="CU232" s="243"/>
      <c r="CV232" s="243"/>
      <c r="CW232" s="243"/>
      <c r="CX232" s="243"/>
      <c r="CY232" s="243"/>
      <c r="CZ232" s="244"/>
    </row>
    <row r="233" spans="1:104" s="11" customFormat="1" x14ac:dyDescent="0.3">
      <c r="A233" s="24"/>
      <c r="B233" s="26"/>
      <c r="C233" s="20"/>
      <c r="D233" s="20"/>
      <c r="E233" s="20"/>
      <c r="F233" s="20"/>
      <c r="G233" s="20"/>
      <c r="H233" s="19"/>
      <c r="I233" s="27"/>
      <c r="J233" s="20"/>
      <c r="K233" s="20"/>
      <c r="L233" s="20"/>
      <c r="M233" s="20"/>
      <c r="N233" s="20"/>
      <c r="O233" s="19"/>
      <c r="P233" s="27"/>
      <c r="Q233" s="20"/>
      <c r="R233" s="20"/>
      <c r="S233" s="20"/>
      <c r="T233" s="20"/>
      <c r="U233" s="20"/>
      <c r="V233" s="19"/>
      <c r="W233" s="27"/>
      <c r="X233" s="20"/>
      <c r="Y233" s="20"/>
      <c r="Z233" s="20"/>
      <c r="AA233" s="20"/>
      <c r="AB233" s="20"/>
      <c r="AC233" s="19"/>
      <c r="AD233" s="27"/>
      <c r="AE233" s="20"/>
      <c r="AF233" s="20"/>
      <c r="AG233" s="20"/>
      <c r="AH233" s="20"/>
      <c r="AI233" s="20"/>
      <c r="AJ233" s="19"/>
      <c r="AK233" s="27"/>
      <c r="AL233" s="20"/>
      <c r="AM233" s="20"/>
      <c r="AN233" s="20"/>
      <c r="AO233" s="20"/>
      <c r="AP233" s="20"/>
      <c r="AQ233" s="19"/>
      <c r="AR233" s="20"/>
      <c r="AS233" s="20"/>
      <c r="AT233" s="20"/>
      <c r="AU233" s="20"/>
      <c r="AV233" s="20"/>
      <c r="AW233" s="20"/>
      <c r="AX233" s="19"/>
      <c r="AY233" s="20"/>
      <c r="AZ233" s="20"/>
      <c r="BA233" s="20"/>
      <c r="BB233" s="20"/>
      <c r="BC233" s="20"/>
      <c r="BD233" s="20"/>
      <c r="BE233" s="19"/>
      <c r="BF233" s="27"/>
      <c r="BG233" s="20"/>
      <c r="BH233" s="20"/>
      <c r="BI233" s="20"/>
      <c r="BJ233" s="20"/>
      <c r="BK233" s="20"/>
      <c r="BL233" s="19"/>
      <c r="BM233" s="34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27"/>
      <c r="CD233" s="20"/>
      <c r="CE233" s="20"/>
      <c r="CF233" s="20"/>
      <c r="CG233" s="20"/>
      <c r="CH233" s="19"/>
      <c r="CI233" s="13"/>
      <c r="CK233" s="57"/>
      <c r="CO233" s="242"/>
      <c r="CP233" s="243"/>
      <c r="CQ233" s="243"/>
      <c r="CR233" s="243"/>
      <c r="CS233" s="243"/>
      <c r="CT233" s="243"/>
      <c r="CU233" s="243"/>
      <c r="CV233" s="243"/>
      <c r="CW233" s="243"/>
      <c r="CX233" s="243"/>
      <c r="CY233" s="243"/>
      <c r="CZ233" s="244"/>
    </row>
    <row r="234" spans="1:104" s="11" customFormat="1" x14ac:dyDescent="0.3">
      <c r="A234" s="24"/>
      <c r="B234" s="26"/>
      <c r="C234" s="20"/>
      <c r="D234" s="20"/>
      <c r="E234" s="20"/>
      <c r="F234" s="20"/>
      <c r="G234" s="20"/>
      <c r="H234" s="19"/>
      <c r="I234" s="27"/>
      <c r="J234" s="20"/>
      <c r="K234" s="20"/>
      <c r="L234" s="20"/>
      <c r="M234" s="20"/>
      <c r="N234" s="20"/>
      <c r="O234" s="19"/>
      <c r="P234" s="27"/>
      <c r="Q234" s="20"/>
      <c r="R234" s="20"/>
      <c r="S234" s="20"/>
      <c r="T234" s="20"/>
      <c r="U234" s="20"/>
      <c r="V234" s="19"/>
      <c r="W234" s="27"/>
      <c r="X234" s="20"/>
      <c r="Y234" s="20"/>
      <c r="Z234" s="20"/>
      <c r="AA234" s="20"/>
      <c r="AB234" s="20"/>
      <c r="AC234" s="19"/>
      <c r="AD234" s="27"/>
      <c r="AE234" s="20"/>
      <c r="AF234" s="20"/>
      <c r="AG234" s="20"/>
      <c r="AH234" s="20"/>
      <c r="AI234" s="20"/>
      <c r="AJ234" s="19"/>
      <c r="AK234" s="27"/>
      <c r="AL234" s="20"/>
      <c r="AM234" s="20"/>
      <c r="AN234" s="20"/>
      <c r="AO234" s="20"/>
      <c r="AP234" s="20"/>
      <c r="AQ234" s="19"/>
      <c r="AR234" s="20"/>
      <c r="AS234" s="20"/>
      <c r="AT234" s="20"/>
      <c r="AU234" s="20"/>
      <c r="AV234" s="20"/>
      <c r="AW234" s="20"/>
      <c r="AX234" s="19"/>
      <c r="AY234" s="20"/>
      <c r="AZ234" s="20"/>
      <c r="BA234" s="20"/>
      <c r="BB234" s="20"/>
      <c r="BC234" s="20"/>
      <c r="BD234" s="20"/>
      <c r="BE234" s="19"/>
      <c r="BF234" s="27"/>
      <c r="BG234" s="20"/>
      <c r="BH234" s="20"/>
      <c r="BI234" s="20"/>
      <c r="BJ234" s="20"/>
      <c r="BK234" s="20"/>
      <c r="BL234" s="19"/>
      <c r="BM234" s="34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27"/>
      <c r="CD234" s="20"/>
      <c r="CE234" s="20"/>
      <c r="CF234" s="20"/>
      <c r="CG234" s="20"/>
      <c r="CH234" s="19"/>
      <c r="CI234" s="13"/>
      <c r="CK234" s="57"/>
      <c r="CO234" s="57"/>
      <c r="CZ234" s="58"/>
    </row>
    <row r="235" spans="1:104" s="11" customFormat="1" x14ac:dyDescent="0.3">
      <c r="A235" s="24"/>
      <c r="B235" s="26"/>
      <c r="C235" s="20"/>
      <c r="D235" s="20"/>
      <c r="E235" s="20"/>
      <c r="F235" s="20"/>
      <c r="G235" s="20"/>
      <c r="H235" s="19"/>
      <c r="I235" s="27"/>
      <c r="J235" s="20"/>
      <c r="K235" s="20"/>
      <c r="L235" s="20"/>
      <c r="M235" s="20"/>
      <c r="N235" s="20"/>
      <c r="O235" s="19"/>
      <c r="P235" s="27"/>
      <c r="Q235" s="20"/>
      <c r="R235" s="20"/>
      <c r="S235" s="20"/>
      <c r="T235" s="20"/>
      <c r="U235" s="20"/>
      <c r="V235" s="19"/>
      <c r="W235" s="27"/>
      <c r="X235" s="20"/>
      <c r="Y235" s="20"/>
      <c r="Z235" s="20"/>
      <c r="AA235" s="20"/>
      <c r="AB235" s="20"/>
      <c r="AC235" s="19"/>
      <c r="AD235" s="27"/>
      <c r="AE235" s="20"/>
      <c r="AF235" s="20"/>
      <c r="AG235" s="20"/>
      <c r="AH235" s="20"/>
      <c r="AI235" s="20"/>
      <c r="AJ235" s="19"/>
      <c r="AK235" s="27"/>
      <c r="AL235" s="20"/>
      <c r="AM235" s="20"/>
      <c r="AN235" s="20"/>
      <c r="AO235" s="20"/>
      <c r="AP235" s="20"/>
      <c r="AQ235" s="19"/>
      <c r="AR235" s="20"/>
      <c r="AS235" s="20"/>
      <c r="AT235" s="20"/>
      <c r="AU235" s="20"/>
      <c r="AV235" s="20"/>
      <c r="AW235" s="20"/>
      <c r="AX235" s="19"/>
      <c r="AY235" s="20"/>
      <c r="AZ235" s="20"/>
      <c r="BA235" s="20"/>
      <c r="BB235" s="20"/>
      <c r="BC235" s="20"/>
      <c r="BD235" s="20"/>
      <c r="BE235" s="19"/>
      <c r="BF235" s="27"/>
      <c r="BG235" s="20"/>
      <c r="BH235" s="20"/>
      <c r="BI235" s="20"/>
      <c r="BJ235" s="20"/>
      <c r="BK235" s="20"/>
      <c r="BL235" s="19"/>
      <c r="BM235" s="34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27"/>
      <c r="CD235" s="20"/>
      <c r="CE235" s="20"/>
      <c r="CF235" s="20"/>
      <c r="CG235" s="20"/>
      <c r="CH235" s="19"/>
      <c r="CI235" s="13"/>
      <c r="CK235" s="57"/>
      <c r="CO235" s="57"/>
      <c r="CZ235" s="58"/>
    </row>
    <row r="236" spans="1:104" s="11" customFormat="1" x14ac:dyDescent="0.3">
      <c r="A236" s="24"/>
      <c r="B236" s="26"/>
      <c r="C236" s="20"/>
      <c r="D236" s="20"/>
      <c r="E236" s="20"/>
      <c r="F236" s="20"/>
      <c r="G236" s="20"/>
      <c r="H236" s="19"/>
      <c r="I236" s="27"/>
      <c r="J236" s="20"/>
      <c r="K236" s="20"/>
      <c r="L236" s="20"/>
      <c r="M236" s="20"/>
      <c r="N236" s="20"/>
      <c r="O236" s="19"/>
      <c r="P236" s="27"/>
      <c r="Q236" s="20"/>
      <c r="R236" s="20"/>
      <c r="S236" s="20"/>
      <c r="T236" s="20"/>
      <c r="U236" s="20"/>
      <c r="V236" s="19"/>
      <c r="W236" s="27"/>
      <c r="X236" s="20"/>
      <c r="Y236" s="20"/>
      <c r="Z236" s="20"/>
      <c r="AA236" s="20"/>
      <c r="AB236" s="20"/>
      <c r="AC236" s="19"/>
      <c r="AD236" s="27"/>
      <c r="AE236" s="20"/>
      <c r="AF236" s="20"/>
      <c r="AG236" s="20"/>
      <c r="AH236" s="20"/>
      <c r="AI236" s="20"/>
      <c r="AJ236" s="19"/>
      <c r="AK236" s="27"/>
      <c r="AL236" s="20"/>
      <c r="AM236" s="20"/>
      <c r="AN236" s="20"/>
      <c r="AO236" s="20"/>
      <c r="AP236" s="20"/>
      <c r="AQ236" s="19"/>
      <c r="AR236" s="20"/>
      <c r="AS236" s="20"/>
      <c r="AT236" s="20"/>
      <c r="AU236" s="20"/>
      <c r="AV236" s="20"/>
      <c r="AW236" s="20"/>
      <c r="AX236" s="19"/>
      <c r="AY236" s="20"/>
      <c r="AZ236" s="20"/>
      <c r="BA236" s="20"/>
      <c r="BB236" s="20"/>
      <c r="BC236" s="20"/>
      <c r="BD236" s="20"/>
      <c r="BE236" s="19"/>
      <c r="BF236" s="27"/>
      <c r="BG236" s="20"/>
      <c r="BH236" s="20"/>
      <c r="BI236" s="20"/>
      <c r="BJ236" s="20"/>
      <c r="BK236" s="20"/>
      <c r="BL236" s="19"/>
      <c r="BM236" s="34"/>
      <c r="BN236" s="16" t="s">
        <v>388</v>
      </c>
      <c r="BU236" s="17"/>
      <c r="BV236" s="17"/>
      <c r="BW236" s="17"/>
      <c r="BX236" s="17"/>
      <c r="BY236" s="17"/>
      <c r="BZ236" s="17"/>
      <c r="CA236" s="17"/>
      <c r="CB236" s="17"/>
      <c r="CC236" s="27"/>
      <c r="CD236" s="20"/>
      <c r="CE236" s="20"/>
      <c r="CF236" s="20"/>
      <c r="CG236" s="20"/>
      <c r="CH236" s="19"/>
      <c r="CI236" s="13"/>
      <c r="CK236" s="57"/>
      <c r="CO236" s="57"/>
      <c r="CZ236" s="58"/>
    </row>
    <row r="237" spans="1:104" s="11" customFormat="1" x14ac:dyDescent="0.3">
      <c r="A237" s="24"/>
      <c r="B237" s="26"/>
      <c r="C237" s="20"/>
      <c r="D237" s="20"/>
      <c r="E237" s="20"/>
      <c r="F237" s="20"/>
      <c r="G237" s="20"/>
      <c r="H237" s="19"/>
      <c r="I237" s="27"/>
      <c r="J237" s="20"/>
      <c r="K237" s="20"/>
      <c r="L237" s="20"/>
      <c r="M237" s="20"/>
      <c r="N237" s="20"/>
      <c r="O237" s="19"/>
      <c r="P237" s="27"/>
      <c r="Q237" s="20"/>
      <c r="R237" s="20"/>
      <c r="S237" s="20"/>
      <c r="T237" s="20"/>
      <c r="U237" s="20"/>
      <c r="V237" s="19"/>
      <c r="W237" s="27"/>
      <c r="X237" s="20"/>
      <c r="Y237" s="20"/>
      <c r="Z237" s="20"/>
      <c r="AA237" s="20"/>
      <c r="AB237" s="20"/>
      <c r="AC237" s="19"/>
      <c r="AD237" s="27"/>
      <c r="AE237" s="20"/>
      <c r="AF237" s="20"/>
      <c r="AG237" s="20"/>
      <c r="AH237" s="20"/>
      <c r="AI237" s="20"/>
      <c r="AJ237" s="19"/>
      <c r="AK237" s="27"/>
      <c r="AL237" s="20"/>
      <c r="AM237" s="20"/>
      <c r="AN237" s="20"/>
      <c r="AO237" s="20"/>
      <c r="AP237" s="20"/>
      <c r="AQ237" s="19"/>
      <c r="AR237" s="20"/>
      <c r="AS237" s="20"/>
      <c r="AT237" s="20"/>
      <c r="AU237" s="20"/>
      <c r="AV237" s="20"/>
      <c r="AW237" s="20"/>
      <c r="AX237" s="19"/>
      <c r="AY237" s="20"/>
      <c r="AZ237" s="20"/>
      <c r="BA237" s="20"/>
      <c r="BB237" s="20"/>
      <c r="BC237" s="20"/>
      <c r="BD237" s="20"/>
      <c r="BE237" s="19"/>
      <c r="BF237" s="27"/>
      <c r="BG237" s="20"/>
      <c r="BH237" s="20"/>
      <c r="BI237" s="20"/>
      <c r="BJ237" s="20"/>
      <c r="BK237" s="20"/>
      <c r="BL237" s="19"/>
      <c r="BM237" s="34"/>
      <c r="BO237" s="11" t="s">
        <v>389</v>
      </c>
      <c r="BU237" s="17"/>
      <c r="BV237" s="17"/>
      <c r="BW237" s="17"/>
      <c r="BX237" s="17"/>
      <c r="BY237" s="17"/>
      <c r="BZ237" s="17"/>
      <c r="CA237" s="17"/>
      <c r="CB237" s="17"/>
      <c r="CC237" s="27"/>
      <c r="CD237" s="20"/>
      <c r="CE237" s="20"/>
      <c r="CF237" s="20"/>
      <c r="CG237" s="20"/>
      <c r="CH237" s="19"/>
      <c r="CI237" s="13"/>
      <c r="CK237" s="57"/>
      <c r="CO237" s="57"/>
      <c r="CZ237" s="58"/>
    </row>
    <row r="238" spans="1:104" s="11" customFormat="1" x14ac:dyDescent="0.3">
      <c r="A238" s="24"/>
      <c r="B238" s="26"/>
      <c r="C238" s="20"/>
      <c r="D238" s="20"/>
      <c r="E238" s="20"/>
      <c r="F238" s="20"/>
      <c r="G238" s="20"/>
      <c r="H238" s="19"/>
      <c r="I238" s="27"/>
      <c r="J238" s="20"/>
      <c r="K238" s="20"/>
      <c r="L238" s="20"/>
      <c r="M238" s="20"/>
      <c r="N238" s="20"/>
      <c r="O238" s="19"/>
      <c r="P238" s="27"/>
      <c r="Q238" s="20"/>
      <c r="R238" s="20"/>
      <c r="S238" s="20"/>
      <c r="T238" s="20"/>
      <c r="U238" s="20"/>
      <c r="V238" s="19"/>
      <c r="W238" s="27"/>
      <c r="X238" s="20"/>
      <c r="Y238" s="20"/>
      <c r="Z238" s="20"/>
      <c r="AA238" s="20"/>
      <c r="AB238" s="20"/>
      <c r="AC238" s="19"/>
      <c r="AD238" s="27"/>
      <c r="AE238" s="20"/>
      <c r="AF238" s="20"/>
      <c r="AG238" s="20"/>
      <c r="AH238" s="20"/>
      <c r="AI238" s="20"/>
      <c r="AJ238" s="19"/>
      <c r="AK238" s="27"/>
      <c r="AL238" s="20"/>
      <c r="AM238" s="20"/>
      <c r="AN238" s="20"/>
      <c r="AO238" s="20"/>
      <c r="AP238" s="20"/>
      <c r="AQ238" s="19"/>
      <c r="AR238" s="20"/>
      <c r="AS238" s="20"/>
      <c r="AT238" s="20"/>
      <c r="AU238" s="20"/>
      <c r="AV238" s="20"/>
      <c r="AW238" s="20"/>
      <c r="AX238" s="19"/>
      <c r="AY238" s="20"/>
      <c r="AZ238" s="20"/>
      <c r="BA238" s="20"/>
      <c r="BB238" s="20"/>
      <c r="BC238" s="20"/>
      <c r="BD238" s="20"/>
      <c r="BE238" s="19"/>
      <c r="BF238" s="27"/>
      <c r="BG238" s="20"/>
      <c r="BH238" s="20"/>
      <c r="BI238" s="20"/>
      <c r="BJ238" s="20"/>
      <c r="BK238" s="20"/>
      <c r="BL238" s="19"/>
      <c r="BM238" s="34"/>
      <c r="BO238" s="8"/>
      <c r="BP238" s="8"/>
      <c r="BQ238" s="8"/>
      <c r="BR238" s="8"/>
      <c r="BS238" s="8"/>
      <c r="BT238" s="8"/>
      <c r="BU238" s="17"/>
      <c r="BV238" s="17"/>
      <c r="BW238" s="17"/>
      <c r="BX238" s="17"/>
      <c r="BY238" s="17"/>
      <c r="BZ238" s="17"/>
      <c r="CA238" s="17"/>
      <c r="CB238" s="17"/>
      <c r="CC238" s="27"/>
      <c r="CD238" s="20"/>
      <c r="CE238" s="20"/>
      <c r="CF238" s="20"/>
      <c r="CG238" s="20"/>
      <c r="CH238" s="19"/>
      <c r="CI238" s="13"/>
      <c r="CK238" s="57"/>
      <c r="CO238" s="57"/>
      <c r="CZ238" s="58"/>
    </row>
    <row r="239" spans="1:104" s="11" customFormat="1" x14ac:dyDescent="0.3">
      <c r="A239" s="24"/>
      <c r="B239" s="26"/>
      <c r="C239" s="20"/>
      <c r="D239" s="20"/>
      <c r="E239" s="20"/>
      <c r="F239" s="20"/>
      <c r="G239" s="20"/>
      <c r="H239" s="19"/>
      <c r="I239" s="27"/>
      <c r="J239" s="20"/>
      <c r="K239" s="20"/>
      <c r="L239" s="20"/>
      <c r="M239" s="20"/>
      <c r="N239" s="20"/>
      <c r="O239" s="19"/>
      <c r="P239" s="27"/>
      <c r="Q239" s="20"/>
      <c r="R239" s="20"/>
      <c r="S239" s="20"/>
      <c r="T239" s="20"/>
      <c r="U239" s="20"/>
      <c r="V239" s="19"/>
      <c r="W239" s="27"/>
      <c r="X239" s="20"/>
      <c r="Y239" s="20"/>
      <c r="Z239" s="20"/>
      <c r="AA239" s="20"/>
      <c r="AB239" s="20"/>
      <c r="AC239" s="19"/>
      <c r="AD239" s="27"/>
      <c r="AE239" s="20"/>
      <c r="AF239" s="20"/>
      <c r="AG239" s="20"/>
      <c r="AH239" s="20"/>
      <c r="AI239" s="20"/>
      <c r="AJ239" s="19"/>
      <c r="AK239" s="27"/>
      <c r="AL239" s="20"/>
      <c r="AM239" s="20"/>
      <c r="AN239" s="20"/>
      <c r="AO239" s="20"/>
      <c r="AP239" s="20"/>
      <c r="AQ239" s="19"/>
      <c r="AR239" s="20"/>
      <c r="AS239" s="20"/>
      <c r="AT239" s="20"/>
      <c r="AU239" s="20"/>
      <c r="AV239" s="20"/>
      <c r="AW239" s="20"/>
      <c r="AX239" s="19"/>
      <c r="AY239" s="20"/>
      <c r="AZ239" s="20"/>
      <c r="BA239" s="20"/>
      <c r="BB239" s="20"/>
      <c r="BC239" s="20"/>
      <c r="BD239" s="20"/>
      <c r="BE239" s="19"/>
      <c r="BF239" s="27"/>
      <c r="BG239" s="20"/>
      <c r="BH239" s="20"/>
      <c r="BI239" s="20"/>
      <c r="BJ239" s="20"/>
      <c r="BK239" s="20"/>
      <c r="BL239" s="19"/>
      <c r="BM239" s="34"/>
      <c r="BU239" s="17"/>
      <c r="BV239" s="17"/>
      <c r="BW239" s="17"/>
      <c r="BX239" s="17"/>
      <c r="BY239" s="17"/>
      <c r="BZ239" s="17"/>
      <c r="CA239" s="17"/>
      <c r="CB239" s="17"/>
      <c r="CC239" s="27"/>
      <c r="CD239" s="20"/>
      <c r="CE239" s="20"/>
      <c r="CF239" s="20"/>
      <c r="CG239" s="20"/>
      <c r="CH239" s="19"/>
      <c r="CI239" s="13"/>
      <c r="CK239" s="57"/>
      <c r="CO239" s="57"/>
      <c r="CZ239" s="58"/>
    </row>
    <row r="240" spans="1:104" s="11" customFormat="1" x14ac:dyDescent="0.3">
      <c r="A240" s="24"/>
      <c r="B240" s="26"/>
      <c r="C240" s="20"/>
      <c r="D240" s="20"/>
      <c r="E240" s="20"/>
      <c r="F240" s="20"/>
      <c r="G240" s="20"/>
      <c r="H240" s="19"/>
      <c r="I240" s="27"/>
      <c r="J240" s="20"/>
      <c r="K240" s="20"/>
      <c r="L240" s="20"/>
      <c r="M240" s="20"/>
      <c r="N240" s="20"/>
      <c r="O240" s="19"/>
      <c r="P240" s="27"/>
      <c r="Q240" s="20"/>
      <c r="R240" s="20"/>
      <c r="S240" s="20"/>
      <c r="T240" s="20"/>
      <c r="U240" s="20"/>
      <c r="V240" s="19"/>
      <c r="W240" s="27"/>
      <c r="X240" s="20"/>
      <c r="Y240" s="20"/>
      <c r="Z240" s="20"/>
      <c r="AA240" s="20"/>
      <c r="AB240" s="20"/>
      <c r="AC240" s="19"/>
      <c r="AD240" s="27"/>
      <c r="AE240" s="20"/>
      <c r="AF240" s="20"/>
      <c r="AG240" s="20"/>
      <c r="AH240" s="20"/>
      <c r="AI240" s="20"/>
      <c r="AJ240" s="19"/>
      <c r="AK240" s="27"/>
      <c r="AL240" s="20"/>
      <c r="AM240" s="20"/>
      <c r="AN240" s="20"/>
      <c r="AO240" s="20"/>
      <c r="AP240" s="20"/>
      <c r="AQ240" s="19"/>
      <c r="AR240" s="20"/>
      <c r="AS240" s="20"/>
      <c r="AT240" s="20"/>
      <c r="AU240" s="20"/>
      <c r="AV240" s="20"/>
      <c r="AW240" s="20"/>
      <c r="AX240" s="19"/>
      <c r="AY240" s="20"/>
      <c r="AZ240" s="20"/>
      <c r="BA240" s="20"/>
      <c r="BB240" s="20"/>
      <c r="BC240" s="20"/>
      <c r="BD240" s="20"/>
      <c r="BE240" s="19"/>
      <c r="BF240" s="27"/>
      <c r="BG240" s="20"/>
      <c r="BH240" s="20"/>
      <c r="BI240" s="20"/>
      <c r="BJ240" s="20"/>
      <c r="BK240" s="20"/>
      <c r="BL240" s="19"/>
      <c r="BM240" s="34"/>
      <c r="BU240" s="17"/>
      <c r="BV240" s="17"/>
      <c r="BW240" s="17"/>
      <c r="BX240" s="17"/>
      <c r="BY240" s="17"/>
      <c r="BZ240" s="17"/>
      <c r="CA240" s="17"/>
      <c r="CB240" s="17"/>
      <c r="CC240" s="27"/>
      <c r="CD240" s="20"/>
      <c r="CE240" s="20"/>
      <c r="CF240" s="20"/>
      <c r="CG240" s="20"/>
      <c r="CH240" s="19"/>
      <c r="CI240" s="13"/>
      <c r="CK240" s="57"/>
      <c r="CO240" s="57"/>
      <c r="CZ240" s="58"/>
    </row>
    <row r="241" spans="1:104" s="11" customFormat="1" x14ac:dyDescent="0.3">
      <c r="A241" s="24"/>
      <c r="B241" s="26"/>
      <c r="C241" s="20"/>
      <c r="D241" s="20"/>
      <c r="E241" s="20"/>
      <c r="F241" s="20"/>
      <c r="G241" s="20"/>
      <c r="H241" s="19"/>
      <c r="I241" s="27"/>
      <c r="J241" s="20"/>
      <c r="K241" s="20"/>
      <c r="L241" s="20"/>
      <c r="M241" s="20"/>
      <c r="N241" s="20"/>
      <c r="O241" s="19"/>
      <c r="P241" s="27"/>
      <c r="Q241" s="20"/>
      <c r="R241" s="20"/>
      <c r="S241" s="20"/>
      <c r="T241" s="20"/>
      <c r="U241" s="20"/>
      <c r="V241" s="19"/>
      <c r="W241" s="27"/>
      <c r="X241" s="20"/>
      <c r="Y241" s="20"/>
      <c r="Z241" s="20"/>
      <c r="AA241" s="20"/>
      <c r="AB241" s="20"/>
      <c r="AC241" s="19"/>
      <c r="AD241" s="27"/>
      <c r="AE241" s="20"/>
      <c r="AF241" s="20"/>
      <c r="AG241" s="20"/>
      <c r="AH241" s="20"/>
      <c r="AI241" s="20"/>
      <c r="AJ241" s="19"/>
      <c r="AK241" s="27"/>
      <c r="AL241" s="20"/>
      <c r="AM241" s="20"/>
      <c r="AN241" s="20"/>
      <c r="AO241" s="20"/>
      <c r="AP241" s="20"/>
      <c r="AQ241" s="19"/>
      <c r="AR241" s="20"/>
      <c r="AS241" s="20"/>
      <c r="AT241" s="20"/>
      <c r="AU241" s="20"/>
      <c r="AV241" s="20"/>
      <c r="AW241" s="20"/>
      <c r="AX241" s="19"/>
      <c r="AY241" s="20"/>
      <c r="AZ241" s="20"/>
      <c r="BA241" s="20"/>
      <c r="BB241" s="20"/>
      <c r="BC241" s="20"/>
      <c r="BD241" s="20"/>
      <c r="BE241" s="19"/>
      <c r="BF241" s="27"/>
      <c r="BG241" s="20"/>
      <c r="BH241" s="20"/>
      <c r="BI241" s="20"/>
      <c r="BJ241" s="20"/>
      <c r="BK241" s="20"/>
      <c r="BL241" s="19"/>
      <c r="BM241" s="34"/>
      <c r="BU241" s="17"/>
      <c r="BV241" s="17"/>
      <c r="BW241" s="17"/>
      <c r="BX241" s="17"/>
      <c r="BY241" s="17"/>
      <c r="BZ241" s="17"/>
      <c r="CA241" s="17"/>
      <c r="CB241" s="17"/>
      <c r="CC241" s="27"/>
      <c r="CD241" s="20"/>
      <c r="CE241" s="20"/>
      <c r="CF241" s="20"/>
      <c r="CG241" s="20"/>
      <c r="CH241" s="19"/>
      <c r="CI241" s="13"/>
      <c r="CK241" s="57"/>
      <c r="CO241" s="57"/>
      <c r="CZ241" s="58"/>
    </row>
    <row r="242" spans="1:104" s="11" customFormat="1" x14ac:dyDescent="0.3">
      <c r="A242" s="24"/>
      <c r="B242" s="26"/>
      <c r="C242" s="20"/>
      <c r="D242" s="20"/>
      <c r="E242" s="20"/>
      <c r="F242" s="20"/>
      <c r="G242" s="20"/>
      <c r="H242" s="19"/>
      <c r="I242" s="27"/>
      <c r="J242" s="20"/>
      <c r="K242" s="20"/>
      <c r="L242" s="20"/>
      <c r="M242" s="20"/>
      <c r="N242" s="20"/>
      <c r="O242" s="19"/>
      <c r="P242" s="27"/>
      <c r="Q242" s="20"/>
      <c r="R242" s="20"/>
      <c r="S242" s="20"/>
      <c r="T242" s="20"/>
      <c r="U242" s="20"/>
      <c r="V242" s="19"/>
      <c r="W242" s="27"/>
      <c r="X242" s="20"/>
      <c r="Y242" s="20"/>
      <c r="Z242" s="20"/>
      <c r="AA242" s="20"/>
      <c r="AB242" s="20"/>
      <c r="AC242" s="19"/>
      <c r="AD242" s="27"/>
      <c r="AE242" s="20"/>
      <c r="AF242" s="20"/>
      <c r="AG242" s="20"/>
      <c r="AH242" s="20"/>
      <c r="AI242" s="20"/>
      <c r="AJ242" s="19"/>
      <c r="AK242" s="27"/>
      <c r="AL242" s="20"/>
      <c r="AM242" s="20"/>
      <c r="AN242" s="20"/>
      <c r="AO242" s="20"/>
      <c r="AP242" s="20"/>
      <c r="AQ242" s="19"/>
      <c r="AR242" s="20"/>
      <c r="AS242" s="20"/>
      <c r="AT242" s="20"/>
      <c r="AU242" s="20"/>
      <c r="AV242" s="20"/>
      <c r="AW242" s="20"/>
      <c r="AX242" s="19"/>
      <c r="AY242" s="20"/>
      <c r="AZ242" s="20"/>
      <c r="BA242" s="20"/>
      <c r="BB242" s="20"/>
      <c r="BC242" s="20"/>
      <c r="BD242" s="20"/>
      <c r="BE242" s="19"/>
      <c r="BF242" s="27"/>
      <c r="BG242" s="20"/>
      <c r="BH242" s="20"/>
      <c r="BI242" s="20"/>
      <c r="BJ242" s="20"/>
      <c r="BK242" s="20"/>
      <c r="BL242" s="19"/>
      <c r="BM242" s="34"/>
      <c r="BN242" s="16" t="s">
        <v>390</v>
      </c>
      <c r="BU242" s="17"/>
      <c r="BV242" s="17"/>
      <c r="BW242" s="17"/>
      <c r="BX242" s="17"/>
      <c r="BY242" s="17"/>
      <c r="BZ242" s="17"/>
      <c r="CA242" s="17"/>
      <c r="CB242" s="17"/>
      <c r="CC242" s="27"/>
      <c r="CD242" s="20"/>
      <c r="CE242" s="20"/>
      <c r="CF242" s="20"/>
      <c r="CG242" s="20"/>
      <c r="CH242" s="19"/>
      <c r="CI242" s="13"/>
      <c r="CK242" s="57"/>
      <c r="CO242" s="57"/>
      <c r="CZ242" s="58"/>
    </row>
    <row r="243" spans="1:104" s="11" customFormat="1" x14ac:dyDescent="0.3">
      <c r="A243" s="24"/>
      <c r="B243" s="26"/>
      <c r="C243" s="20"/>
      <c r="D243" s="20"/>
      <c r="E243" s="20"/>
      <c r="F243" s="20"/>
      <c r="G243" s="20"/>
      <c r="H243" s="19"/>
      <c r="I243" s="27"/>
      <c r="J243" s="20"/>
      <c r="K243" s="20"/>
      <c r="L243" s="20"/>
      <c r="M243" s="20"/>
      <c r="N243" s="20"/>
      <c r="O243" s="19"/>
      <c r="P243" s="27"/>
      <c r="Q243" s="20"/>
      <c r="R243" s="20"/>
      <c r="S243" s="20"/>
      <c r="T243" s="20"/>
      <c r="U243" s="20"/>
      <c r="V243" s="19"/>
      <c r="W243" s="27"/>
      <c r="X243" s="20"/>
      <c r="Y243" s="20"/>
      <c r="Z243" s="20"/>
      <c r="AA243" s="20"/>
      <c r="AB243" s="20"/>
      <c r="AC243" s="19"/>
      <c r="AD243" s="27"/>
      <c r="AE243" s="20"/>
      <c r="AF243" s="20"/>
      <c r="AG243" s="20"/>
      <c r="AH243" s="20"/>
      <c r="AI243" s="20"/>
      <c r="AJ243" s="19"/>
      <c r="AK243" s="27"/>
      <c r="AL243" s="20"/>
      <c r="AM243" s="20"/>
      <c r="AN243" s="20"/>
      <c r="AO243" s="20"/>
      <c r="AP243" s="20"/>
      <c r="AQ243" s="19"/>
      <c r="AR243" s="20"/>
      <c r="AS243" s="20"/>
      <c r="AT243" s="20"/>
      <c r="AU243" s="20"/>
      <c r="AV243" s="20"/>
      <c r="AW243" s="20"/>
      <c r="AX243" s="19"/>
      <c r="AY243" s="20"/>
      <c r="AZ243" s="20"/>
      <c r="BA243" s="20"/>
      <c r="BB243" s="20"/>
      <c r="BC243" s="20"/>
      <c r="BD243" s="20"/>
      <c r="BE243" s="19"/>
      <c r="BF243" s="27"/>
      <c r="BG243" s="20"/>
      <c r="BH243" s="20"/>
      <c r="BI243" s="20"/>
      <c r="BJ243" s="20"/>
      <c r="BK243" s="20"/>
      <c r="BL243" s="19"/>
      <c r="BM243" s="34"/>
      <c r="BO243" s="11" t="s">
        <v>391</v>
      </c>
      <c r="BU243" s="17"/>
      <c r="BV243" s="17"/>
      <c r="BW243" s="17"/>
      <c r="BX243" s="17"/>
      <c r="BY243" s="17"/>
      <c r="BZ243" s="17"/>
      <c r="CA243" s="17"/>
      <c r="CB243" s="17"/>
      <c r="CC243" s="27"/>
      <c r="CD243" s="20"/>
      <c r="CE243" s="20"/>
      <c r="CF243" s="20"/>
      <c r="CG243" s="20"/>
      <c r="CH243" s="19"/>
      <c r="CI243" s="13"/>
      <c r="CK243" s="57"/>
      <c r="CO243" s="57"/>
      <c r="CZ243" s="58"/>
    </row>
    <row r="244" spans="1:104" s="11" customFormat="1" x14ac:dyDescent="0.3">
      <c r="A244" s="24"/>
      <c r="B244" s="26"/>
      <c r="C244" s="20"/>
      <c r="D244" s="20"/>
      <c r="E244" s="20"/>
      <c r="F244" s="20"/>
      <c r="G244" s="20"/>
      <c r="H244" s="19"/>
      <c r="I244" s="27"/>
      <c r="J244" s="20"/>
      <c r="K244" s="20"/>
      <c r="L244" s="20"/>
      <c r="M244" s="20"/>
      <c r="N244" s="20"/>
      <c r="O244" s="19"/>
      <c r="P244" s="27"/>
      <c r="Q244" s="20"/>
      <c r="R244" s="20"/>
      <c r="S244" s="20"/>
      <c r="T244" s="20"/>
      <c r="U244" s="20"/>
      <c r="V244" s="19"/>
      <c r="W244" s="27"/>
      <c r="X244" s="20"/>
      <c r="Y244" s="20"/>
      <c r="Z244" s="20"/>
      <c r="AA244" s="20"/>
      <c r="AB244" s="20"/>
      <c r="AC244" s="19"/>
      <c r="AD244" s="27"/>
      <c r="AE244" s="20"/>
      <c r="AF244" s="20"/>
      <c r="AG244" s="20"/>
      <c r="AH244" s="20"/>
      <c r="AI244" s="20"/>
      <c r="AJ244" s="19"/>
      <c r="AK244" s="27"/>
      <c r="AL244" s="20"/>
      <c r="AM244" s="20"/>
      <c r="AN244" s="20"/>
      <c r="AO244" s="20"/>
      <c r="AP244" s="20"/>
      <c r="AQ244" s="19"/>
      <c r="AR244" s="20"/>
      <c r="AS244" s="20"/>
      <c r="AT244" s="20"/>
      <c r="AU244" s="20"/>
      <c r="AV244" s="20"/>
      <c r="AW244" s="20"/>
      <c r="AX244" s="19"/>
      <c r="AY244" s="20"/>
      <c r="AZ244" s="20"/>
      <c r="BA244" s="20"/>
      <c r="BB244" s="20"/>
      <c r="BC244" s="20"/>
      <c r="BD244" s="20"/>
      <c r="BE244" s="19"/>
      <c r="BF244" s="27"/>
      <c r="BG244" s="20"/>
      <c r="BH244" s="20"/>
      <c r="BI244" s="20"/>
      <c r="BJ244" s="20"/>
      <c r="BK244" s="20"/>
      <c r="BL244" s="19"/>
      <c r="BM244" s="34"/>
      <c r="BO244" s="11" t="s">
        <v>392</v>
      </c>
      <c r="BU244" s="17"/>
      <c r="BV244" s="17"/>
      <c r="BW244" s="17"/>
      <c r="BX244" s="17"/>
      <c r="BY244" s="17"/>
      <c r="BZ244" s="17"/>
      <c r="CA244" s="17"/>
      <c r="CB244" s="17"/>
      <c r="CC244" s="27"/>
      <c r="CD244" s="20"/>
      <c r="CE244" s="20"/>
      <c r="CF244" s="20"/>
      <c r="CG244" s="20"/>
      <c r="CH244" s="19"/>
      <c r="CI244" s="13"/>
      <c r="CK244" s="57"/>
      <c r="CO244" s="57"/>
      <c r="CZ244" s="58"/>
    </row>
    <row r="245" spans="1:104" s="11" customFormat="1" x14ac:dyDescent="0.3">
      <c r="A245" s="24"/>
      <c r="B245" s="26"/>
      <c r="C245" s="20"/>
      <c r="D245" s="20"/>
      <c r="E245" s="20"/>
      <c r="F245" s="20"/>
      <c r="G245" s="20"/>
      <c r="H245" s="19"/>
      <c r="I245" s="27"/>
      <c r="J245" s="20"/>
      <c r="K245" s="20"/>
      <c r="L245" s="20"/>
      <c r="M245" s="20"/>
      <c r="N245" s="20"/>
      <c r="O245" s="19"/>
      <c r="P245" s="27"/>
      <c r="Q245" s="20"/>
      <c r="R245" s="20"/>
      <c r="S245" s="20"/>
      <c r="T245" s="20"/>
      <c r="U245" s="20"/>
      <c r="V245" s="19"/>
      <c r="W245" s="27"/>
      <c r="X245" s="20"/>
      <c r="Y245" s="20"/>
      <c r="Z245" s="20"/>
      <c r="AA245" s="20"/>
      <c r="AB245" s="20"/>
      <c r="AC245" s="19"/>
      <c r="AD245" s="27"/>
      <c r="AE245" s="20"/>
      <c r="AF245" s="20"/>
      <c r="AG245" s="20"/>
      <c r="AH245" s="20"/>
      <c r="AI245" s="20"/>
      <c r="AJ245" s="19"/>
      <c r="AK245" s="27"/>
      <c r="AL245" s="20"/>
      <c r="AM245" s="20"/>
      <c r="AN245" s="20"/>
      <c r="AO245" s="20"/>
      <c r="AP245" s="20"/>
      <c r="AQ245" s="19"/>
      <c r="AR245" s="20"/>
      <c r="AS245" s="20"/>
      <c r="AT245" s="20"/>
      <c r="AU245" s="20"/>
      <c r="AV245" s="20"/>
      <c r="AW245" s="20"/>
      <c r="AX245" s="19"/>
      <c r="AY245" s="20"/>
      <c r="AZ245" s="20"/>
      <c r="BA245" s="20"/>
      <c r="BB245" s="20"/>
      <c r="BC245" s="20"/>
      <c r="BD245" s="20"/>
      <c r="BE245" s="19"/>
      <c r="BF245" s="27"/>
      <c r="BG245" s="20"/>
      <c r="BH245" s="20"/>
      <c r="BI245" s="20"/>
      <c r="BJ245" s="20"/>
      <c r="BK245" s="20"/>
      <c r="BL245" s="19"/>
      <c r="BM245" s="34"/>
      <c r="BO245" s="11" t="s">
        <v>121</v>
      </c>
      <c r="BP245" t="s">
        <v>393</v>
      </c>
      <c r="BU245" s="17"/>
      <c r="BV245" s="17"/>
      <c r="BW245" s="17"/>
      <c r="BX245" s="17"/>
      <c r="BY245" s="17"/>
      <c r="BZ245" s="17"/>
      <c r="CA245" s="17"/>
      <c r="CB245" s="17"/>
      <c r="CC245" s="27"/>
      <c r="CD245" s="20"/>
      <c r="CE245" s="20"/>
      <c r="CF245" s="20"/>
      <c r="CG245" s="20"/>
      <c r="CH245" s="19"/>
      <c r="CI245" s="13"/>
      <c r="CK245" s="57"/>
      <c r="CO245" s="57"/>
      <c r="CZ245" s="58"/>
    </row>
    <row r="246" spans="1:104" s="11" customFormat="1" x14ac:dyDescent="0.3">
      <c r="A246" s="24"/>
      <c r="B246" s="26"/>
      <c r="C246" s="20"/>
      <c r="D246" s="20"/>
      <c r="E246" s="20"/>
      <c r="F246" s="20"/>
      <c r="G246" s="20"/>
      <c r="H246" s="19"/>
      <c r="I246" s="27"/>
      <c r="J246" s="20"/>
      <c r="K246" s="20"/>
      <c r="L246" s="20"/>
      <c r="M246" s="20"/>
      <c r="N246" s="20"/>
      <c r="O246" s="19"/>
      <c r="P246" s="27"/>
      <c r="Q246" s="20"/>
      <c r="R246" s="20"/>
      <c r="S246" s="20"/>
      <c r="T246" s="20"/>
      <c r="U246" s="20"/>
      <c r="V246" s="19"/>
      <c r="W246" s="27"/>
      <c r="X246" s="20"/>
      <c r="Y246" s="20"/>
      <c r="Z246" s="20"/>
      <c r="AA246" s="20"/>
      <c r="AB246" s="20"/>
      <c r="AC246" s="19"/>
      <c r="AD246" s="27"/>
      <c r="AE246" s="20"/>
      <c r="AF246" s="20"/>
      <c r="AG246" s="20"/>
      <c r="AH246" s="20"/>
      <c r="AI246" s="20"/>
      <c r="AJ246" s="19"/>
      <c r="AK246" s="27"/>
      <c r="AL246" s="20"/>
      <c r="AM246" s="20"/>
      <c r="AN246" s="20"/>
      <c r="AO246" s="20"/>
      <c r="AP246" s="20"/>
      <c r="AQ246" s="19"/>
      <c r="AR246" s="20"/>
      <c r="AS246" s="20"/>
      <c r="AT246" s="20"/>
      <c r="AU246" s="20"/>
      <c r="AV246" s="20"/>
      <c r="AW246" s="20"/>
      <c r="AX246" s="19"/>
      <c r="AY246" s="20"/>
      <c r="AZ246" s="20"/>
      <c r="BA246" s="20"/>
      <c r="BB246" s="20"/>
      <c r="BC246" s="20"/>
      <c r="BD246" s="20"/>
      <c r="BE246" s="19"/>
      <c r="BF246" s="27"/>
      <c r="BG246" s="20"/>
      <c r="BH246" s="20"/>
      <c r="BI246" s="20"/>
      <c r="BJ246" s="20"/>
      <c r="BK246" s="20"/>
      <c r="BL246" s="19"/>
      <c r="BM246" s="34"/>
      <c r="BO246" s="8"/>
      <c r="BP246" s="8"/>
      <c r="BQ246" s="8"/>
      <c r="BR246" s="8"/>
      <c r="BS246" s="8"/>
      <c r="BT246" s="8"/>
      <c r="BU246" s="17"/>
      <c r="BV246" s="17"/>
      <c r="BW246" s="17"/>
      <c r="BX246" s="17"/>
      <c r="BY246" s="17"/>
      <c r="BZ246" s="17"/>
      <c r="CA246" s="17"/>
      <c r="CB246" s="17"/>
      <c r="CC246" s="27"/>
      <c r="CD246" s="20"/>
      <c r="CE246" s="20"/>
      <c r="CF246" s="20"/>
      <c r="CG246" s="20"/>
      <c r="CH246" s="19"/>
      <c r="CI246" s="13"/>
      <c r="CK246" s="57"/>
      <c r="CO246" s="57"/>
      <c r="CZ246" s="58"/>
    </row>
    <row r="247" spans="1:104" s="11" customFormat="1" x14ac:dyDescent="0.3">
      <c r="A247" s="24"/>
      <c r="B247" s="26"/>
      <c r="C247" s="20"/>
      <c r="D247" s="20"/>
      <c r="E247" s="20"/>
      <c r="F247" s="20"/>
      <c r="G247" s="20"/>
      <c r="H247" s="19"/>
      <c r="I247" s="27"/>
      <c r="J247" s="20"/>
      <c r="K247" s="20"/>
      <c r="L247" s="20"/>
      <c r="M247" s="20"/>
      <c r="N247" s="20"/>
      <c r="O247" s="19"/>
      <c r="P247" s="27"/>
      <c r="Q247" s="20"/>
      <c r="R247" s="20"/>
      <c r="S247" s="20"/>
      <c r="T247" s="20"/>
      <c r="U247" s="20"/>
      <c r="V247" s="19"/>
      <c r="W247" s="27"/>
      <c r="X247" s="20"/>
      <c r="Y247" s="20"/>
      <c r="Z247" s="20"/>
      <c r="AA247" s="20"/>
      <c r="AB247" s="20"/>
      <c r="AC247" s="19"/>
      <c r="AD247" s="27"/>
      <c r="AE247" s="20"/>
      <c r="AF247" s="20"/>
      <c r="AG247" s="20"/>
      <c r="AH247" s="20"/>
      <c r="AI247" s="20"/>
      <c r="AJ247" s="19"/>
      <c r="AK247" s="27"/>
      <c r="AL247" s="20"/>
      <c r="AM247" s="20"/>
      <c r="AN247" s="20"/>
      <c r="AO247" s="20"/>
      <c r="AP247" s="20"/>
      <c r="AQ247" s="19"/>
      <c r="AR247" s="20"/>
      <c r="AS247" s="20"/>
      <c r="AT247" s="20"/>
      <c r="AU247" s="20"/>
      <c r="AV247" s="20"/>
      <c r="AW247" s="20"/>
      <c r="AX247" s="19"/>
      <c r="AY247" s="20"/>
      <c r="AZ247" s="20"/>
      <c r="BA247" s="20"/>
      <c r="BB247" s="20"/>
      <c r="BC247" s="20"/>
      <c r="BD247" s="20"/>
      <c r="BE247" s="19"/>
      <c r="BF247" s="27"/>
      <c r="BG247" s="20"/>
      <c r="BH247" s="20"/>
      <c r="BI247" s="20"/>
      <c r="BJ247" s="20"/>
      <c r="BK247" s="20"/>
      <c r="BL247" s="19"/>
      <c r="BM247" s="34"/>
      <c r="BU247" s="17"/>
      <c r="BV247" s="17"/>
      <c r="BW247" s="17"/>
      <c r="BX247" s="17"/>
      <c r="BY247" s="17"/>
      <c r="BZ247" s="17"/>
      <c r="CA247" s="17"/>
      <c r="CB247" s="17"/>
      <c r="CC247" s="27"/>
      <c r="CD247" s="20"/>
      <c r="CE247" s="20"/>
      <c r="CF247" s="20"/>
      <c r="CG247" s="20"/>
      <c r="CH247" s="19"/>
      <c r="CI247" s="13"/>
      <c r="CK247" s="57"/>
      <c r="CO247" s="57"/>
      <c r="CZ247" s="58"/>
    </row>
    <row r="248" spans="1:104" s="11" customFormat="1" x14ac:dyDescent="0.3">
      <c r="A248" s="24"/>
      <c r="B248" s="26"/>
      <c r="C248" s="20"/>
      <c r="D248" s="20"/>
      <c r="E248" s="20"/>
      <c r="F248" s="20"/>
      <c r="G248" s="20"/>
      <c r="H248" s="19"/>
      <c r="I248" s="27"/>
      <c r="J248" s="20"/>
      <c r="K248" s="20"/>
      <c r="L248" s="20"/>
      <c r="M248" s="20"/>
      <c r="N248" s="20"/>
      <c r="O248" s="19"/>
      <c r="P248" s="27"/>
      <c r="Q248" s="20"/>
      <c r="R248" s="20"/>
      <c r="S248" s="20"/>
      <c r="T248" s="20"/>
      <c r="U248" s="20"/>
      <c r="V248" s="19"/>
      <c r="W248" s="27"/>
      <c r="X248" s="20"/>
      <c r="Y248" s="20"/>
      <c r="Z248" s="20"/>
      <c r="AA248" s="20"/>
      <c r="AB248" s="20"/>
      <c r="AC248" s="19"/>
      <c r="AD248" s="27"/>
      <c r="AE248" s="20"/>
      <c r="AF248" s="20"/>
      <c r="AG248" s="20"/>
      <c r="AH248" s="20"/>
      <c r="AI248" s="20"/>
      <c r="AJ248" s="19"/>
      <c r="AK248" s="27"/>
      <c r="AL248" s="20"/>
      <c r="AM248" s="20"/>
      <c r="AN248" s="20"/>
      <c r="AO248" s="20"/>
      <c r="AP248" s="20"/>
      <c r="AQ248" s="19"/>
      <c r="AR248" s="20"/>
      <c r="AS248" s="20"/>
      <c r="AT248" s="20"/>
      <c r="AU248" s="20"/>
      <c r="AV248" s="20"/>
      <c r="AW248" s="20"/>
      <c r="AX248" s="19"/>
      <c r="AY248" s="20"/>
      <c r="AZ248" s="20"/>
      <c r="BA248" s="20"/>
      <c r="BB248" s="20"/>
      <c r="BC248" s="20"/>
      <c r="BD248" s="20"/>
      <c r="BE248" s="19"/>
      <c r="BF248" s="27"/>
      <c r="BG248" s="20"/>
      <c r="BH248" s="20"/>
      <c r="BI248" s="20"/>
      <c r="BJ248" s="20"/>
      <c r="BK248" s="20"/>
      <c r="BL248" s="19"/>
      <c r="BM248" s="34"/>
      <c r="BO248" s="8"/>
      <c r="BP248" s="8"/>
      <c r="BQ248" s="8"/>
      <c r="BR248" s="8"/>
      <c r="BS248" s="8"/>
      <c r="BT248" s="8"/>
      <c r="BU248" s="17"/>
      <c r="BV248" s="17"/>
      <c r="BW248" s="17"/>
      <c r="BX248" s="17"/>
      <c r="BY248" s="17"/>
      <c r="BZ248" s="17"/>
      <c r="CA248" s="17"/>
      <c r="CB248" s="17"/>
      <c r="CC248" s="27"/>
      <c r="CD248" s="20"/>
      <c r="CE248" s="20"/>
      <c r="CF248" s="20"/>
      <c r="CG248" s="20"/>
      <c r="CH248" s="19"/>
      <c r="CI248" s="13"/>
      <c r="CK248" s="57"/>
      <c r="CO248" s="57"/>
      <c r="CZ248" s="58"/>
    </row>
    <row r="249" spans="1:104" s="11" customFormat="1" x14ac:dyDescent="0.3">
      <c r="A249" s="24"/>
      <c r="B249" s="26"/>
      <c r="C249" s="20"/>
      <c r="D249" s="20"/>
      <c r="E249" s="20"/>
      <c r="F249" s="20"/>
      <c r="G249" s="20"/>
      <c r="H249" s="19"/>
      <c r="I249" s="27"/>
      <c r="J249" s="20"/>
      <c r="K249" s="20"/>
      <c r="L249" s="20"/>
      <c r="M249" s="20"/>
      <c r="N249" s="20"/>
      <c r="O249" s="19"/>
      <c r="P249" s="27"/>
      <c r="Q249" s="20"/>
      <c r="R249" s="20"/>
      <c r="S249" s="20"/>
      <c r="T249" s="20"/>
      <c r="U249" s="20"/>
      <c r="V249" s="19"/>
      <c r="W249" s="27"/>
      <c r="X249" s="20"/>
      <c r="Y249" s="20"/>
      <c r="Z249" s="20"/>
      <c r="AA249" s="20"/>
      <c r="AB249" s="20"/>
      <c r="AC249" s="19"/>
      <c r="AD249" s="27"/>
      <c r="AE249" s="20"/>
      <c r="AF249" s="20"/>
      <c r="AG249" s="20"/>
      <c r="AH249" s="20"/>
      <c r="AI249" s="20"/>
      <c r="AJ249" s="19"/>
      <c r="AK249" s="27"/>
      <c r="AL249" s="20"/>
      <c r="AM249" s="20"/>
      <c r="AN249" s="20"/>
      <c r="AO249" s="20"/>
      <c r="AP249" s="20"/>
      <c r="AQ249" s="19"/>
      <c r="AR249" s="20"/>
      <c r="AS249" s="20"/>
      <c r="AT249" s="20"/>
      <c r="AU249" s="20"/>
      <c r="AV249" s="20"/>
      <c r="AW249" s="20"/>
      <c r="AX249" s="19"/>
      <c r="AY249" s="20"/>
      <c r="AZ249" s="20"/>
      <c r="BA249" s="20"/>
      <c r="BB249" s="20"/>
      <c r="BC249" s="20"/>
      <c r="BD249" s="20"/>
      <c r="BE249" s="19"/>
      <c r="BF249" s="27"/>
      <c r="BG249" s="20"/>
      <c r="BH249" s="20"/>
      <c r="BI249" s="20"/>
      <c r="BJ249" s="20"/>
      <c r="BK249" s="20"/>
      <c r="BL249" s="19"/>
      <c r="BM249" s="34"/>
      <c r="BU249" s="17"/>
      <c r="BV249" s="17"/>
      <c r="BW249" s="17"/>
      <c r="BX249" s="17"/>
      <c r="BY249" s="17"/>
      <c r="BZ249" s="17"/>
      <c r="CA249" s="17"/>
      <c r="CB249" s="17"/>
      <c r="CC249" s="27"/>
      <c r="CD249" s="20"/>
      <c r="CE249" s="20"/>
      <c r="CF249" s="20"/>
      <c r="CG249" s="20"/>
      <c r="CH249" s="19"/>
      <c r="CI249" s="13"/>
      <c r="CK249" s="57"/>
      <c r="CO249" s="57"/>
      <c r="CZ249" s="58"/>
    </row>
    <row r="250" spans="1:104" s="11" customFormat="1" x14ac:dyDescent="0.3">
      <c r="A250" s="24"/>
      <c r="B250" s="26"/>
      <c r="C250" s="20"/>
      <c r="D250" s="20"/>
      <c r="E250" s="20"/>
      <c r="F250" s="20"/>
      <c r="G250" s="20"/>
      <c r="H250" s="19"/>
      <c r="I250" s="27"/>
      <c r="J250" s="20"/>
      <c r="K250" s="20"/>
      <c r="L250" s="20"/>
      <c r="M250" s="20"/>
      <c r="N250" s="20"/>
      <c r="O250" s="19"/>
      <c r="P250" s="27"/>
      <c r="Q250" s="20"/>
      <c r="R250" s="20"/>
      <c r="S250" s="20"/>
      <c r="T250" s="20"/>
      <c r="U250" s="20"/>
      <c r="V250" s="19"/>
      <c r="W250" s="27"/>
      <c r="X250" s="20"/>
      <c r="Y250" s="20"/>
      <c r="Z250" s="20"/>
      <c r="AA250" s="20"/>
      <c r="AB250" s="20"/>
      <c r="AC250" s="19"/>
      <c r="AD250" s="27"/>
      <c r="AE250" s="20"/>
      <c r="AF250" s="20"/>
      <c r="AG250" s="20"/>
      <c r="AH250" s="20"/>
      <c r="AI250" s="20"/>
      <c r="AJ250" s="19"/>
      <c r="AK250" s="27"/>
      <c r="AL250" s="20"/>
      <c r="AM250" s="20"/>
      <c r="AN250" s="20"/>
      <c r="AO250" s="20"/>
      <c r="AP250" s="20"/>
      <c r="AQ250" s="19"/>
      <c r="AR250" s="20"/>
      <c r="AS250" s="20"/>
      <c r="AT250" s="20"/>
      <c r="AU250" s="20"/>
      <c r="AV250" s="20"/>
      <c r="AW250" s="20"/>
      <c r="AX250" s="19"/>
      <c r="AY250" s="20"/>
      <c r="AZ250" s="20"/>
      <c r="BA250" s="20"/>
      <c r="BB250" s="20"/>
      <c r="BC250" s="20"/>
      <c r="BD250" s="20"/>
      <c r="BE250" s="19"/>
      <c r="BF250" s="27"/>
      <c r="BG250" s="20"/>
      <c r="BH250" s="20"/>
      <c r="BI250" s="20"/>
      <c r="BJ250" s="20"/>
      <c r="BK250" s="20"/>
      <c r="BL250" s="19"/>
      <c r="BM250" s="34"/>
      <c r="BN250" s="16" t="s">
        <v>394</v>
      </c>
      <c r="BO250" s="8"/>
      <c r="BP250" s="8"/>
      <c r="BU250" s="17"/>
      <c r="BV250" s="17"/>
      <c r="BW250" s="17"/>
      <c r="BX250" s="17"/>
      <c r="BY250" s="17"/>
      <c r="BZ250" s="17"/>
      <c r="CA250" s="17"/>
      <c r="CB250" s="17"/>
      <c r="CC250" s="27"/>
      <c r="CD250" s="20"/>
      <c r="CE250" s="20"/>
      <c r="CF250" s="20"/>
      <c r="CG250" s="20"/>
      <c r="CH250" s="19"/>
      <c r="CI250" s="13"/>
      <c r="CK250" s="57"/>
      <c r="CO250" s="57"/>
      <c r="CZ250" s="58"/>
    </row>
    <row r="251" spans="1:104" s="11" customFormat="1" x14ac:dyDescent="0.3">
      <c r="A251" s="24"/>
      <c r="B251" s="26"/>
      <c r="C251" s="20"/>
      <c r="D251" s="20"/>
      <c r="E251" s="20"/>
      <c r="F251" s="20"/>
      <c r="G251" s="20"/>
      <c r="H251" s="19"/>
      <c r="I251" s="27"/>
      <c r="J251" s="20"/>
      <c r="K251" s="20"/>
      <c r="L251" s="20"/>
      <c r="M251" s="20"/>
      <c r="N251" s="20"/>
      <c r="O251" s="19"/>
      <c r="P251" s="27"/>
      <c r="Q251" s="20"/>
      <c r="R251" s="20"/>
      <c r="S251" s="20"/>
      <c r="T251" s="20"/>
      <c r="U251" s="20"/>
      <c r="V251" s="19"/>
      <c r="W251" s="27"/>
      <c r="X251" s="20"/>
      <c r="Y251" s="20"/>
      <c r="Z251" s="20"/>
      <c r="AA251" s="20"/>
      <c r="AB251" s="20"/>
      <c r="AC251" s="19"/>
      <c r="AD251" s="27"/>
      <c r="AE251" s="20"/>
      <c r="AF251" s="20"/>
      <c r="AG251" s="20"/>
      <c r="AH251" s="20"/>
      <c r="AI251" s="20"/>
      <c r="AJ251" s="19"/>
      <c r="AK251" s="27"/>
      <c r="AL251" s="20"/>
      <c r="AM251" s="20"/>
      <c r="AN251" s="20"/>
      <c r="AO251" s="20"/>
      <c r="AP251" s="20"/>
      <c r="AQ251" s="19"/>
      <c r="AR251" s="20"/>
      <c r="AS251" s="20"/>
      <c r="AT251" s="20"/>
      <c r="AU251" s="20"/>
      <c r="AV251" s="20"/>
      <c r="AW251" s="20"/>
      <c r="AX251" s="19"/>
      <c r="AY251" s="20"/>
      <c r="AZ251" s="20"/>
      <c r="BA251" s="20"/>
      <c r="BB251" s="20"/>
      <c r="BC251" s="20"/>
      <c r="BD251" s="20"/>
      <c r="BE251" s="19"/>
      <c r="BF251" s="29"/>
      <c r="BG251"/>
      <c r="BH251"/>
      <c r="BI251"/>
      <c r="BJ251"/>
      <c r="BK251"/>
      <c r="BL251" s="18"/>
      <c r="BM251" s="34"/>
      <c r="BN251" s="8"/>
      <c r="BO251" s="8" t="s">
        <v>173</v>
      </c>
      <c r="BP251" s="8"/>
      <c r="BU251" s="17"/>
      <c r="BV251" s="17"/>
      <c r="BW251" s="17"/>
      <c r="BX251" s="17"/>
      <c r="BY251" s="17"/>
      <c r="BZ251" s="17"/>
      <c r="CA251" s="17"/>
      <c r="CB251" s="17"/>
      <c r="CC251" s="27"/>
      <c r="CD251" s="20"/>
      <c r="CE251" s="20"/>
      <c r="CF251" s="20"/>
      <c r="CG251" s="20"/>
      <c r="CH251" s="19"/>
      <c r="CI251" s="13"/>
      <c r="CK251" s="57"/>
      <c r="CO251" s="57"/>
      <c r="CZ251" s="58"/>
    </row>
    <row r="252" spans="1:104" s="11" customFormat="1" x14ac:dyDescent="0.3">
      <c r="A252" s="24"/>
      <c r="B252" s="26"/>
      <c r="C252" s="20"/>
      <c r="D252" s="20"/>
      <c r="E252" s="20"/>
      <c r="F252" s="20"/>
      <c r="G252" s="20"/>
      <c r="H252" s="19"/>
      <c r="I252" s="27"/>
      <c r="J252" s="20"/>
      <c r="K252" s="20"/>
      <c r="L252" s="20"/>
      <c r="M252" s="20"/>
      <c r="N252" s="20"/>
      <c r="O252" s="19"/>
      <c r="P252" s="27"/>
      <c r="Q252" s="20"/>
      <c r="R252" s="20"/>
      <c r="S252" s="20"/>
      <c r="T252" s="20"/>
      <c r="U252" s="20"/>
      <c r="V252" s="19"/>
      <c r="W252" s="27"/>
      <c r="X252" s="20"/>
      <c r="Y252" s="20"/>
      <c r="Z252" s="20"/>
      <c r="AA252" s="20"/>
      <c r="AB252" s="20"/>
      <c r="AC252" s="19"/>
      <c r="AD252" s="27"/>
      <c r="AE252" s="20"/>
      <c r="AF252" s="20"/>
      <c r="AG252" s="20"/>
      <c r="AH252" s="20"/>
      <c r="AI252" s="20"/>
      <c r="AJ252" s="19"/>
      <c r="AK252" s="27"/>
      <c r="AL252" s="20"/>
      <c r="AM252" s="20"/>
      <c r="AN252" s="20"/>
      <c r="AO252" s="20"/>
      <c r="AP252" s="20"/>
      <c r="AQ252" s="19"/>
      <c r="AR252" s="20"/>
      <c r="AS252" s="20"/>
      <c r="AT252" s="20"/>
      <c r="AU252" s="20"/>
      <c r="AV252" s="20"/>
      <c r="AW252" s="20"/>
      <c r="AX252" s="19"/>
      <c r="AY252" s="20"/>
      <c r="AZ252" s="20"/>
      <c r="BA252" s="20"/>
      <c r="BB252" s="20"/>
      <c r="BC252" s="20"/>
      <c r="BD252" s="20"/>
      <c r="BE252" s="19"/>
      <c r="BF252" s="30"/>
      <c r="BL252" s="13"/>
      <c r="BM252" s="34"/>
      <c r="BN252" s="8"/>
      <c r="BO252" s="8" t="s">
        <v>174</v>
      </c>
      <c r="BP252" s="8"/>
      <c r="BU252" s="17"/>
      <c r="BV252" s="17"/>
      <c r="BW252" s="17"/>
      <c r="BX252" s="17"/>
      <c r="BY252" s="17"/>
      <c r="BZ252" s="17"/>
      <c r="CA252" s="17"/>
      <c r="CB252" s="17"/>
      <c r="CC252" s="27"/>
      <c r="CD252" s="20"/>
      <c r="CE252" s="20"/>
      <c r="CF252" s="20"/>
      <c r="CG252" s="20"/>
      <c r="CH252" s="19"/>
      <c r="CI252" s="13"/>
      <c r="CK252" s="57"/>
      <c r="CO252" s="57"/>
      <c r="CZ252" s="58"/>
    </row>
    <row r="253" spans="1:104" s="11" customFormat="1" x14ac:dyDescent="0.3">
      <c r="A253" s="24"/>
      <c r="B253" s="26"/>
      <c r="C253" s="20"/>
      <c r="D253" s="20"/>
      <c r="E253" s="20"/>
      <c r="F253" s="20"/>
      <c r="G253" s="20"/>
      <c r="H253" s="19"/>
      <c r="I253" s="27"/>
      <c r="J253" s="20"/>
      <c r="K253" s="20"/>
      <c r="L253" s="20"/>
      <c r="M253" s="20"/>
      <c r="N253" s="20"/>
      <c r="O253" s="19"/>
      <c r="P253" s="27"/>
      <c r="Q253" s="20"/>
      <c r="R253" s="20"/>
      <c r="S253" s="20"/>
      <c r="T253" s="20"/>
      <c r="U253" s="20"/>
      <c r="V253" s="19"/>
      <c r="W253" s="27"/>
      <c r="X253" s="20"/>
      <c r="Y253" s="20"/>
      <c r="Z253" s="20"/>
      <c r="AA253" s="20"/>
      <c r="AB253" s="20"/>
      <c r="AC253" s="19"/>
      <c r="AD253" s="27"/>
      <c r="AE253" s="20"/>
      <c r="AF253" s="20"/>
      <c r="AG253" s="20"/>
      <c r="AH253" s="20"/>
      <c r="AI253" s="20"/>
      <c r="AJ253" s="19"/>
      <c r="AK253" s="27"/>
      <c r="AL253" s="20"/>
      <c r="AM253" s="20"/>
      <c r="AN253" s="20"/>
      <c r="AO253" s="20"/>
      <c r="AP253" s="20"/>
      <c r="AQ253" s="19"/>
      <c r="AR253" s="20"/>
      <c r="AS253" s="20"/>
      <c r="AT253" s="20"/>
      <c r="AU253" s="20"/>
      <c r="AV253" s="20"/>
      <c r="AW253" s="20"/>
      <c r="AX253" s="19"/>
      <c r="AY253" s="20"/>
      <c r="AZ253" s="20"/>
      <c r="BA253" s="20"/>
      <c r="BB253" s="20"/>
      <c r="BC253" s="20"/>
      <c r="BD253" s="20"/>
      <c r="BE253" s="19"/>
      <c r="BF253" s="23"/>
      <c r="BG253" s="8"/>
      <c r="BH253" s="8"/>
      <c r="BI253" s="8"/>
      <c r="BJ253" s="8"/>
      <c r="BK253" s="8"/>
      <c r="BL253" s="14"/>
      <c r="BM253" s="34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27"/>
      <c r="CD253" s="20"/>
      <c r="CE253" s="20"/>
      <c r="CF253" s="20"/>
      <c r="CG253" s="20"/>
      <c r="CH253" s="19"/>
      <c r="CI253" s="14"/>
      <c r="CK253" s="57"/>
      <c r="CO253" s="57"/>
      <c r="CZ253" s="58"/>
    </row>
    <row r="254" spans="1:104" s="11" customFormat="1" x14ac:dyDescent="0.3">
      <c r="A254" s="24"/>
      <c r="B254" s="26"/>
      <c r="C254" s="20"/>
      <c r="D254" s="20"/>
      <c r="E254" s="20"/>
      <c r="F254" s="20"/>
      <c r="G254" s="20"/>
      <c r="H254" s="19"/>
      <c r="I254" s="27"/>
      <c r="J254" s="20"/>
      <c r="K254" s="20"/>
      <c r="L254" s="20"/>
      <c r="M254" s="20"/>
      <c r="N254" s="20"/>
      <c r="O254" s="19"/>
      <c r="P254" s="27"/>
      <c r="Q254" s="20"/>
      <c r="R254" s="20"/>
      <c r="S254" s="20"/>
      <c r="T254" s="20"/>
      <c r="U254" s="20"/>
      <c r="V254" s="19"/>
      <c r="W254" s="27"/>
      <c r="X254" s="20"/>
      <c r="Y254" s="20"/>
      <c r="Z254" s="20"/>
      <c r="AA254" s="20"/>
      <c r="AB254" s="20"/>
      <c r="AC254" s="19"/>
      <c r="AD254" s="27"/>
      <c r="AE254" s="20"/>
      <c r="AF254" s="20"/>
      <c r="AG254" s="20"/>
      <c r="AH254" s="20"/>
      <c r="AI254" s="20"/>
      <c r="AJ254" s="19"/>
      <c r="AK254" s="27"/>
      <c r="AL254" s="20"/>
      <c r="AM254" s="20"/>
      <c r="AN254" s="20"/>
      <c r="AO254" s="20"/>
      <c r="AP254" s="20"/>
      <c r="AQ254" s="19"/>
      <c r="AR254" s="20"/>
      <c r="AS254" s="20"/>
      <c r="AT254" s="20"/>
      <c r="AU254" s="20"/>
      <c r="AV254" s="20"/>
      <c r="AW254" s="20"/>
      <c r="AX254" s="19"/>
      <c r="AY254" s="20"/>
      <c r="AZ254" s="20"/>
      <c r="BA254" s="20"/>
      <c r="BB254" s="20"/>
      <c r="BC254" s="20"/>
      <c r="BD254" s="20"/>
      <c r="BE254" s="19"/>
      <c r="BF254" s="23"/>
      <c r="BG254" s="8"/>
      <c r="BH254" s="8"/>
      <c r="BI254" s="8"/>
      <c r="BJ254" s="8"/>
      <c r="BK254" s="8"/>
      <c r="BL254" s="14"/>
      <c r="BM254" s="34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27"/>
      <c r="CD254" s="20"/>
      <c r="CE254" s="20"/>
      <c r="CF254" s="20"/>
      <c r="CG254" s="20"/>
      <c r="CH254" s="19"/>
      <c r="CI254" s="14"/>
      <c r="CK254" s="57"/>
      <c r="CO254" s="57"/>
      <c r="CZ254" s="58"/>
    </row>
    <row r="255" spans="1:104" s="11" customFormat="1" x14ac:dyDescent="0.3">
      <c r="A255" s="24"/>
      <c r="B255" s="26"/>
      <c r="C255" s="20"/>
      <c r="D255" s="20"/>
      <c r="E255" s="20"/>
      <c r="F255" s="20"/>
      <c r="G255" s="20"/>
      <c r="H255" s="19"/>
      <c r="I255" s="27"/>
      <c r="J255" s="20"/>
      <c r="K255" s="20"/>
      <c r="L255" s="20"/>
      <c r="M255" s="20"/>
      <c r="N255" s="20"/>
      <c r="O255" s="19"/>
      <c r="P255" s="27"/>
      <c r="Q255" s="20"/>
      <c r="R255" s="20"/>
      <c r="S255" s="20"/>
      <c r="T255" s="20"/>
      <c r="U255" s="20"/>
      <c r="V255" s="19"/>
      <c r="W255" s="27"/>
      <c r="X255" s="20"/>
      <c r="Y255" s="20"/>
      <c r="Z255" s="20"/>
      <c r="AA255" s="20"/>
      <c r="AB255" s="20"/>
      <c r="AC255" s="19"/>
      <c r="AD255" s="27"/>
      <c r="AE255" s="20"/>
      <c r="AF255" s="20"/>
      <c r="AG255" s="20"/>
      <c r="AH255" s="20"/>
      <c r="AI255" s="20"/>
      <c r="AJ255" s="19"/>
      <c r="AK255" s="27"/>
      <c r="AL255" s="20"/>
      <c r="AM255" s="20"/>
      <c r="AN255" s="20"/>
      <c r="AO255" s="20"/>
      <c r="AP255" s="20"/>
      <c r="AQ255" s="19"/>
      <c r="AR255" s="20"/>
      <c r="AS255" s="20"/>
      <c r="AT255" s="20"/>
      <c r="AU255" s="20"/>
      <c r="AV255" s="20"/>
      <c r="AW255" s="20"/>
      <c r="AX255" s="19"/>
      <c r="AY255" s="20"/>
      <c r="AZ255" s="20"/>
      <c r="BA255" s="20"/>
      <c r="BB255" s="20"/>
      <c r="BC255" s="20"/>
      <c r="BD255" s="20"/>
      <c r="BE255" s="19"/>
      <c r="BF255" s="23"/>
      <c r="BG255" s="8"/>
      <c r="BH255" s="8"/>
      <c r="BI255" s="8"/>
      <c r="BJ255" s="8"/>
      <c r="BK255" s="8"/>
      <c r="BL255" s="14"/>
      <c r="BM255" s="34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27"/>
      <c r="CD255" s="20"/>
      <c r="CE255" s="20"/>
      <c r="CF255" s="20"/>
      <c r="CG255" s="20"/>
      <c r="CH255" s="19"/>
      <c r="CI255" s="14"/>
      <c r="CK255" s="57"/>
      <c r="CO255" s="57"/>
      <c r="CZ255" s="58"/>
    </row>
    <row r="256" spans="1:104" s="11" customFormat="1" x14ac:dyDescent="0.3">
      <c r="A256" s="24"/>
      <c r="B256" s="26"/>
      <c r="C256" s="20"/>
      <c r="D256" s="20"/>
      <c r="E256" s="20"/>
      <c r="F256" s="20"/>
      <c r="G256" s="20"/>
      <c r="H256" s="19"/>
      <c r="I256" s="27"/>
      <c r="J256" s="20"/>
      <c r="K256" s="20"/>
      <c r="L256" s="20"/>
      <c r="M256" s="20"/>
      <c r="N256" s="20"/>
      <c r="O256" s="19"/>
      <c r="P256" s="27"/>
      <c r="Q256" s="20"/>
      <c r="R256" s="20"/>
      <c r="S256" s="20"/>
      <c r="T256" s="20"/>
      <c r="U256" s="20"/>
      <c r="V256" s="19"/>
      <c r="W256" s="27"/>
      <c r="X256" s="20"/>
      <c r="Y256" s="20"/>
      <c r="Z256" s="20"/>
      <c r="AA256" s="20"/>
      <c r="AB256" s="20"/>
      <c r="AC256" s="19"/>
      <c r="AD256" s="27"/>
      <c r="AE256" s="20"/>
      <c r="AF256" s="20"/>
      <c r="AG256" s="20"/>
      <c r="AH256" s="20"/>
      <c r="AI256" s="20"/>
      <c r="AJ256" s="19"/>
      <c r="AK256" s="27"/>
      <c r="AL256" s="20"/>
      <c r="AM256" s="20"/>
      <c r="AN256" s="20"/>
      <c r="AO256" s="20"/>
      <c r="AP256" s="20"/>
      <c r="AQ256" s="19"/>
      <c r="AR256" s="20"/>
      <c r="AS256" s="20"/>
      <c r="AT256" s="20"/>
      <c r="AU256" s="20"/>
      <c r="AV256" s="20"/>
      <c r="AW256" s="20"/>
      <c r="AX256" s="19"/>
      <c r="AY256" s="20"/>
      <c r="AZ256" s="20"/>
      <c r="BA256" s="20"/>
      <c r="BB256" s="20"/>
      <c r="BC256" s="20"/>
      <c r="BD256" s="20"/>
      <c r="BE256" s="19"/>
      <c r="BF256" s="23"/>
      <c r="BG256" s="8"/>
      <c r="BH256" s="8"/>
      <c r="BI256" s="8"/>
      <c r="BJ256" s="8"/>
      <c r="BK256" s="8"/>
      <c r="BL256" s="14"/>
      <c r="BM256" s="34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27"/>
      <c r="CD256" s="20"/>
      <c r="CE256" s="20"/>
      <c r="CF256" s="20"/>
      <c r="CG256" s="20"/>
      <c r="CH256" s="19"/>
      <c r="CI256" s="14"/>
      <c r="CK256" s="57"/>
      <c r="CO256" s="57"/>
      <c r="CZ256" s="58"/>
    </row>
    <row r="257" spans="1:104" s="11" customFormat="1" x14ac:dyDescent="0.3">
      <c r="A257" s="24"/>
      <c r="B257" s="26"/>
      <c r="C257" s="20"/>
      <c r="D257" s="20"/>
      <c r="E257" s="20"/>
      <c r="F257" s="20"/>
      <c r="G257" s="20"/>
      <c r="H257" s="19"/>
      <c r="I257" s="27"/>
      <c r="J257" s="20"/>
      <c r="K257" s="20"/>
      <c r="L257" s="20"/>
      <c r="M257" s="20"/>
      <c r="N257" s="20"/>
      <c r="O257" s="19"/>
      <c r="P257" s="27"/>
      <c r="Q257" s="20"/>
      <c r="R257" s="20"/>
      <c r="S257" s="20"/>
      <c r="T257" s="20"/>
      <c r="U257" s="20"/>
      <c r="V257" s="19"/>
      <c r="W257" s="27"/>
      <c r="X257" s="20"/>
      <c r="Y257" s="20"/>
      <c r="Z257" s="20"/>
      <c r="AA257" s="20"/>
      <c r="AB257" s="20"/>
      <c r="AC257" s="19"/>
      <c r="AD257" s="27"/>
      <c r="AE257" s="20"/>
      <c r="AF257" s="20"/>
      <c r="AG257" s="20"/>
      <c r="AH257" s="20"/>
      <c r="AI257" s="20"/>
      <c r="AJ257" s="19"/>
      <c r="AK257" s="27"/>
      <c r="AL257" s="20"/>
      <c r="AM257" s="20"/>
      <c r="AN257" s="20"/>
      <c r="AO257" s="20"/>
      <c r="AP257" s="20"/>
      <c r="AQ257" s="19"/>
      <c r="AR257" s="20"/>
      <c r="AS257" s="20"/>
      <c r="AT257" s="20"/>
      <c r="AU257" s="20"/>
      <c r="AV257" s="20"/>
      <c r="AW257" s="20"/>
      <c r="AX257" s="19"/>
      <c r="AY257" s="20"/>
      <c r="AZ257" s="20"/>
      <c r="BA257" s="20"/>
      <c r="BB257" s="20"/>
      <c r="BC257" s="20"/>
      <c r="BD257" s="20"/>
      <c r="BE257" s="19"/>
      <c r="BF257" s="23"/>
      <c r="BG257" s="8"/>
      <c r="BH257" s="8"/>
      <c r="BI257" s="8"/>
      <c r="BJ257" s="8"/>
      <c r="BK257" s="8"/>
      <c r="BL257" s="14"/>
      <c r="BM257" s="34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27"/>
      <c r="CD257" s="20"/>
      <c r="CE257" s="20"/>
      <c r="CF257" s="20"/>
      <c r="CG257" s="20"/>
      <c r="CH257" s="19"/>
      <c r="CI257" s="14"/>
      <c r="CK257" s="57"/>
      <c r="CO257" s="57"/>
      <c r="CZ257" s="58"/>
    </row>
    <row r="258" spans="1:104" s="11" customFormat="1" x14ac:dyDescent="0.3">
      <c r="A258" s="24"/>
      <c r="B258" s="26"/>
      <c r="C258" s="20"/>
      <c r="D258" s="20"/>
      <c r="E258" s="20"/>
      <c r="F258" s="20"/>
      <c r="G258" s="20"/>
      <c r="H258" s="19"/>
      <c r="I258" s="27"/>
      <c r="J258" s="20"/>
      <c r="K258" s="20"/>
      <c r="L258" s="20"/>
      <c r="M258" s="20"/>
      <c r="N258" s="20"/>
      <c r="O258" s="19"/>
      <c r="P258" s="27"/>
      <c r="Q258" s="20"/>
      <c r="R258" s="20"/>
      <c r="S258" s="20"/>
      <c r="T258" s="20"/>
      <c r="U258" s="20"/>
      <c r="V258" s="19"/>
      <c r="W258" s="27"/>
      <c r="X258" s="20"/>
      <c r="Y258" s="20"/>
      <c r="Z258" s="20"/>
      <c r="AA258" s="20"/>
      <c r="AB258" s="20"/>
      <c r="AC258" s="19"/>
      <c r="AD258" s="27"/>
      <c r="AE258" s="20"/>
      <c r="AF258" s="20"/>
      <c r="AG258" s="20"/>
      <c r="AH258" s="20"/>
      <c r="AI258" s="20"/>
      <c r="AJ258" s="19"/>
      <c r="AK258" s="27"/>
      <c r="AL258" s="20"/>
      <c r="AM258" s="20"/>
      <c r="AN258" s="20"/>
      <c r="AO258" s="20"/>
      <c r="AP258" s="20"/>
      <c r="AQ258" s="19"/>
      <c r="AR258" s="20"/>
      <c r="AS258" s="20"/>
      <c r="AT258" s="20"/>
      <c r="AU258" s="20"/>
      <c r="AV258" s="20"/>
      <c r="AW258" s="20"/>
      <c r="AX258" s="19"/>
      <c r="AY258" s="20"/>
      <c r="AZ258" s="20"/>
      <c r="BA258" s="20"/>
      <c r="BB258" s="20"/>
      <c r="BC258" s="20"/>
      <c r="BD258" s="20"/>
      <c r="BE258" s="19"/>
      <c r="BF258" s="23"/>
      <c r="BG258" s="8"/>
      <c r="BH258" s="8"/>
      <c r="BI258" s="8"/>
      <c r="BJ258" s="8"/>
      <c r="BK258" s="8"/>
      <c r="BL258" s="14"/>
      <c r="BM258" s="34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27"/>
      <c r="CD258" s="20"/>
      <c r="CE258" s="20"/>
      <c r="CF258" s="20"/>
      <c r="CG258" s="20"/>
      <c r="CH258" s="19"/>
      <c r="CI258" s="14"/>
      <c r="CK258" s="57"/>
      <c r="CO258" s="57"/>
      <c r="CZ258" s="58"/>
    </row>
    <row r="259" spans="1:104" s="11" customFormat="1" x14ac:dyDescent="0.3">
      <c r="A259" s="24"/>
      <c r="B259" s="26"/>
      <c r="C259" s="20"/>
      <c r="D259" s="20"/>
      <c r="E259" s="20"/>
      <c r="F259" s="20"/>
      <c r="G259" s="20"/>
      <c r="H259" s="19"/>
      <c r="I259" s="27"/>
      <c r="J259" s="20"/>
      <c r="K259" s="20"/>
      <c r="L259" s="20"/>
      <c r="M259" s="20"/>
      <c r="N259" s="20"/>
      <c r="O259" s="19"/>
      <c r="P259" s="27"/>
      <c r="Q259" s="20"/>
      <c r="R259" s="20"/>
      <c r="S259" s="20"/>
      <c r="T259" s="20"/>
      <c r="U259" s="20"/>
      <c r="V259" s="19"/>
      <c r="W259" s="27"/>
      <c r="X259" s="20"/>
      <c r="Y259" s="20"/>
      <c r="Z259" s="20"/>
      <c r="AA259" s="20"/>
      <c r="AB259" s="20"/>
      <c r="AC259" s="19"/>
      <c r="AD259" s="27"/>
      <c r="AE259" s="20"/>
      <c r="AF259" s="20"/>
      <c r="AG259" s="20"/>
      <c r="AH259" s="20"/>
      <c r="AI259" s="20"/>
      <c r="AJ259" s="19"/>
      <c r="AK259" s="27"/>
      <c r="AL259" s="20"/>
      <c r="AM259" s="20"/>
      <c r="AN259" s="20"/>
      <c r="AO259" s="20"/>
      <c r="AP259" s="20"/>
      <c r="AQ259" s="19"/>
      <c r="AR259" s="20"/>
      <c r="AS259" s="20"/>
      <c r="AT259" s="20"/>
      <c r="AU259" s="20"/>
      <c r="AV259" s="20"/>
      <c r="AW259" s="20"/>
      <c r="AX259" s="19"/>
      <c r="AY259" s="20"/>
      <c r="AZ259" s="20"/>
      <c r="BA259" s="20"/>
      <c r="BB259" s="20"/>
      <c r="BC259" s="20"/>
      <c r="BD259" s="20"/>
      <c r="BE259" s="19"/>
      <c r="BF259" s="23"/>
      <c r="BG259" s="8"/>
      <c r="BH259" s="8"/>
      <c r="BI259" s="8"/>
      <c r="BJ259" s="8"/>
      <c r="BK259" s="8"/>
      <c r="BL259" s="14"/>
      <c r="BM259" s="34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27"/>
      <c r="CD259" s="20"/>
      <c r="CE259" s="20"/>
      <c r="CF259" s="20"/>
      <c r="CG259" s="20"/>
      <c r="CH259" s="19"/>
      <c r="CI259" s="14"/>
      <c r="CK259" s="57"/>
      <c r="CO259" s="57"/>
      <c r="CZ259" s="58"/>
    </row>
    <row r="260" spans="1:104" s="11" customFormat="1" x14ac:dyDescent="0.3">
      <c r="A260" s="24"/>
      <c r="B260" s="101"/>
      <c r="C260" s="102"/>
      <c r="D260" s="102"/>
      <c r="E260" s="102"/>
      <c r="F260" s="102"/>
      <c r="G260" s="102"/>
      <c r="H260" s="103"/>
      <c r="I260" s="104"/>
      <c r="J260" s="102"/>
      <c r="K260" s="102"/>
      <c r="L260" s="102"/>
      <c r="M260" s="102"/>
      <c r="N260" s="102"/>
      <c r="O260" s="103"/>
      <c r="P260" s="104"/>
      <c r="Q260" s="102"/>
      <c r="R260" s="102"/>
      <c r="S260" s="102"/>
      <c r="T260" s="102"/>
      <c r="U260" s="102"/>
      <c r="V260" s="103"/>
      <c r="W260" s="104"/>
      <c r="X260" s="102"/>
      <c r="Y260" s="102"/>
      <c r="Z260" s="102"/>
      <c r="AA260" s="102"/>
      <c r="AB260" s="102"/>
      <c r="AC260" s="103"/>
      <c r="AD260" s="104"/>
      <c r="AE260" s="102"/>
      <c r="AF260" s="102"/>
      <c r="AG260" s="102"/>
      <c r="AH260" s="102"/>
      <c r="AI260" s="102"/>
      <c r="AJ260" s="103"/>
      <c r="AK260" s="104"/>
      <c r="AL260" s="102"/>
      <c r="AM260" s="102"/>
      <c r="AN260" s="102"/>
      <c r="AO260" s="102"/>
      <c r="AP260" s="102"/>
      <c r="AQ260" s="103"/>
      <c r="AR260" s="102"/>
      <c r="AS260" s="102"/>
      <c r="AT260" s="102"/>
      <c r="AU260" s="102"/>
      <c r="AV260" s="102"/>
      <c r="AW260" s="102"/>
      <c r="AX260" s="103"/>
      <c r="AY260" s="102"/>
      <c r="AZ260" s="102"/>
      <c r="BA260" s="102"/>
      <c r="BB260" s="102"/>
      <c r="BC260" s="102"/>
      <c r="BD260" s="102"/>
      <c r="BE260" s="103"/>
      <c r="BF260" s="50"/>
      <c r="BG260" s="10"/>
      <c r="BH260" s="10"/>
      <c r="BI260" s="10"/>
      <c r="BJ260" s="10"/>
      <c r="BK260" s="10"/>
      <c r="BL260" s="15"/>
      <c r="BM260" s="105"/>
      <c r="BN260" s="106"/>
      <c r="BO260" s="107"/>
      <c r="BP260" s="107"/>
      <c r="BQ260" s="107"/>
      <c r="BR260" s="107"/>
      <c r="BS260" s="107"/>
      <c r="BT260" s="107"/>
      <c r="BU260" s="107"/>
      <c r="BV260" s="107"/>
      <c r="BW260" s="107"/>
      <c r="BX260" s="107"/>
      <c r="BY260" s="107"/>
      <c r="BZ260" s="107"/>
      <c r="CA260" s="107"/>
      <c r="CB260" s="107"/>
      <c r="CC260" s="104"/>
      <c r="CD260" s="102"/>
      <c r="CE260" s="102"/>
      <c r="CF260" s="102"/>
      <c r="CG260" s="102"/>
      <c r="CH260" s="103"/>
      <c r="CI260" s="14"/>
      <c r="CK260" s="108"/>
      <c r="CL260" s="106"/>
      <c r="CM260" s="106"/>
      <c r="CN260" s="106"/>
      <c r="CO260" s="108"/>
      <c r="CP260" s="106"/>
      <c r="CQ260" s="106"/>
      <c r="CR260" s="106"/>
      <c r="CS260" s="106"/>
      <c r="CT260" s="106"/>
      <c r="CU260" s="106"/>
      <c r="CV260" s="106"/>
      <c r="CW260" s="106"/>
      <c r="CX260" s="106"/>
      <c r="CY260" s="106"/>
      <c r="CZ260" s="109"/>
    </row>
    <row r="261" spans="1:104" x14ac:dyDescent="0.3">
      <c r="A261" s="23"/>
      <c r="CI261" s="14"/>
    </row>
    <row r="262" spans="1:104" x14ac:dyDescent="0.3">
      <c r="A262" s="5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5"/>
    </row>
  </sheetData>
  <mergeCells count="37">
    <mergeCell ref="B8:H9"/>
    <mergeCell ref="I8:O9"/>
    <mergeCell ref="P8:V9"/>
    <mergeCell ref="W8:AJ8"/>
    <mergeCell ref="AK8:AQ9"/>
    <mergeCell ref="AJ1:AP1"/>
    <mergeCell ref="AQ1:AV1"/>
    <mergeCell ref="AQ2:AV2"/>
    <mergeCell ref="AJ3:AK3"/>
    <mergeCell ref="AL3:AP3"/>
    <mergeCell ref="AQ3:AV3"/>
    <mergeCell ref="CO232:CZ232"/>
    <mergeCell ref="CO233:CZ233"/>
    <mergeCell ref="A1:E1"/>
    <mergeCell ref="F1:U1"/>
    <mergeCell ref="V1:AI1"/>
    <mergeCell ref="A2:E3"/>
    <mergeCell ref="F2:U3"/>
    <mergeCell ref="V2:AI3"/>
    <mergeCell ref="AJ2:AK2"/>
    <mergeCell ref="AL2:AP2"/>
    <mergeCell ref="BM8:CB9"/>
    <mergeCell ref="CC8:CH9"/>
    <mergeCell ref="CK8:CN9"/>
    <mergeCell ref="CO8:CZ9"/>
    <mergeCell ref="W9:AC9"/>
    <mergeCell ref="AD9:AJ9"/>
    <mergeCell ref="AY9:BE9"/>
    <mergeCell ref="BF9:BL9"/>
    <mergeCell ref="AY8:BL8"/>
    <mergeCell ref="AR8:AX9"/>
    <mergeCell ref="CO121:CZ121"/>
    <mergeCell ref="CO12:CZ12"/>
    <mergeCell ref="CO13:CZ13"/>
    <mergeCell ref="CO89:CZ89"/>
    <mergeCell ref="CO90:CZ90"/>
    <mergeCell ref="CO118:CZ118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W157"/>
  <sheetViews>
    <sheetView showGridLines="0" tabSelected="1" topLeftCell="J1" zoomScale="70" zoomScaleNormal="70" workbookViewId="0">
      <pane ySplit="9" topLeftCell="A56" activePane="bottomLeft" state="frozen"/>
      <selection activeCell="BP46" sqref="BP46"/>
      <selection pane="bottomLeft" activeCell="CN91" sqref="CN91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95" width="2.453125" style="8"/>
    <col min="96" max="96" width="2.453125" style="8" customWidth="1"/>
    <col min="97" max="16384" width="2.453125" style="8"/>
  </cols>
  <sheetData>
    <row r="1" spans="1:127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127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8.入金 (未収入金・その他)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127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127" x14ac:dyDescent="0.3">
      <c r="A4" s="23"/>
    </row>
    <row r="5" spans="1:127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</row>
    <row r="6" spans="1:127" s="11" customFormat="1" x14ac:dyDescent="0.3">
      <c r="A6" s="35" t="str">
        <f ca="1">RIGHT(CELL("filename",A1),LEN(CELL("filename",A1))-FIND("]",CELL("filename",A1)))</f>
        <v>8.入金 (未収入金・その他)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36"/>
    </row>
    <row r="7" spans="1:127" s="11" customFormat="1" x14ac:dyDescent="0.3">
      <c r="A7" s="24"/>
      <c r="B7" s="12"/>
      <c r="C7" s="12"/>
      <c r="D7" s="12"/>
      <c r="E7" s="12"/>
      <c r="F7" s="12"/>
      <c r="G7" s="12"/>
      <c r="H7" s="12"/>
      <c r="DF7" s="13"/>
    </row>
    <row r="8" spans="1:127" s="11" customFormat="1" ht="21" customHeight="1" x14ac:dyDescent="0.3">
      <c r="A8" s="24"/>
      <c r="B8" s="251" t="s">
        <v>116</v>
      </c>
      <c r="C8" s="252"/>
      <c r="D8" s="252"/>
      <c r="E8" s="252"/>
      <c r="F8" s="252"/>
      <c r="G8" s="252"/>
      <c r="H8" s="253"/>
      <c r="I8" s="251" t="s">
        <v>177</v>
      </c>
      <c r="J8" s="252"/>
      <c r="K8" s="252"/>
      <c r="L8" s="252"/>
      <c r="M8" s="252"/>
      <c r="N8" s="252"/>
      <c r="O8" s="253"/>
      <c r="P8" s="257" t="s">
        <v>395</v>
      </c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9"/>
      <c r="AC8" s="241" t="s">
        <v>179</v>
      </c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31" t="s">
        <v>159</v>
      </c>
      <c r="BD8" s="232"/>
      <c r="BE8" s="232"/>
      <c r="BF8" s="232"/>
      <c r="BG8" s="232"/>
      <c r="BH8" s="232"/>
      <c r="BI8" s="233"/>
      <c r="BJ8" s="257" t="s">
        <v>396</v>
      </c>
      <c r="BK8" s="258"/>
      <c r="BL8" s="258"/>
      <c r="BM8" s="258"/>
      <c r="BN8" s="258"/>
      <c r="BO8" s="258"/>
      <c r="BP8" s="258"/>
      <c r="BQ8" s="258"/>
      <c r="BR8" s="258"/>
      <c r="BS8" s="258"/>
      <c r="BT8" s="258"/>
      <c r="BU8" s="258"/>
      <c r="BV8" s="259"/>
      <c r="BW8" s="222" t="s">
        <v>92</v>
      </c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4"/>
      <c r="CK8" s="221" t="s">
        <v>110</v>
      </c>
      <c r="CL8" s="221"/>
      <c r="CM8" s="221"/>
      <c r="CN8" s="221"/>
      <c r="CO8" s="221"/>
      <c r="CP8" s="221"/>
      <c r="CQ8" s="221"/>
      <c r="CR8" s="221"/>
      <c r="CS8" s="221"/>
      <c r="CT8" s="221"/>
      <c r="CU8" s="221"/>
      <c r="CV8" s="221"/>
      <c r="CW8" s="221"/>
      <c r="CX8" s="221"/>
      <c r="CY8" s="221"/>
      <c r="CZ8" s="221"/>
      <c r="DA8" s="220" t="s">
        <v>112</v>
      </c>
      <c r="DB8" s="221"/>
      <c r="DC8" s="221"/>
      <c r="DD8" s="221"/>
      <c r="DE8" s="221"/>
      <c r="DF8" s="13"/>
      <c r="DH8" s="245" t="s">
        <v>118</v>
      </c>
      <c r="DI8" s="246"/>
      <c r="DJ8" s="246"/>
      <c r="DK8" s="246"/>
      <c r="DL8" s="263" t="s">
        <v>119</v>
      </c>
      <c r="DM8" s="264"/>
      <c r="DN8" s="264"/>
      <c r="DO8" s="264"/>
      <c r="DP8" s="264"/>
      <c r="DQ8" s="264"/>
      <c r="DR8" s="264"/>
      <c r="DS8" s="264"/>
      <c r="DT8" s="264"/>
      <c r="DU8" s="264"/>
      <c r="DV8" s="264"/>
      <c r="DW8" s="265"/>
    </row>
    <row r="9" spans="1:127" s="11" customFormat="1" ht="13.5" customHeight="1" x14ac:dyDescent="0.3">
      <c r="A9" s="24"/>
      <c r="B9" s="254"/>
      <c r="C9" s="255"/>
      <c r="D9" s="255"/>
      <c r="E9" s="255"/>
      <c r="F9" s="255"/>
      <c r="G9" s="255"/>
      <c r="H9" s="256"/>
      <c r="I9" s="254"/>
      <c r="J9" s="255"/>
      <c r="K9" s="255"/>
      <c r="L9" s="255"/>
      <c r="M9" s="255"/>
      <c r="N9" s="255"/>
      <c r="O9" s="256"/>
      <c r="P9" s="260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2"/>
      <c r="AC9" s="241" t="s">
        <v>98</v>
      </c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 t="s">
        <v>99</v>
      </c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31" t="s">
        <v>98</v>
      </c>
      <c r="BD9" s="232"/>
      <c r="BE9" s="232"/>
      <c r="BF9" s="232"/>
      <c r="BG9" s="232"/>
      <c r="BH9" s="232"/>
      <c r="BI9" s="233"/>
      <c r="BJ9" s="260"/>
      <c r="BK9" s="261"/>
      <c r="BL9" s="261"/>
      <c r="BM9" s="261"/>
      <c r="BN9" s="261"/>
      <c r="BO9" s="261"/>
      <c r="BP9" s="261"/>
      <c r="BQ9" s="261"/>
      <c r="BR9" s="261"/>
      <c r="BS9" s="261"/>
      <c r="BT9" s="261"/>
      <c r="BU9" s="261"/>
      <c r="BV9" s="262"/>
      <c r="BW9" s="222" t="s">
        <v>107</v>
      </c>
      <c r="BX9" s="223"/>
      <c r="BY9" s="223"/>
      <c r="BZ9" s="223"/>
      <c r="CA9" s="223"/>
      <c r="CB9" s="223"/>
      <c r="CC9" s="224"/>
      <c r="CD9" s="222" t="s">
        <v>109</v>
      </c>
      <c r="CE9" s="223"/>
      <c r="CF9" s="223"/>
      <c r="CG9" s="223"/>
      <c r="CH9" s="223"/>
      <c r="CI9" s="223"/>
      <c r="CJ9" s="224"/>
      <c r="CK9" s="221"/>
      <c r="CL9" s="221"/>
      <c r="CM9" s="221"/>
      <c r="CN9" s="221"/>
      <c r="CO9" s="221"/>
      <c r="CP9" s="221"/>
      <c r="CQ9" s="221"/>
      <c r="CR9" s="221"/>
      <c r="CS9" s="221"/>
      <c r="CT9" s="221"/>
      <c r="CU9" s="221"/>
      <c r="CV9" s="221"/>
      <c r="CW9" s="221"/>
      <c r="CX9" s="221"/>
      <c r="CY9" s="221"/>
      <c r="CZ9" s="221"/>
      <c r="DA9" s="221"/>
      <c r="DB9" s="221"/>
      <c r="DC9" s="221"/>
      <c r="DD9" s="221"/>
      <c r="DE9" s="221"/>
      <c r="DF9" s="13"/>
      <c r="DH9" s="247"/>
      <c r="DI9" s="247"/>
      <c r="DJ9" s="247"/>
      <c r="DK9" s="247"/>
      <c r="DL9" s="266"/>
      <c r="DM9" s="267"/>
      <c r="DN9" s="267"/>
      <c r="DO9" s="267"/>
      <c r="DP9" s="267"/>
      <c r="DQ9" s="267"/>
      <c r="DR9" s="267"/>
      <c r="DS9" s="267"/>
      <c r="DT9" s="267"/>
      <c r="DU9" s="267"/>
      <c r="DV9" s="267"/>
      <c r="DW9" s="268"/>
    </row>
    <row r="10" spans="1:127" ht="13.5" customHeight="1" x14ac:dyDescent="0.3">
      <c r="A10" s="23"/>
      <c r="B10" s="25" t="s">
        <v>397</v>
      </c>
      <c r="C10" s="22"/>
      <c r="D10" s="22"/>
      <c r="E10" s="22"/>
      <c r="F10" s="22"/>
      <c r="G10" s="22"/>
      <c r="H10" s="22"/>
      <c r="I10" s="2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14"/>
      <c r="DH10" s="59"/>
      <c r="DL10" s="59"/>
      <c r="DW10" s="60"/>
    </row>
    <row r="11" spans="1:127" x14ac:dyDescent="0.3">
      <c r="A11" s="23"/>
      <c r="B11" s="23"/>
      <c r="H11" s="14"/>
      <c r="I11" s="23"/>
      <c r="O11" s="14"/>
      <c r="AB11" s="14"/>
      <c r="AC11" s="23"/>
      <c r="AO11" s="14"/>
      <c r="AP11" s="23"/>
      <c r="BB11" s="14"/>
      <c r="BJ11" s="23"/>
      <c r="BV11" s="14"/>
      <c r="BW11" s="47"/>
      <c r="BX11" s="48"/>
      <c r="BY11" s="48"/>
      <c r="BZ11" s="48"/>
      <c r="CA11" s="48"/>
      <c r="CB11" s="48"/>
      <c r="CC11" s="49"/>
      <c r="CD11" s="47"/>
      <c r="CE11" s="48"/>
      <c r="CF11" s="48"/>
      <c r="CG11" s="48"/>
      <c r="CH11" s="48"/>
      <c r="CI11" s="48"/>
      <c r="CJ11" s="49"/>
      <c r="CK11" s="23"/>
      <c r="DA11" s="47"/>
      <c r="DB11" s="48"/>
      <c r="DC11" s="48"/>
      <c r="DD11" s="48"/>
      <c r="DE11" s="49"/>
      <c r="DF11" s="14"/>
      <c r="DH11" s="59"/>
      <c r="DL11" s="59"/>
      <c r="DW11" s="60"/>
    </row>
    <row r="12" spans="1:127" x14ac:dyDescent="0.3">
      <c r="A12" s="23"/>
      <c r="B12" s="23"/>
      <c r="H12" s="14"/>
      <c r="I12" s="23"/>
      <c r="O12" s="14"/>
      <c r="AB12" s="14"/>
      <c r="AC12" s="23"/>
      <c r="AO12" s="14"/>
      <c r="AP12" s="23"/>
      <c r="BB12" s="14"/>
      <c r="BJ12" s="23"/>
      <c r="BV12" s="14"/>
      <c r="BW12" s="23"/>
      <c r="CC12" s="14"/>
      <c r="CD12" s="23"/>
      <c r="CJ12" s="14"/>
      <c r="CK12" s="23"/>
      <c r="DA12" s="23"/>
      <c r="DE12" s="14"/>
      <c r="DF12" s="14"/>
      <c r="DH12" s="59"/>
      <c r="DL12" s="59"/>
      <c r="DW12" s="60"/>
    </row>
    <row r="13" spans="1:127" x14ac:dyDescent="0.3">
      <c r="A13" s="23"/>
      <c r="B13" s="23"/>
      <c r="H13" s="14"/>
      <c r="I13" s="23"/>
      <c r="O13" s="14"/>
      <c r="AB13" s="14"/>
      <c r="AC13" s="23"/>
      <c r="AO13" s="14"/>
      <c r="AP13" s="23"/>
      <c r="BB13" s="14"/>
      <c r="BJ13" s="23"/>
      <c r="BV13" s="14"/>
      <c r="BW13" s="23"/>
      <c r="CC13" s="14"/>
      <c r="CD13" s="23"/>
      <c r="CJ13" s="14"/>
      <c r="CK13" s="23"/>
      <c r="DA13" s="23"/>
      <c r="DE13" s="14"/>
      <c r="DF13" s="14"/>
      <c r="DH13" s="59"/>
      <c r="DL13" s="59"/>
      <c r="DW13" s="60"/>
    </row>
    <row r="14" spans="1:127" x14ac:dyDescent="0.3">
      <c r="A14" s="23"/>
      <c r="B14" s="23"/>
      <c r="H14" s="14"/>
      <c r="I14" s="23"/>
      <c r="O14" s="14"/>
      <c r="AB14" s="14"/>
      <c r="AC14" s="23"/>
      <c r="AO14" s="14"/>
      <c r="AP14" s="23"/>
      <c r="BB14" s="14"/>
      <c r="BJ14" s="23"/>
      <c r="BV14" s="14"/>
      <c r="BW14" s="23"/>
      <c r="CC14" s="14"/>
      <c r="CD14" s="23"/>
      <c r="CJ14" s="14"/>
      <c r="CK14" s="23"/>
      <c r="DA14" s="23"/>
      <c r="DE14" s="14"/>
      <c r="DF14" s="14"/>
      <c r="DH14" s="59"/>
      <c r="DL14" s="59"/>
      <c r="DW14" s="60"/>
    </row>
    <row r="15" spans="1:127" x14ac:dyDescent="0.3">
      <c r="A15" s="23"/>
      <c r="B15" s="23"/>
      <c r="H15" s="14"/>
      <c r="I15" s="23"/>
      <c r="O15" s="14"/>
      <c r="AB15" s="14"/>
      <c r="AC15" s="23"/>
      <c r="AO15" s="14"/>
      <c r="AP15" s="23"/>
      <c r="BB15" s="14"/>
      <c r="BJ15" s="23"/>
      <c r="BV15" s="14"/>
      <c r="BW15" s="23"/>
      <c r="CC15" s="14"/>
      <c r="CD15" s="23"/>
      <c r="CJ15" s="14"/>
      <c r="CK15" s="23"/>
      <c r="DA15" s="23"/>
      <c r="DE15" s="14"/>
      <c r="DF15" s="14"/>
      <c r="DH15" s="59"/>
      <c r="DL15" s="59"/>
      <c r="DW15" s="60"/>
    </row>
    <row r="16" spans="1:127" x14ac:dyDescent="0.3">
      <c r="A16" s="23"/>
      <c r="B16" s="23"/>
      <c r="H16" s="14"/>
      <c r="I16" s="23"/>
      <c r="O16" s="14"/>
      <c r="AB16" s="14"/>
      <c r="AC16" s="23"/>
      <c r="AO16" s="14"/>
      <c r="AP16" s="23"/>
      <c r="BB16" s="14"/>
      <c r="BJ16" s="23"/>
      <c r="BV16" s="14"/>
      <c r="BW16" s="23"/>
      <c r="CC16" s="14"/>
      <c r="CD16" s="23"/>
      <c r="CJ16" s="14"/>
      <c r="CK16" s="23"/>
      <c r="DA16" s="23"/>
      <c r="DE16" s="14"/>
      <c r="DF16" s="14"/>
      <c r="DH16" s="59"/>
      <c r="DL16" s="59"/>
      <c r="DW16" s="60"/>
    </row>
    <row r="17" spans="1:127" x14ac:dyDescent="0.3">
      <c r="A17" s="23"/>
      <c r="B17" s="23"/>
      <c r="H17" s="14"/>
      <c r="I17" s="23"/>
      <c r="O17" s="14"/>
      <c r="AB17" s="14"/>
      <c r="AC17" s="23"/>
      <c r="AO17" s="14"/>
      <c r="AP17" s="23"/>
      <c r="BB17" s="14"/>
      <c r="BJ17" s="23"/>
      <c r="BV17" s="14"/>
      <c r="BW17" s="23"/>
      <c r="CC17" s="14"/>
      <c r="CD17" s="23"/>
      <c r="CJ17" s="14"/>
      <c r="CK17" s="23"/>
      <c r="DA17" s="23"/>
      <c r="DE17" s="14"/>
      <c r="DF17" s="14"/>
      <c r="DH17" s="59"/>
      <c r="DL17" s="59"/>
      <c r="DW17" s="60"/>
    </row>
    <row r="18" spans="1:127" x14ac:dyDescent="0.3">
      <c r="A18" s="23"/>
      <c r="B18" s="23"/>
      <c r="H18" s="14"/>
      <c r="I18" s="23"/>
      <c r="O18" s="14"/>
      <c r="AB18" s="14"/>
      <c r="AC18" s="23"/>
      <c r="AO18" s="14"/>
      <c r="AP18" s="23"/>
      <c r="BB18" s="14"/>
      <c r="BJ18" s="23"/>
      <c r="BV18" s="14"/>
      <c r="BW18" s="23"/>
      <c r="CC18" s="14"/>
      <c r="CD18" s="23"/>
      <c r="CJ18" s="14"/>
      <c r="CK18" s="23"/>
      <c r="DA18" s="23"/>
      <c r="DE18" s="14"/>
      <c r="DF18" s="14"/>
      <c r="DH18" s="59"/>
      <c r="DL18" s="59"/>
      <c r="DW18" s="60"/>
    </row>
    <row r="19" spans="1:127" x14ac:dyDescent="0.3">
      <c r="A19" s="23"/>
      <c r="B19" s="23"/>
      <c r="H19" s="14"/>
      <c r="I19" s="23"/>
      <c r="O19" s="14"/>
      <c r="AB19" s="14"/>
      <c r="AC19" s="23"/>
      <c r="AO19" s="14"/>
      <c r="AP19" s="23"/>
      <c r="BB19" s="14"/>
      <c r="BJ19" s="23"/>
      <c r="BV19" s="14"/>
      <c r="BW19" s="23"/>
      <c r="CC19" s="14"/>
      <c r="CD19" s="23"/>
      <c r="CJ19" s="14"/>
      <c r="CK19" s="23"/>
      <c r="CL19" s="21" t="s">
        <v>181</v>
      </c>
      <c r="CM19" s="11"/>
      <c r="CO19" s="11"/>
      <c r="DA19" s="23"/>
      <c r="DE19" s="14"/>
      <c r="DF19" s="14"/>
      <c r="DH19" s="59"/>
      <c r="DL19" s="59"/>
      <c r="DW19" s="60"/>
    </row>
    <row r="20" spans="1:127" x14ac:dyDescent="0.3">
      <c r="A20" s="23"/>
      <c r="B20" s="23"/>
      <c r="H20" s="14"/>
      <c r="I20" s="23"/>
      <c r="O20" s="14"/>
      <c r="AB20" s="14"/>
      <c r="AC20" s="23"/>
      <c r="AO20" s="14"/>
      <c r="AP20" s="23"/>
      <c r="BB20" s="14"/>
      <c r="BJ20" s="23"/>
      <c r="BV20" s="14"/>
      <c r="BW20" s="23"/>
      <c r="CC20" s="14"/>
      <c r="CD20" s="23"/>
      <c r="CJ20" s="14"/>
      <c r="CK20" s="23"/>
      <c r="CM20" s="8" t="s">
        <v>184</v>
      </c>
      <c r="DA20" s="23"/>
      <c r="DE20" s="14"/>
      <c r="DF20" s="14"/>
      <c r="DH20" s="59"/>
      <c r="DL20" s="59"/>
      <c r="DW20" s="60"/>
    </row>
    <row r="21" spans="1:127" x14ac:dyDescent="0.3">
      <c r="A21" s="23"/>
      <c r="B21" s="23"/>
      <c r="H21" s="14"/>
      <c r="I21" s="23"/>
      <c r="O21" s="14"/>
      <c r="AB21" s="14"/>
      <c r="AC21" s="23"/>
      <c r="AO21" s="14"/>
      <c r="AP21" s="23"/>
      <c r="BB21" s="14"/>
      <c r="BJ21" s="23"/>
      <c r="BV21" s="14"/>
      <c r="BW21" s="23"/>
      <c r="CC21" s="14"/>
      <c r="CD21" s="23"/>
      <c r="CJ21" s="14"/>
      <c r="CK21" s="23"/>
      <c r="DA21" s="23"/>
      <c r="DE21" s="14"/>
      <c r="DF21" s="14"/>
      <c r="DH21" s="59"/>
      <c r="DL21" s="59"/>
      <c r="DW21" s="60"/>
    </row>
    <row r="22" spans="1:127" x14ac:dyDescent="0.3">
      <c r="A22" s="23"/>
      <c r="B22" s="23"/>
      <c r="H22" s="14"/>
      <c r="I22" s="23"/>
      <c r="O22" s="14"/>
      <c r="AB22" s="14"/>
      <c r="AC22" s="23"/>
      <c r="AO22" s="14"/>
      <c r="AP22" s="23"/>
      <c r="BB22" s="14"/>
      <c r="BJ22" s="23"/>
      <c r="BV22" s="14"/>
      <c r="BW22" s="23"/>
      <c r="CC22" s="14"/>
      <c r="CD22" s="23"/>
      <c r="CJ22" s="14"/>
      <c r="CK22" s="23"/>
      <c r="DA22" s="23"/>
      <c r="DE22" s="14"/>
      <c r="DF22" s="14"/>
      <c r="DH22" s="59"/>
      <c r="DL22" s="59"/>
      <c r="DW22" s="60"/>
    </row>
    <row r="23" spans="1:127" x14ac:dyDescent="0.3">
      <c r="A23" s="23"/>
      <c r="B23" s="23"/>
      <c r="H23" s="14"/>
      <c r="I23" s="23"/>
      <c r="O23" s="14"/>
      <c r="AB23" s="14"/>
      <c r="AC23" s="23"/>
      <c r="AO23" s="14"/>
      <c r="AP23" s="23"/>
      <c r="BB23" s="14"/>
      <c r="BJ23" s="23"/>
      <c r="BV23" s="14"/>
      <c r="BW23" s="23"/>
      <c r="CC23" s="14"/>
      <c r="CD23" s="23"/>
      <c r="CJ23" s="14"/>
      <c r="CK23" s="23"/>
      <c r="CR23" s="11"/>
      <c r="CS23" s="11"/>
      <c r="DA23" s="23"/>
      <c r="DE23" s="14"/>
      <c r="DF23" s="14"/>
      <c r="DH23" s="59"/>
      <c r="DL23" s="59"/>
      <c r="DW23" s="60"/>
    </row>
    <row r="24" spans="1:127" x14ac:dyDescent="0.3">
      <c r="A24" s="23"/>
      <c r="B24" s="23"/>
      <c r="H24" s="14"/>
      <c r="I24" s="23"/>
      <c r="O24" s="14"/>
      <c r="AB24" s="14"/>
      <c r="AC24" s="23"/>
      <c r="AO24" s="14"/>
      <c r="AP24" s="23"/>
      <c r="BB24" s="14"/>
      <c r="BJ24" s="23"/>
      <c r="BV24" s="14"/>
      <c r="BW24" s="23"/>
      <c r="CC24" s="14"/>
      <c r="CD24" s="23"/>
      <c r="CJ24" s="14"/>
      <c r="CK24" s="23"/>
      <c r="CL24" s="16" t="s">
        <v>188</v>
      </c>
      <c r="DA24" s="23"/>
      <c r="DE24" s="14"/>
      <c r="DF24" s="14"/>
      <c r="DH24" s="59"/>
      <c r="DL24" s="59"/>
      <c r="DW24" s="60"/>
    </row>
    <row r="25" spans="1:127" x14ac:dyDescent="0.3">
      <c r="A25" s="23"/>
      <c r="B25" s="23"/>
      <c r="H25" s="14"/>
      <c r="I25" s="23"/>
      <c r="O25" s="14"/>
      <c r="AB25" s="14"/>
      <c r="AC25" s="23"/>
      <c r="AO25" s="14"/>
      <c r="AP25" s="23"/>
      <c r="BB25" s="14"/>
      <c r="BJ25" s="23"/>
      <c r="BV25" s="14"/>
      <c r="BW25" s="23"/>
      <c r="CC25" s="14"/>
      <c r="CD25" s="23"/>
      <c r="CJ25" s="14"/>
      <c r="CK25" s="23"/>
      <c r="CM25" s="8" t="s">
        <v>190</v>
      </c>
      <c r="DA25" s="23"/>
      <c r="DE25" s="14"/>
      <c r="DF25" s="14"/>
      <c r="DH25" s="59"/>
      <c r="DL25" s="59"/>
      <c r="DW25" s="60"/>
    </row>
    <row r="26" spans="1:127" x14ac:dyDescent="0.3">
      <c r="A26" s="23"/>
      <c r="B26" s="23"/>
      <c r="H26" s="14"/>
      <c r="I26" s="23"/>
      <c r="O26" s="14"/>
      <c r="AB26" s="14"/>
      <c r="AC26" s="23"/>
      <c r="AO26" s="14"/>
      <c r="AP26" s="23"/>
      <c r="BB26" s="14"/>
      <c r="BJ26" s="23"/>
      <c r="BV26" s="14"/>
      <c r="BW26" s="23"/>
      <c r="CC26" s="14"/>
      <c r="CD26" s="23"/>
      <c r="CJ26" s="14"/>
      <c r="CK26" s="23"/>
      <c r="DA26" s="23"/>
      <c r="DE26" s="14"/>
      <c r="DF26" s="14"/>
      <c r="DH26" s="59"/>
      <c r="DL26" s="59"/>
      <c r="DW26" s="60"/>
    </row>
    <row r="27" spans="1:127" x14ac:dyDescent="0.3">
      <c r="A27" s="23"/>
      <c r="B27" s="23"/>
      <c r="H27" s="14"/>
      <c r="I27" s="23"/>
      <c r="O27" s="14"/>
      <c r="AB27" s="14"/>
      <c r="AC27" s="23"/>
      <c r="AO27" s="14"/>
      <c r="AP27" s="23"/>
      <c r="BB27" s="14"/>
      <c r="BJ27" s="23"/>
      <c r="BV27" s="14"/>
      <c r="BW27" s="23"/>
      <c r="CC27" s="14"/>
      <c r="CD27" s="23"/>
      <c r="CJ27" s="14"/>
      <c r="CK27" s="23"/>
      <c r="DA27" s="23"/>
      <c r="DE27" s="14"/>
      <c r="DF27" s="14"/>
      <c r="DH27" s="59"/>
      <c r="DL27" s="59"/>
      <c r="DW27" s="60"/>
    </row>
    <row r="28" spans="1:127" x14ac:dyDescent="0.3">
      <c r="A28" s="23"/>
      <c r="B28" s="23"/>
      <c r="H28" s="14"/>
      <c r="I28" s="23"/>
      <c r="O28" s="14"/>
      <c r="AB28" s="14"/>
      <c r="AC28" s="23"/>
      <c r="AO28" s="14"/>
      <c r="AP28" s="23"/>
      <c r="BB28" s="14"/>
      <c r="BJ28" s="23"/>
      <c r="BV28" s="14"/>
      <c r="BW28" s="23"/>
      <c r="CC28" s="14"/>
      <c r="CD28" s="23"/>
      <c r="CJ28" s="14"/>
      <c r="CK28" s="23"/>
      <c r="DA28" s="23"/>
      <c r="DE28" s="14"/>
      <c r="DF28" s="14"/>
      <c r="DH28" s="59"/>
      <c r="DL28" s="59"/>
      <c r="DW28" s="60"/>
    </row>
    <row r="29" spans="1:127" x14ac:dyDescent="0.3">
      <c r="A29" s="23"/>
      <c r="B29" s="23"/>
      <c r="H29" s="14"/>
      <c r="I29" s="23"/>
      <c r="O29" s="14"/>
      <c r="AB29" s="14"/>
      <c r="AC29" s="23"/>
      <c r="AO29" s="14"/>
      <c r="AP29" s="23"/>
      <c r="BB29" s="14"/>
      <c r="BJ29" s="23"/>
      <c r="BV29" s="14"/>
      <c r="BW29" s="23"/>
      <c r="CC29" s="14"/>
      <c r="CD29" s="23"/>
      <c r="CJ29" s="14"/>
      <c r="CK29" s="23"/>
      <c r="DA29" s="23"/>
      <c r="DE29" s="14"/>
      <c r="DF29" s="14"/>
      <c r="DH29" s="59"/>
      <c r="DL29" s="59"/>
      <c r="DW29" s="60"/>
    </row>
    <row r="30" spans="1:127" x14ac:dyDescent="0.3">
      <c r="A30" s="23"/>
      <c r="B30" s="23"/>
      <c r="H30" s="14"/>
      <c r="I30" s="23"/>
      <c r="O30" s="14"/>
      <c r="AB30" s="14"/>
      <c r="AC30" s="23"/>
      <c r="AO30" s="14"/>
      <c r="AP30" s="23"/>
      <c r="BB30" s="14"/>
      <c r="BJ30" s="23"/>
      <c r="BV30" s="14"/>
      <c r="BW30" s="23"/>
      <c r="CC30" s="14"/>
      <c r="CD30" s="23"/>
      <c r="CJ30" s="14"/>
      <c r="CK30" s="23"/>
      <c r="DA30" s="23"/>
      <c r="DE30" s="14"/>
      <c r="DF30" s="14"/>
      <c r="DH30" s="59"/>
      <c r="DL30" s="59"/>
      <c r="DW30" s="60"/>
    </row>
    <row r="31" spans="1:127" x14ac:dyDescent="0.3">
      <c r="A31" s="23"/>
      <c r="B31" s="23"/>
      <c r="H31" s="14"/>
      <c r="I31" s="23"/>
      <c r="O31" s="14"/>
      <c r="AB31" s="14"/>
      <c r="AC31" s="23"/>
      <c r="AO31" s="14"/>
      <c r="AP31" s="23"/>
      <c r="BB31" s="14"/>
      <c r="BJ31" s="23"/>
      <c r="BV31" s="14"/>
      <c r="BW31" s="23"/>
      <c r="CC31" s="14"/>
      <c r="CD31" s="23"/>
      <c r="CJ31" s="14"/>
      <c r="CK31" s="23"/>
      <c r="CL31" s="16" t="s">
        <v>192</v>
      </c>
      <c r="DA31" s="23"/>
      <c r="DE31" s="14"/>
      <c r="DF31" s="14"/>
      <c r="DH31" s="59"/>
      <c r="DL31" s="59"/>
      <c r="DW31" s="60"/>
    </row>
    <row r="32" spans="1:127" x14ac:dyDescent="0.3">
      <c r="A32" s="23"/>
      <c r="B32" s="23"/>
      <c r="H32" s="14"/>
      <c r="I32" s="23"/>
      <c r="O32" s="14"/>
      <c r="AB32" s="14"/>
      <c r="AC32" s="23"/>
      <c r="AO32" s="14"/>
      <c r="AP32" s="23"/>
      <c r="BB32" s="14"/>
      <c r="BJ32" s="23"/>
      <c r="BV32" s="14"/>
      <c r="BW32" s="23"/>
      <c r="CC32" s="14"/>
      <c r="CD32" s="23"/>
      <c r="CJ32" s="14"/>
      <c r="CK32" s="23"/>
      <c r="CM32" s="8" t="s">
        <v>247</v>
      </c>
      <c r="DA32" s="23"/>
      <c r="DE32" s="14"/>
      <c r="DF32" s="14"/>
      <c r="DH32" s="59"/>
      <c r="DL32" s="59"/>
      <c r="DW32" s="60"/>
    </row>
    <row r="33" spans="1:127" x14ac:dyDescent="0.3">
      <c r="A33" s="23"/>
      <c r="B33" s="23"/>
      <c r="H33" s="14"/>
      <c r="I33" s="23"/>
      <c r="O33" s="14"/>
      <c r="AB33" s="14"/>
      <c r="AC33" s="23"/>
      <c r="AO33" s="14"/>
      <c r="AP33" s="23"/>
      <c r="BB33" s="14"/>
      <c r="BJ33" s="23"/>
      <c r="BV33" s="14"/>
      <c r="BW33" s="23"/>
      <c r="CC33" s="14"/>
      <c r="CD33" s="23"/>
      <c r="CJ33" s="14"/>
      <c r="CK33" s="23"/>
      <c r="CM33" s="8" t="s">
        <v>248</v>
      </c>
      <c r="DA33" s="23"/>
      <c r="DE33" s="14"/>
      <c r="DF33" s="14"/>
      <c r="DH33" s="59"/>
      <c r="DL33" s="59"/>
      <c r="DW33" s="60"/>
    </row>
    <row r="34" spans="1:127" x14ac:dyDescent="0.3">
      <c r="A34" s="23"/>
      <c r="B34" s="23"/>
      <c r="H34" s="14"/>
      <c r="I34" s="23"/>
      <c r="O34" s="14"/>
      <c r="AB34" s="14"/>
      <c r="AC34" s="23"/>
      <c r="AO34" s="14"/>
      <c r="AP34" s="23"/>
      <c r="BB34" s="14"/>
      <c r="BJ34" s="23"/>
      <c r="BV34" s="14"/>
      <c r="BW34" s="23"/>
      <c r="CC34" s="14"/>
      <c r="CD34" s="23"/>
      <c r="CJ34" s="14"/>
      <c r="CK34" s="23"/>
      <c r="DA34" s="23"/>
      <c r="DE34" s="14"/>
      <c r="DF34" s="14"/>
      <c r="DH34" s="59"/>
      <c r="DL34" s="59"/>
      <c r="DW34" s="60"/>
    </row>
    <row r="35" spans="1:127" x14ac:dyDescent="0.3">
      <c r="A35" s="23"/>
      <c r="B35" s="23"/>
      <c r="H35" s="14"/>
      <c r="I35" s="23"/>
      <c r="O35" s="14"/>
      <c r="AB35" s="14"/>
      <c r="AC35" s="23"/>
      <c r="AO35" s="14"/>
      <c r="AP35" s="23"/>
      <c r="BB35" s="14"/>
      <c r="BJ35" s="23"/>
      <c r="BV35" s="14"/>
      <c r="BW35" s="23"/>
      <c r="CC35" s="14"/>
      <c r="CD35" s="23"/>
      <c r="CJ35" s="14"/>
      <c r="CK35" s="23"/>
      <c r="CM35" s="82" t="s">
        <v>398</v>
      </c>
      <c r="DA35" s="23"/>
      <c r="DE35" s="14"/>
      <c r="DF35" s="14"/>
      <c r="DH35" s="59"/>
      <c r="DL35" s="59"/>
      <c r="DW35" s="60"/>
    </row>
    <row r="36" spans="1:127" x14ac:dyDescent="0.3">
      <c r="A36" s="23"/>
      <c r="B36" s="23"/>
      <c r="H36" s="14"/>
      <c r="I36" s="23"/>
      <c r="O36" s="14"/>
      <c r="AB36" s="14"/>
      <c r="AC36" s="23"/>
      <c r="AO36" s="14"/>
      <c r="AP36" s="23"/>
      <c r="BB36" s="14"/>
      <c r="BJ36" s="23"/>
      <c r="BV36" s="14"/>
      <c r="BW36" s="23"/>
      <c r="CC36" s="14"/>
      <c r="CD36" s="23"/>
      <c r="CJ36" s="14"/>
      <c r="CK36" s="23"/>
      <c r="CM36" s="82" t="s">
        <v>399</v>
      </c>
      <c r="DA36" s="23"/>
      <c r="DE36" s="14"/>
      <c r="DF36" s="14"/>
      <c r="DH36" s="59"/>
      <c r="DL36" s="59"/>
      <c r="DW36" s="60"/>
    </row>
    <row r="37" spans="1:127" x14ac:dyDescent="0.3">
      <c r="A37" s="23"/>
      <c r="B37" s="23"/>
      <c r="H37" s="14"/>
      <c r="I37" s="23"/>
      <c r="O37" s="14"/>
      <c r="AB37" s="14"/>
      <c r="AC37" s="23"/>
      <c r="AO37" s="14"/>
      <c r="AP37" s="23"/>
      <c r="BB37" s="14"/>
      <c r="BJ37" s="23"/>
      <c r="BV37" s="14"/>
      <c r="BW37" s="23"/>
      <c r="CC37" s="14"/>
      <c r="CD37" s="23"/>
      <c r="CJ37" s="14"/>
      <c r="CK37" s="23"/>
      <c r="DA37" s="23"/>
      <c r="DE37" s="14"/>
      <c r="DF37" s="14"/>
      <c r="DH37" s="59"/>
      <c r="DL37" s="59"/>
      <c r="DW37" s="60"/>
    </row>
    <row r="38" spans="1:127" x14ac:dyDescent="0.3">
      <c r="A38" s="23"/>
      <c r="B38" s="23"/>
      <c r="H38" s="14"/>
      <c r="I38" s="23"/>
      <c r="O38" s="14"/>
      <c r="AB38" s="14"/>
      <c r="AC38" s="23"/>
      <c r="AO38" s="14"/>
      <c r="AP38" s="23"/>
      <c r="BB38" s="14"/>
      <c r="BJ38" s="23"/>
      <c r="BV38" s="14"/>
      <c r="BW38" s="23"/>
      <c r="CC38" s="14"/>
      <c r="CD38" s="23"/>
      <c r="CJ38" s="14"/>
      <c r="CK38" s="23"/>
      <c r="DA38" s="23"/>
      <c r="DE38" s="14"/>
      <c r="DF38" s="14"/>
      <c r="DH38" s="59"/>
      <c r="DL38" s="59"/>
      <c r="DW38" s="60"/>
    </row>
    <row r="39" spans="1:127" x14ac:dyDescent="0.3">
      <c r="A39" s="23"/>
      <c r="B39" s="23"/>
      <c r="H39" s="14"/>
      <c r="I39" s="23"/>
      <c r="O39" s="14"/>
      <c r="AB39" s="14"/>
      <c r="AC39" s="23"/>
      <c r="AO39" s="14"/>
      <c r="AP39" s="23"/>
      <c r="BB39" s="14"/>
      <c r="BJ39" s="23"/>
      <c r="BV39" s="14"/>
      <c r="BW39" s="23"/>
      <c r="CC39" s="14"/>
      <c r="CD39" s="23"/>
      <c r="CJ39" s="14"/>
      <c r="CK39" s="23"/>
      <c r="CL39" s="16" t="s">
        <v>249</v>
      </c>
      <c r="CM39"/>
      <c r="DA39" s="73"/>
      <c r="DE39" s="14"/>
      <c r="DF39" s="14"/>
      <c r="DH39" s="59"/>
      <c r="DL39" s="59"/>
      <c r="DW39" s="60"/>
    </row>
    <row r="40" spans="1:127" x14ac:dyDescent="0.3">
      <c r="A40" s="23"/>
      <c r="B40" s="23"/>
      <c r="H40" s="14"/>
      <c r="I40" s="23"/>
      <c r="O40" s="14"/>
      <c r="AB40" s="14"/>
      <c r="AC40" s="23"/>
      <c r="AO40" s="14"/>
      <c r="AP40" s="23"/>
      <c r="BB40" s="14"/>
      <c r="BJ40" s="23"/>
      <c r="BV40" s="14"/>
      <c r="BW40" s="23"/>
      <c r="CC40" s="14"/>
      <c r="CD40" s="23"/>
      <c r="CJ40" s="14"/>
      <c r="CK40" s="23"/>
      <c r="CL40"/>
      <c r="CM40" s="8" t="s">
        <v>250</v>
      </c>
      <c r="DA40" s="23"/>
      <c r="DE40" s="14"/>
      <c r="DF40" s="14"/>
      <c r="DH40" s="59"/>
      <c r="DL40" s="59"/>
      <c r="DW40" s="60"/>
    </row>
    <row r="41" spans="1:127" x14ac:dyDescent="0.3">
      <c r="A41" s="23"/>
      <c r="B41" s="23"/>
      <c r="H41" s="14"/>
      <c r="I41" s="23"/>
      <c r="O41" s="14"/>
      <c r="AB41" s="14"/>
      <c r="AC41" s="23"/>
      <c r="AO41" s="14"/>
      <c r="AP41" s="23"/>
      <c r="BB41" s="14"/>
      <c r="BJ41" s="23"/>
      <c r="BV41" s="14"/>
      <c r="BW41" s="23"/>
      <c r="CC41" s="14"/>
      <c r="CD41" s="23"/>
      <c r="CJ41" s="14"/>
      <c r="CK41" s="23"/>
      <c r="CL41"/>
      <c r="DA41" s="23"/>
      <c r="DE41" s="14"/>
      <c r="DF41" s="14"/>
      <c r="DH41" s="59"/>
      <c r="DL41" s="59"/>
      <c r="DW41" s="60"/>
    </row>
    <row r="42" spans="1:127" x14ac:dyDescent="0.3">
      <c r="A42" s="23"/>
      <c r="B42" s="23"/>
      <c r="H42" s="14"/>
      <c r="I42" s="23"/>
      <c r="O42" s="14"/>
      <c r="AB42" s="14"/>
      <c r="AC42" s="23"/>
      <c r="AO42" s="14"/>
      <c r="AP42" s="23"/>
      <c r="BB42" s="14"/>
      <c r="BJ42" s="23"/>
      <c r="BV42" s="14"/>
      <c r="BW42" s="23"/>
      <c r="CC42" s="14"/>
      <c r="CD42" s="23"/>
      <c r="CJ42" s="14"/>
      <c r="CK42" s="23"/>
      <c r="DA42" s="23"/>
      <c r="DE42" s="14"/>
      <c r="DF42" s="14"/>
      <c r="DH42" s="59"/>
      <c r="DL42" s="59"/>
      <c r="DW42" s="60"/>
    </row>
    <row r="43" spans="1:127" x14ac:dyDescent="0.3">
      <c r="A43" s="23"/>
      <c r="B43" s="23"/>
      <c r="H43" s="14"/>
      <c r="I43" s="23"/>
      <c r="O43" s="14"/>
      <c r="AB43" s="14"/>
      <c r="AC43" s="23"/>
      <c r="AO43" s="14"/>
      <c r="AP43" s="23"/>
      <c r="BB43" s="14"/>
      <c r="BJ43" s="23"/>
      <c r="BV43" s="14"/>
      <c r="BW43" s="23"/>
      <c r="CC43" s="14"/>
      <c r="CD43" s="23"/>
      <c r="CJ43" s="14"/>
      <c r="CK43" s="23"/>
      <c r="DA43" s="23"/>
      <c r="DE43" s="14"/>
      <c r="DF43" s="14"/>
      <c r="DH43" s="59"/>
      <c r="DL43" s="59"/>
      <c r="DW43" s="60"/>
    </row>
    <row r="44" spans="1:127" x14ac:dyDescent="0.3">
      <c r="A44" s="23"/>
      <c r="B44" s="23"/>
      <c r="H44" s="14"/>
      <c r="I44" s="23"/>
      <c r="O44" s="14"/>
      <c r="AB44" s="14"/>
      <c r="AC44" s="23"/>
      <c r="AO44" s="14"/>
      <c r="AP44" s="23"/>
      <c r="BB44" s="14"/>
      <c r="BJ44" s="23"/>
      <c r="BV44" s="14"/>
      <c r="BW44" s="23"/>
      <c r="CC44" s="14"/>
      <c r="CD44" s="23"/>
      <c r="CJ44" s="14"/>
      <c r="CK44" s="23"/>
      <c r="CL44" s="16" t="s">
        <v>251</v>
      </c>
      <c r="CM44"/>
      <c r="DA44" s="23"/>
      <c r="DE44" s="14"/>
      <c r="DF44" s="14"/>
      <c r="DH44" s="59"/>
      <c r="DL44" s="59"/>
      <c r="DW44" s="60"/>
    </row>
    <row r="45" spans="1:127" x14ac:dyDescent="0.3">
      <c r="A45" s="23"/>
      <c r="B45" s="23"/>
      <c r="H45" s="14"/>
      <c r="I45" s="23"/>
      <c r="O45" s="14"/>
      <c r="AB45" s="14"/>
      <c r="AC45" s="23"/>
      <c r="AO45" s="14"/>
      <c r="AP45" s="23"/>
      <c r="BB45" s="14"/>
      <c r="BJ45" s="23"/>
      <c r="BV45" s="14"/>
      <c r="BW45" s="23"/>
      <c r="CC45" s="14"/>
      <c r="CD45" s="23"/>
      <c r="CJ45" s="14"/>
      <c r="CK45" s="23"/>
      <c r="CL45"/>
      <c r="CM45" s="8" t="s">
        <v>171</v>
      </c>
      <c r="DA45" s="23"/>
      <c r="DE45" s="14"/>
      <c r="DF45" s="14"/>
      <c r="DH45" s="59"/>
      <c r="DL45" s="59"/>
      <c r="DW45" s="60"/>
    </row>
    <row r="46" spans="1:127" x14ac:dyDescent="0.3">
      <c r="A46" s="23"/>
      <c r="B46" s="23"/>
      <c r="H46" s="14"/>
      <c r="I46" s="23"/>
      <c r="O46" s="14"/>
      <c r="AB46" s="14"/>
      <c r="AC46" s="23"/>
      <c r="AO46" s="14"/>
      <c r="AP46" s="23"/>
      <c r="BB46" s="14"/>
      <c r="BJ46" s="23"/>
      <c r="BV46" s="14"/>
      <c r="BW46" s="23"/>
      <c r="CC46" s="14"/>
      <c r="CD46" s="23"/>
      <c r="CJ46" s="14"/>
      <c r="CK46" s="23"/>
      <c r="CL46"/>
      <c r="DA46" s="23"/>
      <c r="DE46" s="14"/>
      <c r="DF46" s="14"/>
      <c r="DH46" s="59"/>
      <c r="DL46" s="59"/>
      <c r="DW46" s="60"/>
    </row>
    <row r="47" spans="1:127" x14ac:dyDescent="0.3">
      <c r="A47" s="23"/>
      <c r="B47" s="23"/>
      <c r="H47" s="14"/>
      <c r="I47" s="23"/>
      <c r="O47" s="14"/>
      <c r="AB47" s="14"/>
      <c r="AC47" s="23"/>
      <c r="AO47" s="14"/>
      <c r="AP47" s="23"/>
      <c r="BB47" s="14"/>
      <c r="BJ47" s="23"/>
      <c r="BV47" s="14"/>
      <c r="BW47" s="23"/>
      <c r="CC47" s="14"/>
      <c r="CD47" s="23"/>
      <c r="CJ47" s="14"/>
      <c r="CK47" s="23"/>
      <c r="DA47" s="23"/>
      <c r="DE47" s="14"/>
      <c r="DF47" s="14"/>
      <c r="DH47" s="59"/>
      <c r="DL47" s="59"/>
      <c r="DW47" s="60"/>
    </row>
    <row r="48" spans="1:127" x14ac:dyDescent="0.3">
      <c r="A48" s="23"/>
      <c r="B48" s="23"/>
      <c r="H48" s="14"/>
      <c r="I48" s="23"/>
      <c r="O48" s="14"/>
      <c r="AB48" s="14"/>
      <c r="AC48" s="23"/>
      <c r="AO48" s="14"/>
      <c r="AP48" s="23"/>
      <c r="BB48" s="14"/>
      <c r="BJ48" s="23"/>
      <c r="BV48" s="14"/>
      <c r="BW48" s="23"/>
      <c r="CC48" s="14"/>
      <c r="CD48" s="23"/>
      <c r="CJ48" s="14"/>
      <c r="CK48" s="23"/>
      <c r="CL48" s="16" t="s">
        <v>252</v>
      </c>
      <c r="DA48" s="23"/>
      <c r="DE48" s="14"/>
      <c r="DF48" s="14"/>
      <c r="DH48" s="59"/>
      <c r="DL48" s="59"/>
      <c r="DW48" s="60"/>
    </row>
    <row r="49" spans="1:127" x14ac:dyDescent="0.3">
      <c r="A49" s="23"/>
      <c r="B49" s="23"/>
      <c r="H49" s="14"/>
      <c r="I49" s="23"/>
      <c r="O49" s="14"/>
      <c r="AB49" s="14"/>
      <c r="AC49" s="23"/>
      <c r="AO49" s="14"/>
      <c r="AP49" s="23"/>
      <c r="BB49" s="14"/>
      <c r="BJ49" s="23"/>
      <c r="BV49" s="14"/>
      <c r="BW49" s="23"/>
      <c r="CC49" s="14"/>
      <c r="CD49" s="23"/>
      <c r="CJ49" s="14"/>
      <c r="CK49" s="23"/>
      <c r="CM49" s="8" t="s">
        <v>173</v>
      </c>
      <c r="DA49" s="73" t="s">
        <v>253</v>
      </c>
      <c r="DE49" s="14"/>
      <c r="DF49" s="14"/>
      <c r="DH49" s="59"/>
      <c r="DL49" s="59"/>
      <c r="DW49" s="60"/>
    </row>
    <row r="50" spans="1:127" x14ac:dyDescent="0.3">
      <c r="A50" s="23"/>
      <c r="B50" s="23"/>
      <c r="H50" s="14"/>
      <c r="I50" s="23"/>
      <c r="O50" s="14"/>
      <c r="AB50" s="14"/>
      <c r="AC50" s="23"/>
      <c r="AO50" s="14"/>
      <c r="AP50" s="23"/>
      <c r="BB50" s="14"/>
      <c r="BJ50" s="23"/>
      <c r="BV50" s="14"/>
      <c r="BW50" s="23"/>
      <c r="CC50" s="14"/>
      <c r="CD50" s="23"/>
      <c r="CJ50" s="14"/>
      <c r="CK50" s="23"/>
      <c r="CM50" s="8" t="s">
        <v>174</v>
      </c>
      <c r="DA50" s="23" t="s">
        <v>254</v>
      </c>
      <c r="DE50" s="14"/>
      <c r="DF50" s="14"/>
      <c r="DH50" s="59"/>
      <c r="DL50" s="59"/>
      <c r="DW50" s="60"/>
    </row>
    <row r="51" spans="1:127" x14ac:dyDescent="0.3">
      <c r="A51" s="23"/>
      <c r="B51" s="23"/>
      <c r="H51" s="14"/>
      <c r="I51" s="23"/>
      <c r="O51" s="14"/>
      <c r="AB51" s="14"/>
      <c r="AC51" s="23"/>
      <c r="AO51" s="14"/>
      <c r="AP51" s="23"/>
      <c r="BB51" s="14"/>
      <c r="BJ51" s="23"/>
      <c r="BV51" s="14"/>
      <c r="BW51" s="23"/>
      <c r="CC51" s="14"/>
      <c r="CD51" s="23"/>
      <c r="CJ51" s="14"/>
      <c r="CK51" s="23"/>
      <c r="CL51" s="16"/>
      <c r="DA51" s="23" t="s">
        <v>255</v>
      </c>
      <c r="DE51" s="14"/>
      <c r="DF51" s="14"/>
      <c r="DH51" s="59"/>
      <c r="DL51" s="59"/>
      <c r="DW51" s="60"/>
    </row>
    <row r="52" spans="1:127" x14ac:dyDescent="0.3">
      <c r="A52" s="23"/>
      <c r="B52" s="23"/>
      <c r="H52" s="14"/>
      <c r="I52" s="23"/>
      <c r="O52" s="14"/>
      <c r="AB52" s="14"/>
      <c r="AC52" s="23"/>
      <c r="AO52" s="14"/>
      <c r="AP52" s="23"/>
      <c r="BB52" s="14"/>
      <c r="BJ52" s="23"/>
      <c r="BV52" s="14"/>
      <c r="BW52" s="23"/>
      <c r="CC52" s="14"/>
      <c r="CD52" s="23"/>
      <c r="CJ52" s="14"/>
      <c r="CK52" s="23"/>
      <c r="DA52" s="23"/>
      <c r="DE52" s="14"/>
      <c r="DF52" s="14"/>
      <c r="DH52" s="59"/>
      <c r="DL52" s="59"/>
      <c r="DW52" s="60"/>
    </row>
    <row r="53" spans="1:127" x14ac:dyDescent="0.3">
      <c r="A53" s="23"/>
      <c r="B53" s="23"/>
      <c r="H53" s="14"/>
      <c r="I53" s="23"/>
      <c r="O53" s="14"/>
      <c r="AB53" s="14"/>
      <c r="AC53" s="23"/>
      <c r="AO53" s="14"/>
      <c r="AP53" s="23"/>
      <c r="BB53" s="14"/>
      <c r="BJ53" s="23"/>
      <c r="BV53" s="14"/>
      <c r="BW53" s="23"/>
      <c r="CC53" s="14"/>
      <c r="CD53" s="23"/>
      <c r="CJ53" s="14"/>
      <c r="CK53" s="23"/>
      <c r="DA53" s="23"/>
      <c r="DE53" s="14"/>
      <c r="DF53" s="14"/>
      <c r="DH53" s="59"/>
      <c r="DL53" s="59"/>
      <c r="DW53" s="60"/>
    </row>
    <row r="54" spans="1:127" x14ac:dyDescent="0.3">
      <c r="A54" s="23"/>
      <c r="B54" s="23"/>
      <c r="H54" s="14"/>
      <c r="I54" s="23"/>
      <c r="O54" s="14"/>
      <c r="AB54" s="14"/>
      <c r="AC54" s="23"/>
      <c r="AO54" s="14"/>
      <c r="AP54" s="23"/>
      <c r="BB54" s="14"/>
      <c r="BJ54" s="23"/>
      <c r="BV54" s="14"/>
      <c r="BW54" s="23"/>
      <c r="CC54" s="14"/>
      <c r="CD54" s="23"/>
      <c r="CJ54" s="14"/>
      <c r="CK54" s="23"/>
      <c r="DA54" s="23"/>
      <c r="DE54" s="14"/>
      <c r="DF54" s="14"/>
      <c r="DH54" s="59"/>
      <c r="DL54" s="59"/>
      <c r="DW54" s="60"/>
    </row>
    <row r="55" spans="1:127" x14ac:dyDescent="0.3">
      <c r="A55" s="23"/>
      <c r="B55" s="23"/>
      <c r="H55" s="14"/>
      <c r="I55" s="23"/>
      <c r="O55" s="14"/>
      <c r="AB55" s="14"/>
      <c r="AC55" s="23"/>
      <c r="AO55" s="14"/>
      <c r="AP55" s="23"/>
      <c r="BB55" s="14"/>
      <c r="BJ55" s="23"/>
      <c r="BV55" s="14"/>
      <c r="BW55" s="23"/>
      <c r="CC55" s="14"/>
      <c r="CD55" s="23"/>
      <c r="CJ55" s="14"/>
      <c r="CK55" s="23"/>
      <c r="DA55" s="23"/>
      <c r="DE55" s="14"/>
      <c r="DF55" s="14"/>
      <c r="DH55" s="59"/>
      <c r="DL55" s="59"/>
      <c r="DW55" s="60"/>
    </row>
    <row r="56" spans="1:127" x14ac:dyDescent="0.3">
      <c r="A56" s="23"/>
      <c r="B56" s="23"/>
      <c r="H56" s="14"/>
      <c r="I56" s="23"/>
      <c r="O56" s="14"/>
      <c r="AB56" s="14"/>
      <c r="AC56" s="23"/>
      <c r="AO56" s="14"/>
      <c r="AP56" s="23"/>
      <c r="BB56" s="14"/>
      <c r="BJ56" s="23"/>
      <c r="BV56" s="14"/>
      <c r="BW56" s="23"/>
      <c r="CC56" s="14"/>
      <c r="CD56" s="23"/>
      <c r="CJ56" s="14"/>
      <c r="CK56" s="23"/>
      <c r="DA56" s="23"/>
      <c r="DE56" s="14"/>
      <c r="DF56" s="14"/>
      <c r="DH56" s="59"/>
      <c r="DL56" s="59"/>
      <c r="DW56" s="60"/>
    </row>
    <row r="57" spans="1:127" x14ac:dyDescent="0.3">
      <c r="A57" s="23"/>
      <c r="B57" s="23"/>
      <c r="H57" s="14"/>
      <c r="I57" s="23"/>
      <c r="O57" s="14"/>
      <c r="AB57" s="14"/>
      <c r="AC57" s="23"/>
      <c r="AO57" s="14"/>
      <c r="AP57" s="23"/>
      <c r="BB57" s="14"/>
      <c r="BJ57" s="23"/>
      <c r="BV57" s="14"/>
      <c r="BW57" s="23"/>
      <c r="CC57" s="14"/>
      <c r="CD57" s="23"/>
      <c r="CJ57" s="14"/>
      <c r="CK57" s="23"/>
      <c r="DA57" s="23"/>
      <c r="DE57" s="14"/>
      <c r="DF57" s="14"/>
      <c r="DH57" s="59"/>
      <c r="DL57" s="59"/>
      <c r="DW57" s="60"/>
    </row>
    <row r="58" spans="1:127" x14ac:dyDescent="0.3">
      <c r="A58" s="23"/>
      <c r="B58" s="50"/>
      <c r="C58" s="10"/>
      <c r="D58" s="10"/>
      <c r="E58" s="10"/>
      <c r="F58" s="10"/>
      <c r="G58" s="10"/>
      <c r="H58" s="15"/>
      <c r="I58" s="50"/>
      <c r="J58" s="10"/>
      <c r="K58" s="10"/>
      <c r="L58" s="10"/>
      <c r="M58" s="10"/>
      <c r="N58" s="10"/>
      <c r="O58" s="15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5"/>
      <c r="AC58" s="5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5"/>
      <c r="AP58" s="5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5"/>
      <c r="BC58" s="10"/>
      <c r="BD58" s="10"/>
      <c r="BE58" s="10"/>
      <c r="BF58" s="10"/>
      <c r="BG58" s="10"/>
      <c r="BH58" s="10"/>
      <c r="BI58" s="10"/>
      <c r="BJ58" s="5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5"/>
      <c r="BW58" s="50"/>
      <c r="BX58" s="10"/>
      <c r="BY58" s="10"/>
      <c r="BZ58" s="10"/>
      <c r="CA58" s="10"/>
      <c r="CB58" s="10"/>
      <c r="CC58" s="15"/>
      <c r="CD58" s="50"/>
      <c r="CE58" s="10"/>
      <c r="CF58" s="10"/>
      <c r="CG58" s="10"/>
      <c r="CH58" s="10"/>
      <c r="CI58" s="10"/>
      <c r="CJ58" s="15"/>
      <c r="CK58" s="5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50"/>
      <c r="DB58" s="10"/>
      <c r="DC58" s="10"/>
      <c r="DD58" s="10"/>
      <c r="DE58" s="15"/>
      <c r="DF58" s="14"/>
      <c r="DH58" s="59"/>
      <c r="DL58" s="59"/>
      <c r="DW58" s="60"/>
    </row>
    <row r="59" spans="1:127" ht="13.5" customHeight="1" x14ac:dyDescent="0.3">
      <c r="A59" s="23"/>
      <c r="B59" s="25" t="s">
        <v>400</v>
      </c>
      <c r="C59" s="22"/>
      <c r="D59" s="22"/>
      <c r="E59" s="22"/>
      <c r="F59" s="22"/>
      <c r="G59" s="22"/>
      <c r="H59" s="22"/>
      <c r="I59" s="25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74"/>
      <c r="AP59" s="76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76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14"/>
      <c r="DH59" s="59"/>
      <c r="DL59" s="59"/>
      <c r="DW59" s="60"/>
    </row>
    <row r="60" spans="1:127" x14ac:dyDescent="0.3">
      <c r="A60" s="23"/>
      <c r="B60" s="23"/>
      <c r="H60" s="14"/>
      <c r="I60" s="23"/>
      <c r="O60" s="14"/>
      <c r="AB60" s="14"/>
      <c r="AC60" s="23"/>
      <c r="AO60" s="14"/>
      <c r="AP60" s="23"/>
      <c r="BB60" s="14"/>
      <c r="BJ60" s="23"/>
      <c r="BV60" s="14"/>
      <c r="BW60" s="47"/>
      <c r="BX60" s="48"/>
      <c r="BY60" s="48"/>
      <c r="BZ60" s="48"/>
      <c r="CA60" s="48"/>
      <c r="CB60" s="48"/>
      <c r="CC60" s="49"/>
      <c r="CD60" s="47"/>
      <c r="CE60" s="48"/>
      <c r="CF60" s="48"/>
      <c r="CG60" s="48"/>
      <c r="CH60" s="48"/>
      <c r="CI60" s="48"/>
      <c r="CJ60" s="49"/>
      <c r="CK60" s="23"/>
      <c r="DA60" s="47"/>
      <c r="DB60" s="48"/>
      <c r="DC60" s="48"/>
      <c r="DD60" s="48"/>
      <c r="DE60" s="49"/>
      <c r="DF60" s="14"/>
      <c r="DH60" s="59"/>
      <c r="DL60" s="59"/>
      <c r="DW60" s="60"/>
    </row>
    <row r="61" spans="1:127" x14ac:dyDescent="0.3">
      <c r="A61" s="23"/>
      <c r="B61" s="23"/>
      <c r="H61" s="14"/>
      <c r="I61" s="23"/>
      <c r="O61" s="14"/>
      <c r="AB61" s="14"/>
      <c r="AC61" s="23"/>
      <c r="AO61" s="14"/>
      <c r="AP61" s="23"/>
      <c r="BB61" s="14"/>
      <c r="BJ61" s="23"/>
      <c r="BV61" s="14"/>
      <c r="BW61" s="23"/>
      <c r="CC61" s="14"/>
      <c r="CD61" s="23"/>
      <c r="CJ61" s="14"/>
      <c r="CK61" s="23"/>
      <c r="CL61" s="8" t="s">
        <v>233</v>
      </c>
      <c r="DA61" s="23"/>
      <c r="DE61" s="14"/>
      <c r="DF61" s="14"/>
      <c r="DH61" s="59"/>
      <c r="DL61" s="59"/>
      <c r="DW61" s="60"/>
    </row>
    <row r="62" spans="1:127" x14ac:dyDescent="0.3">
      <c r="A62" s="23"/>
      <c r="B62" s="23"/>
      <c r="H62" s="14"/>
      <c r="I62" s="23"/>
      <c r="O62" s="14"/>
      <c r="AB62" s="14"/>
      <c r="AC62" s="23"/>
      <c r="AO62" s="14"/>
      <c r="AP62" s="23"/>
      <c r="BB62" s="14"/>
      <c r="BJ62" s="23"/>
      <c r="BV62" s="14"/>
      <c r="BW62" s="23"/>
      <c r="CC62" s="14"/>
      <c r="CD62" s="23"/>
      <c r="CJ62" s="14"/>
      <c r="CK62" s="23"/>
      <c r="DA62" s="23"/>
      <c r="DE62" s="14"/>
      <c r="DF62" s="14"/>
      <c r="DH62" s="59"/>
      <c r="DL62" s="59"/>
      <c r="DW62" s="60"/>
    </row>
    <row r="63" spans="1:127" x14ac:dyDescent="0.3">
      <c r="A63" s="23"/>
      <c r="B63" s="23"/>
      <c r="H63" s="14"/>
      <c r="I63" s="23"/>
      <c r="O63" s="14"/>
      <c r="AB63" s="14"/>
      <c r="AC63" s="23"/>
      <c r="AO63" s="14"/>
      <c r="AP63" s="23"/>
      <c r="BB63" s="14"/>
      <c r="BJ63" s="23"/>
      <c r="BV63" s="14"/>
      <c r="BW63" s="23"/>
      <c r="CC63" s="14"/>
      <c r="CD63" s="23"/>
      <c r="CJ63" s="14"/>
      <c r="CK63" s="23"/>
      <c r="DA63" s="23"/>
      <c r="DE63" s="14"/>
      <c r="DF63" s="14"/>
      <c r="DH63" s="59"/>
      <c r="DL63" s="59"/>
      <c r="DW63" s="60"/>
    </row>
    <row r="64" spans="1:127" x14ac:dyDescent="0.3">
      <c r="A64" s="23"/>
      <c r="B64" s="23"/>
      <c r="H64" s="14"/>
      <c r="I64" s="23"/>
      <c r="O64" s="14"/>
      <c r="AB64" s="14"/>
      <c r="AC64" s="23"/>
      <c r="AO64" s="14"/>
      <c r="AP64" s="23"/>
      <c r="BB64" s="14"/>
      <c r="BJ64" s="23"/>
      <c r="BV64" s="14"/>
      <c r="BW64" s="23"/>
      <c r="CC64" s="14"/>
      <c r="CD64" s="23"/>
      <c r="CJ64" s="14"/>
      <c r="CK64" s="23"/>
      <c r="DA64" s="23"/>
      <c r="DE64" s="14"/>
      <c r="DF64" s="14"/>
      <c r="DH64" s="59"/>
      <c r="DL64" s="59"/>
      <c r="DW64" s="60"/>
    </row>
    <row r="65" spans="1:127" x14ac:dyDescent="0.3">
      <c r="A65" s="23"/>
      <c r="B65" s="23"/>
      <c r="H65" s="14"/>
      <c r="I65" s="23"/>
      <c r="O65" s="14"/>
      <c r="AB65" s="14"/>
      <c r="AC65" s="23"/>
      <c r="AO65" s="14"/>
      <c r="AP65" s="23"/>
      <c r="BB65" s="14"/>
      <c r="BJ65" s="23"/>
      <c r="BV65" s="14"/>
      <c r="BW65" s="23"/>
      <c r="CC65" s="14"/>
      <c r="CD65" s="23"/>
      <c r="CJ65" s="14"/>
      <c r="CK65" s="23"/>
      <c r="DA65" s="23"/>
      <c r="DE65" s="14"/>
      <c r="DF65" s="14"/>
      <c r="DH65" s="59"/>
      <c r="DL65" s="59"/>
      <c r="DW65" s="60"/>
    </row>
    <row r="66" spans="1:127" x14ac:dyDescent="0.3">
      <c r="A66" s="23"/>
      <c r="B66" s="23"/>
      <c r="H66" s="14"/>
      <c r="I66" s="23"/>
      <c r="O66" s="14"/>
      <c r="AB66" s="14"/>
      <c r="AC66" s="23"/>
      <c r="AO66" s="14"/>
      <c r="AP66" s="23"/>
      <c r="BB66" s="14"/>
      <c r="BJ66" s="23"/>
      <c r="BV66" s="14"/>
      <c r="BW66" s="23"/>
      <c r="CC66" s="14"/>
      <c r="CD66" s="23"/>
      <c r="CJ66" s="14"/>
      <c r="CK66" s="23"/>
      <c r="DA66" s="23"/>
      <c r="DE66" s="14"/>
      <c r="DF66" s="14"/>
      <c r="DH66" s="59"/>
      <c r="DL66" s="59"/>
      <c r="DW66" s="60"/>
    </row>
    <row r="67" spans="1:127" x14ac:dyDescent="0.3">
      <c r="A67" s="23"/>
      <c r="B67" s="23"/>
      <c r="H67" s="14"/>
      <c r="I67" s="23"/>
      <c r="O67" s="14"/>
      <c r="AB67" s="14"/>
      <c r="AC67" s="23"/>
      <c r="AO67" s="14"/>
      <c r="AP67" s="23"/>
      <c r="BB67" s="14"/>
      <c r="BJ67" s="23"/>
      <c r="BV67" s="14"/>
      <c r="BW67" s="23"/>
      <c r="CC67" s="14"/>
      <c r="CD67" s="23"/>
      <c r="CJ67" s="14"/>
      <c r="CK67" s="23"/>
      <c r="CL67" s="21" t="s">
        <v>211</v>
      </c>
      <c r="CM67" s="11"/>
      <c r="DA67" s="23"/>
      <c r="DE67" s="14"/>
      <c r="DF67" s="14"/>
      <c r="DH67" s="59"/>
      <c r="DL67" s="59"/>
      <c r="DW67" s="60"/>
    </row>
    <row r="68" spans="1:127" x14ac:dyDescent="0.3">
      <c r="A68" s="23"/>
      <c r="B68" s="23"/>
      <c r="H68" s="14"/>
      <c r="I68" s="23"/>
      <c r="O68" s="14"/>
      <c r="AB68" s="14"/>
      <c r="AC68" s="23"/>
      <c r="AO68" s="14"/>
      <c r="AP68" s="23"/>
      <c r="BB68" s="14"/>
      <c r="BJ68" s="23"/>
      <c r="BV68" s="14"/>
      <c r="BW68" s="23"/>
      <c r="CC68" s="14"/>
      <c r="CD68" s="23"/>
      <c r="CJ68" s="14"/>
      <c r="CK68" s="23"/>
      <c r="CL68" s="11"/>
      <c r="CM68" s="8" t="s">
        <v>236</v>
      </c>
      <c r="DA68" s="23"/>
      <c r="DE68" s="14"/>
      <c r="DF68" s="14"/>
      <c r="DH68" s="59"/>
      <c r="DL68" s="59"/>
      <c r="DW68" s="60"/>
    </row>
    <row r="69" spans="1:127" x14ac:dyDescent="0.3">
      <c r="A69" s="23"/>
      <c r="B69" s="23"/>
      <c r="H69" s="14"/>
      <c r="I69" s="23"/>
      <c r="O69" s="14"/>
      <c r="AB69" s="14"/>
      <c r="AC69" s="23"/>
      <c r="AO69" s="14"/>
      <c r="AP69" s="23"/>
      <c r="BB69" s="14"/>
      <c r="BJ69" s="23"/>
      <c r="BV69" s="14"/>
      <c r="BW69" s="23"/>
      <c r="CC69" s="14"/>
      <c r="CD69" s="23"/>
      <c r="CJ69" s="14"/>
      <c r="CK69" s="23"/>
      <c r="CL69" s="11"/>
      <c r="DA69" s="23"/>
      <c r="DE69" s="14"/>
      <c r="DF69" s="14"/>
      <c r="DH69" s="59"/>
      <c r="DL69" s="59"/>
      <c r="DW69" s="60"/>
    </row>
    <row r="70" spans="1:127" x14ac:dyDescent="0.3">
      <c r="A70" s="23"/>
      <c r="B70" s="23"/>
      <c r="H70" s="14"/>
      <c r="I70" s="23"/>
      <c r="O70" s="14"/>
      <c r="AB70" s="14"/>
      <c r="AC70" s="23"/>
      <c r="AO70" s="14"/>
      <c r="AP70" s="23"/>
      <c r="BB70" s="14"/>
      <c r="BJ70" s="23"/>
      <c r="BV70" s="14"/>
      <c r="BW70" s="23"/>
      <c r="CC70" s="14"/>
      <c r="CD70" s="23"/>
      <c r="CJ70" s="14"/>
      <c r="CK70" s="23"/>
      <c r="CL70" s="21"/>
      <c r="CM70" s="11"/>
      <c r="CN70" s="11"/>
      <c r="CO70" s="11"/>
      <c r="CP70" s="11"/>
      <c r="CQ70" s="11"/>
      <c r="CR70" s="11"/>
      <c r="CS70" s="11"/>
      <c r="DA70" s="23"/>
      <c r="DE70" s="14"/>
      <c r="DF70" s="14"/>
      <c r="DH70" s="59"/>
      <c r="DL70" s="59"/>
      <c r="DW70" s="60"/>
    </row>
    <row r="71" spans="1:127" x14ac:dyDescent="0.3">
      <c r="A71" s="23"/>
      <c r="B71" s="23"/>
      <c r="H71" s="14"/>
      <c r="I71" s="23"/>
      <c r="O71" s="14"/>
      <c r="AB71" s="14"/>
      <c r="AC71" s="23"/>
      <c r="AO71" s="14"/>
      <c r="AP71" s="23"/>
      <c r="BB71" s="14"/>
      <c r="BJ71" s="23"/>
      <c r="BV71" s="14"/>
      <c r="BW71" s="23"/>
      <c r="CC71" s="14"/>
      <c r="CD71" s="23"/>
      <c r="CJ71" s="14"/>
      <c r="CK71" s="23"/>
      <c r="CL71" s="16" t="s">
        <v>237</v>
      </c>
      <c r="CN71" s="11"/>
      <c r="CO71" s="11"/>
      <c r="DA71" s="23"/>
      <c r="DE71" s="14"/>
      <c r="DF71" s="14"/>
      <c r="DH71" s="59"/>
      <c r="DL71" s="59"/>
      <c r="DW71" s="60"/>
    </row>
    <row r="72" spans="1:127" x14ac:dyDescent="0.3">
      <c r="A72" s="23"/>
      <c r="B72" s="23"/>
      <c r="H72" s="14"/>
      <c r="I72" s="23"/>
      <c r="O72" s="14"/>
      <c r="AB72" s="14"/>
      <c r="AC72" s="23"/>
      <c r="AO72" s="14"/>
      <c r="AP72" s="23"/>
      <c r="BB72" s="14"/>
      <c r="BJ72" s="23"/>
      <c r="BV72" s="14"/>
      <c r="BW72" s="23"/>
      <c r="CC72" s="14"/>
      <c r="CD72" s="23"/>
      <c r="CJ72" s="14"/>
      <c r="CK72" s="23"/>
      <c r="CM72" s="8" t="s">
        <v>238</v>
      </c>
      <c r="CN72" s="11"/>
      <c r="CO72" s="11"/>
      <c r="DA72" s="23"/>
      <c r="DE72" s="14"/>
      <c r="DF72" s="14"/>
      <c r="DH72" s="59"/>
      <c r="DL72" s="59"/>
      <c r="DW72" s="60"/>
    </row>
    <row r="73" spans="1:127" x14ac:dyDescent="0.3">
      <c r="A73" s="23"/>
      <c r="B73" s="23"/>
      <c r="H73" s="14"/>
      <c r="I73" s="23"/>
      <c r="O73" s="14"/>
      <c r="AB73" s="14"/>
      <c r="AC73" s="23"/>
      <c r="AO73" s="14"/>
      <c r="AP73" s="23"/>
      <c r="BB73" s="14"/>
      <c r="BJ73" s="23"/>
      <c r="BV73" s="14"/>
      <c r="BW73" s="23"/>
      <c r="CC73" s="14"/>
      <c r="CD73" s="23"/>
      <c r="CJ73" s="14"/>
      <c r="CK73" s="23"/>
      <c r="CN73" s="11"/>
      <c r="CO73" s="11"/>
      <c r="DA73" s="23"/>
      <c r="DE73" s="14"/>
      <c r="DF73" s="14"/>
      <c r="DH73" s="59"/>
      <c r="DL73" s="59"/>
      <c r="DW73" s="60"/>
    </row>
    <row r="74" spans="1:127" x14ac:dyDescent="0.3">
      <c r="A74" s="23"/>
      <c r="B74" s="23"/>
      <c r="H74" s="14"/>
      <c r="I74" s="23"/>
      <c r="O74" s="14"/>
      <c r="AB74" s="14"/>
      <c r="AC74" s="23"/>
      <c r="AO74" s="14"/>
      <c r="AP74" s="23"/>
      <c r="BB74" s="14"/>
      <c r="BJ74" s="23"/>
      <c r="BV74" s="14"/>
      <c r="BW74" s="23"/>
      <c r="CC74" s="14"/>
      <c r="CD74" s="23"/>
      <c r="CJ74" s="14"/>
      <c r="CK74" s="23"/>
      <c r="CN74" s="11"/>
      <c r="CO74" s="11"/>
      <c r="DA74" s="23" t="s">
        <v>253</v>
      </c>
      <c r="DC74" s="20"/>
      <c r="DE74" s="14"/>
      <c r="DF74" s="14"/>
      <c r="DH74" s="59"/>
      <c r="DL74" s="59"/>
      <c r="DW74" s="60"/>
    </row>
    <row r="75" spans="1:127" x14ac:dyDescent="0.3">
      <c r="A75" s="23"/>
      <c r="B75" s="23"/>
      <c r="H75" s="14"/>
      <c r="I75" s="23"/>
      <c r="O75" s="14"/>
      <c r="AB75" s="14"/>
      <c r="AC75" s="23"/>
      <c r="AO75" s="14"/>
      <c r="AP75" s="23"/>
      <c r="BB75" s="14"/>
      <c r="BJ75" s="23"/>
      <c r="BV75" s="14"/>
      <c r="BW75" s="23"/>
      <c r="CC75" s="14"/>
      <c r="CD75" s="23"/>
      <c r="CJ75" s="14"/>
      <c r="CK75" s="23"/>
      <c r="CL75" s="11"/>
      <c r="CM75" s="17"/>
      <c r="DA75" s="23"/>
      <c r="DB75" s="83" t="s">
        <v>136</v>
      </c>
      <c r="DC75" s="20"/>
      <c r="DE75" s="14"/>
      <c r="DF75" s="14"/>
      <c r="DH75" s="59"/>
      <c r="DL75" s="59"/>
      <c r="DW75" s="60"/>
    </row>
    <row r="76" spans="1:127" x14ac:dyDescent="0.3">
      <c r="A76" s="23"/>
      <c r="B76" s="23"/>
      <c r="H76" s="14"/>
      <c r="I76" s="23"/>
      <c r="O76" s="14"/>
      <c r="AB76" s="14"/>
      <c r="AC76" s="23"/>
      <c r="AO76" s="14"/>
      <c r="AP76" s="23"/>
      <c r="BB76" s="14"/>
      <c r="BJ76" s="23"/>
      <c r="BV76" s="14"/>
      <c r="BW76" s="23"/>
      <c r="CC76" s="14"/>
      <c r="CD76" s="23"/>
      <c r="CJ76" s="14"/>
      <c r="CK76" s="23"/>
      <c r="DA76" s="73"/>
      <c r="DB76" s="83" t="s">
        <v>137</v>
      </c>
      <c r="DC76" s="20"/>
      <c r="DE76" s="14"/>
      <c r="DF76" s="14"/>
      <c r="DH76" s="59"/>
      <c r="DL76" s="59"/>
      <c r="DW76" s="60"/>
    </row>
    <row r="77" spans="1:127" x14ac:dyDescent="0.3">
      <c r="A77" s="23"/>
      <c r="B77" s="23"/>
      <c r="H77" s="14"/>
      <c r="I77" s="23"/>
      <c r="O77" s="14"/>
      <c r="AB77" s="14"/>
      <c r="AC77" s="23"/>
      <c r="AO77" s="14"/>
      <c r="AP77" s="23"/>
      <c r="BB77" s="14"/>
      <c r="BJ77" s="23"/>
      <c r="BV77" s="14"/>
      <c r="BW77" s="23"/>
      <c r="CC77" s="14"/>
      <c r="CD77" s="23"/>
      <c r="CJ77" s="14"/>
      <c r="CK77" s="23"/>
      <c r="DA77" s="73"/>
      <c r="DE77" s="14"/>
      <c r="DF77" s="14"/>
      <c r="DH77" s="59"/>
      <c r="DL77" s="59"/>
      <c r="DW77" s="60"/>
    </row>
    <row r="78" spans="1:127" x14ac:dyDescent="0.3">
      <c r="A78" s="23"/>
      <c r="B78" s="23"/>
      <c r="H78" s="14"/>
      <c r="I78" s="23"/>
      <c r="O78" s="14"/>
      <c r="AB78" s="14"/>
      <c r="AC78" s="23"/>
      <c r="AO78" s="14"/>
      <c r="AP78" s="23"/>
      <c r="BB78" s="14"/>
      <c r="BJ78" s="23"/>
      <c r="BV78" s="14"/>
      <c r="BW78" s="23"/>
      <c r="CC78" s="14"/>
      <c r="CD78" s="23"/>
      <c r="CJ78" s="14"/>
      <c r="CK78" s="23"/>
      <c r="DA78" s="73"/>
      <c r="DE78" s="14"/>
      <c r="DF78" s="14"/>
      <c r="DH78" s="59"/>
      <c r="DL78" s="59"/>
      <c r="DW78" s="60"/>
    </row>
    <row r="79" spans="1:127" x14ac:dyDescent="0.3">
      <c r="A79" s="23"/>
      <c r="B79" s="23"/>
      <c r="H79" s="14"/>
      <c r="I79" s="23"/>
      <c r="O79" s="14"/>
      <c r="AB79" s="14"/>
      <c r="AC79" s="23"/>
      <c r="AO79" s="14"/>
      <c r="AP79" s="23"/>
      <c r="BB79" s="14"/>
      <c r="BJ79" s="23"/>
      <c r="BV79" s="14"/>
      <c r="BW79" s="23"/>
      <c r="CC79" s="14"/>
      <c r="CD79" s="23"/>
      <c r="CJ79" s="14"/>
      <c r="CK79" s="23"/>
      <c r="CL79" s="16"/>
      <c r="DA79" s="23"/>
      <c r="DE79" s="14"/>
      <c r="DF79" s="14"/>
      <c r="DH79" s="59"/>
      <c r="DL79" s="59"/>
      <c r="DW79" s="60"/>
    </row>
    <row r="80" spans="1:127" x14ac:dyDescent="0.3">
      <c r="A80" s="23"/>
      <c r="B80" s="23"/>
      <c r="H80" s="14"/>
      <c r="I80" s="23"/>
      <c r="O80" s="14"/>
      <c r="AB80" s="14"/>
      <c r="AC80" s="23"/>
      <c r="AO80" s="14"/>
      <c r="AP80" s="23"/>
      <c r="BB80" s="14"/>
      <c r="BJ80" s="23"/>
      <c r="BV80" s="14"/>
      <c r="BW80" s="23"/>
      <c r="CC80" s="14"/>
      <c r="CD80" s="23"/>
      <c r="CJ80" s="14"/>
      <c r="CK80" s="23"/>
      <c r="DA80" s="73"/>
      <c r="DE80" s="14"/>
      <c r="DF80" s="14"/>
      <c r="DH80" s="59"/>
      <c r="DL80" s="59"/>
      <c r="DW80" s="60"/>
    </row>
    <row r="81" spans="1:127" x14ac:dyDescent="0.3">
      <c r="A81" s="23"/>
      <c r="B81" s="23"/>
      <c r="H81" s="14"/>
      <c r="I81" s="23"/>
      <c r="O81" s="14"/>
      <c r="AB81" s="14"/>
      <c r="AC81" s="23"/>
      <c r="AO81" s="14"/>
      <c r="AP81" s="23"/>
      <c r="BB81" s="14"/>
      <c r="BJ81" s="23"/>
      <c r="BV81" s="14"/>
      <c r="BW81" s="23"/>
      <c r="CC81" s="14"/>
      <c r="CD81" s="23"/>
      <c r="CJ81" s="14"/>
      <c r="CK81" s="23"/>
      <c r="DA81" s="23"/>
      <c r="DE81" s="14"/>
      <c r="DF81" s="14"/>
      <c r="DH81" s="59"/>
      <c r="DL81" s="59"/>
      <c r="DW81" s="60"/>
    </row>
    <row r="82" spans="1:127" x14ac:dyDescent="0.3">
      <c r="A82" s="23"/>
      <c r="B82" s="23"/>
      <c r="H82" s="14"/>
      <c r="I82" s="23"/>
      <c r="O82" s="14"/>
      <c r="AB82" s="14"/>
      <c r="AC82" s="23"/>
      <c r="AO82" s="14"/>
      <c r="AP82" s="23"/>
      <c r="BB82" s="14"/>
      <c r="BJ82" s="23"/>
      <c r="BV82" s="14"/>
      <c r="BW82" s="23"/>
      <c r="CC82" s="14"/>
      <c r="CD82" s="23"/>
      <c r="CJ82" s="14"/>
      <c r="CK82" s="23"/>
      <c r="DA82" s="23"/>
      <c r="DE82" s="14"/>
      <c r="DF82" s="14"/>
      <c r="DH82" s="59"/>
      <c r="DL82" s="59"/>
      <c r="DW82" s="60"/>
    </row>
    <row r="83" spans="1:127" x14ac:dyDescent="0.3">
      <c r="A83" s="23"/>
      <c r="B83" s="50"/>
      <c r="C83" s="10"/>
      <c r="D83" s="10"/>
      <c r="E83" s="10"/>
      <c r="F83" s="10"/>
      <c r="G83" s="10"/>
      <c r="H83" s="15"/>
      <c r="I83" s="50"/>
      <c r="J83" s="10"/>
      <c r="K83" s="10"/>
      <c r="L83" s="10"/>
      <c r="M83" s="10"/>
      <c r="N83" s="10"/>
      <c r="O83" s="15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5"/>
      <c r="AC83" s="5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5"/>
      <c r="AP83" s="5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5"/>
      <c r="BC83" s="10"/>
      <c r="BD83" s="10"/>
      <c r="BE83" s="10"/>
      <c r="BF83" s="10"/>
      <c r="BG83" s="10"/>
      <c r="BH83" s="10"/>
      <c r="BI83" s="10"/>
      <c r="BJ83" s="5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5"/>
      <c r="BW83" s="50"/>
      <c r="BX83" s="10"/>
      <c r="BY83" s="10"/>
      <c r="BZ83" s="10"/>
      <c r="CA83" s="10"/>
      <c r="CB83" s="10"/>
      <c r="CC83" s="15"/>
      <c r="CD83" s="50"/>
      <c r="CE83" s="10"/>
      <c r="CF83" s="10"/>
      <c r="CG83" s="10"/>
      <c r="CH83" s="10"/>
      <c r="CI83" s="10"/>
      <c r="CJ83" s="15"/>
      <c r="CK83" s="5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50"/>
      <c r="DB83" s="10"/>
      <c r="DC83" s="10"/>
      <c r="DD83" s="10"/>
      <c r="DE83" s="15"/>
      <c r="DF83" s="14"/>
      <c r="DH83" s="61"/>
      <c r="DI83" s="62"/>
      <c r="DJ83" s="62"/>
      <c r="DK83" s="62"/>
      <c r="DL83" s="61"/>
      <c r="DM83" s="62"/>
      <c r="DN83" s="62"/>
      <c r="DO83" s="62"/>
      <c r="DP83" s="62"/>
      <c r="DQ83" s="62"/>
      <c r="DR83" s="62"/>
      <c r="DS83" s="62"/>
      <c r="DT83" s="62"/>
      <c r="DU83" s="62"/>
      <c r="DV83" s="62"/>
      <c r="DW83" s="63"/>
    </row>
    <row r="84" spans="1:127" ht="13.5" customHeight="1" x14ac:dyDescent="0.3">
      <c r="A84" s="23"/>
      <c r="B84" s="25" t="s">
        <v>401</v>
      </c>
      <c r="C84" s="22"/>
      <c r="D84" s="22"/>
      <c r="E84" s="22"/>
      <c r="F84" s="22"/>
      <c r="G84" s="22"/>
      <c r="H84" s="22"/>
      <c r="I84" s="25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14"/>
      <c r="DH84" s="59"/>
      <c r="DL84" s="59"/>
      <c r="DW84" s="60"/>
    </row>
    <row r="85" spans="1:127" x14ac:dyDescent="0.3">
      <c r="A85" s="23"/>
      <c r="B85" s="23"/>
      <c r="H85" s="14"/>
      <c r="I85" s="23"/>
      <c r="O85" s="14"/>
      <c r="AB85" s="14"/>
      <c r="AC85" s="23"/>
      <c r="AO85" s="14"/>
      <c r="AP85" s="23"/>
      <c r="BB85" s="14"/>
      <c r="BJ85" s="23"/>
      <c r="BV85" s="14"/>
      <c r="BW85" s="47"/>
      <c r="BX85" s="48"/>
      <c r="BY85" s="48"/>
      <c r="BZ85" s="48"/>
      <c r="CA85" s="48"/>
      <c r="CB85" s="48"/>
      <c r="CC85" s="49"/>
      <c r="CD85" s="47"/>
      <c r="CE85" s="48"/>
      <c r="CF85" s="48"/>
      <c r="CG85" s="48"/>
      <c r="CH85" s="48"/>
      <c r="CI85" s="48"/>
      <c r="CJ85" s="49"/>
      <c r="CK85" s="23"/>
      <c r="CL85" s="8" t="s">
        <v>402</v>
      </c>
      <c r="DA85" s="47"/>
      <c r="DB85" s="48"/>
      <c r="DC85" s="48"/>
      <c r="DD85" s="48"/>
      <c r="DE85" s="49"/>
      <c r="DF85" s="14"/>
      <c r="DH85" s="59"/>
      <c r="DL85" s="59"/>
      <c r="DW85" s="60"/>
    </row>
    <row r="86" spans="1:127" x14ac:dyDescent="0.3">
      <c r="A86" s="23"/>
      <c r="B86" s="23"/>
      <c r="H86" s="14"/>
      <c r="I86" s="23"/>
      <c r="O86" s="14"/>
      <c r="AB86" s="14"/>
      <c r="AC86" s="23"/>
      <c r="AO86" s="14"/>
      <c r="AP86" s="23"/>
      <c r="BB86" s="14"/>
      <c r="BJ86" s="23"/>
      <c r="BV86" s="14"/>
      <c r="BW86" s="23"/>
      <c r="CC86" s="14"/>
      <c r="CD86" s="23"/>
      <c r="CJ86" s="14"/>
      <c r="CK86" s="23"/>
      <c r="DA86" s="23"/>
      <c r="DE86" s="14"/>
      <c r="DF86" s="14"/>
      <c r="DH86" s="59"/>
      <c r="DL86" s="59"/>
      <c r="DW86" s="60"/>
    </row>
    <row r="87" spans="1:127" x14ac:dyDescent="0.3">
      <c r="A87" s="23"/>
      <c r="B87" s="23"/>
      <c r="H87" s="14"/>
      <c r="I87" s="23"/>
      <c r="O87" s="14"/>
      <c r="AB87" s="14"/>
      <c r="AC87" s="23"/>
      <c r="AO87" s="14"/>
      <c r="AP87" s="23"/>
      <c r="BB87" s="14"/>
      <c r="BJ87" s="23"/>
      <c r="BV87" s="14"/>
      <c r="BW87" s="23"/>
      <c r="CC87" s="14"/>
      <c r="CD87" s="23"/>
      <c r="CJ87" s="14"/>
      <c r="CK87" s="23"/>
      <c r="DA87" s="23"/>
      <c r="DE87" s="14"/>
      <c r="DF87" s="14"/>
      <c r="DH87" s="59"/>
      <c r="DL87" s="59"/>
      <c r="DW87" s="60"/>
    </row>
    <row r="88" spans="1:127" x14ac:dyDescent="0.3">
      <c r="A88" s="23"/>
      <c r="B88" s="23"/>
      <c r="H88" s="14"/>
      <c r="I88" s="23"/>
      <c r="O88" s="14"/>
      <c r="AB88" s="14"/>
      <c r="AC88" s="23"/>
      <c r="AO88" s="14"/>
      <c r="AP88" s="23"/>
      <c r="BB88" s="14"/>
      <c r="BJ88" s="23"/>
      <c r="BV88" s="14"/>
      <c r="BW88" s="23"/>
      <c r="CC88" s="14"/>
      <c r="CD88" s="23"/>
      <c r="CJ88" s="14"/>
      <c r="CK88" s="23"/>
      <c r="DA88" s="23"/>
      <c r="DE88" s="14"/>
      <c r="DF88" s="14"/>
      <c r="DH88" s="59"/>
      <c r="DL88" s="59"/>
      <c r="DW88" s="60"/>
    </row>
    <row r="89" spans="1:127" x14ac:dyDescent="0.3">
      <c r="A89" s="23"/>
      <c r="B89" s="23"/>
      <c r="H89" s="14"/>
      <c r="I89" s="23"/>
      <c r="O89" s="14"/>
      <c r="AB89" s="14"/>
      <c r="AC89" s="23"/>
      <c r="AO89" s="14"/>
      <c r="AP89" s="23"/>
      <c r="BB89" s="14"/>
      <c r="BJ89" s="23"/>
      <c r="BV89" s="14"/>
      <c r="BW89" s="23"/>
      <c r="CC89" s="14"/>
      <c r="CD89" s="23"/>
      <c r="CJ89" s="14"/>
      <c r="CK89" s="23"/>
      <c r="DA89" s="23"/>
      <c r="DE89" s="14"/>
      <c r="DF89" s="14"/>
      <c r="DH89" s="59"/>
      <c r="DL89" s="59"/>
      <c r="DW89" s="60"/>
    </row>
    <row r="90" spans="1:127" x14ac:dyDescent="0.3">
      <c r="A90" s="23"/>
      <c r="B90" s="23"/>
      <c r="H90" s="14"/>
      <c r="I90" s="23"/>
      <c r="O90" s="14"/>
      <c r="AB90" s="14"/>
      <c r="AC90" s="23"/>
      <c r="AO90" s="14"/>
      <c r="AP90" s="23"/>
      <c r="BB90" s="14"/>
      <c r="BJ90" s="23"/>
      <c r="BV90" s="14"/>
      <c r="BW90" s="23"/>
      <c r="CC90" s="14"/>
      <c r="CD90" s="23"/>
      <c r="CJ90" s="14"/>
      <c r="CK90" s="23"/>
      <c r="DA90" s="23"/>
      <c r="DE90" s="14"/>
      <c r="DF90" s="14"/>
      <c r="DH90" s="59"/>
      <c r="DL90" s="59"/>
      <c r="DW90" s="60"/>
    </row>
    <row r="91" spans="1:127" x14ac:dyDescent="0.3">
      <c r="A91" s="23"/>
      <c r="B91" s="23"/>
      <c r="H91" s="14"/>
      <c r="I91" s="23"/>
      <c r="O91" s="14"/>
      <c r="AB91" s="14"/>
      <c r="AC91" s="23"/>
      <c r="AO91" s="14"/>
      <c r="AP91" s="23"/>
      <c r="BB91" s="14"/>
      <c r="BJ91" s="23"/>
      <c r="BV91" s="14"/>
      <c r="BW91" s="23"/>
      <c r="CC91" s="14"/>
      <c r="CD91" s="23"/>
      <c r="CJ91" s="14"/>
      <c r="CK91" s="23"/>
      <c r="DA91" s="23"/>
      <c r="DE91" s="14"/>
      <c r="DF91" s="14"/>
      <c r="DH91" s="59"/>
      <c r="DL91" s="59"/>
      <c r="DW91" s="60"/>
    </row>
    <row r="92" spans="1:127" x14ac:dyDescent="0.3">
      <c r="A92" s="23"/>
      <c r="B92" s="23"/>
      <c r="H92" s="14"/>
      <c r="I92" s="23"/>
      <c r="O92" s="14"/>
      <c r="AB92" s="14"/>
      <c r="AC92" s="23"/>
      <c r="AO92" s="14"/>
      <c r="AP92" s="23"/>
      <c r="BB92" s="14"/>
      <c r="BJ92" s="23"/>
      <c r="BV92" s="14"/>
      <c r="BW92" s="23"/>
      <c r="CC92" s="14"/>
      <c r="CD92" s="23"/>
      <c r="CJ92" s="14"/>
      <c r="CK92" s="23"/>
      <c r="DA92" s="23"/>
      <c r="DE92" s="14"/>
      <c r="DF92" s="14"/>
      <c r="DH92" s="59"/>
      <c r="DL92" s="59"/>
      <c r="DW92" s="60"/>
    </row>
    <row r="93" spans="1:127" x14ac:dyDescent="0.3">
      <c r="A93" s="23"/>
      <c r="B93" s="23"/>
      <c r="H93" s="14"/>
      <c r="I93" s="23"/>
      <c r="O93" s="14"/>
      <c r="AB93" s="14"/>
      <c r="AC93" s="23"/>
      <c r="AO93" s="14"/>
      <c r="AP93" s="23"/>
      <c r="BB93" s="14"/>
      <c r="BJ93" s="23"/>
      <c r="BV93" s="14"/>
      <c r="BW93" s="23"/>
      <c r="CC93" s="14"/>
      <c r="CD93" s="23"/>
      <c r="CJ93" s="14"/>
      <c r="CK93" s="23"/>
      <c r="CL93" s="21" t="s">
        <v>211</v>
      </c>
      <c r="CM93" s="11"/>
      <c r="DA93" s="23"/>
      <c r="DE93" s="14"/>
      <c r="DF93" s="14"/>
      <c r="DH93" s="59"/>
      <c r="DL93" s="59"/>
      <c r="DW93" s="60"/>
    </row>
    <row r="94" spans="1:127" x14ac:dyDescent="0.3">
      <c r="A94" s="23"/>
      <c r="B94" s="23"/>
      <c r="H94" s="14"/>
      <c r="I94" s="23"/>
      <c r="O94" s="14"/>
      <c r="AB94" s="14"/>
      <c r="AC94" s="23"/>
      <c r="AO94" s="14"/>
      <c r="AP94" s="23"/>
      <c r="BB94" s="14"/>
      <c r="BJ94" s="23"/>
      <c r="BV94" s="14"/>
      <c r="BW94" s="23"/>
      <c r="CC94" s="14"/>
      <c r="CD94" s="23"/>
      <c r="CJ94" s="14"/>
      <c r="CK94" s="23"/>
      <c r="CL94" s="11"/>
      <c r="CM94" s="8" t="s">
        <v>212</v>
      </c>
      <c r="DA94" s="23"/>
      <c r="DE94" s="14"/>
      <c r="DF94" s="14"/>
      <c r="DH94" s="59"/>
      <c r="DL94" s="59"/>
      <c r="DW94" s="60"/>
    </row>
    <row r="95" spans="1:127" x14ac:dyDescent="0.3">
      <c r="A95" s="23"/>
      <c r="B95" s="23"/>
      <c r="H95" s="14"/>
      <c r="I95" s="23"/>
      <c r="O95" s="14"/>
      <c r="AB95" s="14"/>
      <c r="AC95" s="23"/>
      <c r="AO95" s="14"/>
      <c r="AP95" s="23"/>
      <c r="BB95" s="14"/>
      <c r="BJ95" s="23"/>
      <c r="BV95" s="14"/>
      <c r="BW95" s="23"/>
      <c r="CC95" s="14"/>
      <c r="CD95" s="23"/>
      <c r="CJ95" s="14"/>
      <c r="CK95" s="23"/>
      <c r="CL95" s="11"/>
      <c r="DA95" s="23"/>
      <c r="DE95" s="14"/>
      <c r="DF95" s="14"/>
      <c r="DH95" s="59"/>
      <c r="DL95" s="59"/>
      <c r="DW95" s="60"/>
    </row>
    <row r="96" spans="1:127" x14ac:dyDescent="0.3">
      <c r="A96" s="23"/>
      <c r="B96" s="23"/>
      <c r="H96" s="14"/>
      <c r="I96" s="23"/>
      <c r="O96" s="14"/>
      <c r="AB96" s="14"/>
      <c r="AC96" s="23"/>
      <c r="AO96" s="14"/>
      <c r="AP96" s="23"/>
      <c r="BB96" s="14"/>
      <c r="BJ96" s="23"/>
      <c r="BV96" s="14"/>
      <c r="BW96" s="23"/>
      <c r="CC96" s="14"/>
      <c r="CD96" s="23"/>
      <c r="CJ96" s="14"/>
      <c r="CK96" s="23"/>
      <c r="CL96" s="11"/>
      <c r="DA96" s="23"/>
      <c r="DE96" s="14"/>
      <c r="DF96" s="14"/>
      <c r="DH96" s="59"/>
      <c r="DL96" s="59"/>
      <c r="DW96" s="60"/>
    </row>
    <row r="97" spans="1:127" x14ac:dyDescent="0.3">
      <c r="A97" s="23"/>
      <c r="B97" s="23"/>
      <c r="H97" s="14"/>
      <c r="I97" s="23"/>
      <c r="O97" s="14"/>
      <c r="AB97" s="14"/>
      <c r="AC97" s="23"/>
      <c r="AO97" s="14"/>
      <c r="AP97" s="23"/>
      <c r="BB97" s="14"/>
      <c r="BJ97" s="23"/>
      <c r="BV97" s="14"/>
      <c r="BW97" s="23"/>
      <c r="CC97" s="14"/>
      <c r="CD97" s="23"/>
      <c r="CJ97" s="14"/>
      <c r="CK97" s="23"/>
      <c r="CL97" s="11"/>
      <c r="CM97" s="11"/>
      <c r="CN97" s="11"/>
      <c r="CO97" s="11"/>
      <c r="DA97" s="23"/>
      <c r="DE97" s="14"/>
      <c r="DF97" s="14"/>
      <c r="DH97" s="59"/>
      <c r="DL97" s="59"/>
      <c r="DW97" s="60"/>
    </row>
    <row r="98" spans="1:127" x14ac:dyDescent="0.3">
      <c r="A98" s="23"/>
      <c r="B98" s="23"/>
      <c r="H98" s="14"/>
      <c r="I98" s="23"/>
      <c r="O98" s="14"/>
      <c r="AB98" s="14"/>
      <c r="AC98" s="23"/>
      <c r="AO98" s="14"/>
      <c r="AP98" s="23"/>
      <c r="BB98" s="14"/>
      <c r="BJ98" s="23"/>
      <c r="BV98" s="14"/>
      <c r="BW98" s="23"/>
      <c r="CC98" s="14"/>
      <c r="CD98" s="23"/>
      <c r="CJ98" s="14"/>
      <c r="CK98" s="23"/>
      <c r="CL98" s="16" t="s">
        <v>403</v>
      </c>
      <c r="DA98" s="23"/>
      <c r="DE98" s="14"/>
      <c r="DF98" s="14"/>
      <c r="DH98" s="59"/>
      <c r="DL98" s="59"/>
      <c r="DW98" s="60"/>
    </row>
    <row r="99" spans="1:127" x14ac:dyDescent="0.3">
      <c r="A99" s="23"/>
      <c r="B99" s="23"/>
      <c r="H99" s="14"/>
      <c r="I99" s="23"/>
      <c r="O99" s="14"/>
      <c r="AB99" s="14"/>
      <c r="AC99" s="23"/>
      <c r="AO99" s="14"/>
      <c r="AP99" s="23"/>
      <c r="BB99" s="14"/>
      <c r="BJ99" s="23"/>
      <c r="BV99" s="14"/>
      <c r="BW99" s="23"/>
      <c r="CC99" s="14"/>
      <c r="CD99" s="23"/>
      <c r="CJ99" s="14"/>
      <c r="CK99" s="23"/>
      <c r="CM99" s="8" t="s">
        <v>404</v>
      </c>
      <c r="DA99" s="23"/>
      <c r="DE99" s="14"/>
      <c r="DF99" s="14"/>
      <c r="DH99" s="59"/>
      <c r="DL99" s="59"/>
      <c r="DW99" s="60"/>
    </row>
    <row r="100" spans="1:127" x14ac:dyDescent="0.3">
      <c r="A100" s="23"/>
      <c r="B100" s="23"/>
      <c r="H100" s="14"/>
      <c r="I100" s="23"/>
      <c r="O100" s="14"/>
      <c r="AB100" s="14"/>
      <c r="AC100" s="23"/>
      <c r="AO100" s="14"/>
      <c r="AP100" s="23"/>
      <c r="BB100" s="14"/>
      <c r="BJ100" s="23"/>
      <c r="BV100" s="14"/>
      <c r="BW100" s="23"/>
      <c r="CC100" s="14"/>
      <c r="CD100" s="23"/>
      <c r="CJ100" s="14"/>
      <c r="CK100" s="23"/>
      <c r="CM100" s="8" t="s">
        <v>405</v>
      </c>
      <c r="DA100" s="23"/>
      <c r="DE100" s="14"/>
      <c r="DF100" s="14"/>
      <c r="DH100" s="59"/>
      <c r="DL100" s="59"/>
      <c r="DW100" s="60"/>
    </row>
    <row r="101" spans="1:127" x14ac:dyDescent="0.3">
      <c r="A101" s="23"/>
      <c r="B101" s="23"/>
      <c r="H101" s="14"/>
      <c r="I101" s="23"/>
      <c r="O101" s="14"/>
      <c r="AB101" s="14"/>
      <c r="AC101" s="23"/>
      <c r="AO101" s="14"/>
      <c r="AP101" s="23"/>
      <c r="BB101" s="14"/>
      <c r="BJ101" s="23"/>
      <c r="BV101" s="14"/>
      <c r="BW101" s="23"/>
      <c r="CC101" s="14"/>
      <c r="CD101" s="23"/>
      <c r="CJ101" s="14"/>
      <c r="CK101" s="23"/>
      <c r="CM101" s="83" t="s">
        <v>406</v>
      </c>
      <c r="DA101" s="23"/>
      <c r="DE101" s="14"/>
      <c r="DF101" s="14"/>
      <c r="DH101" s="59"/>
      <c r="DL101" s="59"/>
      <c r="DW101" s="60"/>
    </row>
    <row r="102" spans="1:127" x14ac:dyDescent="0.3">
      <c r="A102" s="23"/>
      <c r="B102" s="23"/>
      <c r="H102" s="14"/>
      <c r="I102" s="23"/>
      <c r="O102" s="14"/>
      <c r="AB102" s="14"/>
      <c r="AC102" s="23"/>
      <c r="AO102" s="14"/>
      <c r="AP102" s="23"/>
      <c r="BB102" s="14"/>
      <c r="BJ102" s="23"/>
      <c r="BV102" s="14"/>
      <c r="BW102" s="23"/>
      <c r="CC102" s="14"/>
      <c r="CD102" s="23"/>
      <c r="CJ102" s="14"/>
      <c r="CK102" s="23"/>
      <c r="DA102" s="23"/>
      <c r="DE102" s="14"/>
      <c r="DF102" s="14"/>
      <c r="DH102" s="59"/>
      <c r="DL102" s="59"/>
      <c r="DW102" s="60"/>
    </row>
    <row r="103" spans="1:127" x14ac:dyDescent="0.3">
      <c r="A103" s="23"/>
      <c r="B103" s="23"/>
      <c r="H103" s="14"/>
      <c r="I103" s="23"/>
      <c r="O103" s="14"/>
      <c r="AB103" s="14"/>
      <c r="AC103" s="23"/>
      <c r="AO103" s="14"/>
      <c r="AP103" s="23"/>
      <c r="BB103" s="14"/>
      <c r="BJ103" s="23"/>
      <c r="BV103" s="14"/>
      <c r="BW103" s="23"/>
      <c r="CC103" s="14"/>
      <c r="CD103" s="23"/>
      <c r="CJ103" s="14"/>
      <c r="CK103" s="23"/>
      <c r="CM103" s="8" t="s">
        <v>407</v>
      </c>
      <c r="DA103" s="23"/>
      <c r="DE103" s="14"/>
      <c r="DF103" s="14"/>
      <c r="DH103" s="59"/>
      <c r="DL103" s="59"/>
      <c r="DW103" s="60"/>
    </row>
    <row r="104" spans="1:127" x14ac:dyDescent="0.3">
      <c r="A104" s="23"/>
      <c r="B104" s="23"/>
      <c r="H104" s="14"/>
      <c r="I104" s="23"/>
      <c r="O104" s="14"/>
      <c r="AB104" s="14"/>
      <c r="AC104" s="23"/>
      <c r="AO104" s="14"/>
      <c r="AP104" s="23"/>
      <c r="BB104" s="14"/>
      <c r="BJ104" s="23"/>
      <c r="BV104" s="14"/>
      <c r="BW104" s="23"/>
      <c r="CC104" s="14"/>
      <c r="CD104" s="23"/>
      <c r="CJ104" s="14"/>
      <c r="CK104" s="23"/>
      <c r="CM104" s="11"/>
      <c r="CN104" s="8" t="s">
        <v>408</v>
      </c>
      <c r="DA104" s="23"/>
      <c r="DE104" s="14"/>
      <c r="DF104" s="14"/>
      <c r="DH104" s="59"/>
      <c r="DL104" s="59"/>
      <c r="DW104" s="60"/>
    </row>
    <row r="105" spans="1:127" x14ac:dyDescent="0.3">
      <c r="A105" s="23"/>
      <c r="B105" s="23"/>
      <c r="H105" s="14"/>
      <c r="I105" s="23"/>
      <c r="O105" s="14"/>
      <c r="AB105" s="14"/>
      <c r="AC105" s="23"/>
      <c r="AO105" s="14"/>
      <c r="AP105" s="23"/>
      <c r="BB105" s="14"/>
      <c r="BJ105" s="23"/>
      <c r="BV105" s="14"/>
      <c r="BW105" s="23"/>
      <c r="CC105" s="14"/>
      <c r="CD105" s="23"/>
      <c r="CJ105" s="14"/>
      <c r="CK105" s="23"/>
      <c r="CN105" s="8" t="s">
        <v>409</v>
      </c>
      <c r="DA105" s="23"/>
      <c r="DE105" s="14"/>
      <c r="DF105" s="14"/>
      <c r="DH105" s="59"/>
      <c r="DL105" s="59"/>
      <c r="DW105" s="60"/>
    </row>
    <row r="106" spans="1:127" x14ac:dyDescent="0.3">
      <c r="A106" s="23"/>
      <c r="B106" s="23"/>
      <c r="H106" s="14"/>
      <c r="I106" s="23"/>
      <c r="O106" s="14"/>
      <c r="AB106" s="14"/>
      <c r="AC106" s="23"/>
      <c r="AO106" s="14"/>
      <c r="AP106" s="23"/>
      <c r="BB106" s="14"/>
      <c r="BJ106" s="23"/>
      <c r="BV106" s="14"/>
      <c r="BW106" s="23"/>
      <c r="CC106" s="14"/>
      <c r="CD106" s="23"/>
      <c r="CJ106" s="14"/>
      <c r="CK106" s="23"/>
      <c r="CN106" s="8" t="s">
        <v>410</v>
      </c>
      <c r="DA106" s="23"/>
      <c r="DE106" s="14"/>
      <c r="DF106" s="14"/>
      <c r="DH106" s="59"/>
      <c r="DL106" s="59"/>
      <c r="DW106" s="60"/>
    </row>
    <row r="107" spans="1:127" x14ac:dyDescent="0.3">
      <c r="A107" s="23"/>
      <c r="B107" s="23"/>
      <c r="H107" s="14"/>
      <c r="I107" s="23"/>
      <c r="O107" s="14"/>
      <c r="AB107" s="14"/>
      <c r="AC107" s="23"/>
      <c r="AO107" s="14"/>
      <c r="AP107" s="23"/>
      <c r="BB107" s="14"/>
      <c r="BJ107" s="23"/>
      <c r="BV107" s="14"/>
      <c r="BW107" s="23"/>
      <c r="CC107" s="14"/>
      <c r="CD107" s="23"/>
      <c r="CJ107" s="14"/>
      <c r="CK107" s="23"/>
      <c r="DA107" s="23"/>
      <c r="DE107" s="14"/>
      <c r="DF107" s="14"/>
      <c r="DH107" s="59"/>
      <c r="DL107" s="59"/>
      <c r="DW107" s="60"/>
    </row>
    <row r="108" spans="1:127" x14ac:dyDescent="0.3">
      <c r="A108" s="23"/>
      <c r="B108" s="23"/>
      <c r="H108" s="14"/>
      <c r="I108" s="23"/>
      <c r="O108" s="14"/>
      <c r="AB108" s="14"/>
      <c r="AC108" s="23"/>
      <c r="AO108" s="14"/>
      <c r="AP108" s="23"/>
      <c r="BB108" s="14"/>
      <c r="BJ108" s="23"/>
      <c r="BV108" s="14"/>
      <c r="BW108" s="23"/>
      <c r="CC108" s="14"/>
      <c r="CD108" s="23"/>
      <c r="CJ108" s="14"/>
      <c r="CK108" s="23"/>
      <c r="DA108" s="23"/>
      <c r="DE108" s="14"/>
      <c r="DF108" s="14"/>
      <c r="DH108" s="59"/>
      <c r="DL108" s="59"/>
      <c r="DW108" s="60"/>
    </row>
    <row r="109" spans="1:127" x14ac:dyDescent="0.3">
      <c r="A109" s="23"/>
      <c r="B109" s="23"/>
      <c r="H109" s="14"/>
      <c r="I109" s="23"/>
      <c r="O109" s="14"/>
      <c r="AB109" s="14"/>
      <c r="AC109" s="23"/>
      <c r="AO109" s="14"/>
      <c r="AP109" s="23"/>
      <c r="BB109" s="14"/>
      <c r="BJ109" s="23"/>
      <c r="BV109" s="14"/>
      <c r="BW109" s="23"/>
      <c r="CC109" s="14"/>
      <c r="CD109" s="23"/>
      <c r="CJ109" s="14"/>
      <c r="CK109" s="23"/>
      <c r="CL109" s="16" t="s">
        <v>411</v>
      </c>
      <c r="CM109"/>
      <c r="DA109" s="23"/>
      <c r="DE109" s="14"/>
      <c r="DF109" s="14"/>
      <c r="DH109" s="59"/>
      <c r="DL109" s="59"/>
      <c r="DW109" s="60"/>
    </row>
    <row r="110" spans="1:127" x14ac:dyDescent="0.3">
      <c r="A110" s="23"/>
      <c r="B110" s="23"/>
      <c r="H110" s="14"/>
      <c r="I110" s="23"/>
      <c r="O110" s="14"/>
      <c r="AB110" s="14"/>
      <c r="AC110" s="23"/>
      <c r="AO110" s="14"/>
      <c r="AP110" s="23"/>
      <c r="BB110" s="14"/>
      <c r="BJ110" s="23"/>
      <c r="BV110" s="14"/>
      <c r="BW110" s="23"/>
      <c r="CC110" s="14"/>
      <c r="CD110" s="23"/>
      <c r="CJ110" s="14"/>
      <c r="CK110" s="23"/>
      <c r="CL110"/>
      <c r="CM110" s="8" t="s">
        <v>169</v>
      </c>
      <c r="DA110" s="23"/>
      <c r="DE110" s="14"/>
      <c r="DF110" s="14"/>
      <c r="DH110" s="59"/>
      <c r="DL110" s="59"/>
      <c r="DW110" s="60"/>
    </row>
    <row r="111" spans="1:127" x14ac:dyDescent="0.3">
      <c r="A111" s="23"/>
      <c r="B111" s="23"/>
      <c r="H111" s="14"/>
      <c r="I111" s="23"/>
      <c r="O111" s="14"/>
      <c r="AB111" s="14"/>
      <c r="AC111" s="23"/>
      <c r="AO111" s="14"/>
      <c r="AP111" s="23"/>
      <c r="BB111" s="14"/>
      <c r="BJ111" s="23"/>
      <c r="BV111" s="14"/>
      <c r="BW111" s="23"/>
      <c r="CC111" s="14"/>
      <c r="CD111" s="23"/>
      <c r="CJ111" s="14"/>
      <c r="CK111" s="23"/>
      <c r="CL111"/>
      <c r="DA111" s="23"/>
      <c r="DE111" s="14"/>
      <c r="DF111" s="14"/>
      <c r="DH111" s="59"/>
      <c r="DL111" s="59"/>
      <c r="DW111" s="60"/>
    </row>
    <row r="112" spans="1:127" x14ac:dyDescent="0.3">
      <c r="A112" s="23"/>
      <c r="B112" s="23"/>
      <c r="H112" s="14"/>
      <c r="I112" s="23"/>
      <c r="O112" s="14"/>
      <c r="AB112" s="14"/>
      <c r="AC112" s="23"/>
      <c r="AO112" s="14"/>
      <c r="AP112" s="23"/>
      <c r="BB112" s="14"/>
      <c r="BJ112" s="23"/>
      <c r="BV112" s="14"/>
      <c r="BW112" s="23"/>
      <c r="CC112" s="14"/>
      <c r="CD112" s="23"/>
      <c r="CJ112" s="14"/>
      <c r="CK112" s="23"/>
      <c r="DA112" s="23"/>
      <c r="DE112" s="14"/>
      <c r="DF112" s="14"/>
      <c r="DH112" s="59"/>
      <c r="DL112" s="59"/>
      <c r="DW112" s="60"/>
    </row>
    <row r="113" spans="1:127" x14ac:dyDescent="0.3">
      <c r="A113" s="23"/>
      <c r="B113" s="23"/>
      <c r="H113" s="14"/>
      <c r="I113" s="23"/>
      <c r="O113" s="14"/>
      <c r="AB113" s="14"/>
      <c r="AC113" s="23"/>
      <c r="AO113" s="14"/>
      <c r="AP113" s="23"/>
      <c r="BB113" s="14"/>
      <c r="BJ113" s="23"/>
      <c r="BV113" s="14"/>
      <c r="BW113" s="23"/>
      <c r="CC113" s="14"/>
      <c r="CD113" s="23"/>
      <c r="CJ113" s="14"/>
      <c r="CK113" s="23"/>
      <c r="DA113" s="23"/>
      <c r="DE113" s="14"/>
      <c r="DF113" s="14"/>
      <c r="DH113" s="59"/>
      <c r="DL113" s="59"/>
      <c r="DW113" s="60"/>
    </row>
    <row r="114" spans="1:127" x14ac:dyDescent="0.3">
      <c r="A114" s="23"/>
      <c r="B114" s="23"/>
      <c r="H114" s="14"/>
      <c r="I114" s="23"/>
      <c r="O114" s="14"/>
      <c r="AB114" s="14"/>
      <c r="AC114" s="23"/>
      <c r="AO114" s="14"/>
      <c r="AP114" s="23"/>
      <c r="BB114" s="14"/>
      <c r="BJ114" s="23"/>
      <c r="BV114" s="14"/>
      <c r="BW114" s="23"/>
      <c r="CC114" s="14"/>
      <c r="CD114" s="23"/>
      <c r="CJ114" s="14"/>
      <c r="CK114" s="23"/>
      <c r="CL114" s="16" t="s">
        <v>412</v>
      </c>
      <c r="CM114"/>
      <c r="DA114" s="23"/>
      <c r="DE114" s="14"/>
      <c r="DF114" s="14"/>
      <c r="DH114" s="59"/>
      <c r="DL114" s="59"/>
      <c r="DW114" s="60"/>
    </row>
    <row r="115" spans="1:127" x14ac:dyDescent="0.3">
      <c r="A115" s="23"/>
      <c r="B115" s="23"/>
      <c r="H115" s="14"/>
      <c r="I115" s="23"/>
      <c r="O115" s="14"/>
      <c r="AB115" s="14"/>
      <c r="AC115" s="23"/>
      <c r="AO115" s="14"/>
      <c r="AP115" s="23"/>
      <c r="BB115" s="14"/>
      <c r="BJ115" s="23"/>
      <c r="BV115" s="14"/>
      <c r="BW115" s="23"/>
      <c r="CC115" s="14"/>
      <c r="CD115" s="23"/>
      <c r="CJ115" s="14"/>
      <c r="CK115" s="23"/>
      <c r="CL115"/>
      <c r="CM115" s="8" t="s">
        <v>171</v>
      </c>
      <c r="DA115" s="23"/>
      <c r="DE115" s="14"/>
      <c r="DF115" s="14"/>
      <c r="DH115" s="59"/>
      <c r="DL115" s="59"/>
      <c r="DW115" s="60"/>
    </row>
    <row r="116" spans="1:127" x14ac:dyDescent="0.3">
      <c r="A116" s="23"/>
      <c r="B116" s="23"/>
      <c r="H116" s="14"/>
      <c r="I116" s="23"/>
      <c r="O116" s="14"/>
      <c r="AB116" s="14"/>
      <c r="AC116" s="23"/>
      <c r="AO116" s="14"/>
      <c r="AP116" s="23"/>
      <c r="BB116" s="14"/>
      <c r="BJ116" s="23"/>
      <c r="BV116" s="14"/>
      <c r="BW116" s="23"/>
      <c r="CC116" s="14"/>
      <c r="CD116" s="23"/>
      <c r="CJ116" s="14"/>
      <c r="CK116" s="23"/>
      <c r="CL116"/>
      <c r="DA116" s="23"/>
      <c r="DE116" s="14"/>
      <c r="DF116" s="14"/>
      <c r="DH116" s="59"/>
      <c r="DL116" s="59"/>
      <c r="DW116" s="60"/>
    </row>
    <row r="117" spans="1:127" x14ac:dyDescent="0.3">
      <c r="A117" s="23"/>
      <c r="B117" s="23"/>
      <c r="H117" s="14"/>
      <c r="I117" s="23"/>
      <c r="O117" s="14"/>
      <c r="AB117" s="14"/>
      <c r="AC117" s="23"/>
      <c r="AO117" s="14"/>
      <c r="AP117" s="23"/>
      <c r="BB117" s="14"/>
      <c r="BJ117" s="23"/>
      <c r="BV117" s="14"/>
      <c r="BW117" s="23"/>
      <c r="CC117" s="14"/>
      <c r="CD117" s="23"/>
      <c r="CJ117" s="14"/>
      <c r="CK117" s="23"/>
      <c r="DA117" s="23"/>
      <c r="DE117" s="14"/>
      <c r="DF117" s="14"/>
      <c r="DH117" s="59"/>
      <c r="DL117" s="59"/>
      <c r="DW117" s="60"/>
    </row>
    <row r="118" spans="1:127" x14ac:dyDescent="0.3">
      <c r="A118" s="23"/>
      <c r="B118" s="23"/>
      <c r="H118" s="14"/>
      <c r="I118" s="23"/>
      <c r="O118" s="14"/>
      <c r="AB118" s="14"/>
      <c r="AC118" s="23"/>
      <c r="AO118" s="14"/>
      <c r="AP118" s="23"/>
      <c r="BB118" s="14"/>
      <c r="BJ118" s="23"/>
      <c r="BV118" s="14"/>
      <c r="BW118" s="23"/>
      <c r="CC118" s="14"/>
      <c r="CD118" s="23"/>
      <c r="CJ118" s="14"/>
      <c r="CK118" s="23"/>
      <c r="DA118" s="23"/>
      <c r="DE118" s="14"/>
      <c r="DF118" s="14"/>
      <c r="DH118" s="59"/>
      <c r="DL118" s="59"/>
      <c r="DW118" s="60"/>
    </row>
    <row r="119" spans="1:127" x14ac:dyDescent="0.3">
      <c r="A119" s="23"/>
      <c r="B119" s="23"/>
      <c r="H119" s="14"/>
      <c r="I119" s="23"/>
      <c r="O119" s="14"/>
      <c r="AB119" s="14"/>
      <c r="AC119" s="23"/>
      <c r="AO119" s="14"/>
      <c r="AP119" s="23"/>
      <c r="BB119" s="14"/>
      <c r="BJ119" s="23"/>
      <c r="BV119" s="14"/>
      <c r="BW119" s="23"/>
      <c r="CC119" s="14"/>
      <c r="CD119" s="23"/>
      <c r="CJ119" s="14"/>
      <c r="CK119" s="23"/>
      <c r="DA119" s="23"/>
      <c r="DE119" s="14"/>
      <c r="DF119" s="14"/>
      <c r="DH119" s="59"/>
      <c r="DL119" s="59"/>
      <c r="DW119" s="60"/>
    </row>
    <row r="120" spans="1:127" x14ac:dyDescent="0.3">
      <c r="A120" s="23"/>
      <c r="B120" s="23"/>
      <c r="H120" s="14"/>
      <c r="I120" s="23"/>
      <c r="O120" s="14"/>
      <c r="AB120" s="14"/>
      <c r="AC120" s="23"/>
      <c r="AO120" s="14"/>
      <c r="AP120" s="23"/>
      <c r="BB120" s="14"/>
      <c r="BJ120" s="23"/>
      <c r="BV120" s="14"/>
      <c r="BW120" s="23"/>
      <c r="CC120" s="14"/>
      <c r="CD120" s="23"/>
      <c r="CJ120" s="14"/>
      <c r="CK120" s="23"/>
      <c r="CL120" s="16" t="s">
        <v>413</v>
      </c>
      <c r="DA120" s="23"/>
      <c r="DE120" s="14"/>
      <c r="DF120" s="14"/>
      <c r="DH120" s="59"/>
      <c r="DL120" s="59"/>
      <c r="DW120" s="60"/>
    </row>
    <row r="121" spans="1:127" x14ac:dyDescent="0.3">
      <c r="A121" s="23"/>
      <c r="B121" s="23"/>
      <c r="H121" s="14"/>
      <c r="I121" s="23"/>
      <c r="O121" s="14"/>
      <c r="AB121" s="14"/>
      <c r="AC121" s="23"/>
      <c r="AO121" s="14"/>
      <c r="AP121" s="23"/>
      <c r="BB121" s="14"/>
      <c r="BJ121" s="23"/>
      <c r="BV121" s="14"/>
      <c r="BW121" s="23"/>
      <c r="CC121" s="14"/>
      <c r="CD121" s="23"/>
      <c r="CJ121" s="14"/>
      <c r="CK121" s="23"/>
      <c r="CM121" s="8" t="s">
        <v>173</v>
      </c>
      <c r="DA121" s="23"/>
      <c r="DE121" s="14"/>
      <c r="DF121" s="14"/>
      <c r="DH121" s="59"/>
      <c r="DL121" s="59"/>
      <c r="DW121" s="60"/>
    </row>
    <row r="122" spans="1:127" x14ac:dyDescent="0.3">
      <c r="A122" s="23"/>
      <c r="B122" s="23"/>
      <c r="H122" s="14"/>
      <c r="I122" s="23"/>
      <c r="O122" s="14"/>
      <c r="AB122" s="14"/>
      <c r="AC122" s="23"/>
      <c r="AO122" s="14"/>
      <c r="AP122" s="23"/>
      <c r="BB122" s="14"/>
      <c r="BJ122" s="23"/>
      <c r="BV122" s="14"/>
      <c r="BW122" s="23"/>
      <c r="CC122" s="14"/>
      <c r="CD122" s="23"/>
      <c r="CJ122" s="14"/>
      <c r="CK122" s="23"/>
      <c r="CM122" s="8" t="s">
        <v>174</v>
      </c>
      <c r="DA122" s="23"/>
      <c r="DE122" s="14"/>
      <c r="DF122" s="14"/>
      <c r="DH122" s="59"/>
      <c r="DL122" s="59"/>
      <c r="DW122" s="60"/>
    </row>
    <row r="123" spans="1:127" x14ac:dyDescent="0.3">
      <c r="A123" s="23"/>
      <c r="B123" s="23"/>
      <c r="H123" s="14"/>
      <c r="I123" s="23"/>
      <c r="O123" s="14"/>
      <c r="AB123" s="14"/>
      <c r="AC123" s="23"/>
      <c r="AO123" s="14"/>
      <c r="AP123" s="23"/>
      <c r="BB123" s="14"/>
      <c r="BJ123" s="23"/>
      <c r="BV123" s="14"/>
      <c r="BW123" s="23"/>
      <c r="CC123" s="14"/>
      <c r="CD123" s="23"/>
      <c r="CJ123" s="14"/>
      <c r="CK123" s="23"/>
      <c r="DA123" s="23"/>
      <c r="DE123" s="14"/>
      <c r="DF123" s="14"/>
      <c r="DH123" s="59"/>
      <c r="DL123" s="59"/>
      <c r="DW123" s="60"/>
    </row>
    <row r="124" spans="1:127" x14ac:dyDescent="0.3">
      <c r="A124" s="23"/>
      <c r="B124" s="23"/>
      <c r="H124" s="14"/>
      <c r="I124" s="23"/>
      <c r="O124" s="14"/>
      <c r="AB124" s="14"/>
      <c r="AC124" s="23"/>
      <c r="AO124" s="14"/>
      <c r="AP124" s="23"/>
      <c r="BB124" s="14"/>
      <c r="BJ124" s="23"/>
      <c r="BV124" s="14"/>
      <c r="BW124" s="23"/>
      <c r="CC124" s="14"/>
      <c r="CD124" s="23"/>
      <c r="CJ124" s="14"/>
      <c r="CK124" s="23"/>
      <c r="DA124" s="23"/>
      <c r="DE124" s="14"/>
      <c r="DF124" s="14"/>
      <c r="DH124" s="59"/>
      <c r="DL124" s="59"/>
      <c r="DW124" s="60"/>
    </row>
    <row r="125" spans="1:127" x14ac:dyDescent="0.3">
      <c r="A125" s="23"/>
      <c r="B125" s="23"/>
      <c r="H125" s="14"/>
      <c r="I125" s="23"/>
      <c r="O125" s="14"/>
      <c r="AB125" s="14"/>
      <c r="AC125" s="23"/>
      <c r="AO125" s="14"/>
      <c r="AP125" s="23"/>
      <c r="BB125" s="14"/>
      <c r="BJ125" s="23"/>
      <c r="BV125" s="14"/>
      <c r="BW125" s="23"/>
      <c r="CC125" s="14"/>
      <c r="CD125" s="23"/>
      <c r="CJ125" s="14"/>
      <c r="CK125" s="23"/>
      <c r="DA125" s="23"/>
      <c r="DE125" s="14"/>
      <c r="DF125" s="14"/>
      <c r="DH125" s="59"/>
      <c r="DL125" s="59"/>
      <c r="DW125" s="60"/>
    </row>
    <row r="126" spans="1:127" x14ac:dyDescent="0.3">
      <c r="A126" s="23"/>
      <c r="B126" s="23"/>
      <c r="H126" s="14"/>
      <c r="I126" s="23"/>
      <c r="O126" s="14"/>
      <c r="AB126" s="14"/>
      <c r="AC126" s="23"/>
      <c r="AO126" s="14"/>
      <c r="AP126" s="23"/>
      <c r="BB126" s="14"/>
      <c r="BJ126" s="23"/>
      <c r="BV126" s="14"/>
      <c r="BW126" s="23"/>
      <c r="CC126" s="14"/>
      <c r="CD126" s="23"/>
      <c r="CJ126" s="14"/>
      <c r="CK126" s="23"/>
      <c r="DA126" s="23"/>
      <c r="DE126" s="14"/>
      <c r="DF126" s="14"/>
      <c r="DH126" s="59"/>
      <c r="DL126" s="59"/>
      <c r="DW126" s="60"/>
    </row>
    <row r="127" spans="1:127" x14ac:dyDescent="0.3">
      <c r="A127" s="23"/>
      <c r="B127" s="23"/>
      <c r="H127" s="14"/>
      <c r="I127" s="23"/>
      <c r="O127" s="14"/>
      <c r="AB127" s="14"/>
      <c r="AC127" s="23"/>
      <c r="AO127" s="14"/>
      <c r="AP127" s="23"/>
      <c r="BB127" s="14"/>
      <c r="BJ127" s="23"/>
      <c r="BV127" s="14"/>
      <c r="BW127" s="23"/>
      <c r="CC127" s="14"/>
      <c r="CD127" s="23"/>
      <c r="CJ127" s="14"/>
      <c r="CK127" s="23"/>
      <c r="DA127" s="23"/>
      <c r="DE127" s="14"/>
      <c r="DF127" s="14"/>
      <c r="DH127" s="59"/>
      <c r="DL127" s="59"/>
      <c r="DW127" s="60"/>
    </row>
    <row r="128" spans="1:127" x14ac:dyDescent="0.3">
      <c r="A128" s="23"/>
      <c r="B128" s="23"/>
      <c r="H128" s="14"/>
      <c r="I128" s="23"/>
      <c r="O128" s="14"/>
      <c r="AB128" s="14"/>
      <c r="AC128" s="23"/>
      <c r="AO128" s="14"/>
      <c r="AP128" s="23"/>
      <c r="BB128" s="14"/>
      <c r="BJ128" s="23"/>
      <c r="BV128" s="14"/>
      <c r="BW128" s="23"/>
      <c r="CC128" s="14"/>
      <c r="CD128" s="23"/>
      <c r="CJ128" s="14"/>
      <c r="CK128" s="23"/>
      <c r="DA128" s="23"/>
      <c r="DE128" s="14"/>
      <c r="DF128" s="14"/>
      <c r="DH128" s="59"/>
      <c r="DL128" s="59"/>
      <c r="DW128" s="60"/>
    </row>
    <row r="129" spans="1:127" x14ac:dyDescent="0.3">
      <c r="A129" s="23"/>
      <c r="B129" s="50"/>
      <c r="C129" s="10"/>
      <c r="D129" s="10"/>
      <c r="E129" s="10"/>
      <c r="F129" s="10"/>
      <c r="G129" s="10"/>
      <c r="H129" s="15"/>
      <c r="I129" s="50"/>
      <c r="J129" s="10"/>
      <c r="K129" s="10"/>
      <c r="L129" s="10"/>
      <c r="M129" s="10"/>
      <c r="N129" s="10"/>
      <c r="O129" s="15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5"/>
      <c r="AC129" s="5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5"/>
      <c r="AP129" s="5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5"/>
      <c r="BC129" s="10"/>
      <c r="BD129" s="10"/>
      <c r="BE129" s="10"/>
      <c r="BF129" s="10"/>
      <c r="BG129" s="10"/>
      <c r="BH129" s="10"/>
      <c r="BI129" s="10"/>
      <c r="BJ129" s="5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5"/>
      <c r="BW129" s="50"/>
      <c r="BX129" s="10"/>
      <c r="BY129" s="10"/>
      <c r="BZ129" s="10"/>
      <c r="CA129" s="10"/>
      <c r="CB129" s="10"/>
      <c r="CC129" s="15"/>
      <c r="CD129" s="50"/>
      <c r="CE129" s="10"/>
      <c r="CF129" s="10"/>
      <c r="CG129" s="10"/>
      <c r="CH129" s="10"/>
      <c r="CI129" s="10"/>
      <c r="CJ129" s="15"/>
      <c r="CK129" s="5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50"/>
      <c r="DB129" s="10"/>
      <c r="DC129" s="10"/>
      <c r="DD129" s="10"/>
      <c r="DE129" s="15"/>
      <c r="DF129" s="14"/>
      <c r="DH129" s="59"/>
      <c r="DL129" s="59"/>
      <c r="DW129" s="60"/>
    </row>
    <row r="130" spans="1:127" ht="13.5" customHeight="1" x14ac:dyDescent="0.3">
      <c r="A130" s="23"/>
      <c r="B130" s="25" t="s">
        <v>414</v>
      </c>
      <c r="C130" s="22"/>
      <c r="D130" s="22"/>
      <c r="E130" s="22"/>
      <c r="F130" s="22"/>
      <c r="G130" s="22"/>
      <c r="H130" s="22"/>
      <c r="I130" s="25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74"/>
      <c r="AP130" s="76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76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14"/>
      <c r="DH130" s="59"/>
      <c r="DL130" s="59"/>
      <c r="DW130" s="60"/>
    </row>
    <row r="131" spans="1:127" x14ac:dyDescent="0.3">
      <c r="A131" s="23"/>
      <c r="B131" s="23"/>
      <c r="H131" s="14"/>
      <c r="I131" s="23"/>
      <c r="O131" s="14"/>
      <c r="AB131" s="14"/>
      <c r="AC131" s="23"/>
      <c r="AO131" s="14"/>
      <c r="AP131" s="23"/>
      <c r="BB131" s="14"/>
      <c r="BJ131" s="23"/>
      <c r="BV131" s="14"/>
      <c r="BW131" s="47"/>
      <c r="BX131" s="48"/>
      <c r="BY131" s="48"/>
      <c r="BZ131" s="48"/>
      <c r="CA131" s="48"/>
      <c r="CB131" s="48"/>
      <c r="CC131" s="49"/>
      <c r="CD131" s="47"/>
      <c r="CE131" s="48"/>
      <c r="CF131" s="48"/>
      <c r="CG131" s="48"/>
      <c r="CH131" s="48"/>
      <c r="CI131" s="48"/>
      <c r="CJ131" s="49"/>
      <c r="CK131" s="23"/>
      <c r="DA131" s="47"/>
      <c r="DB131" s="48"/>
      <c r="DC131" s="48"/>
      <c r="DD131" s="48"/>
      <c r="DE131" s="49"/>
      <c r="DF131" s="14"/>
      <c r="DH131" s="59"/>
      <c r="DL131" s="59"/>
      <c r="DW131" s="60"/>
    </row>
    <row r="132" spans="1:127" x14ac:dyDescent="0.3">
      <c r="A132" s="23"/>
      <c r="B132" s="23"/>
      <c r="H132" s="14"/>
      <c r="I132" s="23"/>
      <c r="O132" s="14"/>
      <c r="AB132" s="14"/>
      <c r="AC132" s="23"/>
      <c r="AO132" s="14"/>
      <c r="AP132" s="23"/>
      <c r="BB132" s="14"/>
      <c r="BJ132" s="23"/>
      <c r="BV132" s="14"/>
      <c r="BW132" s="23"/>
      <c r="CC132" s="14"/>
      <c r="CD132" s="23"/>
      <c r="CJ132" s="14"/>
      <c r="CK132" s="23"/>
      <c r="DA132" s="23"/>
      <c r="DE132" s="14"/>
      <c r="DF132" s="14"/>
      <c r="DH132" s="59"/>
      <c r="DL132" s="59"/>
      <c r="DW132" s="60"/>
    </row>
    <row r="133" spans="1:127" x14ac:dyDescent="0.3">
      <c r="A133" s="23"/>
      <c r="B133" s="23"/>
      <c r="H133" s="14"/>
      <c r="I133" s="23"/>
      <c r="O133" s="14"/>
      <c r="AB133" s="14"/>
      <c r="AC133" s="23"/>
      <c r="AO133" s="14"/>
      <c r="AP133" s="23"/>
      <c r="BB133" s="14"/>
      <c r="BJ133" s="23"/>
      <c r="BV133" s="14"/>
      <c r="BW133" s="23"/>
      <c r="CC133" s="14"/>
      <c r="CD133" s="23"/>
      <c r="CJ133" s="14"/>
      <c r="CK133" s="23"/>
      <c r="DA133" s="23"/>
      <c r="DE133" s="14"/>
      <c r="DF133" s="14"/>
      <c r="DH133" s="59"/>
      <c r="DL133" s="59"/>
      <c r="DW133" s="60"/>
    </row>
    <row r="134" spans="1:127" x14ac:dyDescent="0.3">
      <c r="A134" s="23"/>
      <c r="B134" s="23"/>
      <c r="H134" s="14"/>
      <c r="I134" s="23"/>
      <c r="O134" s="14"/>
      <c r="AB134" s="14"/>
      <c r="AC134" s="23"/>
      <c r="AO134" s="14"/>
      <c r="AP134" s="23"/>
      <c r="BB134" s="14"/>
      <c r="BJ134" s="23"/>
      <c r="BV134" s="14"/>
      <c r="BW134" s="23"/>
      <c r="CC134" s="14"/>
      <c r="CD134" s="23"/>
      <c r="CJ134" s="14"/>
      <c r="CK134" s="23"/>
      <c r="DA134" s="23"/>
      <c r="DE134" s="14"/>
      <c r="DF134" s="14"/>
      <c r="DH134" s="59"/>
      <c r="DL134" s="59"/>
      <c r="DW134" s="60"/>
    </row>
    <row r="135" spans="1:127" x14ac:dyDescent="0.3">
      <c r="A135" s="23"/>
      <c r="B135" s="23"/>
      <c r="H135" s="14"/>
      <c r="I135" s="23"/>
      <c r="O135" s="14"/>
      <c r="AB135" s="14"/>
      <c r="AC135" s="23"/>
      <c r="AO135" s="14"/>
      <c r="AP135" s="23"/>
      <c r="BB135" s="14"/>
      <c r="BJ135" s="23"/>
      <c r="BV135" s="14"/>
      <c r="BW135" s="23"/>
      <c r="CC135" s="14"/>
      <c r="CD135" s="23"/>
      <c r="CJ135" s="14"/>
      <c r="CK135" s="23"/>
      <c r="DA135" s="23"/>
      <c r="DE135" s="14"/>
      <c r="DF135" s="14"/>
      <c r="DH135" s="59"/>
      <c r="DL135" s="59"/>
      <c r="DW135" s="60"/>
    </row>
    <row r="136" spans="1:127" x14ac:dyDescent="0.3">
      <c r="A136" s="23"/>
      <c r="B136" s="23"/>
      <c r="H136" s="14"/>
      <c r="I136" s="23"/>
      <c r="O136" s="14"/>
      <c r="AB136" s="14"/>
      <c r="AC136" s="23"/>
      <c r="AO136" s="14"/>
      <c r="AP136" s="23"/>
      <c r="BB136" s="14"/>
      <c r="BJ136" s="23"/>
      <c r="BV136" s="14"/>
      <c r="BW136" s="23"/>
      <c r="CC136" s="14"/>
      <c r="CD136" s="23"/>
      <c r="CJ136" s="14"/>
      <c r="CK136" s="23"/>
      <c r="DA136" s="23"/>
      <c r="DE136" s="14"/>
      <c r="DF136" s="14"/>
      <c r="DH136" s="59"/>
      <c r="DL136" s="59"/>
      <c r="DW136" s="60"/>
    </row>
    <row r="137" spans="1:127" x14ac:dyDescent="0.3">
      <c r="A137" s="23"/>
      <c r="B137" s="23"/>
      <c r="H137" s="14"/>
      <c r="I137" s="23"/>
      <c r="O137" s="14"/>
      <c r="AB137" s="14"/>
      <c r="AC137" s="23"/>
      <c r="AO137" s="14"/>
      <c r="AP137" s="23"/>
      <c r="BB137" s="14"/>
      <c r="BJ137" s="23"/>
      <c r="BV137" s="14"/>
      <c r="BW137" s="23"/>
      <c r="CC137" s="14"/>
      <c r="CD137" s="23"/>
      <c r="CJ137" s="14"/>
      <c r="CK137" s="23"/>
      <c r="DA137" s="23"/>
      <c r="DE137" s="14"/>
      <c r="DF137" s="14"/>
      <c r="DH137" s="59"/>
      <c r="DL137" s="59"/>
      <c r="DW137" s="60"/>
    </row>
    <row r="138" spans="1:127" x14ac:dyDescent="0.3">
      <c r="A138" s="23"/>
      <c r="B138" s="23"/>
      <c r="H138" s="14"/>
      <c r="I138" s="23"/>
      <c r="O138" s="14"/>
      <c r="AB138" s="14"/>
      <c r="AC138" s="23"/>
      <c r="AO138" s="14"/>
      <c r="AP138" s="23"/>
      <c r="BB138" s="14"/>
      <c r="BJ138" s="23"/>
      <c r="BV138" s="14"/>
      <c r="BW138" s="23"/>
      <c r="CC138" s="14"/>
      <c r="CD138" s="23"/>
      <c r="CJ138" s="14"/>
      <c r="CK138" s="23"/>
      <c r="CL138" s="21" t="s">
        <v>211</v>
      </c>
      <c r="CM138" s="11"/>
      <c r="DA138" s="23"/>
      <c r="DE138" s="14"/>
      <c r="DF138" s="14"/>
      <c r="DH138" s="59"/>
      <c r="DL138" s="59"/>
      <c r="DW138" s="60"/>
    </row>
    <row r="139" spans="1:127" x14ac:dyDescent="0.3">
      <c r="A139" s="23"/>
      <c r="B139" s="23"/>
      <c r="H139" s="14"/>
      <c r="I139" s="23"/>
      <c r="O139" s="14"/>
      <c r="AB139" s="14"/>
      <c r="AC139" s="23"/>
      <c r="AO139" s="14"/>
      <c r="AP139" s="23"/>
      <c r="BB139" s="14"/>
      <c r="BJ139" s="23"/>
      <c r="BV139" s="14"/>
      <c r="BW139" s="23"/>
      <c r="CC139" s="14"/>
      <c r="CD139" s="23"/>
      <c r="CJ139" s="14"/>
      <c r="CK139" s="23"/>
      <c r="CL139" s="11"/>
      <c r="CM139" s="8" t="s">
        <v>415</v>
      </c>
      <c r="DA139" s="23"/>
      <c r="DE139" s="14"/>
      <c r="DF139" s="14"/>
      <c r="DH139" s="59"/>
      <c r="DL139" s="59"/>
      <c r="DW139" s="60"/>
    </row>
    <row r="140" spans="1:127" x14ac:dyDescent="0.3">
      <c r="A140" s="23"/>
      <c r="B140" s="23"/>
      <c r="H140" s="14"/>
      <c r="I140" s="23"/>
      <c r="O140" s="14"/>
      <c r="AB140" s="14"/>
      <c r="AC140" s="23"/>
      <c r="AO140" s="14"/>
      <c r="AP140" s="23"/>
      <c r="BB140" s="14"/>
      <c r="BJ140" s="23"/>
      <c r="BV140" s="14"/>
      <c r="BW140" s="23"/>
      <c r="CC140" s="14"/>
      <c r="CD140" s="23"/>
      <c r="CJ140" s="14"/>
      <c r="CK140" s="23"/>
      <c r="CL140" s="11"/>
      <c r="DA140" s="23"/>
      <c r="DE140" s="14"/>
      <c r="DF140" s="14"/>
      <c r="DH140" s="59"/>
      <c r="DL140" s="59"/>
      <c r="DW140" s="60"/>
    </row>
    <row r="141" spans="1:127" x14ac:dyDescent="0.3">
      <c r="A141" s="23"/>
      <c r="B141" s="23"/>
      <c r="H141" s="14"/>
      <c r="I141" s="23"/>
      <c r="O141" s="14"/>
      <c r="AB141" s="14"/>
      <c r="AC141" s="23"/>
      <c r="AO141" s="14"/>
      <c r="AP141" s="23"/>
      <c r="BB141" s="14"/>
      <c r="BJ141" s="23"/>
      <c r="BV141" s="14"/>
      <c r="BW141" s="23"/>
      <c r="CC141" s="14"/>
      <c r="CD141" s="23"/>
      <c r="CJ141" s="14"/>
      <c r="CK141" s="23"/>
      <c r="CL141" s="21"/>
      <c r="CM141" s="11"/>
      <c r="CN141" s="11"/>
      <c r="CO141" s="11"/>
      <c r="CP141" s="11"/>
      <c r="CQ141" s="11"/>
      <c r="CR141" s="11"/>
      <c r="CS141" s="11"/>
      <c r="DA141" s="23"/>
      <c r="DE141" s="14"/>
      <c r="DF141" s="14"/>
      <c r="DH141" s="59"/>
      <c r="DL141" s="59"/>
      <c r="DW141" s="60"/>
    </row>
    <row r="142" spans="1:127" x14ac:dyDescent="0.3">
      <c r="A142" s="23"/>
      <c r="B142" s="23"/>
      <c r="H142" s="14"/>
      <c r="I142" s="23"/>
      <c r="O142" s="14"/>
      <c r="AB142" s="14"/>
      <c r="AC142" s="23"/>
      <c r="AO142" s="14"/>
      <c r="AP142" s="23"/>
      <c r="BB142" s="14"/>
      <c r="BJ142" s="23"/>
      <c r="BV142" s="14"/>
      <c r="BW142" s="23"/>
      <c r="CC142" s="14"/>
      <c r="CD142" s="23"/>
      <c r="CJ142" s="14"/>
      <c r="CK142" s="23"/>
      <c r="CL142" s="16" t="s">
        <v>237</v>
      </c>
      <c r="CN142" s="11"/>
      <c r="CO142" s="11"/>
      <c r="DA142" s="23"/>
      <c r="DE142" s="14"/>
      <c r="DF142" s="14"/>
      <c r="DH142" s="59"/>
      <c r="DL142" s="59"/>
      <c r="DW142" s="60"/>
    </row>
    <row r="143" spans="1:127" x14ac:dyDescent="0.3">
      <c r="A143" s="23"/>
      <c r="B143" s="23"/>
      <c r="H143" s="14"/>
      <c r="I143" s="23"/>
      <c r="O143" s="14"/>
      <c r="AB143" s="14"/>
      <c r="AC143" s="23"/>
      <c r="AO143" s="14"/>
      <c r="AP143" s="23"/>
      <c r="BB143" s="14"/>
      <c r="BJ143" s="23"/>
      <c r="BV143" s="14"/>
      <c r="BW143" s="23"/>
      <c r="CC143" s="14"/>
      <c r="CD143" s="23"/>
      <c r="CJ143" s="14"/>
      <c r="CK143" s="23"/>
      <c r="CM143" s="8" t="s">
        <v>238</v>
      </c>
      <c r="CN143" s="11"/>
      <c r="CO143" s="11"/>
      <c r="DA143" s="23"/>
      <c r="DE143" s="14"/>
      <c r="DF143" s="14"/>
      <c r="DH143" s="59"/>
      <c r="DL143" s="59"/>
      <c r="DW143" s="60"/>
    </row>
    <row r="144" spans="1:127" x14ac:dyDescent="0.3">
      <c r="A144" s="23"/>
      <c r="B144" s="23"/>
      <c r="H144" s="14"/>
      <c r="I144" s="23"/>
      <c r="O144" s="14"/>
      <c r="AB144" s="14"/>
      <c r="AC144" s="23"/>
      <c r="AO144" s="14"/>
      <c r="AP144" s="23"/>
      <c r="BB144" s="14"/>
      <c r="BJ144" s="23"/>
      <c r="BV144" s="14"/>
      <c r="BW144" s="23"/>
      <c r="CC144" s="14"/>
      <c r="CD144" s="23"/>
      <c r="CJ144" s="14"/>
      <c r="CK144" s="23"/>
      <c r="CM144" s="8" t="s">
        <v>416</v>
      </c>
      <c r="CN144" s="11"/>
      <c r="CO144" s="11"/>
      <c r="DA144" s="23"/>
      <c r="DE144" s="14"/>
      <c r="DF144" s="14"/>
      <c r="DH144" s="59"/>
      <c r="DL144" s="59"/>
      <c r="DW144" s="60"/>
    </row>
    <row r="145" spans="1:127" x14ac:dyDescent="0.3">
      <c r="A145" s="23"/>
      <c r="B145" s="23"/>
      <c r="H145" s="14"/>
      <c r="I145" s="23"/>
      <c r="O145" s="14"/>
      <c r="AB145" s="14"/>
      <c r="AC145" s="23"/>
      <c r="AO145" s="14"/>
      <c r="AP145" s="23"/>
      <c r="BB145" s="14"/>
      <c r="BJ145" s="23"/>
      <c r="BV145" s="14"/>
      <c r="BW145" s="23"/>
      <c r="CC145" s="14"/>
      <c r="CD145" s="23"/>
      <c r="CJ145" s="14"/>
      <c r="CK145" s="23"/>
      <c r="CN145" s="11"/>
      <c r="CO145" s="11"/>
      <c r="DA145" s="23" t="s">
        <v>253</v>
      </c>
      <c r="DC145" s="20"/>
      <c r="DE145" s="14"/>
      <c r="DF145" s="14"/>
      <c r="DH145" s="59"/>
      <c r="DL145" s="59"/>
      <c r="DW145" s="60"/>
    </row>
    <row r="146" spans="1:127" x14ac:dyDescent="0.3">
      <c r="A146" s="23"/>
      <c r="B146" s="23"/>
      <c r="H146" s="14"/>
      <c r="I146" s="23"/>
      <c r="O146" s="14"/>
      <c r="AB146" s="14"/>
      <c r="AC146" s="23"/>
      <c r="AO146" s="14"/>
      <c r="AP146" s="23"/>
      <c r="BB146" s="14"/>
      <c r="BJ146" s="23"/>
      <c r="BV146" s="14"/>
      <c r="BW146" s="23"/>
      <c r="CC146" s="14"/>
      <c r="CD146" s="23"/>
      <c r="CJ146" s="14"/>
      <c r="CK146" s="23"/>
      <c r="CL146" s="11"/>
      <c r="CM146" s="17"/>
      <c r="DA146" s="23"/>
      <c r="DB146" s="83" t="s">
        <v>136</v>
      </c>
      <c r="DC146" s="20"/>
      <c r="DE146" s="14"/>
      <c r="DF146" s="14"/>
      <c r="DH146" s="59"/>
      <c r="DL146" s="59"/>
      <c r="DW146" s="60"/>
    </row>
    <row r="147" spans="1:127" x14ac:dyDescent="0.3">
      <c r="A147" s="23"/>
      <c r="B147" s="23"/>
      <c r="H147" s="14"/>
      <c r="I147" s="23"/>
      <c r="O147" s="14"/>
      <c r="AB147" s="14"/>
      <c r="AC147" s="23"/>
      <c r="AO147" s="14"/>
      <c r="AP147" s="23"/>
      <c r="BB147" s="14"/>
      <c r="BJ147" s="23"/>
      <c r="BV147" s="14"/>
      <c r="BW147" s="23"/>
      <c r="CC147" s="14"/>
      <c r="CD147" s="23"/>
      <c r="CJ147" s="14"/>
      <c r="CK147" s="23"/>
      <c r="DA147" s="73"/>
      <c r="DB147" s="83" t="s">
        <v>137</v>
      </c>
      <c r="DC147" s="20"/>
      <c r="DE147" s="14"/>
      <c r="DF147" s="14"/>
      <c r="DH147" s="59"/>
      <c r="DL147" s="59"/>
      <c r="DW147" s="60"/>
    </row>
    <row r="148" spans="1:127" x14ac:dyDescent="0.3">
      <c r="A148" s="23"/>
      <c r="B148" s="23"/>
      <c r="H148" s="14"/>
      <c r="I148" s="23"/>
      <c r="O148" s="14"/>
      <c r="AB148" s="14"/>
      <c r="AC148" s="23"/>
      <c r="AO148" s="14"/>
      <c r="AP148" s="23"/>
      <c r="BB148" s="14"/>
      <c r="BJ148" s="23"/>
      <c r="BV148" s="14"/>
      <c r="BW148" s="23"/>
      <c r="CC148" s="14"/>
      <c r="CD148" s="23"/>
      <c r="CJ148" s="14"/>
      <c r="CK148" s="23"/>
      <c r="DA148" s="73"/>
      <c r="DE148" s="14"/>
      <c r="DF148" s="14"/>
      <c r="DH148" s="59"/>
      <c r="DL148" s="59"/>
      <c r="DW148" s="60"/>
    </row>
    <row r="149" spans="1:127" x14ac:dyDescent="0.3">
      <c r="A149" s="23"/>
      <c r="B149" s="23"/>
      <c r="H149" s="14"/>
      <c r="I149" s="23"/>
      <c r="O149" s="14"/>
      <c r="AB149" s="14"/>
      <c r="AC149" s="23"/>
      <c r="AO149" s="14"/>
      <c r="AP149" s="23"/>
      <c r="BB149" s="14"/>
      <c r="BJ149" s="23"/>
      <c r="BV149" s="14"/>
      <c r="BW149" s="23"/>
      <c r="CC149" s="14"/>
      <c r="CD149" s="23"/>
      <c r="CJ149" s="14"/>
      <c r="CK149" s="23"/>
      <c r="DA149" s="73"/>
      <c r="DE149" s="14"/>
      <c r="DF149" s="14"/>
      <c r="DH149" s="59"/>
      <c r="DL149" s="59"/>
      <c r="DW149" s="60"/>
    </row>
    <row r="150" spans="1:127" x14ac:dyDescent="0.3">
      <c r="A150" s="23"/>
      <c r="B150" s="23"/>
      <c r="H150" s="14"/>
      <c r="I150" s="23"/>
      <c r="O150" s="14"/>
      <c r="AB150" s="14"/>
      <c r="AC150" s="23"/>
      <c r="AO150" s="14"/>
      <c r="AP150" s="23"/>
      <c r="BB150" s="14"/>
      <c r="BJ150" s="23"/>
      <c r="BV150" s="14"/>
      <c r="BW150" s="23"/>
      <c r="CC150" s="14"/>
      <c r="CD150" s="23"/>
      <c r="CJ150" s="14"/>
      <c r="CK150" s="23"/>
      <c r="CL150" s="16"/>
      <c r="DA150" s="23"/>
      <c r="DE150" s="14"/>
      <c r="DF150" s="14"/>
      <c r="DH150" s="59"/>
      <c r="DL150" s="59"/>
      <c r="DW150" s="60"/>
    </row>
    <row r="151" spans="1:127" x14ac:dyDescent="0.3">
      <c r="A151" s="23"/>
      <c r="B151" s="23"/>
      <c r="H151" s="14"/>
      <c r="I151" s="23"/>
      <c r="O151" s="14"/>
      <c r="AB151" s="14"/>
      <c r="AC151" s="23"/>
      <c r="AO151" s="14"/>
      <c r="AP151" s="23"/>
      <c r="BB151" s="14"/>
      <c r="BJ151" s="23"/>
      <c r="BV151" s="14"/>
      <c r="BW151" s="23"/>
      <c r="CC151" s="14"/>
      <c r="CD151" s="23"/>
      <c r="CJ151" s="14"/>
      <c r="CK151" s="23"/>
      <c r="DA151" s="73"/>
      <c r="DE151" s="14"/>
      <c r="DF151" s="14"/>
      <c r="DH151" s="59"/>
      <c r="DL151" s="59"/>
      <c r="DW151" s="60"/>
    </row>
    <row r="152" spans="1:127" x14ac:dyDescent="0.3">
      <c r="A152" s="23"/>
      <c r="B152" s="23"/>
      <c r="H152" s="14"/>
      <c r="I152" s="23"/>
      <c r="O152" s="14"/>
      <c r="AB152" s="14"/>
      <c r="AC152" s="23"/>
      <c r="AO152" s="14"/>
      <c r="AP152" s="23"/>
      <c r="BB152" s="14"/>
      <c r="BJ152" s="23"/>
      <c r="BV152" s="14"/>
      <c r="BW152" s="23"/>
      <c r="CC152" s="14"/>
      <c r="CD152" s="23"/>
      <c r="CJ152" s="14"/>
      <c r="CK152" s="23"/>
      <c r="DA152" s="23"/>
      <c r="DE152" s="14"/>
      <c r="DF152" s="14"/>
      <c r="DH152" s="59"/>
      <c r="DL152" s="59"/>
      <c r="DW152" s="60"/>
    </row>
    <row r="153" spans="1:127" x14ac:dyDescent="0.3">
      <c r="A153" s="23"/>
      <c r="B153" s="23"/>
      <c r="H153" s="14"/>
      <c r="I153" s="23"/>
      <c r="O153" s="14"/>
      <c r="AB153" s="14"/>
      <c r="AC153" s="23"/>
      <c r="AO153" s="14"/>
      <c r="AP153" s="23"/>
      <c r="BB153" s="14"/>
      <c r="BJ153" s="23"/>
      <c r="BV153" s="14"/>
      <c r="BW153" s="23"/>
      <c r="CC153" s="14"/>
      <c r="CD153" s="23"/>
      <c r="CJ153" s="14"/>
      <c r="CK153" s="23"/>
      <c r="DA153" s="23"/>
      <c r="DE153" s="14"/>
      <c r="DF153" s="14"/>
      <c r="DH153" s="59"/>
      <c r="DL153" s="59"/>
      <c r="DW153" s="60"/>
    </row>
    <row r="154" spans="1:127" x14ac:dyDescent="0.3">
      <c r="A154" s="23"/>
      <c r="B154" s="50"/>
      <c r="C154" s="10"/>
      <c r="D154" s="10"/>
      <c r="E154" s="10"/>
      <c r="F154" s="10"/>
      <c r="G154" s="10"/>
      <c r="H154" s="15"/>
      <c r="I154" s="50"/>
      <c r="J154" s="10"/>
      <c r="K154" s="10"/>
      <c r="L154" s="10"/>
      <c r="M154" s="10"/>
      <c r="N154" s="10"/>
      <c r="O154" s="15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5"/>
      <c r="AC154" s="5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5"/>
      <c r="AP154" s="5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5"/>
      <c r="BC154" s="10"/>
      <c r="BD154" s="10"/>
      <c r="BE154" s="10"/>
      <c r="BF154" s="10"/>
      <c r="BG154" s="10"/>
      <c r="BH154" s="10"/>
      <c r="BI154" s="10"/>
      <c r="BJ154" s="5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5"/>
      <c r="BW154" s="50"/>
      <c r="BX154" s="10"/>
      <c r="BY154" s="10"/>
      <c r="BZ154" s="10"/>
      <c r="CA154" s="10"/>
      <c r="CB154" s="10"/>
      <c r="CC154" s="15"/>
      <c r="CD154" s="50"/>
      <c r="CE154" s="10"/>
      <c r="CF154" s="10"/>
      <c r="CG154" s="10"/>
      <c r="CH154" s="10"/>
      <c r="CI154" s="10"/>
      <c r="CJ154" s="15"/>
      <c r="CK154" s="5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50"/>
      <c r="DB154" s="10"/>
      <c r="DC154" s="10"/>
      <c r="DD154" s="10"/>
      <c r="DE154" s="15"/>
      <c r="DF154" s="14"/>
      <c r="DH154" s="61"/>
      <c r="DI154" s="62"/>
      <c r="DJ154" s="62"/>
      <c r="DK154" s="62"/>
      <c r="DL154" s="61"/>
      <c r="DM154" s="62"/>
      <c r="DN154" s="62"/>
      <c r="DO154" s="62"/>
      <c r="DP154" s="62"/>
      <c r="DQ154" s="62"/>
      <c r="DR154" s="62"/>
      <c r="DS154" s="62"/>
      <c r="DT154" s="62"/>
      <c r="DU154" s="62"/>
      <c r="DV154" s="62"/>
      <c r="DW154" s="63"/>
    </row>
    <row r="155" spans="1:127" x14ac:dyDescent="0.3">
      <c r="A155" s="23"/>
      <c r="DF155" s="14"/>
    </row>
    <row r="156" spans="1:127" x14ac:dyDescent="0.3">
      <c r="A156" s="5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5"/>
    </row>
    <row r="157" spans="1:127" x14ac:dyDescent="0.3">
      <c r="DF157" s="48"/>
    </row>
  </sheetData>
  <mergeCells count="30">
    <mergeCell ref="DA8:DE9"/>
    <mergeCell ref="DH8:DK9"/>
    <mergeCell ref="DL8:DW9"/>
    <mergeCell ref="BW9:CC9"/>
    <mergeCell ref="CD9:CJ9"/>
    <mergeCell ref="BW8:CJ8"/>
    <mergeCell ref="CK8:CZ9"/>
    <mergeCell ref="AC8:BB8"/>
    <mergeCell ref="AC9:AO9"/>
    <mergeCell ref="AP9:BB9"/>
    <mergeCell ref="AQ2:AV2"/>
    <mergeCell ref="AJ3:AK3"/>
    <mergeCell ref="AL3:AP3"/>
    <mergeCell ref="AQ3:AV3"/>
    <mergeCell ref="BJ8:BV9"/>
    <mergeCell ref="BC8:BI8"/>
    <mergeCell ref="BC9:BI9"/>
    <mergeCell ref="A1:E1"/>
    <mergeCell ref="F1:U1"/>
    <mergeCell ref="V1:AI1"/>
    <mergeCell ref="AJ1:AP1"/>
    <mergeCell ref="AQ1:AV1"/>
    <mergeCell ref="F2:U3"/>
    <mergeCell ref="V2:AI3"/>
    <mergeCell ref="AJ2:AK2"/>
    <mergeCell ref="AL2:AP2"/>
    <mergeCell ref="B8:H9"/>
    <mergeCell ref="I8:O9"/>
    <mergeCell ref="P8:AB9"/>
    <mergeCell ref="A2:E3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V26"/>
  <sheetViews>
    <sheetView showGridLines="0" zoomScaleNormal="100" workbookViewId="0">
      <pane ySplit="9" topLeftCell="A10" activePane="bottomLeft" state="frozen"/>
      <selection activeCell="BP46" sqref="BP46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56" width="2.453125" style="8"/>
    <col min="57" max="57" width="2.453125" style="8" customWidth="1"/>
    <col min="58" max="16384" width="2.453125" style="8"/>
  </cols>
  <sheetData>
    <row r="1" spans="1:74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74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9.入金消込 (未収入金)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74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74" x14ac:dyDescent="0.3">
      <c r="A4" s="23"/>
    </row>
    <row r="5" spans="1:74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74" s="11" customFormat="1" x14ac:dyDescent="0.3">
      <c r="A6" s="35" t="str">
        <f ca="1">RIGHT(CELL("filename",A1),LEN(CELL("filename",A1))-FIND("]",CELL("filename",A1)))</f>
        <v>9.入金消込 (未収入金)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36"/>
      <c r="BF6" s="8"/>
      <c r="BG6" s="8"/>
      <c r="BH6" s="8"/>
      <c r="BI6" s="8"/>
      <c r="BJ6" s="8"/>
      <c r="BK6" s="8"/>
    </row>
    <row r="7" spans="1:74" s="11" customFormat="1" x14ac:dyDescent="0.3">
      <c r="A7" s="2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BE7" s="13"/>
    </row>
    <row r="8" spans="1:74" s="11" customFormat="1" ht="14.25" customHeight="1" x14ac:dyDescent="0.3">
      <c r="A8" s="24"/>
      <c r="B8" s="225" t="s">
        <v>177</v>
      </c>
      <c r="C8" s="226"/>
      <c r="D8" s="226"/>
      <c r="E8" s="226"/>
      <c r="F8" s="226"/>
      <c r="G8" s="226"/>
      <c r="H8" s="227"/>
      <c r="I8" s="257" t="s">
        <v>285</v>
      </c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9"/>
      <c r="V8" s="222" t="s">
        <v>92</v>
      </c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4"/>
      <c r="AJ8" s="221" t="s">
        <v>110</v>
      </c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0" t="s">
        <v>112</v>
      </c>
      <c r="BA8" s="221"/>
      <c r="BB8" s="221"/>
      <c r="BC8" s="221"/>
      <c r="BD8" s="221"/>
      <c r="BE8" s="13"/>
      <c r="BG8" s="245" t="s">
        <v>118</v>
      </c>
      <c r="BH8" s="246"/>
      <c r="BI8" s="246"/>
      <c r="BJ8" s="246"/>
      <c r="BK8" s="263" t="s">
        <v>119</v>
      </c>
      <c r="BL8" s="264"/>
      <c r="BM8" s="264"/>
      <c r="BN8" s="264"/>
      <c r="BO8" s="264"/>
      <c r="BP8" s="264"/>
      <c r="BQ8" s="264"/>
      <c r="BR8" s="264"/>
      <c r="BS8" s="264"/>
      <c r="BT8" s="264"/>
      <c r="BU8" s="264"/>
      <c r="BV8" s="265"/>
    </row>
    <row r="9" spans="1:74" s="11" customFormat="1" ht="18.75" customHeight="1" x14ac:dyDescent="0.3">
      <c r="A9" s="24"/>
      <c r="B9" s="228"/>
      <c r="C9" s="229"/>
      <c r="D9" s="229"/>
      <c r="E9" s="229"/>
      <c r="F9" s="229"/>
      <c r="G9" s="229"/>
      <c r="H9" s="230"/>
      <c r="I9" s="260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2"/>
      <c r="V9" s="222" t="s">
        <v>107</v>
      </c>
      <c r="W9" s="223"/>
      <c r="X9" s="223"/>
      <c r="Y9" s="223"/>
      <c r="Z9" s="223"/>
      <c r="AA9" s="223"/>
      <c r="AB9" s="224"/>
      <c r="AC9" s="222" t="s">
        <v>109</v>
      </c>
      <c r="AD9" s="223"/>
      <c r="AE9" s="223"/>
      <c r="AF9" s="223"/>
      <c r="AG9" s="223"/>
      <c r="AH9" s="223"/>
      <c r="AI9" s="224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13"/>
      <c r="BG9" s="247"/>
      <c r="BH9" s="247"/>
      <c r="BI9" s="247"/>
      <c r="BJ9" s="247"/>
      <c r="BK9" s="266"/>
      <c r="BL9" s="267"/>
      <c r="BM9" s="267"/>
      <c r="BN9" s="267"/>
      <c r="BO9" s="267"/>
      <c r="BP9" s="267"/>
      <c r="BQ9" s="267"/>
      <c r="BR9" s="267"/>
      <c r="BS9" s="267"/>
      <c r="BT9" s="267"/>
      <c r="BU9" s="267"/>
      <c r="BV9" s="268"/>
    </row>
    <row r="10" spans="1:74" s="11" customFormat="1" x14ac:dyDescent="0.3">
      <c r="A10" s="24"/>
      <c r="B10" s="25" t="s">
        <v>267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13"/>
      <c r="BG10" s="54"/>
      <c r="BH10" s="55"/>
      <c r="BI10" s="55"/>
      <c r="BJ10" s="55"/>
      <c r="BK10" s="54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6"/>
    </row>
    <row r="11" spans="1:74" s="11" customFormat="1" ht="18" customHeight="1" x14ac:dyDescent="0.3">
      <c r="A11" s="24"/>
      <c r="B11" s="41"/>
      <c r="C11" s="42"/>
      <c r="D11" s="42"/>
      <c r="E11" s="42"/>
      <c r="F11" s="42"/>
      <c r="G11" s="42"/>
      <c r="H11" s="43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2"/>
      <c r="W11" s="42"/>
      <c r="X11" s="42"/>
      <c r="Y11" s="42"/>
      <c r="Z11" s="42"/>
      <c r="AA11" s="42"/>
      <c r="AB11" s="43"/>
      <c r="AC11" s="44"/>
      <c r="AD11" s="42"/>
      <c r="AE11" s="42"/>
      <c r="AF11" s="42"/>
      <c r="AG11" s="42"/>
      <c r="AH11" s="42"/>
      <c r="AI11" s="43"/>
      <c r="AJ11" s="44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4"/>
      <c r="BA11" s="42"/>
      <c r="BB11" s="42"/>
      <c r="BC11" s="42"/>
      <c r="BD11" s="43"/>
      <c r="BE11" s="13"/>
      <c r="BG11" s="57"/>
      <c r="BK11" s="57"/>
      <c r="BL11" s="269" t="s">
        <v>268</v>
      </c>
      <c r="BM11" s="269"/>
      <c r="BN11" s="269"/>
      <c r="BO11" s="269"/>
      <c r="BP11" s="269"/>
      <c r="BQ11" s="269"/>
      <c r="BR11" s="269"/>
      <c r="BS11" s="269"/>
      <c r="BT11" s="269"/>
      <c r="BU11" s="269"/>
      <c r="BV11" s="58"/>
    </row>
    <row r="12" spans="1:74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20"/>
      <c r="W12" s="20"/>
      <c r="X12" s="20"/>
      <c r="Y12" s="20"/>
      <c r="Z12" s="20"/>
      <c r="AA12" s="20"/>
      <c r="AB12" s="19"/>
      <c r="AC12" s="27"/>
      <c r="AD12" s="20"/>
      <c r="AE12" s="20"/>
      <c r="AF12" s="20"/>
      <c r="AG12" s="20"/>
      <c r="AH12" s="20"/>
      <c r="AI12" s="19"/>
      <c r="AJ12" s="27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7"/>
      <c r="BA12" s="20"/>
      <c r="BB12" s="20"/>
      <c r="BC12" s="20"/>
      <c r="BD12" s="19"/>
      <c r="BE12" s="13"/>
      <c r="BG12" s="57" t="s">
        <v>269</v>
      </c>
      <c r="BK12" s="57"/>
      <c r="BL12" s="269"/>
      <c r="BM12" s="269"/>
      <c r="BN12" s="269"/>
      <c r="BO12" s="269"/>
      <c r="BP12" s="269"/>
      <c r="BQ12" s="269"/>
      <c r="BR12" s="269"/>
      <c r="BS12" s="269"/>
      <c r="BT12" s="269"/>
      <c r="BU12" s="269"/>
      <c r="BV12" s="58"/>
    </row>
    <row r="13" spans="1:74" s="11" customFormat="1" ht="13.5" customHeight="1" x14ac:dyDescent="0.3">
      <c r="A13" s="24"/>
      <c r="B13" s="26"/>
      <c r="C13" s="20"/>
      <c r="D13" s="20"/>
      <c r="E13" s="20"/>
      <c r="F13" s="20"/>
      <c r="G13" s="2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20"/>
      <c r="W13" s="20"/>
      <c r="X13" s="20"/>
      <c r="Y13" s="20"/>
      <c r="Z13" s="20"/>
      <c r="AA13" s="20"/>
      <c r="AB13" s="19"/>
      <c r="AC13" s="27"/>
      <c r="AD13" s="20"/>
      <c r="AE13" s="20"/>
      <c r="AF13" s="20"/>
      <c r="AG13" s="20"/>
      <c r="AH13" s="20"/>
      <c r="AI13" s="19"/>
      <c r="AJ13" s="27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7"/>
      <c r="BA13" s="20"/>
      <c r="BB13" s="20"/>
      <c r="BC13" s="20"/>
      <c r="BD13" s="19"/>
      <c r="BE13" s="13"/>
      <c r="BG13" s="57" t="s">
        <v>270</v>
      </c>
      <c r="BK13" s="57"/>
      <c r="BL13" s="269"/>
      <c r="BM13" s="269"/>
      <c r="BN13" s="269"/>
      <c r="BO13" s="269"/>
      <c r="BP13" s="269"/>
      <c r="BQ13" s="269"/>
      <c r="BR13" s="269"/>
      <c r="BS13" s="269"/>
      <c r="BT13" s="269"/>
      <c r="BU13" s="269"/>
      <c r="BV13" s="58"/>
    </row>
    <row r="14" spans="1:74" s="11" customFormat="1" ht="13.5" customHeight="1" x14ac:dyDescent="0.3">
      <c r="A14" s="24"/>
      <c r="B14" s="26"/>
      <c r="C14" s="20"/>
      <c r="D14" s="20"/>
      <c r="E14" s="20"/>
      <c r="F14" s="20"/>
      <c r="G14" s="20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20"/>
      <c r="W14" s="20"/>
      <c r="X14" s="20"/>
      <c r="Y14" s="20"/>
      <c r="Z14" s="20"/>
      <c r="AA14" s="20"/>
      <c r="AB14" s="19"/>
      <c r="AC14" s="27"/>
      <c r="AD14" s="20"/>
      <c r="AE14" s="20"/>
      <c r="AF14" s="20"/>
      <c r="AG14" s="20"/>
      <c r="AH14" s="20"/>
      <c r="AI14" s="19"/>
      <c r="AJ14" s="27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7"/>
      <c r="BA14" s="20"/>
      <c r="BB14" s="20"/>
      <c r="BC14" s="20"/>
      <c r="BD14" s="19"/>
      <c r="BE14" s="13"/>
      <c r="BG14" s="57"/>
      <c r="BK14" s="57"/>
      <c r="BL14" s="269"/>
      <c r="BM14" s="269"/>
      <c r="BN14" s="269"/>
      <c r="BO14" s="269"/>
      <c r="BP14" s="269"/>
      <c r="BQ14" s="269"/>
      <c r="BR14" s="269"/>
      <c r="BS14" s="269"/>
      <c r="BT14" s="269"/>
      <c r="BU14" s="269"/>
      <c r="BV14" s="58"/>
    </row>
    <row r="15" spans="1:74" s="11" customFormat="1" ht="13.5" customHeight="1" x14ac:dyDescent="0.3">
      <c r="A15" s="24"/>
      <c r="B15" s="26"/>
      <c r="C15" s="20"/>
      <c r="D15" s="20"/>
      <c r="E15" s="20"/>
      <c r="F15" s="20"/>
      <c r="G15" s="20"/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20"/>
      <c r="W15" s="20"/>
      <c r="X15" s="20"/>
      <c r="Y15" s="20"/>
      <c r="Z15" s="20"/>
      <c r="AA15" s="20"/>
      <c r="AB15" s="19"/>
      <c r="AC15" s="27"/>
      <c r="AD15" s="20"/>
      <c r="AE15" s="20"/>
      <c r="AF15" s="20"/>
      <c r="AG15" s="20"/>
      <c r="AH15" s="20"/>
      <c r="AI15" s="19"/>
      <c r="AJ15" s="27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7"/>
      <c r="BA15" s="20"/>
      <c r="BB15" s="20"/>
      <c r="BC15" s="20"/>
      <c r="BD15" s="19"/>
      <c r="BE15" s="13"/>
      <c r="BG15" s="57"/>
      <c r="BK15" s="57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58"/>
    </row>
    <row r="16" spans="1:74" s="11" customFormat="1" ht="13.5" customHeight="1" x14ac:dyDescent="0.3">
      <c r="A16" s="24"/>
      <c r="B16" s="28"/>
      <c r="C16" s="12"/>
      <c r="D16" s="12"/>
      <c r="E16" s="12"/>
      <c r="F16" s="12"/>
      <c r="G16" s="12"/>
      <c r="H16" s="18"/>
      <c r="I16"/>
      <c r="J16"/>
      <c r="K16"/>
      <c r="L16"/>
      <c r="M16"/>
      <c r="N16"/>
      <c r="O16"/>
      <c r="P16"/>
      <c r="Q16"/>
      <c r="R16"/>
      <c r="S16"/>
      <c r="T16"/>
      <c r="U16" s="18"/>
      <c r="V16"/>
      <c r="W16"/>
      <c r="X16"/>
      <c r="Y16"/>
      <c r="Z16"/>
      <c r="AA16"/>
      <c r="AB16" s="18"/>
      <c r="AC16" s="30"/>
      <c r="AI16" s="13"/>
      <c r="AJ16" s="30"/>
      <c r="AZ16" s="30"/>
      <c r="BD16" s="13"/>
      <c r="BE16" s="13"/>
      <c r="BG16" s="57"/>
      <c r="BK16" s="57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58"/>
    </row>
    <row r="17" spans="1:74" s="11" customFormat="1" ht="13.5" customHeight="1" x14ac:dyDescent="0.3">
      <c r="A17" s="24"/>
      <c r="B17" s="28"/>
      <c r="C17" s="12"/>
      <c r="D17" s="12"/>
      <c r="E17" s="12"/>
      <c r="F17" s="12"/>
      <c r="G17" s="12"/>
      <c r="H17" s="18"/>
      <c r="I17"/>
      <c r="J17"/>
      <c r="K17"/>
      <c r="L17"/>
      <c r="M17"/>
      <c r="N17"/>
      <c r="U17" s="13"/>
      <c r="AB17" s="13"/>
      <c r="AI17" s="13"/>
      <c r="AJ17" s="30"/>
      <c r="AK17" s="21" t="s">
        <v>267</v>
      </c>
      <c r="AZ17" s="30"/>
      <c r="BD17" s="13"/>
      <c r="BE17" s="13"/>
      <c r="BG17" s="57"/>
      <c r="BK17" s="57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58"/>
    </row>
    <row r="18" spans="1:74" x14ac:dyDescent="0.3">
      <c r="A18" s="23"/>
      <c r="B18" s="23"/>
      <c r="H18" s="14"/>
      <c r="U18" s="14"/>
      <c r="AC18" s="23"/>
      <c r="AI18" s="14"/>
      <c r="AJ18" s="23"/>
      <c r="AK18" s="11"/>
      <c r="AL18" s="8" t="s">
        <v>279</v>
      </c>
      <c r="AM18" s="11"/>
      <c r="AN18" s="11"/>
      <c r="AZ18" s="23"/>
      <c r="BD18" s="14"/>
      <c r="BE18" s="14"/>
      <c r="BG18" s="57"/>
      <c r="BH18" s="11"/>
      <c r="BI18" s="11"/>
      <c r="BJ18" s="11"/>
      <c r="BK18" s="57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58"/>
    </row>
    <row r="19" spans="1:74" x14ac:dyDescent="0.3">
      <c r="A19" s="23"/>
      <c r="B19" s="23"/>
      <c r="H19" s="14"/>
      <c r="U19" s="14"/>
      <c r="AC19" s="23"/>
      <c r="AI19" s="14"/>
      <c r="AJ19" s="23"/>
      <c r="AK19" s="11"/>
      <c r="AL19" s="8" t="s">
        <v>271</v>
      </c>
      <c r="AM19" s="11"/>
      <c r="AN19" s="11"/>
      <c r="AZ19" s="23"/>
      <c r="BD19" s="14"/>
      <c r="BE19" s="14"/>
      <c r="BG19" s="59"/>
      <c r="BK19" s="59"/>
      <c r="BV19" s="60"/>
    </row>
    <row r="20" spans="1:74" x14ac:dyDescent="0.3">
      <c r="A20" s="23"/>
      <c r="B20" s="23"/>
      <c r="H20" s="14"/>
      <c r="U20" s="14"/>
      <c r="AC20" s="23"/>
      <c r="AI20" s="14"/>
      <c r="AJ20" s="23"/>
      <c r="AK20" s="11"/>
      <c r="AL20" s="11" t="s">
        <v>280</v>
      </c>
      <c r="AM20" s="11"/>
      <c r="AN20" s="11"/>
      <c r="AZ20" s="23"/>
      <c r="BD20" s="14"/>
      <c r="BE20" s="14"/>
      <c r="BG20" s="59"/>
      <c r="BK20" s="59" t="s">
        <v>272</v>
      </c>
      <c r="BV20" s="60"/>
    </row>
    <row r="21" spans="1:74" x14ac:dyDescent="0.3">
      <c r="A21" s="23"/>
      <c r="B21" s="23"/>
      <c r="H21" s="14"/>
      <c r="U21" s="14"/>
      <c r="AC21" s="23"/>
      <c r="AI21" s="14"/>
      <c r="AJ21" s="23"/>
      <c r="AZ21" s="23"/>
      <c r="BD21" s="14"/>
      <c r="BE21" s="14"/>
      <c r="BG21" s="57" t="s">
        <v>123</v>
      </c>
      <c r="BH21" s="11"/>
      <c r="BI21" s="11"/>
      <c r="BJ21" s="11"/>
      <c r="BK21" s="242" t="s">
        <v>124</v>
      </c>
      <c r="BL21" s="243"/>
      <c r="BM21" s="243"/>
      <c r="BN21" s="243"/>
      <c r="BO21" s="243"/>
      <c r="BP21" s="243"/>
      <c r="BQ21" s="243"/>
      <c r="BR21" s="243"/>
      <c r="BS21" s="243"/>
      <c r="BT21" s="243"/>
      <c r="BU21" s="243"/>
      <c r="BV21" s="244"/>
    </row>
    <row r="22" spans="1:74" x14ac:dyDescent="0.3">
      <c r="A22" s="23"/>
      <c r="B22" s="23"/>
      <c r="H22" s="14"/>
      <c r="U22" s="14"/>
      <c r="AC22" s="23"/>
      <c r="AI22" s="14"/>
      <c r="AJ22" s="23"/>
      <c r="AZ22" s="23"/>
      <c r="BD22" s="14"/>
      <c r="BE22" s="14"/>
      <c r="BG22" s="57" t="s">
        <v>126</v>
      </c>
      <c r="BH22" s="11"/>
      <c r="BI22" s="11"/>
      <c r="BJ22" s="11"/>
      <c r="BK22" s="242" t="s">
        <v>127</v>
      </c>
      <c r="BL22" s="243"/>
      <c r="BM22" s="243"/>
      <c r="BN22" s="243"/>
      <c r="BO22" s="243"/>
      <c r="BP22" s="243"/>
      <c r="BQ22" s="243"/>
      <c r="BR22" s="243"/>
      <c r="BS22" s="243"/>
      <c r="BT22" s="243"/>
      <c r="BU22" s="243"/>
      <c r="BV22" s="244"/>
    </row>
    <row r="23" spans="1:74" x14ac:dyDescent="0.3">
      <c r="A23" s="23"/>
      <c r="B23" s="23"/>
      <c r="H23" s="14"/>
      <c r="U23" s="14"/>
      <c r="AC23" s="23"/>
      <c r="AI23" s="14"/>
      <c r="AJ23" s="23"/>
      <c r="AZ23" s="23"/>
      <c r="BD23" s="14"/>
      <c r="BE23" s="14"/>
      <c r="BG23" s="57" t="s">
        <v>128</v>
      </c>
      <c r="BH23" s="11"/>
      <c r="BI23" s="11"/>
      <c r="BJ23" s="11"/>
      <c r="BK23" s="57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58"/>
    </row>
    <row r="24" spans="1:74" x14ac:dyDescent="0.3">
      <c r="A24" s="23"/>
      <c r="B24" s="50"/>
      <c r="C24" s="10"/>
      <c r="D24" s="10"/>
      <c r="E24" s="10"/>
      <c r="F24" s="10"/>
      <c r="G24" s="10"/>
      <c r="H24" s="15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5"/>
      <c r="V24" s="10"/>
      <c r="W24" s="10"/>
      <c r="X24" s="10"/>
      <c r="Y24" s="10"/>
      <c r="Z24" s="10"/>
      <c r="AA24" s="10"/>
      <c r="AB24" s="10"/>
      <c r="AC24" s="50"/>
      <c r="AD24" s="10"/>
      <c r="AE24" s="10"/>
      <c r="AF24" s="10"/>
      <c r="AG24" s="10"/>
      <c r="AH24" s="10"/>
      <c r="AI24" s="15"/>
      <c r="AJ24" s="5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50"/>
      <c r="BA24" s="10"/>
      <c r="BB24" s="10"/>
      <c r="BC24" s="10"/>
      <c r="BD24" s="15"/>
      <c r="BE24" s="14"/>
      <c r="BG24" s="59"/>
      <c r="BK24" s="59"/>
      <c r="BV24" s="60"/>
    </row>
    <row r="25" spans="1:74" x14ac:dyDescent="0.3">
      <c r="A25" s="23"/>
      <c r="BE25" s="14"/>
    </row>
    <row r="26" spans="1:74" x14ac:dyDescent="0.3">
      <c r="A26" s="5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5"/>
    </row>
  </sheetData>
  <mergeCells count="26">
    <mergeCell ref="A1:E1"/>
    <mergeCell ref="F1:U1"/>
    <mergeCell ref="V1:AI1"/>
    <mergeCell ref="AJ1:AP1"/>
    <mergeCell ref="AQ1:AV1"/>
    <mergeCell ref="AQ2:AV2"/>
    <mergeCell ref="AJ3:AK3"/>
    <mergeCell ref="AL3:AP3"/>
    <mergeCell ref="AQ3:AV3"/>
    <mergeCell ref="B8:H9"/>
    <mergeCell ref="I8:U9"/>
    <mergeCell ref="V8:AI8"/>
    <mergeCell ref="AJ8:AY9"/>
    <mergeCell ref="A2:E3"/>
    <mergeCell ref="F2:U3"/>
    <mergeCell ref="V2:AI3"/>
    <mergeCell ref="AJ2:AK2"/>
    <mergeCell ref="AL2:AP2"/>
    <mergeCell ref="V9:AB9"/>
    <mergeCell ref="AC9:AI9"/>
    <mergeCell ref="BK21:BV21"/>
    <mergeCell ref="BK22:BV22"/>
    <mergeCell ref="AZ8:BD9"/>
    <mergeCell ref="BG8:BJ9"/>
    <mergeCell ref="BK8:BV9"/>
    <mergeCell ref="BL11:BU17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autoPageBreaks="0" fitToPage="1"/>
  </sheetPr>
  <dimension ref="A1:CL221"/>
  <sheetViews>
    <sheetView showGridLines="0" zoomScale="85" zoomScaleNormal="85" workbookViewId="0">
      <pane ySplit="9" topLeftCell="A88" activePane="bottomLeft" state="frozen"/>
      <selection activeCell="AS57" sqref="AS57"/>
      <selection pane="bottomLeft" activeCell="BA118" sqref="BA118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15" width="2.453125" style="8"/>
    <col min="16" max="17" width="2.453125" style="8" customWidth="1"/>
    <col min="18" max="22" width="2.453125" style="8"/>
    <col min="23" max="24" width="2.453125" style="8" customWidth="1"/>
    <col min="25" max="29" width="2.453125" style="8"/>
    <col min="30" max="31" width="2.453125" style="8" customWidth="1"/>
    <col min="32" max="32" width="2.453125" style="8"/>
    <col min="33" max="33" width="2.453125" style="8" customWidth="1"/>
    <col min="34" max="16384" width="2.453125" style="8"/>
  </cols>
  <sheetData>
    <row r="1" spans="1:90" ht="15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90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10.債権残高管理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90" ht="15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5" spans="1:90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90" s="11" customFormat="1" x14ac:dyDescent="0.3">
      <c r="A6" s="35" t="str">
        <f ca="1">RIGHT(CELL("filename",A1),LEN(CELL("filename",A1))-FIND("]",CELL("filename",A1)))</f>
        <v>10.債権残高管理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36"/>
    </row>
    <row r="7" spans="1:90" s="11" customFormat="1" x14ac:dyDescent="0.3">
      <c r="A7" s="24"/>
      <c r="B7" s="12"/>
      <c r="C7" s="12"/>
      <c r="D7" s="12"/>
      <c r="E7" s="12"/>
      <c r="F7" s="12"/>
      <c r="G7" s="12"/>
      <c r="H7" s="12"/>
      <c r="BU7" s="13"/>
    </row>
    <row r="8" spans="1:90" s="11" customFormat="1" x14ac:dyDescent="0.3">
      <c r="A8" s="24"/>
      <c r="B8" s="225" t="s">
        <v>116</v>
      </c>
      <c r="C8" s="226"/>
      <c r="D8" s="226"/>
      <c r="E8" s="226"/>
      <c r="F8" s="226"/>
      <c r="G8" s="226"/>
      <c r="H8" s="227"/>
      <c r="I8" s="241" t="s">
        <v>417</v>
      </c>
      <c r="J8" s="241"/>
      <c r="K8" s="241"/>
      <c r="L8" s="241"/>
      <c r="M8" s="241"/>
      <c r="N8" s="241"/>
      <c r="O8" s="241"/>
      <c r="P8" s="241" t="s">
        <v>418</v>
      </c>
      <c r="Q8" s="241"/>
      <c r="R8" s="241"/>
      <c r="S8" s="241"/>
      <c r="T8" s="241"/>
      <c r="U8" s="241"/>
      <c r="V8" s="241"/>
      <c r="W8" s="241" t="s">
        <v>178</v>
      </c>
      <c r="X8" s="241"/>
      <c r="Y8" s="241"/>
      <c r="Z8" s="241"/>
      <c r="AA8" s="241"/>
      <c r="AB8" s="241"/>
      <c r="AC8" s="241"/>
      <c r="AD8" s="241" t="s">
        <v>285</v>
      </c>
      <c r="AE8" s="241"/>
      <c r="AF8" s="241"/>
      <c r="AG8" s="241"/>
      <c r="AH8" s="241"/>
      <c r="AI8" s="241"/>
      <c r="AJ8" s="241"/>
      <c r="AK8" s="38" t="s">
        <v>92</v>
      </c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39"/>
      <c r="AY8" s="221" t="s">
        <v>110</v>
      </c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0" t="s">
        <v>112</v>
      </c>
      <c r="BP8" s="221"/>
      <c r="BQ8" s="221"/>
      <c r="BR8" s="221"/>
      <c r="BS8" s="221"/>
      <c r="BT8" s="221"/>
      <c r="BU8" s="13"/>
      <c r="BW8" s="245" t="s">
        <v>118</v>
      </c>
      <c r="BX8" s="246"/>
      <c r="BY8" s="246"/>
      <c r="BZ8" s="246"/>
      <c r="CA8" s="248" t="s">
        <v>119</v>
      </c>
      <c r="CB8" s="249"/>
      <c r="CC8" s="249"/>
      <c r="CD8" s="249"/>
      <c r="CE8" s="249"/>
      <c r="CF8" s="249"/>
      <c r="CG8" s="249"/>
      <c r="CH8" s="249"/>
      <c r="CI8" s="249"/>
      <c r="CJ8" s="249"/>
      <c r="CK8" s="249"/>
      <c r="CL8" s="249"/>
    </row>
    <row r="9" spans="1:90" s="11" customFormat="1" ht="16.5" customHeight="1" x14ac:dyDescent="0.3">
      <c r="A9" s="24"/>
      <c r="B9" s="228"/>
      <c r="C9" s="229"/>
      <c r="D9" s="229"/>
      <c r="E9" s="229"/>
      <c r="F9" s="229"/>
      <c r="G9" s="229"/>
      <c r="H9" s="230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22" t="s">
        <v>107</v>
      </c>
      <c r="AL9" s="223"/>
      <c r="AM9" s="223"/>
      <c r="AN9" s="223"/>
      <c r="AO9" s="223"/>
      <c r="AP9" s="223"/>
      <c r="AQ9" s="224"/>
      <c r="AR9" s="222" t="s">
        <v>109</v>
      </c>
      <c r="AS9" s="223"/>
      <c r="AT9" s="223"/>
      <c r="AU9" s="223"/>
      <c r="AV9" s="223"/>
      <c r="AW9" s="223"/>
      <c r="AX9" s="224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13"/>
      <c r="BW9" s="247"/>
      <c r="BX9" s="247"/>
      <c r="BY9" s="247"/>
      <c r="BZ9" s="247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  <c r="CL9" s="250"/>
    </row>
    <row r="10" spans="1:90" s="11" customFormat="1" x14ac:dyDescent="0.3">
      <c r="A10" s="24"/>
      <c r="B10" s="37" t="s">
        <v>419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22"/>
      <c r="AS10" s="22"/>
      <c r="AT10" s="22"/>
      <c r="AU10" s="22"/>
      <c r="AV10" s="22"/>
      <c r="AW10" s="22"/>
      <c r="AX10" s="2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40"/>
      <c r="BU10" s="13"/>
      <c r="BW10" s="54"/>
      <c r="BX10" s="55"/>
      <c r="BY10" s="55"/>
      <c r="BZ10" s="55"/>
      <c r="CA10" s="54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6"/>
    </row>
    <row r="11" spans="1:90" s="11" customFormat="1" x14ac:dyDescent="0.3">
      <c r="A11" s="24"/>
      <c r="B11" s="41"/>
      <c r="C11" s="42"/>
      <c r="D11" s="42"/>
      <c r="E11" s="42"/>
      <c r="F11" s="42"/>
      <c r="G11" s="42"/>
      <c r="H11" s="43"/>
      <c r="I11" s="44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3"/>
      <c r="W11" s="44"/>
      <c r="X11" s="42"/>
      <c r="Y11" s="42"/>
      <c r="Z11" s="42"/>
      <c r="AA11" s="42"/>
      <c r="AB11" s="42"/>
      <c r="AC11" s="43"/>
      <c r="AD11" s="44"/>
      <c r="AE11" s="42"/>
      <c r="AF11" s="42"/>
      <c r="AG11" s="42"/>
      <c r="AH11" s="42"/>
      <c r="AI11" s="42"/>
      <c r="AJ11" s="43"/>
      <c r="AK11" s="42"/>
      <c r="AL11" s="42"/>
      <c r="AM11" s="42"/>
      <c r="AN11" s="42"/>
      <c r="AO11" s="42"/>
      <c r="AP11" s="42"/>
      <c r="AQ11" s="43"/>
      <c r="AR11" s="44"/>
      <c r="AS11" s="42"/>
      <c r="AT11" s="42"/>
      <c r="AU11" s="42"/>
      <c r="AV11" s="42"/>
      <c r="AW11" s="42"/>
      <c r="AX11" s="43"/>
      <c r="AY11" s="45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4"/>
      <c r="BP11" s="42"/>
      <c r="BQ11" s="42"/>
      <c r="BR11" s="42"/>
      <c r="BS11" s="42"/>
      <c r="BT11" s="43"/>
      <c r="BU11" s="13"/>
      <c r="BW11" s="57"/>
      <c r="CA11" s="57"/>
      <c r="CL11" s="58"/>
    </row>
    <row r="12" spans="1:90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19"/>
      <c r="W12" s="27"/>
      <c r="X12" s="20"/>
      <c r="Y12" s="20"/>
      <c r="Z12" s="20"/>
      <c r="AA12" s="20"/>
      <c r="AB12" s="20"/>
      <c r="AC12" s="19"/>
      <c r="AD12" s="27"/>
      <c r="AE12" s="20"/>
      <c r="AF12" s="20"/>
      <c r="AG12" s="20"/>
      <c r="AH12" s="20"/>
      <c r="AI12" s="20"/>
      <c r="AJ12" s="19"/>
      <c r="AK12" s="20"/>
      <c r="AL12" s="20"/>
      <c r="AM12" s="20"/>
      <c r="AN12" s="20"/>
      <c r="AO12" s="20"/>
      <c r="AP12" s="20"/>
      <c r="AQ12" s="19"/>
      <c r="AR12" s="27"/>
      <c r="AS12" s="20"/>
      <c r="AT12" s="20"/>
      <c r="AU12" s="20"/>
      <c r="AV12" s="20"/>
      <c r="AW12" s="20"/>
      <c r="AX12" s="19"/>
      <c r="AY12" s="34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27"/>
      <c r="BP12" s="20"/>
      <c r="BQ12" s="20"/>
      <c r="BR12" s="20"/>
      <c r="BS12" s="20"/>
      <c r="BT12" s="19"/>
      <c r="BU12" s="13"/>
      <c r="BW12" s="57"/>
      <c r="CA12" s="242"/>
      <c r="CB12" s="243"/>
      <c r="CC12" s="243"/>
      <c r="CD12" s="243"/>
      <c r="CE12" s="243"/>
      <c r="CF12" s="243"/>
      <c r="CG12" s="243"/>
      <c r="CH12" s="243"/>
      <c r="CI12" s="243"/>
      <c r="CJ12" s="243"/>
      <c r="CK12" s="243"/>
      <c r="CL12" s="244"/>
    </row>
    <row r="13" spans="1:90" s="11" customFormat="1" x14ac:dyDescent="0.3">
      <c r="A13" s="24"/>
      <c r="B13" s="26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19"/>
      <c r="W13" s="27"/>
      <c r="X13" s="20"/>
      <c r="Y13" s="20"/>
      <c r="Z13" s="20"/>
      <c r="AA13" s="20"/>
      <c r="AB13" s="20"/>
      <c r="AC13" s="19"/>
      <c r="AD13" s="27"/>
      <c r="AE13" s="20"/>
      <c r="AF13" s="20"/>
      <c r="AG13" s="20"/>
      <c r="AH13" s="20"/>
      <c r="AI13" s="20"/>
      <c r="AJ13" s="19"/>
      <c r="AK13" s="20"/>
      <c r="AL13" s="20"/>
      <c r="AM13" s="20"/>
      <c r="AN13" s="20"/>
      <c r="AO13" s="20"/>
      <c r="AP13" s="20"/>
      <c r="AQ13" s="19"/>
      <c r="AR13" s="27"/>
      <c r="AS13" s="20"/>
      <c r="AT13" s="20"/>
      <c r="AU13" s="20"/>
      <c r="AV13" s="20"/>
      <c r="AW13" s="20"/>
      <c r="AX13" s="19"/>
      <c r="AY13" s="34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27"/>
      <c r="BP13" s="20"/>
      <c r="BQ13" s="20"/>
      <c r="BR13" s="20"/>
      <c r="BS13" s="20"/>
      <c r="BT13" s="19"/>
      <c r="BU13" s="13"/>
      <c r="BW13" s="57"/>
      <c r="CA13" s="242"/>
      <c r="CB13" s="243"/>
      <c r="CC13" s="243"/>
      <c r="CD13" s="243"/>
      <c r="CE13" s="243"/>
      <c r="CF13" s="243"/>
      <c r="CG13" s="243"/>
      <c r="CH13" s="243"/>
      <c r="CI13" s="243"/>
      <c r="CJ13" s="243"/>
      <c r="CK13" s="243"/>
      <c r="CL13" s="244"/>
    </row>
    <row r="14" spans="1:90" s="11" customFormat="1" x14ac:dyDescent="0.3">
      <c r="A14" s="24"/>
      <c r="B14" s="26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19"/>
      <c r="W14" s="27"/>
      <c r="X14" s="20"/>
      <c r="Y14" s="20"/>
      <c r="Z14" s="20"/>
      <c r="AA14" s="20"/>
      <c r="AB14" s="20"/>
      <c r="AC14" s="19"/>
      <c r="AD14" s="27"/>
      <c r="AE14" s="20"/>
      <c r="AF14" s="20"/>
      <c r="AG14" s="20"/>
      <c r="AH14" s="20"/>
      <c r="AI14" s="20"/>
      <c r="AJ14" s="19"/>
      <c r="AK14" s="20"/>
      <c r="AL14" s="20"/>
      <c r="AM14" s="20"/>
      <c r="AN14" s="20"/>
      <c r="AO14" s="20"/>
      <c r="AP14" s="20"/>
      <c r="AQ14" s="19"/>
      <c r="AR14" s="27"/>
      <c r="AS14" s="20"/>
      <c r="AT14" s="20"/>
      <c r="AU14" s="20"/>
      <c r="AV14" s="20"/>
      <c r="AW14" s="20"/>
      <c r="AX14" s="19"/>
      <c r="AY14" s="34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27"/>
      <c r="BP14" s="20"/>
      <c r="BQ14" s="20"/>
      <c r="BR14" s="20"/>
      <c r="BS14" s="20"/>
      <c r="BT14" s="19"/>
      <c r="BU14" s="13"/>
      <c r="BW14" s="57"/>
      <c r="CA14" s="57"/>
      <c r="CL14" s="58"/>
    </row>
    <row r="15" spans="1:90" s="11" customFormat="1" x14ac:dyDescent="0.3">
      <c r="A15" s="24"/>
      <c r="B15" s="26"/>
      <c r="C15" s="20"/>
      <c r="D15" s="20"/>
      <c r="E15" s="20"/>
      <c r="F15" s="20"/>
      <c r="G15" s="20"/>
      <c r="H15" s="19"/>
      <c r="I15" s="27"/>
      <c r="J15" s="20"/>
      <c r="K15" s="20"/>
      <c r="L15" s="20"/>
      <c r="M15" s="20"/>
      <c r="N15" s="20"/>
      <c r="O15" s="19"/>
      <c r="P15" s="27"/>
      <c r="Q15" s="20"/>
      <c r="R15" s="20"/>
      <c r="S15" s="20"/>
      <c r="T15" s="20"/>
      <c r="U15" s="20"/>
      <c r="V15" s="19"/>
      <c r="W15" s="27"/>
      <c r="X15" s="20"/>
      <c r="Y15" s="20"/>
      <c r="Z15" s="20"/>
      <c r="AA15" s="20"/>
      <c r="AB15" s="20"/>
      <c r="AC15" s="19"/>
      <c r="AD15" s="27"/>
      <c r="AE15" s="20"/>
      <c r="AF15" s="20"/>
      <c r="AG15" s="20"/>
      <c r="AH15" s="20"/>
      <c r="AI15" s="20"/>
      <c r="AJ15" s="19"/>
      <c r="AK15" s="20"/>
      <c r="AL15" s="20"/>
      <c r="AM15" s="20"/>
      <c r="AN15" s="20"/>
      <c r="AO15" s="20"/>
      <c r="AP15" s="20"/>
      <c r="AQ15" s="19"/>
      <c r="AR15" s="27"/>
      <c r="AS15" s="20"/>
      <c r="AT15" s="20"/>
      <c r="AU15" s="20"/>
      <c r="AV15" s="20"/>
      <c r="AW15" s="20"/>
      <c r="AX15" s="19"/>
      <c r="AY15" s="34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27"/>
      <c r="BP15" s="20"/>
      <c r="BQ15" s="20"/>
      <c r="BR15" s="20"/>
      <c r="BS15" s="20"/>
      <c r="BT15" s="19"/>
      <c r="BU15" s="13"/>
      <c r="BW15" s="57"/>
      <c r="CA15" s="57"/>
      <c r="CL15" s="58"/>
    </row>
    <row r="16" spans="1:90" s="11" customFormat="1" x14ac:dyDescent="0.3">
      <c r="A16" s="24"/>
      <c r="B16" s="26"/>
      <c r="C16" s="20"/>
      <c r="D16" s="20"/>
      <c r="E16" s="20"/>
      <c r="F16" s="20"/>
      <c r="G16" s="20"/>
      <c r="H16" s="19"/>
      <c r="I16" s="27"/>
      <c r="J16" s="20"/>
      <c r="K16" s="20"/>
      <c r="L16" s="20"/>
      <c r="M16" s="20"/>
      <c r="N16" s="20"/>
      <c r="O16" s="19"/>
      <c r="P16" s="27"/>
      <c r="Q16" s="20"/>
      <c r="R16" s="20"/>
      <c r="S16" s="20"/>
      <c r="T16" s="20"/>
      <c r="U16" s="20"/>
      <c r="V16" s="19"/>
      <c r="W16" s="27"/>
      <c r="X16" s="20"/>
      <c r="Y16" s="20"/>
      <c r="Z16" s="20"/>
      <c r="AA16" s="20"/>
      <c r="AB16" s="20"/>
      <c r="AC16" s="19"/>
      <c r="AD16" s="27"/>
      <c r="AE16" s="20"/>
      <c r="AF16" s="20"/>
      <c r="AG16" s="20"/>
      <c r="AH16" s="20"/>
      <c r="AI16" s="20"/>
      <c r="AJ16" s="19"/>
      <c r="AK16" s="20"/>
      <c r="AL16" s="20"/>
      <c r="AM16" s="20"/>
      <c r="AN16" s="20"/>
      <c r="AO16" s="20"/>
      <c r="AP16" s="20"/>
      <c r="AQ16" s="19"/>
      <c r="AR16" s="29"/>
      <c r="AS16"/>
      <c r="AT16"/>
      <c r="AU16"/>
      <c r="AV16"/>
      <c r="AW16"/>
      <c r="AX16" s="18"/>
      <c r="AY16" s="34"/>
      <c r="AZ16" s="21" t="s">
        <v>420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27"/>
      <c r="BP16" s="20"/>
      <c r="BQ16" s="20"/>
      <c r="BR16" s="20"/>
      <c r="BS16" s="20"/>
      <c r="BT16" s="19"/>
      <c r="BU16" s="13"/>
      <c r="BW16" s="57"/>
      <c r="CA16" s="57"/>
      <c r="CL16" s="58"/>
    </row>
    <row r="17" spans="1:90" s="11" customFormat="1" x14ac:dyDescent="0.3">
      <c r="A17" s="24"/>
      <c r="B17" s="26"/>
      <c r="C17" s="20"/>
      <c r="D17" s="20"/>
      <c r="E17" s="20"/>
      <c r="F17" s="20"/>
      <c r="G17" s="20"/>
      <c r="H17" s="19"/>
      <c r="I17" s="27"/>
      <c r="J17" s="20"/>
      <c r="K17" s="20"/>
      <c r="L17" s="20"/>
      <c r="M17" s="20"/>
      <c r="N17" s="20"/>
      <c r="O17" s="19"/>
      <c r="P17" s="27"/>
      <c r="Q17" s="20"/>
      <c r="R17" s="20"/>
      <c r="S17" s="20"/>
      <c r="T17" s="20"/>
      <c r="U17" s="20"/>
      <c r="V17" s="19"/>
      <c r="W17" s="27"/>
      <c r="X17" s="20"/>
      <c r="Y17" s="20"/>
      <c r="Z17" s="20"/>
      <c r="AA17" s="20"/>
      <c r="AB17" s="20"/>
      <c r="AC17" s="19"/>
      <c r="AD17" s="27"/>
      <c r="AE17" s="20"/>
      <c r="AF17" s="20"/>
      <c r="AG17" s="20"/>
      <c r="AH17" s="20"/>
      <c r="AI17" s="20"/>
      <c r="AJ17" s="19"/>
      <c r="AK17" s="20"/>
      <c r="AL17" s="20"/>
      <c r="AM17" s="20"/>
      <c r="AN17" s="20"/>
      <c r="AO17" s="20"/>
      <c r="AP17" s="20"/>
      <c r="AQ17" s="19"/>
      <c r="AR17" s="30"/>
      <c r="AX17" s="13"/>
      <c r="AY17" s="34"/>
      <c r="BA17" s="8" t="s">
        <v>421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27"/>
      <c r="BP17" s="20"/>
      <c r="BQ17" s="20"/>
      <c r="BR17" s="20"/>
      <c r="BS17" s="20"/>
      <c r="BT17" s="19"/>
      <c r="BU17" s="13"/>
      <c r="BW17" s="57"/>
      <c r="CA17" s="57"/>
      <c r="CL17" s="58"/>
    </row>
    <row r="18" spans="1:90" s="11" customFormat="1" x14ac:dyDescent="0.3">
      <c r="A18" s="24"/>
      <c r="B18" s="26"/>
      <c r="C18" s="20"/>
      <c r="D18" s="20"/>
      <c r="E18" s="20"/>
      <c r="F18" s="20"/>
      <c r="G18" s="20"/>
      <c r="H18" s="19"/>
      <c r="I18" s="27"/>
      <c r="J18" s="20"/>
      <c r="K18" s="20"/>
      <c r="L18" s="20"/>
      <c r="M18" s="20"/>
      <c r="N18" s="20"/>
      <c r="O18" s="19"/>
      <c r="P18" s="27"/>
      <c r="Q18" s="20"/>
      <c r="R18" s="20"/>
      <c r="S18" s="20"/>
      <c r="T18" s="20"/>
      <c r="U18" s="20"/>
      <c r="V18" s="19"/>
      <c r="W18" s="27"/>
      <c r="X18" s="20"/>
      <c r="Y18" s="20"/>
      <c r="Z18" s="20"/>
      <c r="AA18" s="20"/>
      <c r="AB18" s="20"/>
      <c r="AC18" s="19"/>
      <c r="AD18" s="27"/>
      <c r="AE18" s="20"/>
      <c r="AF18" s="20"/>
      <c r="AG18" s="20"/>
      <c r="AH18" s="20"/>
      <c r="AI18" s="20"/>
      <c r="AJ18" s="19"/>
      <c r="AK18" s="20"/>
      <c r="AL18" s="20"/>
      <c r="AM18" s="20"/>
      <c r="AN18" s="20"/>
      <c r="AO18" s="20"/>
      <c r="AP18" s="20"/>
      <c r="AQ18" s="19"/>
      <c r="AR18" s="23"/>
      <c r="AS18" s="8"/>
      <c r="AT18" s="8"/>
      <c r="AU18" s="8"/>
      <c r="AV18" s="8"/>
      <c r="AW18" s="8"/>
      <c r="AX18" s="14"/>
      <c r="AY18" s="34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27"/>
      <c r="BP18" s="20"/>
      <c r="BQ18" s="20"/>
      <c r="BR18" s="20"/>
      <c r="BS18" s="20"/>
      <c r="BT18" s="19"/>
      <c r="BU18" s="14"/>
      <c r="BW18" s="57"/>
      <c r="CA18" s="57"/>
      <c r="CL18" s="58"/>
    </row>
    <row r="19" spans="1:90" s="11" customFormat="1" x14ac:dyDescent="0.3">
      <c r="A19" s="24"/>
      <c r="B19" s="26"/>
      <c r="C19" s="20"/>
      <c r="D19" s="20"/>
      <c r="E19" s="20"/>
      <c r="F19" s="20"/>
      <c r="G19" s="20"/>
      <c r="H19" s="19"/>
      <c r="I19" s="27"/>
      <c r="J19" s="20"/>
      <c r="K19" s="20"/>
      <c r="L19" s="20"/>
      <c r="M19" s="20"/>
      <c r="N19" s="20"/>
      <c r="O19" s="19"/>
      <c r="P19" s="27"/>
      <c r="Q19" s="20"/>
      <c r="R19" s="20"/>
      <c r="S19" s="20"/>
      <c r="T19" s="20"/>
      <c r="U19" s="20"/>
      <c r="V19" s="19"/>
      <c r="W19" s="27"/>
      <c r="X19" s="20"/>
      <c r="Y19" s="20"/>
      <c r="Z19" s="20"/>
      <c r="AA19" s="20"/>
      <c r="AB19" s="20"/>
      <c r="AC19" s="19"/>
      <c r="AD19" s="27"/>
      <c r="AE19" s="20"/>
      <c r="AF19" s="20"/>
      <c r="AG19" s="20"/>
      <c r="AH19" s="20"/>
      <c r="AI19" s="20"/>
      <c r="AJ19" s="19"/>
      <c r="AK19" s="20"/>
      <c r="AL19" s="20"/>
      <c r="AM19" s="20"/>
      <c r="AN19" s="20"/>
      <c r="AO19" s="20"/>
      <c r="AP19" s="20"/>
      <c r="AQ19" s="19"/>
      <c r="AR19" s="23"/>
      <c r="AS19" s="8"/>
      <c r="AT19" s="8"/>
      <c r="AU19" s="8"/>
      <c r="AV19" s="8"/>
      <c r="AW19" s="8"/>
      <c r="AX19" s="14"/>
      <c r="AY19" s="34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27"/>
      <c r="BP19" s="20"/>
      <c r="BQ19" s="20"/>
      <c r="BR19" s="20"/>
      <c r="BS19" s="20"/>
      <c r="BT19" s="19"/>
      <c r="BU19" s="14"/>
      <c r="BW19" s="57"/>
      <c r="CA19" s="57"/>
      <c r="CL19" s="58"/>
    </row>
    <row r="20" spans="1:90" s="11" customFormat="1" x14ac:dyDescent="0.3">
      <c r="A20" s="24"/>
      <c r="B20" s="26"/>
      <c r="C20" s="20"/>
      <c r="D20" s="20"/>
      <c r="E20" s="20"/>
      <c r="F20" s="20"/>
      <c r="G20" s="20"/>
      <c r="H20" s="19"/>
      <c r="I20" s="27"/>
      <c r="J20" s="20"/>
      <c r="K20" s="20"/>
      <c r="L20" s="20"/>
      <c r="M20" s="20"/>
      <c r="N20" s="20"/>
      <c r="O20" s="19"/>
      <c r="P20" s="27"/>
      <c r="Q20" s="20"/>
      <c r="R20" s="20"/>
      <c r="S20" s="20"/>
      <c r="T20" s="20"/>
      <c r="U20" s="20"/>
      <c r="V20" s="19"/>
      <c r="W20" s="27"/>
      <c r="X20" s="20"/>
      <c r="Y20" s="20"/>
      <c r="Z20" s="20"/>
      <c r="AA20" s="20"/>
      <c r="AB20" s="20"/>
      <c r="AC20" s="19"/>
      <c r="AD20" s="27"/>
      <c r="AE20" s="20"/>
      <c r="AF20" s="20"/>
      <c r="AG20" s="20"/>
      <c r="AH20" s="20"/>
      <c r="AI20" s="20"/>
      <c r="AJ20" s="19"/>
      <c r="AK20" s="20"/>
      <c r="AL20" s="20"/>
      <c r="AM20" s="20"/>
      <c r="AN20" s="20"/>
      <c r="AO20" s="20"/>
      <c r="AP20" s="20"/>
      <c r="AQ20" s="19"/>
      <c r="AR20" s="23"/>
      <c r="AS20" s="8"/>
      <c r="AT20" s="8"/>
      <c r="AU20" s="8"/>
      <c r="AV20" s="8"/>
      <c r="AW20" s="8"/>
      <c r="AX20" s="14"/>
      <c r="AY20" s="34"/>
      <c r="AZ20" s="21" t="s">
        <v>422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27"/>
      <c r="BP20" s="20"/>
      <c r="BQ20" s="20"/>
      <c r="BR20" s="20"/>
      <c r="BS20" s="20"/>
      <c r="BT20" s="19"/>
      <c r="BU20" s="14"/>
      <c r="BW20" s="57"/>
      <c r="CA20" s="57"/>
      <c r="CL20" s="58"/>
    </row>
    <row r="21" spans="1:90" s="11" customFormat="1" ht="13.5" customHeight="1" x14ac:dyDescent="0.3">
      <c r="A21" s="24"/>
      <c r="B21" s="28"/>
      <c r="C21" s="12"/>
      <c r="D21" s="12"/>
      <c r="E21" s="12"/>
      <c r="F21" s="12"/>
      <c r="G21" s="12"/>
      <c r="H21" s="18"/>
      <c r="I21" s="29"/>
      <c r="J21"/>
      <c r="K21"/>
      <c r="L21"/>
      <c r="M21"/>
      <c r="N21"/>
      <c r="O21" s="18"/>
      <c r="P21" s="29"/>
      <c r="Q21"/>
      <c r="R21"/>
      <c r="S21"/>
      <c r="T21"/>
      <c r="U21"/>
      <c r="V21" s="18"/>
      <c r="W21" s="29"/>
      <c r="X21"/>
      <c r="Y21"/>
      <c r="Z21"/>
      <c r="AA21"/>
      <c r="AB21"/>
      <c r="AC21" s="18"/>
      <c r="AD21" s="29"/>
      <c r="AE21"/>
      <c r="AF21"/>
      <c r="AG21"/>
      <c r="AH21"/>
      <c r="AI21"/>
      <c r="AJ21" s="18"/>
      <c r="AK21"/>
      <c r="AL21"/>
      <c r="AM21"/>
      <c r="AN21"/>
      <c r="AO21"/>
      <c r="AP21"/>
      <c r="AQ21" s="18"/>
      <c r="AR21" s="23"/>
      <c r="AS21" s="8"/>
      <c r="AT21" s="8"/>
      <c r="AU21" s="8"/>
      <c r="AV21" s="8"/>
      <c r="AW21" s="8"/>
      <c r="AX21" s="14"/>
      <c r="AY21" s="30"/>
      <c r="BA21" s="8" t="s">
        <v>423</v>
      </c>
      <c r="BO21" s="30"/>
      <c r="BT21" s="13"/>
      <c r="BU21" s="14"/>
      <c r="BW21" s="57"/>
      <c r="CA21" s="57"/>
      <c r="CL21" s="58"/>
    </row>
    <row r="22" spans="1:90" s="11" customFormat="1" x14ac:dyDescent="0.3">
      <c r="A22" s="24"/>
      <c r="B22" s="28"/>
      <c r="C22" s="12"/>
      <c r="D22" s="12"/>
      <c r="E22" s="12"/>
      <c r="F22" s="12"/>
      <c r="G22" s="12"/>
      <c r="H22" s="18"/>
      <c r="I22" s="30"/>
      <c r="O22" s="13"/>
      <c r="P22" s="30"/>
      <c r="V22" s="13"/>
      <c r="W22" s="30"/>
      <c r="AC22" s="13"/>
      <c r="AD22" s="30"/>
      <c r="AJ22" s="13"/>
      <c r="AQ22" s="18"/>
      <c r="AR22" s="23"/>
      <c r="AS22" s="8"/>
      <c r="AT22" s="8"/>
      <c r="AU22" s="8"/>
      <c r="AV22" s="8"/>
      <c r="AW22" s="8"/>
      <c r="AX22" s="14"/>
      <c r="AZ22" s="16"/>
      <c r="BO22" s="30"/>
      <c r="BT22" s="13"/>
      <c r="BU22" s="14"/>
      <c r="BW22" s="57"/>
      <c r="CA22" s="57"/>
      <c r="CL22" s="58"/>
    </row>
    <row r="23" spans="1:90" x14ac:dyDescent="0.3">
      <c r="A23" s="23"/>
      <c r="B23" s="23"/>
      <c r="H23" s="14"/>
      <c r="I23" s="23"/>
      <c r="O23" s="14"/>
      <c r="P23" s="23"/>
      <c r="V23" s="14"/>
      <c r="W23" s="23"/>
      <c r="AC23" s="14"/>
      <c r="AD23" s="23"/>
      <c r="AJ23" s="14"/>
      <c r="AQ23" s="18"/>
      <c r="AR23" s="23"/>
      <c r="AX23" s="14"/>
      <c r="AY23" s="30"/>
      <c r="AZ23" s="11"/>
      <c r="BI23" s="11"/>
      <c r="BJ23" s="11"/>
      <c r="BK23" s="11"/>
      <c r="BL23" s="11"/>
      <c r="BM23" s="11"/>
      <c r="BN23" s="11"/>
      <c r="BO23" s="23"/>
      <c r="BT23" s="14"/>
      <c r="BU23" s="14"/>
      <c r="BW23" s="59"/>
      <c r="CA23" s="59"/>
      <c r="CL23" s="60"/>
    </row>
    <row r="24" spans="1:90" x14ac:dyDescent="0.3">
      <c r="A24" s="23"/>
      <c r="B24" s="23"/>
      <c r="H24" s="14"/>
      <c r="I24" s="23"/>
      <c r="O24" s="14"/>
      <c r="P24" s="23"/>
      <c r="V24" s="14"/>
      <c r="W24" s="23"/>
      <c r="AC24" s="14"/>
      <c r="AD24" s="23"/>
      <c r="AJ24" s="14"/>
      <c r="AQ24" s="18"/>
      <c r="AR24" s="23"/>
      <c r="AX24" s="14"/>
      <c r="AY24" s="30"/>
      <c r="BI24" s="11"/>
      <c r="BN24" s="11"/>
      <c r="BO24" s="23"/>
      <c r="BT24" s="14"/>
      <c r="BU24" s="14"/>
      <c r="BW24" s="59"/>
      <c r="CA24" s="59"/>
      <c r="CL24" s="60"/>
    </row>
    <row r="25" spans="1:90" x14ac:dyDescent="0.3">
      <c r="A25" s="23"/>
      <c r="B25" s="23"/>
      <c r="H25" s="14"/>
      <c r="I25" s="23"/>
      <c r="O25" s="14"/>
      <c r="P25" s="23"/>
      <c r="V25" s="14"/>
      <c r="W25" s="23"/>
      <c r="AC25" s="14"/>
      <c r="AD25" s="23"/>
      <c r="AJ25" s="14"/>
      <c r="AQ25" s="18"/>
      <c r="AR25" s="23"/>
      <c r="AX25" s="14"/>
      <c r="AY25" s="30"/>
      <c r="BI25" s="11"/>
      <c r="BN25" s="11"/>
      <c r="BO25" s="23"/>
      <c r="BT25" s="14"/>
      <c r="BU25" s="14"/>
      <c r="BW25" s="59"/>
      <c r="CA25" s="59"/>
      <c r="CL25" s="60"/>
    </row>
    <row r="26" spans="1:90" x14ac:dyDescent="0.3">
      <c r="A26" s="23"/>
      <c r="B26" s="23"/>
      <c r="H26" s="14"/>
      <c r="I26" s="23"/>
      <c r="O26" s="14"/>
      <c r="P26" s="23"/>
      <c r="V26" s="14"/>
      <c r="W26" s="23"/>
      <c r="AC26" s="14"/>
      <c r="AD26" s="23"/>
      <c r="AJ26" s="14"/>
      <c r="AQ26" s="18"/>
      <c r="AR26" s="23"/>
      <c r="AX26" s="14"/>
      <c r="AY26" s="30"/>
      <c r="BI26" s="11"/>
      <c r="BN26" s="11"/>
      <c r="BO26" s="23"/>
      <c r="BT26" s="14"/>
      <c r="BU26" s="14"/>
      <c r="BW26" s="59"/>
      <c r="CA26" s="59"/>
      <c r="CL26" s="60"/>
    </row>
    <row r="27" spans="1:90" x14ac:dyDescent="0.3">
      <c r="A27" s="23"/>
      <c r="B27" s="23"/>
      <c r="H27" s="14"/>
      <c r="I27" s="23"/>
      <c r="O27" s="14"/>
      <c r="P27" s="23"/>
      <c r="V27" s="14"/>
      <c r="W27" s="23"/>
      <c r="AC27" s="14"/>
      <c r="AD27" s="23"/>
      <c r="AJ27" s="14"/>
      <c r="AQ27" s="18"/>
      <c r="AR27" s="23"/>
      <c r="AX27" s="14"/>
      <c r="AY27" s="30"/>
      <c r="BI27" s="11"/>
      <c r="BN27" s="11"/>
      <c r="BO27" s="23"/>
      <c r="BT27" s="14"/>
      <c r="BU27" s="14"/>
      <c r="BW27" s="59"/>
      <c r="CA27" s="59"/>
      <c r="CL27" s="60"/>
    </row>
    <row r="28" spans="1:90" x14ac:dyDescent="0.3">
      <c r="A28" s="23"/>
      <c r="B28" s="23"/>
      <c r="H28" s="14"/>
      <c r="I28" s="23"/>
      <c r="O28" s="14"/>
      <c r="P28" s="23"/>
      <c r="V28" s="14"/>
      <c r="W28" s="23"/>
      <c r="AC28" s="14"/>
      <c r="AD28" s="23"/>
      <c r="AJ28" s="14"/>
      <c r="AQ28" s="18"/>
      <c r="AR28" s="23"/>
      <c r="AX28" s="14"/>
      <c r="AY28" s="23"/>
      <c r="BI28" s="11"/>
      <c r="BO28" s="23"/>
      <c r="BT28" s="14"/>
      <c r="BU28" s="14"/>
      <c r="BW28" s="59"/>
      <c r="CA28" s="59"/>
      <c r="CL28" s="60"/>
    </row>
    <row r="29" spans="1:90" x14ac:dyDescent="0.3">
      <c r="A29" s="23"/>
      <c r="B29" s="23"/>
      <c r="H29" s="14"/>
      <c r="I29" s="23"/>
      <c r="O29" s="14"/>
      <c r="P29" s="23"/>
      <c r="V29" s="14"/>
      <c r="W29" s="23"/>
      <c r="AC29" s="14"/>
      <c r="AD29" s="23"/>
      <c r="AJ29" s="14"/>
      <c r="AQ29" s="18"/>
      <c r="AR29" s="23"/>
      <c r="AX29" s="14"/>
      <c r="AY29" s="23"/>
      <c r="AZ29" s="21" t="s">
        <v>424</v>
      </c>
      <c r="BA29" s="17"/>
      <c r="BB29" s="17"/>
      <c r="BC29" s="17"/>
      <c r="BD29" s="17"/>
      <c r="BI29" s="11"/>
      <c r="BO29" s="23"/>
      <c r="BT29" s="14"/>
      <c r="BU29" s="14"/>
      <c r="BW29" s="59"/>
      <c r="CA29" s="59"/>
      <c r="CL29" s="60"/>
    </row>
    <row r="30" spans="1:90" x14ac:dyDescent="0.3">
      <c r="A30" s="23"/>
      <c r="B30" s="23"/>
      <c r="H30" s="14"/>
      <c r="I30" s="23"/>
      <c r="O30" s="14"/>
      <c r="P30" s="23"/>
      <c r="V30" s="14"/>
      <c r="W30" s="23"/>
      <c r="AC30" s="14"/>
      <c r="AD30" s="23"/>
      <c r="AJ30" s="14"/>
      <c r="AQ30" s="18"/>
      <c r="AR30" s="23"/>
      <c r="AX30" s="14"/>
      <c r="AY30" s="23"/>
      <c r="AZ30" s="11"/>
      <c r="BA30" s="8" t="s">
        <v>425</v>
      </c>
      <c r="BB30" s="11"/>
      <c r="BC30" s="11"/>
      <c r="BD30" s="11"/>
      <c r="BI30" s="11"/>
      <c r="BO30" s="23"/>
      <c r="BT30" s="14"/>
      <c r="BU30" s="14"/>
      <c r="BW30" s="59"/>
      <c r="CA30" s="59"/>
      <c r="CL30" s="60"/>
    </row>
    <row r="31" spans="1:90" x14ac:dyDescent="0.3">
      <c r="A31" s="23"/>
      <c r="B31" s="23"/>
      <c r="H31" s="14"/>
      <c r="I31" s="23"/>
      <c r="O31" s="14"/>
      <c r="P31" s="23"/>
      <c r="V31" s="14"/>
      <c r="W31" s="23"/>
      <c r="AC31" s="14"/>
      <c r="AD31" s="23"/>
      <c r="AJ31" s="14"/>
      <c r="AQ31" s="18"/>
      <c r="AR31" s="23"/>
      <c r="AX31" s="14"/>
      <c r="AY31" s="23"/>
      <c r="AZ31" s="16"/>
      <c r="BA31" s="11"/>
      <c r="BB31" s="11"/>
      <c r="BC31" s="11"/>
      <c r="BD31" s="11"/>
      <c r="BI31" s="11"/>
      <c r="BO31" s="23"/>
      <c r="BT31" s="14"/>
      <c r="BU31" s="14"/>
      <c r="BW31" s="59"/>
      <c r="CA31" s="59"/>
      <c r="CL31" s="60"/>
    </row>
    <row r="32" spans="1:90" x14ac:dyDescent="0.3">
      <c r="A32" s="23"/>
      <c r="B32" s="23"/>
      <c r="H32" s="14"/>
      <c r="I32" s="23"/>
      <c r="O32" s="14"/>
      <c r="P32" s="23"/>
      <c r="V32" s="14"/>
      <c r="W32" s="23"/>
      <c r="AC32" s="14"/>
      <c r="AD32" s="23"/>
      <c r="AJ32" s="14"/>
      <c r="AQ32" s="18"/>
      <c r="AR32" s="23"/>
      <c r="AX32" s="14"/>
      <c r="AY32" s="23"/>
      <c r="AZ32" s="11"/>
      <c r="BI32" s="11"/>
      <c r="BO32" s="23"/>
      <c r="BT32" s="14"/>
      <c r="BU32" s="14"/>
      <c r="BW32" s="59"/>
      <c r="CA32" s="59"/>
      <c r="CL32" s="60"/>
    </row>
    <row r="33" spans="1:90" x14ac:dyDescent="0.3">
      <c r="A33" s="23"/>
      <c r="B33" s="23"/>
      <c r="H33" s="14"/>
      <c r="I33" s="23"/>
      <c r="O33" s="14"/>
      <c r="P33" s="23"/>
      <c r="V33" s="14"/>
      <c r="W33" s="23"/>
      <c r="AC33" s="14"/>
      <c r="AD33" s="23"/>
      <c r="AJ33" s="14"/>
      <c r="AQ33" s="18"/>
      <c r="AR33" s="23"/>
      <c r="AX33" s="14"/>
      <c r="AY33" s="23"/>
      <c r="AZ33" s="11"/>
      <c r="BA33" s="11"/>
      <c r="BB33" s="11"/>
      <c r="BI33" s="11"/>
      <c r="BO33" s="23"/>
      <c r="BT33" s="14"/>
      <c r="BU33" s="14"/>
      <c r="BW33" s="59"/>
      <c r="CA33" s="59"/>
      <c r="CL33" s="60"/>
    </row>
    <row r="34" spans="1:90" x14ac:dyDescent="0.3">
      <c r="A34" s="23"/>
      <c r="B34" s="23"/>
      <c r="H34" s="14"/>
      <c r="I34" s="23"/>
      <c r="O34" s="14"/>
      <c r="P34" s="23"/>
      <c r="V34" s="14"/>
      <c r="W34" s="23"/>
      <c r="AC34" s="14"/>
      <c r="AD34" s="23"/>
      <c r="AJ34" s="14"/>
      <c r="AQ34" s="18"/>
      <c r="AR34" s="23"/>
      <c r="AX34" s="14"/>
      <c r="AY34" s="23"/>
      <c r="BI34" s="11"/>
      <c r="BO34" s="23"/>
      <c r="BT34" s="14"/>
      <c r="BU34" s="14"/>
      <c r="BW34" s="59"/>
      <c r="CA34" s="59"/>
      <c r="CL34" s="60"/>
    </row>
    <row r="35" spans="1:90" x14ac:dyDescent="0.3">
      <c r="A35" s="23"/>
      <c r="B35" s="23"/>
      <c r="H35" s="14"/>
      <c r="I35" s="23"/>
      <c r="O35" s="14"/>
      <c r="P35" s="23"/>
      <c r="V35" s="14"/>
      <c r="W35" s="23"/>
      <c r="AC35" s="14"/>
      <c r="AD35" s="23"/>
      <c r="AJ35" s="14"/>
      <c r="AQ35" s="18"/>
      <c r="AR35" s="23"/>
      <c r="AX35" s="14"/>
      <c r="AY35" s="23"/>
      <c r="BI35" s="11"/>
      <c r="BO35" s="23"/>
      <c r="BT35" s="14"/>
      <c r="BU35" s="14"/>
      <c r="BW35" s="59"/>
      <c r="CA35" s="59"/>
      <c r="CL35" s="60"/>
    </row>
    <row r="36" spans="1:90" x14ac:dyDescent="0.3">
      <c r="A36" s="23"/>
      <c r="B36" s="23"/>
      <c r="H36" s="14"/>
      <c r="I36" s="23"/>
      <c r="O36" s="14"/>
      <c r="P36" s="23"/>
      <c r="V36" s="14"/>
      <c r="W36" s="23"/>
      <c r="AC36" s="14"/>
      <c r="AD36" s="23"/>
      <c r="AJ36" s="14"/>
      <c r="AQ36" s="18"/>
      <c r="AR36" s="23"/>
      <c r="AX36" s="14"/>
      <c r="AY36" s="23"/>
      <c r="AZ36" s="21" t="s">
        <v>426</v>
      </c>
      <c r="BA36" s="17"/>
      <c r="BI36" s="11"/>
      <c r="BO36" s="23"/>
      <c r="BT36" s="14"/>
      <c r="BU36" s="14"/>
      <c r="BW36" s="59"/>
      <c r="CA36" s="59"/>
      <c r="CL36" s="60"/>
    </row>
    <row r="37" spans="1:90" x14ac:dyDescent="0.3">
      <c r="A37" s="23"/>
      <c r="B37" s="23"/>
      <c r="H37" s="14"/>
      <c r="I37" s="23"/>
      <c r="O37" s="14"/>
      <c r="P37" s="23"/>
      <c r="V37" s="14"/>
      <c r="W37" s="23"/>
      <c r="AC37" s="14"/>
      <c r="AD37" s="23"/>
      <c r="AJ37" s="14"/>
      <c r="AQ37" s="18"/>
      <c r="AR37" s="23"/>
      <c r="AX37" s="14"/>
      <c r="AY37" s="23"/>
      <c r="AZ37" s="11"/>
      <c r="BA37" s="8" t="s">
        <v>427</v>
      </c>
      <c r="BI37" s="11"/>
      <c r="BO37" s="23"/>
      <c r="BT37" s="14"/>
      <c r="BU37" s="14"/>
      <c r="BW37" s="59"/>
      <c r="CA37" s="59"/>
      <c r="CL37" s="60"/>
    </row>
    <row r="38" spans="1:90" x14ac:dyDescent="0.3">
      <c r="A38" s="23"/>
      <c r="B38" s="23"/>
      <c r="H38" s="14"/>
      <c r="I38" s="23"/>
      <c r="O38" s="14"/>
      <c r="P38" s="23"/>
      <c r="V38" s="14"/>
      <c r="W38" s="23"/>
      <c r="AC38" s="14"/>
      <c r="AD38" s="23"/>
      <c r="AJ38" s="14"/>
      <c r="AQ38" s="18"/>
      <c r="AR38" s="23"/>
      <c r="AX38" s="14"/>
      <c r="AY38" s="23"/>
      <c r="AZ38" s="16"/>
      <c r="BA38" s="11" t="s">
        <v>428</v>
      </c>
      <c r="BB38" s="11"/>
      <c r="BC38" s="11"/>
      <c r="BI38" s="11"/>
      <c r="BO38" s="23"/>
      <c r="BT38" s="14"/>
      <c r="BU38" s="14"/>
      <c r="BW38" s="59"/>
      <c r="CA38" s="59"/>
      <c r="CL38" s="60"/>
    </row>
    <row r="39" spans="1:90" x14ac:dyDescent="0.3">
      <c r="A39" s="23"/>
      <c r="B39" s="23"/>
      <c r="H39" s="14"/>
      <c r="I39" s="23"/>
      <c r="O39" s="14"/>
      <c r="P39" s="23"/>
      <c r="V39" s="14"/>
      <c r="W39" s="23"/>
      <c r="AC39" s="14"/>
      <c r="AD39" s="23"/>
      <c r="AJ39" s="14"/>
      <c r="AQ39" s="18"/>
      <c r="AR39" s="23"/>
      <c r="AX39" s="14"/>
      <c r="AY39" s="23"/>
      <c r="AZ39" s="11"/>
      <c r="BI39" s="11"/>
      <c r="BO39" s="23"/>
      <c r="BT39" s="14"/>
      <c r="BU39" s="14"/>
      <c r="BW39" s="59"/>
      <c r="CA39" s="59"/>
      <c r="CL39" s="60"/>
    </row>
    <row r="40" spans="1:90" x14ac:dyDescent="0.3">
      <c r="A40" s="23"/>
      <c r="B40" s="23"/>
      <c r="H40" s="14"/>
      <c r="I40" s="23"/>
      <c r="O40" s="14"/>
      <c r="P40" s="23"/>
      <c r="V40" s="14"/>
      <c r="W40" s="23"/>
      <c r="AC40" s="14"/>
      <c r="AD40" s="23"/>
      <c r="AJ40" s="14"/>
      <c r="AQ40" s="18"/>
      <c r="AR40" s="23"/>
      <c r="AX40" s="14"/>
      <c r="AY40" s="23"/>
      <c r="AZ40" s="11"/>
      <c r="BI40" s="11"/>
      <c r="BO40" s="23"/>
      <c r="BT40" s="14"/>
      <c r="BU40" s="14"/>
      <c r="BW40" s="59"/>
      <c r="CA40" s="59"/>
      <c r="CL40" s="60"/>
    </row>
    <row r="41" spans="1:90" x14ac:dyDescent="0.3">
      <c r="A41" s="23"/>
      <c r="B41" s="23"/>
      <c r="H41" s="14"/>
      <c r="I41" s="23"/>
      <c r="O41" s="14"/>
      <c r="P41" s="23"/>
      <c r="V41" s="14"/>
      <c r="W41" s="23"/>
      <c r="AC41" s="14"/>
      <c r="AD41" s="23"/>
      <c r="AJ41" s="14"/>
      <c r="AQ41" s="18"/>
      <c r="AR41" s="23"/>
      <c r="AX41" s="14"/>
      <c r="AY41" s="23"/>
      <c r="AZ41" s="11"/>
      <c r="BI41" s="11"/>
      <c r="BO41" s="23"/>
      <c r="BT41" s="14"/>
      <c r="BU41" s="14"/>
      <c r="BW41" s="59"/>
      <c r="CA41" s="59"/>
      <c r="CL41" s="60"/>
    </row>
    <row r="42" spans="1:90" x14ac:dyDescent="0.3">
      <c r="A42" s="23"/>
      <c r="B42" s="23"/>
      <c r="H42" s="14"/>
      <c r="I42" s="23"/>
      <c r="O42" s="14"/>
      <c r="P42" s="23"/>
      <c r="V42" s="14"/>
      <c r="W42" s="23"/>
      <c r="AC42" s="14"/>
      <c r="AD42" s="23"/>
      <c r="AJ42" s="14"/>
      <c r="AQ42" s="18"/>
      <c r="AR42" s="23"/>
      <c r="AX42" s="14"/>
      <c r="AY42" s="23"/>
      <c r="AZ42" s="21" t="s">
        <v>429</v>
      </c>
      <c r="BA42" s="17"/>
      <c r="BI42" s="11"/>
      <c r="BO42" s="23"/>
      <c r="BT42" s="14"/>
      <c r="BU42" s="14"/>
      <c r="BW42" s="59"/>
      <c r="CA42" s="59"/>
      <c r="CL42" s="60"/>
    </row>
    <row r="43" spans="1:90" x14ac:dyDescent="0.3">
      <c r="A43" s="23"/>
      <c r="B43" s="23"/>
      <c r="H43" s="14"/>
      <c r="I43" s="23"/>
      <c r="O43" s="14"/>
      <c r="P43" s="23"/>
      <c r="V43" s="14"/>
      <c r="W43" s="23"/>
      <c r="AC43" s="14"/>
      <c r="AD43" s="23"/>
      <c r="AJ43" s="14"/>
      <c r="AQ43" s="18"/>
      <c r="AR43" s="23"/>
      <c r="AX43" s="14"/>
      <c r="AY43" s="23"/>
      <c r="AZ43" s="11"/>
      <c r="BA43" s="8" t="s">
        <v>430</v>
      </c>
      <c r="BI43" s="11"/>
      <c r="BO43" s="23"/>
      <c r="BT43" s="14"/>
      <c r="BU43" s="14"/>
      <c r="BW43" s="59"/>
      <c r="CA43" s="59"/>
      <c r="CL43" s="60"/>
    </row>
    <row r="44" spans="1:90" x14ac:dyDescent="0.3">
      <c r="A44" s="23"/>
      <c r="B44" s="23"/>
      <c r="H44" s="14"/>
      <c r="I44" s="23"/>
      <c r="O44" s="14"/>
      <c r="P44" s="23"/>
      <c r="V44" s="14"/>
      <c r="W44" s="23"/>
      <c r="AC44" s="14"/>
      <c r="AD44" s="23"/>
      <c r="AJ44" s="14"/>
      <c r="AQ44" s="18"/>
      <c r="AR44" s="23"/>
      <c r="AX44" s="14"/>
      <c r="AY44" s="23"/>
      <c r="AZ44" s="16"/>
      <c r="BA44" s="11" t="s">
        <v>431</v>
      </c>
      <c r="BB44" s="11"/>
      <c r="BC44" s="11"/>
      <c r="BI44" s="11"/>
      <c r="BO44" s="23"/>
      <c r="BT44" s="14"/>
      <c r="BU44" s="14"/>
      <c r="BW44" s="59"/>
      <c r="CA44" s="59"/>
      <c r="CL44" s="60"/>
    </row>
    <row r="45" spans="1:90" x14ac:dyDescent="0.3">
      <c r="A45" s="23"/>
      <c r="B45" s="23"/>
      <c r="H45" s="14"/>
      <c r="I45" s="23"/>
      <c r="O45" s="14"/>
      <c r="P45" s="23"/>
      <c r="V45" s="14"/>
      <c r="W45" s="23"/>
      <c r="AC45" s="14"/>
      <c r="AD45" s="23"/>
      <c r="AJ45" s="14"/>
      <c r="AQ45" s="18"/>
      <c r="AR45" s="23"/>
      <c r="AX45" s="14"/>
      <c r="AY45" s="23"/>
      <c r="AZ45" s="11"/>
      <c r="BA45" s="8" t="s">
        <v>432</v>
      </c>
      <c r="BI45" s="11"/>
      <c r="BO45" s="23"/>
      <c r="BT45" s="14"/>
      <c r="BU45" s="14"/>
      <c r="BW45" s="59"/>
      <c r="CA45" s="59"/>
      <c r="CL45" s="60"/>
    </row>
    <row r="46" spans="1:90" x14ac:dyDescent="0.3">
      <c r="A46" s="23"/>
      <c r="B46" s="23"/>
      <c r="H46" s="14"/>
      <c r="I46" s="23"/>
      <c r="O46" s="14"/>
      <c r="P46" s="23"/>
      <c r="V46" s="14"/>
      <c r="W46" s="23"/>
      <c r="AC46" s="14"/>
      <c r="AD46" s="23"/>
      <c r="AJ46" s="14"/>
      <c r="AQ46" s="18"/>
      <c r="AR46" s="23"/>
      <c r="AX46" s="14"/>
      <c r="AY46" s="23"/>
      <c r="AZ46" s="11"/>
      <c r="BA46" s="8" t="s">
        <v>433</v>
      </c>
      <c r="BI46" s="11"/>
      <c r="BO46" s="23"/>
      <c r="BT46" s="14"/>
      <c r="BU46" s="14"/>
      <c r="BW46" s="59"/>
      <c r="CA46" s="59"/>
      <c r="CL46" s="60"/>
    </row>
    <row r="47" spans="1:90" x14ac:dyDescent="0.3">
      <c r="A47" s="23"/>
      <c r="B47" s="23"/>
      <c r="H47" s="14"/>
      <c r="I47" s="23"/>
      <c r="O47" s="14"/>
      <c r="P47" s="23"/>
      <c r="V47" s="14"/>
      <c r="W47" s="23"/>
      <c r="AC47" s="14"/>
      <c r="AD47" s="23"/>
      <c r="AJ47" s="14"/>
      <c r="AQ47" s="18"/>
      <c r="AR47" s="23"/>
      <c r="AX47" s="14"/>
      <c r="AY47" s="23"/>
      <c r="AZ47" s="11"/>
      <c r="BA47" s="8" t="s">
        <v>434</v>
      </c>
      <c r="BI47" s="11"/>
      <c r="BO47" s="23"/>
      <c r="BT47" s="14"/>
      <c r="BU47" s="14"/>
      <c r="BW47" s="59"/>
      <c r="CA47" s="59"/>
      <c r="CL47" s="60"/>
    </row>
    <row r="48" spans="1:90" x14ac:dyDescent="0.3">
      <c r="A48" s="23"/>
      <c r="B48" s="23"/>
      <c r="H48" s="14"/>
      <c r="I48" s="23"/>
      <c r="O48" s="14"/>
      <c r="P48" s="23"/>
      <c r="V48" s="14"/>
      <c r="W48" s="23"/>
      <c r="AC48" s="14"/>
      <c r="AD48" s="23"/>
      <c r="AJ48" s="14"/>
      <c r="AQ48" s="18"/>
      <c r="AR48" s="23"/>
      <c r="AX48" s="14"/>
      <c r="AY48" s="23"/>
      <c r="AZ48" s="11"/>
      <c r="BO48" s="23"/>
      <c r="BT48" s="14"/>
      <c r="BU48" s="14"/>
      <c r="BW48" s="59"/>
      <c r="CA48" s="59"/>
      <c r="CL48" s="60"/>
    </row>
    <row r="49" spans="1:90" x14ac:dyDescent="0.3">
      <c r="A49" s="23"/>
      <c r="B49" s="23"/>
      <c r="H49" s="14"/>
      <c r="I49" s="23"/>
      <c r="O49" s="14"/>
      <c r="P49" s="23"/>
      <c r="V49" s="14"/>
      <c r="W49" s="23"/>
      <c r="AC49" s="14"/>
      <c r="AD49" s="23"/>
      <c r="AJ49" s="14"/>
      <c r="AQ49" s="18"/>
      <c r="AR49" s="23"/>
      <c r="AX49" s="14"/>
      <c r="AY49" s="23"/>
      <c r="AZ49" s="11"/>
      <c r="BO49" s="23"/>
      <c r="BT49" s="14"/>
      <c r="BU49" s="14"/>
      <c r="BW49" s="59"/>
      <c r="CA49" s="59"/>
      <c r="CL49" s="60"/>
    </row>
    <row r="50" spans="1:90" x14ac:dyDescent="0.3">
      <c r="A50" s="23"/>
      <c r="B50" s="23"/>
      <c r="H50" s="14"/>
      <c r="I50" s="23"/>
      <c r="O50" s="14"/>
      <c r="P50" s="23"/>
      <c r="V50" s="14"/>
      <c r="W50" s="23"/>
      <c r="AC50" s="14"/>
      <c r="AD50" s="23"/>
      <c r="AJ50" s="14"/>
      <c r="AQ50" s="18"/>
      <c r="AR50" s="23"/>
      <c r="AX50" s="14"/>
      <c r="AY50" s="23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O50" s="23"/>
      <c r="BT50" s="14"/>
      <c r="BU50" s="14"/>
      <c r="BW50" s="59"/>
      <c r="CA50" s="59"/>
      <c r="CL50" s="60"/>
    </row>
    <row r="51" spans="1:90" x14ac:dyDescent="0.3">
      <c r="A51" s="23"/>
      <c r="B51" s="23"/>
      <c r="H51" s="14"/>
      <c r="I51" s="23"/>
      <c r="O51" s="14"/>
      <c r="P51" s="23"/>
      <c r="V51" s="14"/>
      <c r="W51" s="23"/>
      <c r="AC51" s="14"/>
      <c r="AD51" s="23"/>
      <c r="AJ51" s="14"/>
      <c r="AQ51" s="18"/>
      <c r="AR51" s="23"/>
      <c r="AX51" s="14"/>
      <c r="AY51" s="23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O51" s="23"/>
      <c r="BT51" s="14"/>
      <c r="BU51" s="14"/>
      <c r="BW51" s="59"/>
      <c r="CA51" s="59"/>
      <c r="CL51" s="60"/>
    </row>
    <row r="52" spans="1:90" x14ac:dyDescent="0.3">
      <c r="A52" s="23"/>
      <c r="B52" s="23"/>
      <c r="H52" s="14"/>
      <c r="I52" s="23"/>
      <c r="O52" s="14"/>
      <c r="P52" s="23"/>
      <c r="V52" s="14"/>
      <c r="W52" s="23"/>
      <c r="AC52" s="14"/>
      <c r="AD52" s="23"/>
      <c r="AJ52" s="14"/>
      <c r="AQ52" s="18"/>
      <c r="AR52" s="23"/>
      <c r="AX52" s="14"/>
      <c r="AY52" s="23"/>
      <c r="BO52" s="23"/>
      <c r="BT52" s="14"/>
      <c r="BU52" s="14"/>
      <c r="BW52" s="59"/>
      <c r="CA52" s="59"/>
      <c r="CL52" s="60"/>
    </row>
    <row r="53" spans="1:90" x14ac:dyDescent="0.3">
      <c r="A53" s="23"/>
      <c r="B53" s="50"/>
      <c r="C53" s="10"/>
      <c r="D53" s="10"/>
      <c r="E53" s="10"/>
      <c r="F53" s="10"/>
      <c r="G53" s="10"/>
      <c r="H53" s="15"/>
      <c r="I53" s="50"/>
      <c r="J53" s="10"/>
      <c r="K53" s="10"/>
      <c r="L53" s="10"/>
      <c r="M53" s="10"/>
      <c r="N53" s="10"/>
      <c r="O53" s="15"/>
      <c r="P53" s="50"/>
      <c r="Q53" s="10"/>
      <c r="R53" s="10"/>
      <c r="S53" s="10"/>
      <c r="T53" s="10"/>
      <c r="U53" s="10"/>
      <c r="V53" s="15"/>
      <c r="W53" s="50"/>
      <c r="X53" s="10"/>
      <c r="Y53" s="10"/>
      <c r="Z53" s="10"/>
      <c r="AA53" s="10"/>
      <c r="AB53" s="10"/>
      <c r="AC53" s="15"/>
      <c r="AD53" s="50"/>
      <c r="AE53" s="10"/>
      <c r="AF53" s="10"/>
      <c r="AG53" s="10"/>
      <c r="AH53" s="10"/>
      <c r="AI53" s="10"/>
      <c r="AJ53" s="15"/>
      <c r="AK53" s="10"/>
      <c r="AL53" s="10"/>
      <c r="AM53" s="10"/>
      <c r="AN53" s="10"/>
      <c r="AO53" s="10"/>
      <c r="AP53" s="10"/>
      <c r="AQ53" s="18"/>
      <c r="AR53" s="23"/>
      <c r="AX53" s="14"/>
      <c r="AY53" s="5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50"/>
      <c r="BP53" s="10"/>
      <c r="BQ53" s="10"/>
      <c r="BR53" s="10"/>
      <c r="BS53" s="10"/>
      <c r="BT53" s="15"/>
      <c r="BU53" s="14"/>
      <c r="BW53" s="59"/>
      <c r="CA53" s="59"/>
      <c r="CL53" s="60"/>
    </row>
    <row r="54" spans="1:90" ht="13.5" customHeight="1" x14ac:dyDescent="0.3">
      <c r="A54" s="23"/>
      <c r="B54" s="37" t="s">
        <v>435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22"/>
      <c r="AS54" s="22"/>
      <c r="AT54" s="22"/>
      <c r="AU54" s="22"/>
      <c r="AV54" s="22"/>
      <c r="AW54" s="22"/>
      <c r="AX54" s="2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40"/>
      <c r="BU54" s="14"/>
      <c r="BW54" s="59"/>
      <c r="CA54" s="59"/>
      <c r="CL54" s="60"/>
    </row>
    <row r="55" spans="1:90" x14ac:dyDescent="0.3">
      <c r="A55" s="23"/>
      <c r="B55" s="23"/>
      <c r="H55" s="14"/>
      <c r="I55" s="23"/>
      <c r="O55" s="49"/>
      <c r="P55" s="23"/>
      <c r="V55" s="49"/>
      <c r="W55" s="23"/>
      <c r="AC55" s="49"/>
      <c r="AD55" s="23"/>
      <c r="AJ55" s="49"/>
      <c r="AK55" s="47"/>
      <c r="AR55" s="23"/>
      <c r="AX55" s="14"/>
      <c r="AY55" s="23"/>
      <c r="BO55" s="23"/>
      <c r="BT55" s="14"/>
      <c r="BU55" s="14"/>
      <c r="BW55" s="59"/>
      <c r="CA55" s="59"/>
      <c r="CL55" s="60"/>
    </row>
    <row r="56" spans="1:90" x14ac:dyDescent="0.3">
      <c r="A56" s="23"/>
      <c r="B56" s="23"/>
      <c r="H56" s="14"/>
      <c r="I56" s="23"/>
      <c r="O56" s="14"/>
      <c r="P56" s="23"/>
      <c r="V56" s="14"/>
      <c r="W56" s="23"/>
      <c r="AC56" s="14"/>
      <c r="AD56" s="23"/>
      <c r="AJ56" s="14"/>
      <c r="AK56" s="23"/>
      <c r="AR56" s="23"/>
      <c r="AX56" s="14"/>
      <c r="AY56" s="23"/>
      <c r="BO56" s="23"/>
      <c r="BT56" s="14"/>
      <c r="BU56" s="14"/>
      <c r="BW56" s="59"/>
      <c r="CA56" s="59"/>
      <c r="CL56" s="60"/>
    </row>
    <row r="57" spans="1:90" x14ac:dyDescent="0.3">
      <c r="A57" s="23"/>
      <c r="B57" s="23"/>
      <c r="H57" s="14"/>
      <c r="I57" s="23"/>
      <c r="O57" s="14"/>
      <c r="P57" s="23"/>
      <c r="V57" s="14"/>
      <c r="W57" s="23"/>
      <c r="AC57" s="14"/>
      <c r="AD57" s="23"/>
      <c r="AJ57" s="14"/>
      <c r="AK57" s="23"/>
      <c r="AR57" s="23"/>
      <c r="AX57" s="14"/>
      <c r="AY57" s="23"/>
      <c r="BO57" s="23"/>
      <c r="BT57" s="14"/>
      <c r="BU57" s="14"/>
      <c r="BW57" s="59"/>
      <c r="CA57" s="59"/>
      <c r="CL57" s="60"/>
    </row>
    <row r="58" spans="1:90" x14ac:dyDescent="0.3">
      <c r="A58" s="23"/>
      <c r="B58" s="23"/>
      <c r="H58" s="14"/>
      <c r="I58" s="23"/>
      <c r="O58" s="14"/>
      <c r="P58" s="23"/>
      <c r="V58" s="14"/>
      <c r="W58" s="23"/>
      <c r="AC58" s="14"/>
      <c r="AD58" s="23"/>
      <c r="AJ58" s="14"/>
      <c r="AK58" s="23"/>
      <c r="AR58" s="23"/>
      <c r="AX58" s="14"/>
      <c r="AY58" s="23"/>
      <c r="BO58" s="23"/>
      <c r="BT58" s="14"/>
      <c r="BU58" s="14"/>
      <c r="BW58" s="59"/>
      <c r="CA58" s="59"/>
      <c r="CL58" s="60"/>
    </row>
    <row r="59" spans="1:90" x14ac:dyDescent="0.3">
      <c r="A59" s="23"/>
      <c r="B59" s="23"/>
      <c r="H59" s="14"/>
      <c r="I59" s="23"/>
      <c r="O59" s="14"/>
      <c r="P59" s="23"/>
      <c r="V59" s="14"/>
      <c r="W59" s="23"/>
      <c r="AC59" s="14"/>
      <c r="AD59" s="23"/>
      <c r="AJ59" s="14"/>
      <c r="AK59" s="23"/>
      <c r="AR59" s="23"/>
      <c r="AX59" s="14"/>
      <c r="AY59" s="23"/>
      <c r="BO59" s="23"/>
      <c r="BT59" s="14"/>
      <c r="BU59" s="14"/>
      <c r="BW59" s="59"/>
      <c r="CA59" s="59"/>
      <c r="CL59" s="60"/>
    </row>
    <row r="60" spans="1:90" x14ac:dyDescent="0.3">
      <c r="A60" s="23"/>
      <c r="B60" s="23"/>
      <c r="H60" s="14"/>
      <c r="I60" s="23"/>
      <c r="O60" s="14"/>
      <c r="P60" s="23"/>
      <c r="V60" s="14"/>
      <c r="W60" s="23"/>
      <c r="AC60" s="14"/>
      <c r="AD60" s="23"/>
      <c r="AJ60" s="14"/>
      <c r="AR60" s="23"/>
      <c r="AX60" s="14"/>
      <c r="AY60" s="23"/>
      <c r="AZ60" s="21" t="s">
        <v>436</v>
      </c>
      <c r="BA60" s="17"/>
      <c r="BB60" s="17"/>
      <c r="BC60" s="17"/>
      <c r="BD60" s="17"/>
      <c r="BO60" s="23"/>
      <c r="BT60" s="14"/>
      <c r="BU60" s="14"/>
      <c r="BW60" s="59"/>
      <c r="CA60" s="59"/>
      <c r="CL60" s="60"/>
    </row>
    <row r="61" spans="1:90" x14ac:dyDescent="0.3">
      <c r="A61" s="23"/>
      <c r="B61" s="23"/>
      <c r="H61" s="14"/>
      <c r="I61" s="23"/>
      <c r="O61" s="14"/>
      <c r="P61" s="23"/>
      <c r="V61" s="14"/>
      <c r="W61" s="23"/>
      <c r="AC61" s="14"/>
      <c r="AD61" s="23"/>
      <c r="AJ61" s="14"/>
      <c r="AR61" s="23"/>
      <c r="AX61" s="14"/>
      <c r="AY61" s="23"/>
      <c r="AZ61" s="11"/>
      <c r="BA61" s="8" t="s">
        <v>437</v>
      </c>
      <c r="BB61" s="17"/>
      <c r="BC61" s="17"/>
      <c r="BD61" s="17"/>
      <c r="BO61" s="23"/>
      <c r="BT61" s="14"/>
      <c r="BU61" s="14"/>
      <c r="BW61" s="59"/>
      <c r="CA61" s="59"/>
      <c r="CL61" s="60"/>
    </row>
    <row r="62" spans="1:90" x14ac:dyDescent="0.3">
      <c r="A62" s="23"/>
      <c r="B62" s="23"/>
      <c r="H62" s="14"/>
      <c r="I62" s="23"/>
      <c r="O62" s="14"/>
      <c r="P62" s="23"/>
      <c r="V62" s="14"/>
      <c r="W62" s="23"/>
      <c r="AC62" s="14"/>
      <c r="AD62" s="23"/>
      <c r="AJ62" s="14"/>
      <c r="AR62" s="23"/>
      <c r="AX62" s="14"/>
      <c r="AY62" s="23"/>
      <c r="BA62" s="8" t="s">
        <v>438</v>
      </c>
      <c r="BO62" s="23"/>
      <c r="BT62" s="14"/>
      <c r="BU62" s="14"/>
      <c r="BW62" s="59"/>
      <c r="CA62" s="59"/>
      <c r="CL62" s="60"/>
    </row>
    <row r="63" spans="1:90" x14ac:dyDescent="0.3">
      <c r="A63" s="23"/>
      <c r="B63" s="23"/>
      <c r="H63" s="14"/>
      <c r="I63" s="23"/>
      <c r="O63" s="14"/>
      <c r="P63" s="23"/>
      <c r="V63" s="14"/>
      <c r="W63" s="23"/>
      <c r="AC63" s="14"/>
      <c r="AD63" s="23"/>
      <c r="AJ63" s="14"/>
      <c r="AR63" s="23"/>
      <c r="AX63" s="14"/>
      <c r="AY63" s="23"/>
      <c r="BO63" s="23"/>
      <c r="BT63" s="14"/>
      <c r="BU63" s="14"/>
      <c r="BW63" s="59"/>
      <c r="CA63" s="59"/>
      <c r="CL63" s="60"/>
    </row>
    <row r="64" spans="1:90" x14ac:dyDescent="0.3">
      <c r="A64" s="23"/>
      <c r="B64" s="23"/>
      <c r="H64" s="14"/>
      <c r="I64" s="23"/>
      <c r="O64" s="14"/>
      <c r="P64" s="23"/>
      <c r="V64" s="14"/>
      <c r="W64" s="23"/>
      <c r="AC64" s="14"/>
      <c r="AD64" s="23"/>
      <c r="AJ64" s="14"/>
      <c r="AR64" s="23"/>
      <c r="AX64" s="14"/>
      <c r="AY64" s="23"/>
      <c r="BO64" s="23"/>
      <c r="BT64" s="14"/>
      <c r="BU64" s="14"/>
      <c r="BW64" s="59"/>
      <c r="CA64" s="59"/>
      <c r="CL64" s="60"/>
    </row>
    <row r="65" spans="1:90" x14ac:dyDescent="0.3">
      <c r="A65" s="23"/>
      <c r="B65" s="23"/>
      <c r="H65" s="14"/>
      <c r="I65" s="23"/>
      <c r="O65" s="14"/>
      <c r="P65" s="23"/>
      <c r="V65" s="14"/>
      <c r="W65" s="23"/>
      <c r="AC65" s="14"/>
      <c r="AD65" s="23"/>
      <c r="AJ65" s="14"/>
      <c r="AR65" s="23"/>
      <c r="AX65" s="14"/>
      <c r="AY65" s="23"/>
      <c r="BO65" s="23"/>
      <c r="BT65" s="14"/>
      <c r="BU65" s="14"/>
      <c r="BW65" s="59"/>
      <c r="CA65" s="59"/>
      <c r="CL65" s="60"/>
    </row>
    <row r="66" spans="1:90" x14ac:dyDescent="0.3">
      <c r="A66" s="23"/>
      <c r="B66" s="23"/>
      <c r="H66" s="14"/>
      <c r="I66" s="23"/>
      <c r="O66" s="14"/>
      <c r="P66" s="23"/>
      <c r="V66" s="14"/>
      <c r="W66" s="23"/>
      <c r="AC66" s="14"/>
      <c r="AD66" s="23"/>
      <c r="AJ66" s="14"/>
      <c r="AR66" s="23"/>
      <c r="AX66" s="14"/>
      <c r="AY66" s="23"/>
      <c r="AZ66" s="21" t="s">
        <v>439</v>
      </c>
      <c r="BA66" s="17"/>
      <c r="BB66" s="17"/>
      <c r="BC66" s="17"/>
      <c r="BD66" s="17"/>
      <c r="BO66" s="23"/>
      <c r="BT66" s="14"/>
      <c r="BU66" s="14"/>
      <c r="BW66" s="59"/>
      <c r="CA66" s="59"/>
      <c r="CL66" s="60"/>
    </row>
    <row r="67" spans="1:90" x14ac:dyDescent="0.3">
      <c r="A67" s="23"/>
      <c r="B67" s="23"/>
      <c r="H67" s="14"/>
      <c r="I67" s="23"/>
      <c r="O67" s="14"/>
      <c r="P67" s="23"/>
      <c r="V67" s="14"/>
      <c r="W67" s="23"/>
      <c r="AC67" s="14"/>
      <c r="AD67" s="23"/>
      <c r="AJ67" s="14"/>
      <c r="AR67" s="23"/>
      <c r="AX67" s="14"/>
      <c r="AY67" s="23"/>
      <c r="AZ67" s="11"/>
      <c r="BA67" s="8" t="s">
        <v>440</v>
      </c>
      <c r="BB67" s="17"/>
      <c r="BC67" s="17"/>
      <c r="BD67" s="17"/>
      <c r="BO67" s="23"/>
      <c r="BT67" s="14"/>
      <c r="BU67" s="14"/>
      <c r="BW67" s="59"/>
      <c r="CA67" s="59"/>
      <c r="CL67" s="60"/>
    </row>
    <row r="68" spans="1:90" x14ac:dyDescent="0.3">
      <c r="A68" s="23"/>
      <c r="B68" s="23"/>
      <c r="H68" s="14"/>
      <c r="I68" s="23"/>
      <c r="O68" s="14"/>
      <c r="P68" s="23"/>
      <c r="V68" s="14"/>
      <c r="W68" s="23"/>
      <c r="AC68" s="14"/>
      <c r="AD68" s="23"/>
      <c r="AJ68" s="14"/>
      <c r="AR68" s="23"/>
      <c r="AX68" s="14"/>
      <c r="AY68" s="23"/>
      <c r="BA68" s="8" t="s">
        <v>441</v>
      </c>
      <c r="BO68" s="23"/>
      <c r="BT68" s="14"/>
      <c r="BU68" s="14"/>
      <c r="BW68" s="59"/>
      <c r="CA68" s="59"/>
      <c r="CL68" s="60"/>
    </row>
    <row r="69" spans="1:90" x14ac:dyDescent="0.3">
      <c r="A69" s="23"/>
      <c r="B69" s="23"/>
      <c r="H69" s="14"/>
      <c r="I69" s="23"/>
      <c r="O69" s="14"/>
      <c r="P69" s="23"/>
      <c r="V69" s="14"/>
      <c r="W69" s="23"/>
      <c r="AC69" s="14"/>
      <c r="AD69" s="23"/>
      <c r="AJ69" s="14"/>
      <c r="AR69" s="23"/>
      <c r="AX69" s="14"/>
      <c r="AY69" s="23"/>
      <c r="BO69" s="23"/>
      <c r="BT69" s="14"/>
      <c r="BU69" s="14"/>
      <c r="BW69" s="59"/>
      <c r="CA69" s="59"/>
      <c r="CL69" s="60"/>
    </row>
    <row r="70" spans="1:90" x14ac:dyDescent="0.3">
      <c r="A70" s="23"/>
      <c r="B70" s="23"/>
      <c r="H70" s="14"/>
      <c r="I70" s="23"/>
      <c r="O70" s="14"/>
      <c r="P70" s="23"/>
      <c r="V70" s="14"/>
      <c r="W70" s="23"/>
      <c r="AC70" s="14"/>
      <c r="AD70" s="23"/>
      <c r="AJ70" s="14"/>
      <c r="AR70" s="23"/>
      <c r="AX70" s="14"/>
      <c r="AY70" s="23"/>
      <c r="BO70" s="23"/>
      <c r="BT70" s="14"/>
      <c r="BU70" s="14"/>
      <c r="BW70" s="59"/>
      <c r="CA70" s="59"/>
      <c r="CL70" s="60"/>
    </row>
    <row r="71" spans="1:90" x14ac:dyDescent="0.3">
      <c r="A71" s="23"/>
      <c r="B71" s="23"/>
      <c r="H71" s="14"/>
      <c r="I71" s="23"/>
      <c r="O71" s="14"/>
      <c r="P71" s="23"/>
      <c r="V71" s="14"/>
      <c r="W71" s="23"/>
      <c r="AC71" s="14"/>
      <c r="AD71" s="23"/>
      <c r="AJ71" s="14"/>
      <c r="AR71" s="23"/>
      <c r="AX71" s="14"/>
      <c r="AY71" s="23"/>
      <c r="BO71" s="23"/>
      <c r="BT71" s="14"/>
      <c r="BU71" s="14"/>
      <c r="BW71" s="59"/>
      <c r="CA71" s="59"/>
      <c r="CL71" s="60"/>
    </row>
    <row r="72" spans="1:90" x14ac:dyDescent="0.3">
      <c r="A72" s="23"/>
      <c r="B72" s="23"/>
      <c r="H72" s="14"/>
      <c r="I72" s="23"/>
      <c r="O72" s="14"/>
      <c r="P72" s="23"/>
      <c r="V72" s="14"/>
      <c r="W72" s="23"/>
      <c r="AC72" s="14"/>
      <c r="AD72" s="23"/>
      <c r="AJ72" s="14"/>
      <c r="AR72" s="23"/>
      <c r="AX72" s="14"/>
      <c r="AY72" s="23"/>
      <c r="BO72" s="23"/>
      <c r="BT72" s="14"/>
      <c r="BU72" s="14"/>
      <c r="BW72" s="59"/>
      <c r="CA72" s="59"/>
      <c r="CL72" s="60"/>
    </row>
    <row r="73" spans="1:90" x14ac:dyDescent="0.3">
      <c r="A73" s="23"/>
      <c r="B73" s="23"/>
      <c r="H73" s="14"/>
      <c r="I73" s="23"/>
      <c r="O73" s="14"/>
      <c r="P73" s="23"/>
      <c r="V73" s="14"/>
      <c r="W73" s="23"/>
      <c r="AC73" s="14"/>
      <c r="AD73" s="23"/>
      <c r="AJ73" s="14"/>
      <c r="AR73" s="23"/>
      <c r="AX73" s="14"/>
      <c r="AY73" s="23"/>
      <c r="BO73" s="23"/>
      <c r="BT73" s="14"/>
      <c r="BU73" s="14"/>
      <c r="BW73" s="59"/>
      <c r="CA73" s="59"/>
      <c r="CL73" s="60"/>
    </row>
    <row r="74" spans="1:90" x14ac:dyDescent="0.3">
      <c r="A74" s="23"/>
      <c r="B74" s="23"/>
      <c r="H74" s="14"/>
      <c r="I74" s="23"/>
      <c r="O74" s="14"/>
      <c r="P74" s="23"/>
      <c r="V74" s="14"/>
      <c r="W74" s="23"/>
      <c r="AC74" s="14"/>
      <c r="AD74" s="23"/>
      <c r="AJ74" s="14"/>
      <c r="AR74" s="23"/>
      <c r="AX74" s="14"/>
      <c r="AY74" s="23"/>
      <c r="BO74" s="23"/>
      <c r="BT74" s="14"/>
      <c r="BU74" s="14"/>
      <c r="BW74" s="59"/>
      <c r="CA74" s="59"/>
      <c r="CL74" s="60"/>
    </row>
    <row r="75" spans="1:90" x14ac:dyDescent="0.3">
      <c r="A75" s="23"/>
      <c r="B75" s="23"/>
      <c r="H75" s="14"/>
      <c r="I75" s="23"/>
      <c r="O75" s="14"/>
      <c r="P75" s="23"/>
      <c r="V75" s="14"/>
      <c r="W75" s="23"/>
      <c r="AC75" s="14"/>
      <c r="AD75" s="23"/>
      <c r="AJ75" s="14"/>
      <c r="AR75" s="23"/>
      <c r="AX75" s="14"/>
      <c r="AY75" s="23"/>
      <c r="BO75" s="23"/>
      <c r="BT75" s="14"/>
      <c r="BU75" s="14"/>
      <c r="BW75" s="59"/>
      <c r="CA75" s="59"/>
      <c r="CL75" s="60"/>
    </row>
    <row r="76" spans="1:90" ht="13.5" customHeight="1" x14ac:dyDescent="0.3">
      <c r="A76" s="23"/>
      <c r="B76" s="37" t="s">
        <v>442</v>
      </c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22"/>
      <c r="AS76" s="22"/>
      <c r="AT76" s="22"/>
      <c r="AU76" s="22"/>
      <c r="AV76" s="22"/>
      <c r="AW76" s="22"/>
      <c r="AX76" s="2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40"/>
      <c r="BU76" s="14"/>
      <c r="BW76" s="59"/>
      <c r="CA76" s="59"/>
      <c r="CL76" s="60"/>
    </row>
    <row r="77" spans="1:90" x14ac:dyDescent="0.3">
      <c r="A77" s="23"/>
      <c r="B77" s="23"/>
      <c r="H77" s="14"/>
      <c r="I77" s="23"/>
      <c r="O77" s="49"/>
      <c r="P77" s="23"/>
      <c r="V77" s="49"/>
      <c r="W77" s="23"/>
      <c r="AC77" s="49"/>
      <c r="AD77" s="23"/>
      <c r="AJ77" s="49"/>
      <c r="AK77" s="47"/>
      <c r="AR77" s="23"/>
      <c r="AX77" s="14"/>
      <c r="AY77" s="23"/>
      <c r="BO77" s="23"/>
      <c r="BT77" s="14"/>
      <c r="BU77" s="14"/>
      <c r="BW77" s="59"/>
      <c r="CA77" s="59"/>
      <c r="CL77" s="60"/>
    </row>
    <row r="78" spans="1:90" x14ac:dyDescent="0.3">
      <c r="A78" s="23"/>
      <c r="B78" s="23"/>
      <c r="H78" s="14"/>
      <c r="I78" s="23"/>
      <c r="O78" s="14"/>
      <c r="P78" s="23"/>
      <c r="V78" s="14"/>
      <c r="W78" s="23"/>
      <c r="AC78" s="14"/>
      <c r="AD78" s="23"/>
      <c r="AJ78" s="14"/>
      <c r="AK78" s="23"/>
      <c r="AR78" s="23"/>
      <c r="AX78" s="14"/>
      <c r="AY78" s="23"/>
      <c r="BO78" s="23"/>
      <c r="BT78" s="14"/>
      <c r="BU78" s="14"/>
      <c r="BW78" s="59"/>
      <c r="CA78" s="59"/>
      <c r="CL78" s="60"/>
    </row>
    <row r="79" spans="1:90" x14ac:dyDescent="0.3">
      <c r="A79" s="23"/>
      <c r="B79" s="23"/>
      <c r="H79" s="14"/>
      <c r="I79" s="23"/>
      <c r="O79" s="14"/>
      <c r="P79" s="23"/>
      <c r="V79" s="14"/>
      <c r="W79" s="23"/>
      <c r="AC79" s="14"/>
      <c r="AD79" s="23"/>
      <c r="AJ79" s="14"/>
      <c r="AK79" s="23"/>
      <c r="AR79" s="23"/>
      <c r="AX79" s="14"/>
      <c r="AY79" s="23"/>
      <c r="BO79" s="23"/>
      <c r="BT79" s="14"/>
      <c r="BU79" s="14"/>
      <c r="BW79" s="59"/>
      <c r="CA79" s="59"/>
      <c r="CL79" s="60"/>
    </row>
    <row r="80" spans="1:90" x14ac:dyDescent="0.3">
      <c r="A80" s="23"/>
      <c r="B80" s="23"/>
      <c r="H80" s="14"/>
      <c r="I80" s="23"/>
      <c r="O80" s="14"/>
      <c r="P80" s="23"/>
      <c r="V80" s="14"/>
      <c r="W80" s="23"/>
      <c r="AC80" s="14"/>
      <c r="AD80" s="23"/>
      <c r="AJ80" s="14"/>
      <c r="AK80" s="23"/>
      <c r="AR80" s="23"/>
      <c r="AX80" s="14"/>
      <c r="AY80" s="23"/>
      <c r="BO80" s="23"/>
      <c r="BT80" s="14"/>
      <c r="BU80" s="14"/>
      <c r="BW80" s="59"/>
      <c r="CA80" s="59"/>
      <c r="CL80" s="60"/>
    </row>
    <row r="81" spans="1:90" x14ac:dyDescent="0.3">
      <c r="A81" s="23"/>
      <c r="B81" s="23"/>
      <c r="H81" s="14"/>
      <c r="I81" s="23"/>
      <c r="O81" s="14"/>
      <c r="P81" s="23"/>
      <c r="V81" s="14"/>
      <c r="W81" s="23"/>
      <c r="AC81" s="14"/>
      <c r="AD81" s="23"/>
      <c r="AJ81" s="14"/>
      <c r="AK81" s="23"/>
      <c r="AR81" s="23"/>
      <c r="AX81" s="14"/>
      <c r="AY81" s="23"/>
      <c r="BO81" s="23"/>
      <c r="BT81" s="14"/>
      <c r="BU81" s="14"/>
      <c r="BW81" s="59"/>
      <c r="CA81" s="59"/>
      <c r="CL81" s="60"/>
    </row>
    <row r="82" spans="1:90" x14ac:dyDescent="0.3">
      <c r="A82" s="23"/>
      <c r="B82" s="23"/>
      <c r="H82" s="14"/>
      <c r="I82" s="23"/>
      <c r="O82" s="14"/>
      <c r="P82" s="23"/>
      <c r="V82" s="14"/>
      <c r="W82" s="23"/>
      <c r="AC82" s="14"/>
      <c r="AD82" s="23"/>
      <c r="AJ82" s="14"/>
      <c r="AR82" s="23"/>
      <c r="AX82" s="14"/>
      <c r="AY82" s="23"/>
      <c r="AZ82" s="21" t="s">
        <v>443</v>
      </c>
      <c r="BA82" s="17"/>
      <c r="BB82" s="17"/>
      <c r="BC82" s="17"/>
      <c r="BD82" s="17"/>
      <c r="BO82" s="23"/>
      <c r="BT82" s="14"/>
      <c r="BU82" s="14"/>
      <c r="BW82" s="59"/>
      <c r="CA82" s="59"/>
      <c r="CL82" s="60"/>
    </row>
    <row r="83" spans="1:90" x14ac:dyDescent="0.3">
      <c r="A83" s="23"/>
      <c r="B83" s="23"/>
      <c r="H83" s="14"/>
      <c r="I83" s="23"/>
      <c r="O83" s="14"/>
      <c r="P83" s="23"/>
      <c r="V83" s="14"/>
      <c r="W83" s="23"/>
      <c r="AC83" s="14"/>
      <c r="AD83" s="23"/>
      <c r="AJ83" s="14"/>
      <c r="AR83" s="23"/>
      <c r="AX83" s="14"/>
      <c r="AY83" s="23"/>
      <c r="AZ83" s="11"/>
      <c r="BA83" s="8" t="s">
        <v>444</v>
      </c>
      <c r="BB83" s="17"/>
      <c r="BC83" s="17"/>
      <c r="BD83" s="17"/>
      <c r="BO83" s="23"/>
      <c r="BT83" s="14"/>
      <c r="BU83" s="14"/>
      <c r="BW83" s="59"/>
      <c r="CA83" s="59"/>
      <c r="CL83" s="60"/>
    </row>
    <row r="84" spans="1:90" x14ac:dyDescent="0.3">
      <c r="A84" s="23"/>
      <c r="B84" s="23"/>
      <c r="H84" s="14"/>
      <c r="I84" s="23"/>
      <c r="O84" s="14"/>
      <c r="P84" s="23"/>
      <c r="V84" s="14"/>
      <c r="W84" s="23"/>
      <c r="AC84" s="14"/>
      <c r="AD84" s="23"/>
      <c r="AJ84" s="14"/>
      <c r="AR84" s="23"/>
      <c r="AX84" s="14"/>
      <c r="AY84" s="23"/>
      <c r="BO84" s="23"/>
      <c r="BT84" s="14"/>
      <c r="BU84" s="14"/>
      <c r="BW84" s="59"/>
      <c r="CA84" s="59"/>
      <c r="CL84" s="60"/>
    </row>
    <row r="85" spans="1:90" x14ac:dyDescent="0.3">
      <c r="A85" s="23"/>
      <c r="B85" s="23"/>
      <c r="H85" s="14"/>
      <c r="I85" s="23"/>
      <c r="O85" s="14"/>
      <c r="P85" s="23"/>
      <c r="V85" s="14"/>
      <c r="W85" s="23"/>
      <c r="AC85" s="14"/>
      <c r="AD85" s="23"/>
      <c r="AJ85" s="14"/>
      <c r="AR85" s="23"/>
      <c r="AX85" s="14"/>
      <c r="AY85" s="23"/>
      <c r="BO85" s="23"/>
      <c r="BT85" s="14"/>
      <c r="BU85" s="14"/>
      <c r="BW85" s="59"/>
      <c r="CA85" s="59"/>
      <c r="CL85" s="60"/>
    </row>
    <row r="86" spans="1:90" x14ac:dyDescent="0.3">
      <c r="A86" s="23"/>
      <c r="B86" s="23"/>
      <c r="H86" s="14"/>
      <c r="I86" s="23"/>
      <c r="O86" s="14"/>
      <c r="P86" s="23"/>
      <c r="V86" s="14"/>
      <c r="W86" s="23"/>
      <c r="AC86" s="14"/>
      <c r="AD86" s="23"/>
      <c r="AJ86" s="14"/>
      <c r="AR86" s="23"/>
      <c r="AX86" s="14"/>
      <c r="AY86" s="23"/>
      <c r="AZ86" s="21" t="s">
        <v>445</v>
      </c>
      <c r="BA86" s="17"/>
      <c r="BB86" s="17"/>
      <c r="BO86" s="23"/>
      <c r="BT86" s="14"/>
      <c r="BU86" s="14"/>
      <c r="BW86" s="59"/>
      <c r="CA86" s="59"/>
      <c r="CL86" s="60"/>
    </row>
    <row r="87" spans="1:90" x14ac:dyDescent="0.3">
      <c r="A87" s="23"/>
      <c r="B87" s="23"/>
      <c r="H87" s="14"/>
      <c r="I87" s="23"/>
      <c r="O87" s="14"/>
      <c r="P87" s="23"/>
      <c r="V87" s="14"/>
      <c r="W87" s="23"/>
      <c r="AC87" s="14"/>
      <c r="AD87" s="23"/>
      <c r="AJ87" s="14"/>
      <c r="AR87" s="23"/>
      <c r="AX87" s="14"/>
      <c r="AY87" s="23"/>
      <c r="AZ87" s="11"/>
      <c r="BA87" s="8" t="s">
        <v>446</v>
      </c>
      <c r="BB87" s="17"/>
      <c r="BO87" s="23"/>
      <c r="BT87" s="14"/>
      <c r="BU87" s="14"/>
      <c r="BW87" s="59"/>
      <c r="CA87" s="59"/>
      <c r="CL87" s="60"/>
    </row>
    <row r="88" spans="1:90" x14ac:dyDescent="0.3">
      <c r="A88" s="23"/>
      <c r="B88" s="23"/>
      <c r="H88" s="14"/>
      <c r="I88" s="23"/>
      <c r="O88" s="14"/>
      <c r="P88" s="23"/>
      <c r="V88" s="14"/>
      <c r="W88" s="23"/>
      <c r="AC88" s="14"/>
      <c r="AD88" s="23"/>
      <c r="AJ88" s="14"/>
      <c r="AR88" s="23"/>
      <c r="AX88" s="14"/>
      <c r="AY88" s="23"/>
      <c r="BC88" s="17"/>
      <c r="BD88" s="17"/>
      <c r="BO88" s="23"/>
      <c r="BT88" s="14"/>
      <c r="BU88" s="14"/>
      <c r="BW88" s="59"/>
      <c r="CA88" s="59"/>
      <c r="CL88" s="60"/>
    </row>
    <row r="89" spans="1:90" x14ac:dyDescent="0.3">
      <c r="A89" s="23"/>
      <c r="B89" s="23"/>
      <c r="H89" s="14"/>
      <c r="I89" s="23"/>
      <c r="O89" s="14"/>
      <c r="P89" s="23"/>
      <c r="V89" s="14"/>
      <c r="W89" s="23"/>
      <c r="AC89" s="14"/>
      <c r="AD89" s="23"/>
      <c r="AJ89" s="14"/>
      <c r="AR89" s="23"/>
      <c r="AX89" s="14"/>
      <c r="AY89" s="23"/>
      <c r="BC89" s="17"/>
      <c r="BD89" s="17"/>
      <c r="BO89" s="23"/>
      <c r="BT89" s="14"/>
      <c r="BU89" s="14"/>
      <c r="BW89" s="59"/>
      <c r="CA89" s="59"/>
      <c r="CL89" s="60"/>
    </row>
    <row r="90" spans="1:90" x14ac:dyDescent="0.3">
      <c r="A90" s="23"/>
      <c r="B90" s="23"/>
      <c r="H90" s="14"/>
      <c r="I90" s="23"/>
      <c r="O90" s="14"/>
      <c r="P90" s="23"/>
      <c r="V90" s="14"/>
      <c r="W90" s="23"/>
      <c r="AC90" s="14"/>
      <c r="AD90" s="23"/>
      <c r="AJ90" s="14"/>
      <c r="AR90" s="23"/>
      <c r="AX90" s="14"/>
      <c r="AY90" s="23"/>
      <c r="BO90" s="23"/>
      <c r="BT90" s="14"/>
      <c r="BU90" s="14"/>
      <c r="BW90" s="59"/>
      <c r="CA90" s="59"/>
      <c r="CL90" s="60"/>
    </row>
    <row r="91" spans="1:90" x14ac:dyDescent="0.3">
      <c r="A91" s="23"/>
      <c r="B91" s="23"/>
      <c r="H91" s="14"/>
      <c r="I91" s="23"/>
      <c r="O91" s="14"/>
      <c r="P91" s="23"/>
      <c r="V91" s="14"/>
      <c r="W91" s="23"/>
      <c r="AC91" s="14"/>
      <c r="AD91" s="23"/>
      <c r="AJ91" s="14"/>
      <c r="AR91" s="23"/>
      <c r="AX91" s="14"/>
      <c r="AY91" s="23"/>
      <c r="BO91" s="23"/>
      <c r="BT91" s="14"/>
      <c r="BU91" s="14"/>
      <c r="BW91" s="59"/>
      <c r="CA91" s="59"/>
      <c r="CL91" s="60"/>
    </row>
    <row r="92" spans="1:90" x14ac:dyDescent="0.3">
      <c r="A92" s="23"/>
      <c r="B92" s="23"/>
      <c r="H92" s="14"/>
      <c r="I92" s="23"/>
      <c r="O92" s="14"/>
      <c r="P92" s="23"/>
      <c r="V92" s="14"/>
      <c r="W92" s="23"/>
      <c r="AC92" s="14"/>
      <c r="AD92" s="23"/>
      <c r="AJ92" s="14"/>
      <c r="AR92" s="23"/>
      <c r="AX92" s="14"/>
      <c r="AY92" s="23"/>
      <c r="AZ92" s="21" t="s">
        <v>447</v>
      </c>
      <c r="BA92" s="17"/>
      <c r="BB92" s="17"/>
      <c r="BO92" s="23"/>
      <c r="BT92" s="14"/>
      <c r="BU92" s="14"/>
      <c r="BW92" s="59"/>
      <c r="CA92" s="59"/>
      <c r="CL92" s="60"/>
    </row>
    <row r="93" spans="1:90" x14ac:dyDescent="0.3">
      <c r="A93" s="23"/>
      <c r="B93" s="23"/>
      <c r="H93" s="14"/>
      <c r="I93" s="23"/>
      <c r="O93" s="14"/>
      <c r="P93" s="23"/>
      <c r="V93" s="14"/>
      <c r="W93" s="23"/>
      <c r="AC93" s="14"/>
      <c r="AD93" s="23"/>
      <c r="AJ93" s="14"/>
      <c r="AR93" s="23"/>
      <c r="AX93" s="14"/>
      <c r="AY93" s="23"/>
      <c r="AZ93" s="11"/>
      <c r="BA93" s="8" t="s">
        <v>448</v>
      </c>
      <c r="BB93" s="17"/>
      <c r="BO93" s="23"/>
      <c r="BT93" s="14"/>
      <c r="BU93" s="14"/>
      <c r="BW93" s="59"/>
      <c r="CA93" s="59"/>
      <c r="CL93" s="60"/>
    </row>
    <row r="94" spans="1:90" x14ac:dyDescent="0.3">
      <c r="A94" s="23"/>
      <c r="B94" s="23"/>
      <c r="H94" s="14"/>
      <c r="I94" s="23"/>
      <c r="O94" s="14"/>
      <c r="P94" s="23"/>
      <c r="V94" s="14"/>
      <c r="W94" s="23"/>
      <c r="AC94" s="14"/>
      <c r="AD94" s="23"/>
      <c r="AJ94" s="14"/>
      <c r="AR94" s="23"/>
      <c r="AX94" s="14"/>
      <c r="AY94" s="23"/>
      <c r="BO94" s="23"/>
      <c r="BT94" s="14"/>
      <c r="BU94" s="14"/>
      <c r="BW94" s="59"/>
      <c r="CA94" s="59"/>
      <c r="CL94" s="60"/>
    </row>
    <row r="95" spans="1:90" x14ac:dyDescent="0.3">
      <c r="A95" s="23"/>
      <c r="B95" s="23"/>
      <c r="H95" s="14"/>
      <c r="I95" s="23"/>
      <c r="O95" s="14"/>
      <c r="P95" s="23"/>
      <c r="V95" s="14"/>
      <c r="W95" s="23"/>
      <c r="AC95" s="14"/>
      <c r="AD95" s="23"/>
      <c r="AJ95" s="14"/>
      <c r="AR95" s="23"/>
      <c r="AX95" s="14"/>
      <c r="AY95" s="23"/>
      <c r="BO95" s="23"/>
      <c r="BT95" s="14"/>
      <c r="BU95" s="14"/>
      <c r="BW95" s="59"/>
      <c r="CA95" s="59"/>
      <c r="CL95" s="60"/>
    </row>
    <row r="96" spans="1:90" x14ac:dyDescent="0.3">
      <c r="A96" s="23"/>
      <c r="B96" s="23"/>
      <c r="H96" s="14"/>
      <c r="I96" s="23"/>
      <c r="O96" s="14"/>
      <c r="P96" s="23"/>
      <c r="V96" s="14"/>
      <c r="W96" s="23"/>
      <c r="AC96" s="14"/>
      <c r="AD96" s="23"/>
      <c r="AJ96" s="14"/>
      <c r="AR96" s="23"/>
      <c r="AX96" s="14"/>
      <c r="AY96" s="23"/>
      <c r="BO96" s="23"/>
      <c r="BT96" s="14"/>
      <c r="BU96" s="14"/>
      <c r="BW96" s="59"/>
      <c r="CA96" s="59"/>
      <c r="CL96" s="60"/>
    </row>
    <row r="97" spans="1:90" x14ac:dyDescent="0.3">
      <c r="A97" s="23"/>
      <c r="B97" s="23"/>
      <c r="H97" s="14"/>
      <c r="I97" s="23"/>
      <c r="O97" s="14"/>
      <c r="P97" s="23"/>
      <c r="V97" s="14"/>
      <c r="W97" s="23"/>
      <c r="AC97" s="14"/>
      <c r="AD97" s="23"/>
      <c r="AJ97" s="14"/>
      <c r="AR97" s="23"/>
      <c r="AX97" s="14"/>
      <c r="AY97" s="23"/>
      <c r="AZ97" s="21" t="s">
        <v>449</v>
      </c>
      <c r="BA97" s="17"/>
      <c r="BB97" s="17"/>
      <c r="BO97" s="23"/>
      <c r="BT97" s="14"/>
      <c r="BU97" s="14"/>
      <c r="BW97" s="59"/>
      <c r="CA97" s="59"/>
      <c r="CL97" s="60"/>
    </row>
    <row r="98" spans="1:90" x14ac:dyDescent="0.3">
      <c r="A98" s="23"/>
      <c r="B98" s="23"/>
      <c r="H98" s="14"/>
      <c r="I98" s="23"/>
      <c r="O98" s="14"/>
      <c r="P98" s="23"/>
      <c r="V98" s="14"/>
      <c r="W98" s="23"/>
      <c r="AC98" s="14"/>
      <c r="AD98" s="23"/>
      <c r="AJ98" s="14"/>
      <c r="AR98" s="23"/>
      <c r="AX98" s="14"/>
      <c r="AY98" s="23"/>
      <c r="AZ98" s="11"/>
      <c r="BA98" s="8" t="s">
        <v>450</v>
      </c>
      <c r="BB98" s="17"/>
      <c r="BO98" s="23"/>
      <c r="BT98" s="14"/>
      <c r="BU98" s="14"/>
      <c r="BW98" s="59"/>
      <c r="CA98" s="59"/>
      <c r="CL98" s="60"/>
    </row>
    <row r="99" spans="1:90" x14ac:dyDescent="0.3">
      <c r="A99" s="23"/>
      <c r="B99" s="23"/>
      <c r="H99" s="14"/>
      <c r="I99" s="23"/>
      <c r="O99" s="14"/>
      <c r="P99" s="23"/>
      <c r="V99" s="14"/>
      <c r="W99" s="23"/>
      <c r="AC99" s="14"/>
      <c r="AD99" s="23"/>
      <c r="AJ99" s="14"/>
      <c r="AR99" s="23"/>
      <c r="AX99" s="14"/>
      <c r="AY99" s="23"/>
      <c r="BO99" s="23"/>
      <c r="BT99" s="14"/>
      <c r="BU99" s="14"/>
      <c r="BW99" s="59"/>
      <c r="CA99" s="59"/>
      <c r="CL99" s="60"/>
    </row>
    <row r="100" spans="1:90" x14ac:dyDescent="0.3">
      <c r="A100" s="23"/>
      <c r="B100" s="23"/>
      <c r="H100" s="14"/>
      <c r="I100" s="23"/>
      <c r="O100" s="14"/>
      <c r="P100" s="23"/>
      <c r="V100" s="14"/>
      <c r="W100" s="23"/>
      <c r="AC100" s="14"/>
      <c r="AD100" s="23"/>
      <c r="AJ100" s="14"/>
      <c r="AR100" s="23"/>
      <c r="AX100" s="14"/>
      <c r="AY100" s="23"/>
      <c r="BO100" s="23"/>
      <c r="BT100" s="14"/>
      <c r="BU100" s="14"/>
      <c r="BW100" s="59"/>
      <c r="CA100" s="59"/>
      <c r="CL100" s="60"/>
    </row>
    <row r="101" spans="1:90" x14ac:dyDescent="0.3">
      <c r="A101" s="23"/>
      <c r="B101" s="23"/>
      <c r="H101" s="14"/>
      <c r="I101" s="23"/>
      <c r="O101" s="14"/>
      <c r="P101" s="23"/>
      <c r="V101" s="14"/>
      <c r="W101" s="23"/>
      <c r="AC101" s="14"/>
      <c r="AD101" s="23"/>
      <c r="AJ101" s="14"/>
      <c r="AR101" s="23"/>
      <c r="AX101" s="14"/>
      <c r="AY101" s="23"/>
      <c r="AZ101" s="21" t="s">
        <v>451</v>
      </c>
      <c r="BA101" s="17"/>
      <c r="BB101" s="17"/>
      <c r="BO101" s="23"/>
      <c r="BT101" s="14"/>
      <c r="BU101" s="14"/>
      <c r="BW101" s="59"/>
      <c r="CA101" s="59"/>
      <c r="CL101" s="60"/>
    </row>
    <row r="102" spans="1:90" x14ac:dyDescent="0.3">
      <c r="A102" s="23"/>
      <c r="B102" s="23"/>
      <c r="H102" s="14"/>
      <c r="I102" s="23"/>
      <c r="O102" s="14"/>
      <c r="P102" s="23"/>
      <c r="V102" s="14"/>
      <c r="W102" s="23"/>
      <c r="AC102" s="14"/>
      <c r="AD102" s="23"/>
      <c r="AJ102" s="14"/>
      <c r="AR102" s="23"/>
      <c r="AX102" s="14"/>
      <c r="AY102" s="23"/>
      <c r="BA102" s="8" t="s">
        <v>452</v>
      </c>
      <c r="BB102" s="17"/>
      <c r="BO102" s="23"/>
      <c r="BT102" s="14"/>
      <c r="BU102" s="14"/>
      <c r="BW102" s="59"/>
      <c r="CA102" s="59"/>
      <c r="CL102" s="60"/>
    </row>
    <row r="103" spans="1:90" x14ac:dyDescent="0.3">
      <c r="A103" s="23"/>
      <c r="B103" s="23"/>
      <c r="H103" s="14"/>
      <c r="I103" s="23"/>
      <c r="O103" s="14"/>
      <c r="P103" s="23"/>
      <c r="V103" s="14"/>
      <c r="W103" s="23"/>
      <c r="AC103" s="14"/>
      <c r="AD103" s="23"/>
      <c r="AJ103" s="14"/>
      <c r="AR103" s="23"/>
      <c r="AX103" s="14"/>
      <c r="AY103" s="23"/>
      <c r="BO103" s="23"/>
      <c r="BT103" s="14"/>
      <c r="BU103" s="14"/>
      <c r="BW103" s="59"/>
      <c r="CA103" s="59"/>
      <c r="CL103" s="60"/>
    </row>
    <row r="104" spans="1:90" x14ac:dyDescent="0.3">
      <c r="A104" s="23"/>
      <c r="B104" s="23"/>
      <c r="H104" s="14"/>
      <c r="I104" s="23"/>
      <c r="O104" s="14"/>
      <c r="P104" s="23"/>
      <c r="V104" s="14"/>
      <c r="W104" s="23"/>
      <c r="AC104" s="14"/>
      <c r="AD104" s="23"/>
      <c r="AJ104" s="14"/>
      <c r="AR104" s="23"/>
      <c r="AX104" s="14"/>
      <c r="AY104" s="23"/>
      <c r="BO104" s="23"/>
      <c r="BT104" s="14"/>
      <c r="BU104" s="14"/>
      <c r="BW104" s="59"/>
      <c r="CA104" s="59"/>
      <c r="CL104" s="60"/>
    </row>
    <row r="105" spans="1:90" x14ac:dyDescent="0.3">
      <c r="A105" s="23"/>
      <c r="B105" s="23"/>
      <c r="H105" s="14"/>
      <c r="I105" s="23"/>
      <c r="O105" s="14"/>
      <c r="P105" s="23"/>
      <c r="V105" s="14"/>
      <c r="W105" s="23"/>
      <c r="AC105" s="14"/>
      <c r="AD105" s="23"/>
      <c r="AJ105" s="14"/>
      <c r="AR105" s="23"/>
      <c r="AX105" s="14"/>
      <c r="AY105" s="23"/>
      <c r="BO105" s="23"/>
      <c r="BT105" s="14"/>
      <c r="BU105" s="14"/>
      <c r="BW105" s="59"/>
      <c r="CA105" s="59"/>
      <c r="CL105" s="60"/>
    </row>
    <row r="106" spans="1:90" x14ac:dyDescent="0.3">
      <c r="A106" s="23"/>
      <c r="B106" s="23"/>
      <c r="H106" s="14"/>
      <c r="I106" s="23"/>
      <c r="O106" s="14"/>
      <c r="P106" s="23"/>
      <c r="V106" s="14"/>
      <c r="W106" s="23"/>
      <c r="AC106" s="14"/>
      <c r="AD106" s="23"/>
      <c r="AJ106" s="14"/>
      <c r="AR106" s="23"/>
      <c r="AX106" s="14"/>
      <c r="AY106" s="23"/>
      <c r="BO106" s="23"/>
      <c r="BT106" s="14"/>
      <c r="BU106" s="14"/>
      <c r="BW106" s="59"/>
      <c r="CA106" s="59"/>
      <c r="CL106" s="60"/>
    </row>
    <row r="107" spans="1:90" x14ac:dyDescent="0.3">
      <c r="A107" s="23"/>
      <c r="B107" s="23"/>
      <c r="H107" s="14"/>
      <c r="I107" s="23"/>
      <c r="O107" s="14"/>
      <c r="P107" s="23"/>
      <c r="V107" s="14"/>
      <c r="W107" s="23"/>
      <c r="AC107" s="14"/>
      <c r="AD107" s="23"/>
      <c r="AJ107" s="14"/>
      <c r="AR107" s="23"/>
      <c r="AX107" s="14"/>
      <c r="AY107" s="23"/>
      <c r="BO107" s="23"/>
      <c r="BT107" s="14"/>
      <c r="BU107" s="14"/>
      <c r="BW107" s="59"/>
      <c r="CA107" s="59"/>
      <c r="CL107" s="60"/>
    </row>
    <row r="108" spans="1:90" x14ac:dyDescent="0.3">
      <c r="A108" s="23"/>
      <c r="B108" s="23"/>
      <c r="H108" s="14"/>
      <c r="I108" s="23"/>
      <c r="O108" s="14"/>
      <c r="P108" s="23"/>
      <c r="V108" s="14"/>
      <c r="W108" s="23"/>
      <c r="AC108" s="14"/>
      <c r="AD108" s="23"/>
      <c r="AJ108" s="14"/>
      <c r="AR108" s="23"/>
      <c r="AX108" s="14"/>
      <c r="AY108" s="23"/>
      <c r="BO108" s="23"/>
      <c r="BT108" s="14"/>
      <c r="BU108" s="14"/>
      <c r="BW108" s="59"/>
      <c r="CA108" s="59"/>
      <c r="CL108" s="60"/>
    </row>
    <row r="109" spans="1:90" x14ac:dyDescent="0.3">
      <c r="A109" s="23"/>
      <c r="B109" s="23"/>
      <c r="H109" s="14"/>
      <c r="I109" s="23"/>
      <c r="O109" s="14"/>
      <c r="P109" s="23"/>
      <c r="V109" s="14"/>
      <c r="W109" s="23"/>
      <c r="AC109" s="14"/>
      <c r="AD109" s="23"/>
      <c r="AJ109" s="14"/>
      <c r="AR109" s="23"/>
      <c r="AX109" s="14"/>
      <c r="AY109" s="23"/>
      <c r="BO109" s="23"/>
      <c r="BT109" s="14"/>
      <c r="BU109" s="14"/>
      <c r="BW109" s="59"/>
      <c r="CA109" s="59"/>
      <c r="CL109" s="60"/>
    </row>
    <row r="110" spans="1:90" x14ac:dyDescent="0.3">
      <c r="A110" s="23"/>
      <c r="B110" s="23"/>
      <c r="H110" s="14"/>
      <c r="I110" s="23"/>
      <c r="O110" s="14"/>
      <c r="P110" s="23"/>
      <c r="V110" s="14"/>
      <c r="W110" s="23"/>
      <c r="AC110" s="14"/>
      <c r="AD110" s="23"/>
      <c r="AJ110" s="14"/>
      <c r="AR110" s="23"/>
      <c r="AX110" s="14"/>
      <c r="AY110" s="23"/>
      <c r="BO110" s="23"/>
      <c r="BT110" s="14"/>
      <c r="BU110" s="14"/>
      <c r="BW110" s="59"/>
      <c r="CA110" s="59"/>
      <c r="CL110" s="60"/>
    </row>
    <row r="111" spans="1:90" x14ac:dyDescent="0.3">
      <c r="A111" s="23"/>
      <c r="B111" s="37" t="s">
        <v>453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22"/>
      <c r="AS111" s="22"/>
      <c r="AT111" s="22"/>
      <c r="AU111" s="22"/>
      <c r="AV111" s="22"/>
      <c r="AW111" s="22"/>
      <c r="AX111" s="2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40"/>
      <c r="BU111" s="14"/>
      <c r="BW111" s="59"/>
      <c r="CA111" s="59"/>
      <c r="CL111" s="60"/>
    </row>
    <row r="112" spans="1:90" x14ac:dyDescent="0.3">
      <c r="A112" s="23"/>
      <c r="B112" s="23"/>
      <c r="H112" s="14"/>
      <c r="I112" s="23"/>
      <c r="O112" s="49"/>
      <c r="P112" s="23"/>
      <c r="V112" s="49"/>
      <c r="W112" s="23"/>
      <c r="AC112" s="49"/>
      <c r="AD112" s="23"/>
      <c r="AJ112" s="49"/>
      <c r="AK112" s="47"/>
      <c r="AR112" s="23"/>
      <c r="AX112" s="14"/>
      <c r="AY112" s="23"/>
      <c r="BO112" s="23"/>
      <c r="BT112" s="14"/>
      <c r="BU112" s="14"/>
      <c r="BW112" s="59"/>
      <c r="CA112" s="59"/>
      <c r="CL112" s="60"/>
    </row>
    <row r="113" spans="1:90" x14ac:dyDescent="0.3">
      <c r="A113" s="23"/>
      <c r="B113" s="23"/>
      <c r="H113" s="14"/>
      <c r="I113" s="23"/>
      <c r="O113" s="14"/>
      <c r="P113" s="23"/>
      <c r="V113" s="14"/>
      <c r="W113" s="23"/>
      <c r="AC113" s="14"/>
      <c r="AD113" s="23"/>
      <c r="AJ113" s="14"/>
      <c r="AK113" s="23"/>
      <c r="AR113" s="23"/>
      <c r="AX113" s="14"/>
      <c r="AY113" s="23"/>
      <c r="BO113" s="23"/>
      <c r="BT113" s="14"/>
      <c r="BU113" s="14"/>
      <c r="BW113" s="59"/>
      <c r="CA113" s="59"/>
      <c r="CL113" s="60"/>
    </row>
    <row r="114" spans="1:90" x14ac:dyDescent="0.3">
      <c r="A114" s="23"/>
      <c r="B114" s="23"/>
      <c r="H114" s="14"/>
      <c r="I114" s="23"/>
      <c r="O114" s="14"/>
      <c r="P114" s="23"/>
      <c r="V114" s="14"/>
      <c r="W114" s="23"/>
      <c r="AC114" s="14"/>
      <c r="AD114" s="23"/>
      <c r="AJ114" s="14"/>
      <c r="AK114" s="23"/>
      <c r="AR114" s="23"/>
      <c r="AX114" s="14"/>
      <c r="AY114" s="23"/>
      <c r="BO114" s="23"/>
      <c r="BT114" s="14"/>
      <c r="BU114" s="14"/>
      <c r="BW114" s="59"/>
      <c r="CA114" s="59"/>
      <c r="CL114" s="60"/>
    </row>
    <row r="115" spans="1:90" x14ac:dyDescent="0.3">
      <c r="A115" s="23"/>
      <c r="B115" s="23"/>
      <c r="H115" s="14"/>
      <c r="I115" s="23"/>
      <c r="O115" s="14"/>
      <c r="P115" s="23"/>
      <c r="V115" s="14"/>
      <c r="W115" s="23"/>
      <c r="AC115" s="14"/>
      <c r="AD115" s="23"/>
      <c r="AJ115" s="14"/>
      <c r="AK115" s="23"/>
      <c r="AR115" s="23"/>
      <c r="AX115" s="14"/>
      <c r="AY115" s="23"/>
      <c r="BO115" s="23"/>
      <c r="BT115" s="14"/>
      <c r="BU115" s="14"/>
      <c r="BW115" s="59"/>
      <c r="CA115" s="59"/>
      <c r="CL115" s="60"/>
    </row>
    <row r="116" spans="1:90" x14ac:dyDescent="0.3">
      <c r="A116" s="23"/>
      <c r="B116" s="23"/>
      <c r="H116" s="14"/>
      <c r="I116" s="23"/>
      <c r="O116" s="14"/>
      <c r="P116" s="23"/>
      <c r="V116" s="14"/>
      <c r="W116" s="23"/>
      <c r="AC116" s="14"/>
      <c r="AD116" s="23"/>
      <c r="AJ116" s="14"/>
      <c r="AK116" s="23"/>
      <c r="AR116" s="23"/>
      <c r="AX116" s="14"/>
      <c r="AY116" s="23"/>
      <c r="BO116" s="23"/>
      <c r="BT116" s="14"/>
      <c r="BU116" s="14"/>
      <c r="BW116" s="59"/>
      <c r="CA116" s="59"/>
      <c r="CL116" s="60"/>
    </row>
    <row r="117" spans="1:90" x14ac:dyDescent="0.3">
      <c r="A117" s="23"/>
      <c r="B117" s="23"/>
      <c r="H117" s="14"/>
      <c r="I117" s="23"/>
      <c r="O117" s="14"/>
      <c r="P117" s="23"/>
      <c r="V117" s="14"/>
      <c r="W117" s="23"/>
      <c r="AC117" s="14"/>
      <c r="AD117" s="23"/>
      <c r="AJ117" s="14"/>
      <c r="AK117" s="23"/>
      <c r="AR117" s="23"/>
      <c r="AX117" s="14"/>
      <c r="AY117" s="23"/>
      <c r="AZ117" s="21" t="s">
        <v>309</v>
      </c>
      <c r="BA117" s="17"/>
      <c r="BB117" s="17"/>
      <c r="BC117" s="17"/>
      <c r="BD117" s="17"/>
      <c r="BO117" s="23"/>
      <c r="BT117" s="14"/>
      <c r="BU117" s="14"/>
      <c r="BW117" s="59"/>
      <c r="CA117" s="59"/>
      <c r="CL117" s="60"/>
    </row>
    <row r="118" spans="1:90" x14ac:dyDescent="0.3">
      <c r="A118" s="23"/>
      <c r="B118" s="23"/>
      <c r="H118" s="14"/>
      <c r="I118" s="23"/>
      <c r="O118" s="14"/>
      <c r="P118" s="23"/>
      <c r="V118" s="14"/>
      <c r="W118" s="23"/>
      <c r="AC118" s="14"/>
      <c r="AD118" s="23"/>
      <c r="AJ118" s="14"/>
      <c r="AK118" s="23"/>
      <c r="AR118" s="23"/>
      <c r="AX118" s="14"/>
      <c r="AY118" s="23"/>
      <c r="AZ118" s="11"/>
      <c r="BA118" s="8" t="s">
        <v>454</v>
      </c>
      <c r="BB118" s="17"/>
      <c r="BC118" s="17"/>
      <c r="BD118" s="17"/>
      <c r="BO118" s="23"/>
      <c r="BT118" s="14"/>
      <c r="BU118" s="14"/>
      <c r="BW118" s="59"/>
      <c r="CA118" s="59"/>
      <c r="CL118" s="60"/>
    </row>
    <row r="119" spans="1:90" x14ac:dyDescent="0.3">
      <c r="A119" s="23"/>
      <c r="B119" s="23"/>
      <c r="H119" s="14"/>
      <c r="I119" s="23"/>
      <c r="O119" s="14"/>
      <c r="P119" s="23"/>
      <c r="V119" s="14"/>
      <c r="W119" s="23"/>
      <c r="AC119" s="14"/>
      <c r="AD119" s="23"/>
      <c r="AJ119" s="14"/>
      <c r="AK119" s="23"/>
      <c r="AR119" s="23"/>
      <c r="AX119" s="14"/>
      <c r="AY119" s="23"/>
      <c r="BO119" s="23"/>
      <c r="BT119" s="14"/>
      <c r="BU119" s="14"/>
      <c r="BW119" s="59"/>
      <c r="CA119" s="59"/>
      <c r="CL119" s="60"/>
    </row>
    <row r="120" spans="1:90" x14ac:dyDescent="0.3">
      <c r="A120" s="23"/>
      <c r="B120" s="23"/>
      <c r="H120" s="14"/>
      <c r="I120" s="23"/>
      <c r="O120" s="14"/>
      <c r="P120" s="23"/>
      <c r="V120" s="14"/>
      <c r="W120" s="23"/>
      <c r="AC120" s="14"/>
      <c r="AD120" s="23"/>
      <c r="AJ120" s="14"/>
      <c r="AK120" s="23"/>
      <c r="AR120" s="23"/>
      <c r="AX120" s="14"/>
      <c r="AY120" s="23"/>
      <c r="BA120" s="111" t="s">
        <v>373</v>
      </c>
      <c r="BB120" s="17"/>
      <c r="BC120" s="17"/>
      <c r="BD120" s="17"/>
      <c r="BO120" s="23"/>
      <c r="BT120" s="14"/>
      <c r="BU120" s="14"/>
      <c r="BW120" s="59"/>
      <c r="CA120" s="59"/>
      <c r="CL120" s="60"/>
    </row>
    <row r="121" spans="1:90" x14ac:dyDescent="0.3">
      <c r="A121" s="23"/>
      <c r="B121" s="23"/>
      <c r="H121" s="14"/>
      <c r="I121" s="23"/>
      <c r="O121" s="14"/>
      <c r="P121" s="23"/>
      <c r="V121" s="14"/>
      <c r="W121" s="23"/>
      <c r="AC121" s="14"/>
      <c r="AD121" s="23"/>
      <c r="AJ121" s="14"/>
      <c r="AK121" s="23"/>
      <c r="AR121" s="23"/>
      <c r="AX121" s="14"/>
      <c r="AY121" s="23"/>
      <c r="BA121" s="110" t="s">
        <v>374</v>
      </c>
      <c r="BB121" s="17"/>
      <c r="BC121" s="17"/>
      <c r="BD121" s="17"/>
      <c r="BO121" s="23"/>
      <c r="BT121" s="14"/>
      <c r="BU121" s="14"/>
      <c r="BW121" s="59"/>
      <c r="CA121" s="59"/>
      <c r="CL121" s="60"/>
    </row>
    <row r="122" spans="1:90" x14ac:dyDescent="0.3">
      <c r="A122" s="23"/>
      <c r="B122" s="23"/>
      <c r="H122" s="14"/>
      <c r="I122" s="23"/>
      <c r="O122" s="14"/>
      <c r="P122" s="23"/>
      <c r="V122" s="14"/>
      <c r="W122" s="23"/>
      <c r="AC122" s="14"/>
      <c r="AD122" s="23"/>
      <c r="AJ122" s="14"/>
      <c r="AK122" s="23"/>
      <c r="AR122" s="23"/>
      <c r="AX122" s="14"/>
      <c r="AY122" s="23"/>
      <c r="BA122" s="110" t="s">
        <v>375</v>
      </c>
      <c r="BB122" s="17"/>
      <c r="BC122" s="17"/>
      <c r="BD122" s="17"/>
      <c r="BO122" s="23"/>
      <c r="BT122" s="14"/>
      <c r="BU122" s="14"/>
      <c r="BW122" s="59"/>
      <c r="CA122" s="59"/>
      <c r="CL122" s="60"/>
    </row>
    <row r="123" spans="1:90" x14ac:dyDescent="0.3">
      <c r="A123" s="23"/>
      <c r="B123" s="23"/>
      <c r="H123" s="14"/>
      <c r="I123" s="23"/>
      <c r="O123" s="14"/>
      <c r="P123" s="23"/>
      <c r="V123" s="14"/>
      <c r="W123" s="23"/>
      <c r="AC123" s="14"/>
      <c r="AD123" s="23"/>
      <c r="AJ123" s="14"/>
      <c r="AK123" s="23"/>
      <c r="AR123" s="23"/>
      <c r="AX123" s="14"/>
      <c r="AY123" s="23"/>
      <c r="BO123" s="23"/>
      <c r="BT123" s="14"/>
      <c r="BU123" s="14"/>
      <c r="BW123" s="59"/>
      <c r="CA123" s="59"/>
      <c r="CL123" s="60"/>
    </row>
    <row r="124" spans="1:90" x14ac:dyDescent="0.3">
      <c r="A124" s="23"/>
      <c r="B124" s="23"/>
      <c r="H124" s="14"/>
      <c r="I124" s="23"/>
      <c r="O124" s="14"/>
      <c r="P124" s="23"/>
      <c r="V124" s="14"/>
      <c r="W124" s="23"/>
      <c r="AC124" s="14"/>
      <c r="AD124" s="23"/>
      <c r="AJ124" s="14"/>
      <c r="AK124" s="23"/>
      <c r="AR124" s="23"/>
      <c r="AX124" s="14"/>
      <c r="AY124" s="23"/>
      <c r="AZ124" s="21" t="s">
        <v>455</v>
      </c>
      <c r="BA124" s="17"/>
      <c r="BB124" s="17"/>
      <c r="BC124" s="17"/>
      <c r="BO124" s="23"/>
      <c r="BT124" s="14"/>
      <c r="BU124" s="14"/>
      <c r="BW124" s="59"/>
      <c r="CA124" s="59"/>
      <c r="CL124" s="60"/>
    </row>
    <row r="125" spans="1:90" x14ac:dyDescent="0.3">
      <c r="A125" s="23"/>
      <c r="B125" s="23"/>
      <c r="H125" s="14"/>
      <c r="I125" s="23"/>
      <c r="O125" s="14"/>
      <c r="P125" s="23"/>
      <c r="V125" s="14"/>
      <c r="W125" s="23"/>
      <c r="AC125" s="14"/>
      <c r="AD125" s="23"/>
      <c r="AJ125" s="14"/>
      <c r="AK125" s="23"/>
      <c r="AR125" s="23"/>
      <c r="AX125" s="14"/>
      <c r="AY125" s="23"/>
      <c r="AZ125" s="11"/>
      <c r="BA125" s="8" t="s">
        <v>456</v>
      </c>
      <c r="BB125" s="17"/>
      <c r="BC125" s="17"/>
      <c r="BO125" s="23"/>
      <c r="BT125" s="14"/>
      <c r="BU125" s="14"/>
      <c r="BW125" s="59"/>
      <c r="CA125" s="59"/>
      <c r="CL125" s="60"/>
    </row>
    <row r="126" spans="1:90" x14ac:dyDescent="0.3">
      <c r="A126" s="23"/>
      <c r="B126" s="23"/>
      <c r="H126" s="14"/>
      <c r="I126" s="23"/>
      <c r="O126" s="14"/>
      <c r="P126" s="23"/>
      <c r="V126" s="14"/>
      <c r="W126" s="23"/>
      <c r="AC126" s="14"/>
      <c r="AD126" s="23"/>
      <c r="AJ126" s="14"/>
      <c r="AK126" s="23"/>
      <c r="AR126" s="23"/>
      <c r="AX126" s="14"/>
      <c r="AY126" s="23"/>
      <c r="BO126" s="23"/>
      <c r="BT126" s="14"/>
      <c r="BU126" s="14"/>
      <c r="BW126" s="59"/>
      <c r="CA126" s="59"/>
      <c r="CL126" s="60"/>
    </row>
    <row r="127" spans="1:90" x14ac:dyDescent="0.3">
      <c r="A127" s="23"/>
      <c r="B127" s="23"/>
      <c r="H127" s="14"/>
      <c r="I127" s="23"/>
      <c r="O127" s="14"/>
      <c r="P127" s="23"/>
      <c r="V127" s="14"/>
      <c r="W127" s="23"/>
      <c r="AC127" s="14"/>
      <c r="AD127" s="23"/>
      <c r="AJ127" s="14"/>
      <c r="AK127" s="23"/>
      <c r="AR127" s="23"/>
      <c r="AX127" s="14"/>
      <c r="AY127" s="23"/>
      <c r="BO127" s="23"/>
      <c r="BT127" s="14"/>
      <c r="BU127" s="14"/>
      <c r="BW127" s="59"/>
      <c r="CA127" s="59"/>
      <c r="CL127" s="60"/>
    </row>
    <row r="128" spans="1:90" x14ac:dyDescent="0.3">
      <c r="A128" s="23"/>
      <c r="B128" s="23"/>
      <c r="H128" s="14"/>
      <c r="I128" s="23"/>
      <c r="O128" s="14"/>
      <c r="P128" s="23"/>
      <c r="V128" s="14"/>
      <c r="W128" s="23"/>
      <c r="AC128" s="14"/>
      <c r="AD128" s="23"/>
      <c r="AJ128" s="14"/>
      <c r="AK128" s="23"/>
      <c r="AR128" s="23"/>
      <c r="AX128" s="14"/>
      <c r="AY128" s="23"/>
      <c r="AZ128" s="21"/>
      <c r="BO128" s="23"/>
      <c r="BT128" s="14"/>
      <c r="BU128" s="14"/>
      <c r="BW128" s="59"/>
      <c r="CA128" s="59"/>
      <c r="CL128" s="60"/>
    </row>
    <row r="129" spans="1:90" x14ac:dyDescent="0.3">
      <c r="A129" s="23"/>
      <c r="B129" s="23"/>
      <c r="H129" s="14"/>
      <c r="I129" s="23"/>
      <c r="O129" s="14"/>
      <c r="P129" s="23"/>
      <c r="V129" s="14"/>
      <c r="W129" s="23"/>
      <c r="AC129" s="14"/>
      <c r="AD129" s="23"/>
      <c r="AJ129" s="14"/>
      <c r="AK129" s="23"/>
      <c r="AR129" s="23"/>
      <c r="AX129" s="14"/>
      <c r="AY129" s="23"/>
      <c r="BO129" s="23"/>
      <c r="BT129" s="14"/>
      <c r="BU129" s="14"/>
      <c r="BW129" s="59"/>
      <c r="CA129" s="59"/>
      <c r="CL129" s="60"/>
    </row>
    <row r="130" spans="1:90" x14ac:dyDescent="0.3">
      <c r="A130" s="23"/>
      <c r="B130" s="23"/>
      <c r="H130" s="14"/>
      <c r="I130" s="23"/>
      <c r="O130" s="14"/>
      <c r="P130" s="23"/>
      <c r="V130" s="14"/>
      <c r="W130" s="23"/>
      <c r="AC130" s="14"/>
      <c r="AD130" s="23"/>
      <c r="AJ130" s="14"/>
      <c r="AK130" s="23"/>
      <c r="AR130" s="23"/>
      <c r="AX130" s="14"/>
      <c r="AY130" s="23"/>
      <c r="BO130" s="23"/>
      <c r="BT130" s="14"/>
      <c r="BU130" s="14"/>
      <c r="BW130" s="59"/>
      <c r="CA130" s="59"/>
      <c r="CL130" s="60"/>
    </row>
    <row r="131" spans="1:90" x14ac:dyDescent="0.3">
      <c r="A131" s="23"/>
      <c r="B131" s="23"/>
      <c r="H131" s="14"/>
      <c r="I131" s="23"/>
      <c r="O131" s="14"/>
      <c r="P131" s="23"/>
      <c r="V131" s="14"/>
      <c r="W131" s="23"/>
      <c r="AC131" s="14"/>
      <c r="AD131" s="23"/>
      <c r="AJ131" s="14"/>
      <c r="AK131" s="23"/>
      <c r="AR131" s="23"/>
      <c r="AX131" s="14"/>
      <c r="AY131" s="23"/>
      <c r="BO131" s="23"/>
      <c r="BT131" s="14"/>
      <c r="BU131" s="14"/>
      <c r="BW131" s="59"/>
      <c r="CA131" s="59"/>
      <c r="CL131" s="60"/>
    </row>
    <row r="132" spans="1:90" x14ac:dyDescent="0.3">
      <c r="A132" s="23"/>
      <c r="B132" s="23"/>
      <c r="H132" s="14"/>
      <c r="I132" s="23"/>
      <c r="O132" s="14"/>
      <c r="P132" s="23"/>
      <c r="V132" s="14"/>
      <c r="W132" s="23"/>
      <c r="AC132" s="14"/>
      <c r="AD132" s="23"/>
      <c r="AJ132" s="14"/>
      <c r="AK132" s="23"/>
      <c r="AR132" s="23"/>
      <c r="AX132" s="14"/>
      <c r="AY132" s="23"/>
      <c r="BO132" s="23"/>
      <c r="BT132" s="14"/>
      <c r="BU132" s="14"/>
      <c r="BW132" s="59"/>
      <c r="CA132" s="59"/>
      <c r="CL132" s="60"/>
    </row>
    <row r="133" spans="1:90" x14ac:dyDescent="0.3">
      <c r="A133" s="23"/>
      <c r="B133" s="37" t="s">
        <v>457</v>
      </c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22"/>
      <c r="AS133" s="22"/>
      <c r="AT133" s="22"/>
      <c r="AU133" s="22"/>
      <c r="AV133" s="22"/>
      <c r="AW133" s="22"/>
      <c r="AX133" s="2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40"/>
      <c r="BU133" s="14"/>
      <c r="BW133" s="59"/>
      <c r="CA133" s="59"/>
      <c r="CL133" s="60"/>
    </row>
    <row r="134" spans="1:90" x14ac:dyDescent="0.3">
      <c r="A134" s="23"/>
      <c r="B134" s="23"/>
      <c r="H134" s="14"/>
      <c r="I134" s="23"/>
      <c r="O134" s="49"/>
      <c r="P134" s="23"/>
      <c r="V134" s="49"/>
      <c r="W134" s="23"/>
      <c r="AC134" s="49"/>
      <c r="AD134" s="23"/>
      <c r="AJ134" s="49"/>
      <c r="AK134" s="47"/>
      <c r="AR134" s="23"/>
      <c r="AX134" s="14"/>
      <c r="AY134" s="23"/>
      <c r="BO134" s="23"/>
      <c r="BT134" s="14"/>
      <c r="BU134" s="14"/>
      <c r="BW134" s="59"/>
      <c r="CA134" s="59"/>
      <c r="CL134" s="60"/>
    </row>
    <row r="135" spans="1:90" x14ac:dyDescent="0.3">
      <c r="A135" s="23"/>
      <c r="B135" s="23"/>
      <c r="H135" s="14"/>
      <c r="I135" s="23"/>
      <c r="O135" s="14"/>
      <c r="P135" s="23"/>
      <c r="V135" s="14"/>
      <c r="W135" s="23"/>
      <c r="AC135" s="14"/>
      <c r="AD135" s="23"/>
      <c r="AJ135" s="14"/>
      <c r="AK135" s="23"/>
      <c r="AR135" s="23"/>
      <c r="AX135" s="14"/>
      <c r="AY135" s="23"/>
      <c r="BO135" s="23"/>
      <c r="BT135" s="14"/>
      <c r="BU135" s="14"/>
      <c r="BW135" s="59"/>
      <c r="CA135" s="59"/>
      <c r="CL135" s="60"/>
    </row>
    <row r="136" spans="1:90" x14ac:dyDescent="0.3">
      <c r="A136" s="23"/>
      <c r="B136" s="23"/>
      <c r="H136" s="14"/>
      <c r="I136" s="23"/>
      <c r="O136" s="14"/>
      <c r="P136" s="23"/>
      <c r="V136" s="14"/>
      <c r="W136" s="23"/>
      <c r="AC136" s="14"/>
      <c r="AD136" s="23"/>
      <c r="AJ136" s="14"/>
      <c r="AK136" s="23"/>
      <c r="AR136" s="23"/>
      <c r="AX136" s="14"/>
      <c r="AY136" s="23"/>
      <c r="BO136" s="23"/>
      <c r="BT136" s="14"/>
      <c r="BU136" s="14"/>
      <c r="BW136" s="59"/>
      <c r="CA136" s="59"/>
      <c r="CL136" s="60"/>
    </row>
    <row r="137" spans="1:90" x14ac:dyDescent="0.3">
      <c r="A137" s="23"/>
      <c r="B137" s="23"/>
      <c r="H137" s="14"/>
      <c r="I137" s="23"/>
      <c r="O137" s="14"/>
      <c r="P137" s="23"/>
      <c r="V137" s="14"/>
      <c r="W137" s="23"/>
      <c r="AC137" s="14"/>
      <c r="AD137" s="23"/>
      <c r="AJ137" s="14"/>
      <c r="AK137" s="23"/>
      <c r="AR137" s="23"/>
      <c r="AX137" s="14"/>
      <c r="AY137" s="23"/>
      <c r="BO137" s="23"/>
      <c r="BT137" s="14"/>
      <c r="BU137" s="14"/>
      <c r="BW137" s="59"/>
      <c r="CA137" s="59"/>
      <c r="CL137" s="60"/>
    </row>
    <row r="138" spans="1:90" x14ac:dyDescent="0.3">
      <c r="A138" s="23"/>
      <c r="B138" s="23"/>
      <c r="H138" s="14"/>
      <c r="I138" s="23"/>
      <c r="O138" s="14"/>
      <c r="P138" s="23"/>
      <c r="V138" s="14"/>
      <c r="W138" s="23"/>
      <c r="AC138" s="14"/>
      <c r="AD138" s="23"/>
      <c r="AJ138" s="14"/>
      <c r="AK138" s="23"/>
      <c r="AR138" s="23"/>
      <c r="AX138" s="14"/>
      <c r="AY138" s="23"/>
      <c r="BO138" s="23"/>
      <c r="BT138" s="14"/>
      <c r="BU138" s="14"/>
      <c r="BW138" s="59"/>
      <c r="CA138" s="59"/>
      <c r="CL138" s="60"/>
    </row>
    <row r="139" spans="1:90" x14ac:dyDescent="0.3">
      <c r="A139" s="23"/>
      <c r="B139" s="23"/>
      <c r="H139" s="14"/>
      <c r="I139" s="23"/>
      <c r="O139" s="14"/>
      <c r="P139" s="23"/>
      <c r="V139" s="14"/>
      <c r="W139" s="23"/>
      <c r="AC139" s="14"/>
      <c r="AD139" s="23"/>
      <c r="AJ139" s="14"/>
      <c r="AK139" s="23"/>
      <c r="AR139" s="23"/>
      <c r="AX139" s="14"/>
      <c r="AY139" s="23"/>
      <c r="AZ139" s="21" t="s">
        <v>458</v>
      </c>
      <c r="BA139" s="17"/>
      <c r="BB139" s="17"/>
      <c r="BC139" s="17"/>
      <c r="BD139" s="17"/>
      <c r="BO139" s="23"/>
      <c r="BT139" s="14"/>
      <c r="BU139" s="14"/>
      <c r="BW139" s="59"/>
      <c r="CA139" s="59"/>
      <c r="CL139" s="60"/>
    </row>
    <row r="140" spans="1:90" x14ac:dyDescent="0.3">
      <c r="A140" s="23"/>
      <c r="B140" s="23"/>
      <c r="H140" s="14"/>
      <c r="I140" s="23"/>
      <c r="O140" s="14"/>
      <c r="P140" s="23"/>
      <c r="V140" s="14"/>
      <c r="W140" s="23"/>
      <c r="AC140" s="14"/>
      <c r="AD140" s="23"/>
      <c r="AJ140" s="14"/>
      <c r="AK140" s="23"/>
      <c r="AR140" s="23"/>
      <c r="AX140" s="14"/>
      <c r="AY140" s="23"/>
      <c r="AZ140" s="11"/>
      <c r="BA140" s="8" t="s">
        <v>459</v>
      </c>
      <c r="BB140" s="17"/>
      <c r="BC140" s="17"/>
      <c r="BD140" s="17"/>
      <c r="BO140" s="23"/>
      <c r="BT140" s="14"/>
      <c r="BU140" s="14"/>
      <c r="BW140" s="59"/>
      <c r="CA140" s="59"/>
      <c r="CL140" s="60"/>
    </row>
    <row r="141" spans="1:90" x14ac:dyDescent="0.3">
      <c r="A141" s="23"/>
      <c r="B141" s="23"/>
      <c r="H141" s="14"/>
      <c r="I141" s="23"/>
      <c r="O141" s="14"/>
      <c r="P141" s="23"/>
      <c r="V141" s="14"/>
      <c r="W141" s="23"/>
      <c r="AC141" s="14"/>
      <c r="AD141" s="23"/>
      <c r="AJ141" s="14"/>
      <c r="AK141" s="23"/>
      <c r="AR141" s="23"/>
      <c r="AX141" s="14"/>
      <c r="AY141" s="23"/>
      <c r="BO141" s="23"/>
      <c r="BT141" s="14"/>
      <c r="BU141" s="14"/>
      <c r="BW141" s="59"/>
      <c r="CA141" s="59"/>
      <c r="CL141" s="60"/>
    </row>
    <row r="142" spans="1:90" x14ac:dyDescent="0.3">
      <c r="A142" s="23"/>
      <c r="B142" s="23"/>
      <c r="H142" s="14"/>
      <c r="I142" s="23"/>
      <c r="O142" s="14"/>
      <c r="P142" s="23"/>
      <c r="V142" s="14"/>
      <c r="W142" s="23"/>
      <c r="AC142" s="14"/>
      <c r="AD142" s="23"/>
      <c r="AJ142" s="14"/>
      <c r="AK142" s="23"/>
      <c r="AR142" s="23"/>
      <c r="AX142" s="14"/>
      <c r="AY142" s="23"/>
      <c r="BO142" s="23"/>
      <c r="BT142" s="14"/>
      <c r="BU142" s="14"/>
      <c r="BW142" s="59"/>
      <c r="CA142" s="59"/>
      <c r="CL142" s="60"/>
    </row>
    <row r="143" spans="1:90" x14ac:dyDescent="0.3">
      <c r="A143" s="23"/>
      <c r="B143" s="23"/>
      <c r="H143" s="14"/>
      <c r="I143" s="23"/>
      <c r="O143" s="14"/>
      <c r="P143" s="23"/>
      <c r="V143" s="14"/>
      <c r="W143" s="23"/>
      <c r="AC143" s="14"/>
      <c r="AD143" s="23"/>
      <c r="AJ143" s="14"/>
      <c r="AK143" s="23"/>
      <c r="AR143" s="23"/>
      <c r="AX143" s="14"/>
      <c r="AY143" s="23"/>
      <c r="BO143" s="23"/>
      <c r="BT143" s="14"/>
      <c r="BU143" s="14"/>
      <c r="BW143" s="59"/>
      <c r="CA143" s="59"/>
      <c r="CL143" s="60"/>
    </row>
    <row r="144" spans="1:90" x14ac:dyDescent="0.3">
      <c r="A144" s="23"/>
      <c r="B144" s="23"/>
      <c r="H144" s="14"/>
      <c r="I144" s="23"/>
      <c r="O144" s="14"/>
      <c r="P144" s="23"/>
      <c r="V144" s="14"/>
      <c r="W144" s="23"/>
      <c r="AC144" s="14"/>
      <c r="AD144" s="23"/>
      <c r="AJ144" s="14"/>
      <c r="AK144" s="23"/>
      <c r="AR144" s="23"/>
      <c r="AX144" s="14"/>
      <c r="AY144" s="23"/>
      <c r="BO144" s="23"/>
      <c r="BT144" s="14"/>
      <c r="BU144" s="14"/>
      <c r="BW144" s="59"/>
      <c r="CA144" s="59"/>
      <c r="CL144" s="60"/>
    </row>
    <row r="145" spans="1:90" x14ac:dyDescent="0.3">
      <c r="A145" s="23"/>
      <c r="B145" s="23"/>
      <c r="H145" s="14"/>
      <c r="I145" s="23"/>
      <c r="O145" s="14"/>
      <c r="P145" s="23"/>
      <c r="V145" s="14"/>
      <c r="W145" s="23"/>
      <c r="AC145" s="14"/>
      <c r="AD145" s="23"/>
      <c r="AJ145" s="14"/>
      <c r="AK145" s="23"/>
      <c r="AR145" s="23"/>
      <c r="AX145" s="14"/>
      <c r="AY145" s="23"/>
      <c r="BO145" s="23"/>
      <c r="BT145" s="14"/>
      <c r="BU145" s="14"/>
      <c r="BW145" s="59"/>
      <c r="CA145" s="59"/>
      <c r="CL145" s="60"/>
    </row>
    <row r="146" spans="1:90" x14ac:dyDescent="0.3">
      <c r="A146" s="23"/>
      <c r="B146" s="23"/>
      <c r="H146" s="14"/>
      <c r="I146" s="23"/>
      <c r="O146" s="14"/>
      <c r="P146" s="23"/>
      <c r="V146" s="14"/>
      <c r="W146" s="23"/>
      <c r="AC146" s="14"/>
      <c r="AD146" s="23"/>
      <c r="AJ146" s="14"/>
      <c r="AK146" s="23"/>
      <c r="AR146" s="23"/>
      <c r="AX146" s="14"/>
      <c r="AY146" s="23"/>
      <c r="AZ146" s="21" t="s">
        <v>460</v>
      </c>
      <c r="BA146" s="17"/>
      <c r="BB146" s="17"/>
      <c r="BC146" s="17"/>
      <c r="BO146" s="23"/>
      <c r="BT146" s="14"/>
      <c r="BU146" s="14"/>
      <c r="BW146" s="59"/>
      <c r="CA146" s="59"/>
      <c r="CL146" s="60"/>
    </row>
    <row r="147" spans="1:90" x14ac:dyDescent="0.3">
      <c r="A147" s="23"/>
      <c r="B147" s="23"/>
      <c r="H147" s="14"/>
      <c r="I147" s="23"/>
      <c r="O147" s="14"/>
      <c r="P147" s="23"/>
      <c r="V147" s="14"/>
      <c r="W147" s="23"/>
      <c r="AC147" s="14"/>
      <c r="AD147" s="23"/>
      <c r="AJ147" s="14"/>
      <c r="AK147" s="23"/>
      <c r="AR147" s="23"/>
      <c r="AX147" s="14"/>
      <c r="AY147" s="23"/>
      <c r="AZ147" s="11"/>
      <c r="BA147" s="8" t="s">
        <v>461</v>
      </c>
      <c r="BB147" s="17"/>
      <c r="BC147" s="17"/>
      <c r="BO147" s="23"/>
      <c r="BT147" s="14"/>
      <c r="BU147" s="14"/>
      <c r="BW147" s="59"/>
      <c r="CA147" s="59"/>
      <c r="CL147" s="60"/>
    </row>
    <row r="148" spans="1:90" x14ac:dyDescent="0.3">
      <c r="A148" s="23"/>
      <c r="B148" s="23"/>
      <c r="H148" s="14"/>
      <c r="I148" s="23"/>
      <c r="O148" s="14"/>
      <c r="P148" s="23"/>
      <c r="V148" s="14"/>
      <c r="W148" s="23"/>
      <c r="AC148" s="14"/>
      <c r="AD148" s="23"/>
      <c r="AJ148" s="14"/>
      <c r="AK148" s="23"/>
      <c r="AR148" s="23"/>
      <c r="AX148" s="14"/>
      <c r="AY148" s="23"/>
      <c r="BA148" s="71" t="s">
        <v>462</v>
      </c>
      <c r="BB148" s="8" t="s">
        <v>463</v>
      </c>
      <c r="BO148" s="23"/>
      <c r="BT148" s="14"/>
      <c r="BU148" s="14"/>
      <c r="BW148" s="59"/>
      <c r="CA148" s="59"/>
      <c r="CL148" s="60"/>
    </row>
    <row r="149" spans="1:90" x14ac:dyDescent="0.3">
      <c r="A149" s="23"/>
      <c r="B149" s="23"/>
      <c r="H149" s="14"/>
      <c r="I149" s="23"/>
      <c r="O149" s="14"/>
      <c r="P149" s="23"/>
      <c r="V149" s="14"/>
      <c r="W149" s="23"/>
      <c r="AC149" s="14"/>
      <c r="AD149" s="23"/>
      <c r="AJ149" s="14"/>
      <c r="AK149" s="23"/>
      <c r="AR149" s="23"/>
      <c r="AX149" s="14"/>
      <c r="AY149" s="23"/>
      <c r="BA149" s="71" t="s">
        <v>462</v>
      </c>
      <c r="BB149" s="8" t="s">
        <v>464</v>
      </c>
      <c r="BO149" s="23"/>
      <c r="BT149" s="14"/>
      <c r="BU149" s="14"/>
      <c r="BW149" s="59"/>
      <c r="CA149" s="59"/>
      <c r="CL149" s="60"/>
    </row>
    <row r="150" spans="1:90" x14ac:dyDescent="0.3">
      <c r="A150" s="23"/>
      <c r="B150" s="23"/>
      <c r="H150" s="14"/>
      <c r="I150" s="23"/>
      <c r="O150" s="14"/>
      <c r="P150" s="23"/>
      <c r="V150" s="14"/>
      <c r="W150" s="23"/>
      <c r="AC150" s="14"/>
      <c r="AD150" s="23"/>
      <c r="AJ150" s="14"/>
      <c r="AK150" s="23"/>
      <c r="AR150" s="23"/>
      <c r="AX150" s="14"/>
      <c r="AY150" s="23"/>
      <c r="BA150" s="71" t="s">
        <v>462</v>
      </c>
      <c r="BB150" s="8" t="s">
        <v>465</v>
      </c>
      <c r="BO150" s="23"/>
      <c r="BT150" s="14"/>
      <c r="BU150" s="14"/>
      <c r="BW150" s="59"/>
      <c r="CA150" s="59"/>
      <c r="CL150" s="60"/>
    </row>
    <row r="151" spans="1:90" x14ac:dyDescent="0.3">
      <c r="A151" s="23"/>
      <c r="B151" s="23"/>
      <c r="H151" s="14"/>
      <c r="I151" s="23"/>
      <c r="O151" s="14"/>
      <c r="P151" s="23"/>
      <c r="V151" s="14"/>
      <c r="W151" s="23"/>
      <c r="AC151" s="14"/>
      <c r="AD151" s="23"/>
      <c r="AJ151" s="14"/>
      <c r="AK151" s="23"/>
      <c r="AR151" s="23"/>
      <c r="AX151" s="14"/>
      <c r="AY151" s="23"/>
      <c r="BA151" s="71"/>
      <c r="BO151" s="23"/>
      <c r="BT151" s="14"/>
      <c r="BU151" s="14"/>
      <c r="BW151" s="59"/>
      <c r="CA151" s="59"/>
      <c r="CL151" s="60"/>
    </row>
    <row r="152" spans="1:90" x14ac:dyDescent="0.3">
      <c r="A152" s="23"/>
      <c r="B152" s="23"/>
      <c r="H152" s="14"/>
      <c r="I152" s="23"/>
      <c r="O152" s="14"/>
      <c r="P152" s="23"/>
      <c r="V152" s="14"/>
      <c r="W152" s="23"/>
      <c r="AC152" s="14"/>
      <c r="AD152" s="23"/>
      <c r="AJ152" s="14"/>
      <c r="AK152" s="23"/>
      <c r="AR152" s="23"/>
      <c r="AX152" s="14"/>
      <c r="AY152" s="23"/>
      <c r="AZ152" s="21"/>
      <c r="BO152" s="23"/>
      <c r="BT152" s="14"/>
      <c r="BU152" s="14"/>
      <c r="BW152" s="59"/>
      <c r="CA152" s="59"/>
      <c r="CL152" s="60"/>
    </row>
    <row r="153" spans="1:90" x14ac:dyDescent="0.3">
      <c r="A153" s="23"/>
      <c r="B153" s="23"/>
      <c r="H153" s="14"/>
      <c r="I153" s="23"/>
      <c r="O153" s="14"/>
      <c r="P153" s="23"/>
      <c r="V153" s="14"/>
      <c r="W153" s="23"/>
      <c r="AC153" s="14"/>
      <c r="AD153" s="23"/>
      <c r="AJ153" s="14"/>
      <c r="AK153" s="23"/>
      <c r="AR153" s="23"/>
      <c r="AX153" s="14"/>
      <c r="AY153" s="23"/>
      <c r="AZ153" s="21" t="s">
        <v>466</v>
      </c>
      <c r="BA153" s="17"/>
      <c r="BO153" s="23"/>
      <c r="BT153" s="14"/>
      <c r="BU153" s="14"/>
      <c r="BW153" s="59"/>
      <c r="CA153" s="59"/>
      <c r="CL153" s="60"/>
    </row>
    <row r="154" spans="1:90" x14ac:dyDescent="0.3">
      <c r="A154" s="23"/>
      <c r="B154" s="23"/>
      <c r="H154" s="14"/>
      <c r="I154" s="23"/>
      <c r="O154" s="14"/>
      <c r="P154" s="23"/>
      <c r="V154" s="14"/>
      <c r="W154" s="23"/>
      <c r="AC154" s="14"/>
      <c r="AD154" s="23"/>
      <c r="AJ154" s="14"/>
      <c r="AK154" s="23"/>
      <c r="AR154" s="23"/>
      <c r="AX154" s="14"/>
      <c r="AY154" s="23"/>
      <c r="BA154" s="8" t="s">
        <v>450</v>
      </c>
      <c r="BO154" s="23"/>
      <c r="BT154" s="14"/>
      <c r="BU154" s="14"/>
      <c r="BW154" s="59"/>
      <c r="CA154" s="59"/>
      <c r="CL154" s="60"/>
    </row>
    <row r="155" spans="1:90" x14ac:dyDescent="0.3">
      <c r="A155" s="23"/>
      <c r="B155" s="23"/>
      <c r="H155" s="14"/>
      <c r="I155" s="23"/>
      <c r="O155" s="14"/>
      <c r="P155" s="23"/>
      <c r="V155" s="14"/>
      <c r="W155" s="23"/>
      <c r="AC155" s="14"/>
      <c r="AD155" s="23"/>
      <c r="AJ155" s="14"/>
      <c r="AK155" s="23"/>
      <c r="AR155" s="23"/>
      <c r="AX155" s="14"/>
      <c r="AY155" s="23"/>
      <c r="BO155" s="23"/>
      <c r="BT155" s="14"/>
      <c r="BU155" s="14"/>
      <c r="BW155" s="59"/>
      <c r="CA155" s="59"/>
      <c r="CL155" s="60"/>
    </row>
    <row r="156" spans="1:90" x14ac:dyDescent="0.3">
      <c r="A156" s="23"/>
      <c r="B156" s="23"/>
      <c r="H156" s="14"/>
      <c r="I156" s="23"/>
      <c r="O156" s="14"/>
      <c r="P156" s="23"/>
      <c r="V156" s="14"/>
      <c r="W156" s="23"/>
      <c r="AC156" s="14"/>
      <c r="AD156" s="23"/>
      <c r="AJ156" s="14"/>
      <c r="AK156" s="23"/>
      <c r="AR156" s="23"/>
      <c r="AX156" s="14"/>
      <c r="AY156" s="23"/>
      <c r="BO156" s="23"/>
      <c r="BT156" s="14"/>
      <c r="BU156" s="14"/>
      <c r="BW156" s="59"/>
      <c r="CA156" s="59"/>
      <c r="CL156" s="60"/>
    </row>
    <row r="157" spans="1:90" x14ac:dyDescent="0.3">
      <c r="A157" s="23"/>
      <c r="B157" s="23"/>
      <c r="H157" s="14"/>
      <c r="I157" s="23"/>
      <c r="O157" s="14"/>
      <c r="P157" s="23"/>
      <c r="V157" s="14"/>
      <c r="W157" s="23"/>
      <c r="AC157" s="14"/>
      <c r="AD157" s="23"/>
      <c r="AJ157" s="14"/>
      <c r="AK157" s="23"/>
      <c r="AR157" s="23"/>
      <c r="AX157" s="14"/>
      <c r="AY157" s="23"/>
      <c r="AZ157" s="21"/>
      <c r="BO157" s="23"/>
      <c r="BT157" s="14"/>
      <c r="BU157" s="14"/>
      <c r="BW157" s="59"/>
      <c r="CA157" s="59"/>
      <c r="CL157" s="60"/>
    </row>
    <row r="158" spans="1:90" x14ac:dyDescent="0.3">
      <c r="A158" s="23"/>
      <c r="B158" s="23"/>
      <c r="H158" s="14"/>
      <c r="I158" s="23"/>
      <c r="O158" s="14"/>
      <c r="P158" s="23"/>
      <c r="V158" s="14"/>
      <c r="W158" s="23"/>
      <c r="AC158" s="14"/>
      <c r="AD158" s="23"/>
      <c r="AJ158" s="14"/>
      <c r="AK158" s="23"/>
      <c r="AR158" s="23"/>
      <c r="AX158" s="14"/>
      <c r="AY158" s="23"/>
      <c r="BO158" s="23"/>
      <c r="BT158" s="14"/>
      <c r="BU158" s="14"/>
      <c r="BW158" s="59"/>
      <c r="CA158" s="59"/>
      <c r="CL158" s="60"/>
    </row>
    <row r="159" spans="1:90" x14ac:dyDescent="0.3">
      <c r="A159" s="23"/>
      <c r="B159" s="23"/>
      <c r="H159" s="14"/>
      <c r="I159" s="23"/>
      <c r="O159" s="14"/>
      <c r="P159" s="23"/>
      <c r="V159" s="14"/>
      <c r="W159" s="23"/>
      <c r="AC159" s="14"/>
      <c r="AD159" s="23"/>
      <c r="AJ159" s="14"/>
      <c r="AK159" s="23"/>
      <c r="AR159" s="23"/>
      <c r="AX159" s="14"/>
      <c r="AY159" s="23"/>
      <c r="BO159" s="23"/>
      <c r="BT159" s="14"/>
      <c r="BU159" s="14"/>
      <c r="BW159" s="59"/>
      <c r="CA159" s="59"/>
      <c r="CL159" s="60"/>
    </row>
    <row r="160" spans="1:90" x14ac:dyDescent="0.3">
      <c r="A160" s="23"/>
      <c r="B160" s="23"/>
      <c r="H160" s="14"/>
      <c r="I160" s="23"/>
      <c r="O160" s="14"/>
      <c r="P160" s="23"/>
      <c r="V160" s="14"/>
      <c r="W160" s="23"/>
      <c r="AC160" s="14"/>
      <c r="AD160" s="23"/>
      <c r="AJ160" s="14"/>
      <c r="AK160" s="23"/>
      <c r="AR160" s="23"/>
      <c r="AY160" s="23"/>
      <c r="BO160" s="23"/>
      <c r="BT160" s="14"/>
      <c r="BU160" s="14"/>
      <c r="BW160" s="59"/>
      <c r="CA160" s="59"/>
      <c r="CL160" s="60"/>
    </row>
    <row r="161" spans="1:90" x14ac:dyDescent="0.3">
      <c r="A161" s="23"/>
      <c r="B161" s="23"/>
      <c r="H161" s="14"/>
      <c r="I161" s="23"/>
      <c r="O161" s="14"/>
      <c r="P161" s="23"/>
      <c r="V161" s="14"/>
      <c r="W161" s="23"/>
      <c r="AC161" s="14"/>
      <c r="AD161" s="23"/>
      <c r="AJ161" s="14"/>
      <c r="AK161" s="23"/>
      <c r="AR161" s="23"/>
      <c r="AY161" s="23"/>
      <c r="AZ161" s="21" t="s">
        <v>467</v>
      </c>
      <c r="BA161" s="17"/>
      <c r="BO161" s="23"/>
      <c r="BT161" s="14"/>
      <c r="BU161" s="14"/>
      <c r="BW161" s="59"/>
      <c r="CA161" s="59"/>
      <c r="CL161" s="60"/>
    </row>
    <row r="162" spans="1:90" x14ac:dyDescent="0.3">
      <c r="A162" s="23"/>
      <c r="B162" s="23"/>
      <c r="H162" s="14"/>
      <c r="I162" s="23"/>
      <c r="O162" s="14"/>
      <c r="P162" s="23"/>
      <c r="V162" s="14"/>
      <c r="W162" s="23"/>
      <c r="AC162" s="14"/>
      <c r="AD162" s="23"/>
      <c r="AJ162" s="14"/>
      <c r="AK162" s="23"/>
      <c r="AR162" s="23"/>
      <c r="AY162" s="23"/>
      <c r="BA162" s="8" t="s">
        <v>452</v>
      </c>
      <c r="BO162" s="23"/>
      <c r="BT162" s="14"/>
      <c r="BU162" s="14"/>
      <c r="BW162" s="59"/>
      <c r="CA162" s="59"/>
      <c r="CL162" s="60"/>
    </row>
    <row r="163" spans="1:90" x14ac:dyDescent="0.3">
      <c r="A163" s="23"/>
      <c r="B163" s="23"/>
      <c r="H163" s="14"/>
      <c r="I163" s="23"/>
      <c r="O163" s="14"/>
      <c r="P163" s="23"/>
      <c r="V163" s="14"/>
      <c r="W163" s="23"/>
      <c r="AC163" s="14"/>
      <c r="AD163" s="23"/>
      <c r="AJ163" s="14"/>
      <c r="AK163" s="23"/>
      <c r="AR163" s="23"/>
      <c r="AY163" s="23"/>
      <c r="BO163" s="23"/>
      <c r="BT163" s="14"/>
      <c r="BU163" s="14"/>
      <c r="BW163" s="59"/>
      <c r="CA163" s="59"/>
      <c r="CL163" s="60"/>
    </row>
    <row r="164" spans="1:90" x14ac:dyDescent="0.3">
      <c r="A164" s="23"/>
      <c r="B164" s="23"/>
      <c r="H164" s="14"/>
      <c r="I164" s="23"/>
      <c r="O164" s="14"/>
      <c r="P164" s="23"/>
      <c r="V164" s="14"/>
      <c r="W164" s="23"/>
      <c r="AC164" s="14"/>
      <c r="AD164" s="23"/>
      <c r="AJ164" s="14"/>
      <c r="AK164" s="23"/>
      <c r="AR164" s="23"/>
      <c r="AY164" s="23"/>
      <c r="BO164" s="23"/>
      <c r="BT164" s="14"/>
      <c r="BU164" s="14"/>
      <c r="BW164" s="59"/>
      <c r="CA164" s="59"/>
      <c r="CL164" s="60"/>
    </row>
    <row r="165" spans="1:90" x14ac:dyDescent="0.3">
      <c r="A165" s="23"/>
      <c r="B165" s="23"/>
      <c r="H165" s="14"/>
      <c r="I165" s="23"/>
      <c r="O165" s="14"/>
      <c r="P165" s="23"/>
      <c r="V165" s="14"/>
      <c r="W165" s="23"/>
      <c r="AC165" s="14"/>
      <c r="AD165" s="23"/>
      <c r="AJ165" s="14"/>
      <c r="AK165" s="23"/>
      <c r="AR165" s="23"/>
      <c r="AY165" s="23"/>
      <c r="BO165" s="23"/>
      <c r="BT165" s="14"/>
      <c r="BU165" s="14"/>
      <c r="BW165" s="59"/>
      <c r="CA165" s="59"/>
      <c r="CL165" s="60"/>
    </row>
    <row r="166" spans="1:90" x14ac:dyDescent="0.3">
      <c r="A166" s="23"/>
      <c r="B166" s="23"/>
      <c r="H166" s="14"/>
      <c r="I166" s="23"/>
      <c r="O166" s="14"/>
      <c r="P166" s="23"/>
      <c r="V166" s="14"/>
      <c r="W166" s="23"/>
      <c r="AC166" s="14"/>
      <c r="AD166" s="23"/>
      <c r="AJ166" s="14"/>
      <c r="AK166" s="23"/>
      <c r="AR166" s="23"/>
      <c r="AY166" s="23"/>
      <c r="BO166" s="23"/>
      <c r="BT166" s="14"/>
      <c r="BU166" s="14"/>
      <c r="BW166" s="59"/>
      <c r="CA166" s="59"/>
      <c r="CL166" s="60"/>
    </row>
    <row r="167" spans="1:90" x14ac:dyDescent="0.3">
      <c r="A167" s="23"/>
      <c r="B167" s="23"/>
      <c r="H167" s="14"/>
      <c r="I167" s="23"/>
      <c r="O167" s="14"/>
      <c r="P167" s="23"/>
      <c r="V167" s="14"/>
      <c r="W167" s="23"/>
      <c r="AC167" s="14"/>
      <c r="AD167" s="23"/>
      <c r="AJ167" s="14"/>
      <c r="AK167" s="23"/>
      <c r="AR167" s="23"/>
      <c r="AY167" s="23"/>
      <c r="BO167" s="23"/>
      <c r="BT167" s="14"/>
      <c r="BU167" s="14"/>
      <c r="BW167" s="59"/>
      <c r="CA167" s="59"/>
      <c r="CL167" s="60"/>
    </row>
    <row r="168" spans="1:90" x14ac:dyDescent="0.3">
      <c r="A168" s="23"/>
      <c r="B168" s="23"/>
      <c r="H168" s="14"/>
      <c r="I168" s="23"/>
      <c r="O168" s="14"/>
      <c r="P168" s="23"/>
      <c r="V168" s="14"/>
      <c r="W168" s="23"/>
      <c r="AC168" s="14"/>
      <c r="AD168" s="23"/>
      <c r="AJ168" s="14"/>
      <c r="AK168" s="23"/>
      <c r="AR168" s="23"/>
      <c r="AY168" s="23"/>
      <c r="BO168" s="23"/>
      <c r="BT168" s="14"/>
      <c r="BU168" s="14"/>
      <c r="BW168" s="59"/>
      <c r="CA168" s="59"/>
      <c r="CL168" s="60"/>
    </row>
    <row r="169" spans="1:90" x14ac:dyDescent="0.3">
      <c r="A169" s="23"/>
      <c r="B169" s="23"/>
      <c r="H169" s="14"/>
      <c r="I169" s="23"/>
      <c r="O169" s="14"/>
      <c r="P169" s="23"/>
      <c r="V169" s="14"/>
      <c r="W169" s="23"/>
      <c r="AC169" s="14"/>
      <c r="AD169" s="23"/>
      <c r="AJ169" s="14"/>
      <c r="AK169" s="23"/>
      <c r="AR169" s="23"/>
      <c r="AY169" s="23"/>
      <c r="BO169" s="23"/>
      <c r="BT169" s="14"/>
      <c r="BU169" s="14"/>
      <c r="BW169" s="59"/>
      <c r="CA169" s="59"/>
      <c r="CL169" s="60"/>
    </row>
    <row r="170" spans="1:90" x14ac:dyDescent="0.3">
      <c r="A170" s="23"/>
      <c r="B170" s="23"/>
      <c r="H170" s="14"/>
      <c r="I170" s="23"/>
      <c r="O170" s="14"/>
      <c r="P170" s="23"/>
      <c r="V170" s="14"/>
      <c r="W170" s="23"/>
      <c r="AC170" s="14"/>
      <c r="AD170" s="23"/>
      <c r="AJ170" s="14"/>
      <c r="AK170" s="23"/>
      <c r="AR170" s="23"/>
      <c r="AY170" s="23"/>
      <c r="BO170" s="23"/>
      <c r="BT170" s="14"/>
      <c r="BU170" s="14"/>
      <c r="BW170" s="59"/>
      <c r="CA170" s="59"/>
      <c r="CL170" s="60"/>
    </row>
    <row r="171" spans="1:90" x14ac:dyDescent="0.3">
      <c r="A171" s="23"/>
      <c r="B171" s="23"/>
      <c r="H171" s="14"/>
      <c r="I171" s="23"/>
      <c r="O171" s="14"/>
      <c r="P171" s="23"/>
      <c r="V171" s="14"/>
      <c r="W171" s="23"/>
      <c r="AC171" s="14"/>
      <c r="AD171" s="23"/>
      <c r="AJ171" s="14"/>
      <c r="AK171" s="23"/>
      <c r="AR171" s="23"/>
      <c r="AY171" s="23"/>
      <c r="BO171" s="23"/>
      <c r="BT171" s="14"/>
      <c r="BU171" s="14"/>
      <c r="BW171" s="59"/>
      <c r="CA171" s="59"/>
      <c r="CL171" s="60"/>
    </row>
    <row r="172" spans="1:90" x14ac:dyDescent="0.3">
      <c r="A172" s="23"/>
      <c r="B172" s="37" t="s">
        <v>468</v>
      </c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22"/>
      <c r="AS172" s="22"/>
      <c r="AT172" s="22"/>
      <c r="AU172" s="22"/>
      <c r="AV172" s="22"/>
      <c r="AW172" s="22"/>
      <c r="AX172" s="2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40"/>
      <c r="BU172" s="14"/>
      <c r="BW172" s="59"/>
      <c r="CA172" s="59"/>
      <c r="CL172" s="60"/>
    </row>
    <row r="173" spans="1:90" x14ac:dyDescent="0.3">
      <c r="A173" s="23"/>
      <c r="B173" s="23"/>
      <c r="H173" s="14"/>
      <c r="I173" s="23"/>
      <c r="O173" s="49"/>
      <c r="P173" s="23"/>
      <c r="V173" s="49"/>
      <c r="W173" s="23"/>
      <c r="AC173" s="49"/>
      <c r="AD173" s="23"/>
      <c r="AJ173" s="49"/>
      <c r="AK173" s="47"/>
      <c r="AR173" s="23"/>
      <c r="AX173" s="14"/>
      <c r="AY173" s="23"/>
      <c r="BO173" s="23"/>
      <c r="BT173" s="14"/>
      <c r="BU173" s="14"/>
      <c r="BW173" s="59"/>
      <c r="CA173" s="59"/>
      <c r="CL173" s="60"/>
    </row>
    <row r="174" spans="1:90" x14ac:dyDescent="0.3">
      <c r="A174" s="23"/>
      <c r="B174" s="23"/>
      <c r="H174" s="14"/>
      <c r="I174" s="23"/>
      <c r="O174" s="14"/>
      <c r="P174" s="23"/>
      <c r="V174" s="14"/>
      <c r="W174" s="23"/>
      <c r="AC174" s="14"/>
      <c r="AD174" s="23"/>
      <c r="AJ174" s="14"/>
      <c r="AK174" s="23"/>
      <c r="AR174" s="23"/>
      <c r="AX174" s="14"/>
      <c r="AY174" s="23"/>
      <c r="BO174" s="23"/>
      <c r="BT174" s="14"/>
      <c r="BU174" s="14"/>
      <c r="BW174" s="59"/>
      <c r="CA174" s="59"/>
      <c r="CL174" s="60"/>
    </row>
    <row r="175" spans="1:90" x14ac:dyDescent="0.3">
      <c r="A175" s="23"/>
      <c r="B175" s="23"/>
      <c r="H175" s="14"/>
      <c r="I175" s="23"/>
      <c r="O175" s="14"/>
      <c r="P175" s="23"/>
      <c r="V175" s="14"/>
      <c r="W175" s="23"/>
      <c r="AC175" s="14"/>
      <c r="AD175" s="23"/>
      <c r="AJ175" s="14"/>
      <c r="AK175" s="23"/>
      <c r="AR175" s="23"/>
      <c r="AX175" s="14"/>
      <c r="AY175" s="23"/>
      <c r="BO175" s="23"/>
      <c r="BT175" s="14"/>
      <c r="BU175" s="14"/>
      <c r="BW175" s="59"/>
      <c r="CA175" s="59"/>
      <c r="CL175" s="60"/>
    </row>
    <row r="176" spans="1:90" x14ac:dyDescent="0.3">
      <c r="A176" s="23"/>
      <c r="B176" s="23"/>
      <c r="H176" s="14"/>
      <c r="I176" s="23"/>
      <c r="O176" s="14"/>
      <c r="P176" s="23"/>
      <c r="V176" s="14"/>
      <c r="W176" s="23"/>
      <c r="AC176" s="14"/>
      <c r="AD176" s="23"/>
      <c r="AJ176" s="14"/>
      <c r="AK176" s="23"/>
      <c r="AR176" s="23"/>
      <c r="AX176" s="14"/>
      <c r="AY176" s="23"/>
      <c r="BO176" s="23"/>
      <c r="BT176" s="14"/>
      <c r="BU176" s="14"/>
      <c r="BW176" s="59"/>
      <c r="CA176" s="59"/>
      <c r="CL176" s="60"/>
    </row>
    <row r="177" spans="1:90" x14ac:dyDescent="0.3">
      <c r="A177" s="23"/>
      <c r="B177" s="23"/>
      <c r="H177" s="14"/>
      <c r="I177" s="23"/>
      <c r="O177" s="14"/>
      <c r="P177" s="23"/>
      <c r="V177" s="14"/>
      <c r="W177" s="23"/>
      <c r="AC177" s="14"/>
      <c r="AD177" s="23"/>
      <c r="AJ177" s="14"/>
      <c r="AK177" s="23"/>
      <c r="AR177" s="23"/>
      <c r="AX177" s="14"/>
      <c r="AY177" s="23"/>
      <c r="BO177" s="23"/>
      <c r="BT177" s="14"/>
      <c r="BU177" s="14"/>
      <c r="BW177" s="59"/>
      <c r="CA177" s="59"/>
      <c r="CL177" s="60"/>
    </row>
    <row r="178" spans="1:90" x14ac:dyDescent="0.3">
      <c r="A178" s="23"/>
      <c r="B178" s="23"/>
      <c r="H178" s="14"/>
      <c r="I178" s="23"/>
      <c r="O178" s="14"/>
      <c r="P178" s="23"/>
      <c r="V178" s="14"/>
      <c r="W178" s="23"/>
      <c r="AC178" s="14"/>
      <c r="AD178" s="23"/>
      <c r="AJ178" s="14"/>
      <c r="AK178" s="23"/>
      <c r="AR178" s="23"/>
      <c r="AX178" s="14"/>
      <c r="AY178" s="23"/>
      <c r="AZ178" s="21" t="s">
        <v>469</v>
      </c>
      <c r="BA178" s="17"/>
      <c r="BB178" s="17"/>
      <c r="BC178" s="17"/>
      <c r="BD178" s="17"/>
      <c r="BO178" s="23"/>
      <c r="BT178" s="14"/>
      <c r="BU178" s="14"/>
      <c r="BW178" s="59"/>
      <c r="CA178" s="59"/>
      <c r="CL178" s="60"/>
    </row>
    <row r="179" spans="1:90" x14ac:dyDescent="0.3">
      <c r="A179" s="23"/>
      <c r="B179" s="23"/>
      <c r="H179" s="14"/>
      <c r="I179" s="23"/>
      <c r="O179" s="14"/>
      <c r="P179" s="23"/>
      <c r="V179" s="14"/>
      <c r="W179" s="23"/>
      <c r="AC179" s="14"/>
      <c r="AD179" s="23"/>
      <c r="AJ179" s="14"/>
      <c r="AK179" s="23"/>
      <c r="AR179" s="23"/>
      <c r="AX179" s="14"/>
      <c r="AY179" s="23"/>
      <c r="BA179" s="8" t="s">
        <v>470</v>
      </c>
      <c r="BO179" s="23"/>
      <c r="BT179" s="14"/>
      <c r="BU179" s="14"/>
      <c r="BW179" s="59"/>
      <c r="CA179" s="59"/>
      <c r="CL179" s="60"/>
    </row>
    <row r="180" spans="1:90" x14ac:dyDescent="0.3">
      <c r="A180" s="23"/>
      <c r="B180" s="23"/>
      <c r="H180" s="14"/>
      <c r="I180" s="23"/>
      <c r="O180" s="14"/>
      <c r="P180" s="23"/>
      <c r="V180" s="14"/>
      <c r="W180" s="23"/>
      <c r="AC180" s="14"/>
      <c r="AD180" s="23"/>
      <c r="AJ180" s="14"/>
      <c r="AK180" s="23"/>
      <c r="AR180" s="23"/>
      <c r="AX180" s="14"/>
      <c r="AY180" s="23"/>
      <c r="BA180" s="8" t="s">
        <v>471</v>
      </c>
      <c r="BO180" s="23"/>
      <c r="BT180" s="14"/>
      <c r="BU180" s="14"/>
      <c r="BW180" s="59"/>
      <c r="CA180" s="59"/>
      <c r="CL180" s="60"/>
    </row>
    <row r="181" spans="1:90" x14ac:dyDescent="0.3">
      <c r="A181" s="23"/>
      <c r="B181" s="23"/>
      <c r="H181" s="14"/>
      <c r="I181" s="23"/>
      <c r="O181" s="14"/>
      <c r="P181" s="23"/>
      <c r="V181" s="14"/>
      <c r="W181" s="23"/>
      <c r="AC181" s="14"/>
      <c r="AD181" s="23"/>
      <c r="AJ181" s="14"/>
      <c r="AK181" s="23"/>
      <c r="AR181" s="23"/>
      <c r="AX181" s="14"/>
      <c r="AY181" s="23"/>
      <c r="BA181" s="8" t="s">
        <v>472</v>
      </c>
      <c r="BO181" s="23"/>
      <c r="BT181" s="14"/>
      <c r="BU181" s="14"/>
      <c r="BW181" s="59"/>
      <c r="CA181" s="59"/>
      <c r="CL181" s="60"/>
    </row>
    <row r="182" spans="1:90" x14ac:dyDescent="0.3">
      <c r="A182" s="23"/>
      <c r="B182" s="23"/>
      <c r="H182" s="14"/>
      <c r="I182" s="23"/>
      <c r="O182" s="14"/>
      <c r="P182" s="23"/>
      <c r="V182" s="14"/>
      <c r="W182" s="23"/>
      <c r="AC182" s="14"/>
      <c r="AD182" s="23"/>
      <c r="AJ182" s="14"/>
      <c r="AK182" s="23"/>
      <c r="AR182" s="23"/>
      <c r="AX182" s="14"/>
      <c r="AY182" s="23"/>
      <c r="BO182" s="23"/>
      <c r="BT182" s="14"/>
      <c r="BU182" s="14"/>
      <c r="BW182" s="59"/>
      <c r="CA182" s="59"/>
      <c r="CL182" s="60"/>
    </row>
    <row r="183" spans="1:90" x14ac:dyDescent="0.3">
      <c r="A183" s="23"/>
      <c r="B183" s="23"/>
      <c r="H183" s="14"/>
      <c r="I183" s="23"/>
      <c r="O183" s="14"/>
      <c r="P183" s="23"/>
      <c r="V183" s="14"/>
      <c r="W183" s="23"/>
      <c r="AC183" s="14"/>
      <c r="AD183" s="23"/>
      <c r="AJ183" s="14"/>
      <c r="AK183" s="23"/>
      <c r="AR183" s="23"/>
      <c r="AX183" s="14"/>
      <c r="AY183" s="23"/>
      <c r="BO183" s="23"/>
      <c r="BT183" s="14"/>
      <c r="BU183" s="14"/>
      <c r="BW183" s="59"/>
      <c r="CA183" s="59"/>
      <c r="CL183" s="60"/>
    </row>
    <row r="184" spans="1:90" x14ac:dyDescent="0.3">
      <c r="A184" s="23"/>
      <c r="B184" s="23"/>
      <c r="H184" s="14"/>
      <c r="I184" s="23"/>
      <c r="O184" s="14"/>
      <c r="P184" s="23"/>
      <c r="V184" s="14"/>
      <c r="W184" s="23"/>
      <c r="AC184" s="14"/>
      <c r="AD184" s="23"/>
      <c r="AJ184" s="14"/>
      <c r="AK184" s="23"/>
      <c r="AR184" s="23"/>
      <c r="AX184" s="14"/>
      <c r="AY184" s="23"/>
      <c r="BO184" s="23"/>
      <c r="BT184" s="14"/>
      <c r="BU184" s="14"/>
      <c r="BW184" s="59"/>
      <c r="CA184" s="59"/>
      <c r="CL184" s="60"/>
    </row>
    <row r="185" spans="1:90" x14ac:dyDescent="0.3">
      <c r="A185" s="23"/>
      <c r="B185" s="23"/>
      <c r="H185" s="14"/>
      <c r="I185" s="23"/>
      <c r="O185" s="14"/>
      <c r="P185" s="23"/>
      <c r="V185" s="14"/>
      <c r="W185" s="23"/>
      <c r="AC185" s="14"/>
      <c r="AD185" s="23"/>
      <c r="AJ185" s="14"/>
      <c r="AK185" s="23"/>
      <c r="AR185" s="23"/>
      <c r="AX185" s="14"/>
      <c r="AY185" s="23"/>
      <c r="BO185" s="23"/>
      <c r="BT185" s="14"/>
      <c r="BU185" s="14"/>
      <c r="BW185" s="59"/>
      <c r="CA185" s="59"/>
      <c r="CL185" s="60"/>
    </row>
    <row r="186" spans="1:90" x14ac:dyDescent="0.3">
      <c r="A186" s="23"/>
      <c r="B186" s="23"/>
      <c r="H186" s="14"/>
      <c r="I186" s="23"/>
      <c r="O186" s="14"/>
      <c r="P186" s="23"/>
      <c r="V186" s="14"/>
      <c r="W186" s="23"/>
      <c r="AC186" s="14"/>
      <c r="AD186" s="23"/>
      <c r="AJ186" s="14"/>
      <c r="AK186" s="23"/>
      <c r="AR186" s="23"/>
      <c r="AX186" s="14"/>
      <c r="AY186" s="23"/>
      <c r="BO186" s="23"/>
      <c r="BT186" s="14"/>
      <c r="BU186" s="14"/>
      <c r="BW186" s="59"/>
      <c r="CA186" s="59"/>
      <c r="CL186" s="60"/>
    </row>
    <row r="187" spans="1:90" x14ac:dyDescent="0.3">
      <c r="A187" s="23"/>
      <c r="B187" s="23"/>
      <c r="H187" s="14"/>
      <c r="I187" s="23"/>
      <c r="O187" s="14"/>
      <c r="P187" s="23"/>
      <c r="V187" s="14"/>
      <c r="W187" s="23"/>
      <c r="AC187" s="14"/>
      <c r="AD187" s="23"/>
      <c r="AJ187" s="14"/>
      <c r="AK187" s="23"/>
      <c r="AR187" s="23"/>
      <c r="AX187" s="14"/>
      <c r="AY187" s="23"/>
      <c r="BO187" s="23"/>
      <c r="BT187" s="14"/>
      <c r="BU187" s="14"/>
      <c r="BW187" s="59"/>
      <c r="CA187" s="59"/>
      <c r="CL187" s="60"/>
    </row>
    <row r="188" spans="1:90" x14ac:dyDescent="0.3">
      <c r="A188" s="23"/>
      <c r="B188" s="23"/>
      <c r="H188" s="14"/>
      <c r="I188" s="23"/>
      <c r="O188" s="14"/>
      <c r="P188" s="23"/>
      <c r="V188" s="14"/>
      <c r="W188" s="23"/>
      <c r="AC188" s="14"/>
      <c r="AD188" s="23"/>
      <c r="AJ188" s="14"/>
      <c r="AK188" s="23"/>
      <c r="AR188" s="23"/>
      <c r="AX188" s="14"/>
      <c r="AY188" s="23"/>
      <c r="AZ188" s="21" t="s">
        <v>473</v>
      </c>
      <c r="BA188" s="17"/>
      <c r="BB188" s="17"/>
      <c r="BC188" s="17"/>
      <c r="BD188" s="17"/>
      <c r="BO188" s="23"/>
      <c r="BT188" s="14"/>
      <c r="BU188" s="14"/>
      <c r="BW188" s="59"/>
      <c r="CA188" s="59"/>
      <c r="CL188" s="60"/>
    </row>
    <row r="189" spans="1:90" x14ac:dyDescent="0.3">
      <c r="A189" s="23"/>
      <c r="B189" s="23"/>
      <c r="H189" s="14"/>
      <c r="I189" s="23"/>
      <c r="O189" s="14"/>
      <c r="P189" s="23"/>
      <c r="V189" s="14"/>
      <c r="W189" s="23"/>
      <c r="AC189" s="14"/>
      <c r="AD189" s="23"/>
      <c r="AJ189" s="14"/>
      <c r="AK189" s="23"/>
      <c r="AR189" s="23"/>
      <c r="AX189" s="14"/>
      <c r="AY189" s="23"/>
      <c r="AZ189" s="11"/>
      <c r="BA189" s="8" t="s">
        <v>474</v>
      </c>
      <c r="BB189" s="17"/>
      <c r="BC189" s="17"/>
      <c r="BD189" s="17"/>
      <c r="BO189" s="23"/>
      <c r="BT189" s="14"/>
      <c r="BU189" s="14"/>
      <c r="BW189" s="59"/>
      <c r="CA189" s="59"/>
      <c r="CL189" s="60"/>
    </row>
    <row r="190" spans="1:90" x14ac:dyDescent="0.3">
      <c r="A190" s="23"/>
      <c r="B190" s="23"/>
      <c r="H190" s="14"/>
      <c r="I190" s="23"/>
      <c r="O190" s="14"/>
      <c r="P190" s="23"/>
      <c r="V190" s="14"/>
      <c r="W190" s="23"/>
      <c r="AC190" s="14"/>
      <c r="AD190" s="23"/>
      <c r="AJ190" s="14"/>
      <c r="AK190" s="23"/>
      <c r="AR190" s="23"/>
      <c r="AX190" s="14"/>
      <c r="AY190" s="23"/>
      <c r="BA190" s="8" t="s">
        <v>471</v>
      </c>
      <c r="BO190" s="23"/>
      <c r="BT190" s="14"/>
      <c r="BU190" s="14"/>
      <c r="BW190" s="59"/>
      <c r="CA190" s="59"/>
      <c r="CL190" s="60"/>
    </row>
    <row r="191" spans="1:90" x14ac:dyDescent="0.3">
      <c r="A191" s="23"/>
      <c r="B191" s="23"/>
      <c r="H191" s="14"/>
      <c r="I191" s="23"/>
      <c r="O191" s="14"/>
      <c r="P191" s="23"/>
      <c r="V191" s="14"/>
      <c r="W191" s="23"/>
      <c r="AC191" s="14"/>
      <c r="AD191" s="23"/>
      <c r="AJ191" s="14"/>
      <c r="AK191" s="23"/>
      <c r="AR191" s="23"/>
      <c r="AX191" s="14"/>
      <c r="AY191" s="23"/>
      <c r="BA191" s="8" t="s">
        <v>472</v>
      </c>
      <c r="BO191" s="23"/>
      <c r="BT191" s="14"/>
      <c r="BU191" s="14"/>
      <c r="BW191" s="59"/>
      <c r="CA191" s="59"/>
      <c r="CL191" s="60"/>
    </row>
    <row r="192" spans="1:90" x14ac:dyDescent="0.3">
      <c r="A192" s="23"/>
      <c r="B192" s="23"/>
      <c r="H192" s="14"/>
      <c r="I192" s="23"/>
      <c r="O192" s="14"/>
      <c r="P192" s="23"/>
      <c r="V192" s="14"/>
      <c r="W192" s="23"/>
      <c r="AC192" s="14"/>
      <c r="AD192" s="23"/>
      <c r="AJ192" s="14"/>
      <c r="AK192" s="23"/>
      <c r="AR192" s="23"/>
      <c r="AX192" s="14"/>
      <c r="AY192" s="23"/>
      <c r="BO192" s="23"/>
      <c r="BT192" s="14"/>
      <c r="BU192" s="14"/>
      <c r="BW192" s="59"/>
      <c r="CA192" s="59"/>
      <c r="CL192" s="60"/>
    </row>
    <row r="193" spans="1:90" x14ac:dyDescent="0.3">
      <c r="A193" s="23"/>
      <c r="B193" s="23"/>
      <c r="H193" s="14"/>
      <c r="I193" s="23"/>
      <c r="O193" s="14"/>
      <c r="P193" s="23"/>
      <c r="V193" s="14"/>
      <c r="W193" s="23"/>
      <c r="AC193" s="14"/>
      <c r="AD193" s="23"/>
      <c r="AJ193" s="14"/>
      <c r="AK193" s="23"/>
      <c r="AR193" s="23"/>
      <c r="AX193" s="14"/>
      <c r="AY193" s="23"/>
      <c r="AZ193" s="21" t="s">
        <v>475</v>
      </c>
      <c r="BA193" s="17"/>
      <c r="BB193" s="17"/>
      <c r="BC193" s="17"/>
      <c r="BO193" s="23"/>
      <c r="BT193" s="14"/>
      <c r="BU193" s="14"/>
      <c r="BW193" s="59"/>
      <c r="CA193" s="59"/>
      <c r="CL193" s="60"/>
    </row>
    <row r="194" spans="1:90" x14ac:dyDescent="0.3">
      <c r="A194" s="23"/>
      <c r="B194" s="23"/>
      <c r="H194" s="14"/>
      <c r="I194" s="23"/>
      <c r="O194" s="14"/>
      <c r="P194" s="23"/>
      <c r="V194" s="14"/>
      <c r="W194" s="23"/>
      <c r="AC194" s="14"/>
      <c r="AD194" s="23"/>
      <c r="AJ194" s="14"/>
      <c r="AK194" s="23"/>
      <c r="AR194" s="23"/>
      <c r="AX194" s="14"/>
      <c r="AY194" s="23"/>
      <c r="AZ194" s="11"/>
      <c r="BA194" s="8" t="s">
        <v>476</v>
      </c>
      <c r="BB194" s="17"/>
      <c r="BC194" s="17"/>
      <c r="BO194" s="23"/>
      <c r="BT194" s="14"/>
      <c r="BU194" s="14"/>
      <c r="BW194" s="59"/>
      <c r="CA194" s="59"/>
      <c r="CL194" s="60"/>
    </row>
    <row r="195" spans="1:90" x14ac:dyDescent="0.3">
      <c r="A195" s="23"/>
      <c r="B195" s="23"/>
      <c r="H195" s="14"/>
      <c r="I195" s="23"/>
      <c r="O195" s="14"/>
      <c r="P195" s="23"/>
      <c r="V195" s="14"/>
      <c r="W195" s="23"/>
      <c r="AC195" s="14"/>
      <c r="AD195" s="23"/>
      <c r="AJ195" s="14"/>
      <c r="AK195" s="23"/>
      <c r="AR195" s="23"/>
      <c r="AX195" s="14"/>
      <c r="AY195" s="23"/>
      <c r="BA195" s="72" t="s">
        <v>477</v>
      </c>
      <c r="BO195" s="23"/>
      <c r="BT195" s="14"/>
      <c r="BU195" s="14"/>
      <c r="BW195" s="59"/>
      <c r="CA195" s="59"/>
      <c r="CL195" s="60"/>
    </row>
    <row r="196" spans="1:90" x14ac:dyDescent="0.3">
      <c r="A196" s="23"/>
      <c r="B196" s="23"/>
      <c r="H196" s="14"/>
      <c r="I196" s="23"/>
      <c r="O196" s="14"/>
      <c r="P196" s="23"/>
      <c r="V196" s="14"/>
      <c r="W196" s="23"/>
      <c r="AC196" s="14"/>
      <c r="AD196" s="23"/>
      <c r="AJ196" s="14"/>
      <c r="AK196" s="23"/>
      <c r="AR196" s="23"/>
      <c r="AX196" s="14"/>
      <c r="AY196" s="23"/>
      <c r="BA196" s="71"/>
      <c r="BO196" s="23"/>
      <c r="BT196" s="14"/>
      <c r="BU196" s="14"/>
      <c r="BW196" s="59"/>
      <c r="CA196" s="59"/>
      <c r="CL196" s="60"/>
    </row>
    <row r="197" spans="1:90" x14ac:dyDescent="0.3">
      <c r="A197" s="23"/>
      <c r="B197" s="23"/>
      <c r="H197" s="14"/>
      <c r="I197" s="23"/>
      <c r="O197" s="14"/>
      <c r="P197" s="23"/>
      <c r="V197" s="14"/>
      <c r="W197" s="23"/>
      <c r="AC197" s="14"/>
      <c r="AD197" s="23"/>
      <c r="AJ197" s="14"/>
      <c r="AK197" s="23"/>
      <c r="AR197" s="23"/>
      <c r="AX197" s="14"/>
      <c r="AY197" s="23"/>
      <c r="BA197" s="71"/>
      <c r="BO197" s="23"/>
      <c r="BT197" s="14"/>
      <c r="BU197" s="14"/>
      <c r="BW197" s="59"/>
      <c r="CA197" s="59"/>
      <c r="CL197" s="60"/>
    </row>
    <row r="198" spans="1:90" x14ac:dyDescent="0.3">
      <c r="A198" s="23"/>
      <c r="B198" s="23"/>
      <c r="H198" s="14"/>
      <c r="I198" s="23"/>
      <c r="O198" s="14"/>
      <c r="P198" s="23"/>
      <c r="V198" s="14"/>
      <c r="W198" s="23"/>
      <c r="AC198" s="14"/>
      <c r="AD198" s="23"/>
      <c r="AJ198" s="14"/>
      <c r="AK198" s="23"/>
      <c r="AR198" s="23"/>
      <c r="AX198" s="14"/>
      <c r="AY198" s="23"/>
      <c r="BA198" s="71"/>
      <c r="BO198" s="23"/>
      <c r="BT198" s="14"/>
      <c r="BU198" s="14"/>
      <c r="BW198" s="59"/>
      <c r="CA198" s="59"/>
      <c r="CL198" s="60"/>
    </row>
    <row r="199" spans="1:90" x14ac:dyDescent="0.3">
      <c r="A199" s="23"/>
      <c r="B199" s="23"/>
      <c r="H199" s="14"/>
      <c r="I199" s="23"/>
      <c r="O199" s="14"/>
      <c r="P199" s="23"/>
      <c r="V199" s="14"/>
      <c r="W199" s="23"/>
      <c r="AC199" s="14"/>
      <c r="AD199" s="23"/>
      <c r="AJ199" s="14"/>
      <c r="AK199" s="23"/>
      <c r="AR199" s="23"/>
      <c r="AX199" s="14"/>
      <c r="AY199" s="23"/>
      <c r="AZ199" s="21"/>
      <c r="BO199" s="23"/>
      <c r="BT199" s="14"/>
      <c r="BU199" s="14"/>
      <c r="BW199" s="59"/>
      <c r="CA199" s="59"/>
      <c r="CL199" s="60"/>
    </row>
    <row r="200" spans="1:90" x14ac:dyDescent="0.3">
      <c r="A200" s="23"/>
      <c r="B200" s="23"/>
      <c r="H200" s="14"/>
      <c r="I200" s="23"/>
      <c r="O200" s="14"/>
      <c r="P200" s="23"/>
      <c r="V200" s="14"/>
      <c r="W200" s="23"/>
      <c r="AC200" s="14"/>
      <c r="AD200" s="23"/>
      <c r="AJ200" s="14"/>
      <c r="AK200" s="23"/>
      <c r="AR200" s="23"/>
      <c r="AX200" s="14"/>
      <c r="AY200" s="23"/>
      <c r="AZ200" s="21" t="s">
        <v>478</v>
      </c>
      <c r="BA200" s="17"/>
      <c r="BO200" s="23"/>
      <c r="BT200" s="14"/>
      <c r="BU200" s="14"/>
      <c r="BW200" s="59"/>
      <c r="CA200" s="59"/>
      <c r="CL200" s="60"/>
    </row>
    <row r="201" spans="1:90" x14ac:dyDescent="0.3">
      <c r="A201" s="23"/>
      <c r="B201" s="23"/>
      <c r="H201" s="14"/>
      <c r="I201" s="23"/>
      <c r="O201" s="14"/>
      <c r="P201" s="23"/>
      <c r="V201" s="14"/>
      <c r="W201" s="23"/>
      <c r="AC201" s="14"/>
      <c r="AD201" s="23"/>
      <c r="AJ201" s="14"/>
      <c r="AK201" s="23"/>
      <c r="AR201" s="23"/>
      <c r="AX201" s="14"/>
      <c r="AY201" s="23"/>
      <c r="BA201" s="8" t="s">
        <v>479</v>
      </c>
      <c r="BO201" s="23"/>
      <c r="BT201" s="14"/>
      <c r="BU201" s="14"/>
      <c r="BW201" s="59"/>
      <c r="CA201" s="59"/>
      <c r="CL201" s="60"/>
    </row>
    <row r="202" spans="1:90" x14ac:dyDescent="0.3">
      <c r="A202" s="23"/>
      <c r="B202" s="23"/>
      <c r="H202" s="14"/>
      <c r="I202" s="23"/>
      <c r="O202" s="14"/>
      <c r="P202" s="23"/>
      <c r="V202" s="14"/>
      <c r="W202" s="23"/>
      <c r="AC202" s="14"/>
      <c r="AD202" s="23"/>
      <c r="AJ202" s="14"/>
      <c r="AK202" s="23"/>
      <c r="AR202" s="23"/>
      <c r="AX202" s="14"/>
      <c r="AY202" s="23"/>
      <c r="BO202" s="23"/>
      <c r="BT202" s="14"/>
      <c r="BU202" s="14"/>
      <c r="BW202" s="59"/>
      <c r="CA202" s="59"/>
      <c r="CL202" s="60"/>
    </row>
    <row r="203" spans="1:90" x14ac:dyDescent="0.3">
      <c r="A203" s="23"/>
      <c r="B203" s="23"/>
      <c r="H203" s="14"/>
      <c r="I203" s="23"/>
      <c r="O203" s="14"/>
      <c r="P203" s="23"/>
      <c r="V203" s="14"/>
      <c r="W203" s="23"/>
      <c r="AC203" s="14"/>
      <c r="AD203" s="23"/>
      <c r="AJ203" s="14"/>
      <c r="AK203" s="23"/>
      <c r="AR203" s="23"/>
      <c r="AX203" s="14"/>
      <c r="AY203" s="23"/>
      <c r="BO203" s="23"/>
      <c r="BT203" s="14"/>
      <c r="BU203" s="14"/>
      <c r="BW203" s="59"/>
      <c r="CA203" s="59"/>
      <c r="CL203" s="60"/>
    </row>
    <row r="204" spans="1:90" x14ac:dyDescent="0.3">
      <c r="A204" s="23"/>
      <c r="B204" s="23"/>
      <c r="H204" s="14"/>
      <c r="I204" s="23"/>
      <c r="O204" s="14"/>
      <c r="P204" s="23"/>
      <c r="V204" s="14"/>
      <c r="W204" s="23"/>
      <c r="AC204" s="14"/>
      <c r="AD204" s="23"/>
      <c r="AJ204" s="14"/>
      <c r="AK204" s="23"/>
      <c r="AR204" s="23"/>
      <c r="AX204" s="14"/>
      <c r="AY204" s="23"/>
      <c r="BO204" s="23"/>
      <c r="BT204" s="14"/>
      <c r="BU204" s="14"/>
      <c r="BW204" s="59"/>
      <c r="CA204" s="59"/>
      <c r="CL204" s="60"/>
    </row>
    <row r="205" spans="1:90" x14ac:dyDescent="0.3">
      <c r="A205" s="23"/>
      <c r="B205" s="23"/>
      <c r="H205" s="14"/>
      <c r="I205" s="23"/>
      <c r="O205" s="14"/>
      <c r="P205" s="23"/>
      <c r="V205" s="14"/>
      <c r="W205" s="23"/>
      <c r="AC205" s="14"/>
      <c r="AD205" s="23"/>
      <c r="AJ205" s="14"/>
      <c r="AK205" s="23"/>
      <c r="AR205" s="23"/>
      <c r="AX205" s="14"/>
      <c r="AY205" s="23"/>
      <c r="BO205" s="23"/>
      <c r="BT205" s="14"/>
      <c r="BU205" s="14"/>
      <c r="BW205" s="59"/>
      <c r="CA205" s="59"/>
      <c r="CL205" s="60"/>
    </row>
    <row r="206" spans="1:90" x14ac:dyDescent="0.3">
      <c r="A206" s="23"/>
      <c r="B206" s="23"/>
      <c r="H206" s="14"/>
      <c r="I206" s="23"/>
      <c r="O206" s="14"/>
      <c r="P206" s="23"/>
      <c r="V206" s="14"/>
      <c r="W206" s="23"/>
      <c r="AC206" s="14"/>
      <c r="AD206" s="23"/>
      <c r="AJ206" s="14"/>
      <c r="AK206" s="23"/>
      <c r="AR206" s="23"/>
      <c r="AX206" s="14"/>
      <c r="AY206" s="23"/>
      <c r="BO206" s="23"/>
      <c r="BT206" s="14"/>
      <c r="BU206" s="14"/>
      <c r="BW206" s="59"/>
      <c r="CA206" s="59"/>
      <c r="CL206" s="60"/>
    </row>
    <row r="207" spans="1:90" x14ac:dyDescent="0.3">
      <c r="A207" s="23"/>
      <c r="B207" s="23"/>
      <c r="H207" s="14"/>
      <c r="I207" s="23"/>
      <c r="O207" s="14"/>
      <c r="P207" s="23"/>
      <c r="V207" s="14"/>
      <c r="W207" s="23"/>
      <c r="AC207" s="14"/>
      <c r="AD207" s="23"/>
      <c r="AJ207" s="14"/>
      <c r="AK207" s="23"/>
      <c r="AR207" s="23"/>
      <c r="AY207" s="23"/>
      <c r="BO207" s="23"/>
      <c r="BT207" s="14"/>
      <c r="BU207" s="14"/>
      <c r="BW207" s="59"/>
      <c r="CA207" s="59"/>
      <c r="CL207" s="60"/>
    </row>
    <row r="208" spans="1:90" x14ac:dyDescent="0.3">
      <c r="A208" s="23"/>
      <c r="B208" s="23"/>
      <c r="H208" s="14"/>
      <c r="I208" s="23"/>
      <c r="O208" s="14"/>
      <c r="P208" s="23"/>
      <c r="V208" s="14"/>
      <c r="W208" s="23"/>
      <c r="AC208" s="14"/>
      <c r="AD208" s="23"/>
      <c r="AJ208" s="14"/>
      <c r="AK208" s="23"/>
      <c r="AR208" s="23"/>
      <c r="AY208" s="23"/>
      <c r="AZ208" s="21" t="s">
        <v>480</v>
      </c>
      <c r="BA208" s="17"/>
      <c r="BO208" s="23"/>
      <c r="BT208" s="14"/>
      <c r="BU208" s="14"/>
      <c r="BW208" s="59"/>
      <c r="CA208" s="59"/>
      <c r="CL208" s="60"/>
    </row>
    <row r="209" spans="1:90" x14ac:dyDescent="0.3">
      <c r="A209" s="23"/>
      <c r="B209" s="23"/>
      <c r="H209" s="14"/>
      <c r="I209" s="23"/>
      <c r="O209" s="14"/>
      <c r="P209" s="23"/>
      <c r="V209" s="14"/>
      <c r="W209" s="23"/>
      <c r="AC209" s="14"/>
      <c r="AD209" s="23"/>
      <c r="AJ209" s="14"/>
      <c r="AK209" s="23"/>
      <c r="AR209" s="23"/>
      <c r="AY209" s="23"/>
      <c r="BA209" s="8" t="s">
        <v>481</v>
      </c>
      <c r="BO209" s="23"/>
      <c r="BT209" s="14"/>
      <c r="BU209" s="14"/>
      <c r="BW209" s="59"/>
      <c r="CA209" s="59"/>
      <c r="CL209" s="60"/>
    </row>
    <row r="210" spans="1:90" x14ac:dyDescent="0.3">
      <c r="A210" s="23"/>
      <c r="B210" s="23"/>
      <c r="H210" s="14"/>
      <c r="I210" s="23"/>
      <c r="O210" s="14"/>
      <c r="P210" s="23"/>
      <c r="V210" s="14"/>
      <c r="W210" s="23"/>
      <c r="AC210" s="14"/>
      <c r="AD210" s="23"/>
      <c r="AJ210" s="14"/>
      <c r="AK210" s="23"/>
      <c r="AR210" s="23"/>
      <c r="AY210" s="23"/>
      <c r="BO210" s="23"/>
      <c r="BT210" s="14"/>
      <c r="BU210" s="14"/>
      <c r="BW210" s="59"/>
      <c r="CA210" s="59"/>
      <c r="CL210" s="60"/>
    </row>
    <row r="211" spans="1:90" x14ac:dyDescent="0.3">
      <c r="A211" s="23"/>
      <c r="B211" s="23"/>
      <c r="H211" s="14"/>
      <c r="I211" s="23"/>
      <c r="O211" s="14"/>
      <c r="P211" s="23"/>
      <c r="V211" s="14"/>
      <c r="W211" s="23"/>
      <c r="AC211" s="14"/>
      <c r="AD211" s="23"/>
      <c r="AJ211" s="14"/>
      <c r="AK211" s="23"/>
      <c r="AR211" s="23"/>
      <c r="AY211" s="23"/>
      <c r="BO211" s="23"/>
      <c r="BT211" s="14"/>
      <c r="BU211" s="14"/>
      <c r="BW211" s="59"/>
      <c r="CA211" s="59"/>
      <c r="CL211" s="60"/>
    </row>
    <row r="212" spans="1:90" x14ac:dyDescent="0.3">
      <c r="A212" s="23"/>
      <c r="B212" s="23"/>
      <c r="H212" s="14"/>
      <c r="I212" s="23"/>
      <c r="O212" s="14"/>
      <c r="P212" s="23"/>
      <c r="V212" s="14"/>
      <c r="W212" s="23"/>
      <c r="AC212" s="14"/>
      <c r="AD212" s="23"/>
      <c r="AJ212" s="14"/>
      <c r="AK212" s="23"/>
      <c r="AR212" s="23"/>
      <c r="AY212" s="23"/>
      <c r="BO212" s="23"/>
      <c r="BT212" s="14"/>
      <c r="BU212" s="14"/>
      <c r="BW212" s="59"/>
      <c r="CA212" s="59"/>
      <c r="CL212" s="60"/>
    </row>
    <row r="213" spans="1:90" x14ac:dyDescent="0.3">
      <c r="A213" s="23"/>
      <c r="B213" s="23"/>
      <c r="H213" s="14"/>
      <c r="I213" s="23"/>
      <c r="O213" s="14"/>
      <c r="P213" s="23"/>
      <c r="V213" s="14"/>
      <c r="W213" s="23"/>
      <c r="AC213" s="14"/>
      <c r="AD213" s="23"/>
      <c r="AJ213" s="14"/>
      <c r="AK213" s="23"/>
      <c r="AR213" s="23"/>
      <c r="AY213" s="23"/>
      <c r="BO213" s="23"/>
      <c r="BT213" s="14"/>
      <c r="BU213" s="14"/>
      <c r="BW213" s="59"/>
      <c r="CA213" s="59"/>
      <c r="CL213" s="60"/>
    </row>
    <row r="214" spans="1:90" x14ac:dyDescent="0.3">
      <c r="A214" s="23"/>
      <c r="B214" s="23"/>
      <c r="H214" s="14"/>
      <c r="I214" s="23"/>
      <c r="O214" s="14"/>
      <c r="P214" s="23"/>
      <c r="V214" s="14"/>
      <c r="W214" s="23"/>
      <c r="AC214" s="14"/>
      <c r="AD214" s="23"/>
      <c r="AJ214" s="14"/>
      <c r="AK214" s="23"/>
      <c r="AR214" s="23"/>
      <c r="AY214" s="23"/>
      <c r="BO214" s="23"/>
      <c r="BT214" s="14"/>
      <c r="BU214" s="14"/>
      <c r="BW214" s="59"/>
      <c r="CA214" s="59"/>
      <c r="CL214" s="60"/>
    </row>
    <row r="215" spans="1:90" x14ac:dyDescent="0.3">
      <c r="A215" s="23"/>
      <c r="B215" s="23"/>
      <c r="H215" s="14"/>
      <c r="I215" s="23"/>
      <c r="O215" s="14"/>
      <c r="P215" s="23"/>
      <c r="V215" s="14"/>
      <c r="W215" s="23"/>
      <c r="AC215" s="14"/>
      <c r="AD215" s="23"/>
      <c r="AJ215" s="14"/>
      <c r="AK215" s="23"/>
      <c r="AR215" s="23"/>
      <c r="AY215" s="23"/>
      <c r="BO215" s="23"/>
      <c r="BT215" s="14"/>
      <c r="BU215" s="14"/>
      <c r="BW215" s="59"/>
      <c r="CA215" s="59"/>
      <c r="CL215" s="60"/>
    </row>
    <row r="216" spans="1:90" x14ac:dyDescent="0.3">
      <c r="A216" s="23"/>
      <c r="B216" s="23"/>
      <c r="H216" s="14"/>
      <c r="I216" s="23"/>
      <c r="O216" s="14"/>
      <c r="P216" s="23"/>
      <c r="V216" s="14"/>
      <c r="W216" s="23"/>
      <c r="AC216" s="14"/>
      <c r="AD216" s="23"/>
      <c r="AJ216" s="14"/>
      <c r="AK216" s="23"/>
      <c r="AR216" s="23"/>
      <c r="AY216" s="23"/>
      <c r="BO216" s="23"/>
      <c r="BT216" s="14"/>
      <c r="BU216" s="14"/>
      <c r="BW216" s="59"/>
      <c r="CA216" s="59"/>
      <c r="CL216" s="60"/>
    </row>
    <row r="217" spans="1:90" x14ac:dyDescent="0.3">
      <c r="A217" s="23"/>
      <c r="B217" s="23"/>
      <c r="H217" s="14"/>
      <c r="I217" s="23"/>
      <c r="O217" s="14"/>
      <c r="P217" s="23"/>
      <c r="V217" s="14"/>
      <c r="W217" s="23"/>
      <c r="AC217" s="14"/>
      <c r="AD217" s="23"/>
      <c r="AJ217" s="14"/>
      <c r="AK217" s="23"/>
      <c r="AR217" s="23"/>
      <c r="AY217" s="23"/>
      <c r="BO217" s="23"/>
      <c r="BT217" s="14"/>
      <c r="BU217" s="14"/>
      <c r="BW217" s="59"/>
      <c r="CA217" s="59"/>
      <c r="CL217" s="60"/>
    </row>
    <row r="218" spans="1:90" x14ac:dyDescent="0.3">
      <c r="A218" s="23"/>
      <c r="B218" s="23"/>
      <c r="H218" s="14"/>
      <c r="I218" s="23"/>
      <c r="O218" s="14"/>
      <c r="P218" s="23"/>
      <c r="V218" s="14"/>
      <c r="W218" s="23"/>
      <c r="AC218" s="14"/>
      <c r="AD218" s="23"/>
      <c r="AJ218" s="14"/>
      <c r="AK218" s="23"/>
      <c r="AR218" s="23"/>
      <c r="AY218" s="23"/>
      <c r="BO218" s="23"/>
      <c r="BT218" s="14"/>
      <c r="BU218" s="14"/>
      <c r="BW218" s="59"/>
      <c r="CA218" s="59"/>
      <c r="CL218" s="60"/>
    </row>
    <row r="219" spans="1:90" x14ac:dyDescent="0.3">
      <c r="A219" s="23"/>
      <c r="B219" s="50"/>
      <c r="C219" s="10"/>
      <c r="D219" s="10"/>
      <c r="E219" s="10"/>
      <c r="F219" s="10"/>
      <c r="G219" s="10"/>
      <c r="H219" s="15"/>
      <c r="I219" s="50"/>
      <c r="J219" s="10"/>
      <c r="K219" s="10"/>
      <c r="L219" s="10"/>
      <c r="M219" s="10"/>
      <c r="N219" s="10"/>
      <c r="O219" s="15"/>
      <c r="P219" s="50"/>
      <c r="Q219" s="10"/>
      <c r="R219" s="10"/>
      <c r="S219" s="10"/>
      <c r="T219" s="10"/>
      <c r="U219" s="10"/>
      <c r="V219" s="15"/>
      <c r="W219" s="50"/>
      <c r="X219" s="10"/>
      <c r="Y219" s="10"/>
      <c r="Z219" s="10"/>
      <c r="AA219" s="10"/>
      <c r="AB219" s="10"/>
      <c r="AC219" s="15"/>
      <c r="AD219" s="50"/>
      <c r="AE219" s="10"/>
      <c r="AF219" s="10"/>
      <c r="AG219" s="10"/>
      <c r="AH219" s="10"/>
      <c r="AI219" s="10"/>
      <c r="AJ219" s="15"/>
      <c r="AK219" s="50"/>
      <c r="AL219" s="10"/>
      <c r="AM219" s="10"/>
      <c r="AN219" s="10"/>
      <c r="AO219" s="10"/>
      <c r="AP219" s="10"/>
      <c r="AQ219" s="10"/>
      <c r="AR219" s="50"/>
      <c r="AS219" s="10"/>
      <c r="AT219" s="10"/>
      <c r="AU219" s="10"/>
      <c r="AV219" s="10"/>
      <c r="AW219" s="10"/>
      <c r="AX219" s="10"/>
      <c r="AY219" s="5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50"/>
      <c r="BP219" s="10"/>
      <c r="BQ219" s="10"/>
      <c r="BR219" s="10"/>
      <c r="BS219" s="10"/>
      <c r="BT219" s="15"/>
      <c r="BU219" s="14"/>
      <c r="BW219" s="61"/>
      <c r="BX219" s="62"/>
      <c r="BY219" s="62"/>
      <c r="BZ219" s="62"/>
      <c r="CA219" s="61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3"/>
    </row>
    <row r="220" spans="1:90" x14ac:dyDescent="0.3">
      <c r="A220" s="23"/>
      <c r="BU220" s="14"/>
    </row>
    <row r="221" spans="1:90" x14ac:dyDescent="0.3">
      <c r="A221" s="5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5"/>
    </row>
  </sheetData>
  <mergeCells count="27">
    <mergeCell ref="A1:E1"/>
    <mergeCell ref="F1:U1"/>
    <mergeCell ref="V1:AI1"/>
    <mergeCell ref="AJ1:AP1"/>
    <mergeCell ref="AQ1:AV1"/>
    <mergeCell ref="B8:H9"/>
    <mergeCell ref="AD8:AJ9"/>
    <mergeCell ref="AY8:BN9"/>
    <mergeCell ref="BO8:BT9"/>
    <mergeCell ref="W8:AC9"/>
    <mergeCell ref="P8:V9"/>
    <mergeCell ref="AK9:AQ9"/>
    <mergeCell ref="AR9:AX9"/>
    <mergeCell ref="I8:O9"/>
    <mergeCell ref="A2:E3"/>
    <mergeCell ref="F2:U3"/>
    <mergeCell ref="V2:AI3"/>
    <mergeCell ref="AJ2:AK2"/>
    <mergeCell ref="AL2:AP2"/>
    <mergeCell ref="CA13:CL13"/>
    <mergeCell ref="AQ2:AV2"/>
    <mergeCell ref="AJ3:AK3"/>
    <mergeCell ref="AL3:AP3"/>
    <mergeCell ref="AQ3:AV3"/>
    <mergeCell ref="BW8:BZ9"/>
    <mergeCell ref="CA8:CL9"/>
    <mergeCell ref="CA12:CL12"/>
  </mergeCells>
  <phoneticPr fontId="4"/>
  <pageMargins left="0.7" right="0.7" top="0.75" bottom="0.75" header="0.3" footer="0.3"/>
  <pageSetup paperSize="9" scale="31" fitToHeight="0" orientation="portrait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CK109"/>
  <sheetViews>
    <sheetView showGridLines="0" zoomScale="73" zoomScaleNormal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64" width="2.453125" style="8"/>
    <col min="65" max="65" width="2.453125" style="8" customWidth="1"/>
    <col min="66" max="81" width="2.453125" style="8"/>
    <col min="82" max="82" width="2.453125" style="8" customWidth="1"/>
    <col min="83" max="16384" width="2.453125" style="8"/>
  </cols>
  <sheetData>
    <row r="1" spans="1:89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89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11.SSJ与信管理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89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89" x14ac:dyDescent="0.3">
      <c r="A4" s="23"/>
    </row>
    <row r="5" spans="1:89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</row>
    <row r="6" spans="1:89" s="11" customFormat="1" x14ac:dyDescent="0.3">
      <c r="A6" s="35" t="str">
        <f ca="1">RIGHT(CELL("filename",A1),LEN(CELL("filename",A1))-FIND("]",CELL("filename",A1)))</f>
        <v>11.SSJ与信管理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36"/>
    </row>
    <row r="7" spans="1:89" s="11" customFormat="1" x14ac:dyDescent="0.3">
      <c r="A7" s="24"/>
      <c r="BT7" s="13"/>
    </row>
    <row r="8" spans="1:89" s="11" customFormat="1" ht="15.75" customHeight="1" x14ac:dyDescent="0.3">
      <c r="A8" s="24"/>
      <c r="B8" s="231" t="s">
        <v>482</v>
      </c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3"/>
      <c r="P8" s="231" t="s">
        <v>285</v>
      </c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3"/>
      <c r="AD8" s="231" t="s">
        <v>159</v>
      </c>
      <c r="AE8" s="232"/>
      <c r="AF8" s="232"/>
      <c r="AG8" s="232"/>
      <c r="AH8" s="232"/>
      <c r="AI8" s="232"/>
      <c r="AJ8" s="233"/>
      <c r="AK8" s="223" t="s">
        <v>92</v>
      </c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4"/>
      <c r="AY8" s="221" t="s">
        <v>110</v>
      </c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0" t="s">
        <v>112</v>
      </c>
      <c r="BP8" s="221"/>
      <c r="BQ8" s="221"/>
      <c r="BR8" s="221"/>
      <c r="BS8" s="221"/>
      <c r="BT8" s="13"/>
      <c r="BV8" s="245" t="s">
        <v>118</v>
      </c>
      <c r="BW8" s="246"/>
      <c r="BX8" s="246"/>
      <c r="BY8" s="246"/>
      <c r="BZ8" s="263" t="s">
        <v>119</v>
      </c>
      <c r="CA8" s="264"/>
      <c r="CB8" s="264"/>
      <c r="CC8" s="264"/>
      <c r="CD8" s="264"/>
      <c r="CE8" s="264"/>
      <c r="CF8" s="264"/>
      <c r="CG8" s="264"/>
      <c r="CH8" s="264"/>
      <c r="CI8" s="264"/>
      <c r="CJ8" s="264"/>
      <c r="CK8" s="265"/>
    </row>
    <row r="9" spans="1:89" s="11" customFormat="1" ht="13.5" customHeight="1" x14ac:dyDescent="0.3">
      <c r="A9" s="24"/>
      <c r="B9" s="231" t="s">
        <v>160</v>
      </c>
      <c r="C9" s="232"/>
      <c r="D9" s="232"/>
      <c r="E9" s="232"/>
      <c r="F9" s="232"/>
      <c r="G9" s="232"/>
      <c r="H9" s="233"/>
      <c r="I9" s="231" t="s">
        <v>483</v>
      </c>
      <c r="J9" s="232"/>
      <c r="K9" s="232"/>
      <c r="L9" s="232"/>
      <c r="M9" s="232"/>
      <c r="N9" s="232"/>
      <c r="O9" s="233"/>
      <c r="P9" s="231" t="s">
        <v>160</v>
      </c>
      <c r="Q9" s="232"/>
      <c r="R9" s="232"/>
      <c r="S9" s="232"/>
      <c r="T9" s="232"/>
      <c r="U9" s="232"/>
      <c r="V9" s="233"/>
      <c r="W9" s="231" t="s">
        <v>483</v>
      </c>
      <c r="X9" s="232"/>
      <c r="Y9" s="232"/>
      <c r="Z9" s="232"/>
      <c r="AA9" s="232"/>
      <c r="AB9" s="232"/>
      <c r="AC9" s="233"/>
      <c r="AD9" s="231" t="s">
        <v>98</v>
      </c>
      <c r="AE9" s="232"/>
      <c r="AF9" s="232"/>
      <c r="AG9" s="232"/>
      <c r="AH9" s="232"/>
      <c r="AI9" s="232"/>
      <c r="AJ9" s="233"/>
      <c r="AK9" s="223" t="s">
        <v>107</v>
      </c>
      <c r="AL9" s="223"/>
      <c r="AM9" s="223"/>
      <c r="AN9" s="223"/>
      <c r="AO9" s="223"/>
      <c r="AP9" s="223"/>
      <c r="AQ9" s="224"/>
      <c r="AR9" s="222" t="s">
        <v>109</v>
      </c>
      <c r="AS9" s="223"/>
      <c r="AT9" s="223"/>
      <c r="AU9" s="223"/>
      <c r="AV9" s="223"/>
      <c r="AW9" s="223"/>
      <c r="AX9" s="224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13"/>
      <c r="BV9" s="247"/>
      <c r="BW9" s="247"/>
      <c r="BX9" s="247"/>
      <c r="BY9" s="247"/>
      <c r="BZ9" s="266"/>
      <c r="CA9" s="267"/>
      <c r="CB9" s="267"/>
      <c r="CC9" s="267"/>
      <c r="CD9" s="267"/>
      <c r="CE9" s="267"/>
      <c r="CF9" s="267"/>
      <c r="CG9" s="267"/>
      <c r="CH9" s="267"/>
      <c r="CI9" s="267"/>
      <c r="CJ9" s="267"/>
      <c r="CK9" s="268"/>
    </row>
    <row r="10" spans="1:89" s="11" customFormat="1" x14ac:dyDescent="0.3">
      <c r="A10" s="24"/>
      <c r="B10" s="31" t="s">
        <v>484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74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13"/>
      <c r="BV10" s="54"/>
      <c r="BW10" s="55"/>
      <c r="BX10" s="55"/>
      <c r="BY10" s="55"/>
      <c r="BZ10" s="54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6"/>
    </row>
    <row r="11" spans="1:89" s="11" customFormat="1" x14ac:dyDescent="0.3">
      <c r="A11" s="24"/>
      <c r="B11" s="27"/>
      <c r="C11" s="20"/>
      <c r="D11" s="20"/>
      <c r="E11" s="20"/>
      <c r="F11" s="20"/>
      <c r="G11" s="20"/>
      <c r="H11" s="19"/>
      <c r="I11" s="27"/>
      <c r="J11" s="20"/>
      <c r="K11" s="20"/>
      <c r="L11" s="20"/>
      <c r="M11" s="20"/>
      <c r="N11" s="20"/>
      <c r="O11" s="19"/>
      <c r="P11" s="20"/>
      <c r="Q11" s="20"/>
      <c r="R11" s="20"/>
      <c r="S11" s="20"/>
      <c r="T11" s="20"/>
      <c r="U11" s="20"/>
      <c r="V11" s="20"/>
      <c r="W11" s="27"/>
      <c r="X11" s="20"/>
      <c r="Y11" s="20"/>
      <c r="Z11" s="20"/>
      <c r="AA11" s="20"/>
      <c r="AB11" s="20"/>
      <c r="AC11" s="19"/>
      <c r="AD11" s="20"/>
      <c r="AE11" s="20"/>
      <c r="AF11" s="20"/>
      <c r="AG11" s="20"/>
      <c r="AH11" s="20"/>
      <c r="AI11" s="20"/>
      <c r="AJ11" s="19"/>
      <c r="AK11" s="20"/>
      <c r="AL11" s="20"/>
      <c r="AM11" s="20"/>
      <c r="AN11" s="20"/>
      <c r="AO11" s="20"/>
      <c r="AP11" s="20"/>
      <c r="AQ11" s="20"/>
      <c r="AR11" s="27"/>
      <c r="AS11" s="20"/>
      <c r="AT11" s="20"/>
      <c r="AU11" s="20"/>
      <c r="AV11" s="20"/>
      <c r="AW11" s="20"/>
      <c r="AX11" s="19"/>
      <c r="AY11" s="27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7"/>
      <c r="BP11" s="20"/>
      <c r="BQ11" s="20"/>
      <c r="BR11" s="20"/>
      <c r="BS11" s="19"/>
      <c r="BT11" s="13"/>
      <c r="BV11" s="57"/>
      <c r="BZ11" s="57"/>
      <c r="CK11" s="58"/>
    </row>
    <row r="12" spans="1:89" s="11" customFormat="1" x14ac:dyDescent="0.3">
      <c r="A12" s="24"/>
      <c r="B12" s="27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0"/>
      <c r="Q12" s="20"/>
      <c r="R12" s="20"/>
      <c r="S12" s="20"/>
      <c r="T12" s="20"/>
      <c r="U12" s="20"/>
      <c r="V12" s="20"/>
      <c r="W12" s="27"/>
      <c r="X12" s="20"/>
      <c r="Y12" s="20"/>
      <c r="Z12" s="20"/>
      <c r="AA12" s="20"/>
      <c r="AB12" s="20"/>
      <c r="AC12" s="19"/>
      <c r="AD12" s="20"/>
      <c r="AE12" s="20"/>
      <c r="AF12" s="20"/>
      <c r="AG12" s="20"/>
      <c r="AH12" s="20"/>
      <c r="AI12" s="20"/>
      <c r="AJ12" s="19"/>
      <c r="AK12" s="20"/>
      <c r="AL12" s="20"/>
      <c r="AM12" s="20"/>
      <c r="AN12" s="20"/>
      <c r="AO12" s="20"/>
      <c r="AP12" s="20"/>
      <c r="AQ12" s="20"/>
      <c r="AR12" s="27"/>
      <c r="AS12" s="20"/>
      <c r="AT12" s="20"/>
      <c r="AU12" s="20"/>
      <c r="AV12" s="20"/>
      <c r="AW12" s="20"/>
      <c r="AX12" s="19"/>
      <c r="AY12" s="27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7"/>
      <c r="BP12" s="20"/>
      <c r="BQ12" s="20"/>
      <c r="BR12" s="20"/>
      <c r="BS12" s="19"/>
      <c r="BT12" s="13"/>
      <c r="BV12" s="57"/>
      <c r="BZ12" s="57"/>
      <c r="CK12" s="58"/>
    </row>
    <row r="13" spans="1:89" s="11" customFormat="1" x14ac:dyDescent="0.3">
      <c r="A13" s="24"/>
      <c r="B13" s="27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0"/>
      <c r="Q13" s="20"/>
      <c r="R13" s="20"/>
      <c r="S13" s="20"/>
      <c r="T13" s="20"/>
      <c r="U13" s="20"/>
      <c r="V13" s="20"/>
      <c r="W13" s="27"/>
      <c r="X13" s="20"/>
      <c r="Y13" s="20"/>
      <c r="Z13" s="20"/>
      <c r="AA13" s="20"/>
      <c r="AB13" s="20"/>
      <c r="AC13" s="19"/>
      <c r="AD13" s="20"/>
      <c r="AE13" s="20"/>
      <c r="AF13" s="20"/>
      <c r="AG13" s="20"/>
      <c r="AH13" s="20"/>
      <c r="AI13" s="20"/>
      <c r="AJ13" s="19"/>
      <c r="AK13" s="20"/>
      <c r="AL13" s="20"/>
      <c r="AM13" s="20"/>
      <c r="AN13" s="20"/>
      <c r="AO13" s="20"/>
      <c r="AP13" s="20"/>
      <c r="AQ13" s="20"/>
      <c r="AR13" s="27"/>
      <c r="AS13" s="20"/>
      <c r="AT13" s="20"/>
      <c r="AU13" s="20"/>
      <c r="AV13" s="20"/>
      <c r="AW13" s="20"/>
      <c r="AX13" s="19"/>
      <c r="AY13" s="27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7"/>
      <c r="BP13" s="20"/>
      <c r="BQ13" s="20"/>
      <c r="BR13" s="20"/>
      <c r="BS13" s="19"/>
      <c r="BT13" s="13"/>
      <c r="BV13" s="57"/>
      <c r="BZ13" s="57"/>
      <c r="CK13" s="58"/>
    </row>
    <row r="14" spans="1:89" s="11" customFormat="1" x14ac:dyDescent="0.3">
      <c r="A14" s="24"/>
      <c r="B14" s="27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0"/>
      <c r="Q14" s="20"/>
      <c r="R14" s="20"/>
      <c r="S14" s="20"/>
      <c r="T14" s="20"/>
      <c r="U14" s="20"/>
      <c r="V14" s="20"/>
      <c r="W14" s="27"/>
      <c r="X14" s="20"/>
      <c r="Y14" s="20"/>
      <c r="Z14" s="20"/>
      <c r="AA14" s="20"/>
      <c r="AB14" s="20"/>
      <c r="AC14" s="19"/>
      <c r="AD14" s="20"/>
      <c r="AE14" s="20"/>
      <c r="AF14" s="20"/>
      <c r="AG14" s="20"/>
      <c r="AH14" s="20"/>
      <c r="AI14" s="20"/>
      <c r="AJ14" s="19"/>
      <c r="AK14" s="20"/>
      <c r="AL14" s="20"/>
      <c r="AM14" s="20"/>
      <c r="AN14" s="20"/>
      <c r="AO14" s="20"/>
      <c r="AP14" s="20"/>
      <c r="AQ14" s="20"/>
      <c r="AR14" s="27"/>
      <c r="AS14" s="20"/>
      <c r="AT14" s="20"/>
      <c r="AU14" s="20"/>
      <c r="AV14" s="20"/>
      <c r="AW14" s="20"/>
      <c r="AX14" s="19"/>
      <c r="AY14" s="27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7"/>
      <c r="BP14" s="20"/>
      <c r="BQ14" s="20"/>
      <c r="BR14" s="20"/>
      <c r="BS14" s="19"/>
      <c r="BT14" s="13"/>
      <c r="BV14" s="57"/>
      <c r="BZ14" s="57"/>
      <c r="CK14" s="58"/>
    </row>
    <row r="15" spans="1:89" s="11" customFormat="1" ht="13.5" customHeight="1" x14ac:dyDescent="0.3">
      <c r="A15" s="24"/>
      <c r="B15" s="29"/>
      <c r="C15"/>
      <c r="D15"/>
      <c r="E15"/>
      <c r="F15"/>
      <c r="G15"/>
      <c r="H15" s="18"/>
      <c r="I15" s="29"/>
      <c r="J15"/>
      <c r="K15"/>
      <c r="L15"/>
      <c r="M15"/>
      <c r="N15"/>
      <c r="O15" s="18"/>
      <c r="P15"/>
      <c r="Q15"/>
      <c r="R15"/>
      <c r="S15"/>
      <c r="T15"/>
      <c r="U15"/>
      <c r="V15" s="20"/>
      <c r="W15" s="29"/>
      <c r="X15"/>
      <c r="Y15"/>
      <c r="Z15"/>
      <c r="AA15"/>
      <c r="AB15"/>
      <c r="AC15" s="19"/>
      <c r="AD15" s="20"/>
      <c r="AE15" s="20"/>
      <c r="AF15" s="20"/>
      <c r="AG15" s="20"/>
      <c r="AH15" s="20"/>
      <c r="AI15" s="20"/>
      <c r="AJ15" s="19"/>
      <c r="AK15"/>
      <c r="AL15"/>
      <c r="AM15"/>
      <c r="AN15"/>
      <c r="AO15"/>
      <c r="AP15"/>
      <c r="AQ15" s="20"/>
      <c r="AR15" s="29"/>
      <c r="AS15"/>
      <c r="AT15"/>
      <c r="AU15"/>
      <c r="AV15"/>
      <c r="AW15"/>
      <c r="AX15" s="19"/>
      <c r="AY15" s="27"/>
      <c r="AZ15" s="21" t="s">
        <v>485</v>
      </c>
      <c r="BO15" s="30"/>
      <c r="BS15" s="13"/>
      <c r="BT15" s="13"/>
      <c r="BV15" s="57"/>
      <c r="BZ15" s="57"/>
      <c r="CK15" s="58"/>
    </row>
    <row r="16" spans="1:89" s="11" customFormat="1" x14ac:dyDescent="0.3">
      <c r="A16" s="24"/>
      <c r="B16" s="30"/>
      <c r="H16" s="13"/>
      <c r="I16" s="30"/>
      <c r="O16" s="13"/>
      <c r="V16" s="20"/>
      <c r="W16" s="30"/>
      <c r="AC16" s="19"/>
      <c r="AD16" s="20"/>
      <c r="AE16" s="20"/>
      <c r="AF16" s="20"/>
      <c r="AG16" s="20"/>
      <c r="AH16" s="20"/>
      <c r="AI16" s="20"/>
      <c r="AJ16" s="19"/>
      <c r="AQ16" s="20"/>
      <c r="AR16" s="30"/>
      <c r="AX16" s="19"/>
      <c r="AY16" s="27"/>
      <c r="BA16" s="8" t="s">
        <v>486</v>
      </c>
      <c r="BO16" s="30"/>
      <c r="BS16" s="13"/>
      <c r="BT16" s="13"/>
      <c r="BV16" s="57"/>
      <c r="BZ16" s="57"/>
      <c r="CK16" s="58"/>
    </row>
    <row r="17" spans="1:89" x14ac:dyDescent="0.3">
      <c r="A17" s="23"/>
      <c r="B17" s="23"/>
      <c r="H17" s="14"/>
      <c r="I17" s="23"/>
      <c r="O17" s="14"/>
      <c r="V17" s="20"/>
      <c r="W17" s="23"/>
      <c r="AC17" s="19"/>
      <c r="AD17" s="20"/>
      <c r="AE17" s="20"/>
      <c r="AF17" s="20"/>
      <c r="AG17" s="20"/>
      <c r="AH17" s="20"/>
      <c r="AI17" s="20"/>
      <c r="AJ17" s="19"/>
      <c r="AQ17" s="20"/>
      <c r="AR17" s="23"/>
      <c r="AX17" s="19"/>
      <c r="AY17" s="27"/>
      <c r="AZ17" s="11"/>
      <c r="BB17" s="11"/>
      <c r="BC17" s="11"/>
      <c r="BO17" s="23"/>
      <c r="BS17" s="14"/>
      <c r="BT17" s="14"/>
      <c r="BV17" s="57"/>
      <c r="BW17" s="11"/>
      <c r="BX17" s="11"/>
      <c r="BY17" s="11"/>
      <c r="BZ17" s="57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58"/>
    </row>
    <row r="18" spans="1:89" x14ac:dyDescent="0.3">
      <c r="A18" s="23"/>
      <c r="B18" s="23"/>
      <c r="H18" s="14"/>
      <c r="I18" s="23"/>
      <c r="O18" s="14"/>
      <c r="W18" s="23"/>
      <c r="AC18" s="14"/>
      <c r="AJ18" s="14"/>
      <c r="AR18" s="23"/>
      <c r="AX18" s="14"/>
      <c r="AY18" s="23"/>
      <c r="AZ18" s="11"/>
      <c r="BA18" s="11"/>
      <c r="BB18" s="11"/>
      <c r="BC18" s="11"/>
      <c r="BO18" s="23"/>
      <c r="BS18" s="14"/>
      <c r="BT18" s="14"/>
      <c r="BV18" s="57"/>
      <c r="BW18" s="11"/>
      <c r="BX18" s="11"/>
      <c r="BY18" s="11"/>
      <c r="BZ18" s="57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58"/>
    </row>
    <row r="19" spans="1:89" x14ac:dyDescent="0.3">
      <c r="A19" s="23"/>
      <c r="B19" s="23"/>
      <c r="H19" s="14"/>
      <c r="I19" s="23"/>
      <c r="O19" s="14"/>
      <c r="W19" s="23"/>
      <c r="AC19" s="14"/>
      <c r="AJ19" s="14"/>
      <c r="AR19" s="23"/>
      <c r="AX19" s="14"/>
      <c r="AY19" s="23"/>
      <c r="BA19" s="75"/>
      <c r="BC19" s="11"/>
      <c r="BO19" s="23"/>
      <c r="BS19" s="14"/>
      <c r="BT19" s="14"/>
      <c r="BV19" s="59"/>
      <c r="BZ19" s="59"/>
      <c r="CK19" s="60"/>
    </row>
    <row r="20" spans="1:89" x14ac:dyDescent="0.3">
      <c r="A20" s="23"/>
      <c r="B20" s="23"/>
      <c r="H20" s="14"/>
      <c r="I20" s="23"/>
      <c r="O20" s="14"/>
      <c r="W20" s="23"/>
      <c r="AC20" s="14"/>
      <c r="AJ20" s="14"/>
      <c r="AR20" s="23"/>
      <c r="AX20" s="14"/>
      <c r="AY20" s="23"/>
      <c r="AZ20" s="64"/>
      <c r="BA20" s="65"/>
      <c r="BB20" s="66"/>
      <c r="BC20" s="65"/>
      <c r="BD20" s="66"/>
      <c r="BE20" s="66"/>
      <c r="BF20" s="66"/>
      <c r="BG20" s="66"/>
      <c r="BH20" s="66"/>
      <c r="BI20" s="66"/>
      <c r="BJ20" s="66"/>
      <c r="BK20" s="66"/>
      <c r="BO20" s="23"/>
      <c r="BS20" s="14"/>
      <c r="BT20" s="14"/>
      <c r="BV20" s="59"/>
      <c r="BZ20" s="59"/>
      <c r="CK20" s="60"/>
    </row>
    <row r="21" spans="1:89" x14ac:dyDescent="0.3">
      <c r="A21" s="23"/>
      <c r="B21" s="23"/>
      <c r="H21" s="14"/>
      <c r="I21" s="23"/>
      <c r="O21" s="14"/>
      <c r="W21" s="23"/>
      <c r="AC21" s="14"/>
      <c r="AJ21" s="14"/>
      <c r="AR21" s="23"/>
      <c r="AX21" s="14"/>
      <c r="AY21" s="23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O21" s="23"/>
      <c r="BS21" s="14"/>
      <c r="BT21" s="14"/>
      <c r="BV21" s="59"/>
      <c r="BZ21" s="59"/>
      <c r="CK21" s="60"/>
    </row>
    <row r="22" spans="1:89" x14ac:dyDescent="0.3">
      <c r="A22" s="23"/>
      <c r="B22" s="23"/>
      <c r="H22" s="14"/>
      <c r="I22" s="23"/>
      <c r="O22" s="14"/>
      <c r="W22" s="23"/>
      <c r="AC22" s="14"/>
      <c r="AJ22" s="14"/>
      <c r="AR22" s="23"/>
      <c r="AX22" s="14"/>
      <c r="AY22" s="23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O22" s="23"/>
      <c r="BS22" s="14"/>
      <c r="BT22" s="14"/>
      <c r="BV22" s="59"/>
      <c r="BZ22" s="59"/>
      <c r="CK22" s="60"/>
    </row>
    <row r="23" spans="1:89" x14ac:dyDescent="0.3">
      <c r="A23" s="23"/>
      <c r="B23" s="23"/>
      <c r="H23" s="14"/>
      <c r="I23" s="23"/>
      <c r="O23" s="14"/>
      <c r="W23" s="23"/>
      <c r="AC23" s="14"/>
      <c r="AJ23" s="14"/>
      <c r="AR23" s="23"/>
      <c r="AX23" s="14"/>
      <c r="AY23" s="23"/>
      <c r="AZ23" s="67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O23" s="23"/>
      <c r="BS23" s="14"/>
      <c r="BT23" s="14"/>
      <c r="BV23" s="59"/>
      <c r="BZ23" s="59"/>
      <c r="CK23" s="60"/>
    </row>
    <row r="24" spans="1:89" x14ac:dyDescent="0.3">
      <c r="A24" s="23"/>
      <c r="B24" s="23"/>
      <c r="H24" s="14"/>
      <c r="I24" s="23"/>
      <c r="O24" s="14"/>
      <c r="W24" s="23"/>
      <c r="AC24" s="14"/>
      <c r="AJ24" s="14"/>
      <c r="AR24" s="23"/>
      <c r="AX24" s="14"/>
      <c r="AY24" s="23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O24" s="23"/>
      <c r="BS24" s="14"/>
      <c r="BT24" s="14"/>
      <c r="BV24" s="59"/>
      <c r="BZ24" s="59"/>
      <c r="CK24" s="60"/>
    </row>
    <row r="25" spans="1:89" x14ac:dyDescent="0.3">
      <c r="A25" s="23"/>
      <c r="B25" s="23"/>
      <c r="H25" s="14"/>
      <c r="I25" s="23"/>
      <c r="O25" s="14"/>
      <c r="W25" s="23"/>
      <c r="AC25" s="14"/>
      <c r="AJ25" s="14"/>
      <c r="AR25" s="23"/>
      <c r="AX25" s="14"/>
      <c r="AY25" s="23"/>
      <c r="BO25" s="23"/>
      <c r="BS25" s="14"/>
      <c r="BT25" s="14"/>
      <c r="BV25" s="59"/>
      <c r="BZ25" s="59"/>
      <c r="CK25" s="60"/>
    </row>
    <row r="26" spans="1:89" x14ac:dyDescent="0.3">
      <c r="A26" s="23"/>
      <c r="B26" s="23"/>
      <c r="H26" s="14"/>
      <c r="I26" s="23"/>
      <c r="O26" s="14"/>
      <c r="W26" s="23"/>
      <c r="AC26" s="14"/>
      <c r="AJ26" s="14"/>
      <c r="AR26" s="23"/>
      <c r="AX26" s="14"/>
      <c r="AY26" s="23"/>
      <c r="BO26" s="23"/>
      <c r="BS26" s="14"/>
      <c r="BT26" s="14"/>
      <c r="BV26" s="270" t="s">
        <v>123</v>
      </c>
      <c r="BW26" s="271"/>
      <c r="BX26" s="271"/>
      <c r="BY26" s="272"/>
      <c r="BZ26" s="242" t="s">
        <v>124</v>
      </c>
      <c r="CA26" s="243"/>
      <c r="CB26" s="243"/>
      <c r="CC26" s="243"/>
      <c r="CD26" s="243"/>
      <c r="CE26" s="243"/>
      <c r="CF26" s="243"/>
      <c r="CG26" s="243"/>
      <c r="CH26" s="243"/>
      <c r="CI26" s="243"/>
      <c r="CJ26" s="243"/>
      <c r="CK26" s="244"/>
    </row>
    <row r="27" spans="1:89" x14ac:dyDescent="0.3">
      <c r="A27" s="23"/>
      <c r="B27" s="23"/>
      <c r="H27" s="14"/>
      <c r="I27" s="23"/>
      <c r="O27" s="14"/>
      <c r="W27" s="23"/>
      <c r="AC27" s="14"/>
      <c r="AJ27" s="14"/>
      <c r="AR27" s="23"/>
      <c r="AX27" s="14"/>
      <c r="AY27" s="23"/>
      <c r="AZ27" s="16" t="s">
        <v>487</v>
      </c>
      <c r="BO27" s="23"/>
      <c r="BS27" s="14"/>
      <c r="BT27" s="14"/>
      <c r="BV27" s="270" t="s">
        <v>126</v>
      </c>
      <c r="BW27" s="271"/>
      <c r="BX27" s="271"/>
      <c r="BY27" s="272"/>
      <c r="BZ27" s="242" t="s">
        <v>488</v>
      </c>
      <c r="CA27" s="243"/>
      <c r="CB27" s="243"/>
      <c r="CC27" s="243"/>
      <c r="CD27" s="243"/>
      <c r="CE27" s="243"/>
      <c r="CF27" s="243"/>
      <c r="CG27" s="243"/>
      <c r="CH27" s="243"/>
      <c r="CI27" s="243"/>
      <c r="CJ27" s="243"/>
      <c r="CK27" s="244"/>
    </row>
    <row r="28" spans="1:89" x14ac:dyDescent="0.3">
      <c r="A28" s="23"/>
      <c r="B28" s="23"/>
      <c r="H28" s="14"/>
      <c r="I28" s="23"/>
      <c r="O28" s="14"/>
      <c r="W28" s="23"/>
      <c r="AC28" s="14"/>
      <c r="AJ28" s="14"/>
      <c r="AR28" s="23"/>
      <c r="AX28" s="14"/>
      <c r="AY28" s="23"/>
      <c r="BA28" s="8" t="s">
        <v>489</v>
      </c>
      <c r="BO28" s="23"/>
      <c r="BS28" s="14"/>
      <c r="BT28" s="14"/>
      <c r="BV28" s="270" t="s">
        <v>128</v>
      </c>
      <c r="BW28" s="271"/>
      <c r="BX28" s="271"/>
      <c r="BY28" s="272"/>
      <c r="BZ28" s="57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58"/>
    </row>
    <row r="29" spans="1:89" x14ac:dyDescent="0.3">
      <c r="A29" s="23"/>
      <c r="B29" s="23"/>
      <c r="H29" s="14"/>
      <c r="I29" s="23"/>
      <c r="O29" s="14"/>
      <c r="W29" s="23"/>
      <c r="AC29" s="14"/>
      <c r="AJ29" s="14"/>
      <c r="AR29" s="23"/>
      <c r="AX29" s="14"/>
      <c r="AY29" s="23"/>
      <c r="BO29" s="23"/>
      <c r="BS29" s="14"/>
      <c r="BT29" s="14"/>
      <c r="BV29" s="59"/>
      <c r="BZ29" s="59"/>
      <c r="CK29" s="60"/>
    </row>
    <row r="30" spans="1:89" x14ac:dyDescent="0.3">
      <c r="A30" s="23"/>
      <c r="B30" s="23"/>
      <c r="H30" s="14"/>
      <c r="I30" s="23"/>
      <c r="O30" s="14"/>
      <c r="W30" s="23"/>
      <c r="AC30" s="14"/>
      <c r="AJ30" s="14"/>
      <c r="AR30" s="23"/>
      <c r="AX30" s="14"/>
      <c r="AY30" s="23"/>
      <c r="BO30" s="23"/>
      <c r="BS30" s="14"/>
      <c r="BT30" s="14"/>
      <c r="BV30" s="59"/>
      <c r="BZ30" s="59"/>
      <c r="CK30" s="60"/>
    </row>
    <row r="31" spans="1:89" x14ac:dyDescent="0.3">
      <c r="A31" s="23"/>
      <c r="B31" s="23"/>
      <c r="H31" s="14"/>
      <c r="I31" s="23"/>
      <c r="O31" s="14"/>
      <c r="W31" s="23"/>
      <c r="AC31" s="14"/>
      <c r="AJ31" s="14"/>
      <c r="AR31" s="23"/>
      <c r="AX31" s="14"/>
      <c r="AY31" s="23"/>
      <c r="AZ31" s="16" t="s">
        <v>490</v>
      </c>
      <c r="BO31" s="23"/>
      <c r="BS31" s="14"/>
      <c r="BT31" s="14"/>
      <c r="BV31" s="59"/>
      <c r="BZ31" s="59"/>
      <c r="CK31" s="60"/>
    </row>
    <row r="32" spans="1:89" x14ac:dyDescent="0.3">
      <c r="A32" s="23"/>
      <c r="B32" s="23"/>
      <c r="H32" s="14"/>
      <c r="I32" s="23"/>
      <c r="O32" s="14"/>
      <c r="W32" s="23"/>
      <c r="AC32" s="14"/>
      <c r="AJ32" s="14"/>
      <c r="AR32" s="23"/>
      <c r="AX32" s="14"/>
      <c r="AY32" s="23"/>
      <c r="BA32" s="8" t="s">
        <v>491</v>
      </c>
      <c r="BO32" s="23"/>
      <c r="BS32" s="14"/>
      <c r="BT32" s="14"/>
      <c r="BV32" s="59"/>
      <c r="BZ32" s="59"/>
      <c r="CK32" s="60"/>
    </row>
    <row r="33" spans="1:89" x14ac:dyDescent="0.3">
      <c r="A33" s="23"/>
      <c r="B33" s="23"/>
      <c r="H33" s="14"/>
      <c r="I33" s="23"/>
      <c r="O33" s="14"/>
      <c r="W33" s="23"/>
      <c r="AC33" s="14"/>
      <c r="AJ33" s="14"/>
      <c r="AR33" s="23"/>
      <c r="AX33" s="14"/>
      <c r="AY33" s="23"/>
      <c r="BO33" s="23"/>
      <c r="BS33" s="14"/>
      <c r="BT33" s="14"/>
      <c r="BV33" s="59"/>
      <c r="BZ33" s="59"/>
      <c r="CK33" s="60"/>
    </row>
    <row r="34" spans="1:89" x14ac:dyDescent="0.3">
      <c r="A34" s="23"/>
      <c r="B34" s="23"/>
      <c r="H34" s="14"/>
      <c r="I34" s="23"/>
      <c r="O34" s="14"/>
      <c r="W34" s="23"/>
      <c r="AC34" s="14"/>
      <c r="AJ34" s="14"/>
      <c r="AR34" s="23"/>
      <c r="AX34" s="14"/>
      <c r="AY34" s="23"/>
      <c r="BO34" s="23"/>
      <c r="BS34" s="14"/>
      <c r="BT34" s="14"/>
      <c r="BV34" s="59"/>
      <c r="BZ34" s="59"/>
      <c r="CK34" s="60"/>
    </row>
    <row r="35" spans="1:89" x14ac:dyDescent="0.3">
      <c r="A35" s="23"/>
      <c r="B35" s="23"/>
      <c r="H35" s="14"/>
      <c r="I35" s="23"/>
      <c r="O35" s="14"/>
      <c r="W35" s="23"/>
      <c r="AC35" s="14"/>
      <c r="AJ35" s="14"/>
      <c r="AR35" s="23"/>
      <c r="AX35" s="14"/>
      <c r="AY35" s="23"/>
      <c r="AZ35" s="16" t="s">
        <v>492</v>
      </c>
      <c r="BO35" s="23"/>
      <c r="BS35" s="14"/>
      <c r="BT35" s="14"/>
      <c r="BV35" s="59"/>
      <c r="BZ35" s="59"/>
      <c r="CK35" s="60"/>
    </row>
    <row r="36" spans="1:89" x14ac:dyDescent="0.3">
      <c r="A36" s="23"/>
      <c r="B36" s="23"/>
      <c r="H36" s="14"/>
      <c r="I36" s="23"/>
      <c r="O36" s="14"/>
      <c r="W36" s="23"/>
      <c r="AC36" s="14"/>
      <c r="AJ36" s="14"/>
      <c r="AR36" s="23"/>
      <c r="AX36" s="14"/>
      <c r="AY36" s="23"/>
      <c r="BA36" s="8" t="s">
        <v>493</v>
      </c>
      <c r="BO36" s="23"/>
      <c r="BS36" s="14"/>
      <c r="BT36" s="14"/>
      <c r="BV36" s="59"/>
      <c r="BZ36" s="59"/>
      <c r="CK36" s="60"/>
    </row>
    <row r="37" spans="1:89" x14ac:dyDescent="0.3">
      <c r="A37" s="23"/>
      <c r="B37" s="23"/>
      <c r="H37" s="14"/>
      <c r="I37" s="23"/>
      <c r="O37" s="14"/>
      <c r="W37" s="23"/>
      <c r="AC37" s="14"/>
      <c r="AJ37" s="14"/>
      <c r="AR37" s="23"/>
      <c r="AX37" s="14"/>
      <c r="AY37" s="23"/>
      <c r="AZ37" s="16"/>
      <c r="BO37" s="23"/>
      <c r="BS37" s="14"/>
      <c r="BT37" s="14"/>
      <c r="BV37" s="59"/>
      <c r="BZ37" s="59"/>
      <c r="CK37" s="60"/>
    </row>
    <row r="38" spans="1:89" x14ac:dyDescent="0.3">
      <c r="A38" s="23"/>
      <c r="B38" s="23"/>
      <c r="H38" s="14"/>
      <c r="I38" s="23"/>
      <c r="O38" s="14"/>
      <c r="W38" s="23"/>
      <c r="AC38" s="14"/>
      <c r="AJ38" s="14"/>
      <c r="AR38" s="23"/>
      <c r="AX38" s="14"/>
      <c r="AY38" s="23"/>
      <c r="BO38" s="23"/>
      <c r="BS38" s="14"/>
      <c r="BT38" s="14"/>
      <c r="BV38" s="59"/>
      <c r="BZ38" s="59"/>
      <c r="CK38" s="60"/>
    </row>
    <row r="39" spans="1:89" x14ac:dyDescent="0.3">
      <c r="A39" s="23"/>
      <c r="B39" s="23"/>
      <c r="H39" s="14"/>
      <c r="I39" s="23"/>
      <c r="O39" s="14"/>
      <c r="W39" s="23"/>
      <c r="AC39" s="14"/>
      <c r="AJ39" s="14"/>
      <c r="AR39" s="23"/>
      <c r="AX39" s="14"/>
      <c r="AY39" s="23"/>
      <c r="AZ39" s="16"/>
      <c r="BO39" s="23"/>
      <c r="BS39" s="14"/>
      <c r="BT39" s="14"/>
      <c r="BV39" s="59"/>
      <c r="BZ39" s="59"/>
      <c r="CK39" s="60"/>
    </row>
    <row r="40" spans="1:89" x14ac:dyDescent="0.3">
      <c r="A40" s="23"/>
      <c r="B40" s="23"/>
      <c r="H40" s="14"/>
      <c r="I40" s="23"/>
      <c r="O40" s="14"/>
      <c r="W40" s="23"/>
      <c r="AC40" s="14"/>
      <c r="AJ40" s="14"/>
      <c r="AR40" s="23"/>
      <c r="AX40" s="14"/>
      <c r="AY40" s="23"/>
      <c r="BO40" s="23"/>
      <c r="BS40" s="14"/>
      <c r="BT40" s="14"/>
      <c r="BV40" s="59"/>
      <c r="BZ40" s="59"/>
      <c r="CK40" s="60"/>
    </row>
    <row r="41" spans="1:89" x14ac:dyDescent="0.3">
      <c r="A41" s="23"/>
      <c r="B41" s="23"/>
      <c r="H41" s="14"/>
      <c r="I41" s="23"/>
      <c r="O41" s="14"/>
      <c r="W41" s="23"/>
      <c r="AC41" s="14"/>
      <c r="AJ41" s="14"/>
      <c r="AR41" s="23"/>
      <c r="AX41" s="14"/>
      <c r="AY41" s="23"/>
      <c r="BO41" s="23"/>
      <c r="BS41" s="14"/>
      <c r="BT41" s="14"/>
      <c r="BV41" s="59"/>
      <c r="BZ41" s="59"/>
      <c r="CK41" s="60"/>
    </row>
    <row r="42" spans="1:89" x14ac:dyDescent="0.3">
      <c r="A42" s="23"/>
      <c r="B42" s="23"/>
      <c r="H42" s="14"/>
      <c r="I42" s="23"/>
      <c r="O42" s="14"/>
      <c r="W42" s="23"/>
      <c r="AC42" s="14"/>
      <c r="AJ42" s="14"/>
      <c r="AR42" s="23"/>
      <c r="AX42" s="14"/>
      <c r="AY42" s="23"/>
      <c r="BO42" s="23"/>
      <c r="BS42" s="14"/>
      <c r="BT42" s="14"/>
      <c r="BV42" s="59"/>
      <c r="BZ42" s="59"/>
      <c r="CK42" s="60"/>
    </row>
    <row r="43" spans="1:89" x14ac:dyDescent="0.3">
      <c r="A43" s="23"/>
      <c r="B43" s="23"/>
      <c r="H43" s="14"/>
      <c r="I43" s="23"/>
      <c r="O43" s="14"/>
      <c r="W43" s="23"/>
      <c r="AC43" s="14"/>
      <c r="AJ43" s="14"/>
      <c r="AR43" s="23"/>
      <c r="AX43" s="14"/>
      <c r="AY43" s="23"/>
      <c r="BO43" s="23"/>
      <c r="BS43" s="14"/>
      <c r="BT43" s="14"/>
      <c r="BV43" s="59"/>
      <c r="BZ43" s="59"/>
      <c r="CK43" s="60"/>
    </row>
    <row r="44" spans="1:89" x14ac:dyDescent="0.3">
      <c r="A44" s="23"/>
      <c r="B44" s="23"/>
      <c r="H44" s="14"/>
      <c r="I44" s="23"/>
      <c r="O44" s="14"/>
      <c r="W44" s="23"/>
      <c r="AC44" s="14"/>
      <c r="AJ44" s="14"/>
      <c r="AR44" s="23"/>
      <c r="AX44" s="14"/>
      <c r="AY44" s="23"/>
      <c r="BO44" s="23"/>
      <c r="BS44" s="14"/>
      <c r="BT44" s="14"/>
      <c r="BV44" s="59"/>
      <c r="BZ44" s="59"/>
      <c r="CK44" s="60"/>
    </row>
    <row r="45" spans="1:89" x14ac:dyDescent="0.3">
      <c r="A45" s="23"/>
      <c r="B45" s="23"/>
      <c r="H45" s="14"/>
      <c r="I45" s="23"/>
      <c r="O45" s="14"/>
      <c r="W45" s="23"/>
      <c r="AC45" s="14"/>
      <c r="AJ45" s="14"/>
      <c r="AR45" s="23"/>
      <c r="AX45" s="14"/>
      <c r="AY45" s="23"/>
      <c r="BO45" s="23"/>
      <c r="BS45" s="14"/>
      <c r="BT45" s="14"/>
      <c r="BV45" s="59"/>
      <c r="BZ45" s="59"/>
      <c r="CK45" s="60"/>
    </row>
    <row r="46" spans="1:89" x14ac:dyDescent="0.3">
      <c r="A46" s="23"/>
      <c r="B46" s="23"/>
      <c r="H46" s="14"/>
      <c r="I46" s="23"/>
      <c r="O46" s="14"/>
      <c r="W46" s="23"/>
      <c r="AC46" s="14"/>
      <c r="AJ46" s="14"/>
      <c r="AR46" s="23"/>
      <c r="AX46" s="14"/>
      <c r="AY46" s="23"/>
      <c r="BO46" s="23"/>
      <c r="BS46" s="14"/>
      <c r="BT46" s="14"/>
      <c r="BV46" s="59"/>
      <c r="BZ46" s="59"/>
      <c r="CK46" s="60"/>
    </row>
    <row r="47" spans="1:89" x14ac:dyDescent="0.3">
      <c r="A47" s="23"/>
      <c r="B47" s="23"/>
      <c r="H47" s="14"/>
      <c r="I47" s="23"/>
      <c r="O47" s="14"/>
      <c r="W47" s="23"/>
      <c r="AC47" s="14"/>
      <c r="AJ47" s="14"/>
      <c r="AR47" s="23"/>
      <c r="AX47" s="14"/>
      <c r="AY47" s="23"/>
      <c r="AZ47" s="16"/>
      <c r="BO47" s="23"/>
      <c r="BS47" s="14"/>
      <c r="BT47" s="14"/>
      <c r="BV47" s="59"/>
      <c r="BZ47" s="59"/>
      <c r="CK47" s="60"/>
    </row>
    <row r="48" spans="1:89" x14ac:dyDescent="0.3">
      <c r="A48" s="23"/>
      <c r="B48" s="23"/>
      <c r="H48" s="14"/>
      <c r="I48" s="23"/>
      <c r="O48" s="14"/>
      <c r="W48" s="23"/>
      <c r="AC48" s="14"/>
      <c r="AJ48" s="14"/>
      <c r="AR48" s="23"/>
      <c r="AX48" s="14"/>
      <c r="AY48" s="23"/>
      <c r="AZ48" s="16" t="s">
        <v>494</v>
      </c>
      <c r="BO48" s="23"/>
      <c r="BS48" s="14"/>
      <c r="BT48" s="14"/>
      <c r="BV48" s="59"/>
      <c r="BZ48" s="59"/>
      <c r="CK48" s="60"/>
    </row>
    <row r="49" spans="1:89" x14ac:dyDescent="0.3">
      <c r="A49" s="23"/>
      <c r="B49" s="23"/>
      <c r="H49" s="14"/>
      <c r="I49" s="23"/>
      <c r="O49" s="14"/>
      <c r="W49" s="23"/>
      <c r="AC49" s="14"/>
      <c r="AJ49" s="14"/>
      <c r="AR49" s="23"/>
      <c r="AX49" s="14"/>
      <c r="AY49" s="23"/>
      <c r="BA49" s="8" t="s">
        <v>495</v>
      </c>
      <c r="BO49" s="23"/>
      <c r="BS49" s="14"/>
      <c r="BT49" s="14"/>
      <c r="BV49" s="59"/>
      <c r="BZ49" s="59"/>
      <c r="CK49" s="60"/>
    </row>
    <row r="50" spans="1:89" x14ac:dyDescent="0.3">
      <c r="A50" s="23"/>
      <c r="B50" s="23"/>
      <c r="H50" s="14"/>
      <c r="I50" s="23"/>
      <c r="O50" s="14"/>
      <c r="W50" s="23"/>
      <c r="AC50" s="14"/>
      <c r="AJ50" s="14"/>
      <c r="AR50" s="23"/>
      <c r="AX50" s="14"/>
      <c r="AY50" s="23"/>
      <c r="BO50" s="23"/>
      <c r="BS50" s="14"/>
      <c r="BT50" s="14"/>
      <c r="BV50" s="59"/>
      <c r="BZ50" s="59"/>
      <c r="CK50" s="60"/>
    </row>
    <row r="51" spans="1:89" x14ac:dyDescent="0.3">
      <c r="A51" s="23"/>
      <c r="B51" s="23"/>
      <c r="H51" s="14"/>
      <c r="I51" s="23"/>
      <c r="O51" s="14"/>
      <c r="W51" s="23"/>
      <c r="AC51" s="14"/>
      <c r="AJ51" s="14"/>
      <c r="AR51" s="23"/>
      <c r="AX51" s="14"/>
      <c r="AY51" s="23"/>
      <c r="BO51" s="23"/>
      <c r="BS51" s="14"/>
      <c r="BT51" s="14"/>
      <c r="BV51" s="59"/>
      <c r="BZ51" s="59"/>
      <c r="CK51" s="60"/>
    </row>
    <row r="52" spans="1:89" x14ac:dyDescent="0.3">
      <c r="A52" s="23"/>
      <c r="B52" s="23"/>
      <c r="H52" s="14"/>
      <c r="I52" s="23"/>
      <c r="O52" s="14"/>
      <c r="W52" s="23"/>
      <c r="AC52" s="14"/>
      <c r="AJ52" s="14"/>
      <c r="AR52" s="23"/>
      <c r="AX52" s="14"/>
      <c r="AY52" s="23"/>
      <c r="BO52" s="23"/>
      <c r="BS52" s="14"/>
      <c r="BT52" s="14"/>
      <c r="BV52" s="59"/>
      <c r="BZ52" s="59"/>
      <c r="CK52" s="60"/>
    </row>
    <row r="53" spans="1:89" x14ac:dyDescent="0.3">
      <c r="A53" s="23"/>
      <c r="B53" s="23"/>
      <c r="H53" s="14"/>
      <c r="I53" s="23"/>
      <c r="O53" s="14"/>
      <c r="W53" s="23"/>
      <c r="AC53" s="14"/>
      <c r="AJ53" s="14"/>
      <c r="AR53" s="23"/>
      <c r="AX53" s="14"/>
      <c r="AY53" s="23"/>
      <c r="AZ53" s="16" t="s">
        <v>496</v>
      </c>
      <c r="BO53" s="23"/>
      <c r="BS53" s="14"/>
      <c r="BT53" s="14"/>
      <c r="BV53" s="59"/>
      <c r="BZ53" s="59"/>
      <c r="CK53" s="60"/>
    </row>
    <row r="54" spans="1:89" x14ac:dyDescent="0.3">
      <c r="A54" s="23"/>
      <c r="B54" s="23"/>
      <c r="H54" s="14"/>
      <c r="I54" s="23"/>
      <c r="O54" s="14"/>
      <c r="W54" s="23"/>
      <c r="AC54" s="14"/>
      <c r="AJ54" s="14"/>
      <c r="AR54" s="23"/>
      <c r="AX54" s="14"/>
      <c r="AY54" s="23"/>
      <c r="BA54" s="8" t="s">
        <v>497</v>
      </c>
      <c r="BO54" s="23"/>
      <c r="BS54" s="14"/>
      <c r="BT54" s="14"/>
      <c r="BV54" s="59"/>
      <c r="BZ54" s="59"/>
      <c r="CK54" s="60"/>
    </row>
    <row r="55" spans="1:89" x14ac:dyDescent="0.3">
      <c r="A55" s="23"/>
      <c r="B55" s="23"/>
      <c r="H55" s="14"/>
      <c r="I55" s="23"/>
      <c r="O55" s="14"/>
      <c r="W55" s="23"/>
      <c r="AC55" s="14"/>
      <c r="AJ55" s="14"/>
      <c r="AR55" s="23"/>
      <c r="AX55" s="14"/>
      <c r="AY55" s="23"/>
      <c r="BO55" s="23"/>
      <c r="BS55" s="14"/>
      <c r="BT55" s="14"/>
      <c r="BV55" s="59"/>
      <c r="BZ55" s="59"/>
      <c r="CK55" s="60"/>
    </row>
    <row r="56" spans="1:89" x14ac:dyDescent="0.3">
      <c r="A56" s="23"/>
      <c r="B56" s="23"/>
      <c r="H56" s="14"/>
      <c r="I56" s="23"/>
      <c r="O56" s="14"/>
      <c r="W56" s="23"/>
      <c r="AC56" s="14"/>
      <c r="AJ56" s="14"/>
      <c r="AR56" s="23"/>
      <c r="AX56" s="14"/>
      <c r="AY56" s="23"/>
      <c r="BO56" s="23"/>
      <c r="BS56" s="14"/>
      <c r="BT56" s="14"/>
      <c r="BV56" s="59"/>
      <c r="BZ56" s="59"/>
      <c r="CK56" s="60"/>
    </row>
    <row r="57" spans="1:89" x14ac:dyDescent="0.3">
      <c r="A57" s="23"/>
      <c r="B57" s="23"/>
      <c r="H57" s="14"/>
      <c r="I57" s="23"/>
      <c r="O57" s="14"/>
      <c r="W57" s="23"/>
      <c r="AC57" s="14"/>
      <c r="AJ57" s="14"/>
      <c r="AR57" s="23"/>
      <c r="AX57" s="14"/>
      <c r="AY57" s="23"/>
      <c r="AZ57" s="16" t="s">
        <v>498</v>
      </c>
      <c r="BO57" s="23"/>
      <c r="BS57" s="14"/>
      <c r="BT57" s="14"/>
      <c r="BV57" s="59"/>
      <c r="BZ57" s="59"/>
      <c r="CK57" s="60"/>
    </row>
    <row r="58" spans="1:89" x14ac:dyDescent="0.3">
      <c r="A58" s="23"/>
      <c r="B58" s="23"/>
      <c r="H58" s="14"/>
      <c r="I58" s="23"/>
      <c r="O58" s="14"/>
      <c r="W58" s="23"/>
      <c r="AC58" s="14"/>
      <c r="AJ58" s="14"/>
      <c r="AR58" s="23"/>
      <c r="AX58" s="14"/>
      <c r="AY58" s="23"/>
      <c r="BA58" s="8" t="s">
        <v>499</v>
      </c>
      <c r="BO58" s="23"/>
      <c r="BS58" s="14"/>
      <c r="BT58" s="14"/>
      <c r="BV58" s="59"/>
      <c r="BZ58" s="59"/>
      <c r="CK58" s="60"/>
    </row>
    <row r="59" spans="1:89" x14ac:dyDescent="0.3">
      <c r="A59" s="23"/>
      <c r="B59" s="23"/>
      <c r="H59" s="14"/>
      <c r="I59" s="23"/>
      <c r="O59" s="14"/>
      <c r="W59" s="23"/>
      <c r="AC59" s="14"/>
      <c r="AJ59" s="14"/>
      <c r="AR59" s="23"/>
      <c r="AX59" s="14"/>
      <c r="AY59" s="23"/>
      <c r="BO59" s="23"/>
      <c r="BS59" s="14"/>
      <c r="BT59" s="14"/>
      <c r="BV59" s="59"/>
      <c r="BZ59" s="59"/>
      <c r="CK59" s="60"/>
    </row>
    <row r="60" spans="1:89" x14ac:dyDescent="0.3">
      <c r="A60" s="23"/>
      <c r="B60" s="23"/>
      <c r="H60" s="14"/>
      <c r="I60" s="23"/>
      <c r="O60" s="14"/>
      <c r="W60" s="23"/>
      <c r="AC60" s="14"/>
      <c r="AJ60" s="14"/>
      <c r="AR60" s="23"/>
      <c r="AX60" s="14"/>
      <c r="AY60" s="23"/>
      <c r="BO60" s="23"/>
      <c r="BS60" s="14"/>
      <c r="BT60" s="14"/>
      <c r="BV60" s="59"/>
      <c r="BZ60" s="59"/>
      <c r="CK60" s="60"/>
    </row>
    <row r="61" spans="1:89" x14ac:dyDescent="0.3">
      <c r="A61" s="23"/>
      <c r="B61" s="23"/>
      <c r="H61" s="14"/>
      <c r="I61" s="23"/>
      <c r="O61" s="14"/>
      <c r="W61" s="23"/>
      <c r="AC61" s="14"/>
      <c r="AJ61" s="14"/>
      <c r="AR61" s="23"/>
      <c r="AX61" s="14"/>
      <c r="AY61" s="23"/>
      <c r="BO61" s="23"/>
      <c r="BS61" s="14"/>
      <c r="BT61" s="14"/>
      <c r="BV61" s="59"/>
      <c r="BZ61" s="59"/>
      <c r="CK61" s="60"/>
    </row>
    <row r="62" spans="1:89" x14ac:dyDescent="0.3">
      <c r="A62" s="23"/>
      <c r="B62" s="23"/>
      <c r="H62" s="14"/>
      <c r="I62" s="23"/>
      <c r="O62" s="14"/>
      <c r="W62" s="23"/>
      <c r="AC62" s="14"/>
      <c r="AJ62" s="14"/>
      <c r="AR62" s="23"/>
      <c r="AX62" s="14"/>
      <c r="AY62" s="23"/>
      <c r="BO62" s="23"/>
      <c r="BS62" s="14"/>
      <c r="BT62" s="14"/>
      <c r="BV62" s="59"/>
      <c r="BZ62" s="59"/>
      <c r="CK62" s="60"/>
    </row>
    <row r="63" spans="1:89" x14ac:dyDescent="0.3">
      <c r="A63" s="23"/>
      <c r="B63" s="23"/>
      <c r="H63" s="14"/>
      <c r="I63" s="23"/>
      <c r="O63" s="14"/>
      <c r="W63" s="23"/>
      <c r="AC63" s="14"/>
      <c r="AJ63" s="14"/>
      <c r="AR63" s="23"/>
      <c r="AX63" s="14"/>
      <c r="AY63" s="23"/>
      <c r="BO63" s="23"/>
      <c r="BS63" s="14"/>
      <c r="BT63" s="14"/>
      <c r="BV63" s="59"/>
      <c r="BZ63" s="59"/>
      <c r="CK63" s="60"/>
    </row>
    <row r="64" spans="1:89" x14ac:dyDescent="0.3">
      <c r="A64" s="23"/>
      <c r="B64" s="23"/>
      <c r="H64" s="14"/>
      <c r="I64" s="23"/>
      <c r="O64" s="14"/>
      <c r="W64" s="23"/>
      <c r="AC64" s="14"/>
      <c r="AJ64" s="14"/>
      <c r="AR64" s="23"/>
      <c r="AX64" s="14"/>
      <c r="AY64" s="23"/>
      <c r="BO64" s="23"/>
      <c r="BS64" s="14"/>
      <c r="BT64" s="14"/>
      <c r="BV64" s="59"/>
      <c r="BZ64" s="59"/>
      <c r="CK64" s="60"/>
    </row>
    <row r="65" spans="1:89" x14ac:dyDescent="0.3">
      <c r="A65" s="23"/>
      <c r="B65" s="23"/>
      <c r="H65" s="14"/>
      <c r="I65" s="23"/>
      <c r="O65" s="14"/>
      <c r="W65" s="23"/>
      <c r="AC65" s="14"/>
      <c r="AJ65" s="14"/>
      <c r="AR65" s="23"/>
      <c r="AX65" s="14"/>
      <c r="AY65" s="23"/>
      <c r="BO65" s="23"/>
      <c r="BS65" s="14"/>
      <c r="BT65" s="14"/>
      <c r="BV65" s="59"/>
      <c r="BZ65" s="59"/>
      <c r="CK65" s="60"/>
    </row>
    <row r="66" spans="1:89" x14ac:dyDescent="0.3">
      <c r="A66" s="23"/>
      <c r="B66" s="23"/>
      <c r="H66" s="14"/>
      <c r="I66" s="23"/>
      <c r="O66" s="14"/>
      <c r="W66" s="23"/>
      <c r="AC66" s="14"/>
      <c r="AJ66" s="14"/>
      <c r="AR66" s="23"/>
      <c r="AX66" s="14"/>
      <c r="AY66" s="23"/>
      <c r="AZ66" s="16" t="s">
        <v>500</v>
      </c>
      <c r="BO66" s="23"/>
      <c r="BS66" s="14"/>
      <c r="BT66" s="14"/>
      <c r="BV66" s="59"/>
      <c r="BZ66" s="59"/>
      <c r="CK66" s="60"/>
    </row>
    <row r="67" spans="1:89" x14ac:dyDescent="0.3">
      <c r="A67" s="23"/>
      <c r="B67" s="23"/>
      <c r="H67" s="14"/>
      <c r="I67" s="23"/>
      <c r="O67" s="14"/>
      <c r="W67" s="23"/>
      <c r="AC67" s="14"/>
      <c r="AJ67" s="14"/>
      <c r="AR67" s="23"/>
      <c r="AX67" s="14"/>
      <c r="AY67" s="23"/>
      <c r="BA67" s="8" t="s">
        <v>501</v>
      </c>
      <c r="BO67" s="23"/>
      <c r="BS67" s="14"/>
      <c r="BT67" s="14"/>
      <c r="BV67" s="59"/>
      <c r="BZ67" s="59"/>
      <c r="CK67" s="60"/>
    </row>
    <row r="68" spans="1:89" x14ac:dyDescent="0.3">
      <c r="A68" s="23"/>
      <c r="B68" s="23"/>
      <c r="H68" s="14"/>
      <c r="I68" s="23"/>
      <c r="O68" s="14"/>
      <c r="W68" s="23"/>
      <c r="AC68" s="14"/>
      <c r="AJ68" s="14"/>
      <c r="AR68" s="23"/>
      <c r="AX68" s="14"/>
      <c r="AY68" s="23"/>
      <c r="BO68" s="23"/>
      <c r="BS68" s="14"/>
      <c r="BT68" s="14"/>
      <c r="BV68" s="59"/>
      <c r="BZ68" s="59"/>
      <c r="CK68" s="60"/>
    </row>
    <row r="69" spans="1:89" x14ac:dyDescent="0.3">
      <c r="A69" s="23"/>
      <c r="B69" s="23"/>
      <c r="H69" s="14"/>
      <c r="I69" s="23"/>
      <c r="O69" s="14"/>
      <c r="W69" s="23"/>
      <c r="AC69" s="14"/>
      <c r="AJ69" s="14"/>
      <c r="AR69" s="23"/>
      <c r="AX69" s="14"/>
      <c r="AY69" s="23"/>
      <c r="BO69" s="23"/>
      <c r="BS69" s="14"/>
      <c r="BT69" s="14"/>
      <c r="BV69" s="59"/>
      <c r="BZ69" s="59"/>
      <c r="CK69" s="60"/>
    </row>
    <row r="70" spans="1:89" x14ac:dyDescent="0.3">
      <c r="A70" s="23"/>
      <c r="B70" s="23"/>
      <c r="H70" s="14"/>
      <c r="I70" s="23"/>
      <c r="O70" s="14"/>
      <c r="W70" s="23"/>
      <c r="AC70" s="14"/>
      <c r="AJ70" s="14"/>
      <c r="AR70" s="23"/>
      <c r="AX70" s="14"/>
      <c r="AY70" s="23"/>
      <c r="BO70" s="23"/>
      <c r="BS70" s="14"/>
      <c r="BT70" s="14"/>
      <c r="BV70" s="59"/>
      <c r="BZ70" s="59"/>
      <c r="CK70" s="60"/>
    </row>
    <row r="71" spans="1:89" x14ac:dyDescent="0.3">
      <c r="A71" s="23"/>
      <c r="B71" s="23"/>
      <c r="H71" s="14"/>
      <c r="I71" s="23"/>
      <c r="O71" s="14"/>
      <c r="W71" s="23"/>
      <c r="AC71" s="14"/>
      <c r="AJ71" s="14"/>
      <c r="AR71" s="23"/>
      <c r="AX71" s="14"/>
      <c r="AY71" s="23"/>
      <c r="AZ71" s="16" t="s">
        <v>502</v>
      </c>
      <c r="BO71" s="23"/>
      <c r="BS71" s="14"/>
      <c r="BT71" s="14"/>
      <c r="BV71" s="59"/>
      <c r="BZ71" s="59"/>
      <c r="CK71" s="60"/>
    </row>
    <row r="72" spans="1:89" x14ac:dyDescent="0.3">
      <c r="A72" s="23"/>
      <c r="B72" s="23"/>
      <c r="H72" s="14"/>
      <c r="I72" s="23"/>
      <c r="O72" s="14"/>
      <c r="W72" s="23"/>
      <c r="AC72" s="14"/>
      <c r="AJ72" s="14"/>
      <c r="AR72" s="23"/>
      <c r="AX72" s="14"/>
      <c r="AY72" s="23"/>
      <c r="BA72" s="8" t="s">
        <v>503</v>
      </c>
      <c r="BO72" s="23"/>
      <c r="BS72" s="14"/>
      <c r="BT72" s="14"/>
      <c r="BV72" s="59"/>
      <c r="BZ72" s="59"/>
      <c r="CK72" s="60"/>
    </row>
    <row r="73" spans="1:89" x14ac:dyDescent="0.3">
      <c r="A73" s="23"/>
      <c r="B73" s="23"/>
      <c r="H73" s="14"/>
      <c r="I73" s="23"/>
      <c r="O73" s="14"/>
      <c r="W73" s="23"/>
      <c r="AC73" s="14"/>
      <c r="AJ73" s="14"/>
      <c r="AR73" s="23"/>
      <c r="AX73" s="14"/>
      <c r="AY73" s="23"/>
      <c r="BO73" s="23"/>
      <c r="BS73" s="14"/>
      <c r="BT73" s="14"/>
      <c r="BV73" s="59"/>
      <c r="BZ73" s="59"/>
      <c r="CK73" s="60"/>
    </row>
    <row r="74" spans="1:89" x14ac:dyDescent="0.3">
      <c r="A74" s="23"/>
      <c r="B74" s="23"/>
      <c r="H74" s="14"/>
      <c r="I74" s="23"/>
      <c r="O74" s="14"/>
      <c r="W74" s="23"/>
      <c r="AC74" s="14"/>
      <c r="AJ74" s="14"/>
      <c r="AR74" s="23"/>
      <c r="AX74" s="14"/>
      <c r="AY74" s="23"/>
      <c r="BO74" s="23"/>
      <c r="BS74" s="14"/>
      <c r="BT74" s="14"/>
      <c r="BV74" s="59"/>
      <c r="BZ74" s="59"/>
      <c r="CK74" s="60"/>
    </row>
    <row r="75" spans="1:89" x14ac:dyDescent="0.3">
      <c r="A75" s="23"/>
      <c r="B75" s="23"/>
      <c r="H75" s="14"/>
      <c r="I75" s="23"/>
      <c r="O75" s="14"/>
      <c r="W75" s="23"/>
      <c r="AC75" s="14"/>
      <c r="AJ75" s="14"/>
      <c r="AR75" s="23"/>
      <c r="AX75" s="14"/>
      <c r="AY75" s="23"/>
      <c r="AZ75" s="16" t="s">
        <v>504</v>
      </c>
      <c r="BO75" s="23"/>
      <c r="BS75" s="14"/>
      <c r="BT75" s="14"/>
      <c r="BV75" s="59"/>
      <c r="BZ75" s="59"/>
      <c r="CA75" s="91"/>
      <c r="CB75" s="91"/>
      <c r="CC75" s="91"/>
      <c r="CD75" s="91"/>
      <c r="CE75" s="91"/>
      <c r="CF75" s="91"/>
      <c r="CG75" s="91"/>
      <c r="CH75" s="91"/>
      <c r="CK75" s="60"/>
    </row>
    <row r="76" spans="1:89" x14ac:dyDescent="0.3">
      <c r="A76" s="23"/>
      <c r="B76" s="23"/>
      <c r="H76" s="14"/>
      <c r="I76" s="23"/>
      <c r="O76" s="14"/>
      <c r="W76" s="23"/>
      <c r="AC76" s="14"/>
      <c r="AJ76" s="14"/>
      <c r="AR76" s="23"/>
      <c r="AX76" s="14"/>
      <c r="AY76" s="23"/>
      <c r="BA76" s="8" t="s">
        <v>505</v>
      </c>
      <c r="BO76" s="23"/>
      <c r="BS76" s="14"/>
      <c r="BT76" s="14"/>
      <c r="BV76" s="59"/>
      <c r="BZ76" s="59"/>
      <c r="CA76" s="91" t="s">
        <v>506</v>
      </c>
      <c r="CB76" s="91"/>
      <c r="CC76" s="91"/>
      <c r="CD76" s="91"/>
      <c r="CE76" s="91"/>
      <c r="CF76" s="91"/>
      <c r="CG76" s="91"/>
      <c r="CH76" s="91"/>
      <c r="CK76" s="60"/>
    </row>
    <row r="77" spans="1:89" x14ac:dyDescent="0.3">
      <c r="A77" s="23"/>
      <c r="B77" s="23"/>
      <c r="H77" s="14"/>
      <c r="I77" s="23"/>
      <c r="O77" s="14"/>
      <c r="W77" s="23"/>
      <c r="AC77" s="14"/>
      <c r="AJ77" s="14"/>
      <c r="AR77" s="23"/>
      <c r="AX77" s="14"/>
      <c r="AY77" s="23"/>
      <c r="BO77" s="23"/>
      <c r="BS77" s="14"/>
      <c r="BT77" s="14"/>
      <c r="BV77" s="59"/>
      <c r="BZ77" s="59"/>
      <c r="CA77" s="91" t="s">
        <v>507</v>
      </c>
      <c r="CB77" s="91"/>
      <c r="CC77" s="91"/>
      <c r="CD77" s="91"/>
      <c r="CE77" s="91"/>
      <c r="CF77" s="91"/>
      <c r="CG77" s="91"/>
      <c r="CH77" s="91"/>
      <c r="CK77" s="60"/>
    </row>
    <row r="78" spans="1:89" x14ac:dyDescent="0.3">
      <c r="A78" s="23"/>
      <c r="B78" s="23"/>
      <c r="H78" s="14"/>
      <c r="I78" s="23"/>
      <c r="O78" s="14"/>
      <c r="W78" s="23"/>
      <c r="AC78" s="14"/>
      <c r="AJ78" s="14"/>
      <c r="AR78" s="23"/>
      <c r="AX78" s="14"/>
      <c r="AY78" s="23"/>
      <c r="BO78" s="23"/>
      <c r="BS78" s="14"/>
      <c r="BT78" s="14"/>
      <c r="BV78" s="59"/>
      <c r="BZ78" s="59"/>
      <c r="CA78" s="91"/>
      <c r="CB78" s="91"/>
      <c r="CC78" s="91"/>
      <c r="CD78" s="91"/>
      <c r="CE78" s="91"/>
      <c r="CF78" s="91"/>
      <c r="CG78" s="91"/>
      <c r="CH78" s="91"/>
      <c r="CK78" s="60"/>
    </row>
    <row r="79" spans="1:89" x14ac:dyDescent="0.3">
      <c r="A79" s="23"/>
      <c r="B79" s="23"/>
      <c r="H79" s="14"/>
      <c r="I79" s="23"/>
      <c r="O79" s="14"/>
      <c r="W79" s="23"/>
      <c r="AC79" s="14"/>
      <c r="AJ79" s="14"/>
      <c r="AR79" s="23"/>
      <c r="AX79" s="14"/>
      <c r="AY79" s="23"/>
      <c r="BO79" s="23"/>
      <c r="BS79" s="14"/>
      <c r="BT79" s="14"/>
      <c r="BV79" s="59"/>
      <c r="BZ79" s="59"/>
      <c r="CK79" s="60"/>
    </row>
    <row r="80" spans="1:89" x14ac:dyDescent="0.3">
      <c r="A80" s="23"/>
      <c r="B80" s="23"/>
      <c r="H80" s="14"/>
      <c r="I80" s="23"/>
      <c r="O80" s="14"/>
      <c r="W80" s="23"/>
      <c r="AC80" s="14"/>
      <c r="AJ80" s="14"/>
      <c r="AR80" s="23"/>
      <c r="AX80" s="14"/>
      <c r="AY80" s="23"/>
      <c r="AZ80" s="16" t="s">
        <v>508</v>
      </c>
      <c r="BO80" s="23"/>
      <c r="BS80" s="14"/>
      <c r="BT80" s="14"/>
      <c r="BV80" s="59"/>
      <c r="BZ80" s="59"/>
      <c r="CK80" s="60"/>
    </row>
    <row r="81" spans="1:89" x14ac:dyDescent="0.3">
      <c r="A81" s="23"/>
      <c r="B81" s="23"/>
      <c r="H81" s="14"/>
      <c r="I81" s="23"/>
      <c r="O81" s="14"/>
      <c r="W81" s="23"/>
      <c r="AC81" s="14"/>
      <c r="AJ81" s="14"/>
      <c r="AR81" s="23"/>
      <c r="AX81" s="14"/>
      <c r="AY81" s="23"/>
      <c r="BA81" s="8" t="s">
        <v>509</v>
      </c>
      <c r="BO81" s="23"/>
      <c r="BS81" s="14"/>
      <c r="BT81" s="14"/>
      <c r="BV81" s="59"/>
      <c r="BZ81" s="59"/>
      <c r="CK81" s="60"/>
    </row>
    <row r="82" spans="1:89" x14ac:dyDescent="0.3">
      <c r="A82" s="23"/>
      <c r="B82" s="23"/>
      <c r="H82" s="14"/>
      <c r="I82" s="23"/>
      <c r="O82" s="14"/>
      <c r="W82" s="23"/>
      <c r="AC82" s="14"/>
      <c r="AJ82" s="14"/>
      <c r="AR82" s="23"/>
      <c r="AX82" s="14"/>
      <c r="AY82" s="23"/>
      <c r="BO82" s="23"/>
      <c r="BS82" s="14"/>
      <c r="BT82" s="14"/>
      <c r="BV82" s="59"/>
      <c r="BZ82" s="59"/>
      <c r="CK82" s="60"/>
    </row>
    <row r="83" spans="1:89" x14ac:dyDescent="0.3">
      <c r="A83" s="23"/>
      <c r="B83" s="23"/>
      <c r="H83" s="14"/>
      <c r="I83" s="23"/>
      <c r="O83" s="14"/>
      <c r="W83" s="23"/>
      <c r="AC83" s="14"/>
      <c r="AJ83" s="14"/>
      <c r="AR83" s="23"/>
      <c r="AX83" s="14"/>
      <c r="AY83" s="23"/>
      <c r="BO83" s="23"/>
      <c r="BS83" s="14"/>
      <c r="BT83" s="14"/>
      <c r="BV83" s="59"/>
      <c r="BZ83" s="59"/>
      <c r="CK83" s="60"/>
    </row>
    <row r="84" spans="1:89" x14ac:dyDescent="0.3">
      <c r="A84" s="23"/>
      <c r="B84" s="23"/>
      <c r="H84" s="14"/>
      <c r="I84" s="23"/>
      <c r="O84" s="14"/>
      <c r="W84" s="23"/>
      <c r="AC84" s="14"/>
      <c r="AJ84" s="14"/>
      <c r="AR84" s="23"/>
      <c r="AX84" s="14"/>
      <c r="AY84" s="23"/>
      <c r="AZ84" s="16" t="s">
        <v>510</v>
      </c>
      <c r="BO84" s="73" t="s">
        <v>253</v>
      </c>
      <c r="BS84" s="14"/>
      <c r="BT84" s="14"/>
      <c r="BV84" s="59"/>
      <c r="BZ84" s="59"/>
      <c r="CK84" s="60"/>
    </row>
    <row r="85" spans="1:89" x14ac:dyDescent="0.3">
      <c r="A85" s="23"/>
      <c r="B85" s="23"/>
      <c r="H85" s="14"/>
      <c r="I85" s="23"/>
      <c r="O85" s="14"/>
      <c r="W85" s="23"/>
      <c r="AC85" s="14"/>
      <c r="AJ85" s="14"/>
      <c r="AR85" s="23"/>
      <c r="AX85" s="14"/>
      <c r="AY85" s="23"/>
      <c r="BA85" s="8" t="s">
        <v>173</v>
      </c>
      <c r="BO85" s="23" t="s">
        <v>254</v>
      </c>
      <c r="BS85" s="14"/>
      <c r="BT85" s="14"/>
      <c r="BV85" s="59"/>
      <c r="BZ85" s="59"/>
      <c r="CK85" s="60"/>
    </row>
    <row r="86" spans="1:89" x14ac:dyDescent="0.3">
      <c r="A86" s="23"/>
      <c r="B86" s="23"/>
      <c r="H86" s="14"/>
      <c r="I86" s="23"/>
      <c r="O86" s="14"/>
      <c r="W86" s="23"/>
      <c r="AC86" s="14"/>
      <c r="AJ86" s="14"/>
      <c r="AR86" s="23"/>
      <c r="AX86" s="14"/>
      <c r="AY86" s="23"/>
      <c r="BA86" s="8" t="s">
        <v>174</v>
      </c>
      <c r="BO86" s="23" t="s">
        <v>255</v>
      </c>
      <c r="BS86" s="14"/>
      <c r="BT86" s="14"/>
      <c r="BV86" s="59"/>
      <c r="BZ86" s="59"/>
      <c r="CK86" s="60"/>
    </row>
    <row r="87" spans="1:89" x14ac:dyDescent="0.3">
      <c r="A87" s="23"/>
      <c r="B87" s="23"/>
      <c r="H87" s="14"/>
      <c r="I87" s="23"/>
      <c r="O87" s="14"/>
      <c r="W87" s="23"/>
      <c r="AC87" s="14"/>
      <c r="AJ87" s="14"/>
      <c r="AR87" s="23"/>
      <c r="AX87" s="14"/>
      <c r="AY87" s="23"/>
      <c r="BO87" s="23"/>
      <c r="BS87" s="14"/>
      <c r="BT87" s="14"/>
      <c r="BV87" s="59"/>
      <c r="BZ87" s="59"/>
      <c r="CK87" s="60"/>
    </row>
    <row r="88" spans="1:89" x14ac:dyDescent="0.3">
      <c r="A88" s="23"/>
      <c r="B88" s="23"/>
      <c r="H88" s="14"/>
      <c r="I88" s="23"/>
      <c r="O88" s="14"/>
      <c r="W88" s="23"/>
      <c r="AC88" s="14"/>
      <c r="AJ88" s="14"/>
      <c r="AR88" s="23"/>
      <c r="AX88" s="14"/>
      <c r="AY88" s="23"/>
      <c r="BO88" s="23"/>
      <c r="BS88" s="14"/>
      <c r="BT88" s="14"/>
      <c r="BV88" s="59"/>
      <c r="BZ88" s="59"/>
      <c r="CK88" s="60"/>
    </row>
    <row r="89" spans="1:89" x14ac:dyDescent="0.3">
      <c r="A89" s="23"/>
      <c r="B89" s="23"/>
      <c r="H89" s="14"/>
      <c r="I89" s="23"/>
      <c r="O89" s="14"/>
      <c r="W89" s="23"/>
      <c r="AC89" s="14"/>
      <c r="AJ89" s="14"/>
      <c r="AR89" s="23"/>
      <c r="AX89" s="14"/>
      <c r="AY89" s="23"/>
      <c r="BO89" s="23"/>
      <c r="BS89" s="14"/>
      <c r="BT89" s="14"/>
      <c r="BV89" s="59"/>
      <c r="BZ89" s="59"/>
      <c r="CK89" s="60"/>
    </row>
    <row r="90" spans="1:89" x14ac:dyDescent="0.3">
      <c r="A90" s="23"/>
      <c r="B90" s="23"/>
      <c r="H90" s="14"/>
      <c r="I90" s="23"/>
      <c r="O90" s="14"/>
      <c r="W90" s="23"/>
      <c r="AC90" s="14"/>
      <c r="AJ90" s="14"/>
      <c r="AR90" s="23"/>
      <c r="AX90" s="14"/>
      <c r="AY90" s="23"/>
      <c r="BO90" s="23"/>
      <c r="BS90" s="14"/>
      <c r="BT90" s="14"/>
      <c r="BV90" s="59"/>
      <c r="BZ90" s="59"/>
      <c r="CK90" s="60"/>
    </row>
    <row r="91" spans="1:89" x14ac:dyDescent="0.3">
      <c r="A91" s="23"/>
      <c r="B91" s="23"/>
      <c r="H91" s="14"/>
      <c r="I91" s="23"/>
      <c r="O91" s="14"/>
      <c r="W91" s="23"/>
      <c r="AC91" s="14"/>
      <c r="AJ91" s="14"/>
      <c r="AR91" s="23"/>
      <c r="AX91" s="14"/>
      <c r="AY91" s="23"/>
      <c r="BO91" s="23"/>
      <c r="BS91" s="14"/>
      <c r="BT91" s="14"/>
      <c r="BV91" s="59"/>
      <c r="BZ91" s="59"/>
      <c r="CK91" s="60"/>
    </row>
    <row r="92" spans="1:89" x14ac:dyDescent="0.3">
      <c r="A92" s="23"/>
      <c r="B92" s="23"/>
      <c r="H92" s="14"/>
      <c r="I92" s="23"/>
      <c r="O92" s="14"/>
      <c r="W92" s="23"/>
      <c r="AC92" s="14"/>
      <c r="AJ92" s="14"/>
      <c r="AR92" s="23"/>
      <c r="AX92" s="14"/>
      <c r="AY92" s="23"/>
      <c r="BO92" s="23"/>
      <c r="BS92" s="14"/>
      <c r="BT92" s="14"/>
      <c r="BV92" s="59"/>
      <c r="BZ92" s="59"/>
      <c r="CK92" s="60"/>
    </row>
    <row r="93" spans="1:89" x14ac:dyDescent="0.3">
      <c r="A93" s="23"/>
      <c r="B93" s="23"/>
      <c r="H93" s="14"/>
      <c r="I93" s="23"/>
      <c r="O93" s="14"/>
      <c r="W93" s="23"/>
      <c r="AC93" s="14"/>
      <c r="AJ93" s="14"/>
      <c r="AR93" s="23"/>
      <c r="AX93" s="14"/>
      <c r="AY93" s="23"/>
      <c r="BO93" s="23"/>
      <c r="BS93" s="14"/>
      <c r="BT93" s="14"/>
      <c r="BV93" s="59"/>
      <c r="BZ93" s="59"/>
      <c r="CK93" s="60"/>
    </row>
    <row r="94" spans="1:89" x14ac:dyDescent="0.3">
      <c r="A94" s="23"/>
      <c r="B94" s="23"/>
      <c r="H94" s="14"/>
      <c r="I94" s="23"/>
      <c r="O94" s="14"/>
      <c r="W94" s="23"/>
      <c r="AC94" s="14"/>
      <c r="AJ94" s="14"/>
      <c r="AR94" s="23"/>
      <c r="AX94" s="14"/>
      <c r="AY94" s="23"/>
      <c r="BO94" s="23"/>
      <c r="BS94" s="14"/>
      <c r="BT94" s="14"/>
      <c r="BV94" s="59"/>
      <c r="BZ94" s="59"/>
      <c r="CK94" s="60"/>
    </row>
    <row r="95" spans="1:89" x14ac:dyDescent="0.3">
      <c r="A95" s="23"/>
      <c r="B95" s="23"/>
      <c r="H95" s="14"/>
      <c r="I95" s="23"/>
      <c r="O95" s="14"/>
      <c r="W95" s="23"/>
      <c r="AC95" s="14"/>
      <c r="AJ95" s="14"/>
      <c r="AR95" s="23"/>
      <c r="AX95" s="14"/>
      <c r="AY95" s="23"/>
      <c r="BO95" s="23"/>
      <c r="BS95" s="14"/>
      <c r="BT95" s="14"/>
      <c r="BV95" s="59"/>
      <c r="BZ95" s="59"/>
      <c r="CK95" s="60"/>
    </row>
    <row r="96" spans="1:89" x14ac:dyDescent="0.3">
      <c r="A96" s="23"/>
      <c r="B96" s="23"/>
      <c r="H96" s="14"/>
      <c r="I96" s="23"/>
      <c r="O96" s="14"/>
      <c r="W96" s="23"/>
      <c r="AC96" s="14"/>
      <c r="AJ96" s="14"/>
      <c r="AR96" s="23"/>
      <c r="AX96" s="14"/>
      <c r="AY96" s="23"/>
      <c r="BO96" s="23"/>
      <c r="BS96" s="14"/>
      <c r="BT96" s="14"/>
      <c r="BV96" s="59"/>
      <c r="BZ96" s="59"/>
      <c r="CK96" s="60"/>
    </row>
    <row r="97" spans="1:89" x14ac:dyDescent="0.3">
      <c r="A97" s="23"/>
      <c r="B97" s="23"/>
      <c r="H97" s="14"/>
      <c r="I97" s="23"/>
      <c r="O97" s="14"/>
      <c r="W97" s="23"/>
      <c r="AC97" s="14"/>
      <c r="AJ97" s="14"/>
      <c r="AR97" s="23"/>
      <c r="AX97" s="14"/>
      <c r="AY97" s="23"/>
      <c r="BO97" s="23"/>
      <c r="BS97" s="14"/>
      <c r="BT97" s="14"/>
      <c r="BV97" s="59"/>
      <c r="BZ97" s="59"/>
      <c r="CK97" s="60"/>
    </row>
    <row r="98" spans="1:89" x14ac:dyDescent="0.3">
      <c r="A98" s="23"/>
      <c r="B98" s="23"/>
      <c r="H98" s="14"/>
      <c r="I98" s="23"/>
      <c r="O98" s="14"/>
      <c r="W98" s="23"/>
      <c r="AC98" s="14"/>
      <c r="AJ98" s="14"/>
      <c r="AR98" s="23"/>
      <c r="AX98" s="14"/>
      <c r="AY98" s="23"/>
      <c r="BO98" s="23"/>
      <c r="BS98" s="14"/>
      <c r="BT98" s="14"/>
      <c r="BV98" s="59"/>
      <c r="BZ98" s="59"/>
      <c r="CK98" s="60"/>
    </row>
    <row r="99" spans="1:89" x14ac:dyDescent="0.3">
      <c r="A99" s="23"/>
      <c r="B99" s="23"/>
      <c r="H99" s="14"/>
      <c r="I99" s="23"/>
      <c r="O99" s="14"/>
      <c r="W99" s="23"/>
      <c r="AC99" s="14"/>
      <c r="AJ99" s="14"/>
      <c r="AR99" s="23"/>
      <c r="AX99" s="14"/>
      <c r="AY99" s="23"/>
      <c r="BO99" s="23"/>
      <c r="BS99" s="14"/>
      <c r="BT99" s="14"/>
      <c r="BV99" s="59"/>
      <c r="BZ99" s="59"/>
      <c r="CK99" s="60"/>
    </row>
    <row r="100" spans="1:89" x14ac:dyDescent="0.3">
      <c r="A100" s="23"/>
      <c r="B100" s="23"/>
      <c r="H100" s="14"/>
      <c r="I100" s="23"/>
      <c r="O100" s="14"/>
      <c r="W100" s="23"/>
      <c r="AC100" s="14"/>
      <c r="AJ100" s="14"/>
      <c r="AR100" s="23"/>
      <c r="AX100" s="14"/>
      <c r="AY100" s="23"/>
      <c r="BO100" s="23"/>
      <c r="BS100" s="14"/>
      <c r="BT100" s="14"/>
      <c r="BV100" s="59"/>
      <c r="BZ100" s="59"/>
      <c r="CK100" s="60"/>
    </row>
    <row r="101" spans="1:89" x14ac:dyDescent="0.3">
      <c r="A101" s="23"/>
      <c r="B101" s="23"/>
      <c r="H101" s="14"/>
      <c r="I101" s="23"/>
      <c r="O101" s="14"/>
      <c r="W101" s="23"/>
      <c r="AC101" s="14"/>
      <c r="AJ101" s="14"/>
      <c r="AR101" s="23"/>
      <c r="AX101" s="14"/>
      <c r="AY101" s="23"/>
      <c r="BO101" s="23"/>
      <c r="BS101" s="14"/>
      <c r="BT101" s="14"/>
      <c r="BV101" s="59"/>
      <c r="BZ101" s="59"/>
      <c r="CK101" s="60"/>
    </row>
    <row r="102" spans="1:89" x14ac:dyDescent="0.3">
      <c r="A102" s="23"/>
      <c r="B102" s="23"/>
      <c r="H102" s="14"/>
      <c r="I102" s="23"/>
      <c r="O102" s="14"/>
      <c r="W102" s="23"/>
      <c r="AC102" s="14"/>
      <c r="AJ102" s="14"/>
      <c r="AR102" s="23"/>
      <c r="AX102" s="14"/>
      <c r="AY102" s="23"/>
      <c r="BO102" s="23"/>
      <c r="BS102" s="14"/>
      <c r="BT102" s="14"/>
      <c r="BV102" s="59"/>
      <c r="BZ102" s="59"/>
      <c r="CK102" s="60"/>
    </row>
    <row r="103" spans="1:89" x14ac:dyDescent="0.3">
      <c r="A103" s="23"/>
      <c r="B103" s="23"/>
      <c r="H103" s="14"/>
      <c r="I103" s="23"/>
      <c r="O103" s="14"/>
      <c r="W103" s="23"/>
      <c r="AC103" s="14"/>
      <c r="AJ103" s="14"/>
      <c r="AR103" s="23"/>
      <c r="AX103" s="14"/>
      <c r="AY103" s="23"/>
      <c r="BO103" s="23"/>
      <c r="BS103" s="14"/>
      <c r="BT103" s="14"/>
      <c r="BV103" s="59"/>
      <c r="BZ103" s="59"/>
      <c r="CK103" s="60"/>
    </row>
    <row r="104" spans="1:89" x14ac:dyDescent="0.3">
      <c r="A104" s="23"/>
      <c r="B104" s="23"/>
      <c r="H104" s="14"/>
      <c r="I104" s="23"/>
      <c r="O104" s="14"/>
      <c r="W104" s="23"/>
      <c r="AC104" s="14"/>
      <c r="AJ104" s="14"/>
      <c r="AR104" s="23"/>
      <c r="AX104" s="14"/>
      <c r="AY104" s="23"/>
      <c r="BO104" s="23"/>
      <c r="BS104" s="14"/>
      <c r="BT104" s="14"/>
      <c r="BV104" s="59"/>
      <c r="BZ104" s="59"/>
      <c r="CK104" s="60"/>
    </row>
    <row r="105" spans="1:89" x14ac:dyDescent="0.3">
      <c r="A105" s="23"/>
      <c r="B105" s="23"/>
      <c r="H105" s="14"/>
      <c r="I105" s="23"/>
      <c r="O105" s="14"/>
      <c r="W105" s="23"/>
      <c r="AC105" s="14"/>
      <c r="AJ105" s="14"/>
      <c r="AR105" s="23"/>
      <c r="AX105" s="14"/>
      <c r="AY105" s="23"/>
      <c r="BO105" s="23"/>
      <c r="BS105" s="14"/>
      <c r="BT105" s="14"/>
      <c r="BV105" s="59"/>
      <c r="BZ105" s="59"/>
      <c r="CK105" s="60"/>
    </row>
    <row r="106" spans="1:89" x14ac:dyDescent="0.3">
      <c r="A106" s="23"/>
      <c r="B106" s="23"/>
      <c r="H106" s="14"/>
      <c r="I106" s="23"/>
      <c r="O106" s="14"/>
      <c r="W106" s="23"/>
      <c r="AC106" s="14"/>
      <c r="AJ106" s="14"/>
      <c r="AR106" s="23"/>
      <c r="AX106" s="14"/>
      <c r="AY106" s="23"/>
      <c r="BO106" s="23"/>
      <c r="BS106" s="14"/>
      <c r="BT106" s="14"/>
      <c r="BV106" s="59"/>
      <c r="BZ106" s="59"/>
      <c r="CK106" s="60"/>
    </row>
    <row r="107" spans="1:89" x14ac:dyDescent="0.3">
      <c r="A107" s="23"/>
      <c r="B107" s="50"/>
      <c r="C107" s="10"/>
      <c r="D107" s="10"/>
      <c r="E107" s="10"/>
      <c r="F107" s="10"/>
      <c r="G107" s="10"/>
      <c r="H107" s="15"/>
      <c r="I107" s="50"/>
      <c r="J107" s="10"/>
      <c r="K107" s="10"/>
      <c r="L107" s="10"/>
      <c r="M107" s="10"/>
      <c r="N107" s="10"/>
      <c r="O107" s="15"/>
      <c r="P107" s="50"/>
      <c r="Q107" s="10"/>
      <c r="R107" s="10"/>
      <c r="S107" s="10"/>
      <c r="T107" s="10"/>
      <c r="U107" s="10"/>
      <c r="V107" s="10"/>
      <c r="W107" s="50"/>
      <c r="X107" s="10"/>
      <c r="Y107" s="10"/>
      <c r="Z107" s="10"/>
      <c r="AA107" s="10"/>
      <c r="AB107" s="10"/>
      <c r="AC107" s="15"/>
      <c r="AD107" s="10"/>
      <c r="AE107" s="10"/>
      <c r="AF107" s="10"/>
      <c r="AG107" s="10"/>
      <c r="AH107" s="10"/>
      <c r="AI107" s="10"/>
      <c r="AJ107" s="15"/>
      <c r="AK107" s="10"/>
      <c r="AL107" s="10"/>
      <c r="AM107" s="10"/>
      <c r="AN107" s="10"/>
      <c r="AO107" s="10"/>
      <c r="AP107" s="10"/>
      <c r="AQ107" s="10"/>
      <c r="AR107" s="50"/>
      <c r="AS107" s="10"/>
      <c r="AT107" s="10"/>
      <c r="AU107" s="10"/>
      <c r="AV107" s="10"/>
      <c r="AW107" s="10"/>
      <c r="AX107" s="15"/>
      <c r="AY107" s="5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50"/>
      <c r="BP107" s="10"/>
      <c r="BQ107" s="10"/>
      <c r="BR107" s="10"/>
      <c r="BS107" s="15"/>
      <c r="BT107" s="14"/>
      <c r="BV107" s="61"/>
      <c r="BW107" s="62"/>
      <c r="BX107" s="62"/>
      <c r="BY107" s="62"/>
      <c r="BZ107" s="61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3"/>
    </row>
    <row r="108" spans="1:89" x14ac:dyDescent="0.3">
      <c r="A108" s="23"/>
      <c r="BT108" s="14"/>
    </row>
    <row r="109" spans="1:89" x14ac:dyDescent="0.3">
      <c r="A109" s="5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5"/>
    </row>
  </sheetData>
  <mergeCells count="34">
    <mergeCell ref="A1:E1"/>
    <mergeCell ref="F1:U1"/>
    <mergeCell ref="V1:AI1"/>
    <mergeCell ref="AJ1:AP1"/>
    <mergeCell ref="AQ1:AV1"/>
    <mergeCell ref="AQ2:AV2"/>
    <mergeCell ref="AJ3:AK3"/>
    <mergeCell ref="AL3:AP3"/>
    <mergeCell ref="AQ3:AV3"/>
    <mergeCell ref="B8:O8"/>
    <mergeCell ref="A2:E3"/>
    <mergeCell ref="F2:U3"/>
    <mergeCell ref="V2:AI3"/>
    <mergeCell ref="AJ2:AK2"/>
    <mergeCell ref="AL2:AP2"/>
    <mergeCell ref="BV8:BY9"/>
    <mergeCell ref="BZ8:CK9"/>
    <mergeCell ref="B9:H9"/>
    <mergeCell ref="I9:O9"/>
    <mergeCell ref="AR9:AX9"/>
    <mergeCell ref="AK8:AX8"/>
    <mergeCell ref="P8:AC8"/>
    <mergeCell ref="P9:V9"/>
    <mergeCell ref="W9:AC9"/>
    <mergeCell ref="BO8:BS9"/>
    <mergeCell ref="AD8:AJ8"/>
    <mergeCell ref="AD9:AJ9"/>
    <mergeCell ref="AY8:BN9"/>
    <mergeCell ref="AK9:AQ9"/>
    <mergeCell ref="BV26:BY26"/>
    <mergeCell ref="BZ26:CK26"/>
    <mergeCell ref="BV27:BY27"/>
    <mergeCell ref="BZ27:CK27"/>
    <mergeCell ref="BV28:BY28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K110"/>
  <sheetViews>
    <sheetView showGridLines="0" zoomScale="63" zoomScaleNormal="85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64" width="2.453125" style="8"/>
    <col min="65" max="65" width="2.453125" style="8" customWidth="1"/>
    <col min="66" max="81" width="2.453125" style="8"/>
    <col min="82" max="82" width="2.453125" style="8" customWidth="1"/>
    <col min="83" max="16384" width="2.453125" style="8"/>
  </cols>
  <sheetData>
    <row r="1" spans="1:89" ht="14.1" customHeight="1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89" ht="14.1" customHeight="1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12.SEJ与信管理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89" ht="14.1" customHeight="1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4" spans="1:89" x14ac:dyDescent="0.3">
      <c r="A4" s="23"/>
    </row>
    <row r="5" spans="1:89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</row>
    <row r="6" spans="1:89" s="11" customFormat="1" x14ac:dyDescent="0.3">
      <c r="A6" s="35" t="str">
        <f ca="1">RIGHT(CELL("filename",A1),LEN(CELL("filename",A1))-FIND("]",CELL("filename",A1)))</f>
        <v>12.SEJ与信管理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36"/>
    </row>
    <row r="7" spans="1:89" s="11" customFormat="1" x14ac:dyDescent="0.3">
      <c r="A7" s="24"/>
      <c r="BT7" s="13"/>
    </row>
    <row r="8" spans="1:89" s="11" customFormat="1" ht="15.75" customHeight="1" x14ac:dyDescent="0.3">
      <c r="A8" s="24"/>
      <c r="B8" s="231" t="s">
        <v>511</v>
      </c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3"/>
      <c r="P8" s="231" t="s">
        <v>285</v>
      </c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3"/>
      <c r="AD8" s="231" t="s">
        <v>159</v>
      </c>
      <c r="AE8" s="232"/>
      <c r="AF8" s="232"/>
      <c r="AG8" s="232"/>
      <c r="AH8" s="232"/>
      <c r="AI8" s="232"/>
      <c r="AJ8" s="233"/>
      <c r="AK8" s="223" t="s">
        <v>92</v>
      </c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4"/>
      <c r="AY8" s="221" t="s">
        <v>110</v>
      </c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0" t="s">
        <v>112</v>
      </c>
      <c r="BP8" s="221"/>
      <c r="BQ8" s="221"/>
      <c r="BR8" s="221"/>
      <c r="BS8" s="221"/>
      <c r="BT8" s="13"/>
      <c r="BV8" s="245" t="s">
        <v>118</v>
      </c>
      <c r="BW8" s="246"/>
      <c r="BX8" s="246"/>
      <c r="BY8" s="246"/>
      <c r="BZ8" s="263" t="s">
        <v>119</v>
      </c>
      <c r="CA8" s="264"/>
      <c r="CB8" s="264"/>
      <c r="CC8" s="264"/>
      <c r="CD8" s="264"/>
      <c r="CE8" s="264"/>
      <c r="CF8" s="264"/>
      <c r="CG8" s="264"/>
      <c r="CH8" s="264"/>
      <c r="CI8" s="264"/>
      <c r="CJ8" s="264"/>
      <c r="CK8" s="265"/>
    </row>
    <row r="9" spans="1:89" s="11" customFormat="1" ht="13.5" customHeight="1" x14ac:dyDescent="0.3">
      <c r="A9" s="24"/>
      <c r="B9" s="231" t="s">
        <v>160</v>
      </c>
      <c r="C9" s="232"/>
      <c r="D9" s="232"/>
      <c r="E9" s="232"/>
      <c r="F9" s="232"/>
      <c r="G9" s="232"/>
      <c r="H9" s="233"/>
      <c r="I9" s="231" t="s">
        <v>483</v>
      </c>
      <c r="J9" s="232"/>
      <c r="K9" s="232"/>
      <c r="L9" s="232"/>
      <c r="M9" s="232"/>
      <c r="N9" s="232"/>
      <c r="O9" s="233"/>
      <c r="P9" s="231" t="s">
        <v>160</v>
      </c>
      <c r="Q9" s="232"/>
      <c r="R9" s="232"/>
      <c r="S9" s="232"/>
      <c r="T9" s="232"/>
      <c r="U9" s="232"/>
      <c r="V9" s="233"/>
      <c r="W9" s="231" t="s">
        <v>483</v>
      </c>
      <c r="X9" s="232"/>
      <c r="Y9" s="232"/>
      <c r="Z9" s="232"/>
      <c r="AA9" s="232"/>
      <c r="AB9" s="232"/>
      <c r="AC9" s="233"/>
      <c r="AD9" s="231" t="s">
        <v>98</v>
      </c>
      <c r="AE9" s="232"/>
      <c r="AF9" s="232"/>
      <c r="AG9" s="232"/>
      <c r="AH9" s="232"/>
      <c r="AI9" s="232"/>
      <c r="AJ9" s="233"/>
      <c r="AK9" s="223" t="s">
        <v>107</v>
      </c>
      <c r="AL9" s="223"/>
      <c r="AM9" s="223"/>
      <c r="AN9" s="223"/>
      <c r="AO9" s="223"/>
      <c r="AP9" s="223"/>
      <c r="AQ9" s="224"/>
      <c r="AR9" s="222" t="s">
        <v>109</v>
      </c>
      <c r="AS9" s="223"/>
      <c r="AT9" s="223"/>
      <c r="AU9" s="223"/>
      <c r="AV9" s="223"/>
      <c r="AW9" s="223"/>
      <c r="AX9" s="224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13"/>
      <c r="BV9" s="247"/>
      <c r="BW9" s="247"/>
      <c r="BX9" s="247"/>
      <c r="BY9" s="247"/>
      <c r="BZ9" s="266"/>
      <c r="CA9" s="267"/>
      <c r="CB9" s="267"/>
      <c r="CC9" s="267"/>
      <c r="CD9" s="267"/>
      <c r="CE9" s="267"/>
      <c r="CF9" s="267"/>
      <c r="CG9" s="267"/>
      <c r="CH9" s="267"/>
      <c r="CI9" s="267"/>
      <c r="CJ9" s="267"/>
      <c r="CK9" s="268"/>
    </row>
    <row r="10" spans="1:89" s="11" customFormat="1" x14ac:dyDescent="0.3">
      <c r="A10" s="24"/>
      <c r="B10" s="31" t="s">
        <v>484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74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13"/>
      <c r="BV10" s="54"/>
      <c r="BW10" s="55"/>
      <c r="BX10" s="55"/>
      <c r="BY10" s="55"/>
      <c r="BZ10" s="54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6"/>
    </row>
    <row r="11" spans="1:89" s="11" customFormat="1" x14ac:dyDescent="0.3">
      <c r="A11" s="24"/>
      <c r="B11" s="27"/>
      <c r="C11" s="20"/>
      <c r="D11" s="20"/>
      <c r="E11" s="20"/>
      <c r="F11" s="20"/>
      <c r="G11" s="20"/>
      <c r="H11" s="19"/>
      <c r="I11" s="27"/>
      <c r="J11" s="20"/>
      <c r="K11" s="20"/>
      <c r="L11" s="20"/>
      <c r="M11" s="20"/>
      <c r="N11" s="20"/>
      <c r="O11" s="19"/>
      <c r="P11" s="20"/>
      <c r="Q11" s="20"/>
      <c r="R11" s="20"/>
      <c r="S11" s="20"/>
      <c r="T11" s="20"/>
      <c r="U11" s="20"/>
      <c r="V11" s="20"/>
      <c r="W11" s="27"/>
      <c r="X11" s="20"/>
      <c r="Y11" s="20"/>
      <c r="Z11" s="20"/>
      <c r="AA11" s="20"/>
      <c r="AB11" s="20"/>
      <c r="AC11" s="19"/>
      <c r="AD11" s="20"/>
      <c r="AE11" s="20"/>
      <c r="AF11" s="20"/>
      <c r="AG11" s="20"/>
      <c r="AH11" s="20"/>
      <c r="AI11" s="20"/>
      <c r="AJ11" s="19"/>
      <c r="AK11" s="20"/>
      <c r="AL11" s="20"/>
      <c r="AM11" s="20"/>
      <c r="AN11" s="20"/>
      <c r="AO11" s="20"/>
      <c r="AP11" s="20"/>
      <c r="AQ11" s="20"/>
      <c r="AR11" s="27"/>
      <c r="AS11" s="20"/>
      <c r="AT11" s="20"/>
      <c r="AU11" s="20"/>
      <c r="AV11" s="20"/>
      <c r="AW11" s="20"/>
      <c r="AX11" s="19"/>
      <c r="AY11" s="27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7"/>
      <c r="BP11" s="20"/>
      <c r="BQ11" s="20"/>
      <c r="BR11" s="20"/>
      <c r="BS11" s="19"/>
      <c r="BT11" s="13"/>
      <c r="BV11" s="57"/>
      <c r="BZ11" s="57"/>
      <c r="CK11" s="58"/>
    </row>
    <row r="12" spans="1:89" s="11" customFormat="1" x14ac:dyDescent="0.3">
      <c r="A12" s="24"/>
      <c r="B12" s="27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0"/>
      <c r="Q12" s="20"/>
      <c r="R12" s="20"/>
      <c r="S12" s="20"/>
      <c r="T12" s="20"/>
      <c r="U12" s="20"/>
      <c r="V12" s="20"/>
      <c r="W12" s="27"/>
      <c r="X12" s="20"/>
      <c r="Y12" s="20"/>
      <c r="Z12" s="20"/>
      <c r="AA12" s="20"/>
      <c r="AB12" s="20"/>
      <c r="AC12" s="19"/>
      <c r="AD12" s="20"/>
      <c r="AE12" s="20"/>
      <c r="AF12" s="20"/>
      <c r="AG12" s="20"/>
      <c r="AH12" s="20"/>
      <c r="AI12" s="20"/>
      <c r="AJ12" s="19"/>
      <c r="AK12" s="20"/>
      <c r="AL12" s="20"/>
      <c r="AM12" s="20"/>
      <c r="AN12" s="20"/>
      <c r="AO12" s="20"/>
      <c r="AP12" s="20"/>
      <c r="AQ12" s="20"/>
      <c r="AR12" s="27"/>
      <c r="AS12" s="20"/>
      <c r="AT12" s="20"/>
      <c r="AU12" s="20"/>
      <c r="AV12" s="20"/>
      <c r="AW12" s="20"/>
      <c r="AX12" s="19"/>
      <c r="AY12" s="27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7"/>
      <c r="BP12" s="20"/>
      <c r="BQ12" s="20"/>
      <c r="BR12" s="20"/>
      <c r="BS12" s="19"/>
      <c r="BT12" s="13"/>
      <c r="BV12" s="57"/>
      <c r="BZ12" s="57"/>
      <c r="CK12" s="58"/>
    </row>
    <row r="13" spans="1:89" s="11" customFormat="1" x14ac:dyDescent="0.3">
      <c r="A13" s="24"/>
      <c r="B13" s="27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0"/>
      <c r="Q13" s="20"/>
      <c r="R13" s="20"/>
      <c r="S13" s="20"/>
      <c r="T13" s="20"/>
      <c r="U13" s="20"/>
      <c r="V13" s="20"/>
      <c r="W13" s="27"/>
      <c r="X13" s="20"/>
      <c r="Y13" s="20"/>
      <c r="Z13" s="20"/>
      <c r="AA13" s="20"/>
      <c r="AB13" s="20"/>
      <c r="AC13" s="19"/>
      <c r="AD13" s="20"/>
      <c r="AE13" s="20"/>
      <c r="AF13" s="20"/>
      <c r="AG13" s="20"/>
      <c r="AH13" s="20"/>
      <c r="AI13" s="20"/>
      <c r="AJ13" s="19"/>
      <c r="AK13" s="20"/>
      <c r="AL13" s="20"/>
      <c r="AM13" s="20"/>
      <c r="AN13" s="20"/>
      <c r="AO13" s="20"/>
      <c r="AP13" s="20"/>
      <c r="AQ13" s="20"/>
      <c r="AR13" s="27"/>
      <c r="AS13" s="20"/>
      <c r="AT13" s="20"/>
      <c r="AU13" s="20"/>
      <c r="AV13" s="20"/>
      <c r="AW13" s="20"/>
      <c r="AX13" s="19"/>
      <c r="AY13" s="27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7"/>
      <c r="BP13" s="20"/>
      <c r="BQ13" s="20"/>
      <c r="BR13" s="20"/>
      <c r="BS13" s="19"/>
      <c r="BT13" s="13"/>
      <c r="BV13" s="57"/>
      <c r="BZ13" s="57"/>
      <c r="CK13" s="58"/>
    </row>
    <row r="14" spans="1:89" s="11" customFormat="1" x14ac:dyDescent="0.3">
      <c r="A14" s="24"/>
      <c r="B14" s="27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0"/>
      <c r="Q14" s="20"/>
      <c r="R14" s="20"/>
      <c r="S14" s="20"/>
      <c r="T14" s="20"/>
      <c r="U14" s="20"/>
      <c r="V14" s="20"/>
      <c r="W14" s="27"/>
      <c r="X14" s="20"/>
      <c r="Y14" s="20"/>
      <c r="Z14" s="20"/>
      <c r="AA14" s="20"/>
      <c r="AB14" s="20"/>
      <c r="AC14" s="19"/>
      <c r="AD14" s="20"/>
      <c r="AE14" s="20"/>
      <c r="AF14" s="20"/>
      <c r="AG14" s="20"/>
      <c r="AH14" s="20"/>
      <c r="AI14" s="20"/>
      <c r="AJ14" s="19"/>
      <c r="AK14" s="20"/>
      <c r="AL14" s="20"/>
      <c r="AM14" s="20"/>
      <c r="AN14" s="20"/>
      <c r="AO14" s="20"/>
      <c r="AP14" s="20"/>
      <c r="AQ14" s="20"/>
      <c r="AR14" s="27"/>
      <c r="AS14" s="20"/>
      <c r="AT14" s="20"/>
      <c r="AU14" s="20"/>
      <c r="AV14" s="20"/>
      <c r="AW14" s="20"/>
      <c r="AX14" s="19"/>
      <c r="AY14" s="27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7"/>
      <c r="BP14" s="20"/>
      <c r="BQ14" s="20"/>
      <c r="BR14" s="20"/>
      <c r="BS14" s="19"/>
      <c r="BT14" s="13"/>
      <c r="BV14" s="57"/>
      <c r="BZ14" s="57"/>
      <c r="CK14" s="58"/>
    </row>
    <row r="15" spans="1:89" s="11" customFormat="1" ht="13.5" customHeight="1" x14ac:dyDescent="0.3">
      <c r="A15" s="24"/>
      <c r="B15" s="29"/>
      <c r="C15"/>
      <c r="D15"/>
      <c r="E15"/>
      <c r="F15"/>
      <c r="G15"/>
      <c r="H15" s="18"/>
      <c r="I15" s="29"/>
      <c r="J15"/>
      <c r="K15"/>
      <c r="L15"/>
      <c r="M15"/>
      <c r="N15"/>
      <c r="O15" s="18"/>
      <c r="P15"/>
      <c r="Q15"/>
      <c r="R15"/>
      <c r="S15"/>
      <c r="T15"/>
      <c r="U15"/>
      <c r="V15" s="20"/>
      <c r="W15" s="29"/>
      <c r="X15"/>
      <c r="Y15"/>
      <c r="Z15"/>
      <c r="AA15"/>
      <c r="AB15"/>
      <c r="AC15" s="19"/>
      <c r="AD15" s="20"/>
      <c r="AE15" s="20"/>
      <c r="AF15" s="20"/>
      <c r="AG15" s="20"/>
      <c r="AH15" s="20"/>
      <c r="AI15" s="20"/>
      <c r="AJ15" s="19"/>
      <c r="AK15"/>
      <c r="AL15"/>
      <c r="AM15"/>
      <c r="AN15"/>
      <c r="AO15"/>
      <c r="AP15"/>
      <c r="AQ15" s="20"/>
      <c r="AR15" s="29"/>
      <c r="AS15"/>
      <c r="AT15"/>
      <c r="AU15"/>
      <c r="AV15"/>
      <c r="AW15"/>
      <c r="AX15" s="19"/>
      <c r="AY15" s="27"/>
      <c r="AZ15" s="21" t="s">
        <v>485</v>
      </c>
      <c r="BO15" s="30"/>
      <c r="BS15" s="13"/>
      <c r="BT15" s="13"/>
      <c r="BV15" s="57"/>
      <c r="BZ15" s="57"/>
      <c r="CK15" s="58"/>
    </row>
    <row r="16" spans="1:89" s="11" customFormat="1" x14ac:dyDescent="0.3">
      <c r="A16" s="24"/>
      <c r="B16" s="30"/>
      <c r="H16" s="13"/>
      <c r="I16" s="30"/>
      <c r="O16" s="13"/>
      <c r="V16" s="20"/>
      <c r="W16" s="30"/>
      <c r="AC16" s="19"/>
      <c r="AD16" s="20"/>
      <c r="AE16" s="20"/>
      <c r="AF16" s="20"/>
      <c r="AG16" s="20"/>
      <c r="AH16" s="20"/>
      <c r="AI16" s="20"/>
      <c r="AJ16" s="19"/>
      <c r="AQ16" s="20"/>
      <c r="AR16" s="30"/>
      <c r="AX16" s="19"/>
      <c r="AY16" s="27"/>
      <c r="BA16" s="8" t="s">
        <v>258</v>
      </c>
      <c r="BO16" s="30"/>
      <c r="BS16" s="13"/>
      <c r="BT16" s="13"/>
      <c r="BV16" s="57"/>
      <c r="BZ16" s="57"/>
      <c r="CK16" s="58"/>
    </row>
    <row r="17" spans="1:89" x14ac:dyDescent="0.3">
      <c r="A17" s="23"/>
      <c r="B17" s="23"/>
      <c r="H17" s="14"/>
      <c r="I17" s="23"/>
      <c r="O17" s="14"/>
      <c r="V17" s="20"/>
      <c r="W17" s="23"/>
      <c r="AC17" s="19"/>
      <c r="AD17" s="20"/>
      <c r="AE17" s="20"/>
      <c r="AF17" s="20"/>
      <c r="AG17" s="20"/>
      <c r="AH17" s="20"/>
      <c r="AI17" s="20"/>
      <c r="AJ17" s="19"/>
      <c r="AQ17" s="20"/>
      <c r="AR17" s="23"/>
      <c r="AX17" s="19"/>
      <c r="AY17" s="27"/>
      <c r="AZ17" s="11"/>
      <c r="BA17" s="8" t="s">
        <v>215</v>
      </c>
      <c r="BB17" s="11"/>
      <c r="BC17" s="11"/>
      <c r="BO17" s="23"/>
      <c r="BS17" s="14"/>
      <c r="BT17" s="14"/>
      <c r="BV17" s="57"/>
      <c r="BW17" s="11"/>
      <c r="BX17" s="11"/>
      <c r="BY17" s="11"/>
      <c r="BZ17" s="57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58"/>
    </row>
    <row r="18" spans="1:89" x14ac:dyDescent="0.3">
      <c r="A18" s="23"/>
      <c r="B18" s="23"/>
      <c r="H18" s="14"/>
      <c r="I18" s="23"/>
      <c r="O18" s="14"/>
      <c r="W18" s="23"/>
      <c r="AC18" s="14"/>
      <c r="AJ18" s="14"/>
      <c r="AR18" s="23"/>
      <c r="AX18" s="14"/>
      <c r="AY18" s="23"/>
      <c r="AZ18" s="11"/>
      <c r="BA18" s="11"/>
      <c r="BB18" s="11"/>
      <c r="BC18" s="11"/>
      <c r="BO18" s="23"/>
      <c r="BS18" s="14"/>
      <c r="BT18" s="14"/>
      <c r="BV18" s="57"/>
      <c r="BW18" s="11"/>
      <c r="BX18" s="11"/>
      <c r="BY18" s="11"/>
      <c r="BZ18" s="57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58"/>
    </row>
    <row r="19" spans="1:89" x14ac:dyDescent="0.3">
      <c r="A19" s="23"/>
      <c r="B19" s="23"/>
      <c r="H19" s="14"/>
      <c r="I19" s="23"/>
      <c r="O19" s="14"/>
      <c r="W19" s="23"/>
      <c r="AC19" s="14"/>
      <c r="AJ19" s="14"/>
      <c r="AR19" s="23"/>
      <c r="AX19" s="14"/>
      <c r="AY19" s="23"/>
      <c r="BA19" s="75"/>
      <c r="BC19" s="11"/>
      <c r="BO19" s="23"/>
      <c r="BS19" s="14"/>
      <c r="BT19" s="14"/>
      <c r="BV19" s="59"/>
      <c r="BZ19" s="59"/>
      <c r="CK19" s="60"/>
    </row>
    <row r="20" spans="1:89" x14ac:dyDescent="0.3">
      <c r="A20" s="23"/>
      <c r="B20" s="23"/>
      <c r="H20" s="14"/>
      <c r="I20" s="23"/>
      <c r="O20" s="14"/>
      <c r="W20" s="23"/>
      <c r="AC20" s="14"/>
      <c r="AJ20" s="14"/>
      <c r="AR20" s="23"/>
      <c r="AX20" s="14"/>
      <c r="AY20" s="23"/>
      <c r="AZ20" s="64"/>
      <c r="BA20" s="65"/>
      <c r="BB20" s="66"/>
      <c r="BC20" s="65"/>
      <c r="BD20" s="66"/>
      <c r="BE20" s="66"/>
      <c r="BF20" s="66"/>
      <c r="BG20" s="66"/>
      <c r="BH20" s="66"/>
      <c r="BI20" s="66"/>
      <c r="BJ20" s="66"/>
      <c r="BK20" s="66"/>
      <c r="BO20" s="23"/>
      <c r="BS20" s="14"/>
      <c r="BT20" s="14"/>
      <c r="BV20" s="59"/>
      <c r="BZ20" s="59"/>
      <c r="CK20" s="60"/>
    </row>
    <row r="21" spans="1:89" x14ac:dyDescent="0.3">
      <c r="A21" s="23"/>
      <c r="B21" s="23"/>
      <c r="H21" s="14"/>
      <c r="I21" s="23"/>
      <c r="O21" s="14"/>
      <c r="W21" s="23"/>
      <c r="AC21" s="14"/>
      <c r="AJ21" s="14"/>
      <c r="AR21" s="23"/>
      <c r="AX21" s="14"/>
      <c r="AY21" s="23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O21" s="23"/>
      <c r="BS21" s="14"/>
      <c r="BT21" s="14"/>
      <c r="BV21" s="59"/>
      <c r="BZ21" s="59"/>
      <c r="CK21" s="60"/>
    </row>
    <row r="22" spans="1:89" x14ac:dyDescent="0.3">
      <c r="A22" s="23"/>
      <c r="B22" s="23"/>
      <c r="H22" s="14"/>
      <c r="I22" s="23"/>
      <c r="O22" s="14"/>
      <c r="W22" s="23"/>
      <c r="AC22" s="14"/>
      <c r="AJ22" s="14"/>
      <c r="AR22" s="23"/>
      <c r="AX22" s="14"/>
      <c r="AY22" s="23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O22" s="23"/>
      <c r="BS22" s="14"/>
      <c r="BT22" s="14"/>
      <c r="BV22" s="59"/>
      <c r="BZ22" s="59"/>
      <c r="CK22" s="60"/>
    </row>
    <row r="23" spans="1:89" x14ac:dyDescent="0.3">
      <c r="A23" s="23"/>
      <c r="B23" s="23"/>
      <c r="H23" s="14"/>
      <c r="I23" s="23"/>
      <c r="O23" s="14"/>
      <c r="W23" s="23"/>
      <c r="AC23" s="14"/>
      <c r="AJ23" s="14"/>
      <c r="AR23" s="23"/>
      <c r="AX23" s="14"/>
      <c r="AY23" s="23"/>
      <c r="AZ23" s="67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O23" s="23"/>
      <c r="BS23" s="14"/>
      <c r="BT23" s="14"/>
      <c r="BV23" s="59"/>
      <c r="BZ23" s="59"/>
      <c r="CK23" s="60"/>
    </row>
    <row r="24" spans="1:89" x14ac:dyDescent="0.3">
      <c r="A24" s="23"/>
      <c r="B24" s="23"/>
      <c r="H24" s="14"/>
      <c r="I24" s="23"/>
      <c r="O24" s="14"/>
      <c r="W24" s="23"/>
      <c r="AC24" s="14"/>
      <c r="AJ24" s="14"/>
      <c r="AR24" s="23"/>
      <c r="AX24" s="14"/>
      <c r="AY24" s="23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O24" s="23"/>
      <c r="BS24" s="14"/>
      <c r="BT24" s="14"/>
      <c r="BV24" s="59"/>
      <c r="BZ24" s="59"/>
      <c r="CK24" s="60"/>
    </row>
    <row r="25" spans="1:89" x14ac:dyDescent="0.3">
      <c r="A25" s="23"/>
      <c r="B25" s="23"/>
      <c r="H25" s="14"/>
      <c r="I25" s="23"/>
      <c r="O25" s="14"/>
      <c r="W25" s="23"/>
      <c r="AC25" s="14"/>
      <c r="AJ25" s="14"/>
      <c r="AR25" s="23"/>
      <c r="AX25" s="14"/>
      <c r="AY25" s="23"/>
      <c r="BO25" s="23"/>
      <c r="BS25" s="14"/>
      <c r="BT25" s="14"/>
      <c r="BV25" s="59"/>
      <c r="BZ25" s="59"/>
      <c r="CK25" s="60"/>
    </row>
    <row r="26" spans="1:89" x14ac:dyDescent="0.3">
      <c r="A26" s="23"/>
      <c r="B26" s="23"/>
      <c r="H26" s="14"/>
      <c r="I26" s="23"/>
      <c r="O26" s="14"/>
      <c r="W26" s="23"/>
      <c r="AC26" s="14"/>
      <c r="AJ26" s="14"/>
      <c r="AR26" s="23"/>
      <c r="AX26" s="14"/>
      <c r="AY26" s="23"/>
      <c r="BO26" s="23"/>
      <c r="BS26" s="14"/>
      <c r="BT26" s="14"/>
      <c r="BV26" s="270" t="s">
        <v>123</v>
      </c>
      <c r="BW26" s="271"/>
      <c r="BX26" s="271"/>
      <c r="BY26" s="272"/>
      <c r="BZ26" s="242" t="s">
        <v>124</v>
      </c>
      <c r="CA26" s="243"/>
      <c r="CB26" s="243"/>
      <c r="CC26" s="243"/>
      <c r="CD26" s="243"/>
      <c r="CE26" s="243"/>
      <c r="CF26" s="243"/>
      <c r="CG26" s="243"/>
      <c r="CH26" s="243"/>
      <c r="CI26" s="243"/>
      <c r="CJ26" s="243"/>
      <c r="CK26" s="244"/>
    </row>
    <row r="27" spans="1:89" x14ac:dyDescent="0.3">
      <c r="A27" s="23"/>
      <c r="B27" s="23"/>
      <c r="H27" s="14"/>
      <c r="I27" s="23"/>
      <c r="O27" s="14"/>
      <c r="W27" s="23"/>
      <c r="AC27" s="14"/>
      <c r="AJ27" s="14"/>
      <c r="AR27" s="23"/>
      <c r="AX27" s="14"/>
      <c r="AY27" s="23"/>
      <c r="AZ27" s="16" t="s">
        <v>487</v>
      </c>
      <c r="BO27" s="23"/>
      <c r="BS27" s="14"/>
      <c r="BT27" s="14"/>
      <c r="BV27" s="270" t="s">
        <v>126</v>
      </c>
      <c r="BW27" s="271"/>
      <c r="BX27" s="271"/>
      <c r="BY27" s="272"/>
      <c r="BZ27" s="242" t="s">
        <v>488</v>
      </c>
      <c r="CA27" s="243"/>
      <c r="CB27" s="243"/>
      <c r="CC27" s="243"/>
      <c r="CD27" s="243"/>
      <c r="CE27" s="243"/>
      <c r="CF27" s="243"/>
      <c r="CG27" s="243"/>
      <c r="CH27" s="243"/>
      <c r="CI27" s="243"/>
      <c r="CJ27" s="243"/>
      <c r="CK27" s="244"/>
    </row>
    <row r="28" spans="1:89" x14ac:dyDescent="0.3">
      <c r="A28" s="23"/>
      <c r="B28" s="23"/>
      <c r="H28" s="14"/>
      <c r="I28" s="23"/>
      <c r="O28" s="14"/>
      <c r="W28" s="23"/>
      <c r="AC28" s="14"/>
      <c r="AJ28" s="14"/>
      <c r="AR28" s="23"/>
      <c r="AX28" s="14"/>
      <c r="AY28" s="23"/>
      <c r="BA28" s="8" t="s">
        <v>489</v>
      </c>
      <c r="BO28" s="23"/>
      <c r="BS28" s="14"/>
      <c r="BT28" s="14"/>
      <c r="BV28" s="270" t="s">
        <v>128</v>
      </c>
      <c r="BW28" s="271"/>
      <c r="BX28" s="271"/>
      <c r="BY28" s="272"/>
      <c r="BZ28" s="57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58"/>
    </row>
    <row r="29" spans="1:89" x14ac:dyDescent="0.3">
      <c r="A29" s="23"/>
      <c r="B29" s="23"/>
      <c r="H29" s="14"/>
      <c r="I29" s="23"/>
      <c r="O29" s="14"/>
      <c r="W29" s="23"/>
      <c r="AC29" s="14"/>
      <c r="AJ29" s="14"/>
      <c r="AR29" s="23"/>
      <c r="AX29" s="14"/>
      <c r="AY29" s="23"/>
      <c r="BO29" s="23"/>
      <c r="BS29" s="14"/>
      <c r="BT29" s="14"/>
      <c r="BV29" s="59"/>
      <c r="BZ29" s="59"/>
      <c r="CK29" s="60"/>
    </row>
    <row r="30" spans="1:89" x14ac:dyDescent="0.3">
      <c r="A30" s="23"/>
      <c r="B30" s="23"/>
      <c r="H30" s="14"/>
      <c r="I30" s="23"/>
      <c r="O30" s="14"/>
      <c r="W30" s="23"/>
      <c r="AC30" s="14"/>
      <c r="AJ30" s="14"/>
      <c r="AR30" s="23"/>
      <c r="AX30" s="14"/>
      <c r="AY30" s="23"/>
      <c r="BO30" s="23"/>
      <c r="BS30" s="14"/>
      <c r="BT30" s="14"/>
      <c r="BV30" s="59"/>
      <c r="BZ30" s="59"/>
      <c r="CK30" s="60"/>
    </row>
    <row r="31" spans="1:89" x14ac:dyDescent="0.3">
      <c r="A31" s="23"/>
      <c r="B31" s="23"/>
      <c r="H31" s="14"/>
      <c r="I31" s="23"/>
      <c r="O31" s="14"/>
      <c r="W31" s="23"/>
      <c r="AC31" s="14"/>
      <c r="AJ31" s="14"/>
      <c r="AR31" s="23"/>
      <c r="AX31" s="14"/>
      <c r="AY31" s="23"/>
      <c r="AZ31" s="16" t="s">
        <v>490</v>
      </c>
      <c r="BO31" s="23"/>
      <c r="BS31" s="14"/>
      <c r="BT31" s="14"/>
      <c r="BV31" s="59"/>
      <c r="BZ31" s="59"/>
      <c r="CK31" s="60"/>
    </row>
    <row r="32" spans="1:89" x14ac:dyDescent="0.3">
      <c r="A32" s="23"/>
      <c r="B32" s="23"/>
      <c r="H32" s="14"/>
      <c r="I32" s="23"/>
      <c r="O32" s="14"/>
      <c r="W32" s="23"/>
      <c r="AC32" s="14"/>
      <c r="AJ32" s="14"/>
      <c r="AR32" s="23"/>
      <c r="AX32" s="14"/>
      <c r="AY32" s="23"/>
      <c r="BA32" s="8" t="s">
        <v>491</v>
      </c>
      <c r="BO32" s="23"/>
      <c r="BS32" s="14"/>
      <c r="BT32" s="14"/>
      <c r="BV32" s="59"/>
      <c r="BZ32" s="59"/>
      <c r="CK32" s="60"/>
    </row>
    <row r="33" spans="1:89" x14ac:dyDescent="0.3">
      <c r="A33" s="23"/>
      <c r="B33" s="23"/>
      <c r="H33" s="14"/>
      <c r="I33" s="23"/>
      <c r="O33" s="14"/>
      <c r="W33" s="23"/>
      <c r="AC33" s="14"/>
      <c r="AJ33" s="14"/>
      <c r="AR33" s="23"/>
      <c r="AX33" s="14"/>
      <c r="AY33" s="23"/>
      <c r="BO33" s="23"/>
      <c r="BS33" s="14"/>
      <c r="BT33" s="14"/>
      <c r="BV33" s="59"/>
      <c r="BZ33" s="59"/>
      <c r="CK33" s="60"/>
    </row>
    <row r="34" spans="1:89" x14ac:dyDescent="0.3">
      <c r="A34" s="23"/>
      <c r="B34" s="23"/>
      <c r="H34" s="14"/>
      <c r="I34" s="23"/>
      <c r="O34" s="14"/>
      <c r="W34" s="23"/>
      <c r="AC34" s="14"/>
      <c r="AJ34" s="14"/>
      <c r="AR34" s="23"/>
      <c r="AX34" s="14"/>
      <c r="AY34" s="23"/>
      <c r="BO34" s="23"/>
      <c r="BS34" s="14"/>
      <c r="BT34" s="14"/>
      <c r="BV34" s="59"/>
      <c r="BZ34" s="59"/>
      <c r="CK34" s="60"/>
    </row>
    <row r="35" spans="1:89" x14ac:dyDescent="0.3">
      <c r="A35" s="23"/>
      <c r="B35" s="23"/>
      <c r="H35" s="14"/>
      <c r="I35" s="23"/>
      <c r="O35" s="14"/>
      <c r="W35" s="23"/>
      <c r="AC35" s="14"/>
      <c r="AJ35" s="14"/>
      <c r="AR35" s="23"/>
      <c r="AX35" s="14"/>
      <c r="AY35" s="23"/>
      <c r="AZ35" s="16" t="s">
        <v>492</v>
      </c>
      <c r="BO35" s="23"/>
      <c r="BS35" s="14"/>
      <c r="BT35" s="14"/>
      <c r="BV35" s="59"/>
      <c r="BZ35" s="59"/>
      <c r="CK35" s="60"/>
    </row>
    <row r="36" spans="1:89" x14ac:dyDescent="0.3">
      <c r="A36" s="23"/>
      <c r="B36" s="23"/>
      <c r="H36" s="14"/>
      <c r="I36" s="23"/>
      <c r="O36" s="14"/>
      <c r="W36" s="23"/>
      <c r="AC36" s="14"/>
      <c r="AJ36" s="14"/>
      <c r="AR36" s="23"/>
      <c r="AX36" s="14"/>
      <c r="AY36" s="23"/>
      <c r="BA36" s="8" t="s">
        <v>493</v>
      </c>
      <c r="BO36" s="23"/>
      <c r="BS36" s="14"/>
      <c r="BT36" s="14"/>
      <c r="BV36" s="59"/>
      <c r="BZ36" s="59"/>
      <c r="CK36" s="60"/>
    </row>
    <row r="37" spans="1:89" x14ac:dyDescent="0.3">
      <c r="A37" s="23"/>
      <c r="B37" s="23"/>
      <c r="H37" s="14"/>
      <c r="I37" s="23"/>
      <c r="O37" s="14"/>
      <c r="W37" s="23"/>
      <c r="AC37" s="14"/>
      <c r="AJ37" s="14"/>
      <c r="AR37" s="23"/>
      <c r="AX37" s="14"/>
      <c r="AY37" s="23"/>
      <c r="AZ37" s="16"/>
      <c r="BO37" s="23"/>
      <c r="BS37" s="14"/>
      <c r="BT37" s="14"/>
      <c r="BV37" s="59"/>
      <c r="BZ37" s="59"/>
      <c r="CK37" s="60"/>
    </row>
    <row r="38" spans="1:89" x14ac:dyDescent="0.3">
      <c r="A38" s="23"/>
      <c r="B38" s="23"/>
      <c r="H38" s="14"/>
      <c r="I38" s="23"/>
      <c r="O38" s="14"/>
      <c r="W38" s="23"/>
      <c r="AC38" s="14"/>
      <c r="AJ38" s="14"/>
      <c r="AR38" s="23"/>
      <c r="AX38" s="14"/>
      <c r="AY38" s="23"/>
      <c r="BO38" s="23"/>
      <c r="BS38" s="14"/>
      <c r="BT38" s="14"/>
      <c r="BV38" s="59"/>
      <c r="BZ38" s="59"/>
      <c r="CK38" s="60"/>
    </row>
    <row r="39" spans="1:89" x14ac:dyDescent="0.3">
      <c r="A39" s="23"/>
      <c r="B39" s="23"/>
      <c r="H39" s="14"/>
      <c r="I39" s="23"/>
      <c r="O39" s="14"/>
      <c r="W39" s="23"/>
      <c r="AC39" s="14"/>
      <c r="AJ39" s="14"/>
      <c r="AR39" s="23"/>
      <c r="AX39" s="14"/>
      <c r="AY39" s="23"/>
      <c r="AZ39" s="16"/>
      <c r="BO39" s="23"/>
      <c r="BS39" s="14"/>
      <c r="BT39" s="14"/>
      <c r="BV39" s="59"/>
      <c r="BZ39" s="59"/>
      <c r="CK39" s="60"/>
    </row>
    <row r="40" spans="1:89" x14ac:dyDescent="0.3">
      <c r="A40" s="23"/>
      <c r="B40" s="23"/>
      <c r="H40" s="14"/>
      <c r="I40" s="23"/>
      <c r="O40" s="14"/>
      <c r="W40" s="23"/>
      <c r="AC40" s="14"/>
      <c r="AJ40" s="14"/>
      <c r="AR40" s="23"/>
      <c r="AX40" s="14"/>
      <c r="AY40" s="23"/>
      <c r="BO40" s="23"/>
      <c r="BS40" s="14"/>
      <c r="BT40" s="14"/>
      <c r="BV40" s="59"/>
      <c r="BZ40" s="59"/>
      <c r="CK40" s="60"/>
    </row>
    <row r="41" spans="1:89" x14ac:dyDescent="0.3">
      <c r="A41" s="23"/>
      <c r="B41" s="23"/>
      <c r="H41" s="14"/>
      <c r="I41" s="23"/>
      <c r="O41" s="14"/>
      <c r="W41" s="23"/>
      <c r="AC41" s="14"/>
      <c r="AJ41" s="14"/>
      <c r="AR41" s="23"/>
      <c r="AX41" s="14"/>
      <c r="AY41" s="23"/>
      <c r="BO41" s="23"/>
      <c r="BS41" s="14"/>
      <c r="BT41" s="14"/>
      <c r="BV41" s="59"/>
      <c r="BZ41" s="59"/>
      <c r="CK41" s="60"/>
    </row>
    <row r="42" spans="1:89" x14ac:dyDescent="0.3">
      <c r="A42" s="23"/>
      <c r="B42" s="23"/>
      <c r="H42" s="14"/>
      <c r="I42" s="23"/>
      <c r="O42" s="14"/>
      <c r="W42" s="23"/>
      <c r="AC42" s="14"/>
      <c r="AJ42" s="14"/>
      <c r="AR42" s="23"/>
      <c r="AX42" s="14"/>
      <c r="AY42" s="23"/>
      <c r="BO42" s="23"/>
      <c r="BS42" s="14"/>
      <c r="BT42" s="14"/>
      <c r="BV42" s="59"/>
      <c r="BZ42" s="59"/>
      <c r="CK42" s="60"/>
    </row>
    <row r="43" spans="1:89" x14ac:dyDescent="0.3">
      <c r="A43" s="23"/>
      <c r="B43" s="23"/>
      <c r="H43" s="14"/>
      <c r="I43" s="23"/>
      <c r="O43" s="14"/>
      <c r="W43" s="23"/>
      <c r="AC43" s="14"/>
      <c r="AJ43" s="14"/>
      <c r="AR43" s="23"/>
      <c r="AX43" s="14"/>
      <c r="AY43" s="23"/>
      <c r="BO43" s="23"/>
      <c r="BS43" s="14"/>
      <c r="BT43" s="14"/>
      <c r="BV43" s="59"/>
      <c r="BZ43" s="59"/>
      <c r="CK43" s="60"/>
    </row>
    <row r="44" spans="1:89" x14ac:dyDescent="0.3">
      <c r="A44" s="23"/>
      <c r="B44" s="23"/>
      <c r="H44" s="14"/>
      <c r="I44" s="23"/>
      <c r="O44" s="14"/>
      <c r="W44" s="23"/>
      <c r="AC44" s="14"/>
      <c r="AJ44" s="14"/>
      <c r="AR44" s="23"/>
      <c r="AX44" s="14"/>
      <c r="AY44" s="23"/>
      <c r="BO44" s="23"/>
      <c r="BS44" s="14"/>
      <c r="BT44" s="14"/>
      <c r="BV44" s="59"/>
      <c r="BZ44" s="59"/>
      <c r="CK44" s="60"/>
    </row>
    <row r="45" spans="1:89" x14ac:dyDescent="0.3">
      <c r="A45" s="23"/>
      <c r="B45" s="23"/>
      <c r="H45" s="14"/>
      <c r="I45" s="23"/>
      <c r="O45" s="14"/>
      <c r="W45" s="23"/>
      <c r="AC45" s="14"/>
      <c r="AJ45" s="14"/>
      <c r="AR45" s="23"/>
      <c r="AX45" s="14"/>
      <c r="AY45" s="23"/>
      <c r="BO45" s="23"/>
      <c r="BS45" s="14"/>
      <c r="BT45" s="14"/>
      <c r="BV45" s="59"/>
      <c r="BZ45" s="59"/>
      <c r="CK45" s="60"/>
    </row>
    <row r="46" spans="1:89" x14ac:dyDescent="0.3">
      <c r="A46" s="23"/>
      <c r="B46" s="23"/>
      <c r="H46" s="14"/>
      <c r="I46" s="23"/>
      <c r="O46" s="14"/>
      <c r="W46" s="23"/>
      <c r="AC46" s="14"/>
      <c r="AJ46" s="14"/>
      <c r="AR46" s="23"/>
      <c r="AX46" s="14"/>
      <c r="AY46" s="23"/>
      <c r="BO46" s="23"/>
      <c r="BS46" s="14"/>
      <c r="BT46" s="14"/>
      <c r="BV46" s="59"/>
      <c r="BZ46" s="59"/>
      <c r="CK46" s="60"/>
    </row>
    <row r="47" spans="1:89" x14ac:dyDescent="0.3">
      <c r="A47" s="23"/>
      <c r="B47" s="23"/>
      <c r="H47" s="14"/>
      <c r="I47" s="23"/>
      <c r="O47" s="14"/>
      <c r="W47" s="23"/>
      <c r="AC47" s="14"/>
      <c r="AJ47" s="14"/>
      <c r="AR47" s="23"/>
      <c r="AX47" s="14"/>
      <c r="AY47" s="23"/>
      <c r="AZ47" s="16"/>
      <c r="BO47" s="23"/>
      <c r="BS47" s="14"/>
      <c r="BT47" s="14"/>
      <c r="BV47" s="59"/>
      <c r="BZ47" s="59"/>
      <c r="CK47" s="60"/>
    </row>
    <row r="48" spans="1:89" x14ac:dyDescent="0.3">
      <c r="A48" s="23"/>
      <c r="B48" s="23"/>
      <c r="H48" s="14"/>
      <c r="I48" s="23"/>
      <c r="O48" s="14"/>
      <c r="W48" s="23"/>
      <c r="AC48" s="14"/>
      <c r="AJ48" s="14"/>
      <c r="AR48" s="23"/>
      <c r="AX48" s="14"/>
      <c r="AY48" s="23"/>
      <c r="AZ48" s="16" t="s">
        <v>494</v>
      </c>
      <c r="BO48" s="23"/>
      <c r="BS48" s="14"/>
      <c r="BT48" s="14"/>
      <c r="BV48" s="59"/>
      <c r="BZ48" s="59"/>
      <c r="CK48" s="60"/>
    </row>
    <row r="49" spans="1:89" x14ac:dyDescent="0.3">
      <c r="A49" s="23"/>
      <c r="B49" s="23"/>
      <c r="H49" s="14"/>
      <c r="I49" s="23"/>
      <c r="O49" s="14"/>
      <c r="W49" s="23"/>
      <c r="AC49" s="14"/>
      <c r="AJ49" s="14"/>
      <c r="AR49" s="23"/>
      <c r="AX49" s="14"/>
      <c r="AY49" s="23"/>
      <c r="BA49" s="8" t="s">
        <v>495</v>
      </c>
      <c r="BO49" s="23"/>
      <c r="BS49" s="14"/>
      <c r="BT49" s="14"/>
      <c r="BV49" s="59"/>
      <c r="BZ49" s="59"/>
      <c r="CK49" s="60"/>
    </row>
    <row r="50" spans="1:89" x14ac:dyDescent="0.3">
      <c r="A50" s="23"/>
      <c r="B50" s="23"/>
      <c r="H50" s="14"/>
      <c r="I50" s="23"/>
      <c r="O50" s="14"/>
      <c r="W50" s="23"/>
      <c r="AC50" s="14"/>
      <c r="AJ50" s="14"/>
      <c r="AR50" s="23"/>
      <c r="AX50" s="14"/>
      <c r="AY50" s="23"/>
      <c r="BO50" s="23"/>
      <c r="BS50" s="14"/>
      <c r="BT50" s="14"/>
      <c r="BV50" s="59"/>
      <c r="BZ50" s="59"/>
      <c r="CK50" s="60"/>
    </row>
    <row r="51" spans="1:89" x14ac:dyDescent="0.3">
      <c r="A51" s="23"/>
      <c r="B51" s="23"/>
      <c r="H51" s="14"/>
      <c r="I51" s="23"/>
      <c r="O51" s="14"/>
      <c r="W51" s="23"/>
      <c r="AC51" s="14"/>
      <c r="AJ51" s="14"/>
      <c r="AR51" s="23"/>
      <c r="AX51" s="14"/>
      <c r="AY51" s="23"/>
      <c r="BO51" s="23"/>
      <c r="BS51" s="14"/>
      <c r="BT51" s="14"/>
      <c r="BV51" s="59"/>
      <c r="BZ51" s="59"/>
      <c r="CK51" s="60"/>
    </row>
    <row r="52" spans="1:89" x14ac:dyDescent="0.3">
      <c r="A52" s="23"/>
      <c r="B52" s="23"/>
      <c r="H52" s="14"/>
      <c r="I52" s="23"/>
      <c r="O52" s="14"/>
      <c r="W52" s="23"/>
      <c r="AC52" s="14"/>
      <c r="AJ52" s="14"/>
      <c r="AR52" s="23"/>
      <c r="AX52" s="14"/>
      <c r="AY52" s="23"/>
      <c r="BO52" s="23"/>
      <c r="BS52" s="14"/>
      <c r="BT52" s="14"/>
      <c r="BV52" s="59"/>
      <c r="BZ52" s="59"/>
      <c r="CK52" s="60"/>
    </row>
    <row r="53" spans="1:89" x14ac:dyDescent="0.3">
      <c r="A53" s="23"/>
      <c r="B53" s="23"/>
      <c r="H53" s="14"/>
      <c r="I53" s="23"/>
      <c r="O53" s="14"/>
      <c r="W53" s="23"/>
      <c r="AC53" s="14"/>
      <c r="AJ53" s="14"/>
      <c r="AR53" s="23"/>
      <c r="AX53" s="14"/>
      <c r="AY53" s="23"/>
      <c r="AZ53" s="16" t="s">
        <v>496</v>
      </c>
      <c r="BO53" s="23"/>
      <c r="BS53" s="14"/>
      <c r="BT53" s="14"/>
      <c r="BV53" s="59"/>
      <c r="BZ53" s="59"/>
      <c r="CK53" s="60"/>
    </row>
    <row r="54" spans="1:89" x14ac:dyDescent="0.3">
      <c r="A54" s="23"/>
      <c r="B54" s="23"/>
      <c r="H54" s="14"/>
      <c r="I54" s="23"/>
      <c r="O54" s="14"/>
      <c r="W54" s="23"/>
      <c r="AC54" s="14"/>
      <c r="AJ54" s="14"/>
      <c r="AR54" s="23"/>
      <c r="AX54" s="14"/>
      <c r="AY54" s="23"/>
      <c r="BA54" s="8" t="s">
        <v>497</v>
      </c>
      <c r="BO54" s="23"/>
      <c r="BS54" s="14"/>
      <c r="BT54" s="14"/>
      <c r="BV54" s="59"/>
      <c r="BZ54" s="59"/>
      <c r="CK54" s="60"/>
    </row>
    <row r="55" spans="1:89" x14ac:dyDescent="0.3">
      <c r="A55" s="23"/>
      <c r="B55" s="23"/>
      <c r="H55" s="14"/>
      <c r="I55" s="23"/>
      <c r="O55" s="14"/>
      <c r="W55" s="23"/>
      <c r="AC55" s="14"/>
      <c r="AJ55" s="14"/>
      <c r="AR55" s="23"/>
      <c r="AX55" s="14"/>
      <c r="AY55" s="23"/>
      <c r="BO55" s="23"/>
      <c r="BS55" s="14"/>
      <c r="BT55" s="14"/>
      <c r="BV55" s="59"/>
      <c r="BZ55" s="59"/>
      <c r="CK55" s="60"/>
    </row>
    <row r="56" spans="1:89" x14ac:dyDescent="0.3">
      <c r="A56" s="23"/>
      <c r="B56" s="23"/>
      <c r="H56" s="14"/>
      <c r="I56" s="23"/>
      <c r="O56" s="14"/>
      <c r="W56" s="23"/>
      <c r="AC56" s="14"/>
      <c r="AJ56" s="14"/>
      <c r="AR56" s="23"/>
      <c r="AX56" s="14"/>
      <c r="AY56" s="23"/>
      <c r="BO56" s="23"/>
      <c r="BS56" s="14"/>
      <c r="BT56" s="14"/>
      <c r="BV56" s="59"/>
      <c r="BZ56" s="59"/>
      <c r="CK56" s="60"/>
    </row>
    <row r="57" spans="1:89" x14ac:dyDescent="0.3">
      <c r="A57" s="23"/>
      <c r="B57" s="23"/>
      <c r="H57" s="14"/>
      <c r="I57" s="23"/>
      <c r="O57" s="14"/>
      <c r="W57" s="23"/>
      <c r="AC57" s="14"/>
      <c r="AJ57" s="14"/>
      <c r="AR57" s="23"/>
      <c r="AX57" s="14"/>
      <c r="AY57" s="23"/>
      <c r="AZ57" s="16" t="s">
        <v>512</v>
      </c>
      <c r="BO57" s="23"/>
      <c r="BS57" s="14"/>
      <c r="BT57" s="14"/>
      <c r="BV57" s="59"/>
      <c r="BZ57" s="59"/>
      <c r="CK57" s="60"/>
    </row>
    <row r="58" spans="1:89" x14ac:dyDescent="0.3">
      <c r="A58" s="23"/>
      <c r="B58" s="23"/>
      <c r="H58" s="14"/>
      <c r="I58" s="23"/>
      <c r="O58" s="14"/>
      <c r="W58" s="23"/>
      <c r="AC58" s="14"/>
      <c r="AJ58" s="14"/>
      <c r="AR58" s="23"/>
      <c r="AX58" s="14"/>
      <c r="AY58" s="23"/>
      <c r="BA58" s="8" t="s">
        <v>499</v>
      </c>
      <c r="BO58" s="23"/>
      <c r="BS58" s="14"/>
      <c r="BT58" s="14"/>
      <c r="BV58" s="59"/>
      <c r="BZ58" s="59"/>
      <c r="CK58" s="60"/>
    </row>
    <row r="59" spans="1:89" x14ac:dyDescent="0.3">
      <c r="A59" s="23"/>
      <c r="B59" s="23"/>
      <c r="H59" s="14"/>
      <c r="I59" s="23"/>
      <c r="O59" s="14"/>
      <c r="W59" s="23"/>
      <c r="AC59" s="14"/>
      <c r="AJ59" s="14"/>
      <c r="AR59" s="23"/>
      <c r="AX59" s="14"/>
      <c r="AY59" s="23"/>
      <c r="BO59" s="23"/>
      <c r="BS59" s="14"/>
      <c r="BT59" s="14"/>
      <c r="BV59" s="59"/>
      <c r="BZ59" s="59"/>
      <c r="CK59" s="60"/>
    </row>
    <row r="60" spans="1:89" x14ac:dyDescent="0.3">
      <c r="A60" s="23"/>
      <c r="B60" s="23"/>
      <c r="H60" s="14"/>
      <c r="I60" s="23"/>
      <c r="O60" s="14"/>
      <c r="W60" s="23"/>
      <c r="AC60" s="14"/>
      <c r="AJ60" s="14"/>
      <c r="AR60" s="23"/>
      <c r="AX60" s="14"/>
      <c r="AY60" s="23"/>
      <c r="BO60" s="23"/>
      <c r="BS60" s="14"/>
      <c r="BT60" s="14"/>
      <c r="BV60" s="59"/>
      <c r="BZ60" s="59"/>
      <c r="CK60" s="60"/>
    </row>
    <row r="61" spans="1:89" x14ac:dyDescent="0.3">
      <c r="A61" s="23"/>
      <c r="B61" s="23"/>
      <c r="H61" s="14"/>
      <c r="I61" s="23"/>
      <c r="O61" s="14"/>
      <c r="W61" s="23"/>
      <c r="AC61" s="14"/>
      <c r="AJ61" s="14"/>
      <c r="AR61" s="23"/>
      <c r="AX61" s="14"/>
      <c r="AY61" s="23"/>
      <c r="BO61" s="23"/>
      <c r="BS61" s="14"/>
      <c r="BT61" s="14"/>
      <c r="BV61" s="59"/>
      <c r="BZ61" s="59"/>
      <c r="CK61" s="60"/>
    </row>
    <row r="62" spans="1:89" x14ac:dyDescent="0.3">
      <c r="A62" s="23"/>
      <c r="B62" s="23"/>
      <c r="H62" s="14"/>
      <c r="I62" s="23"/>
      <c r="O62" s="14"/>
      <c r="W62" s="23"/>
      <c r="AC62" s="14"/>
      <c r="AJ62" s="14"/>
      <c r="AR62" s="23"/>
      <c r="AX62" s="14"/>
      <c r="AY62" s="23"/>
      <c r="BO62" s="23"/>
      <c r="BS62" s="14"/>
      <c r="BT62" s="14"/>
      <c r="BV62" s="59"/>
      <c r="BZ62" s="59"/>
      <c r="CK62" s="60"/>
    </row>
    <row r="63" spans="1:89" x14ac:dyDescent="0.3">
      <c r="A63" s="23"/>
      <c r="B63" s="23"/>
      <c r="H63" s="14"/>
      <c r="I63" s="23"/>
      <c r="O63" s="14"/>
      <c r="W63" s="23"/>
      <c r="AC63" s="14"/>
      <c r="AJ63" s="14"/>
      <c r="AR63" s="23"/>
      <c r="AX63" s="14"/>
      <c r="AY63" s="23"/>
      <c r="BO63" s="23"/>
      <c r="BS63" s="14"/>
      <c r="BT63" s="14"/>
      <c r="BV63" s="59"/>
      <c r="BZ63" s="59"/>
      <c r="CK63" s="60"/>
    </row>
    <row r="64" spans="1:89" x14ac:dyDescent="0.3">
      <c r="A64" s="23"/>
      <c r="B64" s="23"/>
      <c r="H64" s="14"/>
      <c r="I64" s="23"/>
      <c r="O64" s="14"/>
      <c r="W64" s="23"/>
      <c r="AC64" s="14"/>
      <c r="AJ64" s="14"/>
      <c r="AR64" s="23"/>
      <c r="AX64" s="14"/>
      <c r="AY64" s="23"/>
      <c r="BO64" s="23"/>
      <c r="BS64" s="14"/>
      <c r="BT64" s="14"/>
      <c r="BV64" s="59"/>
      <c r="BZ64" s="59"/>
      <c r="CK64" s="60"/>
    </row>
    <row r="65" spans="1:89" x14ac:dyDescent="0.3">
      <c r="A65" s="23"/>
      <c r="B65" s="23"/>
      <c r="H65" s="14"/>
      <c r="I65" s="23"/>
      <c r="O65" s="14"/>
      <c r="W65" s="23"/>
      <c r="AC65" s="14"/>
      <c r="AJ65" s="14"/>
      <c r="AR65" s="23"/>
      <c r="AX65" s="14"/>
      <c r="AY65" s="23"/>
      <c r="BO65" s="23"/>
      <c r="BS65" s="14"/>
      <c r="BT65" s="14"/>
      <c r="BV65" s="59"/>
      <c r="BZ65" s="59"/>
      <c r="CK65" s="60"/>
    </row>
    <row r="66" spans="1:89" x14ac:dyDescent="0.3">
      <c r="A66" s="23"/>
      <c r="B66" s="23"/>
      <c r="H66" s="14"/>
      <c r="I66" s="23"/>
      <c r="O66" s="14"/>
      <c r="W66" s="23"/>
      <c r="AC66" s="14"/>
      <c r="AJ66" s="14"/>
      <c r="AR66" s="23"/>
      <c r="AX66" s="14"/>
      <c r="AY66" s="23"/>
      <c r="AZ66" s="16" t="s">
        <v>500</v>
      </c>
      <c r="BO66" s="23"/>
      <c r="BS66" s="14"/>
      <c r="BT66" s="14"/>
      <c r="BV66" s="59"/>
      <c r="BZ66" s="59"/>
      <c r="CK66" s="60"/>
    </row>
    <row r="67" spans="1:89" x14ac:dyDescent="0.3">
      <c r="A67" s="23"/>
      <c r="B67" s="23"/>
      <c r="H67" s="14"/>
      <c r="I67" s="23"/>
      <c r="O67" s="14"/>
      <c r="W67" s="23"/>
      <c r="AC67" s="14"/>
      <c r="AJ67" s="14"/>
      <c r="AR67" s="23"/>
      <c r="AX67" s="14"/>
      <c r="AY67" s="23"/>
      <c r="BA67" s="8" t="s">
        <v>501</v>
      </c>
      <c r="BO67" s="23"/>
      <c r="BS67" s="14"/>
      <c r="BT67" s="14"/>
      <c r="BV67" s="59"/>
      <c r="BZ67" s="59"/>
      <c r="CK67" s="60"/>
    </row>
    <row r="68" spans="1:89" x14ac:dyDescent="0.3">
      <c r="A68" s="23"/>
      <c r="B68" s="23"/>
      <c r="H68" s="14"/>
      <c r="I68" s="23"/>
      <c r="O68" s="14"/>
      <c r="W68" s="23"/>
      <c r="AC68" s="14"/>
      <c r="AJ68" s="14"/>
      <c r="AR68" s="23"/>
      <c r="AX68" s="14"/>
      <c r="AY68" s="23"/>
      <c r="BO68" s="23"/>
      <c r="BS68" s="14"/>
      <c r="BT68" s="14"/>
      <c r="BV68" s="59"/>
      <c r="BZ68" s="59"/>
      <c r="CK68" s="60"/>
    </row>
    <row r="69" spans="1:89" x14ac:dyDescent="0.3">
      <c r="A69" s="23"/>
      <c r="B69" s="23"/>
      <c r="H69" s="14"/>
      <c r="I69" s="23"/>
      <c r="O69" s="14"/>
      <c r="W69" s="23"/>
      <c r="AC69" s="14"/>
      <c r="AJ69" s="14"/>
      <c r="AR69" s="23"/>
      <c r="AX69" s="14"/>
      <c r="AY69" s="23"/>
      <c r="BO69" s="23"/>
      <c r="BS69" s="14"/>
      <c r="BT69" s="14"/>
      <c r="BV69" s="59"/>
      <c r="BZ69" s="59"/>
      <c r="CK69" s="60"/>
    </row>
    <row r="70" spans="1:89" x14ac:dyDescent="0.3">
      <c r="A70" s="23"/>
      <c r="B70" s="23"/>
      <c r="H70" s="14"/>
      <c r="I70" s="23"/>
      <c r="O70" s="14"/>
      <c r="W70" s="23"/>
      <c r="AC70" s="14"/>
      <c r="AJ70" s="14"/>
      <c r="AR70" s="23"/>
      <c r="AX70" s="14"/>
      <c r="AY70" s="23"/>
      <c r="BO70" s="23"/>
      <c r="BS70" s="14"/>
      <c r="BT70" s="14"/>
      <c r="BV70" s="59"/>
      <c r="BZ70" s="59"/>
      <c r="CK70" s="60"/>
    </row>
    <row r="71" spans="1:89" x14ac:dyDescent="0.3">
      <c r="A71" s="23"/>
      <c r="B71" s="23"/>
      <c r="H71" s="14"/>
      <c r="I71" s="23"/>
      <c r="O71" s="14"/>
      <c r="W71" s="23"/>
      <c r="AC71" s="14"/>
      <c r="AJ71" s="14"/>
      <c r="AR71" s="23"/>
      <c r="AX71" s="14"/>
      <c r="AY71" s="23"/>
      <c r="AZ71" s="16" t="s">
        <v>502</v>
      </c>
      <c r="BO71" s="23"/>
      <c r="BS71" s="14"/>
      <c r="BT71" s="14"/>
      <c r="BV71" s="59"/>
      <c r="BZ71" s="59"/>
      <c r="CK71" s="60"/>
    </row>
    <row r="72" spans="1:89" x14ac:dyDescent="0.3">
      <c r="A72" s="23"/>
      <c r="B72" s="23"/>
      <c r="H72" s="14"/>
      <c r="I72" s="23"/>
      <c r="O72" s="14"/>
      <c r="W72" s="23"/>
      <c r="AC72" s="14"/>
      <c r="AJ72" s="14"/>
      <c r="AR72" s="23"/>
      <c r="AX72" s="14"/>
      <c r="AY72" s="23"/>
      <c r="BA72" s="8" t="s">
        <v>503</v>
      </c>
      <c r="BO72" s="23"/>
      <c r="BS72" s="14"/>
      <c r="BT72" s="14"/>
      <c r="BV72" s="59"/>
      <c r="BZ72" s="59"/>
      <c r="CK72" s="60"/>
    </row>
    <row r="73" spans="1:89" x14ac:dyDescent="0.3">
      <c r="A73" s="23"/>
      <c r="B73" s="23"/>
      <c r="H73" s="14"/>
      <c r="I73" s="23"/>
      <c r="O73" s="14"/>
      <c r="W73" s="23"/>
      <c r="AC73" s="14"/>
      <c r="AJ73" s="14"/>
      <c r="AR73" s="23"/>
      <c r="AX73" s="14"/>
      <c r="AY73" s="23"/>
      <c r="BO73" s="23"/>
      <c r="BS73" s="14"/>
      <c r="BT73" s="14"/>
      <c r="BV73" s="59"/>
      <c r="BZ73" s="59"/>
      <c r="CK73" s="60"/>
    </row>
    <row r="74" spans="1:89" x14ac:dyDescent="0.3">
      <c r="A74" s="23"/>
      <c r="B74" s="23"/>
      <c r="H74" s="14"/>
      <c r="I74" s="23"/>
      <c r="O74" s="14"/>
      <c r="W74" s="23"/>
      <c r="AC74" s="14"/>
      <c r="AJ74" s="14"/>
      <c r="AR74" s="23"/>
      <c r="AX74" s="14"/>
      <c r="AY74" s="23"/>
      <c r="BO74" s="23"/>
      <c r="BS74" s="14"/>
      <c r="BT74" s="14"/>
      <c r="BV74" s="59"/>
      <c r="BZ74" s="59"/>
      <c r="CK74" s="60"/>
    </row>
    <row r="75" spans="1:89" x14ac:dyDescent="0.3">
      <c r="A75" s="23"/>
      <c r="B75" s="23"/>
      <c r="H75" s="14"/>
      <c r="I75" s="23"/>
      <c r="O75" s="14"/>
      <c r="W75" s="23"/>
      <c r="AC75" s="14"/>
      <c r="AJ75" s="14"/>
      <c r="AR75" s="23"/>
      <c r="AX75" s="14"/>
      <c r="AY75" s="23"/>
      <c r="BO75" s="23"/>
      <c r="BS75" s="14"/>
      <c r="BT75" s="14"/>
      <c r="BV75" s="59"/>
      <c r="BZ75" s="59"/>
      <c r="CK75" s="60"/>
    </row>
    <row r="76" spans="1:89" x14ac:dyDescent="0.3">
      <c r="A76" s="23"/>
      <c r="B76" s="23"/>
      <c r="H76" s="14"/>
      <c r="I76" s="23"/>
      <c r="O76" s="14"/>
      <c r="W76" s="23"/>
      <c r="AC76" s="14"/>
      <c r="AJ76" s="14"/>
      <c r="AR76" s="23"/>
      <c r="AX76" s="14"/>
      <c r="AY76" s="23"/>
      <c r="AZ76" s="16" t="s">
        <v>504</v>
      </c>
      <c r="BO76" s="23"/>
      <c r="BS76" s="14"/>
      <c r="BT76" s="14"/>
      <c r="BV76" s="59"/>
      <c r="BZ76" s="59"/>
      <c r="CK76" s="60"/>
    </row>
    <row r="77" spans="1:89" x14ac:dyDescent="0.3">
      <c r="A77" s="23"/>
      <c r="B77" s="23"/>
      <c r="H77" s="14"/>
      <c r="I77" s="23"/>
      <c r="O77" s="14"/>
      <c r="W77" s="23"/>
      <c r="AC77" s="14"/>
      <c r="AJ77" s="14"/>
      <c r="AR77" s="23"/>
      <c r="AX77" s="14"/>
      <c r="AY77" s="23"/>
      <c r="BA77" s="8" t="s">
        <v>505</v>
      </c>
      <c r="BO77" s="23"/>
      <c r="BS77" s="14"/>
      <c r="BT77" s="14"/>
      <c r="BV77" s="59"/>
      <c r="BZ77" s="59"/>
      <c r="CK77" s="60"/>
    </row>
    <row r="78" spans="1:89" x14ac:dyDescent="0.3">
      <c r="A78" s="23"/>
      <c r="B78" s="23"/>
      <c r="H78" s="14"/>
      <c r="I78" s="23"/>
      <c r="O78" s="14"/>
      <c r="W78" s="23"/>
      <c r="AC78" s="14"/>
      <c r="AJ78" s="14"/>
      <c r="AR78" s="23"/>
      <c r="AX78" s="14"/>
      <c r="AY78" s="23"/>
      <c r="BO78" s="23"/>
      <c r="BS78" s="14"/>
      <c r="BT78" s="14"/>
      <c r="BV78" s="59"/>
      <c r="BZ78" s="59"/>
      <c r="CA78" s="91"/>
      <c r="CB78" s="91"/>
      <c r="CC78" s="91"/>
      <c r="CD78" s="91"/>
      <c r="CE78" s="91"/>
      <c r="CF78" s="91"/>
      <c r="CG78" s="91"/>
      <c r="CH78" s="91"/>
      <c r="CK78" s="60"/>
    </row>
    <row r="79" spans="1:89" x14ac:dyDescent="0.3">
      <c r="A79" s="23"/>
      <c r="B79" s="23"/>
      <c r="H79" s="14"/>
      <c r="I79" s="23"/>
      <c r="O79" s="14"/>
      <c r="W79" s="23"/>
      <c r="AC79" s="14"/>
      <c r="AJ79" s="14"/>
      <c r="AR79" s="23"/>
      <c r="AX79" s="14"/>
      <c r="AY79" s="23"/>
      <c r="BO79" s="23"/>
      <c r="BS79" s="14"/>
      <c r="BT79" s="14"/>
      <c r="BV79" s="59"/>
      <c r="BZ79" s="59"/>
      <c r="CA79" s="91" t="s">
        <v>506</v>
      </c>
      <c r="CB79" s="91"/>
      <c r="CC79" s="91"/>
      <c r="CD79" s="91"/>
      <c r="CE79" s="91"/>
      <c r="CF79" s="91"/>
      <c r="CG79" s="91"/>
      <c r="CH79" s="91"/>
      <c r="CK79" s="60"/>
    </row>
    <row r="80" spans="1:89" x14ac:dyDescent="0.3">
      <c r="A80" s="23"/>
      <c r="B80" s="23"/>
      <c r="H80" s="14"/>
      <c r="I80" s="23"/>
      <c r="O80" s="14"/>
      <c r="W80" s="23"/>
      <c r="AC80" s="14"/>
      <c r="AJ80" s="14"/>
      <c r="AR80" s="23"/>
      <c r="AX80" s="14"/>
      <c r="AY80" s="23"/>
      <c r="BO80" s="23"/>
      <c r="BS80" s="14"/>
      <c r="BT80" s="14"/>
      <c r="BV80" s="59"/>
      <c r="BZ80" s="59"/>
      <c r="CA80" s="91" t="s">
        <v>507</v>
      </c>
      <c r="CB80" s="91"/>
      <c r="CC80" s="91"/>
      <c r="CD80" s="91"/>
      <c r="CE80" s="91"/>
      <c r="CF80" s="91"/>
      <c r="CG80" s="91"/>
      <c r="CH80" s="91"/>
      <c r="CK80" s="60"/>
    </row>
    <row r="81" spans="1:89" x14ac:dyDescent="0.3">
      <c r="A81" s="23"/>
      <c r="B81" s="23"/>
      <c r="H81" s="14"/>
      <c r="I81" s="23"/>
      <c r="O81" s="14"/>
      <c r="W81" s="23"/>
      <c r="AC81" s="14"/>
      <c r="AJ81" s="14"/>
      <c r="AR81" s="23"/>
      <c r="AX81" s="14"/>
      <c r="AY81" s="23"/>
      <c r="AZ81" s="16" t="s">
        <v>508</v>
      </c>
      <c r="BO81" s="23"/>
      <c r="BS81" s="14"/>
      <c r="BT81" s="14"/>
      <c r="BV81" s="59"/>
      <c r="BZ81" s="59"/>
      <c r="CA81" s="91"/>
      <c r="CB81" s="91"/>
      <c r="CC81" s="91"/>
      <c r="CD81" s="91"/>
      <c r="CE81" s="91"/>
      <c r="CF81" s="91"/>
      <c r="CG81" s="91"/>
      <c r="CH81" s="91"/>
      <c r="CK81" s="60"/>
    </row>
    <row r="82" spans="1:89" x14ac:dyDescent="0.3">
      <c r="A82" s="23"/>
      <c r="B82" s="23"/>
      <c r="H82" s="14"/>
      <c r="I82" s="23"/>
      <c r="O82" s="14"/>
      <c r="W82" s="23"/>
      <c r="AC82" s="14"/>
      <c r="AJ82" s="14"/>
      <c r="AR82" s="23"/>
      <c r="AX82" s="14"/>
      <c r="AY82" s="23"/>
      <c r="BA82" s="8" t="s">
        <v>509</v>
      </c>
      <c r="BO82" s="23"/>
      <c r="BS82" s="14"/>
      <c r="BT82" s="14"/>
      <c r="BV82" s="59"/>
      <c r="BZ82" s="59"/>
      <c r="CK82" s="60"/>
    </row>
    <row r="83" spans="1:89" x14ac:dyDescent="0.3">
      <c r="A83" s="23"/>
      <c r="B83" s="23"/>
      <c r="H83" s="14"/>
      <c r="I83" s="23"/>
      <c r="O83" s="14"/>
      <c r="W83" s="23"/>
      <c r="AC83" s="14"/>
      <c r="AJ83" s="14"/>
      <c r="AR83" s="23"/>
      <c r="AX83" s="14"/>
      <c r="AY83" s="23"/>
      <c r="BO83" s="23"/>
      <c r="BS83" s="14"/>
      <c r="BT83" s="14"/>
      <c r="BV83" s="59"/>
      <c r="BZ83" s="59"/>
      <c r="CK83" s="60"/>
    </row>
    <row r="84" spans="1:89" x14ac:dyDescent="0.3">
      <c r="A84" s="23"/>
      <c r="B84" s="23"/>
      <c r="H84" s="14"/>
      <c r="I84" s="23"/>
      <c r="O84" s="14"/>
      <c r="W84" s="23"/>
      <c r="AC84" s="14"/>
      <c r="AJ84" s="14"/>
      <c r="AR84" s="23"/>
      <c r="AX84" s="14"/>
      <c r="AY84" s="23"/>
      <c r="BO84" s="23"/>
      <c r="BS84" s="14"/>
      <c r="BT84" s="14"/>
      <c r="BV84" s="59"/>
      <c r="BZ84" s="59"/>
      <c r="CK84" s="60"/>
    </row>
    <row r="85" spans="1:89" x14ac:dyDescent="0.3">
      <c r="A85" s="23"/>
      <c r="B85" s="23"/>
      <c r="H85" s="14"/>
      <c r="I85" s="23"/>
      <c r="O85" s="14"/>
      <c r="W85" s="23"/>
      <c r="AC85" s="14"/>
      <c r="AJ85" s="14"/>
      <c r="AR85" s="23"/>
      <c r="AX85" s="14"/>
      <c r="AY85" s="23"/>
      <c r="AZ85" s="16" t="s">
        <v>510</v>
      </c>
      <c r="BO85" s="23"/>
      <c r="BS85" s="14"/>
      <c r="BT85" s="14"/>
      <c r="BV85" s="59"/>
      <c r="BZ85" s="59"/>
      <c r="CK85" s="60"/>
    </row>
    <row r="86" spans="1:89" x14ac:dyDescent="0.3">
      <c r="A86" s="23"/>
      <c r="B86" s="23"/>
      <c r="H86" s="14"/>
      <c r="I86" s="23"/>
      <c r="O86" s="14"/>
      <c r="W86" s="23"/>
      <c r="AC86" s="14"/>
      <c r="AJ86" s="14"/>
      <c r="AR86" s="23"/>
      <c r="AX86" s="14"/>
      <c r="AY86" s="23"/>
      <c r="BA86" s="8" t="s">
        <v>173</v>
      </c>
      <c r="BO86" s="73" t="s">
        <v>253</v>
      </c>
      <c r="BS86" s="14"/>
      <c r="BT86" s="14"/>
      <c r="BV86" s="59"/>
      <c r="BZ86" s="59"/>
      <c r="CK86" s="60"/>
    </row>
    <row r="87" spans="1:89" x14ac:dyDescent="0.3">
      <c r="A87" s="23"/>
      <c r="B87" s="23"/>
      <c r="H87" s="14"/>
      <c r="I87" s="23"/>
      <c r="O87" s="14"/>
      <c r="W87" s="23"/>
      <c r="AC87" s="14"/>
      <c r="AJ87" s="14"/>
      <c r="AR87" s="23"/>
      <c r="AX87" s="14"/>
      <c r="AY87" s="23"/>
      <c r="BA87" s="8" t="s">
        <v>174</v>
      </c>
      <c r="BO87" s="23" t="s">
        <v>254</v>
      </c>
      <c r="BS87" s="14"/>
      <c r="BT87" s="14"/>
      <c r="BV87" s="59"/>
      <c r="BZ87" s="59"/>
      <c r="CK87" s="60"/>
    </row>
    <row r="88" spans="1:89" x14ac:dyDescent="0.3">
      <c r="A88" s="23"/>
      <c r="B88" s="23"/>
      <c r="H88" s="14"/>
      <c r="I88" s="23"/>
      <c r="O88" s="14"/>
      <c r="W88" s="23"/>
      <c r="AC88" s="14"/>
      <c r="AJ88" s="14"/>
      <c r="AR88" s="23"/>
      <c r="AX88" s="14"/>
      <c r="AY88" s="23"/>
      <c r="BO88" s="23" t="s">
        <v>255</v>
      </c>
      <c r="BS88" s="14"/>
      <c r="BT88" s="14"/>
      <c r="BV88" s="59"/>
      <c r="BZ88" s="59"/>
      <c r="CK88" s="60"/>
    </row>
    <row r="89" spans="1:89" x14ac:dyDescent="0.3">
      <c r="A89" s="23"/>
      <c r="B89" s="23"/>
      <c r="H89" s="14"/>
      <c r="I89" s="23"/>
      <c r="O89" s="14"/>
      <c r="W89" s="23"/>
      <c r="AC89" s="14"/>
      <c r="AJ89" s="14"/>
      <c r="AR89" s="23"/>
      <c r="AX89" s="14"/>
      <c r="AY89" s="23"/>
      <c r="BO89" s="23"/>
      <c r="BS89" s="14"/>
      <c r="BT89" s="14"/>
      <c r="BV89" s="59"/>
      <c r="BZ89" s="59"/>
      <c r="CK89" s="60"/>
    </row>
    <row r="90" spans="1:89" x14ac:dyDescent="0.3">
      <c r="A90" s="23"/>
      <c r="B90" s="23"/>
      <c r="H90" s="14"/>
      <c r="I90" s="23"/>
      <c r="O90" s="14"/>
      <c r="W90" s="23"/>
      <c r="AC90" s="14"/>
      <c r="AJ90" s="14"/>
      <c r="AR90" s="23"/>
      <c r="AX90" s="14"/>
      <c r="AY90" s="23"/>
      <c r="BO90" s="23"/>
      <c r="BS90" s="14"/>
      <c r="BT90" s="14"/>
      <c r="BV90" s="59"/>
      <c r="BZ90" s="59"/>
      <c r="CK90" s="60"/>
    </row>
    <row r="91" spans="1:89" x14ac:dyDescent="0.3">
      <c r="A91" s="23"/>
      <c r="B91" s="23"/>
      <c r="H91" s="14"/>
      <c r="I91" s="23"/>
      <c r="O91" s="14"/>
      <c r="W91" s="23"/>
      <c r="AC91" s="14"/>
      <c r="AJ91" s="14"/>
      <c r="AR91" s="23"/>
      <c r="AX91" s="14"/>
      <c r="AY91" s="23"/>
      <c r="BO91" s="23"/>
      <c r="BS91" s="14"/>
      <c r="BT91" s="14"/>
      <c r="BV91" s="59"/>
      <c r="BZ91" s="59"/>
      <c r="CK91" s="60"/>
    </row>
    <row r="92" spans="1:89" x14ac:dyDescent="0.3">
      <c r="A92" s="23"/>
      <c r="B92" s="23"/>
      <c r="H92" s="14"/>
      <c r="I92" s="23"/>
      <c r="O92" s="14"/>
      <c r="W92" s="23"/>
      <c r="AC92" s="14"/>
      <c r="AJ92" s="14"/>
      <c r="AR92" s="23"/>
      <c r="AX92" s="14"/>
      <c r="AY92" s="23"/>
      <c r="BO92" s="23"/>
      <c r="BS92" s="14"/>
      <c r="BT92" s="14"/>
      <c r="BV92" s="59"/>
      <c r="BZ92" s="59"/>
      <c r="CK92" s="60"/>
    </row>
    <row r="93" spans="1:89" x14ac:dyDescent="0.3">
      <c r="A93" s="23"/>
      <c r="B93" s="23"/>
      <c r="H93" s="14"/>
      <c r="I93" s="23"/>
      <c r="O93" s="14"/>
      <c r="W93" s="23"/>
      <c r="AC93" s="14"/>
      <c r="AJ93" s="14"/>
      <c r="AR93" s="23"/>
      <c r="AX93" s="14"/>
      <c r="AY93" s="23"/>
      <c r="BO93" s="23"/>
      <c r="BS93" s="14"/>
      <c r="BT93" s="14"/>
      <c r="BV93" s="59"/>
      <c r="BZ93" s="59"/>
      <c r="CK93" s="60"/>
    </row>
    <row r="94" spans="1:89" x14ac:dyDescent="0.3">
      <c r="A94" s="23"/>
      <c r="B94" s="23"/>
      <c r="H94" s="14"/>
      <c r="I94" s="23"/>
      <c r="O94" s="14"/>
      <c r="W94" s="23"/>
      <c r="AC94" s="14"/>
      <c r="AJ94" s="14"/>
      <c r="AR94" s="23"/>
      <c r="AX94" s="14"/>
      <c r="AY94" s="23"/>
      <c r="BO94" s="23"/>
      <c r="BS94" s="14"/>
      <c r="BT94" s="14"/>
      <c r="BV94" s="59"/>
      <c r="BZ94" s="59"/>
      <c r="CK94" s="60"/>
    </row>
    <row r="95" spans="1:89" x14ac:dyDescent="0.3">
      <c r="A95" s="23"/>
      <c r="B95" s="23"/>
      <c r="H95" s="14"/>
      <c r="I95" s="23"/>
      <c r="O95" s="14"/>
      <c r="W95" s="23"/>
      <c r="AC95" s="14"/>
      <c r="AJ95" s="14"/>
      <c r="AR95" s="23"/>
      <c r="AX95" s="14"/>
      <c r="AY95" s="23"/>
      <c r="BO95" s="23"/>
      <c r="BS95" s="14"/>
      <c r="BT95" s="14"/>
      <c r="BV95" s="59"/>
      <c r="BZ95" s="59"/>
      <c r="CK95" s="60"/>
    </row>
    <row r="96" spans="1:89" x14ac:dyDescent="0.3">
      <c r="A96" s="23"/>
      <c r="B96" s="23"/>
      <c r="H96" s="14"/>
      <c r="I96" s="23"/>
      <c r="O96" s="14"/>
      <c r="W96" s="23"/>
      <c r="AC96" s="14"/>
      <c r="AJ96" s="14"/>
      <c r="AR96" s="23"/>
      <c r="AX96" s="14"/>
      <c r="AY96" s="23"/>
      <c r="BO96" s="23"/>
      <c r="BS96" s="14"/>
      <c r="BT96" s="14"/>
      <c r="BV96" s="59"/>
      <c r="BZ96" s="59"/>
      <c r="CK96" s="60"/>
    </row>
    <row r="97" spans="1:89" x14ac:dyDescent="0.3">
      <c r="A97" s="23"/>
      <c r="B97" s="23"/>
      <c r="H97" s="14"/>
      <c r="I97" s="23"/>
      <c r="O97" s="14"/>
      <c r="W97" s="23"/>
      <c r="AC97" s="14"/>
      <c r="AJ97" s="14"/>
      <c r="AR97" s="23"/>
      <c r="AX97" s="14"/>
      <c r="AY97" s="23"/>
      <c r="BO97" s="23"/>
      <c r="BS97" s="14"/>
      <c r="BT97" s="14"/>
      <c r="BV97" s="59"/>
      <c r="BZ97" s="59"/>
      <c r="CK97" s="60"/>
    </row>
    <row r="98" spans="1:89" x14ac:dyDescent="0.3">
      <c r="A98" s="23"/>
      <c r="B98" s="23"/>
      <c r="H98" s="14"/>
      <c r="I98" s="23"/>
      <c r="O98" s="14"/>
      <c r="W98" s="23"/>
      <c r="AC98" s="14"/>
      <c r="AJ98" s="14"/>
      <c r="AR98" s="23"/>
      <c r="AX98" s="14"/>
      <c r="AY98" s="23"/>
      <c r="BO98" s="23"/>
      <c r="BS98" s="14"/>
      <c r="BT98" s="14"/>
      <c r="BV98" s="59"/>
      <c r="BZ98" s="59"/>
      <c r="CK98" s="60"/>
    </row>
    <row r="99" spans="1:89" x14ac:dyDescent="0.3">
      <c r="A99" s="23"/>
      <c r="B99" s="23"/>
      <c r="H99" s="14"/>
      <c r="I99" s="23"/>
      <c r="O99" s="14"/>
      <c r="W99" s="23"/>
      <c r="AC99" s="14"/>
      <c r="AJ99" s="14"/>
      <c r="AR99" s="23"/>
      <c r="AX99" s="14"/>
      <c r="AY99" s="23"/>
      <c r="BO99" s="23"/>
      <c r="BS99" s="14"/>
      <c r="BT99" s="14"/>
      <c r="BV99" s="59"/>
      <c r="BZ99" s="59"/>
      <c r="CK99" s="60"/>
    </row>
    <row r="100" spans="1:89" x14ac:dyDescent="0.3">
      <c r="A100" s="23"/>
      <c r="B100" s="23"/>
      <c r="H100" s="14"/>
      <c r="I100" s="23"/>
      <c r="O100" s="14"/>
      <c r="W100" s="23"/>
      <c r="AC100" s="14"/>
      <c r="AJ100" s="14"/>
      <c r="AR100" s="23"/>
      <c r="AX100" s="14"/>
      <c r="AY100" s="23"/>
      <c r="BO100" s="23"/>
      <c r="BS100" s="14"/>
      <c r="BT100" s="14"/>
      <c r="BV100" s="59"/>
      <c r="BZ100" s="59"/>
      <c r="CK100" s="60"/>
    </row>
    <row r="101" spans="1:89" x14ac:dyDescent="0.3">
      <c r="A101" s="23"/>
      <c r="B101" s="23"/>
      <c r="H101" s="14"/>
      <c r="I101" s="23"/>
      <c r="O101" s="14"/>
      <c r="W101" s="23"/>
      <c r="AC101" s="14"/>
      <c r="AJ101" s="14"/>
      <c r="AR101" s="23"/>
      <c r="AX101" s="14"/>
      <c r="AY101" s="23"/>
      <c r="BO101" s="23"/>
      <c r="BS101" s="14"/>
      <c r="BT101" s="14"/>
      <c r="BV101" s="59"/>
      <c r="BZ101" s="59"/>
      <c r="CK101" s="60"/>
    </row>
    <row r="102" spans="1:89" x14ac:dyDescent="0.3">
      <c r="A102" s="23"/>
      <c r="B102" s="23"/>
      <c r="H102" s="14"/>
      <c r="I102" s="23"/>
      <c r="O102" s="14"/>
      <c r="W102" s="23"/>
      <c r="AC102" s="14"/>
      <c r="AJ102" s="14"/>
      <c r="AR102" s="23"/>
      <c r="AX102" s="14"/>
      <c r="AY102" s="23"/>
      <c r="BO102" s="23"/>
      <c r="BS102" s="14"/>
      <c r="BT102" s="14"/>
      <c r="BV102" s="59"/>
      <c r="BZ102" s="59"/>
      <c r="CK102" s="60"/>
    </row>
    <row r="103" spans="1:89" x14ac:dyDescent="0.3">
      <c r="A103" s="23"/>
      <c r="B103" s="23"/>
      <c r="H103" s="14"/>
      <c r="I103" s="23"/>
      <c r="O103" s="14"/>
      <c r="W103" s="23"/>
      <c r="AC103" s="14"/>
      <c r="AJ103" s="14"/>
      <c r="AR103" s="23"/>
      <c r="AX103" s="14"/>
      <c r="AY103" s="23"/>
      <c r="BO103" s="23"/>
      <c r="BS103" s="14"/>
      <c r="BT103" s="14"/>
      <c r="BV103" s="59"/>
      <c r="BZ103" s="59"/>
      <c r="CK103" s="60"/>
    </row>
    <row r="104" spans="1:89" x14ac:dyDescent="0.3">
      <c r="A104" s="23"/>
      <c r="B104" s="23"/>
      <c r="H104" s="14"/>
      <c r="I104" s="23"/>
      <c r="O104" s="14"/>
      <c r="W104" s="23"/>
      <c r="AC104" s="14"/>
      <c r="AJ104" s="14"/>
      <c r="AR104" s="23"/>
      <c r="AX104" s="14"/>
      <c r="AY104" s="23"/>
      <c r="BO104" s="23"/>
      <c r="BS104" s="14"/>
      <c r="BT104" s="14"/>
      <c r="BV104" s="59"/>
      <c r="BZ104" s="59"/>
      <c r="CK104" s="60"/>
    </row>
    <row r="105" spans="1:89" x14ac:dyDescent="0.3">
      <c r="A105" s="23"/>
      <c r="B105" s="23"/>
      <c r="H105" s="14"/>
      <c r="I105" s="23"/>
      <c r="O105" s="14"/>
      <c r="W105" s="23"/>
      <c r="AC105" s="14"/>
      <c r="AJ105" s="14"/>
      <c r="AR105" s="23"/>
      <c r="AX105" s="14"/>
      <c r="AY105" s="23"/>
      <c r="BO105" s="23"/>
      <c r="BS105" s="14"/>
      <c r="BT105" s="14"/>
      <c r="BV105" s="59"/>
      <c r="BZ105" s="59"/>
      <c r="CK105" s="60"/>
    </row>
    <row r="106" spans="1:89" x14ac:dyDescent="0.3">
      <c r="A106" s="23"/>
      <c r="B106" s="23"/>
      <c r="H106" s="14"/>
      <c r="I106" s="23"/>
      <c r="O106" s="14"/>
      <c r="W106" s="23"/>
      <c r="AC106" s="14"/>
      <c r="AJ106" s="14"/>
      <c r="AR106" s="23"/>
      <c r="AX106" s="14"/>
      <c r="AY106" s="23"/>
      <c r="BO106" s="23"/>
      <c r="BS106" s="14"/>
      <c r="BT106" s="14"/>
      <c r="BV106" s="59"/>
      <c r="BZ106" s="59"/>
      <c r="CK106" s="60"/>
    </row>
    <row r="107" spans="1:89" x14ac:dyDescent="0.3">
      <c r="A107" s="23"/>
      <c r="B107" s="23"/>
      <c r="H107" s="14"/>
      <c r="I107" s="23"/>
      <c r="O107" s="14"/>
      <c r="W107" s="23"/>
      <c r="AC107" s="14"/>
      <c r="AJ107" s="14"/>
      <c r="AR107" s="23"/>
      <c r="AX107" s="14"/>
      <c r="AY107" s="23"/>
      <c r="BO107" s="23"/>
      <c r="BS107" s="14"/>
      <c r="BT107" s="14"/>
      <c r="BV107" s="59"/>
      <c r="BZ107" s="59"/>
      <c r="CK107" s="60"/>
    </row>
    <row r="108" spans="1:89" x14ac:dyDescent="0.3">
      <c r="A108" s="23"/>
      <c r="B108" s="50"/>
      <c r="C108" s="10"/>
      <c r="D108" s="10"/>
      <c r="E108" s="10"/>
      <c r="F108" s="10"/>
      <c r="G108" s="10"/>
      <c r="H108" s="15"/>
      <c r="I108" s="50"/>
      <c r="J108" s="10"/>
      <c r="K108" s="10"/>
      <c r="L108" s="10"/>
      <c r="M108" s="10"/>
      <c r="N108" s="10"/>
      <c r="O108" s="15"/>
      <c r="P108" s="50"/>
      <c r="Q108" s="10"/>
      <c r="R108" s="10"/>
      <c r="S108" s="10"/>
      <c r="T108" s="10"/>
      <c r="U108" s="10"/>
      <c r="V108" s="10"/>
      <c r="W108" s="50"/>
      <c r="X108" s="10"/>
      <c r="Y108" s="10"/>
      <c r="Z108" s="10"/>
      <c r="AA108" s="10"/>
      <c r="AB108" s="10"/>
      <c r="AC108" s="15"/>
      <c r="AD108" s="10"/>
      <c r="AE108" s="10"/>
      <c r="AF108" s="10"/>
      <c r="AG108" s="10"/>
      <c r="AH108" s="10"/>
      <c r="AI108" s="10"/>
      <c r="AJ108" s="15"/>
      <c r="AK108" s="10"/>
      <c r="AL108" s="10"/>
      <c r="AM108" s="10"/>
      <c r="AN108" s="10"/>
      <c r="AO108" s="10"/>
      <c r="AP108" s="10"/>
      <c r="AQ108" s="10"/>
      <c r="AR108" s="50"/>
      <c r="AS108" s="10"/>
      <c r="AT108" s="10"/>
      <c r="AU108" s="10"/>
      <c r="AV108" s="10"/>
      <c r="AW108" s="10"/>
      <c r="AX108" s="15"/>
      <c r="AY108" s="5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50"/>
      <c r="BP108" s="10"/>
      <c r="BQ108" s="10"/>
      <c r="BR108" s="10"/>
      <c r="BS108" s="15"/>
      <c r="BT108" s="14"/>
      <c r="BV108" s="61"/>
      <c r="BW108" s="62"/>
      <c r="BX108" s="62"/>
      <c r="BY108" s="62"/>
      <c r="BZ108" s="61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3"/>
    </row>
    <row r="109" spans="1:89" x14ac:dyDescent="0.3">
      <c r="A109" s="23"/>
      <c r="BT109" s="14"/>
    </row>
    <row r="110" spans="1:89" x14ac:dyDescent="0.3">
      <c r="A110" s="5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5"/>
    </row>
  </sheetData>
  <mergeCells count="34">
    <mergeCell ref="BV26:BY26"/>
    <mergeCell ref="BZ26:CK26"/>
    <mergeCell ref="BV27:BY27"/>
    <mergeCell ref="BZ27:CK27"/>
    <mergeCell ref="BV28:BY28"/>
    <mergeCell ref="BV8:BY9"/>
    <mergeCell ref="BZ8:CK9"/>
    <mergeCell ref="B9:H9"/>
    <mergeCell ref="I9:O9"/>
    <mergeCell ref="AK9:AQ9"/>
    <mergeCell ref="AR9:AX9"/>
    <mergeCell ref="BO8:BS9"/>
    <mergeCell ref="AD9:AJ9"/>
    <mergeCell ref="AY8:BN9"/>
    <mergeCell ref="P9:V9"/>
    <mergeCell ref="W9:AC9"/>
    <mergeCell ref="AQ2:AV2"/>
    <mergeCell ref="AJ3:AK3"/>
    <mergeCell ref="AL3:AP3"/>
    <mergeCell ref="AQ3:AV3"/>
    <mergeCell ref="B8:O8"/>
    <mergeCell ref="AK8:AX8"/>
    <mergeCell ref="A2:E3"/>
    <mergeCell ref="F2:U3"/>
    <mergeCell ref="V2:AI3"/>
    <mergeCell ref="AJ2:AK2"/>
    <mergeCell ref="AL2:AP2"/>
    <mergeCell ref="P8:AC8"/>
    <mergeCell ref="AD8:AJ8"/>
    <mergeCell ref="A1:E1"/>
    <mergeCell ref="F1:U1"/>
    <mergeCell ref="V1:AI1"/>
    <mergeCell ref="AJ1:AP1"/>
    <mergeCell ref="AQ1:AV1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autoPageBreaks="0"/>
  </sheetPr>
  <dimension ref="A1:CE125"/>
  <sheetViews>
    <sheetView showGridLines="0" zoomScale="85" zoomScaleNormal="85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15" width="2.453125" style="8"/>
    <col min="16" max="17" width="2.453125" style="8" customWidth="1"/>
    <col min="18" max="16384" width="2.453125" style="8"/>
  </cols>
  <sheetData>
    <row r="1" spans="1:83" ht="15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83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13.決算処理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83" ht="15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5" spans="1:83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 spans="1:83" s="11" customFormat="1" x14ac:dyDescent="0.3">
      <c r="A6" s="35" t="str">
        <f ca="1">RIGHT(CELL("filename",A1),LEN(CELL("filename",A1))-FIND("]",CELL("filename",A1)))</f>
        <v>13.決算処理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36"/>
    </row>
    <row r="7" spans="1:83" s="11" customFormat="1" x14ac:dyDescent="0.3">
      <c r="A7" s="24"/>
      <c r="B7" s="12"/>
      <c r="C7" s="12"/>
      <c r="D7" s="12"/>
      <c r="E7" s="12"/>
      <c r="F7" s="12"/>
      <c r="G7" s="12"/>
      <c r="H7" s="12"/>
      <c r="BN7" s="13"/>
    </row>
    <row r="8" spans="1:83" s="11" customFormat="1" x14ac:dyDescent="0.3">
      <c r="A8" s="24"/>
      <c r="B8" s="225" t="s">
        <v>116</v>
      </c>
      <c r="C8" s="226"/>
      <c r="D8" s="226"/>
      <c r="E8" s="226"/>
      <c r="F8" s="226"/>
      <c r="G8" s="226"/>
      <c r="H8" s="227"/>
      <c r="I8" s="241" t="s">
        <v>513</v>
      </c>
      <c r="J8" s="241"/>
      <c r="K8" s="241"/>
      <c r="L8" s="241"/>
      <c r="M8" s="241"/>
      <c r="N8" s="241"/>
      <c r="O8" s="241"/>
      <c r="P8" s="241" t="s">
        <v>179</v>
      </c>
      <c r="Q8" s="241"/>
      <c r="R8" s="241"/>
      <c r="S8" s="241"/>
      <c r="T8" s="241"/>
      <c r="U8" s="241"/>
      <c r="V8" s="241"/>
      <c r="W8" s="241" t="s">
        <v>178</v>
      </c>
      <c r="X8" s="241"/>
      <c r="Y8" s="241"/>
      <c r="Z8" s="241"/>
      <c r="AA8" s="241"/>
      <c r="AB8" s="241"/>
      <c r="AC8" s="241"/>
      <c r="AD8" s="38" t="s">
        <v>92</v>
      </c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39"/>
      <c r="AR8" s="221" t="s">
        <v>110</v>
      </c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0" t="s">
        <v>112</v>
      </c>
      <c r="BI8" s="221"/>
      <c r="BJ8" s="221"/>
      <c r="BK8" s="221"/>
      <c r="BL8" s="221"/>
      <c r="BM8" s="221"/>
      <c r="BN8" s="13"/>
      <c r="BP8" s="245" t="s">
        <v>118</v>
      </c>
      <c r="BQ8" s="246"/>
      <c r="BR8" s="246"/>
      <c r="BS8" s="246"/>
      <c r="BT8" s="248" t="s">
        <v>119</v>
      </c>
      <c r="BU8" s="249"/>
      <c r="BV8" s="249"/>
      <c r="BW8" s="249"/>
      <c r="BX8" s="249"/>
      <c r="BY8" s="249"/>
      <c r="BZ8" s="249"/>
      <c r="CA8" s="249"/>
      <c r="CB8" s="249"/>
      <c r="CC8" s="249"/>
      <c r="CD8" s="249"/>
      <c r="CE8" s="249"/>
    </row>
    <row r="9" spans="1:83" s="11" customFormat="1" ht="16.5" customHeight="1" x14ac:dyDescent="0.3">
      <c r="A9" s="24"/>
      <c r="B9" s="228"/>
      <c r="C9" s="229"/>
      <c r="D9" s="229"/>
      <c r="E9" s="229"/>
      <c r="F9" s="229"/>
      <c r="G9" s="229"/>
      <c r="H9" s="230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22" t="s">
        <v>107</v>
      </c>
      <c r="AE9" s="223"/>
      <c r="AF9" s="223"/>
      <c r="AG9" s="223"/>
      <c r="AH9" s="223"/>
      <c r="AI9" s="223"/>
      <c r="AJ9" s="224"/>
      <c r="AK9" s="222" t="s">
        <v>109</v>
      </c>
      <c r="AL9" s="223"/>
      <c r="AM9" s="223"/>
      <c r="AN9" s="223"/>
      <c r="AO9" s="223"/>
      <c r="AP9" s="223"/>
      <c r="AQ9" s="224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13"/>
      <c r="BP9" s="247"/>
      <c r="BQ9" s="247"/>
      <c r="BR9" s="247"/>
      <c r="BS9" s="247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</row>
    <row r="10" spans="1:83" s="11" customFormat="1" x14ac:dyDescent="0.3">
      <c r="A10" s="24"/>
      <c r="B10" s="37" t="s">
        <v>514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22"/>
      <c r="AL10" s="22"/>
      <c r="AM10" s="22"/>
      <c r="AN10" s="22"/>
      <c r="AO10" s="22"/>
      <c r="AP10" s="22"/>
      <c r="AQ10" s="2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40"/>
      <c r="BN10" s="13"/>
      <c r="BP10" s="54"/>
      <c r="BQ10" s="55"/>
      <c r="BR10" s="55"/>
      <c r="BS10" s="55"/>
      <c r="BT10" s="54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6"/>
    </row>
    <row r="11" spans="1:83" s="11" customFormat="1" x14ac:dyDescent="0.3">
      <c r="A11" s="24"/>
      <c r="B11" s="41"/>
      <c r="C11" s="42"/>
      <c r="D11" s="42"/>
      <c r="E11" s="42"/>
      <c r="F11" s="42"/>
      <c r="G11" s="42"/>
      <c r="H11" s="43"/>
      <c r="I11" s="44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3"/>
      <c r="W11" s="44"/>
      <c r="X11" s="42"/>
      <c r="Y11" s="42"/>
      <c r="Z11" s="42"/>
      <c r="AA11" s="42"/>
      <c r="AB11" s="42"/>
      <c r="AC11" s="43"/>
      <c r="AD11" s="42"/>
      <c r="AE11" s="42"/>
      <c r="AF11" s="42"/>
      <c r="AG11" s="42"/>
      <c r="AH11" s="42"/>
      <c r="AI11" s="42"/>
      <c r="AJ11" s="43"/>
      <c r="AK11" s="44"/>
      <c r="AL11" s="42"/>
      <c r="AM11" s="42"/>
      <c r="AN11" s="42"/>
      <c r="AO11" s="42"/>
      <c r="AP11" s="42"/>
      <c r="AQ11" s="43"/>
      <c r="AR11" s="45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4"/>
      <c r="BI11" s="42"/>
      <c r="BJ11" s="42"/>
      <c r="BK11" s="42"/>
      <c r="BL11" s="42"/>
      <c r="BM11" s="43"/>
      <c r="BN11" s="13"/>
      <c r="BP11" s="57"/>
      <c r="BT11" s="57"/>
      <c r="CE11" s="58"/>
    </row>
    <row r="12" spans="1:83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7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19"/>
      <c r="W12" s="27"/>
      <c r="X12" s="20"/>
      <c r="Y12" s="20"/>
      <c r="Z12" s="20"/>
      <c r="AA12" s="20"/>
      <c r="AB12" s="20"/>
      <c r="AC12" s="19"/>
      <c r="AD12" s="20"/>
      <c r="AE12" s="20"/>
      <c r="AF12" s="20"/>
      <c r="AG12" s="20"/>
      <c r="AH12" s="20"/>
      <c r="AI12" s="20"/>
      <c r="AJ12" s="19"/>
      <c r="AK12" s="27"/>
      <c r="AL12" s="20"/>
      <c r="AM12" s="20"/>
      <c r="AN12" s="20"/>
      <c r="AO12" s="20"/>
      <c r="AP12" s="20"/>
      <c r="AQ12" s="19"/>
      <c r="AR12" s="34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27"/>
      <c r="BI12" s="20"/>
      <c r="BJ12" s="20"/>
      <c r="BK12" s="20"/>
      <c r="BL12" s="20"/>
      <c r="BM12" s="19"/>
      <c r="BN12" s="13"/>
      <c r="BP12" s="57"/>
      <c r="BT12" s="242"/>
      <c r="BU12" s="243"/>
      <c r="BV12" s="243"/>
      <c r="BW12" s="243"/>
      <c r="BX12" s="243"/>
      <c r="BY12" s="243"/>
      <c r="BZ12" s="243"/>
      <c r="CA12" s="243"/>
      <c r="CB12" s="243"/>
      <c r="CC12" s="243"/>
      <c r="CD12" s="243"/>
      <c r="CE12" s="244"/>
    </row>
    <row r="13" spans="1:83" s="11" customFormat="1" x14ac:dyDescent="0.3">
      <c r="A13" s="24"/>
      <c r="B13" s="26"/>
      <c r="C13" s="20"/>
      <c r="D13" s="20"/>
      <c r="E13" s="20"/>
      <c r="F13" s="20"/>
      <c r="G13" s="20"/>
      <c r="H13" s="19"/>
      <c r="I13" s="27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19"/>
      <c r="W13" s="27"/>
      <c r="X13" s="20"/>
      <c r="Y13" s="20"/>
      <c r="Z13" s="20"/>
      <c r="AA13" s="20"/>
      <c r="AB13" s="20"/>
      <c r="AC13" s="19"/>
      <c r="AD13" s="20"/>
      <c r="AE13" s="20"/>
      <c r="AF13" s="20"/>
      <c r="AG13" s="20"/>
      <c r="AH13" s="20"/>
      <c r="AI13" s="20"/>
      <c r="AJ13" s="19"/>
      <c r="AK13" s="27"/>
      <c r="AL13" s="20"/>
      <c r="AM13" s="20"/>
      <c r="AN13" s="20"/>
      <c r="AO13" s="20"/>
      <c r="AP13" s="20"/>
      <c r="AQ13" s="19"/>
      <c r="AR13" s="34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27"/>
      <c r="BI13" s="20"/>
      <c r="BJ13" s="20"/>
      <c r="BK13" s="20"/>
      <c r="BL13" s="20"/>
      <c r="BM13" s="19"/>
      <c r="BN13" s="13"/>
      <c r="BP13" s="57"/>
      <c r="BT13" s="242"/>
      <c r="BU13" s="243"/>
      <c r="BV13" s="243"/>
      <c r="BW13" s="243"/>
      <c r="BX13" s="243"/>
      <c r="BY13" s="243"/>
      <c r="BZ13" s="243"/>
      <c r="CA13" s="243"/>
      <c r="CB13" s="243"/>
      <c r="CC13" s="243"/>
      <c r="CD13" s="243"/>
      <c r="CE13" s="244"/>
    </row>
    <row r="14" spans="1:83" s="11" customFormat="1" x14ac:dyDescent="0.3">
      <c r="A14" s="24"/>
      <c r="B14" s="26"/>
      <c r="C14" s="20"/>
      <c r="D14" s="20"/>
      <c r="E14" s="20"/>
      <c r="F14" s="20"/>
      <c r="G14" s="20"/>
      <c r="H14" s="19"/>
      <c r="I14" s="27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19"/>
      <c r="W14" s="27"/>
      <c r="X14" s="20"/>
      <c r="Y14" s="20"/>
      <c r="Z14" s="20"/>
      <c r="AA14" s="20"/>
      <c r="AB14" s="20"/>
      <c r="AC14" s="19"/>
      <c r="AD14" s="20"/>
      <c r="AE14" s="20"/>
      <c r="AF14" s="20"/>
      <c r="AG14" s="20"/>
      <c r="AH14" s="20"/>
      <c r="AI14" s="20"/>
      <c r="AJ14" s="19"/>
      <c r="AK14" s="27"/>
      <c r="AL14" s="20"/>
      <c r="AM14" s="20"/>
      <c r="AN14" s="20"/>
      <c r="AO14" s="20"/>
      <c r="AP14" s="20"/>
      <c r="AQ14" s="19"/>
      <c r="AR14" s="34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27"/>
      <c r="BI14" s="20"/>
      <c r="BJ14" s="20"/>
      <c r="BK14" s="20"/>
      <c r="BL14" s="20"/>
      <c r="BM14" s="19"/>
      <c r="BN14" s="13"/>
      <c r="BP14" s="57"/>
      <c r="BT14" s="57"/>
      <c r="CE14" s="58"/>
    </row>
    <row r="15" spans="1:83" s="11" customFormat="1" x14ac:dyDescent="0.3">
      <c r="A15" s="24"/>
      <c r="B15" s="26"/>
      <c r="C15" s="20"/>
      <c r="D15" s="20"/>
      <c r="E15" s="20"/>
      <c r="F15" s="20"/>
      <c r="G15" s="20"/>
      <c r="H15" s="19"/>
      <c r="I15" s="27"/>
      <c r="J15" s="20"/>
      <c r="K15" s="20"/>
      <c r="L15" s="20"/>
      <c r="M15" s="20"/>
      <c r="N15" s="20"/>
      <c r="O15" s="19"/>
      <c r="P15" s="27"/>
      <c r="Q15" s="20"/>
      <c r="R15" s="20"/>
      <c r="S15" s="20"/>
      <c r="T15" s="20"/>
      <c r="U15" s="20"/>
      <c r="V15" s="19"/>
      <c r="W15" s="27"/>
      <c r="X15" s="20"/>
      <c r="Y15" s="20"/>
      <c r="Z15" s="20"/>
      <c r="AA15" s="20"/>
      <c r="AB15" s="20"/>
      <c r="AC15" s="19"/>
      <c r="AD15" s="20"/>
      <c r="AE15" s="20"/>
      <c r="AF15" s="20"/>
      <c r="AG15" s="20"/>
      <c r="AH15" s="20"/>
      <c r="AI15" s="20"/>
      <c r="AJ15" s="19"/>
      <c r="AK15" s="27"/>
      <c r="AL15" s="20"/>
      <c r="AM15" s="20"/>
      <c r="AN15" s="20"/>
      <c r="AO15" s="20"/>
      <c r="AP15" s="20"/>
      <c r="AQ15" s="19"/>
      <c r="AR15" s="34"/>
      <c r="AS15" s="21" t="s">
        <v>515</v>
      </c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27"/>
      <c r="BI15" s="20"/>
      <c r="BJ15" s="20"/>
      <c r="BK15" s="20"/>
      <c r="BL15" s="20"/>
      <c r="BM15" s="19"/>
      <c r="BN15" s="13"/>
      <c r="BP15" s="57"/>
      <c r="BT15" s="57"/>
      <c r="CE15" s="58"/>
    </row>
    <row r="16" spans="1:83" s="11" customFormat="1" x14ac:dyDescent="0.3">
      <c r="A16" s="24"/>
      <c r="B16" s="26"/>
      <c r="C16" s="20"/>
      <c r="D16" s="20"/>
      <c r="E16" s="20"/>
      <c r="F16" s="20"/>
      <c r="G16" s="20"/>
      <c r="H16" s="19"/>
      <c r="I16" s="27"/>
      <c r="J16" s="20"/>
      <c r="K16" s="20"/>
      <c r="L16" s="20"/>
      <c r="M16" s="20"/>
      <c r="N16" s="20"/>
      <c r="O16" s="19"/>
      <c r="P16" s="27"/>
      <c r="Q16" s="20"/>
      <c r="R16" s="20"/>
      <c r="S16" s="20"/>
      <c r="T16" s="20"/>
      <c r="U16" s="20"/>
      <c r="V16" s="19"/>
      <c r="W16" s="27"/>
      <c r="X16" s="20"/>
      <c r="Y16" s="20"/>
      <c r="Z16" s="20"/>
      <c r="AA16" s="20"/>
      <c r="AB16" s="20"/>
      <c r="AC16" s="19"/>
      <c r="AD16" s="20"/>
      <c r="AE16" s="20"/>
      <c r="AF16" s="20"/>
      <c r="AG16" s="20"/>
      <c r="AH16" s="20"/>
      <c r="AI16" s="20"/>
      <c r="AJ16" s="19"/>
      <c r="AK16" s="29"/>
      <c r="AL16"/>
      <c r="AM16"/>
      <c r="AN16"/>
      <c r="AO16"/>
      <c r="AP16"/>
      <c r="AQ16" s="18"/>
      <c r="AR16" s="34"/>
      <c r="AS16" s="17"/>
      <c r="AT16" s="17" t="s">
        <v>516</v>
      </c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27"/>
      <c r="BI16" s="20"/>
      <c r="BJ16" s="20"/>
      <c r="BK16" s="20"/>
      <c r="BL16" s="20"/>
      <c r="BM16" s="19"/>
      <c r="BN16" s="13"/>
      <c r="BP16" s="57"/>
      <c r="BT16" s="57"/>
      <c r="CE16" s="58"/>
    </row>
    <row r="17" spans="1:83" s="11" customFormat="1" x14ac:dyDescent="0.3">
      <c r="A17" s="24"/>
      <c r="B17" s="26"/>
      <c r="C17" s="20"/>
      <c r="D17" s="20"/>
      <c r="E17" s="20"/>
      <c r="F17" s="20"/>
      <c r="G17" s="20"/>
      <c r="H17" s="19"/>
      <c r="I17" s="27"/>
      <c r="J17" s="20"/>
      <c r="K17" s="20"/>
      <c r="L17" s="20"/>
      <c r="M17" s="20"/>
      <c r="N17" s="20"/>
      <c r="O17" s="19"/>
      <c r="P17" s="27"/>
      <c r="Q17" s="20"/>
      <c r="R17" s="20"/>
      <c r="S17" s="20"/>
      <c r="T17" s="20"/>
      <c r="U17" s="20"/>
      <c r="V17" s="19"/>
      <c r="W17" s="27"/>
      <c r="X17" s="20"/>
      <c r="Y17" s="20"/>
      <c r="Z17" s="20"/>
      <c r="AA17" s="20"/>
      <c r="AB17" s="20"/>
      <c r="AC17" s="19"/>
      <c r="AD17" s="20"/>
      <c r="AE17" s="20"/>
      <c r="AF17" s="20"/>
      <c r="AG17" s="20"/>
      <c r="AH17" s="20"/>
      <c r="AI17" s="20"/>
      <c r="AJ17" s="19"/>
      <c r="AK17" s="30"/>
      <c r="AQ17" s="13"/>
      <c r="AR17" s="34"/>
      <c r="AS17" s="21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27"/>
      <c r="BI17" s="20"/>
      <c r="BJ17" s="20"/>
      <c r="BK17" s="20"/>
      <c r="BL17" s="20"/>
      <c r="BM17" s="19"/>
      <c r="BN17" s="13"/>
      <c r="BP17" s="57"/>
      <c r="BT17" s="57"/>
      <c r="CE17" s="58"/>
    </row>
    <row r="18" spans="1:83" s="11" customFormat="1" x14ac:dyDescent="0.3">
      <c r="A18" s="24"/>
      <c r="B18" s="26"/>
      <c r="C18" s="20"/>
      <c r="D18" s="20"/>
      <c r="E18" s="20"/>
      <c r="F18" s="20"/>
      <c r="G18" s="20"/>
      <c r="H18" s="19"/>
      <c r="I18" s="27"/>
      <c r="J18" s="20"/>
      <c r="K18" s="20"/>
      <c r="L18" s="20"/>
      <c r="M18" s="20"/>
      <c r="N18" s="20"/>
      <c r="O18" s="19"/>
      <c r="P18" s="27"/>
      <c r="Q18" s="20"/>
      <c r="R18" s="20"/>
      <c r="S18" s="20"/>
      <c r="T18" s="20"/>
      <c r="U18" s="20"/>
      <c r="V18" s="19"/>
      <c r="W18" s="27"/>
      <c r="X18" s="20"/>
      <c r="Y18" s="20"/>
      <c r="Z18" s="20"/>
      <c r="AA18" s="20"/>
      <c r="AB18" s="20"/>
      <c r="AC18" s="19"/>
      <c r="AD18" s="20"/>
      <c r="AE18" s="20"/>
      <c r="AF18" s="20"/>
      <c r="AG18" s="20"/>
      <c r="AH18" s="20"/>
      <c r="AI18" s="20"/>
      <c r="AJ18" s="19"/>
      <c r="AK18" s="23"/>
      <c r="AL18" s="8"/>
      <c r="AM18" s="8"/>
      <c r="AN18" s="8"/>
      <c r="AO18" s="8"/>
      <c r="AP18" s="8"/>
      <c r="AQ18" s="14"/>
      <c r="AR18" s="34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27"/>
      <c r="BI18" s="20"/>
      <c r="BJ18" s="20"/>
      <c r="BK18" s="20"/>
      <c r="BL18" s="20"/>
      <c r="BM18" s="19"/>
      <c r="BN18" s="14"/>
      <c r="BP18" s="57"/>
      <c r="BT18" s="57"/>
      <c r="CE18" s="58"/>
    </row>
    <row r="19" spans="1:83" s="11" customFormat="1" x14ac:dyDescent="0.3">
      <c r="A19" s="24"/>
      <c r="B19" s="26"/>
      <c r="C19" s="20"/>
      <c r="D19" s="20"/>
      <c r="E19" s="20"/>
      <c r="F19" s="20"/>
      <c r="G19" s="20"/>
      <c r="H19" s="19"/>
      <c r="I19" s="27"/>
      <c r="J19" s="20"/>
      <c r="K19" s="20"/>
      <c r="L19" s="20"/>
      <c r="M19" s="20"/>
      <c r="N19" s="20"/>
      <c r="O19" s="19"/>
      <c r="P19" s="27"/>
      <c r="Q19" s="20"/>
      <c r="R19" s="20"/>
      <c r="S19" s="20"/>
      <c r="T19" s="20"/>
      <c r="U19" s="20"/>
      <c r="V19" s="19"/>
      <c r="W19" s="27"/>
      <c r="X19" s="20"/>
      <c r="Y19" s="20"/>
      <c r="Z19" s="20"/>
      <c r="AA19" s="20"/>
      <c r="AB19" s="20"/>
      <c r="AC19" s="19"/>
      <c r="AD19" s="20"/>
      <c r="AE19" s="20"/>
      <c r="AF19" s="20"/>
      <c r="AG19" s="20"/>
      <c r="AH19" s="20"/>
      <c r="AI19" s="20"/>
      <c r="AJ19" s="19"/>
      <c r="AK19" s="23"/>
      <c r="AL19" s="8"/>
      <c r="AM19" s="8"/>
      <c r="AN19" s="8"/>
      <c r="AO19" s="8"/>
      <c r="AP19" s="8"/>
      <c r="AQ19" s="14"/>
      <c r="AR19" s="34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27"/>
      <c r="BI19" s="20"/>
      <c r="BJ19" s="20"/>
      <c r="BK19" s="20"/>
      <c r="BL19" s="20"/>
      <c r="BM19" s="19"/>
      <c r="BN19" s="14"/>
      <c r="BP19" s="57"/>
      <c r="BT19" s="57"/>
      <c r="CE19" s="58"/>
    </row>
    <row r="20" spans="1:83" s="11" customFormat="1" x14ac:dyDescent="0.3">
      <c r="A20" s="24"/>
      <c r="B20" s="26"/>
      <c r="C20" s="20"/>
      <c r="D20" s="20"/>
      <c r="E20" s="20"/>
      <c r="F20" s="20"/>
      <c r="G20" s="20"/>
      <c r="H20" s="19"/>
      <c r="I20" s="27"/>
      <c r="J20" s="20"/>
      <c r="K20" s="20"/>
      <c r="L20" s="20"/>
      <c r="M20" s="20"/>
      <c r="N20" s="20"/>
      <c r="O20" s="19"/>
      <c r="P20" s="27"/>
      <c r="Q20" s="20"/>
      <c r="R20" s="20"/>
      <c r="S20" s="20"/>
      <c r="T20" s="20"/>
      <c r="U20" s="20"/>
      <c r="V20" s="19"/>
      <c r="W20" s="27"/>
      <c r="X20" s="20"/>
      <c r="Y20" s="20"/>
      <c r="Z20" s="20"/>
      <c r="AA20" s="20"/>
      <c r="AB20" s="20"/>
      <c r="AC20" s="19"/>
      <c r="AD20" s="20"/>
      <c r="AE20" s="20"/>
      <c r="AF20" s="20"/>
      <c r="AG20" s="20"/>
      <c r="AH20" s="20"/>
      <c r="AI20" s="20"/>
      <c r="AJ20" s="19"/>
      <c r="AK20" s="23"/>
      <c r="AL20" s="8"/>
      <c r="AM20" s="8"/>
      <c r="AN20" s="8"/>
      <c r="AO20" s="8"/>
      <c r="AP20" s="8"/>
      <c r="AQ20" s="14"/>
      <c r="AR20" s="34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27"/>
      <c r="BI20" s="20"/>
      <c r="BJ20" s="20"/>
      <c r="BK20" s="20"/>
      <c r="BL20" s="20"/>
      <c r="BM20" s="19"/>
      <c r="BN20" s="14"/>
      <c r="BP20" s="57"/>
      <c r="BT20" s="57"/>
      <c r="CE20" s="58"/>
    </row>
    <row r="21" spans="1:83" s="11" customFormat="1" ht="13.5" customHeight="1" x14ac:dyDescent="0.3">
      <c r="A21" s="24"/>
      <c r="B21" s="28"/>
      <c r="C21" s="12"/>
      <c r="D21" s="12"/>
      <c r="E21" s="12"/>
      <c r="F21" s="12"/>
      <c r="G21" s="12"/>
      <c r="H21" s="18"/>
      <c r="I21" s="29"/>
      <c r="J21"/>
      <c r="K21"/>
      <c r="L21"/>
      <c r="M21"/>
      <c r="N21"/>
      <c r="O21" s="18"/>
      <c r="P21" s="29"/>
      <c r="Q21"/>
      <c r="R21"/>
      <c r="S21"/>
      <c r="T21"/>
      <c r="U21"/>
      <c r="V21" s="18"/>
      <c r="W21" s="29"/>
      <c r="X21"/>
      <c r="Y21"/>
      <c r="Z21"/>
      <c r="AA21"/>
      <c r="AB21"/>
      <c r="AC21" s="18"/>
      <c r="AD21"/>
      <c r="AE21"/>
      <c r="AF21"/>
      <c r="AG21"/>
      <c r="AH21"/>
      <c r="AI21"/>
      <c r="AJ21" s="18"/>
      <c r="AK21" s="23"/>
      <c r="AL21" s="8"/>
      <c r="AM21" s="8"/>
      <c r="AN21" s="8"/>
      <c r="AO21" s="8"/>
      <c r="AP21" s="8"/>
      <c r="AQ21" s="14"/>
      <c r="AR21" s="30"/>
      <c r="AS21" s="21" t="s">
        <v>517</v>
      </c>
      <c r="AT21" s="17"/>
      <c r="AU21" s="17"/>
      <c r="AV21" s="17"/>
      <c r="AW21" s="17"/>
      <c r="AY21" s="17"/>
      <c r="AZ21" s="17"/>
      <c r="BA21" s="17"/>
      <c r="BB21" s="17"/>
      <c r="BC21" s="17"/>
      <c r="BD21" s="17"/>
      <c r="BE21" s="17"/>
      <c r="BH21" s="30"/>
      <c r="BI21" s="8"/>
      <c r="BM21" s="13"/>
      <c r="BN21" s="14"/>
      <c r="BP21" s="57"/>
      <c r="BT21" s="57"/>
      <c r="CE21" s="58"/>
    </row>
    <row r="22" spans="1:83" s="11" customFormat="1" x14ac:dyDescent="0.3">
      <c r="A22" s="24"/>
      <c r="B22" s="28"/>
      <c r="C22" s="12"/>
      <c r="D22" s="12"/>
      <c r="E22" s="12"/>
      <c r="F22" s="12"/>
      <c r="G22" s="12"/>
      <c r="H22" s="18"/>
      <c r="I22" s="30"/>
      <c r="O22" s="13"/>
      <c r="P22" s="30"/>
      <c r="V22" s="13"/>
      <c r="W22" s="30"/>
      <c r="AC22" s="13"/>
      <c r="AJ22" s="18"/>
      <c r="AK22" s="23"/>
      <c r="AL22" s="8"/>
      <c r="AM22" s="8"/>
      <c r="AN22" s="8"/>
      <c r="AO22" s="8"/>
      <c r="AP22" s="8"/>
      <c r="AQ22" s="14"/>
      <c r="AS22" s="17"/>
      <c r="AT22" s="17" t="s">
        <v>518</v>
      </c>
      <c r="AU22" s="17"/>
      <c r="AV22" s="17"/>
      <c r="AW22" s="17"/>
      <c r="AY22" s="17"/>
      <c r="AZ22" s="17"/>
      <c r="BA22" s="17"/>
      <c r="BB22" s="17"/>
      <c r="BC22" s="17"/>
      <c r="BD22" s="17"/>
      <c r="BE22" s="17"/>
      <c r="BH22" s="30"/>
      <c r="BM22" s="13"/>
      <c r="BN22" s="14"/>
      <c r="BP22" s="57"/>
      <c r="BT22" s="57"/>
      <c r="CE22" s="58"/>
    </row>
    <row r="23" spans="1:83" x14ac:dyDescent="0.3">
      <c r="A23" s="23"/>
      <c r="B23" s="23"/>
      <c r="H23" s="14"/>
      <c r="I23" s="23"/>
      <c r="O23" s="14"/>
      <c r="P23" s="23"/>
      <c r="V23" s="14"/>
      <c r="W23" s="23"/>
      <c r="AC23" s="14"/>
      <c r="AJ23" s="18"/>
      <c r="AK23" s="23"/>
      <c r="AQ23" s="14"/>
      <c r="AR23" s="30"/>
      <c r="AS23" s="21"/>
      <c r="AT23" s="17" t="s">
        <v>519</v>
      </c>
      <c r="AU23" s="17"/>
      <c r="AV23" s="17"/>
      <c r="AW23" s="17"/>
      <c r="AY23" s="17"/>
      <c r="AZ23" s="17"/>
      <c r="BA23" s="17"/>
      <c r="BB23" s="17"/>
      <c r="BC23" s="17"/>
      <c r="BD23" s="17"/>
      <c r="BE23" s="17"/>
      <c r="BF23" s="11"/>
      <c r="BG23" s="11"/>
      <c r="BH23" s="23"/>
      <c r="BM23" s="14"/>
      <c r="BN23" s="14"/>
      <c r="BP23" s="59"/>
      <c r="BT23" s="59"/>
      <c r="CE23" s="60"/>
    </row>
    <row r="24" spans="1:83" x14ac:dyDescent="0.3">
      <c r="A24" s="23"/>
      <c r="B24" s="23"/>
      <c r="H24" s="14"/>
      <c r="I24" s="23"/>
      <c r="O24" s="14"/>
      <c r="P24" s="23"/>
      <c r="V24" s="14"/>
      <c r="W24" s="23"/>
      <c r="AC24" s="14"/>
      <c r="AJ24" s="18"/>
      <c r="AK24" s="23"/>
      <c r="AQ24" s="14"/>
      <c r="AR24" s="30"/>
      <c r="AS24" s="11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G24" s="11"/>
      <c r="BH24" s="23"/>
      <c r="BM24" s="14"/>
      <c r="BN24" s="14"/>
      <c r="BP24" s="59"/>
      <c r="BT24" s="59"/>
      <c r="CE24" s="60"/>
    </row>
    <row r="25" spans="1:83" x14ac:dyDescent="0.3">
      <c r="A25" s="23"/>
      <c r="B25" s="23"/>
      <c r="H25" s="14"/>
      <c r="I25" s="23"/>
      <c r="O25" s="14"/>
      <c r="P25" s="23"/>
      <c r="V25" s="14"/>
      <c r="W25" s="23"/>
      <c r="AC25" s="14"/>
      <c r="AJ25" s="18"/>
      <c r="AK25" s="23"/>
      <c r="AQ25" s="14"/>
      <c r="AR25" s="30"/>
      <c r="AS25" s="11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G25" s="11"/>
      <c r="BH25" s="23"/>
      <c r="BM25" s="14"/>
      <c r="BN25" s="14"/>
      <c r="BP25" s="59"/>
      <c r="BT25" s="59"/>
      <c r="CE25" s="60"/>
    </row>
    <row r="26" spans="1:83" x14ac:dyDescent="0.3">
      <c r="A26" s="23"/>
      <c r="B26" s="23"/>
      <c r="H26" s="14"/>
      <c r="I26" s="23"/>
      <c r="O26" s="14"/>
      <c r="P26" s="23"/>
      <c r="V26" s="14"/>
      <c r="W26" s="23"/>
      <c r="AC26" s="14"/>
      <c r="AJ26" s="18"/>
      <c r="AK26" s="23"/>
      <c r="AQ26" s="14"/>
      <c r="AR26" s="23"/>
      <c r="AS26" s="21" t="s">
        <v>520</v>
      </c>
      <c r="AT26" s="17"/>
      <c r="AW26" s="17"/>
      <c r="AX26" s="17"/>
      <c r="AY26" s="17"/>
      <c r="AZ26" s="17"/>
      <c r="BA26" s="17"/>
      <c r="BB26" s="17"/>
      <c r="BC26" s="17"/>
      <c r="BD26" s="17"/>
      <c r="BE26" s="17"/>
      <c r="BG26" s="11"/>
      <c r="BH26" s="23"/>
      <c r="BM26" s="14"/>
      <c r="BN26" s="14"/>
      <c r="BP26" s="59"/>
      <c r="BT26" s="59"/>
      <c r="CE26" s="60"/>
    </row>
    <row r="27" spans="1:83" x14ac:dyDescent="0.3">
      <c r="A27" s="23"/>
      <c r="B27" s="23"/>
      <c r="H27" s="14"/>
      <c r="I27" s="23"/>
      <c r="O27" s="14"/>
      <c r="P27" s="23"/>
      <c r="V27" s="14"/>
      <c r="W27" s="23"/>
      <c r="AC27" s="14"/>
      <c r="AJ27" s="18"/>
      <c r="AK27" s="23"/>
      <c r="AQ27" s="14"/>
      <c r="AR27" s="23"/>
      <c r="AT27" s="8" t="s">
        <v>521</v>
      </c>
      <c r="AW27" s="17"/>
      <c r="AX27" s="17"/>
      <c r="AY27" s="17"/>
      <c r="AZ27" s="17"/>
      <c r="BA27" s="17"/>
      <c r="BB27" s="17"/>
      <c r="BC27" s="17"/>
      <c r="BD27" s="17"/>
      <c r="BE27" s="17"/>
      <c r="BG27" s="11"/>
      <c r="BH27" s="23"/>
      <c r="BM27" s="14"/>
      <c r="BN27" s="14"/>
      <c r="BP27" s="59"/>
      <c r="BT27" s="59"/>
      <c r="CE27" s="60"/>
    </row>
    <row r="28" spans="1:83" x14ac:dyDescent="0.3">
      <c r="A28" s="23"/>
      <c r="B28" s="23"/>
      <c r="H28" s="14"/>
      <c r="I28" s="23"/>
      <c r="O28" s="14"/>
      <c r="P28" s="23"/>
      <c r="V28" s="14"/>
      <c r="W28" s="23"/>
      <c r="AC28" s="14"/>
      <c r="AJ28" s="18"/>
      <c r="AK28" s="23"/>
      <c r="AQ28" s="14"/>
      <c r="AR28" s="23"/>
      <c r="AW28" s="17"/>
      <c r="AX28" s="17"/>
      <c r="AY28" s="17"/>
      <c r="AZ28" s="17"/>
      <c r="BA28" s="17"/>
      <c r="BB28" s="17"/>
      <c r="BC28" s="17"/>
      <c r="BD28" s="17"/>
      <c r="BE28" s="17"/>
      <c r="BH28" s="23"/>
      <c r="BM28" s="14"/>
      <c r="BN28" s="14"/>
      <c r="BP28" s="59"/>
      <c r="BT28" s="59"/>
      <c r="CE28" s="60"/>
    </row>
    <row r="29" spans="1:83" x14ac:dyDescent="0.3">
      <c r="A29" s="23"/>
      <c r="B29" s="23"/>
      <c r="H29" s="14"/>
      <c r="I29" s="23"/>
      <c r="O29" s="14"/>
      <c r="P29" s="23"/>
      <c r="V29" s="14"/>
      <c r="W29" s="23"/>
      <c r="AC29" s="14"/>
      <c r="AJ29" s="18"/>
      <c r="AK29" s="23"/>
      <c r="AQ29" s="14"/>
      <c r="AR29" s="23"/>
      <c r="AW29" s="17"/>
      <c r="AX29" s="17"/>
      <c r="AY29" s="17"/>
      <c r="AZ29" s="17"/>
      <c r="BA29" s="17"/>
      <c r="BB29" s="17"/>
      <c r="BC29" s="17"/>
      <c r="BD29" s="17"/>
      <c r="BE29" s="17"/>
      <c r="BH29" s="23"/>
      <c r="BM29" s="14"/>
      <c r="BN29" s="14"/>
      <c r="BP29" s="59"/>
      <c r="BT29" s="59"/>
      <c r="CE29" s="60"/>
    </row>
    <row r="30" spans="1:83" x14ac:dyDescent="0.3">
      <c r="A30" s="23"/>
      <c r="B30" s="23"/>
      <c r="H30" s="14"/>
      <c r="I30" s="23"/>
      <c r="O30" s="14"/>
      <c r="P30" s="23"/>
      <c r="V30" s="14"/>
      <c r="W30" s="23"/>
      <c r="AC30" s="14"/>
      <c r="AJ30" s="18"/>
      <c r="AK30" s="23"/>
      <c r="AQ30" s="14"/>
      <c r="AR30" s="23"/>
      <c r="AS30" s="21"/>
      <c r="AW30" s="17"/>
      <c r="AX30" s="17"/>
      <c r="AY30" s="17"/>
      <c r="AZ30" s="17"/>
      <c r="BA30" s="17"/>
      <c r="BB30" s="17"/>
      <c r="BC30" s="17"/>
      <c r="BD30" s="17"/>
      <c r="BE30" s="17"/>
      <c r="BH30" s="23"/>
      <c r="BM30" s="14"/>
      <c r="BN30" s="14"/>
      <c r="BP30" s="59"/>
      <c r="BT30" s="59"/>
      <c r="CE30" s="60"/>
    </row>
    <row r="31" spans="1:83" x14ac:dyDescent="0.3">
      <c r="A31" s="23"/>
      <c r="B31" s="23"/>
      <c r="H31" s="14"/>
      <c r="I31" s="23"/>
      <c r="O31" s="14"/>
      <c r="P31" s="23"/>
      <c r="V31" s="14"/>
      <c r="W31" s="23"/>
      <c r="AC31" s="14"/>
      <c r="AJ31" s="18"/>
      <c r="AK31" s="23"/>
      <c r="AQ31" s="14"/>
      <c r="AR31" s="23"/>
      <c r="AW31" s="17"/>
      <c r="AX31" s="17"/>
      <c r="AY31" s="17"/>
      <c r="AZ31" s="17"/>
      <c r="BA31" s="17"/>
      <c r="BB31" s="17"/>
      <c r="BC31" s="17"/>
      <c r="BD31" s="17"/>
      <c r="BE31" s="17"/>
      <c r="BH31" s="23"/>
      <c r="BM31" s="14"/>
      <c r="BN31" s="14"/>
      <c r="BP31" s="59"/>
      <c r="BT31" s="59"/>
      <c r="CE31" s="60"/>
    </row>
    <row r="32" spans="1:83" x14ac:dyDescent="0.3">
      <c r="A32" s="23"/>
      <c r="B32" s="23"/>
      <c r="H32" s="14"/>
      <c r="I32" s="23"/>
      <c r="O32" s="14"/>
      <c r="P32" s="23"/>
      <c r="V32" s="14"/>
      <c r="W32" s="23"/>
      <c r="AC32" s="14"/>
      <c r="AJ32" s="18"/>
      <c r="AK32" s="23"/>
      <c r="AQ32" s="14"/>
      <c r="AR32" s="23"/>
      <c r="AW32" s="17"/>
      <c r="AX32" s="17"/>
      <c r="AY32" s="17"/>
      <c r="AZ32" s="17"/>
      <c r="BA32" s="17"/>
      <c r="BB32" s="17"/>
      <c r="BC32" s="17"/>
      <c r="BD32" s="17"/>
      <c r="BE32" s="17"/>
      <c r="BH32" s="23"/>
      <c r="BM32" s="14"/>
      <c r="BN32" s="14"/>
      <c r="BP32" s="59"/>
      <c r="BT32" s="59"/>
      <c r="CE32" s="60"/>
    </row>
    <row r="33" spans="1:83" x14ac:dyDescent="0.3">
      <c r="A33" s="23"/>
      <c r="B33" s="23"/>
      <c r="H33" s="14"/>
      <c r="I33" s="23"/>
      <c r="O33" s="14"/>
      <c r="P33" s="23"/>
      <c r="V33" s="14"/>
      <c r="W33" s="23"/>
      <c r="AC33" s="14"/>
      <c r="AJ33" s="18"/>
      <c r="AK33" s="23"/>
      <c r="AQ33" s="14"/>
      <c r="AR33" s="23"/>
      <c r="AW33" s="17"/>
      <c r="AX33" s="17"/>
      <c r="AY33" s="17"/>
      <c r="AZ33" s="17"/>
      <c r="BA33" s="17"/>
      <c r="BB33" s="17"/>
      <c r="BC33" s="17"/>
      <c r="BD33" s="17"/>
      <c r="BE33" s="17"/>
      <c r="BH33" s="23"/>
      <c r="BM33" s="14"/>
      <c r="BN33" s="14"/>
      <c r="BP33" s="59"/>
      <c r="BT33" s="59"/>
      <c r="CE33" s="60"/>
    </row>
    <row r="34" spans="1:83" x14ac:dyDescent="0.3">
      <c r="A34" s="23"/>
      <c r="B34" s="23"/>
      <c r="H34" s="14"/>
      <c r="I34" s="23"/>
      <c r="O34" s="14"/>
      <c r="P34" s="23"/>
      <c r="V34" s="14"/>
      <c r="W34" s="23"/>
      <c r="AC34" s="14"/>
      <c r="AJ34" s="18"/>
      <c r="AK34" s="23"/>
      <c r="AQ34" s="14"/>
      <c r="AR34" s="23"/>
      <c r="AS34" s="21" t="s">
        <v>522</v>
      </c>
      <c r="AT34" s="17"/>
      <c r="AW34" s="17"/>
      <c r="AX34" s="17"/>
      <c r="AY34" s="17"/>
      <c r="AZ34" s="17"/>
      <c r="BA34" s="17"/>
      <c r="BB34" s="17"/>
      <c r="BC34" s="17"/>
      <c r="BD34" s="17"/>
      <c r="BE34" s="17"/>
      <c r="BH34" s="23"/>
      <c r="BM34" s="14"/>
      <c r="BN34" s="14"/>
      <c r="BP34" s="59"/>
      <c r="BT34" s="59"/>
      <c r="CE34" s="60"/>
    </row>
    <row r="35" spans="1:83" x14ac:dyDescent="0.3">
      <c r="A35" s="23"/>
      <c r="B35" s="23"/>
      <c r="H35" s="14"/>
      <c r="I35" s="23"/>
      <c r="O35" s="14"/>
      <c r="P35" s="23"/>
      <c r="V35" s="14"/>
      <c r="W35" s="23"/>
      <c r="AC35" s="14"/>
      <c r="AJ35" s="18"/>
      <c r="AK35" s="23"/>
      <c r="AQ35" s="14"/>
      <c r="AR35" s="23"/>
      <c r="AT35" s="8" t="s">
        <v>452</v>
      </c>
      <c r="AW35" s="17"/>
      <c r="AX35" s="17"/>
      <c r="AY35" s="17"/>
      <c r="AZ35" s="17"/>
      <c r="BA35" s="17"/>
      <c r="BB35" s="17"/>
      <c r="BC35" s="17"/>
      <c r="BD35" s="17"/>
      <c r="BE35" s="17"/>
      <c r="BH35" s="23"/>
      <c r="BM35" s="14"/>
      <c r="BN35" s="14"/>
      <c r="BP35" s="59"/>
      <c r="BT35" s="59"/>
      <c r="CE35" s="60"/>
    </row>
    <row r="36" spans="1:83" x14ac:dyDescent="0.3">
      <c r="A36" s="23"/>
      <c r="B36" s="23"/>
      <c r="H36" s="14"/>
      <c r="I36" s="23"/>
      <c r="O36" s="14"/>
      <c r="P36" s="23"/>
      <c r="V36" s="14"/>
      <c r="W36" s="23"/>
      <c r="AC36" s="14"/>
      <c r="AJ36" s="18"/>
      <c r="AK36" s="23"/>
      <c r="AQ36" s="14"/>
      <c r="AR36" s="23"/>
      <c r="BB36" s="11"/>
      <c r="BH36" s="23"/>
      <c r="BM36" s="14"/>
      <c r="BN36" s="14"/>
      <c r="BP36" s="59"/>
      <c r="BT36" s="59"/>
      <c r="CE36" s="60"/>
    </row>
    <row r="37" spans="1:83" x14ac:dyDescent="0.3">
      <c r="A37" s="23"/>
      <c r="B37" s="23"/>
      <c r="H37" s="14"/>
      <c r="I37" s="23"/>
      <c r="O37" s="14"/>
      <c r="P37" s="23"/>
      <c r="V37" s="14"/>
      <c r="W37" s="23"/>
      <c r="AC37" s="14"/>
      <c r="AJ37" s="18"/>
      <c r="AK37" s="23"/>
      <c r="AQ37" s="14"/>
      <c r="AR37" s="23"/>
      <c r="AS37" s="11"/>
      <c r="BB37" s="11"/>
      <c r="BH37" s="23"/>
      <c r="BM37" s="14"/>
      <c r="BN37" s="14"/>
      <c r="BP37" s="59"/>
      <c r="BT37" s="59"/>
      <c r="CE37" s="60"/>
    </row>
    <row r="38" spans="1:83" x14ac:dyDescent="0.3">
      <c r="A38" s="23"/>
      <c r="B38" s="23"/>
      <c r="H38" s="14"/>
      <c r="I38" s="23"/>
      <c r="O38" s="14"/>
      <c r="P38" s="23"/>
      <c r="V38" s="14"/>
      <c r="W38" s="23"/>
      <c r="AC38" s="14"/>
      <c r="AJ38" s="18"/>
      <c r="AK38" s="23"/>
      <c r="AQ38" s="14"/>
      <c r="AR38" s="23"/>
      <c r="AS38" s="16"/>
      <c r="AT38" s="11"/>
      <c r="AU38" s="11"/>
      <c r="AV38" s="11"/>
      <c r="BB38" s="11"/>
      <c r="BH38" s="23"/>
      <c r="BM38" s="14"/>
      <c r="BN38" s="14"/>
      <c r="BP38" s="59"/>
      <c r="BT38" s="59"/>
      <c r="CE38" s="60"/>
    </row>
    <row r="39" spans="1:83" x14ac:dyDescent="0.3">
      <c r="A39" s="23"/>
      <c r="B39" s="23"/>
      <c r="H39" s="14"/>
      <c r="I39" s="23"/>
      <c r="O39" s="14"/>
      <c r="P39" s="23"/>
      <c r="V39" s="14"/>
      <c r="W39" s="23"/>
      <c r="AC39" s="14"/>
      <c r="AJ39" s="18"/>
      <c r="AK39" s="23"/>
      <c r="AQ39" s="14"/>
      <c r="AR39" s="23"/>
      <c r="AS39" s="11"/>
      <c r="AT39" s="11"/>
      <c r="AU39" s="11"/>
      <c r="AV39" s="11"/>
      <c r="BB39" s="11"/>
      <c r="BH39" s="23"/>
      <c r="BM39" s="14"/>
      <c r="BN39" s="14"/>
      <c r="BP39" s="59"/>
      <c r="BT39" s="59"/>
      <c r="CE39" s="60"/>
    </row>
    <row r="40" spans="1:83" x14ac:dyDescent="0.3">
      <c r="A40" s="23"/>
      <c r="B40" s="23"/>
      <c r="H40" s="14"/>
      <c r="I40" s="23"/>
      <c r="O40" s="14"/>
      <c r="P40" s="23"/>
      <c r="V40" s="14"/>
      <c r="W40" s="23"/>
      <c r="AC40" s="14"/>
      <c r="AJ40" s="18"/>
      <c r="AK40" s="23"/>
      <c r="AQ40" s="14"/>
      <c r="AR40" s="23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H40" s="23"/>
      <c r="BM40" s="14"/>
      <c r="BN40" s="14"/>
      <c r="BP40" s="59"/>
      <c r="BT40" s="59"/>
      <c r="CE40" s="60"/>
    </row>
    <row r="41" spans="1:83" s="11" customFormat="1" x14ac:dyDescent="0.3">
      <c r="A41" s="24"/>
      <c r="B41" s="37" t="s">
        <v>523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22"/>
      <c r="AL41" s="22"/>
      <c r="AM41" s="22"/>
      <c r="AN41" s="22"/>
      <c r="AO41" s="22"/>
      <c r="AP41" s="22"/>
      <c r="AQ41" s="2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40"/>
      <c r="BN41" s="13"/>
      <c r="BP41" s="54"/>
      <c r="BQ41" s="55"/>
      <c r="BR41" s="55"/>
      <c r="BS41" s="55"/>
      <c r="BT41" s="54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6"/>
    </row>
    <row r="42" spans="1:83" s="11" customFormat="1" x14ac:dyDescent="0.3">
      <c r="A42" s="24"/>
      <c r="B42" s="41"/>
      <c r="C42" s="42"/>
      <c r="D42" s="42"/>
      <c r="E42" s="42"/>
      <c r="F42" s="42"/>
      <c r="G42" s="42"/>
      <c r="H42" s="43"/>
      <c r="I42" s="44"/>
      <c r="J42" s="42"/>
      <c r="K42" s="42"/>
      <c r="L42" s="42"/>
      <c r="M42" s="42"/>
      <c r="N42" s="42"/>
      <c r="O42" s="43"/>
      <c r="P42" s="44"/>
      <c r="Q42" s="42"/>
      <c r="R42" s="42"/>
      <c r="S42" s="42"/>
      <c r="T42" s="42"/>
      <c r="U42" s="42"/>
      <c r="V42" s="43"/>
      <c r="W42" s="44"/>
      <c r="X42" s="42"/>
      <c r="Y42" s="42"/>
      <c r="Z42" s="42"/>
      <c r="AA42" s="42"/>
      <c r="AB42" s="42"/>
      <c r="AC42" s="43"/>
      <c r="AD42" s="42"/>
      <c r="AE42" s="42"/>
      <c r="AF42" s="42"/>
      <c r="AG42" s="42"/>
      <c r="AH42" s="42"/>
      <c r="AI42" s="42"/>
      <c r="AJ42" s="43"/>
      <c r="AK42" s="44"/>
      <c r="AL42" s="42"/>
      <c r="AM42" s="42"/>
      <c r="AN42" s="42"/>
      <c r="AO42" s="42"/>
      <c r="AP42" s="42"/>
      <c r="AQ42" s="43"/>
      <c r="AR42" s="45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4"/>
      <c r="BI42" s="42"/>
      <c r="BJ42" s="42"/>
      <c r="BK42" s="42"/>
      <c r="BL42" s="42"/>
      <c r="BM42" s="43"/>
      <c r="BN42" s="13"/>
      <c r="BP42" s="57"/>
      <c r="BT42" s="57"/>
      <c r="CE42" s="58"/>
    </row>
    <row r="43" spans="1:83" s="11" customFormat="1" ht="13.5" customHeight="1" x14ac:dyDescent="0.3">
      <c r="A43" s="24"/>
      <c r="B43" s="26"/>
      <c r="C43" s="20"/>
      <c r="D43" s="20"/>
      <c r="E43" s="20"/>
      <c r="F43" s="20"/>
      <c r="G43" s="20"/>
      <c r="H43" s="19"/>
      <c r="I43" s="27"/>
      <c r="J43" s="20"/>
      <c r="K43" s="20"/>
      <c r="L43" s="20"/>
      <c r="M43" s="20"/>
      <c r="N43" s="20"/>
      <c r="O43" s="19"/>
      <c r="P43" s="27"/>
      <c r="Q43" s="20"/>
      <c r="R43" s="20"/>
      <c r="S43" s="20"/>
      <c r="T43" s="20"/>
      <c r="U43" s="20"/>
      <c r="V43" s="19"/>
      <c r="W43" s="27"/>
      <c r="X43" s="20"/>
      <c r="Y43" s="20"/>
      <c r="Z43" s="20"/>
      <c r="AA43" s="20"/>
      <c r="AB43" s="20"/>
      <c r="AC43" s="19"/>
      <c r="AD43" s="20"/>
      <c r="AE43" s="20"/>
      <c r="AF43" s="20"/>
      <c r="AG43" s="20"/>
      <c r="AH43" s="20"/>
      <c r="AI43" s="20"/>
      <c r="AJ43" s="19"/>
      <c r="AK43" s="27"/>
      <c r="AL43" s="20"/>
      <c r="AM43" s="20"/>
      <c r="AN43" s="20"/>
      <c r="AO43" s="20"/>
      <c r="AP43" s="20"/>
      <c r="AQ43" s="19"/>
      <c r="AR43" s="34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27"/>
      <c r="BI43" s="20"/>
      <c r="BJ43" s="20"/>
      <c r="BK43" s="20"/>
      <c r="BL43" s="20"/>
      <c r="BM43" s="19"/>
      <c r="BN43" s="13"/>
      <c r="BP43" s="57"/>
      <c r="BT43" s="242"/>
      <c r="BU43" s="243"/>
      <c r="BV43" s="243"/>
      <c r="BW43" s="243"/>
      <c r="BX43" s="243"/>
      <c r="BY43" s="243"/>
      <c r="BZ43" s="243"/>
      <c r="CA43" s="243"/>
      <c r="CB43" s="243"/>
      <c r="CC43" s="243"/>
      <c r="CD43" s="243"/>
      <c r="CE43" s="244"/>
    </row>
    <row r="44" spans="1:83" s="11" customFormat="1" x14ac:dyDescent="0.3">
      <c r="A44" s="24"/>
      <c r="B44" s="26"/>
      <c r="C44" s="20"/>
      <c r="D44" s="20"/>
      <c r="E44" s="20"/>
      <c r="F44" s="20"/>
      <c r="G44" s="20"/>
      <c r="H44" s="19"/>
      <c r="I44" s="27"/>
      <c r="J44" s="20"/>
      <c r="K44" s="20"/>
      <c r="L44" s="20"/>
      <c r="M44" s="20"/>
      <c r="N44" s="20"/>
      <c r="O44" s="19"/>
      <c r="P44" s="27"/>
      <c r="Q44" s="20"/>
      <c r="R44" s="20"/>
      <c r="S44" s="20"/>
      <c r="T44" s="20"/>
      <c r="U44" s="20"/>
      <c r="V44" s="19"/>
      <c r="W44" s="27"/>
      <c r="X44" s="20"/>
      <c r="Y44" s="20"/>
      <c r="Z44" s="20"/>
      <c r="AA44" s="20"/>
      <c r="AB44" s="20"/>
      <c r="AC44" s="19"/>
      <c r="AD44" s="20"/>
      <c r="AE44" s="20"/>
      <c r="AF44" s="20"/>
      <c r="AG44" s="20"/>
      <c r="AH44" s="20"/>
      <c r="AI44" s="20"/>
      <c r="AJ44" s="19"/>
      <c r="AK44" s="27"/>
      <c r="AL44" s="20"/>
      <c r="AM44" s="20"/>
      <c r="AN44" s="20"/>
      <c r="AO44" s="20"/>
      <c r="AP44" s="20"/>
      <c r="AQ44" s="19"/>
      <c r="AR44" s="34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27"/>
      <c r="BI44" s="20"/>
      <c r="BJ44" s="20"/>
      <c r="BK44" s="20"/>
      <c r="BL44" s="20"/>
      <c r="BM44" s="19"/>
      <c r="BN44" s="13"/>
      <c r="BP44" s="57"/>
      <c r="BT44" s="242"/>
      <c r="BU44" s="243"/>
      <c r="BV44" s="243"/>
      <c r="BW44" s="243"/>
      <c r="BX44" s="243"/>
      <c r="BY44" s="243"/>
      <c r="BZ44" s="243"/>
      <c r="CA44" s="243"/>
      <c r="CB44" s="243"/>
      <c r="CC44" s="243"/>
      <c r="CD44" s="243"/>
      <c r="CE44" s="244"/>
    </row>
    <row r="45" spans="1:83" s="11" customFormat="1" x14ac:dyDescent="0.3">
      <c r="A45" s="24"/>
      <c r="B45" s="26"/>
      <c r="C45" s="20"/>
      <c r="D45" s="20"/>
      <c r="E45" s="20"/>
      <c r="F45" s="20"/>
      <c r="G45" s="20"/>
      <c r="H45" s="19"/>
      <c r="I45" s="27"/>
      <c r="J45" s="20"/>
      <c r="K45" s="20"/>
      <c r="L45" s="20"/>
      <c r="M45" s="20"/>
      <c r="N45" s="20"/>
      <c r="O45" s="19"/>
      <c r="P45" s="27"/>
      <c r="Q45" s="20"/>
      <c r="R45" s="20"/>
      <c r="S45" s="20"/>
      <c r="T45" s="20"/>
      <c r="U45" s="20"/>
      <c r="V45" s="19"/>
      <c r="W45" s="27"/>
      <c r="X45" s="20"/>
      <c r="Y45" s="20"/>
      <c r="Z45" s="20"/>
      <c r="AA45" s="20"/>
      <c r="AB45" s="20"/>
      <c r="AC45" s="19"/>
      <c r="AD45" s="20"/>
      <c r="AE45" s="20"/>
      <c r="AF45" s="20"/>
      <c r="AG45" s="20"/>
      <c r="AH45" s="20"/>
      <c r="AI45" s="20"/>
      <c r="AJ45" s="19"/>
      <c r="AK45" s="27"/>
      <c r="AL45" s="20"/>
      <c r="AM45" s="20"/>
      <c r="AN45" s="20"/>
      <c r="AO45" s="20"/>
      <c r="AP45" s="20"/>
      <c r="AQ45" s="19"/>
      <c r="AR45" s="34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27"/>
      <c r="BI45" s="20"/>
      <c r="BJ45" s="20"/>
      <c r="BK45" s="20"/>
      <c r="BL45" s="20"/>
      <c r="BM45" s="19"/>
      <c r="BN45" s="13"/>
      <c r="BP45" s="57"/>
      <c r="BT45" s="57"/>
      <c r="CE45" s="58"/>
    </row>
    <row r="46" spans="1:83" s="11" customFormat="1" x14ac:dyDescent="0.3">
      <c r="A46" s="24"/>
      <c r="B46" s="26"/>
      <c r="C46" s="20"/>
      <c r="D46" s="20"/>
      <c r="E46" s="20"/>
      <c r="F46" s="20"/>
      <c r="G46" s="20"/>
      <c r="H46" s="19"/>
      <c r="I46" s="27"/>
      <c r="J46" s="20"/>
      <c r="K46" s="20"/>
      <c r="L46" s="20"/>
      <c r="M46" s="20"/>
      <c r="N46" s="20"/>
      <c r="O46" s="19"/>
      <c r="P46" s="27"/>
      <c r="Q46" s="20"/>
      <c r="R46" s="20"/>
      <c r="S46" s="20"/>
      <c r="T46" s="20"/>
      <c r="U46" s="20"/>
      <c r="V46" s="19"/>
      <c r="W46" s="27"/>
      <c r="X46" s="20"/>
      <c r="Y46" s="20"/>
      <c r="Z46" s="20"/>
      <c r="AA46" s="20"/>
      <c r="AB46" s="20"/>
      <c r="AC46" s="19"/>
      <c r="AD46" s="20"/>
      <c r="AE46" s="20"/>
      <c r="AF46" s="20"/>
      <c r="AG46" s="20"/>
      <c r="AH46" s="20"/>
      <c r="AI46" s="20"/>
      <c r="AJ46" s="19"/>
      <c r="AK46" s="27"/>
      <c r="AL46" s="20"/>
      <c r="AM46" s="20"/>
      <c r="AN46" s="20"/>
      <c r="AO46" s="20"/>
      <c r="AP46" s="20"/>
      <c r="AQ46" s="19"/>
      <c r="AR46" s="34"/>
      <c r="AS46" s="21" t="s">
        <v>524</v>
      </c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27"/>
      <c r="BI46" s="20"/>
      <c r="BJ46" s="20"/>
      <c r="BK46" s="20"/>
      <c r="BL46" s="20"/>
      <c r="BM46" s="19"/>
      <c r="BN46" s="13"/>
      <c r="BP46" s="57"/>
      <c r="BT46" s="57"/>
      <c r="CE46" s="58"/>
    </row>
    <row r="47" spans="1:83" s="11" customFormat="1" x14ac:dyDescent="0.3">
      <c r="A47" s="24"/>
      <c r="B47" s="26"/>
      <c r="C47" s="20"/>
      <c r="D47" s="20"/>
      <c r="E47" s="20"/>
      <c r="F47" s="20"/>
      <c r="G47" s="20"/>
      <c r="H47" s="19"/>
      <c r="I47" s="27"/>
      <c r="J47" s="20"/>
      <c r="K47" s="20"/>
      <c r="L47" s="20"/>
      <c r="M47" s="20"/>
      <c r="N47" s="20"/>
      <c r="O47" s="19"/>
      <c r="P47" s="27"/>
      <c r="Q47" s="20"/>
      <c r="R47" s="20"/>
      <c r="S47" s="20"/>
      <c r="T47" s="20"/>
      <c r="U47" s="20"/>
      <c r="V47" s="19"/>
      <c r="W47" s="27"/>
      <c r="X47" s="20"/>
      <c r="Y47" s="20"/>
      <c r="Z47" s="20"/>
      <c r="AA47" s="20"/>
      <c r="AB47" s="20"/>
      <c r="AC47" s="19"/>
      <c r="AD47" s="20"/>
      <c r="AE47" s="20"/>
      <c r="AF47" s="20"/>
      <c r="AG47" s="20"/>
      <c r="AH47" s="20"/>
      <c r="AI47" s="20"/>
      <c r="AJ47" s="19"/>
      <c r="AK47" s="29"/>
      <c r="AL47"/>
      <c r="AM47"/>
      <c r="AN47"/>
      <c r="AO47"/>
      <c r="AP47"/>
      <c r="AQ47" s="18"/>
      <c r="AR47" s="34"/>
      <c r="AS47" s="17"/>
      <c r="AT47" s="17" t="s">
        <v>525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27"/>
      <c r="BI47" s="20"/>
      <c r="BJ47" s="20"/>
      <c r="BK47" s="20"/>
      <c r="BL47" s="20"/>
      <c r="BM47" s="19"/>
      <c r="BN47" s="13"/>
      <c r="BP47" s="57"/>
      <c r="BT47" s="57"/>
      <c r="CE47" s="58"/>
    </row>
    <row r="48" spans="1:83" s="11" customFormat="1" x14ac:dyDescent="0.3">
      <c r="A48" s="24"/>
      <c r="B48" s="26"/>
      <c r="C48" s="20"/>
      <c r="D48" s="20"/>
      <c r="E48" s="20"/>
      <c r="F48" s="20"/>
      <c r="G48" s="20"/>
      <c r="H48" s="19"/>
      <c r="I48" s="27"/>
      <c r="J48" s="20"/>
      <c r="K48" s="20"/>
      <c r="L48" s="20"/>
      <c r="M48" s="20"/>
      <c r="N48" s="20"/>
      <c r="O48" s="19"/>
      <c r="P48" s="27"/>
      <c r="Q48" s="20"/>
      <c r="R48" s="20"/>
      <c r="S48" s="20"/>
      <c r="T48" s="20"/>
      <c r="U48" s="20"/>
      <c r="V48" s="19"/>
      <c r="W48" s="27"/>
      <c r="X48" s="20"/>
      <c r="Y48" s="20"/>
      <c r="Z48" s="20"/>
      <c r="AA48" s="20"/>
      <c r="AB48" s="20"/>
      <c r="AC48" s="19"/>
      <c r="AD48" s="20"/>
      <c r="AE48" s="20"/>
      <c r="AF48" s="20"/>
      <c r="AG48" s="20"/>
      <c r="AH48" s="20"/>
      <c r="AI48" s="20"/>
      <c r="AJ48" s="19"/>
      <c r="AK48" s="30"/>
      <c r="AQ48" s="13"/>
      <c r="AR48" s="34"/>
      <c r="AS48" s="21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27"/>
      <c r="BI48" s="20"/>
      <c r="BJ48" s="20"/>
      <c r="BK48" s="20"/>
      <c r="BL48" s="20"/>
      <c r="BM48" s="19"/>
      <c r="BN48" s="13"/>
      <c r="BP48" s="57"/>
      <c r="BT48" s="57"/>
      <c r="CE48" s="58"/>
    </row>
    <row r="49" spans="1:83" s="11" customFormat="1" x14ac:dyDescent="0.3">
      <c r="A49" s="24"/>
      <c r="B49" s="26"/>
      <c r="C49" s="20"/>
      <c r="D49" s="20"/>
      <c r="E49" s="20"/>
      <c r="F49" s="20"/>
      <c r="G49" s="20"/>
      <c r="H49" s="19"/>
      <c r="I49" s="27"/>
      <c r="J49" s="20"/>
      <c r="K49" s="20"/>
      <c r="L49" s="20"/>
      <c r="M49" s="20"/>
      <c r="N49" s="20"/>
      <c r="O49" s="19"/>
      <c r="P49" s="27"/>
      <c r="Q49" s="20"/>
      <c r="R49" s="20"/>
      <c r="S49" s="20"/>
      <c r="T49" s="20"/>
      <c r="U49" s="20"/>
      <c r="V49" s="19"/>
      <c r="W49" s="27"/>
      <c r="X49" s="20"/>
      <c r="Y49" s="20"/>
      <c r="Z49" s="20"/>
      <c r="AA49" s="20"/>
      <c r="AB49" s="20"/>
      <c r="AC49" s="19"/>
      <c r="AD49" s="20"/>
      <c r="AE49" s="20"/>
      <c r="AF49" s="20"/>
      <c r="AG49" s="20"/>
      <c r="AH49" s="20"/>
      <c r="AI49" s="20"/>
      <c r="AJ49" s="19"/>
      <c r="AK49" s="23"/>
      <c r="AL49" s="8"/>
      <c r="AM49" s="8"/>
      <c r="AN49" s="8"/>
      <c r="AO49" s="8"/>
      <c r="AP49" s="8"/>
      <c r="AQ49" s="14"/>
      <c r="AR49" s="34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27"/>
      <c r="BI49" s="20"/>
      <c r="BJ49" s="20"/>
      <c r="BK49" s="20"/>
      <c r="BL49" s="20"/>
      <c r="BM49" s="19"/>
      <c r="BN49" s="14"/>
      <c r="BP49" s="57"/>
      <c r="BT49" s="57"/>
      <c r="CE49" s="58"/>
    </row>
    <row r="50" spans="1:83" s="11" customFormat="1" x14ac:dyDescent="0.3">
      <c r="A50" s="24"/>
      <c r="B50" s="26"/>
      <c r="C50" s="20"/>
      <c r="D50" s="20"/>
      <c r="E50" s="20"/>
      <c r="F50" s="20"/>
      <c r="G50" s="20"/>
      <c r="H50" s="19"/>
      <c r="I50" s="27"/>
      <c r="J50" s="20"/>
      <c r="K50" s="20"/>
      <c r="L50" s="20"/>
      <c r="M50" s="20"/>
      <c r="N50" s="20"/>
      <c r="O50" s="19"/>
      <c r="P50" s="27"/>
      <c r="Q50" s="20"/>
      <c r="R50" s="20"/>
      <c r="S50" s="20"/>
      <c r="T50" s="20"/>
      <c r="U50" s="20"/>
      <c r="V50" s="19"/>
      <c r="W50" s="27"/>
      <c r="X50" s="20"/>
      <c r="Y50" s="20"/>
      <c r="Z50" s="20"/>
      <c r="AA50" s="20"/>
      <c r="AB50" s="20"/>
      <c r="AC50" s="19"/>
      <c r="AD50" s="20"/>
      <c r="AE50" s="20"/>
      <c r="AF50" s="20"/>
      <c r="AG50" s="20"/>
      <c r="AH50" s="20"/>
      <c r="AI50" s="20"/>
      <c r="AJ50" s="19"/>
      <c r="AK50" s="23"/>
      <c r="AL50" s="8"/>
      <c r="AM50" s="8"/>
      <c r="AN50" s="8"/>
      <c r="AO50" s="8"/>
      <c r="AP50" s="8"/>
      <c r="AQ50" s="14"/>
      <c r="AR50" s="34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27"/>
      <c r="BI50" s="20"/>
      <c r="BJ50" s="20"/>
      <c r="BK50" s="20"/>
      <c r="BL50" s="20"/>
      <c r="BM50" s="19"/>
      <c r="BN50" s="14"/>
      <c r="BP50" s="57"/>
      <c r="BT50" s="57"/>
      <c r="CE50" s="58"/>
    </row>
    <row r="51" spans="1:83" s="11" customFormat="1" x14ac:dyDescent="0.3">
      <c r="A51" s="24"/>
      <c r="B51" s="26"/>
      <c r="C51" s="20"/>
      <c r="D51" s="20"/>
      <c r="E51" s="20"/>
      <c r="F51" s="20"/>
      <c r="G51" s="20"/>
      <c r="H51" s="19"/>
      <c r="I51" s="27"/>
      <c r="J51" s="20"/>
      <c r="K51" s="20"/>
      <c r="L51" s="20"/>
      <c r="M51" s="20"/>
      <c r="N51" s="20"/>
      <c r="O51" s="19"/>
      <c r="P51" s="27"/>
      <c r="Q51" s="20"/>
      <c r="R51" s="20"/>
      <c r="S51" s="20"/>
      <c r="T51" s="20"/>
      <c r="U51" s="20"/>
      <c r="V51" s="19"/>
      <c r="W51" s="27"/>
      <c r="X51" s="20"/>
      <c r="Y51" s="20"/>
      <c r="Z51" s="20"/>
      <c r="AA51" s="20"/>
      <c r="AB51" s="20"/>
      <c r="AC51" s="19"/>
      <c r="AD51" s="20"/>
      <c r="AE51" s="20"/>
      <c r="AF51" s="20"/>
      <c r="AG51" s="20"/>
      <c r="AH51" s="20"/>
      <c r="AI51" s="20"/>
      <c r="AJ51" s="19"/>
      <c r="AK51" s="23"/>
      <c r="AL51" s="8"/>
      <c r="AM51" s="8"/>
      <c r="AN51" s="8"/>
      <c r="AO51" s="8"/>
      <c r="AP51" s="8"/>
      <c r="AQ51" s="14"/>
      <c r="AR51" s="34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27"/>
      <c r="BI51" s="20"/>
      <c r="BJ51" s="20"/>
      <c r="BK51" s="20"/>
      <c r="BL51" s="20"/>
      <c r="BM51" s="19"/>
      <c r="BN51" s="14"/>
      <c r="BP51" s="57"/>
      <c r="BT51" s="57"/>
      <c r="CE51" s="58"/>
    </row>
    <row r="52" spans="1:83" s="11" customFormat="1" ht="13.5" customHeight="1" x14ac:dyDescent="0.3">
      <c r="A52" s="24"/>
      <c r="B52" s="28"/>
      <c r="C52" s="12"/>
      <c r="D52" s="12"/>
      <c r="E52" s="12"/>
      <c r="F52" s="12"/>
      <c r="G52" s="12"/>
      <c r="H52" s="18"/>
      <c r="I52" s="29"/>
      <c r="J52"/>
      <c r="K52"/>
      <c r="L52"/>
      <c r="M52"/>
      <c r="N52"/>
      <c r="O52" s="18"/>
      <c r="P52" s="29"/>
      <c r="Q52"/>
      <c r="R52"/>
      <c r="S52"/>
      <c r="T52"/>
      <c r="U52"/>
      <c r="V52" s="18"/>
      <c r="W52" s="29"/>
      <c r="X52"/>
      <c r="Y52"/>
      <c r="Z52"/>
      <c r="AA52"/>
      <c r="AB52"/>
      <c r="AC52" s="18"/>
      <c r="AD52"/>
      <c r="AE52"/>
      <c r="AF52"/>
      <c r="AG52"/>
      <c r="AH52"/>
      <c r="AI52"/>
      <c r="AJ52" s="18"/>
      <c r="AK52" s="23"/>
      <c r="AL52" s="8"/>
      <c r="AM52" s="8"/>
      <c r="AN52" s="8"/>
      <c r="AO52" s="8"/>
      <c r="AP52" s="8"/>
      <c r="AQ52" s="14"/>
      <c r="AR52" s="30"/>
      <c r="AS52" s="21"/>
      <c r="AT52" s="17"/>
      <c r="AU52" s="17"/>
      <c r="AV52" s="17"/>
      <c r="AW52" s="17"/>
      <c r="AY52" s="17"/>
      <c r="AZ52" s="17"/>
      <c r="BA52" s="17"/>
      <c r="BB52" s="17"/>
      <c r="BC52" s="17"/>
      <c r="BD52" s="17"/>
      <c r="BE52" s="17"/>
      <c r="BH52" s="30"/>
      <c r="BI52" s="8"/>
      <c r="BM52" s="13"/>
      <c r="BN52" s="14"/>
      <c r="BP52" s="57"/>
      <c r="BT52" s="57"/>
      <c r="CE52" s="58"/>
    </row>
    <row r="53" spans="1:83" s="11" customFormat="1" x14ac:dyDescent="0.3">
      <c r="A53" s="24"/>
      <c r="B53" s="28"/>
      <c r="C53" s="12"/>
      <c r="D53" s="12"/>
      <c r="E53" s="12"/>
      <c r="F53" s="12"/>
      <c r="G53" s="12"/>
      <c r="H53" s="18"/>
      <c r="I53" s="30"/>
      <c r="O53" s="13"/>
      <c r="P53" s="30"/>
      <c r="V53" s="13"/>
      <c r="W53" s="30"/>
      <c r="AC53" s="13"/>
      <c r="AJ53" s="18"/>
      <c r="AK53" s="23"/>
      <c r="AL53" s="8"/>
      <c r="AM53" s="8"/>
      <c r="AN53" s="8"/>
      <c r="AO53" s="8"/>
      <c r="AP53" s="8"/>
      <c r="AQ53" s="14"/>
      <c r="AS53" s="21" t="s">
        <v>526</v>
      </c>
      <c r="AT53" s="17"/>
      <c r="AU53" s="17"/>
      <c r="AV53" s="17"/>
      <c r="AW53" s="17"/>
      <c r="AY53" s="17"/>
      <c r="AZ53" s="17"/>
      <c r="BA53" s="17"/>
      <c r="BB53" s="17"/>
      <c r="BC53" s="17"/>
      <c r="BD53" s="17"/>
      <c r="BE53" s="17"/>
      <c r="BH53" s="30"/>
      <c r="BM53" s="13"/>
      <c r="BN53" s="14"/>
      <c r="BP53" s="57"/>
      <c r="BT53" s="57"/>
      <c r="CE53" s="58"/>
    </row>
    <row r="54" spans="1:83" x14ac:dyDescent="0.3">
      <c r="A54" s="23"/>
      <c r="B54" s="23"/>
      <c r="H54" s="14"/>
      <c r="I54" s="23"/>
      <c r="O54" s="14"/>
      <c r="P54" s="23"/>
      <c r="V54" s="14"/>
      <c r="W54" s="23"/>
      <c r="AC54" s="14"/>
      <c r="AJ54" s="18"/>
      <c r="AK54" s="23"/>
      <c r="AQ54" s="14"/>
      <c r="AR54" s="30"/>
      <c r="AS54" s="17"/>
      <c r="AT54" s="17" t="s">
        <v>527</v>
      </c>
      <c r="AU54" s="17"/>
      <c r="AV54" s="17"/>
      <c r="AW54" s="17"/>
      <c r="AY54" s="17"/>
      <c r="AZ54" s="17"/>
      <c r="BA54" s="17"/>
      <c r="BB54" s="17"/>
      <c r="BC54" s="17"/>
      <c r="BD54" s="17"/>
      <c r="BE54" s="17"/>
      <c r="BF54" s="11"/>
      <c r="BG54" s="11"/>
      <c r="BH54" s="23"/>
      <c r="BM54" s="14"/>
      <c r="BN54" s="14"/>
      <c r="BP54" s="59"/>
      <c r="BT54" s="59"/>
      <c r="CE54" s="60"/>
    </row>
    <row r="55" spans="1:83" x14ac:dyDescent="0.3">
      <c r="A55" s="23"/>
      <c r="B55" s="23"/>
      <c r="H55" s="14"/>
      <c r="I55" s="23"/>
      <c r="O55" s="14"/>
      <c r="P55" s="23"/>
      <c r="V55" s="14"/>
      <c r="W55" s="23"/>
      <c r="AC55" s="14"/>
      <c r="AJ55" s="18"/>
      <c r="AK55" s="23"/>
      <c r="AQ55" s="14"/>
      <c r="AR55" s="30"/>
      <c r="AS55" s="21"/>
      <c r="AT55" s="17" t="s">
        <v>528</v>
      </c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G55" s="11"/>
      <c r="BH55" s="23"/>
      <c r="BM55" s="14"/>
      <c r="BN55" s="14"/>
      <c r="BP55" s="59"/>
      <c r="BT55" s="59"/>
      <c r="CE55" s="60"/>
    </row>
    <row r="56" spans="1:83" x14ac:dyDescent="0.3">
      <c r="A56" s="23"/>
      <c r="B56" s="23"/>
      <c r="H56" s="14"/>
      <c r="I56" s="23"/>
      <c r="O56" s="14"/>
      <c r="P56" s="23"/>
      <c r="V56" s="14"/>
      <c r="W56" s="23"/>
      <c r="AC56" s="14"/>
      <c r="AJ56" s="18"/>
      <c r="AK56" s="23"/>
      <c r="AQ56" s="14"/>
      <c r="AR56" s="30"/>
      <c r="AS56" s="11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G56" s="11"/>
      <c r="BH56" s="23"/>
      <c r="BM56" s="14"/>
      <c r="BN56" s="14"/>
      <c r="BP56" s="59"/>
      <c r="BT56" s="59"/>
      <c r="CE56" s="60"/>
    </row>
    <row r="57" spans="1:83" x14ac:dyDescent="0.3">
      <c r="A57" s="23"/>
      <c r="B57" s="23"/>
      <c r="H57" s="14"/>
      <c r="I57" s="23"/>
      <c r="O57" s="14"/>
      <c r="P57" s="23"/>
      <c r="V57" s="14"/>
      <c r="W57" s="23"/>
      <c r="AC57" s="14"/>
      <c r="AJ57" s="18"/>
      <c r="AK57" s="23"/>
      <c r="AQ57" s="14"/>
      <c r="AR57" s="23"/>
      <c r="AS57" s="21"/>
      <c r="AT57" s="17"/>
      <c r="AW57" s="17"/>
      <c r="AX57" s="17"/>
      <c r="AY57" s="17"/>
      <c r="AZ57" s="17"/>
      <c r="BA57" s="17"/>
      <c r="BB57" s="17"/>
      <c r="BC57" s="17"/>
      <c r="BD57" s="17"/>
      <c r="BE57" s="17"/>
      <c r="BG57" s="11"/>
      <c r="BH57" s="23"/>
      <c r="BM57" s="14"/>
      <c r="BN57" s="14"/>
      <c r="BP57" s="59"/>
      <c r="BT57" s="59"/>
      <c r="CE57" s="60"/>
    </row>
    <row r="58" spans="1:83" x14ac:dyDescent="0.3">
      <c r="A58" s="23"/>
      <c r="B58" s="23"/>
      <c r="H58" s="14"/>
      <c r="I58" s="23"/>
      <c r="O58" s="14"/>
      <c r="P58" s="23"/>
      <c r="V58" s="14"/>
      <c r="W58" s="23"/>
      <c r="AC58" s="14"/>
      <c r="AJ58" s="18"/>
      <c r="AK58" s="23"/>
      <c r="AQ58" s="14"/>
      <c r="AR58" s="23"/>
      <c r="AW58" s="17"/>
      <c r="AX58" s="17"/>
      <c r="AY58" s="17"/>
      <c r="AZ58" s="17"/>
      <c r="BA58" s="17"/>
      <c r="BB58" s="17"/>
      <c r="BC58" s="17"/>
      <c r="BD58" s="17"/>
      <c r="BE58" s="17"/>
      <c r="BG58" s="11"/>
      <c r="BH58" s="23"/>
      <c r="BM58" s="14"/>
      <c r="BN58" s="14"/>
      <c r="BP58" s="59"/>
      <c r="BT58" s="59"/>
      <c r="CE58" s="60"/>
    </row>
    <row r="59" spans="1:83" x14ac:dyDescent="0.3">
      <c r="A59" s="23"/>
      <c r="B59" s="23"/>
      <c r="H59" s="14"/>
      <c r="I59" s="23"/>
      <c r="O59" s="14"/>
      <c r="P59" s="23"/>
      <c r="V59" s="14"/>
      <c r="W59" s="23"/>
      <c r="AC59" s="14"/>
      <c r="AJ59" s="18"/>
      <c r="AK59" s="23"/>
      <c r="AQ59" s="14"/>
      <c r="AR59" s="23"/>
      <c r="AS59" s="21" t="s">
        <v>529</v>
      </c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H59" s="23"/>
      <c r="BM59" s="14"/>
      <c r="BN59" s="14"/>
      <c r="BP59" s="59"/>
      <c r="BT59" s="59"/>
      <c r="CE59" s="60"/>
    </row>
    <row r="60" spans="1:83" x14ac:dyDescent="0.3">
      <c r="A60" s="23"/>
      <c r="B60" s="23"/>
      <c r="H60" s="14"/>
      <c r="I60" s="23"/>
      <c r="O60" s="14"/>
      <c r="P60" s="23"/>
      <c r="V60" s="14"/>
      <c r="W60" s="23"/>
      <c r="AC60" s="14"/>
      <c r="AJ60" s="18"/>
      <c r="AK60" s="23"/>
      <c r="AQ60" s="14"/>
      <c r="AR60" s="23"/>
      <c r="AS60" s="17"/>
      <c r="AT60" s="17" t="s">
        <v>530</v>
      </c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H60" s="23"/>
      <c r="BM60" s="14"/>
      <c r="BN60" s="14"/>
      <c r="BP60" s="59"/>
      <c r="BT60" s="59"/>
      <c r="CE60" s="60"/>
    </row>
    <row r="61" spans="1:83" x14ac:dyDescent="0.3">
      <c r="A61" s="23"/>
      <c r="B61" s="23"/>
      <c r="H61" s="14"/>
      <c r="I61" s="23"/>
      <c r="O61" s="14"/>
      <c r="P61" s="23"/>
      <c r="V61" s="14"/>
      <c r="W61" s="23"/>
      <c r="AC61" s="14"/>
      <c r="AJ61" s="18"/>
      <c r="AK61" s="23"/>
      <c r="AQ61" s="14"/>
      <c r="AR61" s="23"/>
      <c r="AS61" s="21"/>
      <c r="AT61" s="17" t="s">
        <v>531</v>
      </c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H61" s="23"/>
      <c r="BM61" s="14"/>
      <c r="BN61" s="14"/>
      <c r="BP61" s="59"/>
      <c r="BT61" s="59"/>
      <c r="CE61" s="60"/>
    </row>
    <row r="62" spans="1:83" x14ac:dyDescent="0.3">
      <c r="A62" s="23"/>
      <c r="B62" s="23"/>
      <c r="H62" s="14"/>
      <c r="I62" s="23"/>
      <c r="O62" s="14"/>
      <c r="P62" s="23"/>
      <c r="V62" s="14"/>
      <c r="W62" s="23"/>
      <c r="AC62" s="14"/>
      <c r="AJ62" s="18"/>
      <c r="AK62" s="23"/>
      <c r="AQ62" s="14"/>
      <c r="AR62" s="23"/>
      <c r="AS62" s="11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H62" s="23"/>
      <c r="BM62" s="14"/>
      <c r="BN62" s="14"/>
      <c r="BP62" s="59"/>
      <c r="BT62" s="59"/>
      <c r="CE62" s="60"/>
    </row>
    <row r="63" spans="1:83" x14ac:dyDescent="0.3">
      <c r="A63" s="23"/>
      <c r="B63" s="23"/>
      <c r="H63" s="14"/>
      <c r="I63" s="23"/>
      <c r="O63" s="14"/>
      <c r="P63" s="23"/>
      <c r="V63" s="14"/>
      <c r="W63" s="23"/>
      <c r="AC63" s="14"/>
      <c r="AJ63" s="18"/>
      <c r="AK63" s="23"/>
      <c r="AQ63" s="14"/>
      <c r="AR63" s="23"/>
      <c r="AS63" s="21"/>
      <c r="AT63" s="17"/>
      <c r="AW63" s="17"/>
      <c r="AX63" s="17"/>
      <c r="AY63" s="17"/>
      <c r="AZ63" s="17"/>
      <c r="BA63" s="17"/>
      <c r="BB63" s="17"/>
      <c r="BC63" s="17"/>
      <c r="BD63" s="17"/>
      <c r="BE63" s="17"/>
      <c r="BH63" s="23"/>
      <c r="BM63" s="14"/>
      <c r="BN63" s="14"/>
      <c r="BP63" s="59"/>
      <c r="BT63" s="59"/>
      <c r="CE63" s="60"/>
    </row>
    <row r="64" spans="1:83" x14ac:dyDescent="0.3">
      <c r="A64" s="23"/>
      <c r="B64" s="23"/>
      <c r="H64" s="14"/>
      <c r="I64" s="23"/>
      <c r="O64" s="14"/>
      <c r="P64" s="23"/>
      <c r="V64" s="14"/>
      <c r="W64" s="23"/>
      <c r="AC64" s="14"/>
      <c r="AJ64" s="18"/>
      <c r="AK64" s="23"/>
      <c r="AQ64" s="14"/>
      <c r="AR64" s="23"/>
      <c r="AW64" s="17"/>
      <c r="AX64" s="17"/>
      <c r="AY64" s="17"/>
      <c r="AZ64" s="17"/>
      <c r="BA64" s="17"/>
      <c r="BB64" s="17"/>
      <c r="BC64" s="17"/>
      <c r="BD64" s="17"/>
      <c r="BE64" s="17"/>
      <c r="BH64" s="23"/>
      <c r="BM64" s="14"/>
      <c r="BN64" s="14"/>
      <c r="BP64" s="59"/>
      <c r="BT64" s="59"/>
      <c r="CE64" s="60"/>
    </row>
    <row r="65" spans="1:83" x14ac:dyDescent="0.3">
      <c r="A65" s="23"/>
      <c r="B65" s="23"/>
      <c r="H65" s="14"/>
      <c r="I65" s="23"/>
      <c r="O65" s="14"/>
      <c r="P65" s="23"/>
      <c r="V65" s="14"/>
      <c r="W65" s="23"/>
      <c r="AC65" s="14"/>
      <c r="AJ65" s="18"/>
      <c r="AK65" s="23"/>
      <c r="AQ65" s="14"/>
      <c r="AR65" s="23"/>
      <c r="AS65" s="21"/>
      <c r="AT65" s="17"/>
      <c r="AW65" s="17"/>
      <c r="AX65" s="17"/>
      <c r="AY65" s="17"/>
      <c r="AZ65" s="17"/>
      <c r="BA65" s="17"/>
      <c r="BB65" s="17"/>
      <c r="BC65" s="17"/>
      <c r="BD65" s="17"/>
      <c r="BE65" s="17"/>
      <c r="BH65" s="23"/>
      <c r="BM65" s="14"/>
      <c r="BN65" s="14"/>
      <c r="BP65" s="59"/>
      <c r="BT65" s="59"/>
      <c r="CE65" s="60"/>
    </row>
    <row r="66" spans="1:83" x14ac:dyDescent="0.3">
      <c r="A66" s="23"/>
      <c r="B66" s="23"/>
      <c r="H66" s="14"/>
      <c r="I66" s="23"/>
      <c r="O66" s="14"/>
      <c r="P66" s="23"/>
      <c r="V66" s="14"/>
      <c r="W66" s="23"/>
      <c r="AC66" s="14"/>
      <c r="AJ66" s="18"/>
      <c r="AK66" s="23"/>
      <c r="AQ66" s="14"/>
      <c r="AR66" s="23"/>
      <c r="AW66" s="17"/>
      <c r="AX66" s="17"/>
      <c r="AY66" s="17"/>
      <c r="AZ66" s="17"/>
      <c r="BA66" s="17"/>
      <c r="BB66" s="17"/>
      <c r="BC66" s="17"/>
      <c r="BD66" s="17"/>
      <c r="BE66" s="17"/>
      <c r="BH66" s="23"/>
      <c r="BM66" s="14"/>
      <c r="BN66" s="14"/>
      <c r="BP66" s="59"/>
      <c r="BT66" s="59"/>
      <c r="CE66" s="60"/>
    </row>
    <row r="67" spans="1:83" x14ac:dyDescent="0.3">
      <c r="A67" s="23"/>
      <c r="B67" s="23"/>
      <c r="H67" s="14"/>
      <c r="I67" s="23"/>
      <c r="O67" s="14"/>
      <c r="P67" s="23"/>
      <c r="V67" s="14"/>
      <c r="W67" s="23"/>
      <c r="AC67" s="14"/>
      <c r="AJ67" s="18"/>
      <c r="AK67" s="23"/>
      <c r="AQ67" s="14"/>
      <c r="AR67" s="23"/>
      <c r="BB67" s="11"/>
      <c r="BH67" s="23"/>
      <c r="BM67" s="14"/>
      <c r="BN67" s="14"/>
      <c r="BP67" s="59"/>
      <c r="BT67" s="59"/>
      <c r="CE67" s="60"/>
    </row>
    <row r="68" spans="1:83" s="11" customFormat="1" ht="13.5" customHeight="1" x14ac:dyDescent="0.3">
      <c r="A68" s="24"/>
      <c r="B68" s="28"/>
      <c r="C68" s="12"/>
      <c r="D68" s="12"/>
      <c r="E68" s="12"/>
      <c r="F68" s="12"/>
      <c r="G68" s="12"/>
      <c r="H68" s="18"/>
      <c r="I68" s="29"/>
      <c r="J68"/>
      <c r="K68"/>
      <c r="L68"/>
      <c r="M68"/>
      <c r="N68"/>
      <c r="O68" s="18"/>
      <c r="P68" s="29"/>
      <c r="Q68"/>
      <c r="R68"/>
      <c r="S68"/>
      <c r="T68"/>
      <c r="U68"/>
      <c r="V68" s="18"/>
      <c r="W68" s="29"/>
      <c r="X68"/>
      <c r="Y68"/>
      <c r="Z68"/>
      <c r="AA68"/>
      <c r="AB68"/>
      <c r="AC68" s="18"/>
      <c r="AD68"/>
      <c r="AE68"/>
      <c r="AF68"/>
      <c r="AG68"/>
      <c r="AH68"/>
      <c r="AI68"/>
      <c r="AJ68" s="18"/>
      <c r="AK68" s="23"/>
      <c r="AL68" s="8"/>
      <c r="AM68" s="8"/>
      <c r="AN68" s="8"/>
      <c r="AO68" s="8"/>
      <c r="AP68" s="8"/>
      <c r="AQ68" s="14"/>
      <c r="AR68" s="30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H68" s="30"/>
      <c r="BI68" s="8"/>
      <c r="BM68" s="13"/>
      <c r="BN68" s="14"/>
      <c r="BP68" s="57"/>
      <c r="BT68" s="57"/>
      <c r="CE68" s="58"/>
    </row>
    <row r="69" spans="1:83" s="11" customFormat="1" x14ac:dyDescent="0.3">
      <c r="A69" s="24"/>
      <c r="B69" s="28"/>
      <c r="C69" s="12"/>
      <c r="D69" s="12"/>
      <c r="E69" s="12"/>
      <c r="F69" s="12"/>
      <c r="G69" s="12"/>
      <c r="H69" s="18"/>
      <c r="I69" s="30"/>
      <c r="O69" s="13"/>
      <c r="P69" s="30"/>
      <c r="V69" s="13"/>
      <c r="W69" s="30"/>
      <c r="AC69" s="13"/>
      <c r="AJ69" s="18"/>
      <c r="AK69" s="23"/>
      <c r="AL69" s="8"/>
      <c r="AM69" s="8"/>
      <c r="AN69" s="8"/>
      <c r="AO69" s="8"/>
      <c r="AP69" s="8"/>
      <c r="AQ69" s="14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H69" s="30"/>
      <c r="BM69" s="13"/>
      <c r="BN69" s="14"/>
      <c r="BP69" s="57"/>
      <c r="BT69" s="57"/>
      <c r="CE69" s="58"/>
    </row>
    <row r="70" spans="1:83" x14ac:dyDescent="0.3">
      <c r="A70" s="23"/>
      <c r="B70" s="23"/>
      <c r="H70" s="14"/>
      <c r="I70" s="23"/>
      <c r="O70" s="14"/>
      <c r="P70" s="23"/>
      <c r="V70" s="14"/>
      <c r="W70" s="23"/>
      <c r="AC70" s="14"/>
      <c r="AJ70" s="18"/>
      <c r="AK70" s="23"/>
      <c r="AQ70" s="14"/>
      <c r="AR70" s="30"/>
      <c r="AS70" s="11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1"/>
      <c r="BG70" s="11"/>
      <c r="BH70" s="23"/>
      <c r="BM70" s="14"/>
      <c r="BN70" s="14"/>
      <c r="BP70" s="59"/>
      <c r="BT70" s="59"/>
      <c r="CE70" s="60"/>
    </row>
    <row r="71" spans="1:83" s="11" customFormat="1" x14ac:dyDescent="0.3">
      <c r="A71" s="24"/>
      <c r="B71" s="37" t="s">
        <v>532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22"/>
      <c r="AL71" s="22"/>
      <c r="AM71" s="22"/>
      <c r="AN71" s="22"/>
      <c r="AO71" s="22"/>
      <c r="AP71" s="22"/>
      <c r="AQ71" s="2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40"/>
      <c r="BN71" s="13"/>
      <c r="BP71" s="54"/>
      <c r="BQ71" s="55"/>
      <c r="BR71" s="55"/>
      <c r="BS71" s="55"/>
      <c r="BT71" s="54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6"/>
    </row>
    <row r="72" spans="1:83" x14ac:dyDescent="0.3">
      <c r="A72" s="23"/>
      <c r="B72" s="23"/>
      <c r="H72" s="14"/>
      <c r="I72" s="23"/>
      <c r="O72" s="14"/>
      <c r="P72" s="23"/>
      <c r="V72" s="14"/>
      <c r="W72" s="23"/>
      <c r="AC72" s="14"/>
      <c r="AJ72" s="18"/>
      <c r="AK72" s="23"/>
      <c r="AQ72" s="14"/>
      <c r="AR72" s="30"/>
      <c r="AS72" s="11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G72" s="11"/>
      <c r="BH72" s="23"/>
      <c r="BM72" s="14"/>
      <c r="BN72" s="14"/>
      <c r="BP72" s="59"/>
      <c r="BT72" s="59"/>
      <c r="CE72" s="60"/>
    </row>
    <row r="73" spans="1:83" x14ac:dyDescent="0.3">
      <c r="A73" s="23"/>
      <c r="B73" s="23"/>
      <c r="H73" s="14"/>
      <c r="I73" s="23"/>
      <c r="O73" s="14"/>
      <c r="P73" s="23"/>
      <c r="V73" s="14"/>
      <c r="W73" s="23"/>
      <c r="AC73" s="14"/>
      <c r="AJ73" s="18"/>
      <c r="AK73" s="23"/>
      <c r="AQ73" s="14"/>
      <c r="AR73" s="30"/>
      <c r="AS73" s="11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G73" s="11"/>
      <c r="BH73" s="23"/>
      <c r="BM73" s="14"/>
      <c r="BN73" s="14"/>
      <c r="BP73" s="59"/>
      <c r="BT73" s="99" t="s">
        <v>533</v>
      </c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6"/>
    </row>
    <row r="74" spans="1:83" x14ac:dyDescent="0.3">
      <c r="A74" s="23"/>
      <c r="B74" s="23"/>
      <c r="H74" s="14"/>
      <c r="I74" s="23"/>
      <c r="O74" s="14"/>
      <c r="P74" s="23"/>
      <c r="V74" s="14"/>
      <c r="W74" s="23"/>
      <c r="AC74" s="14"/>
      <c r="AJ74" s="18"/>
      <c r="AK74" s="23"/>
      <c r="AQ74" s="14"/>
      <c r="AR74" s="30"/>
      <c r="AS74" s="11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G74" s="11"/>
      <c r="BH74" s="23"/>
      <c r="BM74" s="14"/>
      <c r="BN74" s="14"/>
      <c r="BP74" s="59"/>
      <c r="BT74" s="100" t="s">
        <v>534</v>
      </c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2"/>
    </row>
    <row r="75" spans="1:83" x14ac:dyDescent="0.3">
      <c r="A75" s="23"/>
      <c r="B75" s="23"/>
      <c r="H75" s="14"/>
      <c r="I75" s="23"/>
      <c r="O75" s="14"/>
      <c r="P75" s="23"/>
      <c r="V75" s="14"/>
      <c r="W75" s="23"/>
      <c r="AC75" s="14"/>
      <c r="AJ75" s="18"/>
      <c r="AK75" s="23"/>
      <c r="AQ75" s="14"/>
      <c r="AR75" s="23"/>
      <c r="AS75" s="11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H75" s="23"/>
      <c r="BM75" s="14"/>
      <c r="BN75" s="14"/>
      <c r="BP75" s="59"/>
      <c r="BT75" s="100" t="s">
        <v>535</v>
      </c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2"/>
    </row>
    <row r="76" spans="1:83" x14ac:dyDescent="0.3">
      <c r="A76" s="23"/>
      <c r="B76" s="23"/>
      <c r="H76" s="14"/>
      <c r="I76" s="23"/>
      <c r="O76" s="14"/>
      <c r="P76" s="23"/>
      <c r="V76" s="14"/>
      <c r="W76" s="23"/>
      <c r="AC76" s="14"/>
      <c r="AJ76" s="18"/>
      <c r="AK76" s="23"/>
      <c r="AQ76" s="14"/>
      <c r="AR76" s="23"/>
      <c r="AS76" s="21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H76" s="23"/>
      <c r="BM76" s="14"/>
      <c r="BN76" s="14"/>
      <c r="BP76" s="59"/>
      <c r="BT76" s="93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2"/>
    </row>
    <row r="77" spans="1:83" x14ac:dyDescent="0.3">
      <c r="A77" s="23"/>
      <c r="B77" s="23"/>
      <c r="H77" s="14"/>
      <c r="I77" s="23"/>
      <c r="O77" s="14"/>
      <c r="P77" s="23"/>
      <c r="V77" s="14"/>
      <c r="W77" s="23"/>
      <c r="AC77" s="14"/>
      <c r="AJ77" s="18"/>
      <c r="AK77" s="23"/>
      <c r="AQ77" s="14"/>
      <c r="AR77" s="23"/>
      <c r="AS77" s="21" t="s">
        <v>536</v>
      </c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H77" s="23"/>
      <c r="BM77" s="14"/>
      <c r="BN77" s="14"/>
      <c r="BP77" s="59"/>
      <c r="BT77" s="59"/>
      <c r="CE77" s="60"/>
    </row>
    <row r="78" spans="1:83" x14ac:dyDescent="0.3">
      <c r="A78" s="23"/>
      <c r="B78" s="23"/>
      <c r="H78" s="14"/>
      <c r="I78" s="23"/>
      <c r="O78" s="14"/>
      <c r="P78" s="23"/>
      <c r="V78" s="14"/>
      <c r="W78" s="23"/>
      <c r="AC78" s="14"/>
      <c r="AJ78" s="18"/>
      <c r="AK78" s="23"/>
      <c r="AQ78" s="14"/>
      <c r="AR78" s="23"/>
      <c r="AS78" s="17"/>
      <c r="AT78" s="17" t="s">
        <v>537</v>
      </c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H78" s="23"/>
      <c r="BM78" s="14"/>
      <c r="BN78" s="14"/>
      <c r="BP78" s="59"/>
      <c r="BT78" s="59"/>
      <c r="CE78" s="60"/>
    </row>
    <row r="79" spans="1:83" x14ac:dyDescent="0.3">
      <c r="A79" s="23"/>
      <c r="B79" s="23"/>
      <c r="H79" s="14"/>
      <c r="I79" s="23"/>
      <c r="O79" s="14"/>
      <c r="P79" s="23"/>
      <c r="V79" s="14"/>
      <c r="W79" s="23"/>
      <c r="AC79" s="14"/>
      <c r="AJ79" s="18"/>
      <c r="AK79" s="23"/>
      <c r="AQ79" s="14"/>
      <c r="AR79" s="23"/>
      <c r="AS79" s="21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H79" s="23"/>
      <c r="BM79" s="14"/>
      <c r="BN79" s="14"/>
      <c r="BP79" s="59"/>
      <c r="BT79" s="59"/>
      <c r="CE79" s="60"/>
    </row>
    <row r="80" spans="1:83" x14ac:dyDescent="0.3">
      <c r="A80" s="23"/>
      <c r="B80" s="23"/>
      <c r="H80" s="14"/>
      <c r="I80" s="23"/>
      <c r="O80" s="14"/>
      <c r="P80" s="23"/>
      <c r="V80" s="14"/>
      <c r="W80" s="23"/>
      <c r="AC80" s="14"/>
      <c r="AJ80" s="18"/>
      <c r="AK80" s="23"/>
      <c r="AQ80" s="14"/>
      <c r="AR80" s="23"/>
      <c r="AS80" s="11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H80" s="23"/>
      <c r="BM80" s="14"/>
      <c r="BN80" s="14"/>
      <c r="BP80" s="59"/>
      <c r="BT80" s="59"/>
      <c r="CE80" s="60"/>
    </row>
    <row r="81" spans="1:83" x14ac:dyDescent="0.3">
      <c r="A81" s="23"/>
      <c r="B81" s="23"/>
      <c r="H81" s="14"/>
      <c r="I81" s="23"/>
      <c r="O81" s="14"/>
      <c r="P81" s="23"/>
      <c r="V81" s="14"/>
      <c r="W81" s="23"/>
      <c r="AC81" s="14"/>
      <c r="AJ81" s="18"/>
      <c r="AK81" s="23"/>
      <c r="AQ81" s="14"/>
      <c r="AR81" s="23"/>
      <c r="AS81" s="11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H81" s="23"/>
      <c r="BM81" s="14"/>
      <c r="BN81" s="14"/>
      <c r="BP81" s="59"/>
      <c r="BT81" s="59"/>
      <c r="CE81" s="60"/>
    </row>
    <row r="82" spans="1:83" x14ac:dyDescent="0.3">
      <c r="A82" s="23"/>
      <c r="B82" s="23"/>
      <c r="H82" s="14"/>
      <c r="I82" s="23"/>
      <c r="O82" s="14"/>
      <c r="P82" s="23"/>
      <c r="V82" s="14"/>
      <c r="W82" s="23"/>
      <c r="AC82" s="14"/>
      <c r="AJ82" s="18"/>
      <c r="AK82" s="23"/>
      <c r="AQ82" s="14"/>
      <c r="AR82" s="23"/>
      <c r="AS82" s="21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H82" s="23"/>
      <c r="BM82" s="14"/>
      <c r="BN82" s="14"/>
      <c r="BP82" s="59"/>
      <c r="BT82" s="59"/>
      <c r="CE82" s="60"/>
    </row>
    <row r="83" spans="1:83" x14ac:dyDescent="0.3">
      <c r="A83" s="23"/>
      <c r="B83" s="23"/>
      <c r="H83" s="14"/>
      <c r="I83" s="23"/>
      <c r="O83" s="14"/>
      <c r="P83" s="23"/>
      <c r="V83" s="14"/>
      <c r="W83" s="23"/>
      <c r="AC83" s="14"/>
      <c r="AJ83" s="18"/>
      <c r="AK83" s="23"/>
      <c r="AQ83" s="14"/>
      <c r="AR83" s="23"/>
      <c r="AS83" s="21" t="s">
        <v>538</v>
      </c>
      <c r="AT83" s="17"/>
      <c r="AU83" s="17"/>
      <c r="AV83" s="17"/>
      <c r="AW83" s="17"/>
      <c r="AX83" s="17"/>
      <c r="AY83" s="17"/>
      <c r="AZ83" s="17"/>
      <c r="BA83" s="17"/>
      <c r="BB83" s="17"/>
      <c r="BH83" s="23"/>
      <c r="BM83" s="14"/>
      <c r="BN83" s="14"/>
      <c r="BP83" s="59"/>
      <c r="BT83" s="59"/>
      <c r="CE83" s="60"/>
    </row>
    <row r="84" spans="1:83" x14ac:dyDescent="0.3">
      <c r="A84" s="23"/>
      <c r="B84" s="23"/>
      <c r="H84" s="14"/>
      <c r="I84" s="23"/>
      <c r="O84" s="14"/>
      <c r="P84" s="23"/>
      <c r="V84" s="14"/>
      <c r="W84" s="23"/>
      <c r="AC84" s="14"/>
      <c r="AJ84" s="18"/>
      <c r="AK84" s="23"/>
      <c r="AQ84" s="14"/>
      <c r="AR84" s="23"/>
      <c r="AS84" s="17"/>
      <c r="AT84" s="17" t="s">
        <v>298</v>
      </c>
      <c r="AU84" s="17"/>
      <c r="AV84" s="17"/>
      <c r="AW84" s="17"/>
      <c r="AX84" s="17"/>
      <c r="AY84" s="17"/>
      <c r="AZ84" s="17"/>
      <c r="BA84" s="17"/>
      <c r="BB84" s="17"/>
      <c r="BH84" s="23"/>
      <c r="BM84" s="14"/>
      <c r="BN84" s="14"/>
      <c r="BP84" s="59"/>
      <c r="BT84" s="59"/>
      <c r="CE84" s="60"/>
    </row>
    <row r="85" spans="1:83" x14ac:dyDescent="0.3">
      <c r="A85" s="23"/>
      <c r="B85" s="23"/>
      <c r="H85" s="14"/>
      <c r="I85" s="23"/>
      <c r="O85" s="14"/>
      <c r="P85" s="23"/>
      <c r="V85" s="14"/>
      <c r="W85" s="23"/>
      <c r="AC85" s="14"/>
      <c r="AJ85" s="18"/>
      <c r="AK85" s="23"/>
      <c r="AQ85" s="14"/>
      <c r="AR85" s="23"/>
      <c r="AS85" s="16"/>
      <c r="AT85" s="11"/>
      <c r="AU85" s="11"/>
      <c r="AV85" s="11"/>
      <c r="BB85" s="11"/>
      <c r="BH85" s="23"/>
      <c r="BM85" s="14"/>
      <c r="BN85" s="14"/>
      <c r="BP85" s="59"/>
      <c r="BT85" s="59"/>
      <c r="CE85" s="60"/>
    </row>
    <row r="86" spans="1:83" x14ac:dyDescent="0.3">
      <c r="A86" s="23"/>
      <c r="B86" s="23"/>
      <c r="H86" s="14"/>
      <c r="I86" s="23"/>
      <c r="O86" s="14"/>
      <c r="P86" s="23"/>
      <c r="V86" s="14"/>
      <c r="W86" s="23"/>
      <c r="AC86" s="14"/>
      <c r="AJ86" s="18"/>
      <c r="AK86" s="23"/>
      <c r="AQ86" s="14"/>
      <c r="AR86" s="23"/>
      <c r="AS86" s="11"/>
      <c r="AT86" s="11"/>
      <c r="AU86" s="11"/>
      <c r="AV86" s="11"/>
      <c r="BB86" s="11"/>
      <c r="BH86" s="23"/>
      <c r="BM86" s="14"/>
      <c r="BN86" s="14"/>
      <c r="BP86" s="59"/>
      <c r="BT86" s="59"/>
      <c r="CE86" s="60"/>
    </row>
    <row r="87" spans="1:83" x14ac:dyDescent="0.3">
      <c r="A87" s="23"/>
      <c r="B87" s="23"/>
      <c r="H87" s="14"/>
      <c r="I87" s="23"/>
      <c r="O87" s="14"/>
      <c r="P87" s="23"/>
      <c r="V87" s="14"/>
      <c r="W87" s="23"/>
      <c r="AC87" s="14"/>
      <c r="AJ87" s="18"/>
      <c r="AK87" s="23"/>
      <c r="AQ87" s="14"/>
      <c r="AR87" s="23"/>
      <c r="BH87" s="23"/>
      <c r="BI87" s="83" t="s">
        <v>136</v>
      </c>
      <c r="BM87" s="14"/>
      <c r="BN87" s="14"/>
      <c r="BP87" s="59"/>
      <c r="BT87" s="59"/>
      <c r="CE87" s="60"/>
    </row>
    <row r="88" spans="1:83" x14ac:dyDescent="0.3">
      <c r="A88" s="23"/>
      <c r="B88" s="23"/>
      <c r="H88" s="14"/>
      <c r="I88" s="23"/>
      <c r="O88" s="14"/>
      <c r="P88" s="23"/>
      <c r="V88" s="14"/>
      <c r="W88" s="23"/>
      <c r="AC88" s="14"/>
      <c r="AD88" s="23"/>
      <c r="AK88" s="23"/>
      <c r="AR88" s="23"/>
      <c r="BH88" s="23"/>
      <c r="BI88" s="83" t="s">
        <v>137</v>
      </c>
      <c r="BM88" s="14"/>
      <c r="BN88" s="14"/>
      <c r="BP88" s="59"/>
      <c r="BT88" s="59"/>
      <c r="CE88" s="60"/>
    </row>
    <row r="89" spans="1:83" x14ac:dyDescent="0.3">
      <c r="A89" s="23"/>
      <c r="B89" s="23"/>
      <c r="H89" s="14"/>
      <c r="I89" s="23"/>
      <c r="O89" s="14"/>
      <c r="P89" s="23"/>
      <c r="V89" s="14"/>
      <c r="W89" s="23"/>
      <c r="AC89" s="14"/>
      <c r="AD89" s="23"/>
      <c r="AK89" s="23"/>
      <c r="AR89" s="23"/>
      <c r="BH89" s="23"/>
      <c r="BM89" s="14"/>
      <c r="BN89" s="14"/>
      <c r="BP89" s="59"/>
      <c r="BT89" s="59"/>
      <c r="CE89" s="60"/>
    </row>
    <row r="90" spans="1:83" x14ac:dyDescent="0.3">
      <c r="A90" s="23"/>
      <c r="B90" s="23"/>
      <c r="H90" s="14"/>
      <c r="I90" s="23"/>
      <c r="O90" s="14"/>
      <c r="P90" s="23"/>
      <c r="V90" s="14"/>
      <c r="W90" s="23"/>
      <c r="AC90" s="14"/>
      <c r="AD90" s="23"/>
      <c r="AK90" s="23"/>
      <c r="AR90" s="23"/>
      <c r="BH90" s="23"/>
      <c r="BM90" s="14"/>
      <c r="BN90" s="14"/>
      <c r="BP90" s="59"/>
      <c r="BT90" s="59"/>
      <c r="CE90" s="60"/>
    </row>
    <row r="91" spans="1:83" x14ac:dyDescent="0.3">
      <c r="A91" s="23"/>
      <c r="B91" s="23"/>
      <c r="H91" s="14"/>
      <c r="I91" s="23"/>
      <c r="O91" s="14"/>
      <c r="P91" s="23"/>
      <c r="V91" s="14"/>
      <c r="W91" s="23"/>
      <c r="AC91" s="14"/>
      <c r="AD91" s="23"/>
      <c r="AK91" s="23"/>
      <c r="AR91" s="23"/>
      <c r="BH91" s="23"/>
      <c r="BM91" s="14"/>
      <c r="BN91" s="14"/>
      <c r="BP91" s="59"/>
      <c r="BT91" s="59"/>
      <c r="CE91" s="60"/>
    </row>
    <row r="92" spans="1:83" x14ac:dyDescent="0.3">
      <c r="A92" s="23"/>
      <c r="B92" s="23"/>
      <c r="H92" s="14"/>
      <c r="I92" s="23"/>
      <c r="O92" s="14"/>
      <c r="P92" s="23"/>
      <c r="V92" s="14"/>
      <c r="W92" s="23"/>
      <c r="AC92" s="14"/>
      <c r="AD92" s="23"/>
      <c r="AK92" s="23"/>
      <c r="AR92" s="23"/>
      <c r="BH92" s="23"/>
      <c r="BM92" s="14"/>
      <c r="BN92" s="14"/>
      <c r="BP92" s="59"/>
      <c r="BT92" s="59"/>
      <c r="CE92" s="60"/>
    </row>
    <row r="93" spans="1:83" x14ac:dyDescent="0.3">
      <c r="A93" s="23"/>
      <c r="B93" s="23"/>
      <c r="H93" s="14"/>
      <c r="I93" s="23"/>
      <c r="O93" s="14"/>
      <c r="P93" s="23"/>
      <c r="V93" s="14"/>
      <c r="W93" s="23"/>
      <c r="AC93" s="14"/>
      <c r="AD93" s="23"/>
      <c r="AK93" s="23"/>
      <c r="AR93" s="23"/>
      <c r="BH93" s="23"/>
      <c r="BM93" s="14"/>
      <c r="BN93" s="14"/>
      <c r="BP93" s="59"/>
      <c r="BT93" s="59"/>
      <c r="CE93" s="60"/>
    </row>
    <row r="94" spans="1:83" x14ac:dyDescent="0.3">
      <c r="A94" s="23"/>
      <c r="B94" s="23"/>
      <c r="H94" s="14"/>
      <c r="I94" s="23"/>
      <c r="O94" s="14"/>
      <c r="P94" s="23"/>
      <c r="V94" s="14"/>
      <c r="W94" s="23"/>
      <c r="AC94" s="14"/>
      <c r="AD94" s="23"/>
      <c r="AK94" s="23"/>
      <c r="AR94" s="23"/>
      <c r="BH94" s="23"/>
      <c r="BM94" s="14"/>
      <c r="BN94" s="14"/>
      <c r="BP94" s="59"/>
      <c r="BT94" s="59"/>
      <c r="CE94" s="60"/>
    </row>
    <row r="95" spans="1:83" x14ac:dyDescent="0.3">
      <c r="A95" s="23"/>
      <c r="B95" s="23"/>
      <c r="H95" s="14"/>
      <c r="I95" s="23"/>
      <c r="O95" s="14"/>
      <c r="P95" s="23"/>
      <c r="V95" s="14"/>
      <c r="W95" s="23"/>
      <c r="AC95" s="14"/>
      <c r="AD95" s="23"/>
      <c r="AK95" s="23"/>
      <c r="AR95" s="23"/>
      <c r="BH95" s="23"/>
      <c r="BM95" s="14"/>
      <c r="BN95" s="14"/>
      <c r="BP95" s="59"/>
      <c r="BT95" s="59"/>
      <c r="CE95" s="60"/>
    </row>
    <row r="96" spans="1:83" x14ac:dyDescent="0.3">
      <c r="A96" s="23"/>
      <c r="B96" s="23"/>
      <c r="H96" s="14"/>
      <c r="I96" s="23"/>
      <c r="O96" s="14"/>
      <c r="P96" s="23"/>
      <c r="V96" s="14"/>
      <c r="W96" s="23"/>
      <c r="AC96" s="14"/>
      <c r="AD96" s="23"/>
      <c r="AK96" s="23"/>
      <c r="AR96" s="23"/>
      <c r="BH96" s="23"/>
      <c r="BM96" s="14"/>
      <c r="BN96" s="14"/>
      <c r="BP96" s="59"/>
      <c r="BT96" s="59"/>
      <c r="CE96" s="60"/>
    </row>
    <row r="97" spans="1:83" x14ac:dyDescent="0.3">
      <c r="A97" s="23"/>
      <c r="B97" s="23"/>
      <c r="H97" s="14"/>
      <c r="I97" s="23"/>
      <c r="O97" s="14"/>
      <c r="P97" s="23"/>
      <c r="V97" s="14"/>
      <c r="W97" s="23"/>
      <c r="AC97" s="14"/>
      <c r="AD97" s="23"/>
      <c r="AK97" s="23"/>
      <c r="AR97" s="23"/>
      <c r="BH97" s="23"/>
      <c r="BM97" s="14"/>
      <c r="BN97" s="14"/>
      <c r="BP97" s="59"/>
      <c r="BT97" s="59"/>
      <c r="CE97" s="60"/>
    </row>
    <row r="98" spans="1:83" x14ac:dyDescent="0.3">
      <c r="A98" s="23"/>
      <c r="B98" s="23"/>
      <c r="H98" s="14"/>
      <c r="I98" s="23"/>
      <c r="O98" s="14"/>
      <c r="P98" s="23"/>
      <c r="V98" s="14"/>
      <c r="W98" s="23"/>
      <c r="AC98" s="14"/>
      <c r="AD98" s="23"/>
      <c r="AK98" s="23"/>
      <c r="AR98" s="23"/>
      <c r="BH98" s="23"/>
      <c r="BM98" s="14"/>
      <c r="BN98" s="14"/>
      <c r="BP98" s="59"/>
      <c r="BT98" s="59"/>
      <c r="CE98" s="60"/>
    </row>
    <row r="99" spans="1:83" s="11" customFormat="1" x14ac:dyDescent="0.3">
      <c r="A99" s="24"/>
      <c r="B99" s="37" t="s">
        <v>539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22"/>
      <c r="AL99" s="22"/>
      <c r="AM99" s="22"/>
      <c r="AN99" s="22"/>
      <c r="AO99" s="22"/>
      <c r="AP99" s="22"/>
      <c r="AQ99" s="2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40"/>
      <c r="BN99" s="13"/>
      <c r="BP99" s="54"/>
      <c r="BQ99" s="55"/>
      <c r="BR99" s="55"/>
      <c r="BS99" s="55"/>
      <c r="BT99" s="54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6"/>
    </row>
    <row r="100" spans="1:83" x14ac:dyDescent="0.3">
      <c r="A100" s="23"/>
      <c r="B100" s="23"/>
      <c r="H100" s="14"/>
      <c r="I100" s="23"/>
      <c r="O100" s="14"/>
      <c r="P100" s="23"/>
      <c r="V100" s="14"/>
      <c r="W100" s="23"/>
      <c r="AC100" s="14"/>
      <c r="AJ100" s="18"/>
      <c r="AK100" s="23"/>
      <c r="AQ100" s="14"/>
      <c r="AR100" s="30"/>
      <c r="AS100" s="11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G100" s="11"/>
      <c r="BH100" s="23"/>
      <c r="BM100" s="14"/>
      <c r="BN100" s="14"/>
      <c r="BP100" s="59"/>
      <c r="BT100" s="59"/>
      <c r="CE100" s="60"/>
    </row>
    <row r="101" spans="1:83" x14ac:dyDescent="0.3">
      <c r="A101" s="23"/>
      <c r="B101" s="23"/>
      <c r="H101" s="14"/>
      <c r="I101" s="23"/>
      <c r="O101" s="14"/>
      <c r="P101" s="23"/>
      <c r="V101" s="14"/>
      <c r="W101" s="23"/>
      <c r="AC101" s="14"/>
      <c r="AJ101" s="18"/>
      <c r="AK101" s="23"/>
      <c r="AQ101" s="14"/>
      <c r="AR101" s="30"/>
      <c r="AS101" s="11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G101" s="11"/>
      <c r="BH101" s="23"/>
      <c r="BM101" s="14"/>
      <c r="BN101" s="14"/>
      <c r="BP101" s="59"/>
      <c r="BT101" s="59"/>
      <c r="CE101" s="60"/>
    </row>
    <row r="102" spans="1:83" x14ac:dyDescent="0.3">
      <c r="A102" s="23"/>
      <c r="B102" s="23"/>
      <c r="H102" s="14"/>
      <c r="I102" s="23"/>
      <c r="O102" s="14"/>
      <c r="P102" s="23"/>
      <c r="V102" s="14"/>
      <c r="W102" s="23"/>
      <c r="AC102" s="14"/>
      <c r="AJ102" s="18"/>
      <c r="AK102" s="23"/>
      <c r="AQ102" s="14"/>
      <c r="AR102" s="30"/>
      <c r="AS102" s="11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G102" s="11"/>
      <c r="BH102" s="23"/>
      <c r="BM102" s="14"/>
      <c r="BN102" s="14"/>
      <c r="BP102" s="59"/>
      <c r="BT102" s="59"/>
      <c r="CE102" s="60"/>
    </row>
    <row r="103" spans="1:83" x14ac:dyDescent="0.3">
      <c r="A103" s="23"/>
      <c r="B103" s="23"/>
      <c r="H103" s="14"/>
      <c r="I103" s="23"/>
      <c r="O103" s="14"/>
      <c r="P103" s="23"/>
      <c r="V103" s="14"/>
      <c r="W103" s="23"/>
      <c r="AC103" s="14"/>
      <c r="AJ103" s="18"/>
      <c r="AK103" s="23"/>
      <c r="AQ103" s="14"/>
      <c r="AR103" s="23"/>
      <c r="AS103" s="11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H103" s="23"/>
      <c r="BM103" s="14"/>
      <c r="BN103" s="14"/>
      <c r="BP103" s="59"/>
      <c r="BT103" s="59"/>
      <c r="CE103" s="60"/>
    </row>
    <row r="104" spans="1:83" x14ac:dyDescent="0.3">
      <c r="A104" s="23"/>
      <c r="B104" s="23"/>
      <c r="H104" s="14"/>
      <c r="I104" s="23"/>
      <c r="O104" s="14"/>
      <c r="P104" s="23"/>
      <c r="V104" s="14"/>
      <c r="W104" s="23"/>
      <c r="AC104" s="14"/>
      <c r="AJ104" s="18"/>
      <c r="AK104" s="23"/>
      <c r="AQ104" s="14"/>
      <c r="AR104" s="23"/>
      <c r="AS104" s="21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H104" s="23"/>
      <c r="BM104" s="14"/>
      <c r="BN104" s="14"/>
      <c r="BP104" s="59"/>
      <c r="BT104" s="59"/>
      <c r="CE104" s="60"/>
    </row>
    <row r="105" spans="1:83" x14ac:dyDescent="0.3">
      <c r="A105" s="23"/>
      <c r="B105" s="23"/>
      <c r="H105" s="14"/>
      <c r="I105" s="23"/>
      <c r="O105" s="14"/>
      <c r="P105" s="23"/>
      <c r="V105" s="14"/>
      <c r="W105" s="23"/>
      <c r="AC105" s="14"/>
      <c r="AJ105" s="18"/>
      <c r="AK105" s="23"/>
      <c r="AQ105" s="14"/>
      <c r="AR105" s="23"/>
      <c r="AS105" s="21" t="s">
        <v>540</v>
      </c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H105" s="23"/>
      <c r="BM105" s="14"/>
      <c r="BN105" s="14"/>
      <c r="BP105" s="59"/>
      <c r="BT105" s="59"/>
      <c r="CE105" s="60"/>
    </row>
    <row r="106" spans="1:83" x14ac:dyDescent="0.3">
      <c r="A106" s="23"/>
      <c r="B106" s="23"/>
      <c r="H106" s="14"/>
      <c r="I106" s="23"/>
      <c r="O106" s="14"/>
      <c r="P106" s="23"/>
      <c r="V106" s="14"/>
      <c r="W106" s="23"/>
      <c r="AC106" s="14"/>
      <c r="AJ106" s="18"/>
      <c r="AK106" s="23"/>
      <c r="AQ106" s="14"/>
      <c r="AR106" s="23"/>
      <c r="AS106" s="17"/>
      <c r="AT106" s="17" t="s">
        <v>541</v>
      </c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H106" s="23"/>
      <c r="BM106" s="14"/>
      <c r="BN106" s="14"/>
      <c r="BP106" s="59"/>
      <c r="BT106" s="59"/>
      <c r="CE106" s="60"/>
    </row>
    <row r="107" spans="1:83" x14ac:dyDescent="0.3">
      <c r="A107" s="23"/>
      <c r="B107" s="23"/>
      <c r="H107" s="14"/>
      <c r="I107" s="23"/>
      <c r="O107" s="14"/>
      <c r="P107" s="23"/>
      <c r="V107" s="14"/>
      <c r="W107" s="23"/>
      <c r="AC107" s="14"/>
      <c r="AJ107" s="18"/>
      <c r="AK107" s="23"/>
      <c r="AQ107" s="14"/>
      <c r="AR107" s="23"/>
      <c r="AS107" s="21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H107" s="23"/>
      <c r="BM107" s="14"/>
      <c r="BN107" s="14"/>
      <c r="BP107" s="59"/>
      <c r="BT107" s="59"/>
      <c r="CE107" s="60"/>
    </row>
    <row r="108" spans="1:83" x14ac:dyDescent="0.3">
      <c r="A108" s="23"/>
      <c r="B108" s="23"/>
      <c r="H108" s="14"/>
      <c r="I108" s="23"/>
      <c r="O108" s="14"/>
      <c r="P108" s="23"/>
      <c r="V108" s="14"/>
      <c r="W108" s="23"/>
      <c r="AC108" s="14"/>
      <c r="AJ108" s="18"/>
      <c r="AK108" s="23"/>
      <c r="AQ108" s="14"/>
      <c r="AR108" s="23"/>
      <c r="AS108" s="11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H108" s="23"/>
      <c r="BM108" s="14"/>
      <c r="BN108" s="14"/>
      <c r="BP108" s="59"/>
      <c r="BT108" s="59"/>
      <c r="CE108" s="60"/>
    </row>
    <row r="109" spans="1:83" x14ac:dyDescent="0.3">
      <c r="A109" s="23"/>
      <c r="B109" s="23"/>
      <c r="H109" s="14"/>
      <c r="I109" s="23"/>
      <c r="O109" s="14"/>
      <c r="P109" s="23"/>
      <c r="V109" s="14"/>
      <c r="W109" s="23"/>
      <c r="AC109" s="14"/>
      <c r="AJ109" s="18"/>
      <c r="AK109" s="23"/>
      <c r="AQ109" s="14"/>
      <c r="AR109" s="23"/>
      <c r="AS109" s="11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H109" s="23"/>
      <c r="BM109" s="14"/>
      <c r="BN109" s="14"/>
      <c r="BP109" s="59"/>
      <c r="BT109" s="59"/>
      <c r="CE109" s="60"/>
    </row>
    <row r="110" spans="1:83" x14ac:dyDescent="0.3">
      <c r="A110" s="23"/>
      <c r="B110" s="23"/>
      <c r="H110" s="14"/>
      <c r="I110" s="23"/>
      <c r="O110" s="14"/>
      <c r="P110" s="23"/>
      <c r="V110" s="14"/>
      <c r="W110" s="23"/>
      <c r="AC110" s="14"/>
      <c r="AJ110" s="18"/>
      <c r="AK110" s="23"/>
      <c r="AQ110" s="14"/>
      <c r="AR110" s="23"/>
      <c r="AS110" s="21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H110" s="23"/>
      <c r="BM110" s="14"/>
      <c r="BN110" s="14"/>
      <c r="BP110" s="59"/>
      <c r="BT110" s="59"/>
      <c r="CE110" s="60"/>
    </row>
    <row r="111" spans="1:83" x14ac:dyDescent="0.3">
      <c r="A111" s="23"/>
      <c r="B111" s="23"/>
      <c r="H111" s="14"/>
      <c r="I111" s="23"/>
      <c r="O111" s="14"/>
      <c r="P111" s="23"/>
      <c r="V111" s="14"/>
      <c r="W111" s="23"/>
      <c r="AC111" s="14"/>
      <c r="AJ111" s="18"/>
      <c r="AK111" s="23"/>
      <c r="AQ111" s="14"/>
      <c r="AR111" s="23"/>
      <c r="AS111" s="21" t="s">
        <v>542</v>
      </c>
      <c r="AT111" s="17"/>
      <c r="AU111" s="17"/>
      <c r="AV111" s="17"/>
      <c r="AW111" s="17"/>
      <c r="AX111" s="17"/>
      <c r="AY111" s="17"/>
      <c r="AZ111" s="17"/>
      <c r="BA111" s="17"/>
      <c r="BB111" s="17"/>
      <c r="BH111" s="23"/>
      <c r="BM111" s="14"/>
      <c r="BN111" s="14"/>
      <c r="BP111" s="59"/>
      <c r="BT111" s="59"/>
      <c r="CE111" s="60"/>
    </row>
    <row r="112" spans="1:83" x14ac:dyDescent="0.3">
      <c r="A112" s="23"/>
      <c r="B112" s="23"/>
      <c r="H112" s="14"/>
      <c r="I112" s="23"/>
      <c r="O112" s="14"/>
      <c r="P112" s="23"/>
      <c r="V112" s="14"/>
      <c r="W112" s="23"/>
      <c r="AC112" s="14"/>
      <c r="AJ112" s="18"/>
      <c r="AK112" s="23"/>
      <c r="AQ112" s="14"/>
      <c r="AR112" s="23"/>
      <c r="AS112" s="17"/>
      <c r="AT112" s="17" t="s">
        <v>543</v>
      </c>
      <c r="AU112" s="17"/>
      <c r="AV112" s="17"/>
      <c r="AW112" s="17"/>
      <c r="AX112" s="17"/>
      <c r="AY112" s="17"/>
      <c r="AZ112" s="17"/>
      <c r="BA112" s="17"/>
      <c r="BB112" s="17"/>
      <c r="BH112" s="23"/>
      <c r="BM112" s="14"/>
      <c r="BN112" s="14"/>
      <c r="BP112" s="59"/>
      <c r="BT112" s="59"/>
      <c r="CE112" s="60"/>
    </row>
    <row r="113" spans="1:83" x14ac:dyDescent="0.3">
      <c r="A113" s="23"/>
      <c r="B113" s="23"/>
      <c r="H113" s="14"/>
      <c r="I113" s="23"/>
      <c r="O113" s="14"/>
      <c r="P113" s="23"/>
      <c r="V113" s="14"/>
      <c r="W113" s="23"/>
      <c r="AC113" s="14"/>
      <c r="AJ113" s="18"/>
      <c r="AK113" s="23"/>
      <c r="AQ113" s="14"/>
      <c r="AR113" s="23"/>
      <c r="AS113" s="21"/>
      <c r="AT113" s="17" t="s">
        <v>544</v>
      </c>
      <c r="AU113" s="17"/>
      <c r="AV113" s="17"/>
      <c r="BB113" s="11"/>
      <c r="BH113" s="23"/>
      <c r="BM113" s="14"/>
      <c r="BN113" s="14"/>
      <c r="BP113" s="59"/>
      <c r="BT113" s="59"/>
      <c r="CE113" s="60"/>
    </row>
    <row r="114" spans="1:83" x14ac:dyDescent="0.3">
      <c r="A114" s="23"/>
      <c r="B114" s="23"/>
      <c r="H114" s="14"/>
      <c r="I114" s="23"/>
      <c r="O114" s="14"/>
      <c r="P114" s="23"/>
      <c r="V114" s="14"/>
      <c r="W114" s="23"/>
      <c r="AC114" s="14"/>
      <c r="AJ114" s="18"/>
      <c r="AK114" s="23"/>
      <c r="AQ114" s="14"/>
      <c r="AR114" s="23"/>
      <c r="AS114" s="11"/>
      <c r="AT114" s="11"/>
      <c r="AU114" s="11"/>
      <c r="AV114" s="11"/>
      <c r="BB114" s="11"/>
      <c r="BH114" s="23"/>
      <c r="BM114" s="14"/>
      <c r="BN114" s="14"/>
      <c r="BP114" s="59"/>
      <c r="BT114" s="59"/>
      <c r="CE114" s="60"/>
    </row>
    <row r="115" spans="1:83" x14ac:dyDescent="0.3">
      <c r="A115" s="23"/>
      <c r="B115" s="23"/>
      <c r="H115" s="14"/>
      <c r="I115" s="23"/>
      <c r="O115" s="14"/>
      <c r="P115" s="23"/>
      <c r="V115" s="14"/>
      <c r="W115" s="23"/>
      <c r="AC115" s="14"/>
      <c r="AJ115" s="18"/>
      <c r="AK115" s="23"/>
      <c r="AQ115" s="14"/>
      <c r="AR115" s="23"/>
      <c r="BH115" s="23"/>
      <c r="BM115" s="14"/>
      <c r="BN115" s="14"/>
      <c r="BP115" s="59"/>
      <c r="BT115" s="59"/>
      <c r="CE115" s="60"/>
    </row>
    <row r="116" spans="1:83" x14ac:dyDescent="0.3">
      <c r="A116" s="23"/>
      <c r="B116" s="23"/>
      <c r="H116" s="14"/>
      <c r="I116" s="23"/>
      <c r="O116" s="14"/>
      <c r="P116" s="23"/>
      <c r="V116" s="14"/>
      <c r="W116" s="23"/>
      <c r="AC116" s="14"/>
      <c r="AD116" s="23"/>
      <c r="AK116" s="23"/>
      <c r="AR116" s="23"/>
      <c r="BH116" s="23"/>
      <c r="BM116" s="14"/>
      <c r="BN116" s="14"/>
      <c r="BP116" s="59"/>
      <c r="BT116" s="59"/>
      <c r="CE116" s="60"/>
    </row>
    <row r="117" spans="1:83" x14ac:dyDescent="0.3">
      <c r="A117" s="23"/>
      <c r="B117" s="23"/>
      <c r="H117" s="14"/>
      <c r="I117" s="23"/>
      <c r="O117" s="14"/>
      <c r="P117" s="23"/>
      <c r="V117" s="14"/>
      <c r="W117" s="23"/>
      <c r="AC117" s="14"/>
      <c r="AD117" s="23"/>
      <c r="AK117" s="23"/>
      <c r="AR117" s="23"/>
      <c r="BH117" s="23"/>
      <c r="BM117" s="14"/>
      <c r="BN117" s="14"/>
      <c r="BP117" s="59"/>
      <c r="BT117" s="59"/>
      <c r="CE117" s="60"/>
    </row>
    <row r="118" spans="1:83" x14ac:dyDescent="0.3">
      <c r="A118" s="23"/>
      <c r="B118" s="23"/>
      <c r="H118" s="14"/>
      <c r="I118" s="23"/>
      <c r="O118" s="14"/>
      <c r="P118" s="23"/>
      <c r="V118" s="14"/>
      <c r="W118" s="23"/>
      <c r="AC118" s="14"/>
      <c r="AD118" s="23"/>
      <c r="AK118" s="23"/>
      <c r="AR118" s="23"/>
      <c r="AS118" s="21"/>
      <c r="AT118" s="17"/>
      <c r="BH118" s="23"/>
      <c r="BM118" s="14"/>
      <c r="BN118" s="14"/>
      <c r="BP118" s="59"/>
      <c r="BT118" s="59"/>
      <c r="CE118" s="60"/>
    </row>
    <row r="119" spans="1:83" x14ac:dyDescent="0.3">
      <c r="A119" s="23"/>
      <c r="B119" s="23"/>
      <c r="H119" s="14"/>
      <c r="I119" s="23"/>
      <c r="O119" s="14"/>
      <c r="P119" s="23"/>
      <c r="V119" s="14"/>
      <c r="W119" s="23"/>
      <c r="AC119" s="14"/>
      <c r="AD119" s="23"/>
      <c r="AK119" s="23"/>
      <c r="AR119" s="23"/>
      <c r="BH119" s="23"/>
      <c r="BM119" s="14"/>
      <c r="BN119" s="14"/>
      <c r="BP119" s="59"/>
      <c r="BT119" s="59"/>
      <c r="CE119" s="60"/>
    </row>
    <row r="120" spans="1:83" x14ac:dyDescent="0.3">
      <c r="A120" s="23"/>
      <c r="B120" s="23"/>
      <c r="H120" s="14"/>
      <c r="I120" s="23"/>
      <c r="O120" s="14"/>
      <c r="P120" s="23"/>
      <c r="V120" s="14"/>
      <c r="W120" s="23"/>
      <c r="AC120" s="14"/>
      <c r="AD120" s="23"/>
      <c r="AK120" s="23"/>
      <c r="AR120" s="23"/>
      <c r="BH120" s="23"/>
      <c r="BM120" s="14"/>
      <c r="BN120" s="14"/>
      <c r="BP120" s="59"/>
      <c r="BT120" s="59"/>
      <c r="CE120" s="60"/>
    </row>
    <row r="121" spans="1:83" x14ac:dyDescent="0.3">
      <c r="A121" s="23"/>
      <c r="B121" s="23"/>
      <c r="H121" s="14"/>
      <c r="I121" s="23"/>
      <c r="O121" s="14"/>
      <c r="P121" s="23"/>
      <c r="V121" s="14"/>
      <c r="W121" s="23"/>
      <c r="AC121" s="14"/>
      <c r="AD121" s="23"/>
      <c r="AK121" s="23"/>
      <c r="AR121" s="23"/>
      <c r="BH121" s="23"/>
      <c r="BM121" s="14"/>
      <c r="BN121" s="14"/>
      <c r="BP121" s="59"/>
      <c r="BT121" s="59"/>
      <c r="CE121" s="60"/>
    </row>
    <row r="122" spans="1:83" x14ac:dyDescent="0.3">
      <c r="A122" s="23"/>
      <c r="B122" s="23"/>
      <c r="H122" s="14"/>
      <c r="I122" s="23"/>
      <c r="O122" s="14"/>
      <c r="P122" s="23"/>
      <c r="V122" s="14"/>
      <c r="W122" s="23"/>
      <c r="AC122" s="14"/>
      <c r="AD122" s="23"/>
      <c r="AK122" s="23"/>
      <c r="AR122" s="23"/>
      <c r="BH122" s="23"/>
      <c r="BM122" s="14"/>
      <c r="BN122" s="14"/>
      <c r="BP122" s="59"/>
      <c r="BT122" s="59"/>
      <c r="CE122" s="60"/>
    </row>
    <row r="123" spans="1:83" x14ac:dyDescent="0.3">
      <c r="A123" s="23"/>
      <c r="B123" s="50"/>
      <c r="C123" s="10"/>
      <c r="D123" s="10"/>
      <c r="E123" s="10"/>
      <c r="F123" s="10"/>
      <c r="G123" s="10"/>
      <c r="H123" s="15"/>
      <c r="I123" s="50"/>
      <c r="J123" s="10"/>
      <c r="K123" s="10"/>
      <c r="L123" s="10"/>
      <c r="M123" s="10"/>
      <c r="N123" s="10"/>
      <c r="O123" s="15"/>
      <c r="P123" s="50"/>
      <c r="Q123" s="10"/>
      <c r="R123" s="10"/>
      <c r="S123" s="10"/>
      <c r="T123" s="10"/>
      <c r="U123" s="10"/>
      <c r="V123" s="15"/>
      <c r="W123" s="50"/>
      <c r="X123" s="10"/>
      <c r="Y123" s="10"/>
      <c r="Z123" s="10"/>
      <c r="AA123" s="10"/>
      <c r="AB123" s="10"/>
      <c r="AC123" s="15"/>
      <c r="AD123" s="50"/>
      <c r="AE123" s="10"/>
      <c r="AF123" s="10"/>
      <c r="AG123" s="10"/>
      <c r="AH123" s="10"/>
      <c r="AI123" s="10"/>
      <c r="AJ123" s="10"/>
      <c r="AK123" s="50"/>
      <c r="AL123" s="10"/>
      <c r="AM123" s="10"/>
      <c r="AN123" s="10"/>
      <c r="AO123" s="10"/>
      <c r="AP123" s="10"/>
      <c r="AQ123" s="10"/>
      <c r="AR123" s="5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50"/>
      <c r="BI123" s="10"/>
      <c r="BJ123" s="10"/>
      <c r="BK123" s="10"/>
      <c r="BL123" s="10"/>
      <c r="BM123" s="15"/>
      <c r="BN123" s="14"/>
      <c r="BP123" s="61"/>
      <c r="BQ123" s="62"/>
      <c r="BR123" s="62"/>
      <c r="BS123" s="62"/>
      <c r="BT123" s="61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3"/>
    </row>
    <row r="124" spans="1:83" x14ac:dyDescent="0.3">
      <c r="A124" s="23"/>
      <c r="BN124" s="14"/>
    </row>
    <row r="125" spans="1:83" x14ac:dyDescent="0.3">
      <c r="A125" s="5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5"/>
    </row>
  </sheetData>
  <mergeCells count="28">
    <mergeCell ref="BT13:CE13"/>
    <mergeCell ref="BT43:CE43"/>
    <mergeCell ref="BT44:CE44"/>
    <mergeCell ref="BH8:BM9"/>
    <mergeCell ref="BP8:BS9"/>
    <mergeCell ref="BT8:CE9"/>
    <mergeCell ref="BT12:CE12"/>
    <mergeCell ref="AQ2:AV2"/>
    <mergeCell ref="AJ3:AK3"/>
    <mergeCell ref="AL3:AP3"/>
    <mergeCell ref="AQ3:AV3"/>
    <mergeCell ref="B8:H9"/>
    <mergeCell ref="I8:O9"/>
    <mergeCell ref="P8:V9"/>
    <mergeCell ref="AR8:BG9"/>
    <mergeCell ref="A2:E3"/>
    <mergeCell ref="F2:U3"/>
    <mergeCell ref="V2:AI3"/>
    <mergeCell ref="AJ2:AK2"/>
    <mergeCell ref="AL2:AP2"/>
    <mergeCell ref="AD9:AJ9"/>
    <mergeCell ref="AK9:AQ9"/>
    <mergeCell ref="W8:AC9"/>
    <mergeCell ref="A1:E1"/>
    <mergeCell ref="F1:U1"/>
    <mergeCell ref="V1:AI1"/>
    <mergeCell ref="AJ1:AP1"/>
    <mergeCell ref="AQ1:AV1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autoPageBreaks="0"/>
  </sheetPr>
  <dimension ref="A1:CS126"/>
  <sheetViews>
    <sheetView showGridLines="0" zoomScale="85" zoomScaleNormal="85" workbookViewId="0">
      <pane ySplit="9" topLeftCell="A10" activePane="bottomLeft" state="frozen"/>
      <selection activeCell="A10" sqref="A10"/>
      <selection pane="bottomLeft" activeCell="V1" sqref="V1:AI1"/>
    </sheetView>
  </sheetViews>
  <sheetFormatPr defaultColWidth="2.453125" defaultRowHeight="14.4" x14ac:dyDescent="0.3"/>
  <cols>
    <col min="1" max="5" width="2.453125" style="8"/>
    <col min="6" max="8" width="2.453125" style="8" customWidth="1"/>
    <col min="9" max="12" width="2.453125" style="8"/>
    <col min="13" max="15" width="2.453125" style="8" customWidth="1"/>
    <col min="16" max="22" width="2.453125" style="8"/>
    <col min="23" max="24" width="2.453125" style="8" customWidth="1"/>
    <col min="25" max="16384" width="2.453125" style="8"/>
  </cols>
  <sheetData>
    <row r="1" spans="1:97" ht="15" thickBot="1" x14ac:dyDescent="0.35">
      <c r="A1" s="164" t="s">
        <v>9</v>
      </c>
      <c r="B1" s="165"/>
      <c r="C1" s="165"/>
      <c r="D1" s="165"/>
      <c r="E1" s="166"/>
      <c r="F1" s="161" t="str">
        <f>変更履歴!F1</f>
        <v>会計システム刷新プロジェクト（LIBRA）</v>
      </c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3"/>
      <c r="V1" s="164" t="s">
        <v>80</v>
      </c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6"/>
      <c r="AJ1" s="164" t="s">
        <v>11</v>
      </c>
      <c r="AK1" s="165"/>
      <c r="AL1" s="165"/>
      <c r="AM1" s="165"/>
      <c r="AN1" s="165"/>
      <c r="AO1" s="165"/>
      <c r="AP1" s="166"/>
      <c r="AQ1" s="164" t="s">
        <v>12</v>
      </c>
      <c r="AR1" s="165"/>
      <c r="AS1" s="165"/>
      <c r="AT1" s="165"/>
      <c r="AU1" s="165"/>
      <c r="AV1" s="166"/>
    </row>
    <row r="2" spans="1:97" x14ac:dyDescent="0.3">
      <c r="A2" s="234" t="s">
        <v>13</v>
      </c>
      <c r="B2" s="235"/>
      <c r="C2" s="235"/>
      <c r="D2" s="235"/>
      <c r="E2" s="236"/>
      <c r="F2" s="173" t="str">
        <f>変更履歴!F2</f>
        <v>ToBe業務フロー（3.債権）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73" t="str">
        <f ca="1">MID(CELL("filename",$A$1),FIND("]",CELL("filename",$A$1))+1,31)</f>
        <v>14.手形管理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  <c r="AJ2" s="185" t="s">
        <v>14</v>
      </c>
      <c r="AK2" s="186"/>
      <c r="AL2" s="187">
        <f>変更履歴!AT2</f>
        <v>45365</v>
      </c>
      <c r="AM2" s="188"/>
      <c r="AN2" s="188"/>
      <c r="AO2" s="188"/>
      <c r="AP2" s="189"/>
      <c r="AQ2" s="190" t="str">
        <f>変更履歴!BA2</f>
        <v>JBS加藤</v>
      </c>
      <c r="AR2" s="191"/>
      <c r="AS2" s="191"/>
      <c r="AT2" s="191"/>
      <c r="AU2" s="191"/>
      <c r="AV2" s="192"/>
    </row>
    <row r="3" spans="1:97" ht="15" thickBot="1" x14ac:dyDescent="0.35">
      <c r="A3" s="237"/>
      <c r="B3" s="238"/>
      <c r="C3" s="238"/>
      <c r="D3" s="238"/>
      <c r="E3" s="239"/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17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8"/>
      <c r="AJ3" s="193" t="s">
        <v>15</v>
      </c>
      <c r="AK3" s="194"/>
      <c r="AL3" s="195">
        <f ca="1">変更履歴!AT3</f>
        <v>45846</v>
      </c>
      <c r="AM3" s="196"/>
      <c r="AN3" s="196"/>
      <c r="AO3" s="196"/>
      <c r="AP3" s="197"/>
      <c r="AQ3" s="198" t="str">
        <f ca="1">変更履歴!BA3</f>
        <v>JBS加藤</v>
      </c>
      <c r="AR3" s="199"/>
      <c r="AS3" s="199"/>
      <c r="AT3" s="199"/>
      <c r="AU3" s="199"/>
      <c r="AV3" s="200"/>
    </row>
    <row r="5" spans="1:97" x14ac:dyDescent="0.3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</row>
    <row r="6" spans="1:97" s="11" customFormat="1" x14ac:dyDescent="0.3">
      <c r="A6" s="35" t="str">
        <f ca="1">RIGHT(CELL("filename",A1),LEN(CELL("filename",A1))-FIND("]",CELL("filename",A1)))</f>
        <v>14.手形管理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36"/>
    </row>
    <row r="7" spans="1:97" s="11" customFormat="1" x14ac:dyDescent="0.3">
      <c r="A7" s="2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CB7" s="13"/>
    </row>
    <row r="8" spans="1:97" s="11" customFormat="1" x14ac:dyDescent="0.3">
      <c r="A8" s="24"/>
      <c r="B8" s="225" t="s">
        <v>116</v>
      </c>
      <c r="C8" s="226"/>
      <c r="D8" s="226"/>
      <c r="E8" s="226"/>
      <c r="F8" s="226"/>
      <c r="G8" s="226"/>
      <c r="H8" s="227"/>
      <c r="I8" s="225" t="s">
        <v>177</v>
      </c>
      <c r="J8" s="226"/>
      <c r="K8" s="226"/>
      <c r="L8" s="226"/>
      <c r="M8" s="226"/>
      <c r="N8" s="226"/>
      <c r="O8" s="227"/>
      <c r="P8" s="241" t="s">
        <v>178</v>
      </c>
      <c r="Q8" s="241"/>
      <c r="R8" s="241"/>
      <c r="S8" s="241"/>
      <c r="T8" s="241"/>
      <c r="U8" s="241"/>
      <c r="V8" s="241"/>
      <c r="W8" s="231" t="s">
        <v>179</v>
      </c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  <c r="AK8" s="231" t="s">
        <v>159</v>
      </c>
      <c r="AL8" s="232"/>
      <c r="AM8" s="232"/>
      <c r="AN8" s="232"/>
      <c r="AO8" s="232"/>
      <c r="AP8" s="232"/>
      <c r="AQ8" s="233"/>
      <c r="AR8" s="53" t="s">
        <v>92</v>
      </c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39"/>
      <c r="BF8" s="221" t="s">
        <v>110</v>
      </c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0" t="s">
        <v>112</v>
      </c>
      <c r="BW8" s="221"/>
      <c r="BX8" s="221"/>
      <c r="BY8" s="221"/>
      <c r="BZ8" s="221"/>
      <c r="CA8" s="221"/>
      <c r="CB8" s="13"/>
      <c r="CD8" s="245" t="s">
        <v>118</v>
      </c>
      <c r="CE8" s="246"/>
      <c r="CF8" s="246"/>
      <c r="CG8" s="246"/>
      <c r="CH8" s="248" t="s">
        <v>119</v>
      </c>
      <c r="CI8" s="249"/>
      <c r="CJ8" s="249"/>
      <c r="CK8" s="249"/>
      <c r="CL8" s="249"/>
      <c r="CM8" s="249"/>
      <c r="CN8" s="249"/>
      <c r="CO8" s="249"/>
      <c r="CP8" s="249"/>
      <c r="CQ8" s="249"/>
      <c r="CR8" s="249"/>
      <c r="CS8" s="249"/>
    </row>
    <row r="9" spans="1:97" s="11" customFormat="1" ht="16.5" customHeight="1" x14ac:dyDescent="0.3">
      <c r="A9" s="24"/>
      <c r="B9" s="228"/>
      <c r="C9" s="229"/>
      <c r="D9" s="229"/>
      <c r="E9" s="229"/>
      <c r="F9" s="229"/>
      <c r="G9" s="229"/>
      <c r="H9" s="230"/>
      <c r="I9" s="228"/>
      <c r="J9" s="229"/>
      <c r="K9" s="229"/>
      <c r="L9" s="229"/>
      <c r="M9" s="229"/>
      <c r="N9" s="229"/>
      <c r="O9" s="230"/>
      <c r="P9" s="241"/>
      <c r="Q9" s="241"/>
      <c r="R9" s="241"/>
      <c r="S9" s="241"/>
      <c r="T9" s="241"/>
      <c r="U9" s="241"/>
      <c r="V9" s="241"/>
      <c r="W9" s="231" t="s">
        <v>160</v>
      </c>
      <c r="X9" s="232"/>
      <c r="Y9" s="232"/>
      <c r="Z9" s="232"/>
      <c r="AA9" s="232"/>
      <c r="AB9" s="232"/>
      <c r="AC9" s="233"/>
      <c r="AD9" s="231" t="s">
        <v>483</v>
      </c>
      <c r="AE9" s="232"/>
      <c r="AF9" s="232"/>
      <c r="AG9" s="232"/>
      <c r="AH9" s="232"/>
      <c r="AI9" s="232"/>
      <c r="AJ9" s="232"/>
      <c r="AK9" s="231" t="s">
        <v>98</v>
      </c>
      <c r="AL9" s="232"/>
      <c r="AM9" s="232"/>
      <c r="AN9" s="232"/>
      <c r="AO9" s="232"/>
      <c r="AP9" s="232"/>
      <c r="AQ9" s="233"/>
      <c r="AR9" s="223" t="s">
        <v>107</v>
      </c>
      <c r="AS9" s="223"/>
      <c r="AT9" s="223"/>
      <c r="AU9" s="223"/>
      <c r="AV9" s="223"/>
      <c r="AW9" s="223"/>
      <c r="AX9" s="224"/>
      <c r="AY9" s="222" t="s">
        <v>109</v>
      </c>
      <c r="AZ9" s="223"/>
      <c r="BA9" s="223"/>
      <c r="BB9" s="223"/>
      <c r="BC9" s="223"/>
      <c r="BD9" s="223"/>
      <c r="BE9" s="224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13"/>
      <c r="CD9" s="247"/>
      <c r="CE9" s="247"/>
      <c r="CF9" s="247"/>
      <c r="CG9" s="247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</row>
    <row r="10" spans="1:97" s="11" customFormat="1" x14ac:dyDescent="0.3">
      <c r="A10" s="24"/>
      <c r="B10" s="37" t="s">
        <v>545</v>
      </c>
      <c r="C10" s="52"/>
      <c r="D10" s="52"/>
      <c r="E10" s="52"/>
      <c r="F10" s="52"/>
      <c r="G10" s="52"/>
      <c r="H10" s="52"/>
      <c r="I10" s="37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98"/>
      <c r="AL10" s="52"/>
      <c r="AM10" s="52"/>
      <c r="AN10" s="52"/>
      <c r="AO10" s="52"/>
      <c r="AP10" s="52"/>
      <c r="AQ10" s="40"/>
      <c r="AR10" s="52"/>
      <c r="AS10" s="52"/>
      <c r="AT10" s="52"/>
      <c r="AU10" s="52"/>
      <c r="AV10" s="52"/>
      <c r="AW10" s="52"/>
      <c r="AX10" s="52"/>
      <c r="AY10" s="22"/>
      <c r="AZ10" s="22"/>
      <c r="BA10" s="22"/>
      <c r="BB10" s="22"/>
      <c r="BC10" s="22"/>
      <c r="BD10" s="22"/>
      <c r="BE10" s="2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40"/>
      <c r="CB10" s="13"/>
      <c r="CD10" s="54"/>
      <c r="CE10" s="55"/>
      <c r="CF10" s="55"/>
      <c r="CG10" s="55"/>
      <c r="CH10" s="54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6"/>
    </row>
    <row r="11" spans="1:97" s="11" customFormat="1" x14ac:dyDescent="0.3">
      <c r="A11" s="24"/>
      <c r="B11" s="41"/>
      <c r="C11" s="42"/>
      <c r="D11" s="42"/>
      <c r="E11" s="42"/>
      <c r="F11" s="42"/>
      <c r="G11" s="42"/>
      <c r="H11" s="43"/>
      <c r="I11" s="41"/>
      <c r="J11" s="42"/>
      <c r="K11" s="42"/>
      <c r="L11" s="42"/>
      <c r="M11" s="42"/>
      <c r="N11" s="42"/>
      <c r="O11" s="43"/>
      <c r="P11" s="44"/>
      <c r="Q11" s="42"/>
      <c r="R11" s="42"/>
      <c r="S11" s="42"/>
      <c r="T11" s="42"/>
      <c r="U11" s="42"/>
      <c r="V11" s="43"/>
      <c r="W11" s="44"/>
      <c r="X11" s="42"/>
      <c r="Y11" s="42"/>
      <c r="Z11" s="42"/>
      <c r="AA11" s="42"/>
      <c r="AB11" s="42"/>
      <c r="AC11" s="43"/>
      <c r="AD11" s="42"/>
      <c r="AE11" s="42"/>
      <c r="AF11" s="42"/>
      <c r="AG11" s="42"/>
      <c r="AH11" s="42"/>
      <c r="AI11" s="42"/>
      <c r="AJ11" s="42"/>
      <c r="AK11" s="44"/>
      <c r="AL11" s="42"/>
      <c r="AM11" s="42"/>
      <c r="AN11" s="42"/>
      <c r="AO11" s="42"/>
      <c r="AP11" s="42"/>
      <c r="AQ11" s="43"/>
      <c r="AR11" s="42"/>
      <c r="AS11" s="42"/>
      <c r="AT11" s="42"/>
      <c r="AU11" s="42"/>
      <c r="AV11" s="42"/>
      <c r="AW11" s="42"/>
      <c r="AX11" s="43"/>
      <c r="AY11" s="44"/>
      <c r="AZ11" s="42"/>
      <c r="BA11" s="42"/>
      <c r="BB11" s="42"/>
      <c r="BC11" s="42"/>
      <c r="BD11" s="42"/>
      <c r="BE11" s="43"/>
      <c r="BF11" s="45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4"/>
      <c r="BW11" s="42"/>
      <c r="BX11" s="42"/>
      <c r="BY11" s="42"/>
      <c r="BZ11" s="42"/>
      <c r="CA11" s="43"/>
      <c r="CB11" s="13"/>
      <c r="CD11" s="57"/>
      <c r="CH11" s="57"/>
      <c r="CS11" s="58"/>
    </row>
    <row r="12" spans="1:97" s="11" customFormat="1" ht="13.5" customHeight="1" x14ac:dyDescent="0.3">
      <c r="A12" s="24"/>
      <c r="B12" s="26"/>
      <c r="C12" s="20"/>
      <c r="D12" s="20"/>
      <c r="E12" s="20"/>
      <c r="F12" s="20"/>
      <c r="G12" s="20"/>
      <c r="H12" s="19"/>
      <c r="I12" s="26"/>
      <c r="J12" s="20"/>
      <c r="K12" s="20"/>
      <c r="L12" s="20"/>
      <c r="M12" s="20"/>
      <c r="N12" s="20"/>
      <c r="O12" s="19"/>
      <c r="P12" s="27"/>
      <c r="Q12" s="20"/>
      <c r="R12" s="20"/>
      <c r="S12" s="20"/>
      <c r="T12" s="20"/>
      <c r="U12" s="20"/>
      <c r="V12" s="19"/>
      <c r="W12" s="27"/>
      <c r="X12" s="20"/>
      <c r="Y12" s="20"/>
      <c r="Z12" s="20"/>
      <c r="AA12" s="20"/>
      <c r="AB12" s="20"/>
      <c r="AC12" s="19"/>
      <c r="AD12" s="20"/>
      <c r="AE12" s="20"/>
      <c r="AF12" s="20"/>
      <c r="AG12" s="20"/>
      <c r="AH12" s="20"/>
      <c r="AI12" s="20"/>
      <c r="AJ12" s="20"/>
      <c r="AK12" s="27"/>
      <c r="AL12" s="20"/>
      <c r="AM12" s="20"/>
      <c r="AN12" s="20"/>
      <c r="AO12" s="20"/>
      <c r="AP12" s="20"/>
      <c r="AQ12" s="19"/>
      <c r="AR12" s="20"/>
      <c r="AS12" s="20"/>
      <c r="AT12" s="20"/>
      <c r="AU12" s="20"/>
      <c r="AV12" s="20"/>
      <c r="AW12" s="20"/>
      <c r="AX12" s="19"/>
      <c r="AY12" s="27"/>
      <c r="AZ12" s="20"/>
      <c r="BA12" s="20"/>
      <c r="BB12" s="20"/>
      <c r="BC12" s="20"/>
      <c r="BD12" s="20"/>
      <c r="BE12" s="19"/>
      <c r="BF12" s="34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27"/>
      <c r="BW12" s="20"/>
      <c r="BX12" s="20"/>
      <c r="BY12" s="20"/>
      <c r="BZ12" s="20"/>
      <c r="CA12" s="19"/>
      <c r="CB12" s="13"/>
      <c r="CD12" s="57"/>
      <c r="CH12" s="242"/>
      <c r="CI12" s="243"/>
      <c r="CJ12" s="243"/>
      <c r="CK12" s="243"/>
      <c r="CL12" s="243"/>
      <c r="CM12" s="243"/>
      <c r="CN12" s="243"/>
      <c r="CO12" s="243"/>
      <c r="CP12" s="243"/>
      <c r="CQ12" s="243"/>
      <c r="CR12" s="243"/>
      <c r="CS12" s="244"/>
    </row>
    <row r="13" spans="1:97" s="11" customFormat="1" x14ac:dyDescent="0.3">
      <c r="A13" s="24"/>
      <c r="B13" s="26"/>
      <c r="C13" s="20"/>
      <c r="D13" s="20"/>
      <c r="E13" s="20"/>
      <c r="F13" s="20"/>
      <c r="G13" s="20"/>
      <c r="H13" s="19"/>
      <c r="I13" s="26"/>
      <c r="J13" s="20"/>
      <c r="K13" s="20"/>
      <c r="L13" s="20"/>
      <c r="M13" s="20"/>
      <c r="N13" s="20"/>
      <c r="O13" s="19"/>
      <c r="P13" s="27"/>
      <c r="Q13" s="20"/>
      <c r="R13" s="20"/>
      <c r="S13" s="20"/>
      <c r="T13" s="20"/>
      <c r="U13" s="20"/>
      <c r="V13" s="19"/>
      <c r="W13" s="27"/>
      <c r="X13" s="20"/>
      <c r="Y13" s="20"/>
      <c r="Z13" s="20"/>
      <c r="AA13" s="20"/>
      <c r="AB13" s="20"/>
      <c r="AC13" s="19"/>
      <c r="AD13" s="20"/>
      <c r="AE13" s="20"/>
      <c r="AF13" s="20"/>
      <c r="AG13" s="20"/>
      <c r="AH13" s="20"/>
      <c r="AI13" s="20"/>
      <c r="AJ13" s="20"/>
      <c r="AK13" s="27"/>
      <c r="AL13" s="20"/>
      <c r="AM13" s="20"/>
      <c r="AN13" s="20"/>
      <c r="AO13" s="20"/>
      <c r="AP13" s="20"/>
      <c r="AQ13" s="19"/>
      <c r="AR13" s="20"/>
      <c r="AS13" s="20"/>
      <c r="AT13" s="20"/>
      <c r="AU13" s="20"/>
      <c r="AV13" s="20"/>
      <c r="AW13" s="20"/>
      <c r="AX13" s="19"/>
      <c r="AY13" s="27"/>
      <c r="AZ13" s="20"/>
      <c r="BA13" s="20"/>
      <c r="BB13" s="20"/>
      <c r="BC13" s="20"/>
      <c r="BD13" s="20"/>
      <c r="BE13" s="19"/>
      <c r="BF13" s="34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27"/>
      <c r="BW13" s="20"/>
      <c r="BX13" s="20"/>
      <c r="BY13" s="20"/>
      <c r="BZ13" s="20"/>
      <c r="CA13" s="19"/>
      <c r="CB13" s="13"/>
      <c r="CD13" s="57"/>
      <c r="CH13" s="242"/>
      <c r="CI13" s="243"/>
      <c r="CJ13" s="243"/>
      <c r="CK13" s="243"/>
      <c r="CL13" s="243"/>
      <c r="CM13" s="243"/>
      <c r="CN13" s="243"/>
      <c r="CO13" s="243"/>
      <c r="CP13" s="243"/>
      <c r="CQ13" s="243"/>
      <c r="CR13" s="243"/>
      <c r="CS13" s="244"/>
    </row>
    <row r="14" spans="1:97" s="11" customFormat="1" x14ac:dyDescent="0.3">
      <c r="A14" s="24"/>
      <c r="B14" s="26"/>
      <c r="C14" s="20"/>
      <c r="D14" s="20"/>
      <c r="E14" s="20"/>
      <c r="F14" s="20"/>
      <c r="G14" s="20"/>
      <c r="H14" s="19"/>
      <c r="I14" s="26"/>
      <c r="J14" s="20"/>
      <c r="K14" s="20"/>
      <c r="L14" s="20"/>
      <c r="M14" s="20"/>
      <c r="N14" s="20"/>
      <c r="O14" s="19"/>
      <c r="P14" s="27"/>
      <c r="Q14" s="20"/>
      <c r="R14" s="20"/>
      <c r="S14" s="20"/>
      <c r="T14" s="20"/>
      <c r="U14" s="20"/>
      <c r="V14" s="19"/>
      <c r="W14" s="27"/>
      <c r="X14" s="20"/>
      <c r="Y14" s="20"/>
      <c r="Z14" s="20"/>
      <c r="AA14" s="20"/>
      <c r="AB14" s="20"/>
      <c r="AC14" s="19"/>
      <c r="AD14" s="20"/>
      <c r="AE14" s="20"/>
      <c r="AF14" s="20"/>
      <c r="AG14" s="20"/>
      <c r="AH14" s="20"/>
      <c r="AI14" s="20"/>
      <c r="AJ14" s="20"/>
      <c r="AK14" s="27"/>
      <c r="AL14" s="20"/>
      <c r="AM14" s="20"/>
      <c r="AN14" s="20"/>
      <c r="AO14" s="20"/>
      <c r="AP14" s="20"/>
      <c r="AQ14" s="19"/>
      <c r="AR14" s="20"/>
      <c r="AS14" s="20"/>
      <c r="AT14" s="20"/>
      <c r="AU14" s="20"/>
      <c r="AV14" s="20"/>
      <c r="AW14" s="20"/>
      <c r="AX14" s="19"/>
      <c r="AY14" s="27"/>
      <c r="AZ14" s="20"/>
      <c r="BA14" s="20"/>
      <c r="BB14" s="20"/>
      <c r="BC14" s="20"/>
      <c r="BD14" s="20"/>
      <c r="BE14" s="19"/>
      <c r="BF14" s="34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27"/>
      <c r="BW14" s="20"/>
      <c r="BX14" s="20"/>
      <c r="BY14" s="20"/>
      <c r="BZ14" s="20"/>
      <c r="CA14" s="19"/>
      <c r="CB14" s="13"/>
      <c r="CD14" s="57"/>
      <c r="CH14" s="57"/>
      <c r="CS14" s="58"/>
    </row>
    <row r="15" spans="1:97" s="11" customFormat="1" x14ac:dyDescent="0.3">
      <c r="A15" s="24"/>
      <c r="B15" s="26"/>
      <c r="C15" s="20"/>
      <c r="D15" s="20"/>
      <c r="E15" s="20"/>
      <c r="F15" s="20"/>
      <c r="G15" s="20"/>
      <c r="H15" s="19"/>
      <c r="I15" s="26"/>
      <c r="J15" s="20"/>
      <c r="K15" s="20"/>
      <c r="L15" s="20"/>
      <c r="M15" s="20"/>
      <c r="N15" s="20"/>
      <c r="O15" s="19"/>
      <c r="P15" s="27"/>
      <c r="Q15" s="20"/>
      <c r="R15" s="20"/>
      <c r="S15" s="20"/>
      <c r="T15" s="20"/>
      <c r="U15" s="20"/>
      <c r="V15" s="19"/>
      <c r="W15" s="27"/>
      <c r="X15" s="20"/>
      <c r="Y15" s="20"/>
      <c r="Z15" s="20"/>
      <c r="AA15" s="20"/>
      <c r="AB15" s="20"/>
      <c r="AC15" s="19"/>
      <c r="AD15" s="20"/>
      <c r="AE15" s="20"/>
      <c r="AF15" s="20"/>
      <c r="AG15" s="20"/>
      <c r="AH15" s="20"/>
      <c r="AI15" s="20"/>
      <c r="AJ15" s="20"/>
      <c r="AK15" s="27"/>
      <c r="AL15" s="20"/>
      <c r="AM15" s="20"/>
      <c r="AN15" s="20"/>
      <c r="AO15" s="20"/>
      <c r="AP15" s="20"/>
      <c r="AQ15" s="19"/>
      <c r="AR15" s="20"/>
      <c r="AS15" s="20"/>
      <c r="AT15" s="20"/>
      <c r="AU15" s="20"/>
      <c r="AV15" s="20"/>
      <c r="AW15" s="20"/>
      <c r="AX15" s="19"/>
      <c r="AY15" s="27"/>
      <c r="AZ15" s="20"/>
      <c r="BA15" s="20"/>
      <c r="BB15" s="20"/>
      <c r="BC15" s="20"/>
      <c r="BD15" s="20"/>
      <c r="BE15" s="19"/>
      <c r="BF15" s="34"/>
      <c r="BG15" s="21" t="s">
        <v>546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27"/>
      <c r="BW15" s="20"/>
      <c r="BX15" s="20"/>
      <c r="BY15" s="20"/>
      <c r="BZ15" s="20"/>
      <c r="CA15" s="19"/>
      <c r="CB15" s="13"/>
      <c r="CD15" s="57"/>
      <c r="CH15" s="57"/>
      <c r="CS15" s="58"/>
    </row>
    <row r="16" spans="1:97" s="11" customFormat="1" x14ac:dyDescent="0.3">
      <c r="A16" s="24"/>
      <c r="B16" s="26"/>
      <c r="C16" s="20"/>
      <c r="D16" s="20"/>
      <c r="E16" s="20"/>
      <c r="F16" s="20"/>
      <c r="G16" s="20"/>
      <c r="H16" s="19"/>
      <c r="I16" s="26"/>
      <c r="J16" s="20"/>
      <c r="K16" s="20"/>
      <c r="L16" s="20"/>
      <c r="M16" s="20"/>
      <c r="N16" s="20"/>
      <c r="O16" s="19"/>
      <c r="P16" s="27"/>
      <c r="Q16" s="20"/>
      <c r="R16" s="20"/>
      <c r="S16" s="20"/>
      <c r="T16" s="20"/>
      <c r="U16" s="20"/>
      <c r="V16" s="19"/>
      <c r="W16" s="27"/>
      <c r="X16" s="20"/>
      <c r="Y16" s="20"/>
      <c r="Z16" s="20"/>
      <c r="AA16" s="20"/>
      <c r="AB16" s="20"/>
      <c r="AC16" s="19"/>
      <c r="AD16" s="20"/>
      <c r="AE16" s="20"/>
      <c r="AF16" s="20"/>
      <c r="AG16" s="20"/>
      <c r="AH16" s="20"/>
      <c r="AI16" s="20"/>
      <c r="AJ16" s="20"/>
      <c r="AK16" s="27"/>
      <c r="AL16" s="20"/>
      <c r="AM16" s="20"/>
      <c r="AN16" s="20"/>
      <c r="AO16" s="20"/>
      <c r="AP16" s="20"/>
      <c r="AQ16" s="19"/>
      <c r="AR16" s="20"/>
      <c r="AS16" s="20"/>
      <c r="AT16" s="20"/>
      <c r="AU16" s="20"/>
      <c r="AV16" s="20"/>
      <c r="AW16" s="20"/>
      <c r="AX16" s="19"/>
      <c r="AY16" s="29"/>
      <c r="AZ16"/>
      <c r="BA16"/>
      <c r="BB16"/>
      <c r="BC16"/>
      <c r="BD16"/>
      <c r="BE16" s="18"/>
      <c r="BF16" s="34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27"/>
      <c r="BW16" s="20"/>
      <c r="BX16" s="20"/>
      <c r="BY16" s="20"/>
      <c r="BZ16" s="20"/>
      <c r="CA16" s="19"/>
      <c r="CB16" s="13"/>
      <c r="CD16" s="57"/>
      <c r="CH16" s="57"/>
      <c r="CS16" s="58"/>
    </row>
    <row r="17" spans="1:97" s="11" customFormat="1" x14ac:dyDescent="0.3">
      <c r="A17" s="24"/>
      <c r="B17" s="26"/>
      <c r="C17" s="20"/>
      <c r="D17" s="20"/>
      <c r="E17" s="20"/>
      <c r="F17" s="20"/>
      <c r="G17" s="20"/>
      <c r="H17" s="19"/>
      <c r="I17" s="26"/>
      <c r="J17" s="20"/>
      <c r="K17" s="20"/>
      <c r="L17" s="20"/>
      <c r="M17" s="20"/>
      <c r="N17" s="20"/>
      <c r="O17" s="19"/>
      <c r="P17" s="27"/>
      <c r="Q17" s="20"/>
      <c r="R17" s="20"/>
      <c r="S17" s="20"/>
      <c r="T17" s="20"/>
      <c r="U17" s="20"/>
      <c r="V17" s="19"/>
      <c r="W17" s="27"/>
      <c r="X17" s="20"/>
      <c r="Y17" s="20"/>
      <c r="Z17" s="20"/>
      <c r="AA17" s="20"/>
      <c r="AB17" s="20"/>
      <c r="AC17" s="19"/>
      <c r="AD17" s="20"/>
      <c r="AE17" s="20"/>
      <c r="AF17" s="20"/>
      <c r="AG17" s="20"/>
      <c r="AH17" s="20"/>
      <c r="AI17" s="20"/>
      <c r="AJ17" s="20"/>
      <c r="AK17" s="27"/>
      <c r="AL17" s="20"/>
      <c r="AM17" s="20"/>
      <c r="AN17" s="20"/>
      <c r="AO17" s="20"/>
      <c r="AP17" s="20"/>
      <c r="AQ17" s="19"/>
      <c r="AR17" s="20"/>
      <c r="AS17" s="20"/>
      <c r="AT17" s="20"/>
      <c r="AU17" s="20"/>
      <c r="AV17" s="20"/>
      <c r="AW17" s="20"/>
      <c r="AX17" s="19"/>
      <c r="AY17" s="30"/>
      <c r="BE17" s="13"/>
      <c r="BF17" s="34"/>
      <c r="BG17" s="21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27"/>
      <c r="BW17" s="20"/>
      <c r="BX17" s="20"/>
      <c r="BY17" s="20"/>
      <c r="BZ17" s="20"/>
      <c r="CA17" s="19"/>
      <c r="CB17" s="13"/>
      <c r="CD17" s="57"/>
      <c r="CH17" s="57"/>
      <c r="CS17" s="58"/>
    </row>
    <row r="18" spans="1:97" s="11" customFormat="1" x14ac:dyDescent="0.3">
      <c r="A18" s="24"/>
      <c r="B18" s="26"/>
      <c r="C18" s="20"/>
      <c r="D18" s="20"/>
      <c r="E18" s="20"/>
      <c r="F18" s="20"/>
      <c r="G18" s="20"/>
      <c r="H18" s="19"/>
      <c r="I18" s="26"/>
      <c r="J18" s="20"/>
      <c r="K18" s="20"/>
      <c r="L18" s="20"/>
      <c r="M18" s="20"/>
      <c r="N18" s="20"/>
      <c r="O18" s="19"/>
      <c r="P18" s="27"/>
      <c r="Q18" s="20"/>
      <c r="R18" s="20"/>
      <c r="S18" s="20"/>
      <c r="T18" s="20"/>
      <c r="U18" s="20"/>
      <c r="V18" s="19"/>
      <c r="W18" s="27"/>
      <c r="X18" s="20"/>
      <c r="Y18" s="20"/>
      <c r="Z18" s="20"/>
      <c r="AA18" s="20"/>
      <c r="AB18" s="20"/>
      <c r="AC18" s="19"/>
      <c r="AD18" s="20"/>
      <c r="AE18" s="20"/>
      <c r="AF18" s="20"/>
      <c r="AG18" s="20"/>
      <c r="AH18" s="20"/>
      <c r="AI18" s="20"/>
      <c r="AJ18" s="20"/>
      <c r="AK18" s="27"/>
      <c r="AL18" s="20"/>
      <c r="AM18" s="20"/>
      <c r="AN18" s="20"/>
      <c r="AO18" s="20"/>
      <c r="AP18" s="20"/>
      <c r="AQ18" s="19"/>
      <c r="AR18" s="20"/>
      <c r="AS18" s="20"/>
      <c r="AT18" s="20"/>
      <c r="AU18" s="20"/>
      <c r="AV18" s="20"/>
      <c r="AW18" s="20"/>
      <c r="AX18" s="19"/>
      <c r="AY18" s="23"/>
      <c r="AZ18" s="8"/>
      <c r="BA18" s="8"/>
      <c r="BB18" s="8"/>
      <c r="BC18" s="8"/>
      <c r="BD18" s="8"/>
      <c r="BE18" s="14"/>
      <c r="BF18" s="34"/>
      <c r="BG18" s="21" t="s">
        <v>547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27"/>
      <c r="BW18" s="20"/>
      <c r="BX18" s="20"/>
      <c r="BY18" s="20"/>
      <c r="BZ18" s="20"/>
      <c r="CA18" s="19"/>
      <c r="CB18" s="14"/>
      <c r="CD18" s="57"/>
      <c r="CH18" s="57"/>
      <c r="CS18" s="58"/>
    </row>
    <row r="19" spans="1:97" s="11" customFormat="1" x14ac:dyDescent="0.3">
      <c r="A19" s="24"/>
      <c r="B19" s="26"/>
      <c r="C19" s="20"/>
      <c r="D19" s="20"/>
      <c r="E19" s="20"/>
      <c r="F19" s="20"/>
      <c r="G19" s="20"/>
      <c r="H19" s="19"/>
      <c r="I19" s="26"/>
      <c r="J19" s="20"/>
      <c r="K19" s="20"/>
      <c r="L19" s="20"/>
      <c r="M19" s="20"/>
      <c r="N19" s="20"/>
      <c r="O19" s="19"/>
      <c r="P19" s="27"/>
      <c r="Q19" s="20"/>
      <c r="R19" s="20"/>
      <c r="S19" s="20"/>
      <c r="T19" s="20"/>
      <c r="U19" s="20"/>
      <c r="V19" s="19"/>
      <c r="W19" s="27"/>
      <c r="X19" s="20"/>
      <c r="Y19" s="20"/>
      <c r="Z19" s="20"/>
      <c r="AA19" s="20"/>
      <c r="AB19" s="20"/>
      <c r="AC19" s="19"/>
      <c r="AD19" s="20"/>
      <c r="AE19" s="20"/>
      <c r="AF19" s="20"/>
      <c r="AG19" s="20"/>
      <c r="AH19" s="20"/>
      <c r="AI19" s="20"/>
      <c r="AJ19" s="20"/>
      <c r="AK19" s="27"/>
      <c r="AL19" s="20"/>
      <c r="AM19" s="20"/>
      <c r="AN19" s="20"/>
      <c r="AO19" s="20"/>
      <c r="AP19" s="20"/>
      <c r="AQ19" s="19"/>
      <c r="AR19" s="20"/>
      <c r="AS19" s="20"/>
      <c r="AT19" s="20"/>
      <c r="AU19" s="20"/>
      <c r="AV19" s="20"/>
      <c r="AW19" s="20"/>
      <c r="AX19" s="19"/>
      <c r="AY19" s="23"/>
      <c r="AZ19" s="8"/>
      <c r="BA19" s="8"/>
      <c r="BB19" s="8"/>
      <c r="BC19" s="8"/>
      <c r="BD19" s="8"/>
      <c r="BE19" s="14"/>
      <c r="BF19" s="34"/>
      <c r="BH19" s="17" t="s">
        <v>548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27"/>
      <c r="BW19" s="20"/>
      <c r="BX19" s="20"/>
      <c r="BY19" s="20"/>
      <c r="BZ19" s="20"/>
      <c r="CA19" s="19"/>
      <c r="CB19" s="14"/>
      <c r="CD19" s="57"/>
      <c r="CH19" s="57"/>
      <c r="CS19" s="58"/>
    </row>
    <row r="20" spans="1:97" s="11" customFormat="1" x14ac:dyDescent="0.3">
      <c r="A20" s="24"/>
      <c r="B20" s="26"/>
      <c r="C20" s="20"/>
      <c r="D20" s="20"/>
      <c r="E20" s="20"/>
      <c r="F20" s="20"/>
      <c r="G20" s="20"/>
      <c r="H20" s="19"/>
      <c r="I20" s="26"/>
      <c r="J20" s="20"/>
      <c r="K20" s="20"/>
      <c r="L20" s="20"/>
      <c r="M20" s="20"/>
      <c r="N20" s="20"/>
      <c r="O20" s="19"/>
      <c r="P20" s="27"/>
      <c r="Q20" s="20"/>
      <c r="R20" s="20"/>
      <c r="S20" s="20"/>
      <c r="T20" s="20"/>
      <c r="U20" s="20"/>
      <c r="V20" s="19"/>
      <c r="W20" s="27"/>
      <c r="X20" s="20"/>
      <c r="Y20" s="20"/>
      <c r="Z20" s="20"/>
      <c r="AA20" s="20"/>
      <c r="AB20" s="20"/>
      <c r="AC20" s="19"/>
      <c r="AD20" s="20"/>
      <c r="AE20" s="20"/>
      <c r="AF20" s="20"/>
      <c r="AG20" s="20"/>
      <c r="AH20" s="20"/>
      <c r="AI20" s="20"/>
      <c r="AJ20" s="20"/>
      <c r="AK20" s="27"/>
      <c r="AL20" s="20"/>
      <c r="AM20" s="20"/>
      <c r="AN20" s="20"/>
      <c r="AO20" s="20"/>
      <c r="AP20" s="20"/>
      <c r="AQ20" s="19"/>
      <c r="AR20" s="20"/>
      <c r="AS20" s="20"/>
      <c r="AT20" s="20"/>
      <c r="AU20" s="20"/>
      <c r="AV20" s="20"/>
      <c r="AW20" s="20"/>
      <c r="AX20" s="19"/>
      <c r="AY20" s="23"/>
      <c r="AZ20" s="8"/>
      <c r="BA20" s="8"/>
      <c r="BB20" s="8"/>
      <c r="BC20" s="8"/>
      <c r="BD20" s="8"/>
      <c r="BE20" s="14"/>
      <c r="BF20" s="34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27"/>
      <c r="BW20" s="20"/>
      <c r="BX20" s="20"/>
      <c r="BY20" s="20"/>
      <c r="BZ20" s="20"/>
      <c r="CA20" s="19"/>
      <c r="CB20" s="14"/>
      <c r="CD20" s="57"/>
      <c r="CH20" s="57"/>
      <c r="CS20" s="58"/>
    </row>
    <row r="21" spans="1:97" s="11" customFormat="1" ht="13.5" customHeight="1" x14ac:dyDescent="0.3">
      <c r="A21" s="24"/>
      <c r="B21" s="28"/>
      <c r="C21" s="12"/>
      <c r="D21" s="12"/>
      <c r="E21" s="12"/>
      <c r="F21" s="12"/>
      <c r="G21" s="12"/>
      <c r="H21" s="18"/>
      <c r="I21" s="28"/>
      <c r="J21" s="12"/>
      <c r="K21" s="12"/>
      <c r="L21" s="12"/>
      <c r="M21" s="12"/>
      <c r="N21" s="12"/>
      <c r="O21" s="18"/>
      <c r="P21" s="29"/>
      <c r="Q21"/>
      <c r="R21"/>
      <c r="S21"/>
      <c r="T21"/>
      <c r="U21"/>
      <c r="V21" s="18"/>
      <c r="W21" s="29"/>
      <c r="X21"/>
      <c r="Y21"/>
      <c r="Z21"/>
      <c r="AA21"/>
      <c r="AB21"/>
      <c r="AC21" s="18"/>
      <c r="AD21"/>
      <c r="AE21"/>
      <c r="AF21"/>
      <c r="AG21"/>
      <c r="AH21"/>
      <c r="AI21"/>
      <c r="AJ21"/>
      <c r="AK21" s="29"/>
      <c r="AL21"/>
      <c r="AM21"/>
      <c r="AN21"/>
      <c r="AO21"/>
      <c r="AP21"/>
      <c r="AQ21" s="18"/>
      <c r="AR21"/>
      <c r="AS21"/>
      <c r="AT21"/>
      <c r="AU21"/>
      <c r="AV21"/>
      <c r="AW21"/>
      <c r="AX21" s="18"/>
      <c r="AY21" s="23"/>
      <c r="AZ21" s="8"/>
      <c r="BA21" s="8"/>
      <c r="BB21" s="8"/>
      <c r="BC21" s="8"/>
      <c r="BD21" s="8"/>
      <c r="BE21" s="14"/>
      <c r="BF21" s="30"/>
      <c r="BG21" s="21"/>
      <c r="BH21" s="17"/>
      <c r="BI21" s="17"/>
      <c r="BJ21" s="17"/>
      <c r="BK21" s="17"/>
      <c r="BM21" s="17"/>
      <c r="BN21" s="17"/>
      <c r="BO21" s="17"/>
      <c r="BP21" s="17"/>
      <c r="BQ21" s="17"/>
      <c r="BR21" s="17"/>
      <c r="BS21" s="17"/>
      <c r="BV21" s="30"/>
      <c r="BW21" s="8"/>
      <c r="CA21" s="13"/>
      <c r="CB21" s="14"/>
      <c r="CD21" s="57"/>
      <c r="CH21" s="57"/>
      <c r="CS21" s="58"/>
    </row>
    <row r="22" spans="1:97" s="11" customFormat="1" x14ac:dyDescent="0.3">
      <c r="A22" s="24"/>
      <c r="B22" s="28"/>
      <c r="C22" s="12"/>
      <c r="D22" s="12"/>
      <c r="E22" s="12"/>
      <c r="F22" s="12"/>
      <c r="G22" s="12"/>
      <c r="H22" s="18"/>
      <c r="I22" s="28"/>
      <c r="J22" s="12"/>
      <c r="K22" s="12"/>
      <c r="L22" s="12"/>
      <c r="M22" s="12"/>
      <c r="N22" s="12"/>
      <c r="O22" s="18"/>
      <c r="P22" s="30"/>
      <c r="V22" s="13"/>
      <c r="W22" s="30"/>
      <c r="AC22" s="13"/>
      <c r="AK22" s="30"/>
      <c r="AQ22" s="13"/>
      <c r="AX22" s="18"/>
      <c r="AY22" s="23"/>
      <c r="AZ22" s="8"/>
      <c r="BA22" s="8"/>
      <c r="BB22" s="8"/>
      <c r="BC22" s="8"/>
      <c r="BD22" s="8"/>
      <c r="BE22" s="14"/>
      <c r="BG22" s="17"/>
      <c r="BH22" s="17"/>
      <c r="BI22" s="17"/>
      <c r="BJ22" s="17"/>
      <c r="BK22" s="17"/>
      <c r="BM22" s="17"/>
      <c r="BN22" s="17"/>
      <c r="BO22" s="17"/>
      <c r="BP22" s="17"/>
      <c r="BQ22" s="17"/>
      <c r="BR22" s="17"/>
      <c r="BS22" s="17"/>
      <c r="BV22" s="30"/>
      <c r="CA22" s="13"/>
      <c r="CB22" s="14"/>
      <c r="CD22" s="57"/>
      <c r="CH22" s="57"/>
      <c r="CS22" s="58"/>
    </row>
    <row r="23" spans="1:97" x14ac:dyDescent="0.3">
      <c r="A23" s="23"/>
      <c r="B23" s="23"/>
      <c r="H23" s="14"/>
      <c r="I23" s="23"/>
      <c r="O23" s="14"/>
      <c r="P23" s="23"/>
      <c r="V23" s="14"/>
      <c r="W23" s="23"/>
      <c r="AC23" s="14"/>
      <c r="AK23" s="23"/>
      <c r="AQ23" s="14"/>
      <c r="AX23" s="18"/>
      <c r="AY23" s="23"/>
      <c r="BE23" s="14"/>
      <c r="BF23" s="30"/>
      <c r="BG23" s="21"/>
      <c r="BH23" s="17"/>
      <c r="BI23" s="17"/>
      <c r="BJ23" s="17"/>
      <c r="BK23" s="17"/>
      <c r="BM23" s="17"/>
      <c r="BN23" s="17"/>
      <c r="BO23" s="17"/>
      <c r="BP23" s="17"/>
      <c r="BQ23" s="17"/>
      <c r="BR23" s="17"/>
      <c r="BS23" s="17"/>
      <c r="BT23" s="11"/>
      <c r="BU23" s="11"/>
      <c r="BV23" s="23"/>
      <c r="CA23" s="14"/>
      <c r="CB23" s="14"/>
      <c r="CD23" s="59"/>
      <c r="CH23" s="59"/>
      <c r="CS23" s="60"/>
    </row>
    <row r="24" spans="1:97" x14ac:dyDescent="0.3">
      <c r="A24" s="23"/>
      <c r="B24" s="23"/>
      <c r="H24" s="14"/>
      <c r="I24" s="23"/>
      <c r="O24" s="14"/>
      <c r="P24" s="23"/>
      <c r="V24" s="14"/>
      <c r="W24" s="23"/>
      <c r="AC24" s="14"/>
      <c r="AK24" s="23"/>
      <c r="AQ24" s="14"/>
      <c r="AX24" s="18"/>
      <c r="AY24" s="23"/>
      <c r="BE24" s="14"/>
      <c r="BF24" s="34"/>
      <c r="BG24" s="21" t="s">
        <v>549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U24" s="11"/>
      <c r="BV24" s="23"/>
      <c r="CA24" s="14"/>
      <c r="CB24" s="14"/>
      <c r="CD24" s="59"/>
      <c r="CH24" s="59"/>
      <c r="CS24" s="60"/>
    </row>
    <row r="25" spans="1:97" x14ac:dyDescent="0.3">
      <c r="A25" s="23"/>
      <c r="B25" s="23"/>
      <c r="H25" s="14"/>
      <c r="I25" s="23"/>
      <c r="O25" s="14"/>
      <c r="P25" s="23"/>
      <c r="V25" s="14"/>
      <c r="W25" s="23"/>
      <c r="AC25" s="14"/>
      <c r="AK25" s="23"/>
      <c r="AQ25" s="14"/>
      <c r="AX25" s="18"/>
      <c r="AY25" s="23"/>
      <c r="BE25" s="14"/>
      <c r="BF25" s="34"/>
      <c r="BG25" s="11"/>
      <c r="BH25" s="17" t="s">
        <v>550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U25" s="11"/>
      <c r="BV25" s="23"/>
      <c r="CA25" s="14"/>
      <c r="CB25" s="14"/>
      <c r="CD25" s="59"/>
      <c r="CH25" s="59"/>
      <c r="CS25" s="60"/>
    </row>
    <row r="26" spans="1:97" x14ac:dyDescent="0.3">
      <c r="A26" s="23"/>
      <c r="B26" s="23"/>
      <c r="H26" s="14"/>
      <c r="I26" s="23"/>
      <c r="O26" s="14"/>
      <c r="P26" s="23"/>
      <c r="V26" s="14"/>
      <c r="W26" s="23"/>
      <c r="AC26" s="14"/>
      <c r="AK26" s="23"/>
      <c r="AQ26" s="14"/>
      <c r="AX26" s="18"/>
      <c r="AY26" s="23"/>
      <c r="BE26" s="14"/>
      <c r="BF26" s="34"/>
      <c r="BG26" s="11"/>
      <c r="BH26" s="17" t="s">
        <v>551</v>
      </c>
      <c r="BI26" s="17"/>
      <c r="BK26" s="17"/>
      <c r="BL26" s="17"/>
      <c r="BM26" s="17"/>
      <c r="BN26" s="17"/>
      <c r="BO26" s="17"/>
      <c r="BP26" s="17"/>
      <c r="BQ26" s="17"/>
      <c r="BR26" s="17"/>
      <c r="BS26" s="17"/>
      <c r="BU26" s="11"/>
      <c r="BV26" s="23"/>
      <c r="CA26" s="14"/>
      <c r="CB26" s="14"/>
      <c r="CD26" s="59"/>
      <c r="CH26" s="59"/>
      <c r="CS26" s="60"/>
    </row>
    <row r="27" spans="1:97" x14ac:dyDescent="0.3">
      <c r="A27" s="23"/>
      <c r="B27" s="23"/>
      <c r="H27" s="14"/>
      <c r="I27" s="23"/>
      <c r="O27" s="14"/>
      <c r="P27" s="23"/>
      <c r="V27" s="14"/>
      <c r="W27" s="23"/>
      <c r="AC27" s="14"/>
      <c r="AK27" s="23"/>
      <c r="AQ27" s="14"/>
      <c r="AX27" s="18"/>
      <c r="AY27" s="23"/>
      <c r="BE27" s="14"/>
      <c r="BF27" s="23"/>
      <c r="BK27" s="17"/>
      <c r="BL27" s="17"/>
      <c r="BM27" s="17"/>
      <c r="BN27" s="17"/>
      <c r="BO27" s="17"/>
      <c r="BP27" s="17"/>
      <c r="BQ27" s="17"/>
      <c r="BR27" s="17"/>
      <c r="BS27" s="17"/>
      <c r="BU27" s="11"/>
      <c r="BV27" s="23"/>
      <c r="CA27" s="14"/>
      <c r="CB27" s="14"/>
      <c r="CD27" s="59"/>
      <c r="CH27" s="59"/>
      <c r="CS27" s="60"/>
    </row>
    <row r="28" spans="1:97" x14ac:dyDescent="0.3">
      <c r="A28" s="23"/>
      <c r="B28" s="23"/>
      <c r="H28" s="14"/>
      <c r="I28" s="23"/>
      <c r="O28" s="14"/>
      <c r="P28" s="23"/>
      <c r="V28" s="14"/>
      <c r="W28" s="23"/>
      <c r="AC28" s="14"/>
      <c r="AK28" s="23"/>
      <c r="AQ28" s="14"/>
      <c r="AX28" s="18"/>
      <c r="AY28" s="23"/>
      <c r="BE28" s="14"/>
      <c r="BF28" s="23"/>
      <c r="BH28" s="80" t="s">
        <v>121</v>
      </c>
      <c r="BI28" s="79" t="s">
        <v>552</v>
      </c>
      <c r="BK28" s="17"/>
      <c r="BL28" s="17"/>
      <c r="BM28" s="17"/>
      <c r="BN28" s="17"/>
      <c r="BO28" s="17"/>
      <c r="BP28" s="17"/>
      <c r="BQ28" s="17"/>
      <c r="BR28" s="17"/>
      <c r="BS28" s="17"/>
      <c r="BV28" s="23"/>
      <c r="CA28" s="14"/>
      <c r="CB28" s="14"/>
      <c r="CD28" s="59"/>
      <c r="CH28" s="59"/>
      <c r="CS28" s="60"/>
    </row>
    <row r="29" spans="1:97" x14ac:dyDescent="0.3">
      <c r="A29" s="23"/>
      <c r="B29" s="23"/>
      <c r="H29" s="14"/>
      <c r="I29" s="23"/>
      <c r="O29" s="14"/>
      <c r="P29" s="23"/>
      <c r="V29" s="14"/>
      <c r="W29" s="23"/>
      <c r="AC29" s="14"/>
      <c r="AK29" s="23"/>
      <c r="AQ29" s="14"/>
      <c r="AX29" s="18"/>
      <c r="AY29" s="23"/>
      <c r="BE29" s="14"/>
      <c r="BF29" s="23"/>
      <c r="BH29" s="80"/>
      <c r="BI29" s="79" t="s">
        <v>553</v>
      </c>
      <c r="BK29" s="17"/>
      <c r="BL29" s="17"/>
      <c r="BM29" s="17"/>
      <c r="BN29" s="17"/>
      <c r="BO29" s="17"/>
      <c r="BP29" s="17"/>
      <c r="BQ29" s="17"/>
      <c r="BR29" s="17"/>
      <c r="BS29" s="17"/>
      <c r="BV29" s="23"/>
      <c r="CA29" s="14"/>
      <c r="CB29" s="14"/>
      <c r="CD29" s="59"/>
      <c r="CH29" s="59"/>
      <c r="CS29" s="60"/>
    </row>
    <row r="30" spans="1:97" x14ac:dyDescent="0.3">
      <c r="A30" s="23"/>
      <c r="B30" s="23"/>
      <c r="H30" s="14"/>
      <c r="I30" s="23"/>
      <c r="O30" s="14"/>
      <c r="P30" s="23"/>
      <c r="V30" s="14"/>
      <c r="W30" s="23"/>
      <c r="AC30" s="14"/>
      <c r="AK30" s="23"/>
      <c r="AQ30" s="14"/>
      <c r="AX30" s="18"/>
      <c r="AY30" s="23"/>
      <c r="BE30" s="14"/>
      <c r="BH30" s="81" t="s">
        <v>121</v>
      </c>
      <c r="BI30" s="81" t="s">
        <v>554</v>
      </c>
      <c r="BK30" s="17"/>
      <c r="BL30" s="17"/>
      <c r="BM30" s="17"/>
      <c r="BN30" s="17"/>
      <c r="BO30" s="17"/>
      <c r="BP30" s="17"/>
      <c r="BQ30" s="17"/>
      <c r="BR30" s="17"/>
      <c r="BS30" s="17"/>
      <c r="BV30" s="23"/>
      <c r="CA30" s="14"/>
      <c r="CB30" s="14"/>
      <c r="CD30" s="59"/>
      <c r="CH30" s="59"/>
      <c r="CS30" s="60"/>
    </row>
    <row r="31" spans="1:97" x14ac:dyDescent="0.3">
      <c r="A31" s="23"/>
      <c r="B31" s="23"/>
      <c r="H31" s="14"/>
      <c r="I31" s="23"/>
      <c r="O31" s="14"/>
      <c r="P31" s="23"/>
      <c r="V31" s="14"/>
      <c r="W31" s="23"/>
      <c r="AC31" s="14"/>
      <c r="AK31" s="23"/>
      <c r="AQ31" s="14"/>
      <c r="AX31" s="18"/>
      <c r="AY31" s="23"/>
      <c r="BE31" s="14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V31" s="23"/>
      <c r="CA31" s="14"/>
      <c r="CB31" s="14"/>
      <c r="CD31" s="59"/>
      <c r="CH31" s="59"/>
      <c r="CS31" s="60"/>
    </row>
    <row r="32" spans="1:97" x14ac:dyDescent="0.3">
      <c r="A32" s="23"/>
      <c r="B32" s="23"/>
      <c r="H32" s="14"/>
      <c r="I32" s="23"/>
      <c r="O32" s="14"/>
      <c r="P32" s="23"/>
      <c r="V32" s="14"/>
      <c r="W32" s="23"/>
      <c r="AC32" s="14"/>
      <c r="AK32" s="23"/>
      <c r="AQ32" s="14"/>
      <c r="AX32" s="18"/>
      <c r="AY32" s="23"/>
      <c r="BE32" s="14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V32" s="73" t="s">
        <v>132</v>
      </c>
      <c r="CA32" s="14"/>
      <c r="CB32" s="14"/>
      <c r="CD32" s="59"/>
      <c r="CH32" s="59"/>
      <c r="CS32" s="60"/>
    </row>
    <row r="33" spans="1:97" x14ac:dyDescent="0.3">
      <c r="A33" s="23"/>
      <c r="B33" s="23"/>
      <c r="H33" s="14"/>
      <c r="I33" s="23"/>
      <c r="O33" s="14"/>
      <c r="P33" s="23"/>
      <c r="V33" s="14"/>
      <c r="W33" s="23"/>
      <c r="AC33" s="14"/>
      <c r="AK33" s="23"/>
      <c r="AQ33" s="14"/>
      <c r="AX33" s="18"/>
      <c r="AY33" s="23"/>
      <c r="BE33" s="14"/>
      <c r="BK33" s="17"/>
      <c r="BL33" s="17"/>
      <c r="BM33" s="17"/>
      <c r="BN33" s="17"/>
      <c r="BO33" s="17"/>
      <c r="BP33" s="17"/>
      <c r="BQ33" s="17"/>
      <c r="BR33" s="17"/>
      <c r="BS33" s="17"/>
      <c r="BV33" s="23" t="s">
        <v>134</v>
      </c>
      <c r="CA33" s="14"/>
      <c r="CB33" s="14"/>
      <c r="CD33" s="59"/>
      <c r="CH33" s="59"/>
      <c r="CS33" s="60"/>
    </row>
    <row r="34" spans="1:97" x14ac:dyDescent="0.3">
      <c r="A34" s="23"/>
      <c r="B34" s="23"/>
      <c r="H34" s="14"/>
      <c r="I34" s="23"/>
      <c r="O34" s="14"/>
      <c r="P34" s="23"/>
      <c r="V34" s="14"/>
      <c r="W34" s="23"/>
      <c r="AC34" s="14"/>
      <c r="AK34" s="23"/>
      <c r="AQ34" s="14"/>
      <c r="AX34" s="18"/>
      <c r="AY34" s="23"/>
      <c r="BE34" s="14"/>
      <c r="BF34" s="23"/>
      <c r="BG34" s="21"/>
      <c r="BH34" s="17"/>
      <c r="BK34" s="17"/>
      <c r="BL34" s="17"/>
      <c r="BM34" s="17"/>
      <c r="BN34" s="17"/>
      <c r="BO34" s="17"/>
      <c r="BP34" s="17"/>
      <c r="BQ34" s="17"/>
      <c r="BR34" s="17"/>
      <c r="BS34" s="17"/>
      <c r="BV34" s="23"/>
      <c r="BW34" s="83" t="s">
        <v>136</v>
      </c>
      <c r="CA34" s="14"/>
      <c r="CB34" s="14"/>
      <c r="CD34" s="59"/>
      <c r="CH34" s="59"/>
      <c r="CS34" s="60"/>
    </row>
    <row r="35" spans="1:97" x14ac:dyDescent="0.3">
      <c r="A35" s="23"/>
      <c r="B35" s="23"/>
      <c r="H35" s="14"/>
      <c r="I35" s="23"/>
      <c r="O35" s="14"/>
      <c r="P35" s="23"/>
      <c r="V35" s="14"/>
      <c r="W35" s="23"/>
      <c r="AC35" s="14"/>
      <c r="AK35" s="23"/>
      <c r="AQ35" s="14"/>
      <c r="AX35" s="18"/>
      <c r="AY35" s="23"/>
      <c r="BE35" s="14"/>
      <c r="BF35" s="23"/>
      <c r="BK35" s="17"/>
      <c r="BL35" s="17"/>
      <c r="BM35" s="17"/>
      <c r="BN35" s="17"/>
      <c r="BO35" s="17"/>
      <c r="BP35" s="17"/>
      <c r="BQ35" s="17"/>
      <c r="BR35" s="17"/>
      <c r="BS35" s="17"/>
      <c r="BV35" s="23"/>
      <c r="BW35" s="83" t="s">
        <v>137</v>
      </c>
      <c r="CA35" s="14"/>
      <c r="CB35" s="14"/>
      <c r="CD35" s="59"/>
      <c r="CH35" s="59"/>
      <c r="CS35" s="60"/>
    </row>
    <row r="36" spans="1:97" x14ac:dyDescent="0.3">
      <c r="A36" s="23"/>
      <c r="B36" s="23"/>
      <c r="H36" s="14"/>
      <c r="I36" s="23"/>
      <c r="O36" s="14"/>
      <c r="P36" s="23"/>
      <c r="V36" s="14"/>
      <c r="W36" s="23"/>
      <c r="AC36" s="14"/>
      <c r="AK36" s="23"/>
      <c r="AQ36" s="14"/>
      <c r="AX36" s="18"/>
      <c r="AY36" s="23"/>
      <c r="BE36" s="14"/>
      <c r="BF36" s="23"/>
      <c r="BG36" s="21"/>
      <c r="BP36" s="11"/>
      <c r="BV36" s="23"/>
      <c r="CA36" s="14"/>
      <c r="CB36" s="14"/>
      <c r="CD36" s="59"/>
      <c r="CH36" s="59"/>
      <c r="CS36" s="60"/>
    </row>
    <row r="37" spans="1:97" x14ac:dyDescent="0.3">
      <c r="A37" s="23"/>
      <c r="B37" s="23"/>
      <c r="H37" s="14"/>
      <c r="I37" s="23"/>
      <c r="O37" s="14"/>
      <c r="P37" s="23"/>
      <c r="V37" s="14"/>
      <c r="W37" s="23"/>
      <c r="AC37" s="14"/>
      <c r="AK37" s="23"/>
      <c r="AQ37" s="14"/>
      <c r="AX37" s="18"/>
      <c r="AY37" s="23"/>
      <c r="BE37" s="14"/>
      <c r="BF37" s="23"/>
      <c r="BG37" s="21" t="s">
        <v>555</v>
      </c>
      <c r="BH37" s="17"/>
      <c r="BP37" s="11"/>
      <c r="BV37" s="23"/>
      <c r="CA37" s="14"/>
      <c r="CB37" s="14"/>
      <c r="CD37" s="59"/>
      <c r="CH37" s="59"/>
      <c r="CS37" s="60"/>
    </row>
    <row r="38" spans="1:97" x14ac:dyDescent="0.3">
      <c r="A38" s="23"/>
      <c r="B38" s="23"/>
      <c r="H38" s="14"/>
      <c r="I38" s="23"/>
      <c r="O38" s="14"/>
      <c r="P38" s="23"/>
      <c r="V38" s="14"/>
      <c r="W38" s="23"/>
      <c r="AC38" s="14"/>
      <c r="AK38" s="23"/>
      <c r="AQ38" s="14"/>
      <c r="AX38" s="18"/>
      <c r="AY38" s="23"/>
      <c r="BE38" s="14"/>
      <c r="BF38" s="23"/>
      <c r="BG38" s="11"/>
      <c r="BH38" s="17" t="s">
        <v>556</v>
      </c>
      <c r="BP38" s="11"/>
      <c r="BV38" s="23"/>
      <c r="CA38" s="14"/>
      <c r="CB38" s="14"/>
      <c r="CD38" s="59"/>
      <c r="CH38" s="59"/>
      <c r="CS38" s="60"/>
    </row>
    <row r="39" spans="1:97" x14ac:dyDescent="0.3">
      <c r="A39" s="23"/>
      <c r="B39" s="23"/>
      <c r="H39" s="14"/>
      <c r="I39" s="23"/>
      <c r="O39" s="14"/>
      <c r="P39" s="23"/>
      <c r="V39" s="14"/>
      <c r="W39" s="23"/>
      <c r="AC39" s="14"/>
      <c r="AK39" s="23"/>
      <c r="AQ39" s="14"/>
      <c r="AX39" s="18"/>
      <c r="AY39" s="23"/>
      <c r="BE39" s="14"/>
      <c r="BF39" s="23"/>
      <c r="BG39" s="11"/>
      <c r="BH39" s="17"/>
      <c r="BP39" s="11"/>
      <c r="BV39" s="23"/>
      <c r="CA39" s="14"/>
      <c r="CB39" s="14"/>
      <c r="CD39" s="59"/>
      <c r="CH39" s="59"/>
      <c r="CS39" s="60"/>
    </row>
    <row r="40" spans="1:97" x14ac:dyDescent="0.3">
      <c r="A40" s="23"/>
      <c r="B40" s="23"/>
      <c r="H40" s="14"/>
      <c r="I40" s="23"/>
      <c r="O40" s="14"/>
      <c r="P40" s="23"/>
      <c r="V40" s="14"/>
      <c r="W40" s="23"/>
      <c r="AC40" s="14"/>
      <c r="AK40" s="23"/>
      <c r="AQ40" s="14"/>
      <c r="AX40" s="18"/>
      <c r="AY40" s="23"/>
      <c r="BE40" s="14"/>
      <c r="BF40" s="23"/>
      <c r="BG40" s="11"/>
      <c r="BP40" s="11"/>
      <c r="BV40" s="23"/>
      <c r="CA40" s="14"/>
      <c r="CB40" s="14"/>
      <c r="CD40" s="59"/>
      <c r="CH40" s="59"/>
      <c r="CS40" s="60"/>
    </row>
    <row r="41" spans="1:97" x14ac:dyDescent="0.3">
      <c r="A41" s="23"/>
      <c r="B41" s="23"/>
      <c r="H41" s="14"/>
      <c r="I41" s="23"/>
      <c r="O41" s="14"/>
      <c r="P41" s="23"/>
      <c r="V41" s="14"/>
      <c r="W41" s="23"/>
      <c r="AC41" s="14"/>
      <c r="AK41" s="23"/>
      <c r="AQ41" s="14"/>
      <c r="AX41" s="18"/>
      <c r="AY41" s="23"/>
      <c r="BE41" s="14"/>
      <c r="BF41" s="23"/>
      <c r="BG41" s="11"/>
      <c r="BP41" s="11"/>
      <c r="BV41" s="23"/>
      <c r="CA41" s="14"/>
      <c r="CB41" s="14"/>
      <c r="CD41" s="59"/>
      <c r="CH41" s="59"/>
      <c r="CS41" s="60"/>
    </row>
    <row r="42" spans="1:97" x14ac:dyDescent="0.3">
      <c r="A42" s="23"/>
      <c r="B42" s="23"/>
      <c r="H42" s="14"/>
      <c r="I42" s="23"/>
      <c r="O42" s="14"/>
      <c r="P42" s="23"/>
      <c r="V42" s="14"/>
      <c r="W42" s="23"/>
      <c r="AC42" s="14"/>
      <c r="AK42" s="23"/>
      <c r="AQ42" s="14"/>
      <c r="AX42" s="18"/>
      <c r="AY42" s="23"/>
      <c r="BE42" s="14"/>
      <c r="BF42" s="23"/>
      <c r="BG42" s="11"/>
      <c r="BP42" s="11"/>
      <c r="BV42" s="23"/>
      <c r="CA42" s="14"/>
      <c r="CB42" s="14"/>
      <c r="CD42" s="59"/>
      <c r="CH42" s="59"/>
      <c r="CS42" s="60"/>
    </row>
    <row r="43" spans="1:97" x14ac:dyDescent="0.3">
      <c r="A43" s="23"/>
      <c r="B43" s="23"/>
      <c r="H43" s="14"/>
      <c r="I43" s="23"/>
      <c r="O43" s="14"/>
      <c r="P43" s="23"/>
      <c r="V43" s="14"/>
      <c r="W43" s="23"/>
      <c r="AC43" s="14"/>
      <c r="AK43" s="23"/>
      <c r="AQ43" s="14"/>
      <c r="AX43" s="18"/>
      <c r="AY43" s="23"/>
      <c r="BE43" s="14"/>
      <c r="BF43" s="23"/>
      <c r="BG43" s="11"/>
      <c r="BP43" s="11"/>
      <c r="BV43" s="23"/>
      <c r="CA43" s="14"/>
      <c r="CB43" s="14"/>
      <c r="CD43" s="59"/>
      <c r="CH43" s="59"/>
      <c r="CS43" s="60"/>
    </row>
    <row r="44" spans="1:97" x14ac:dyDescent="0.3">
      <c r="A44" s="23"/>
      <c r="B44" s="23"/>
      <c r="H44" s="14"/>
      <c r="I44" s="23"/>
      <c r="O44" s="14"/>
      <c r="P44" s="23"/>
      <c r="V44" s="14"/>
      <c r="W44" s="23"/>
      <c r="AC44" s="14"/>
      <c r="AK44" s="23"/>
      <c r="AQ44" s="14"/>
      <c r="AX44" s="18"/>
      <c r="AY44" s="23"/>
      <c r="BE44" s="14"/>
      <c r="BF44" s="23"/>
      <c r="BG44" s="11"/>
      <c r="BP44" s="11"/>
      <c r="BV44" s="23"/>
      <c r="CA44" s="14"/>
      <c r="CB44" s="14"/>
      <c r="CD44" s="59"/>
      <c r="CH44" s="59"/>
      <c r="CS44" s="60"/>
    </row>
    <row r="45" spans="1:97" x14ac:dyDescent="0.3">
      <c r="A45" s="23"/>
      <c r="B45" s="23"/>
      <c r="H45" s="14"/>
      <c r="I45" s="23"/>
      <c r="O45" s="14"/>
      <c r="P45" s="23"/>
      <c r="V45" s="14"/>
      <c r="W45" s="23"/>
      <c r="AC45" s="14"/>
      <c r="AK45" s="23"/>
      <c r="AQ45" s="14"/>
      <c r="AX45" s="18"/>
      <c r="AY45" s="23"/>
      <c r="BE45" s="14"/>
      <c r="BF45" s="23"/>
      <c r="BG45" s="21" t="s">
        <v>557</v>
      </c>
      <c r="BH45" s="17"/>
      <c r="BP45" s="11"/>
      <c r="BV45" s="23"/>
      <c r="CA45" s="14"/>
      <c r="CB45" s="14"/>
      <c r="CD45" s="59"/>
      <c r="CH45" s="59"/>
      <c r="CS45" s="60"/>
    </row>
    <row r="46" spans="1:97" x14ac:dyDescent="0.3">
      <c r="A46" s="23"/>
      <c r="B46" s="23"/>
      <c r="H46" s="14"/>
      <c r="I46" s="23"/>
      <c r="O46" s="14"/>
      <c r="P46" s="23"/>
      <c r="V46" s="14"/>
      <c r="W46" s="23"/>
      <c r="AC46" s="14"/>
      <c r="AK46" s="23"/>
      <c r="AQ46" s="14"/>
      <c r="AX46" s="18"/>
      <c r="AY46" s="23"/>
      <c r="BE46" s="14"/>
      <c r="BF46" s="23"/>
      <c r="BG46" s="11"/>
      <c r="BH46" s="17" t="s">
        <v>558</v>
      </c>
      <c r="BP46" s="11"/>
      <c r="BV46" s="23"/>
      <c r="CA46" s="14"/>
      <c r="CB46" s="14"/>
      <c r="CD46" s="59"/>
      <c r="CH46" s="59"/>
      <c r="CS46" s="60"/>
    </row>
    <row r="47" spans="1:97" x14ac:dyDescent="0.3">
      <c r="A47" s="23"/>
      <c r="B47" s="23"/>
      <c r="H47" s="14"/>
      <c r="I47" s="23"/>
      <c r="O47" s="14"/>
      <c r="P47" s="23"/>
      <c r="V47" s="14"/>
      <c r="W47" s="23"/>
      <c r="AC47" s="14"/>
      <c r="AK47" s="23"/>
      <c r="AQ47" s="14"/>
      <c r="AX47" s="18"/>
      <c r="AY47" s="23"/>
      <c r="BE47" s="14"/>
      <c r="BF47" s="23"/>
      <c r="BG47" s="11"/>
      <c r="BH47" s="17"/>
      <c r="BP47" s="11"/>
      <c r="BV47" s="23"/>
      <c r="CA47" s="14"/>
      <c r="CB47" s="14"/>
      <c r="CD47" s="59"/>
      <c r="CH47" s="59"/>
      <c r="CS47" s="60"/>
    </row>
    <row r="48" spans="1:97" x14ac:dyDescent="0.3">
      <c r="A48" s="23"/>
      <c r="B48" s="23"/>
      <c r="H48" s="14"/>
      <c r="I48" s="23"/>
      <c r="O48" s="14"/>
      <c r="P48" s="23"/>
      <c r="V48" s="14"/>
      <c r="W48" s="23"/>
      <c r="AC48" s="14"/>
      <c r="AK48" s="23"/>
      <c r="AQ48" s="14"/>
      <c r="AX48" s="18"/>
      <c r="AY48" s="23"/>
      <c r="BE48" s="14"/>
      <c r="BF48" s="23"/>
      <c r="BG48" s="11"/>
      <c r="BP48" s="11"/>
      <c r="BV48" s="23"/>
      <c r="CA48" s="14"/>
      <c r="CB48" s="14"/>
      <c r="CD48" s="59"/>
      <c r="CH48" s="59"/>
      <c r="CS48" s="60"/>
    </row>
    <row r="49" spans="1:97" x14ac:dyDescent="0.3">
      <c r="A49" s="23"/>
      <c r="B49" s="23"/>
      <c r="H49" s="14"/>
      <c r="I49" s="23"/>
      <c r="O49" s="14"/>
      <c r="P49" s="23"/>
      <c r="V49" s="14"/>
      <c r="W49" s="23"/>
      <c r="AC49" s="14"/>
      <c r="AK49" s="23"/>
      <c r="AQ49" s="14"/>
      <c r="AX49" s="18"/>
      <c r="AY49" s="23"/>
      <c r="BE49" s="14"/>
      <c r="BF49" s="23"/>
      <c r="BG49" s="11"/>
      <c r="BP49" s="11"/>
      <c r="BV49" s="23"/>
      <c r="CA49" s="14"/>
      <c r="CB49" s="14"/>
      <c r="CD49" s="59"/>
      <c r="CH49" s="59"/>
      <c r="CS49" s="60"/>
    </row>
    <row r="50" spans="1:97" x14ac:dyDescent="0.3">
      <c r="A50" s="23"/>
      <c r="B50" s="23"/>
      <c r="H50" s="14"/>
      <c r="I50" s="23"/>
      <c r="O50" s="14"/>
      <c r="P50" s="23"/>
      <c r="V50" s="14"/>
      <c r="W50" s="23"/>
      <c r="AC50" s="14"/>
      <c r="AK50" s="23"/>
      <c r="AQ50" s="14"/>
      <c r="AX50" s="18"/>
      <c r="AY50" s="23"/>
      <c r="BE50" s="14"/>
      <c r="BF50" s="23"/>
      <c r="BG50" s="11"/>
      <c r="BP50" s="11"/>
      <c r="BV50" s="23"/>
      <c r="CA50" s="14"/>
      <c r="CB50" s="14"/>
      <c r="CD50" s="59"/>
      <c r="CH50" s="59"/>
      <c r="CS50" s="60"/>
    </row>
    <row r="51" spans="1:97" x14ac:dyDescent="0.3">
      <c r="A51" s="23"/>
      <c r="B51" s="23"/>
      <c r="H51" s="14"/>
      <c r="I51" s="23"/>
      <c r="O51" s="14"/>
      <c r="P51" s="23"/>
      <c r="V51" s="14"/>
      <c r="W51" s="23"/>
      <c r="AC51" s="14"/>
      <c r="AK51" s="23"/>
      <c r="AQ51" s="14"/>
      <c r="AX51" s="18"/>
      <c r="AY51" s="23"/>
      <c r="BE51" s="14"/>
      <c r="BF51" s="23"/>
      <c r="BG51" s="11"/>
      <c r="BP51" s="11"/>
      <c r="BV51" s="23"/>
      <c r="CA51" s="14"/>
      <c r="CB51" s="14"/>
      <c r="CD51" s="59"/>
      <c r="CH51" s="59"/>
      <c r="CS51" s="60"/>
    </row>
    <row r="52" spans="1:97" x14ac:dyDescent="0.3">
      <c r="A52" s="23"/>
      <c r="B52" s="23"/>
      <c r="H52" s="14"/>
      <c r="I52" s="23"/>
      <c r="O52" s="14"/>
      <c r="P52" s="23"/>
      <c r="V52" s="14"/>
      <c r="W52" s="23"/>
      <c r="AC52" s="14"/>
      <c r="AK52" s="23"/>
      <c r="AQ52" s="14"/>
      <c r="AX52" s="18"/>
      <c r="AY52" s="23"/>
      <c r="BE52" s="14"/>
      <c r="BF52" s="23"/>
      <c r="BG52" s="11"/>
      <c r="BP52" s="11"/>
      <c r="BV52" s="23"/>
      <c r="CA52" s="14"/>
      <c r="CB52" s="14"/>
      <c r="CD52" s="59"/>
      <c r="CH52" s="59"/>
      <c r="CS52" s="60"/>
    </row>
    <row r="53" spans="1:97" x14ac:dyDescent="0.3">
      <c r="A53" s="23"/>
      <c r="B53" s="23"/>
      <c r="H53" s="14"/>
      <c r="I53" s="23"/>
      <c r="O53" s="14"/>
      <c r="P53" s="23"/>
      <c r="V53" s="14"/>
      <c r="W53" s="23"/>
      <c r="AC53" s="14"/>
      <c r="AK53" s="23"/>
      <c r="AQ53" s="14"/>
      <c r="AX53" s="18"/>
      <c r="AY53" s="23"/>
      <c r="BE53" s="14"/>
      <c r="BF53" s="23"/>
      <c r="BG53" s="11"/>
      <c r="BP53" s="11"/>
      <c r="BV53" s="23"/>
      <c r="CA53" s="14"/>
      <c r="CB53" s="14"/>
      <c r="CD53" s="59"/>
      <c r="CH53" s="59"/>
      <c r="CS53" s="60"/>
    </row>
    <row r="54" spans="1:97" x14ac:dyDescent="0.3">
      <c r="A54" s="23"/>
      <c r="B54" s="23"/>
      <c r="H54" s="14"/>
      <c r="I54" s="23"/>
      <c r="O54" s="14"/>
      <c r="P54" s="23"/>
      <c r="V54" s="14"/>
      <c r="W54" s="23"/>
      <c r="AC54" s="14"/>
      <c r="AK54" s="23"/>
      <c r="AQ54" s="14"/>
      <c r="AX54" s="18"/>
      <c r="AY54" s="23"/>
      <c r="BE54" s="14"/>
      <c r="BF54" s="23"/>
      <c r="BG54" s="11"/>
      <c r="BP54" s="11"/>
      <c r="BV54" s="23"/>
      <c r="CA54" s="14"/>
      <c r="CB54" s="14"/>
      <c r="CD54" s="59"/>
      <c r="CH54" s="59"/>
      <c r="CS54" s="60"/>
    </row>
    <row r="55" spans="1:97" x14ac:dyDescent="0.3">
      <c r="A55" s="23"/>
      <c r="B55" s="23"/>
      <c r="H55" s="14"/>
      <c r="I55" s="23"/>
      <c r="O55" s="14"/>
      <c r="P55" s="23"/>
      <c r="V55" s="14"/>
      <c r="W55" s="23"/>
      <c r="AC55" s="14"/>
      <c r="AK55" s="23"/>
      <c r="AQ55" s="14"/>
      <c r="AX55" s="18"/>
      <c r="AY55" s="23"/>
      <c r="BE55" s="14"/>
      <c r="BF55" s="23"/>
      <c r="BG55" s="11"/>
      <c r="BP55" s="11"/>
      <c r="BV55" s="23"/>
      <c r="CA55" s="14"/>
      <c r="CB55" s="14"/>
      <c r="CD55" s="59"/>
      <c r="CH55" s="59"/>
      <c r="CS55" s="60"/>
    </row>
    <row r="56" spans="1:97" x14ac:dyDescent="0.3">
      <c r="A56" s="23"/>
      <c r="B56" s="23"/>
      <c r="H56" s="14"/>
      <c r="I56" s="23"/>
      <c r="O56" s="14"/>
      <c r="P56" s="23"/>
      <c r="V56" s="14"/>
      <c r="W56" s="23"/>
      <c r="AC56" s="14"/>
      <c r="AK56" s="23"/>
      <c r="AQ56" s="14"/>
      <c r="AX56" s="18"/>
      <c r="AY56" s="23"/>
      <c r="BE56" s="14"/>
      <c r="BF56" s="23"/>
      <c r="BG56" s="16"/>
      <c r="BH56" s="11"/>
      <c r="BI56" s="11"/>
      <c r="BJ56" s="11"/>
      <c r="BP56" s="11"/>
      <c r="BV56" s="23"/>
      <c r="CA56" s="14"/>
      <c r="CB56" s="14"/>
      <c r="CD56" s="59"/>
      <c r="CH56" s="59"/>
      <c r="CS56" s="60"/>
    </row>
    <row r="57" spans="1:97" s="11" customFormat="1" x14ac:dyDescent="0.3">
      <c r="A57" s="24"/>
      <c r="B57" s="37" t="s">
        <v>559</v>
      </c>
      <c r="C57" s="52"/>
      <c r="D57" s="52"/>
      <c r="E57" s="52"/>
      <c r="F57" s="52"/>
      <c r="G57" s="52"/>
      <c r="H57" s="52"/>
      <c r="I57" s="37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98"/>
      <c r="AL57" s="52"/>
      <c r="AM57" s="52"/>
      <c r="AN57" s="52"/>
      <c r="AO57" s="52"/>
      <c r="AP57" s="52"/>
      <c r="AQ57" s="40"/>
      <c r="AR57" s="52"/>
      <c r="AS57" s="52"/>
      <c r="AT57" s="52"/>
      <c r="AU57" s="52"/>
      <c r="AV57" s="52"/>
      <c r="AW57" s="52"/>
      <c r="AX57" s="52"/>
      <c r="AY57" s="22"/>
      <c r="AZ57" s="22"/>
      <c r="BA57" s="22"/>
      <c r="BB57" s="22"/>
      <c r="BC57" s="22"/>
      <c r="BD57" s="22"/>
      <c r="BE57" s="2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40"/>
      <c r="CB57" s="13"/>
      <c r="CD57" s="54"/>
      <c r="CE57" s="55"/>
      <c r="CF57" s="55"/>
      <c r="CG57" s="55"/>
      <c r="CH57" s="54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6"/>
    </row>
    <row r="58" spans="1:97" s="11" customFormat="1" x14ac:dyDescent="0.3">
      <c r="A58" s="24"/>
      <c r="B58" s="41"/>
      <c r="C58" s="42"/>
      <c r="D58" s="42"/>
      <c r="E58" s="42"/>
      <c r="F58" s="42"/>
      <c r="G58" s="42"/>
      <c r="H58" s="43"/>
      <c r="I58" s="41"/>
      <c r="J58" s="42"/>
      <c r="K58" s="42"/>
      <c r="L58" s="42"/>
      <c r="M58" s="42"/>
      <c r="N58" s="42"/>
      <c r="O58" s="43"/>
      <c r="P58" s="44"/>
      <c r="Q58" s="42"/>
      <c r="R58" s="42"/>
      <c r="S58" s="42"/>
      <c r="T58" s="42"/>
      <c r="U58" s="42"/>
      <c r="V58" s="43"/>
      <c r="W58" s="44"/>
      <c r="X58" s="42"/>
      <c r="Y58" s="42"/>
      <c r="Z58" s="42"/>
      <c r="AA58" s="42"/>
      <c r="AB58" s="42"/>
      <c r="AC58" s="43"/>
      <c r="AD58" s="42"/>
      <c r="AE58" s="42"/>
      <c r="AF58" s="42"/>
      <c r="AG58" s="42"/>
      <c r="AH58" s="42"/>
      <c r="AI58" s="42"/>
      <c r="AJ58" s="42"/>
      <c r="AK58" s="44"/>
      <c r="AL58" s="42"/>
      <c r="AM58" s="42"/>
      <c r="AN58" s="42"/>
      <c r="AO58" s="42"/>
      <c r="AP58" s="42"/>
      <c r="AQ58" s="43"/>
      <c r="AR58" s="42"/>
      <c r="AS58" s="42"/>
      <c r="AT58" s="42"/>
      <c r="AU58" s="42"/>
      <c r="AV58" s="42"/>
      <c r="AW58" s="42"/>
      <c r="AX58" s="43"/>
      <c r="AY58" s="44"/>
      <c r="AZ58" s="42"/>
      <c r="BA58" s="42"/>
      <c r="BB58" s="42"/>
      <c r="BC58" s="42"/>
      <c r="BD58" s="42"/>
      <c r="BE58" s="43"/>
      <c r="BF58" s="45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4"/>
      <c r="BW58" s="42"/>
      <c r="BX58" s="42"/>
      <c r="BY58" s="42"/>
      <c r="BZ58" s="42"/>
      <c r="CA58" s="43"/>
      <c r="CB58" s="13"/>
      <c r="CD58" s="57"/>
      <c r="CH58" s="57"/>
      <c r="CS58" s="58"/>
    </row>
    <row r="59" spans="1:97" s="11" customFormat="1" ht="13.5" customHeight="1" x14ac:dyDescent="0.3">
      <c r="A59" s="24"/>
      <c r="B59" s="26"/>
      <c r="C59" s="20"/>
      <c r="D59" s="20"/>
      <c r="E59" s="20"/>
      <c r="F59" s="20"/>
      <c r="G59" s="20"/>
      <c r="H59" s="19"/>
      <c r="I59" s="26"/>
      <c r="J59" s="20"/>
      <c r="K59" s="20"/>
      <c r="L59" s="20"/>
      <c r="M59" s="20"/>
      <c r="N59" s="20"/>
      <c r="O59" s="19"/>
      <c r="P59" s="27"/>
      <c r="Q59" s="20"/>
      <c r="R59" s="20"/>
      <c r="S59" s="20"/>
      <c r="T59" s="20"/>
      <c r="U59" s="20"/>
      <c r="V59" s="19"/>
      <c r="W59" s="27"/>
      <c r="X59" s="20"/>
      <c r="Y59" s="20"/>
      <c r="Z59" s="20"/>
      <c r="AA59" s="20"/>
      <c r="AB59" s="20"/>
      <c r="AC59" s="19"/>
      <c r="AD59" s="20"/>
      <c r="AE59" s="20"/>
      <c r="AF59" s="20"/>
      <c r="AG59" s="20"/>
      <c r="AH59" s="20"/>
      <c r="AI59" s="20"/>
      <c r="AJ59" s="20"/>
      <c r="AK59" s="27"/>
      <c r="AL59" s="20"/>
      <c r="AM59" s="20"/>
      <c r="AN59" s="20"/>
      <c r="AO59" s="20"/>
      <c r="AP59" s="20"/>
      <c r="AQ59" s="19"/>
      <c r="AR59" s="20"/>
      <c r="AS59" s="20"/>
      <c r="AT59" s="20"/>
      <c r="AU59" s="20"/>
      <c r="AV59" s="20"/>
      <c r="AW59" s="20"/>
      <c r="AX59" s="19"/>
      <c r="AY59" s="27"/>
      <c r="AZ59" s="20"/>
      <c r="BA59" s="20"/>
      <c r="BB59" s="20"/>
      <c r="BC59" s="20"/>
      <c r="BD59" s="20"/>
      <c r="BE59" s="19"/>
      <c r="BF59" s="34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27"/>
      <c r="BW59" s="20"/>
      <c r="BX59" s="20"/>
      <c r="BY59" s="20"/>
      <c r="BZ59" s="20"/>
      <c r="CA59" s="19"/>
      <c r="CB59" s="13"/>
      <c r="CD59" s="57"/>
      <c r="CH59" s="242"/>
      <c r="CI59" s="243"/>
      <c r="CJ59" s="243"/>
      <c r="CK59" s="243"/>
      <c r="CL59" s="243"/>
      <c r="CM59" s="243"/>
      <c r="CN59" s="243"/>
      <c r="CO59" s="243"/>
      <c r="CP59" s="243"/>
      <c r="CQ59" s="243"/>
      <c r="CR59" s="243"/>
      <c r="CS59" s="244"/>
    </row>
    <row r="60" spans="1:97" s="11" customFormat="1" x14ac:dyDescent="0.3">
      <c r="A60" s="24"/>
      <c r="B60" s="26"/>
      <c r="C60" s="20"/>
      <c r="D60" s="20"/>
      <c r="E60" s="20"/>
      <c r="F60" s="20"/>
      <c r="G60" s="20"/>
      <c r="H60" s="19"/>
      <c r="I60" s="26"/>
      <c r="J60" s="20"/>
      <c r="K60" s="20"/>
      <c r="L60" s="20"/>
      <c r="M60" s="20"/>
      <c r="N60" s="20"/>
      <c r="O60" s="19"/>
      <c r="P60" s="27"/>
      <c r="Q60" s="20"/>
      <c r="R60" s="20"/>
      <c r="S60" s="20"/>
      <c r="T60" s="20"/>
      <c r="U60" s="20"/>
      <c r="V60" s="19"/>
      <c r="W60" s="27"/>
      <c r="X60" s="20"/>
      <c r="Y60" s="20"/>
      <c r="Z60" s="20"/>
      <c r="AA60" s="20"/>
      <c r="AB60" s="20"/>
      <c r="AC60" s="19"/>
      <c r="AD60" s="20"/>
      <c r="AE60" s="20"/>
      <c r="AF60" s="20"/>
      <c r="AG60" s="20"/>
      <c r="AH60" s="20"/>
      <c r="AI60" s="20"/>
      <c r="AJ60" s="20"/>
      <c r="AK60" s="27"/>
      <c r="AL60" s="20"/>
      <c r="AM60" s="20"/>
      <c r="AN60" s="20"/>
      <c r="AO60" s="20"/>
      <c r="AP60" s="20"/>
      <c r="AQ60" s="19"/>
      <c r="AR60" s="20"/>
      <c r="AS60" s="20"/>
      <c r="AT60" s="20"/>
      <c r="AU60" s="20"/>
      <c r="AV60" s="20"/>
      <c r="AW60" s="20"/>
      <c r="AX60" s="19"/>
      <c r="AY60" s="27"/>
      <c r="AZ60" s="20"/>
      <c r="BA60" s="20"/>
      <c r="BB60" s="20"/>
      <c r="BC60" s="20"/>
      <c r="BD60" s="20"/>
      <c r="BE60" s="19"/>
      <c r="BF60" s="34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27"/>
      <c r="BW60" s="20"/>
      <c r="BX60" s="20"/>
      <c r="BY60" s="20"/>
      <c r="BZ60" s="20"/>
      <c r="CA60" s="19"/>
      <c r="CB60" s="13"/>
      <c r="CD60" s="57"/>
      <c r="CH60" s="242"/>
      <c r="CI60" s="243"/>
      <c r="CJ60" s="243"/>
      <c r="CK60" s="243"/>
      <c r="CL60" s="243"/>
      <c r="CM60" s="243"/>
      <c r="CN60" s="243"/>
      <c r="CO60" s="243"/>
      <c r="CP60" s="243"/>
      <c r="CQ60" s="243"/>
      <c r="CR60" s="243"/>
      <c r="CS60" s="244"/>
    </row>
    <row r="61" spans="1:97" s="11" customFormat="1" x14ac:dyDescent="0.3">
      <c r="A61" s="24"/>
      <c r="B61" s="26"/>
      <c r="C61" s="20"/>
      <c r="D61" s="20"/>
      <c r="E61" s="20"/>
      <c r="F61" s="20"/>
      <c r="G61" s="20"/>
      <c r="H61" s="19"/>
      <c r="I61" s="26"/>
      <c r="J61" s="20"/>
      <c r="K61" s="20"/>
      <c r="L61" s="20"/>
      <c r="M61" s="20"/>
      <c r="N61" s="20"/>
      <c r="O61" s="19"/>
      <c r="P61" s="27"/>
      <c r="Q61" s="20"/>
      <c r="R61" s="20"/>
      <c r="S61" s="20"/>
      <c r="T61" s="20"/>
      <c r="U61" s="20"/>
      <c r="V61" s="19"/>
      <c r="W61" s="27"/>
      <c r="X61" s="20"/>
      <c r="Y61" s="20"/>
      <c r="Z61" s="20"/>
      <c r="AA61" s="20"/>
      <c r="AB61" s="20"/>
      <c r="AC61" s="19"/>
      <c r="AD61" s="20"/>
      <c r="AE61" s="20"/>
      <c r="AF61" s="20"/>
      <c r="AG61" s="20"/>
      <c r="AH61" s="20"/>
      <c r="AI61" s="20"/>
      <c r="AJ61" s="20"/>
      <c r="AK61" s="27"/>
      <c r="AL61" s="20"/>
      <c r="AM61" s="20"/>
      <c r="AN61" s="20"/>
      <c r="AO61" s="20"/>
      <c r="AP61" s="20"/>
      <c r="AQ61" s="19"/>
      <c r="AR61" s="20"/>
      <c r="AS61" s="20"/>
      <c r="AT61" s="20"/>
      <c r="AU61" s="20"/>
      <c r="AV61" s="20"/>
      <c r="AW61" s="20"/>
      <c r="AX61" s="19"/>
      <c r="AY61" s="27"/>
      <c r="AZ61" s="20"/>
      <c r="BA61" s="20"/>
      <c r="BB61" s="20"/>
      <c r="BC61" s="20"/>
      <c r="BD61" s="20"/>
      <c r="BE61" s="19"/>
      <c r="BF61" s="34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27"/>
      <c r="BW61" s="20"/>
      <c r="BX61" s="20"/>
      <c r="BY61" s="20"/>
      <c r="BZ61" s="20"/>
      <c r="CA61" s="19"/>
      <c r="CB61" s="13"/>
      <c r="CD61" s="57"/>
      <c r="CH61" s="57"/>
      <c r="CS61" s="58"/>
    </row>
    <row r="62" spans="1:97" s="11" customFormat="1" x14ac:dyDescent="0.3">
      <c r="A62" s="24"/>
      <c r="B62" s="26"/>
      <c r="C62" s="20"/>
      <c r="D62" s="20"/>
      <c r="E62" s="20"/>
      <c r="F62" s="20"/>
      <c r="G62" s="20"/>
      <c r="H62" s="19"/>
      <c r="I62" s="26"/>
      <c r="J62" s="20"/>
      <c r="K62" s="20"/>
      <c r="L62" s="20"/>
      <c r="M62" s="20"/>
      <c r="N62" s="20"/>
      <c r="O62" s="19"/>
      <c r="P62" s="27"/>
      <c r="Q62" s="20"/>
      <c r="R62" s="20"/>
      <c r="S62" s="20"/>
      <c r="T62" s="20"/>
      <c r="U62" s="20"/>
      <c r="V62" s="19"/>
      <c r="W62" s="27"/>
      <c r="X62" s="20"/>
      <c r="Y62" s="20"/>
      <c r="Z62" s="20"/>
      <c r="AA62" s="20"/>
      <c r="AB62" s="20"/>
      <c r="AC62" s="19"/>
      <c r="AD62" s="20"/>
      <c r="AE62" s="20"/>
      <c r="AF62" s="20"/>
      <c r="AG62" s="20"/>
      <c r="AH62" s="20"/>
      <c r="AI62" s="20"/>
      <c r="AJ62" s="20"/>
      <c r="AK62" s="27"/>
      <c r="AL62" s="20"/>
      <c r="AM62" s="20"/>
      <c r="AN62" s="20"/>
      <c r="AO62" s="20"/>
      <c r="AP62" s="20"/>
      <c r="AQ62" s="19"/>
      <c r="AR62" s="20"/>
      <c r="AS62" s="20"/>
      <c r="AT62" s="20"/>
      <c r="AU62" s="20"/>
      <c r="AV62" s="20"/>
      <c r="AW62" s="20"/>
      <c r="AX62" s="19"/>
      <c r="AY62" s="27"/>
      <c r="AZ62" s="20"/>
      <c r="BA62" s="20"/>
      <c r="BB62" s="20"/>
      <c r="BC62" s="20"/>
      <c r="BD62" s="20"/>
      <c r="BE62" s="19"/>
      <c r="BF62" s="34"/>
      <c r="BG62" s="21" t="s">
        <v>546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27"/>
      <c r="BW62" s="20"/>
      <c r="BX62" s="20"/>
      <c r="BY62" s="20"/>
      <c r="BZ62" s="20"/>
      <c r="CA62" s="19"/>
      <c r="CB62" s="13"/>
      <c r="CD62" s="57"/>
      <c r="CH62" s="57"/>
      <c r="CS62" s="58"/>
    </row>
    <row r="63" spans="1:97" s="11" customFormat="1" x14ac:dyDescent="0.3">
      <c r="A63" s="24"/>
      <c r="B63" s="26"/>
      <c r="C63" s="20"/>
      <c r="D63" s="20"/>
      <c r="E63" s="20"/>
      <c r="F63" s="20"/>
      <c r="G63" s="20"/>
      <c r="H63" s="19"/>
      <c r="I63" s="26"/>
      <c r="J63" s="20"/>
      <c r="K63" s="20"/>
      <c r="L63" s="20"/>
      <c r="M63" s="20"/>
      <c r="N63" s="20"/>
      <c r="O63" s="19"/>
      <c r="P63" s="27"/>
      <c r="Q63" s="20"/>
      <c r="R63" s="20"/>
      <c r="S63" s="20"/>
      <c r="T63" s="20"/>
      <c r="U63" s="20"/>
      <c r="V63" s="19"/>
      <c r="W63" s="27"/>
      <c r="X63" s="20"/>
      <c r="Y63" s="20"/>
      <c r="Z63" s="20"/>
      <c r="AA63" s="20"/>
      <c r="AB63" s="20"/>
      <c r="AC63" s="19"/>
      <c r="AD63" s="20"/>
      <c r="AE63" s="20"/>
      <c r="AF63" s="20"/>
      <c r="AG63" s="20"/>
      <c r="AH63" s="20"/>
      <c r="AI63" s="20"/>
      <c r="AJ63" s="20"/>
      <c r="AK63" s="27"/>
      <c r="AL63" s="20"/>
      <c r="AM63" s="20"/>
      <c r="AN63" s="20"/>
      <c r="AO63" s="20"/>
      <c r="AP63" s="20"/>
      <c r="AQ63" s="19"/>
      <c r="AR63" s="20"/>
      <c r="AS63" s="20"/>
      <c r="AT63" s="20"/>
      <c r="AU63" s="20"/>
      <c r="AV63" s="20"/>
      <c r="AW63" s="20"/>
      <c r="AX63" s="19"/>
      <c r="AY63" s="29"/>
      <c r="AZ63"/>
      <c r="BA63"/>
      <c r="BB63"/>
      <c r="BC63"/>
      <c r="BD63"/>
      <c r="BE63" s="18"/>
      <c r="BF63" s="34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27"/>
      <c r="BW63" s="20"/>
      <c r="BX63" s="20"/>
      <c r="BY63" s="20"/>
      <c r="BZ63" s="20"/>
      <c r="CA63" s="19"/>
      <c r="CB63" s="13"/>
      <c r="CD63" s="57"/>
      <c r="CH63" s="57"/>
      <c r="CS63" s="58"/>
    </row>
    <row r="64" spans="1:97" s="11" customFormat="1" x14ac:dyDescent="0.3">
      <c r="A64" s="24"/>
      <c r="B64" s="26"/>
      <c r="C64" s="20"/>
      <c r="D64" s="20"/>
      <c r="E64" s="20"/>
      <c r="F64" s="20"/>
      <c r="G64" s="20"/>
      <c r="H64" s="19"/>
      <c r="I64" s="26"/>
      <c r="J64" s="20"/>
      <c r="K64" s="20"/>
      <c r="L64" s="20"/>
      <c r="M64" s="20"/>
      <c r="N64" s="20"/>
      <c r="O64" s="19"/>
      <c r="P64" s="27"/>
      <c r="Q64" s="20"/>
      <c r="R64" s="20"/>
      <c r="S64" s="20"/>
      <c r="T64" s="20"/>
      <c r="U64" s="20"/>
      <c r="V64" s="19"/>
      <c r="W64" s="27"/>
      <c r="X64" s="20"/>
      <c r="Y64" s="20"/>
      <c r="Z64" s="20"/>
      <c r="AA64" s="20"/>
      <c r="AB64" s="20"/>
      <c r="AC64" s="19"/>
      <c r="AD64" s="20"/>
      <c r="AE64" s="20"/>
      <c r="AF64" s="20"/>
      <c r="AG64" s="20"/>
      <c r="AH64" s="20"/>
      <c r="AI64" s="20"/>
      <c r="AJ64" s="20"/>
      <c r="AK64" s="27"/>
      <c r="AL64" s="20"/>
      <c r="AM64" s="20"/>
      <c r="AN64" s="20"/>
      <c r="AO64" s="20"/>
      <c r="AP64" s="20"/>
      <c r="AQ64" s="19"/>
      <c r="AR64" s="20"/>
      <c r="AS64" s="20"/>
      <c r="AT64" s="20"/>
      <c r="AU64" s="20"/>
      <c r="AV64" s="20"/>
      <c r="AW64" s="20"/>
      <c r="AX64" s="19"/>
      <c r="AY64" s="30"/>
      <c r="BE64" s="13"/>
      <c r="BF64" s="34"/>
      <c r="BG64" s="21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27"/>
      <c r="BW64" s="20"/>
      <c r="BX64" s="20"/>
      <c r="BY64" s="20"/>
      <c r="BZ64" s="20"/>
      <c r="CA64" s="19"/>
      <c r="CB64" s="13"/>
      <c r="CD64" s="57"/>
      <c r="CH64" s="57"/>
      <c r="CS64" s="58"/>
    </row>
    <row r="65" spans="1:97" s="11" customFormat="1" x14ac:dyDescent="0.3">
      <c r="A65" s="24"/>
      <c r="B65" s="26"/>
      <c r="C65" s="20"/>
      <c r="D65" s="20"/>
      <c r="E65" s="20"/>
      <c r="F65" s="20"/>
      <c r="G65" s="20"/>
      <c r="H65" s="19"/>
      <c r="I65" s="26"/>
      <c r="J65" s="20"/>
      <c r="K65" s="20"/>
      <c r="L65" s="20"/>
      <c r="M65" s="20"/>
      <c r="N65" s="20"/>
      <c r="O65" s="19"/>
      <c r="P65" s="27"/>
      <c r="Q65" s="20"/>
      <c r="R65" s="20"/>
      <c r="S65" s="20"/>
      <c r="T65" s="20"/>
      <c r="U65" s="20"/>
      <c r="V65" s="19"/>
      <c r="W65" s="27"/>
      <c r="X65" s="20"/>
      <c r="Y65" s="20"/>
      <c r="Z65" s="20"/>
      <c r="AA65" s="20"/>
      <c r="AB65" s="20"/>
      <c r="AC65" s="19"/>
      <c r="AD65" s="20"/>
      <c r="AE65" s="20"/>
      <c r="AF65" s="20"/>
      <c r="AG65" s="20"/>
      <c r="AH65" s="20"/>
      <c r="AI65" s="20"/>
      <c r="AJ65" s="20"/>
      <c r="AK65" s="27"/>
      <c r="AL65" s="20"/>
      <c r="AM65" s="20"/>
      <c r="AN65" s="20"/>
      <c r="AO65" s="20"/>
      <c r="AP65" s="20"/>
      <c r="AQ65" s="19"/>
      <c r="AR65" s="20"/>
      <c r="AS65" s="20"/>
      <c r="AT65" s="20"/>
      <c r="AU65" s="20"/>
      <c r="AV65" s="20"/>
      <c r="AW65" s="20"/>
      <c r="AX65" s="19"/>
      <c r="AY65" s="23"/>
      <c r="AZ65" s="8"/>
      <c r="BA65" s="8"/>
      <c r="BB65" s="8"/>
      <c r="BC65" s="8"/>
      <c r="BD65" s="8"/>
      <c r="BE65" s="14"/>
      <c r="BF65" s="34"/>
      <c r="BG65" s="21" t="s">
        <v>560</v>
      </c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27"/>
      <c r="BW65" s="20"/>
      <c r="BX65" s="20"/>
      <c r="BY65" s="20"/>
      <c r="BZ65" s="20"/>
      <c r="CA65" s="19"/>
      <c r="CB65" s="14"/>
      <c r="CD65" s="57"/>
      <c r="CH65" s="57"/>
      <c r="CS65" s="58"/>
    </row>
    <row r="66" spans="1:97" s="11" customFormat="1" x14ac:dyDescent="0.3">
      <c r="A66" s="24"/>
      <c r="B66" s="26"/>
      <c r="C66" s="20"/>
      <c r="D66" s="20"/>
      <c r="E66" s="20"/>
      <c r="F66" s="20"/>
      <c r="G66" s="20"/>
      <c r="H66" s="19"/>
      <c r="I66" s="26"/>
      <c r="J66" s="20"/>
      <c r="K66" s="20"/>
      <c r="L66" s="20"/>
      <c r="M66" s="20"/>
      <c r="N66" s="20"/>
      <c r="O66" s="19"/>
      <c r="P66" s="27"/>
      <c r="Q66" s="20"/>
      <c r="R66" s="20"/>
      <c r="S66" s="20"/>
      <c r="T66" s="20"/>
      <c r="U66" s="20"/>
      <c r="V66" s="19"/>
      <c r="W66" s="27"/>
      <c r="X66" s="20"/>
      <c r="Y66" s="20"/>
      <c r="Z66" s="20"/>
      <c r="AA66" s="20"/>
      <c r="AB66" s="20"/>
      <c r="AC66" s="19"/>
      <c r="AD66" s="20"/>
      <c r="AE66" s="20"/>
      <c r="AF66" s="20"/>
      <c r="AG66" s="20"/>
      <c r="AH66" s="20"/>
      <c r="AI66" s="20"/>
      <c r="AJ66" s="20"/>
      <c r="AK66" s="27"/>
      <c r="AL66" s="20"/>
      <c r="AM66" s="20"/>
      <c r="AN66" s="20"/>
      <c r="AO66" s="20"/>
      <c r="AP66" s="20"/>
      <c r="AQ66" s="19"/>
      <c r="AR66" s="20"/>
      <c r="AS66" s="20"/>
      <c r="AT66" s="20"/>
      <c r="AU66" s="20"/>
      <c r="AV66" s="20"/>
      <c r="AW66" s="20"/>
      <c r="AX66" s="19"/>
      <c r="AY66" s="23"/>
      <c r="AZ66" s="8"/>
      <c r="BA66" s="8"/>
      <c r="BB66" s="8"/>
      <c r="BC66" s="8"/>
      <c r="BD66" s="8"/>
      <c r="BE66" s="14"/>
      <c r="BF66" s="34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27"/>
      <c r="BW66" s="20"/>
      <c r="BX66" s="20"/>
      <c r="BY66" s="20"/>
      <c r="BZ66" s="20"/>
      <c r="CA66" s="19"/>
      <c r="CB66" s="14"/>
      <c r="CD66" s="57"/>
      <c r="CH66" s="57"/>
      <c r="CS66" s="58"/>
    </row>
    <row r="67" spans="1:97" s="11" customFormat="1" x14ac:dyDescent="0.3">
      <c r="A67" s="24"/>
      <c r="B67" s="26"/>
      <c r="C67" s="20"/>
      <c r="D67" s="20"/>
      <c r="E67" s="20"/>
      <c r="F67" s="20"/>
      <c r="G67" s="20"/>
      <c r="H67" s="19"/>
      <c r="I67" s="26"/>
      <c r="J67" s="20"/>
      <c r="K67" s="20"/>
      <c r="L67" s="20"/>
      <c r="M67" s="20"/>
      <c r="N67" s="20"/>
      <c r="O67" s="19"/>
      <c r="P67" s="27"/>
      <c r="Q67" s="20"/>
      <c r="R67" s="20"/>
      <c r="S67" s="20"/>
      <c r="T67" s="20"/>
      <c r="U67" s="20"/>
      <c r="V67" s="19"/>
      <c r="W67" s="27"/>
      <c r="X67" s="20"/>
      <c r="Y67" s="20"/>
      <c r="Z67" s="20"/>
      <c r="AA67" s="20"/>
      <c r="AB67" s="20"/>
      <c r="AC67" s="19"/>
      <c r="AD67" s="20"/>
      <c r="AE67" s="20"/>
      <c r="AF67" s="20"/>
      <c r="AG67" s="20"/>
      <c r="AH67" s="20"/>
      <c r="AI67" s="20"/>
      <c r="AJ67" s="20"/>
      <c r="AK67" s="27"/>
      <c r="AL67" s="20"/>
      <c r="AM67" s="20"/>
      <c r="AN67" s="20"/>
      <c r="AO67" s="20"/>
      <c r="AP67" s="20"/>
      <c r="AQ67" s="19"/>
      <c r="AR67" s="20"/>
      <c r="AS67" s="20"/>
      <c r="AT67" s="20"/>
      <c r="AU67" s="20"/>
      <c r="AV67" s="20"/>
      <c r="AW67" s="20"/>
      <c r="AX67" s="19"/>
      <c r="AY67" s="23"/>
      <c r="AZ67" s="8"/>
      <c r="BA67" s="8"/>
      <c r="BB67" s="8"/>
      <c r="BC67" s="8"/>
      <c r="BD67" s="8"/>
      <c r="BE67" s="14"/>
      <c r="BF67" s="34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27"/>
      <c r="BW67" s="20"/>
      <c r="BX67" s="20"/>
      <c r="BY67" s="20"/>
      <c r="BZ67" s="20"/>
      <c r="CA67" s="19"/>
      <c r="CB67" s="14"/>
      <c r="CD67" s="57"/>
      <c r="CH67" s="57"/>
      <c r="CS67" s="58"/>
    </row>
    <row r="68" spans="1:97" s="11" customFormat="1" ht="13.5" customHeight="1" x14ac:dyDescent="0.3">
      <c r="A68" s="24"/>
      <c r="B68" s="28"/>
      <c r="C68" s="12"/>
      <c r="D68" s="12"/>
      <c r="E68" s="12"/>
      <c r="F68" s="12"/>
      <c r="G68" s="12"/>
      <c r="H68" s="18"/>
      <c r="I68" s="28"/>
      <c r="J68" s="12"/>
      <c r="K68" s="12"/>
      <c r="L68" s="12"/>
      <c r="M68" s="12"/>
      <c r="N68" s="12"/>
      <c r="O68" s="18"/>
      <c r="P68" s="29"/>
      <c r="Q68"/>
      <c r="R68"/>
      <c r="S68"/>
      <c r="T68"/>
      <c r="U68"/>
      <c r="V68" s="18"/>
      <c r="W68" s="29"/>
      <c r="X68"/>
      <c r="Y68"/>
      <c r="Z68"/>
      <c r="AA68"/>
      <c r="AB68"/>
      <c r="AC68" s="18"/>
      <c r="AD68"/>
      <c r="AE68"/>
      <c r="AF68"/>
      <c r="AG68"/>
      <c r="AH68"/>
      <c r="AI68"/>
      <c r="AJ68"/>
      <c r="AK68" s="29"/>
      <c r="AL68"/>
      <c r="AM68"/>
      <c r="AN68"/>
      <c r="AO68"/>
      <c r="AP68"/>
      <c r="AQ68" s="18"/>
      <c r="AR68"/>
      <c r="AS68"/>
      <c r="AT68"/>
      <c r="AU68"/>
      <c r="AV68"/>
      <c r="AW68"/>
      <c r="AX68" s="18"/>
      <c r="AY68" s="23"/>
      <c r="AZ68" s="8"/>
      <c r="BA68" s="8"/>
      <c r="BB68" s="8"/>
      <c r="BC68" s="8"/>
      <c r="BD68" s="8"/>
      <c r="BE68" s="14"/>
      <c r="BF68" s="30"/>
      <c r="BG68" s="21"/>
      <c r="BH68" s="17"/>
      <c r="BI68" s="17"/>
      <c r="BJ68" s="17"/>
      <c r="BK68" s="17"/>
      <c r="BM68" s="17"/>
      <c r="BN68" s="17"/>
      <c r="BO68" s="17"/>
      <c r="BP68" s="17"/>
      <c r="BQ68" s="17"/>
      <c r="BR68" s="17"/>
      <c r="BS68" s="17"/>
      <c r="BV68" s="30"/>
      <c r="BW68" s="8"/>
      <c r="CA68" s="13"/>
      <c r="CB68" s="14"/>
      <c r="CD68" s="57"/>
      <c r="CH68" s="57"/>
      <c r="CS68" s="58"/>
    </row>
    <row r="69" spans="1:97" s="11" customFormat="1" x14ac:dyDescent="0.3">
      <c r="A69" s="24"/>
      <c r="B69" s="28"/>
      <c r="C69" s="12"/>
      <c r="D69" s="12"/>
      <c r="E69" s="12"/>
      <c r="F69" s="12"/>
      <c r="G69" s="12"/>
      <c r="H69" s="18"/>
      <c r="I69" s="28"/>
      <c r="J69" s="12"/>
      <c r="K69" s="12"/>
      <c r="L69" s="12"/>
      <c r="M69" s="12"/>
      <c r="N69" s="12"/>
      <c r="O69" s="18"/>
      <c r="P69" s="30"/>
      <c r="V69" s="13"/>
      <c r="W69" s="30"/>
      <c r="AC69" s="13"/>
      <c r="AK69" s="30"/>
      <c r="AQ69" s="13"/>
      <c r="AX69" s="18"/>
      <c r="AY69" s="23"/>
      <c r="AZ69" s="8"/>
      <c r="BA69" s="8"/>
      <c r="BB69" s="8"/>
      <c r="BC69" s="8"/>
      <c r="BD69" s="8"/>
      <c r="BE69" s="14"/>
      <c r="BG69" s="17"/>
      <c r="BH69" s="17"/>
      <c r="BI69" s="17"/>
      <c r="BJ69" s="17"/>
      <c r="BK69" s="17"/>
      <c r="BM69" s="17"/>
      <c r="BN69" s="17"/>
      <c r="BO69" s="17"/>
      <c r="BP69" s="17"/>
      <c r="BQ69" s="17"/>
      <c r="BR69" s="17"/>
      <c r="BS69" s="17"/>
      <c r="BV69" s="30"/>
      <c r="CA69" s="13"/>
      <c r="CB69" s="14"/>
      <c r="CD69" s="57"/>
      <c r="CH69" s="57"/>
      <c r="CS69" s="58"/>
    </row>
    <row r="70" spans="1:97" x14ac:dyDescent="0.3">
      <c r="A70" s="23"/>
      <c r="B70" s="23"/>
      <c r="H70" s="14"/>
      <c r="I70" s="23"/>
      <c r="O70" s="14"/>
      <c r="P70" s="23"/>
      <c r="V70" s="14"/>
      <c r="W70" s="23"/>
      <c r="AC70" s="14"/>
      <c r="AK70" s="23"/>
      <c r="AQ70" s="14"/>
      <c r="AX70" s="18"/>
      <c r="AY70" s="23"/>
      <c r="BE70" s="14"/>
      <c r="BF70" s="30"/>
      <c r="BG70" s="21"/>
      <c r="BH70" s="17"/>
      <c r="BI70" s="17"/>
      <c r="BJ70" s="17"/>
      <c r="BK70" s="17"/>
      <c r="BM70" s="17"/>
      <c r="BN70" s="17"/>
      <c r="BO70" s="17"/>
      <c r="BP70" s="17"/>
      <c r="BQ70" s="17"/>
      <c r="BR70" s="17"/>
      <c r="BS70" s="17"/>
      <c r="BT70" s="11"/>
      <c r="BU70" s="11"/>
      <c r="BV70" s="23"/>
      <c r="CA70" s="14"/>
      <c r="CB70" s="14"/>
      <c r="CD70" s="59"/>
      <c r="CH70" s="59"/>
      <c r="CS70" s="60"/>
    </row>
    <row r="71" spans="1:97" x14ac:dyDescent="0.3">
      <c r="A71" s="23"/>
      <c r="B71" s="23"/>
      <c r="H71" s="14"/>
      <c r="I71" s="23"/>
      <c r="O71" s="14"/>
      <c r="P71" s="23"/>
      <c r="V71" s="14"/>
      <c r="W71" s="23"/>
      <c r="AC71" s="14"/>
      <c r="AK71" s="23"/>
      <c r="AQ71" s="14"/>
      <c r="AX71" s="18"/>
      <c r="AY71" s="23"/>
      <c r="BE71" s="14"/>
      <c r="BF71" s="34"/>
      <c r="BG71" s="21" t="s">
        <v>561</v>
      </c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U71" s="11"/>
      <c r="BV71" s="23"/>
      <c r="CA71" s="14"/>
      <c r="CB71" s="14"/>
      <c r="CD71" s="59"/>
      <c r="CH71" s="59"/>
      <c r="CS71" s="60"/>
    </row>
    <row r="72" spans="1:97" x14ac:dyDescent="0.3">
      <c r="A72" s="23"/>
      <c r="B72" s="23"/>
      <c r="H72" s="14"/>
      <c r="I72" s="23"/>
      <c r="O72" s="14"/>
      <c r="P72" s="23"/>
      <c r="V72" s="14"/>
      <c r="W72" s="23"/>
      <c r="AC72" s="14"/>
      <c r="AK72" s="23"/>
      <c r="AQ72" s="14"/>
      <c r="AX72" s="18"/>
      <c r="AY72" s="23"/>
      <c r="BE72" s="14"/>
      <c r="BF72" s="34"/>
      <c r="BG72" s="11"/>
      <c r="BH72" s="17" t="s">
        <v>562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U72" s="11"/>
      <c r="BV72" s="23"/>
      <c r="CA72" s="14"/>
      <c r="CB72" s="14"/>
      <c r="CD72" s="59"/>
      <c r="CH72" s="59"/>
      <c r="CS72" s="60"/>
    </row>
    <row r="73" spans="1:97" x14ac:dyDescent="0.3">
      <c r="A73" s="23"/>
      <c r="B73" s="23"/>
      <c r="H73" s="14"/>
      <c r="I73" s="23"/>
      <c r="O73" s="14"/>
      <c r="P73" s="23"/>
      <c r="V73" s="14"/>
      <c r="W73" s="23"/>
      <c r="AC73" s="14"/>
      <c r="AK73" s="23"/>
      <c r="AQ73" s="14"/>
      <c r="AX73" s="18"/>
      <c r="AY73" s="23"/>
      <c r="BE73" s="14"/>
      <c r="BF73" s="34"/>
      <c r="BG73" s="11"/>
      <c r="BH73" s="17" t="s">
        <v>563</v>
      </c>
      <c r="BI73" s="17"/>
      <c r="BK73" s="17"/>
      <c r="BL73" s="17"/>
      <c r="BM73" s="17"/>
      <c r="BN73" s="17"/>
      <c r="BO73" s="17"/>
      <c r="BP73" s="17"/>
      <c r="BQ73" s="17"/>
      <c r="BR73" s="17"/>
      <c r="BS73" s="17"/>
      <c r="BU73" s="11"/>
      <c r="BV73" s="23"/>
      <c r="CA73" s="14"/>
      <c r="CB73" s="14"/>
      <c r="CD73" s="59"/>
      <c r="CH73" s="59"/>
      <c r="CS73" s="60"/>
    </row>
    <row r="74" spans="1:97" x14ac:dyDescent="0.3">
      <c r="A74" s="23"/>
      <c r="B74" s="23"/>
      <c r="H74" s="14"/>
      <c r="I74" s="23"/>
      <c r="O74" s="14"/>
      <c r="P74" s="23"/>
      <c r="V74" s="14"/>
      <c r="W74" s="23"/>
      <c r="AC74" s="14"/>
      <c r="AK74" s="23"/>
      <c r="AQ74" s="14"/>
      <c r="AX74" s="18"/>
      <c r="AY74" s="23"/>
      <c r="BE74" s="14"/>
      <c r="BF74" s="23"/>
      <c r="BK74" s="17"/>
      <c r="BL74" s="17"/>
      <c r="BM74" s="17"/>
      <c r="BN74" s="17"/>
      <c r="BO74" s="17"/>
      <c r="BP74" s="17"/>
      <c r="BQ74" s="17"/>
      <c r="BR74" s="17"/>
      <c r="BS74" s="17"/>
      <c r="BU74" s="11"/>
      <c r="BV74" s="23"/>
      <c r="CA74" s="14"/>
      <c r="CB74" s="14"/>
      <c r="CD74" s="59"/>
      <c r="CH74" s="59"/>
      <c r="CS74" s="60"/>
    </row>
    <row r="75" spans="1:97" x14ac:dyDescent="0.3">
      <c r="A75" s="23"/>
      <c r="B75" s="23"/>
      <c r="H75" s="14"/>
      <c r="I75" s="23"/>
      <c r="O75" s="14"/>
      <c r="P75" s="23"/>
      <c r="V75" s="14"/>
      <c r="W75" s="23"/>
      <c r="AC75" s="14"/>
      <c r="AK75" s="23"/>
      <c r="AQ75" s="14"/>
      <c r="AX75" s="18"/>
      <c r="AY75" s="23"/>
      <c r="BE75" s="14"/>
      <c r="BF75" s="23"/>
      <c r="BK75" s="17"/>
      <c r="BL75" s="17"/>
      <c r="BM75" s="17"/>
      <c r="BN75" s="17"/>
      <c r="BO75" s="17"/>
      <c r="BP75" s="17"/>
      <c r="BQ75" s="17"/>
      <c r="BR75" s="17"/>
      <c r="BS75" s="17"/>
      <c r="BV75" s="23"/>
      <c r="CA75" s="14"/>
      <c r="CB75" s="14"/>
      <c r="CD75" s="59"/>
      <c r="CH75" s="59"/>
      <c r="CS75" s="60"/>
    </row>
    <row r="76" spans="1:97" x14ac:dyDescent="0.3">
      <c r="A76" s="23"/>
      <c r="B76" s="23"/>
      <c r="H76" s="14"/>
      <c r="I76" s="23"/>
      <c r="O76" s="14"/>
      <c r="P76" s="23"/>
      <c r="V76" s="14"/>
      <c r="W76" s="23"/>
      <c r="AC76" s="14"/>
      <c r="AK76" s="23"/>
      <c r="AQ76" s="14"/>
      <c r="AX76" s="18"/>
      <c r="AY76" s="23"/>
      <c r="BE76" s="14"/>
      <c r="BF76" s="23"/>
      <c r="BG76" s="21" t="s">
        <v>564</v>
      </c>
      <c r="BK76" s="17"/>
      <c r="BL76" s="17"/>
      <c r="BM76" s="17"/>
      <c r="BN76" s="17"/>
      <c r="BO76" s="17"/>
      <c r="BP76" s="17"/>
      <c r="BQ76" s="17"/>
      <c r="BR76" s="17"/>
      <c r="BS76" s="17"/>
      <c r="BV76" s="23"/>
      <c r="CA76" s="14"/>
      <c r="CB76" s="14"/>
      <c r="CD76" s="59"/>
      <c r="CH76" s="59"/>
      <c r="CS76" s="60"/>
    </row>
    <row r="77" spans="1:97" x14ac:dyDescent="0.3">
      <c r="A77" s="23"/>
      <c r="B77" s="23"/>
      <c r="H77" s="14"/>
      <c r="I77" s="23"/>
      <c r="O77" s="14"/>
      <c r="P77" s="23"/>
      <c r="V77" s="14"/>
      <c r="W77" s="23"/>
      <c r="AC77" s="14"/>
      <c r="AK77" s="23"/>
      <c r="AQ77" s="14"/>
      <c r="AX77" s="18"/>
      <c r="AY77" s="23"/>
      <c r="BE77" s="14"/>
      <c r="BF77" s="23"/>
      <c r="BK77" s="17"/>
      <c r="BL77" s="17"/>
      <c r="BM77" s="17"/>
      <c r="BN77" s="17"/>
      <c r="BO77" s="17"/>
      <c r="BP77" s="17"/>
      <c r="BQ77" s="17"/>
      <c r="BR77" s="17"/>
      <c r="BS77" s="17"/>
      <c r="BV77" s="23"/>
      <c r="CA77" s="14"/>
      <c r="CB77" s="14"/>
      <c r="CD77" s="59"/>
      <c r="CH77" s="59"/>
      <c r="CS77" s="60"/>
    </row>
    <row r="78" spans="1:97" x14ac:dyDescent="0.3">
      <c r="A78" s="23"/>
      <c r="B78" s="23"/>
      <c r="H78" s="14"/>
      <c r="I78" s="23"/>
      <c r="O78" s="14"/>
      <c r="P78" s="23"/>
      <c r="V78" s="14"/>
      <c r="W78" s="23"/>
      <c r="AC78" s="14"/>
      <c r="AK78" s="23"/>
      <c r="AQ78" s="14"/>
      <c r="AX78" s="18"/>
      <c r="AY78" s="23"/>
      <c r="BE78" s="14"/>
      <c r="BF78" s="23"/>
      <c r="BK78" s="17"/>
      <c r="BL78" s="17"/>
      <c r="BM78" s="17"/>
      <c r="BN78" s="17"/>
      <c r="BO78" s="17"/>
      <c r="BP78" s="17"/>
      <c r="BQ78" s="17"/>
      <c r="BR78" s="17"/>
      <c r="BS78" s="17"/>
      <c r="BV78" s="23"/>
      <c r="CA78" s="14"/>
      <c r="CB78" s="14"/>
      <c r="CD78" s="59"/>
      <c r="CH78" s="59"/>
      <c r="CS78" s="60"/>
    </row>
    <row r="79" spans="1:97" x14ac:dyDescent="0.3">
      <c r="A79" s="23"/>
      <c r="B79" s="23"/>
      <c r="H79" s="14"/>
      <c r="I79" s="23"/>
      <c r="O79" s="14"/>
      <c r="P79" s="23"/>
      <c r="V79" s="14"/>
      <c r="W79" s="23"/>
      <c r="AC79" s="14"/>
      <c r="AK79" s="23"/>
      <c r="AQ79" s="14"/>
      <c r="AX79" s="18"/>
      <c r="AY79" s="23"/>
      <c r="BE79" s="14"/>
      <c r="BF79" s="23"/>
      <c r="BG79" s="16" t="s">
        <v>413</v>
      </c>
      <c r="BO79" s="17"/>
      <c r="BP79" s="17"/>
      <c r="BQ79" s="17"/>
      <c r="BR79" s="17"/>
      <c r="BS79" s="17"/>
      <c r="BV79" s="23"/>
      <c r="CA79" s="14"/>
      <c r="CB79" s="14"/>
      <c r="CD79" s="59"/>
      <c r="CH79" s="59"/>
      <c r="CS79" s="60"/>
    </row>
    <row r="80" spans="1:97" x14ac:dyDescent="0.3">
      <c r="A80" s="23"/>
      <c r="B80" s="23"/>
      <c r="H80" s="14"/>
      <c r="I80" s="23"/>
      <c r="O80" s="14"/>
      <c r="P80" s="23"/>
      <c r="V80" s="14"/>
      <c r="W80" s="23"/>
      <c r="AC80" s="14"/>
      <c r="AK80" s="23"/>
      <c r="AQ80" s="14"/>
      <c r="AX80" s="18"/>
      <c r="AY80" s="23"/>
      <c r="BE80" s="14"/>
      <c r="BF80" s="23"/>
      <c r="BH80" s="8" t="s">
        <v>173</v>
      </c>
      <c r="BO80" s="17"/>
      <c r="BP80" s="17"/>
      <c r="BQ80" s="17"/>
      <c r="BR80" s="17"/>
      <c r="BS80" s="17"/>
      <c r="BV80" s="73" t="s">
        <v>253</v>
      </c>
      <c r="CA80" s="14"/>
      <c r="CB80" s="14"/>
      <c r="CD80" s="59"/>
      <c r="CH80" s="59"/>
      <c r="CS80" s="60"/>
    </row>
    <row r="81" spans="1:97" x14ac:dyDescent="0.3">
      <c r="A81" s="23"/>
      <c r="B81" s="23"/>
      <c r="H81" s="14"/>
      <c r="I81" s="23"/>
      <c r="O81" s="14"/>
      <c r="P81" s="23"/>
      <c r="V81" s="14"/>
      <c r="W81" s="23"/>
      <c r="AC81" s="14"/>
      <c r="AK81" s="23"/>
      <c r="AQ81" s="14"/>
      <c r="AX81" s="18"/>
      <c r="AY81" s="23"/>
      <c r="BE81" s="14"/>
      <c r="BF81" s="23"/>
      <c r="BH81" s="8" t="s">
        <v>174</v>
      </c>
      <c r="BO81" s="17"/>
      <c r="BP81" s="17"/>
      <c r="BQ81" s="17"/>
      <c r="BR81" s="17"/>
      <c r="BS81" s="17"/>
      <c r="BV81" s="23" t="s">
        <v>254</v>
      </c>
      <c r="CA81" s="14"/>
      <c r="CB81" s="14"/>
      <c r="CD81" s="59"/>
      <c r="CH81" s="59"/>
      <c r="CS81" s="60"/>
    </row>
    <row r="82" spans="1:97" x14ac:dyDescent="0.3">
      <c r="A82" s="23"/>
      <c r="B82" s="23"/>
      <c r="H82" s="14"/>
      <c r="I82" s="23"/>
      <c r="O82" s="14"/>
      <c r="P82" s="23"/>
      <c r="V82" s="14"/>
      <c r="W82" s="23"/>
      <c r="AC82" s="14"/>
      <c r="AK82" s="23"/>
      <c r="AQ82" s="14"/>
      <c r="AX82" s="18"/>
      <c r="AY82" s="23"/>
      <c r="BE82" s="14"/>
      <c r="BF82" s="23"/>
      <c r="BK82" s="17"/>
      <c r="BL82" s="17"/>
      <c r="BM82" s="17"/>
      <c r="BN82" s="17"/>
      <c r="BO82" s="17"/>
      <c r="BP82" s="17"/>
      <c r="BQ82" s="17"/>
      <c r="BR82" s="17"/>
      <c r="BS82" s="17"/>
      <c r="BV82" s="23" t="s">
        <v>255</v>
      </c>
      <c r="CA82" s="14"/>
      <c r="CB82" s="14"/>
      <c r="CD82" s="59"/>
      <c r="CH82" s="59"/>
      <c r="CS82" s="60"/>
    </row>
    <row r="83" spans="1:97" x14ac:dyDescent="0.3">
      <c r="A83" s="23"/>
      <c r="B83" s="23"/>
      <c r="H83" s="14"/>
      <c r="I83" s="23"/>
      <c r="O83" s="14"/>
      <c r="P83" s="23"/>
      <c r="V83" s="14"/>
      <c r="W83" s="23"/>
      <c r="AC83" s="14"/>
      <c r="AK83" s="23"/>
      <c r="AQ83" s="14"/>
      <c r="AX83" s="18"/>
      <c r="AY83" s="23"/>
      <c r="BE83" s="14"/>
      <c r="BF83" s="23"/>
      <c r="BK83" s="17"/>
      <c r="BL83" s="17"/>
      <c r="BM83" s="17"/>
      <c r="BN83" s="17"/>
      <c r="BO83" s="17"/>
      <c r="BP83" s="17"/>
      <c r="BQ83" s="17"/>
      <c r="BR83" s="17"/>
      <c r="BS83" s="17"/>
      <c r="BV83" s="23"/>
      <c r="CA83" s="14"/>
      <c r="CB83" s="14"/>
      <c r="CD83" s="59"/>
      <c r="CH83" s="59"/>
      <c r="CS83" s="60"/>
    </row>
    <row r="84" spans="1:97" x14ac:dyDescent="0.3">
      <c r="A84" s="23"/>
      <c r="B84" s="23"/>
      <c r="H84" s="14"/>
      <c r="I84" s="23"/>
      <c r="O84" s="14"/>
      <c r="P84" s="23"/>
      <c r="V84" s="14"/>
      <c r="W84" s="23"/>
      <c r="AC84" s="14"/>
      <c r="AK84" s="23"/>
      <c r="AQ84" s="14"/>
      <c r="AX84" s="18"/>
      <c r="AY84" s="23"/>
      <c r="BE84" s="14"/>
      <c r="BF84" s="23"/>
      <c r="BK84" s="17"/>
      <c r="BL84" s="17"/>
      <c r="BM84" s="17"/>
      <c r="BN84" s="17"/>
      <c r="BO84" s="17"/>
      <c r="BP84" s="17"/>
      <c r="BQ84" s="17"/>
      <c r="BR84" s="17"/>
      <c r="BS84" s="17"/>
      <c r="BV84" s="23"/>
      <c r="CA84" s="14"/>
      <c r="CB84" s="14"/>
      <c r="CD84" s="59"/>
      <c r="CH84" s="59"/>
      <c r="CS84" s="60"/>
    </row>
    <row r="85" spans="1:97" x14ac:dyDescent="0.3">
      <c r="A85" s="23"/>
      <c r="B85" s="23"/>
      <c r="H85" s="14"/>
      <c r="I85" s="23"/>
      <c r="O85" s="14"/>
      <c r="P85" s="23"/>
      <c r="V85" s="14"/>
      <c r="W85" s="23"/>
      <c r="AC85" s="14"/>
      <c r="AK85" s="23"/>
      <c r="AQ85" s="14"/>
      <c r="AX85" s="18"/>
      <c r="AY85" s="23"/>
      <c r="BE85" s="14"/>
      <c r="BF85" s="23"/>
      <c r="BK85" s="17"/>
      <c r="BL85" s="17"/>
      <c r="BM85" s="17"/>
      <c r="BN85" s="17"/>
      <c r="BO85" s="17"/>
      <c r="BP85" s="17"/>
      <c r="BQ85" s="17"/>
      <c r="BR85" s="17"/>
      <c r="BS85" s="17"/>
      <c r="BV85" s="23"/>
      <c r="CA85" s="14"/>
      <c r="CB85" s="14"/>
      <c r="CD85" s="59"/>
      <c r="CH85" s="59"/>
      <c r="CS85" s="60"/>
    </row>
    <row r="86" spans="1:97" x14ac:dyDescent="0.3">
      <c r="A86" s="23"/>
      <c r="B86" s="23"/>
      <c r="H86" s="14"/>
      <c r="I86" s="23"/>
      <c r="O86" s="14"/>
      <c r="P86" s="23"/>
      <c r="V86" s="14"/>
      <c r="W86" s="23"/>
      <c r="AC86" s="14"/>
      <c r="AK86" s="23"/>
      <c r="AQ86" s="14"/>
      <c r="AX86" s="18"/>
      <c r="AY86" s="23"/>
      <c r="BE86" s="14"/>
      <c r="BF86" s="23"/>
      <c r="BG86" s="11"/>
      <c r="BP86" s="11"/>
      <c r="BV86" s="23"/>
      <c r="CA86" s="14"/>
      <c r="CB86" s="14"/>
      <c r="CD86" s="59"/>
      <c r="CH86" s="59"/>
      <c r="CS86" s="60"/>
    </row>
    <row r="87" spans="1:97" x14ac:dyDescent="0.3">
      <c r="A87" s="23"/>
      <c r="B87" s="23"/>
      <c r="H87" s="14"/>
      <c r="I87" s="23"/>
      <c r="O87" s="14"/>
      <c r="P87" s="23"/>
      <c r="V87" s="14"/>
      <c r="W87" s="23"/>
      <c r="AC87" s="14"/>
      <c r="AK87" s="23"/>
      <c r="AQ87" s="14"/>
      <c r="AX87" s="18"/>
      <c r="AY87" s="23"/>
      <c r="BE87" s="14"/>
      <c r="BF87" s="23"/>
      <c r="BG87" s="11"/>
      <c r="BP87" s="11"/>
      <c r="BV87" s="23"/>
      <c r="CA87" s="14"/>
      <c r="CB87" s="14"/>
      <c r="CD87" s="59"/>
      <c r="CH87" s="59"/>
      <c r="CS87" s="60"/>
    </row>
    <row r="88" spans="1:97" x14ac:dyDescent="0.3">
      <c r="A88" s="23"/>
      <c r="B88" s="23"/>
      <c r="H88" s="14"/>
      <c r="I88" s="23"/>
      <c r="O88" s="14"/>
      <c r="P88" s="23"/>
      <c r="V88" s="14"/>
      <c r="W88" s="23"/>
      <c r="AC88" s="14"/>
      <c r="AK88" s="23"/>
      <c r="AQ88" s="14"/>
      <c r="AX88" s="18"/>
      <c r="AY88" s="23"/>
      <c r="BE88" s="14"/>
      <c r="BF88" s="23"/>
      <c r="BG88" s="11"/>
      <c r="BP88" s="11"/>
      <c r="BV88" s="23"/>
      <c r="CA88" s="14"/>
      <c r="CB88" s="14"/>
      <c r="CD88" s="59"/>
      <c r="CH88" s="59"/>
      <c r="CS88" s="60"/>
    </row>
    <row r="89" spans="1:97" x14ac:dyDescent="0.3">
      <c r="A89" s="23"/>
      <c r="B89" s="23"/>
      <c r="H89" s="14"/>
      <c r="I89" s="23"/>
      <c r="O89" s="14"/>
      <c r="P89" s="23"/>
      <c r="V89" s="14"/>
      <c r="W89" s="23"/>
      <c r="AC89" s="14"/>
      <c r="AK89" s="23"/>
      <c r="AQ89" s="14"/>
      <c r="AX89" s="18"/>
      <c r="AY89" s="23"/>
      <c r="BE89" s="14"/>
      <c r="BF89" s="23"/>
      <c r="BG89" s="11"/>
      <c r="BP89" s="11"/>
      <c r="BV89" s="23"/>
      <c r="CA89" s="14"/>
      <c r="CB89" s="14"/>
      <c r="CD89" s="59"/>
      <c r="CH89" s="59"/>
      <c r="CS89" s="60"/>
    </row>
    <row r="90" spans="1:97" x14ac:dyDescent="0.3">
      <c r="A90" s="23"/>
      <c r="B90" s="23"/>
      <c r="H90" s="14"/>
      <c r="I90" s="23"/>
      <c r="O90" s="14"/>
      <c r="P90" s="23"/>
      <c r="V90" s="14"/>
      <c r="W90" s="23"/>
      <c r="AC90" s="14"/>
      <c r="AK90" s="23"/>
      <c r="AQ90" s="14"/>
      <c r="AX90" s="18"/>
      <c r="AY90" s="23"/>
      <c r="BE90" s="14"/>
      <c r="BF90" s="23"/>
      <c r="BG90" s="11"/>
      <c r="BH90" s="11"/>
      <c r="BI90" s="11"/>
      <c r="BJ90" s="11"/>
      <c r="BP90" s="11"/>
      <c r="BV90" s="23"/>
      <c r="CA90" s="14"/>
      <c r="CB90" s="14"/>
      <c r="CD90" s="59"/>
      <c r="CH90" s="59"/>
      <c r="CS90" s="60"/>
    </row>
    <row r="91" spans="1:97" s="11" customFormat="1" ht="13.5" customHeight="1" x14ac:dyDescent="0.3">
      <c r="A91" s="24"/>
      <c r="B91" s="26"/>
      <c r="C91" s="20"/>
      <c r="D91" s="20"/>
      <c r="E91" s="20"/>
      <c r="F91" s="20"/>
      <c r="G91" s="20"/>
      <c r="H91" s="19"/>
      <c r="I91" s="26"/>
      <c r="J91" s="20"/>
      <c r="K91" s="20"/>
      <c r="L91" s="20"/>
      <c r="M91" s="20"/>
      <c r="N91" s="20"/>
      <c r="O91" s="19"/>
      <c r="P91" s="27"/>
      <c r="Q91" s="20"/>
      <c r="R91" s="20"/>
      <c r="S91" s="20"/>
      <c r="T91" s="20"/>
      <c r="U91" s="20"/>
      <c r="V91" s="19"/>
      <c r="W91" s="27"/>
      <c r="X91" s="20"/>
      <c r="Y91" s="20"/>
      <c r="Z91" s="20"/>
      <c r="AA91" s="20"/>
      <c r="AB91" s="20"/>
      <c r="AC91" s="19"/>
      <c r="AD91" s="20"/>
      <c r="AE91" s="20"/>
      <c r="AF91" s="20"/>
      <c r="AG91" s="20"/>
      <c r="AH91" s="20"/>
      <c r="AI91" s="20"/>
      <c r="AJ91" s="20"/>
      <c r="AK91" s="27"/>
      <c r="AL91" s="20"/>
      <c r="AM91" s="20"/>
      <c r="AN91" s="20"/>
      <c r="AO91" s="20"/>
      <c r="AP91" s="20"/>
      <c r="AQ91" s="19"/>
      <c r="AR91" s="20"/>
      <c r="AS91" s="20"/>
      <c r="AT91" s="20"/>
      <c r="AU91" s="20"/>
      <c r="AV91" s="20"/>
      <c r="AW91" s="20"/>
      <c r="AX91" s="19"/>
      <c r="AY91" s="27"/>
      <c r="AZ91" s="20"/>
      <c r="BA91" s="20"/>
      <c r="BB91" s="20"/>
      <c r="BC91" s="20"/>
      <c r="BD91" s="20"/>
      <c r="BE91" s="19"/>
      <c r="BF91" s="34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27"/>
      <c r="BW91" s="20"/>
      <c r="BX91" s="20"/>
      <c r="BY91" s="20"/>
      <c r="BZ91" s="20"/>
      <c r="CA91" s="19"/>
      <c r="CB91" s="13"/>
      <c r="CD91" s="57"/>
      <c r="CH91" s="242"/>
      <c r="CI91" s="243"/>
      <c r="CJ91" s="243"/>
      <c r="CK91" s="243"/>
      <c r="CL91" s="243"/>
      <c r="CM91" s="243"/>
      <c r="CN91" s="243"/>
      <c r="CO91" s="243"/>
      <c r="CP91" s="243"/>
      <c r="CQ91" s="243"/>
      <c r="CR91" s="243"/>
      <c r="CS91" s="244"/>
    </row>
    <row r="92" spans="1:97" s="11" customFormat="1" x14ac:dyDescent="0.3">
      <c r="A92" s="24"/>
      <c r="B92" s="37" t="s">
        <v>565</v>
      </c>
      <c r="C92" s="52"/>
      <c r="D92" s="52"/>
      <c r="E92" s="52"/>
      <c r="F92" s="52"/>
      <c r="G92" s="52"/>
      <c r="H92" s="52"/>
      <c r="I92" s="37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98"/>
      <c r="AL92" s="52"/>
      <c r="AM92" s="52"/>
      <c r="AN92" s="52"/>
      <c r="AO92" s="52"/>
      <c r="AP92" s="52"/>
      <c r="AQ92" s="40"/>
      <c r="AR92" s="52"/>
      <c r="AS92" s="52"/>
      <c r="AT92" s="52"/>
      <c r="AU92" s="52"/>
      <c r="AV92" s="52"/>
      <c r="AW92" s="52"/>
      <c r="AX92" s="52"/>
      <c r="AY92" s="22"/>
      <c r="AZ92" s="22"/>
      <c r="BA92" s="22"/>
      <c r="BB92" s="22"/>
      <c r="BC92" s="22"/>
      <c r="BD92" s="22"/>
      <c r="BE92" s="2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40"/>
      <c r="CB92" s="13"/>
      <c r="CD92" s="54"/>
      <c r="CE92" s="55"/>
      <c r="CF92" s="55"/>
      <c r="CG92" s="55"/>
      <c r="CH92" s="54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6"/>
    </row>
    <row r="93" spans="1:97" s="11" customFormat="1" x14ac:dyDescent="0.3">
      <c r="A93" s="24"/>
      <c r="B93" s="41"/>
      <c r="C93" s="42"/>
      <c r="D93" s="42"/>
      <c r="E93" s="42"/>
      <c r="F93" s="42"/>
      <c r="G93" s="42"/>
      <c r="H93" s="43"/>
      <c r="I93" s="41"/>
      <c r="J93" s="42"/>
      <c r="K93" s="42"/>
      <c r="L93" s="42"/>
      <c r="M93" s="42"/>
      <c r="N93" s="42"/>
      <c r="O93" s="43"/>
      <c r="P93" s="44"/>
      <c r="Q93" s="42"/>
      <c r="R93" s="42"/>
      <c r="S93" s="42"/>
      <c r="T93" s="42"/>
      <c r="U93" s="42"/>
      <c r="V93" s="43"/>
      <c r="W93" s="44"/>
      <c r="X93" s="42"/>
      <c r="Y93" s="42"/>
      <c r="Z93" s="42"/>
      <c r="AA93" s="42"/>
      <c r="AB93" s="42"/>
      <c r="AC93" s="43"/>
      <c r="AD93" s="42"/>
      <c r="AE93" s="42"/>
      <c r="AF93" s="42"/>
      <c r="AG93" s="42"/>
      <c r="AH93" s="42"/>
      <c r="AI93" s="42"/>
      <c r="AJ93" s="42"/>
      <c r="AK93" s="44"/>
      <c r="AL93" s="42"/>
      <c r="AM93" s="42"/>
      <c r="AN93" s="42"/>
      <c r="AO93" s="42"/>
      <c r="AP93" s="42"/>
      <c r="AQ93" s="43"/>
      <c r="AR93" s="42"/>
      <c r="AS93" s="42"/>
      <c r="AT93" s="42"/>
      <c r="AU93" s="42"/>
      <c r="AV93" s="42"/>
      <c r="AW93" s="42"/>
      <c r="AX93" s="43"/>
      <c r="AY93" s="44"/>
      <c r="AZ93" s="42"/>
      <c r="BA93" s="42"/>
      <c r="BB93" s="42"/>
      <c r="BC93" s="42"/>
      <c r="BD93" s="42"/>
      <c r="BE93" s="43"/>
      <c r="BF93" s="45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4"/>
      <c r="BW93" s="42"/>
      <c r="BX93" s="42"/>
      <c r="BY93" s="42"/>
      <c r="BZ93" s="42"/>
      <c r="CA93" s="43"/>
      <c r="CB93" s="13"/>
      <c r="CD93" s="57"/>
      <c r="CH93" s="57"/>
      <c r="CS93" s="58"/>
    </row>
    <row r="94" spans="1:97" s="11" customFormat="1" ht="13.5" customHeight="1" x14ac:dyDescent="0.3">
      <c r="A94" s="24"/>
      <c r="B94" s="26"/>
      <c r="C94" s="20"/>
      <c r="D94" s="20"/>
      <c r="E94" s="20"/>
      <c r="F94" s="20"/>
      <c r="G94" s="20"/>
      <c r="H94" s="19"/>
      <c r="I94" s="26"/>
      <c r="J94" s="20"/>
      <c r="K94" s="20"/>
      <c r="L94" s="20"/>
      <c r="M94" s="20"/>
      <c r="N94" s="20"/>
      <c r="O94" s="19"/>
      <c r="P94" s="27"/>
      <c r="Q94" s="20"/>
      <c r="R94" s="20"/>
      <c r="S94" s="20"/>
      <c r="T94" s="20"/>
      <c r="U94" s="20"/>
      <c r="V94" s="19"/>
      <c r="W94" s="27"/>
      <c r="X94" s="20"/>
      <c r="Y94" s="20"/>
      <c r="Z94" s="20"/>
      <c r="AA94" s="20"/>
      <c r="AB94" s="20"/>
      <c r="AC94" s="19"/>
      <c r="AD94" s="20"/>
      <c r="AE94" s="20"/>
      <c r="AF94" s="20"/>
      <c r="AG94" s="20"/>
      <c r="AH94" s="20"/>
      <c r="AI94" s="20"/>
      <c r="AJ94" s="20"/>
      <c r="AK94" s="27"/>
      <c r="AL94" s="20"/>
      <c r="AM94" s="20"/>
      <c r="AN94" s="20"/>
      <c r="AO94" s="20"/>
      <c r="AP94" s="20"/>
      <c r="AQ94" s="19"/>
      <c r="AR94" s="20"/>
      <c r="AS94" s="20"/>
      <c r="AT94" s="20"/>
      <c r="AU94" s="20"/>
      <c r="AV94" s="20"/>
      <c r="AW94" s="20"/>
      <c r="AX94" s="19"/>
      <c r="AY94" s="27"/>
      <c r="AZ94" s="20"/>
      <c r="BA94" s="20"/>
      <c r="BB94" s="20"/>
      <c r="BC94" s="20"/>
      <c r="BD94" s="20"/>
      <c r="BE94" s="19"/>
      <c r="BF94" s="34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27"/>
      <c r="BW94" s="20"/>
      <c r="BX94" s="20"/>
      <c r="BY94" s="20"/>
      <c r="BZ94" s="20"/>
      <c r="CA94" s="19"/>
      <c r="CB94" s="13"/>
      <c r="CD94" s="57"/>
      <c r="CH94" s="242"/>
      <c r="CI94" s="243"/>
      <c r="CJ94" s="243"/>
      <c r="CK94" s="243"/>
      <c r="CL94" s="243"/>
      <c r="CM94" s="243"/>
      <c r="CN94" s="243"/>
      <c r="CO94" s="243"/>
      <c r="CP94" s="243"/>
      <c r="CQ94" s="243"/>
      <c r="CR94" s="243"/>
      <c r="CS94" s="244"/>
    </row>
    <row r="95" spans="1:97" s="11" customFormat="1" x14ac:dyDescent="0.3">
      <c r="A95" s="24"/>
      <c r="B95" s="26"/>
      <c r="C95" s="20"/>
      <c r="D95" s="20"/>
      <c r="E95" s="20"/>
      <c r="F95" s="20"/>
      <c r="G95" s="20"/>
      <c r="H95" s="19"/>
      <c r="I95" s="26"/>
      <c r="J95" s="20"/>
      <c r="K95" s="20"/>
      <c r="L95" s="20"/>
      <c r="M95" s="20"/>
      <c r="N95" s="20"/>
      <c r="O95" s="19"/>
      <c r="P95" s="27"/>
      <c r="Q95" s="20"/>
      <c r="R95" s="20"/>
      <c r="S95" s="20"/>
      <c r="T95" s="20"/>
      <c r="U95" s="20"/>
      <c r="V95" s="19"/>
      <c r="W95" s="27"/>
      <c r="X95" s="20"/>
      <c r="Y95" s="20"/>
      <c r="Z95" s="20"/>
      <c r="AA95" s="20"/>
      <c r="AB95" s="20"/>
      <c r="AC95" s="19"/>
      <c r="AD95" s="20"/>
      <c r="AE95" s="20"/>
      <c r="AF95" s="20"/>
      <c r="AG95" s="20"/>
      <c r="AH95" s="20"/>
      <c r="AI95" s="20"/>
      <c r="AJ95" s="20"/>
      <c r="AK95" s="27"/>
      <c r="AL95" s="20"/>
      <c r="AM95" s="20"/>
      <c r="AN95" s="20"/>
      <c r="AO95" s="20"/>
      <c r="AP95" s="20"/>
      <c r="AQ95" s="19"/>
      <c r="AR95" s="20"/>
      <c r="AS95" s="20"/>
      <c r="AT95" s="20"/>
      <c r="AU95" s="20"/>
      <c r="AV95" s="20"/>
      <c r="AW95" s="20"/>
      <c r="AX95" s="19"/>
      <c r="AY95" s="27"/>
      <c r="AZ95" s="20"/>
      <c r="BA95" s="20"/>
      <c r="BB95" s="20"/>
      <c r="BC95" s="20"/>
      <c r="BD95" s="20"/>
      <c r="BE95" s="19"/>
      <c r="BF95" s="34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27"/>
      <c r="BW95" s="20"/>
      <c r="BX95" s="20"/>
      <c r="BY95" s="20"/>
      <c r="BZ95" s="20"/>
      <c r="CA95" s="19"/>
      <c r="CB95" s="13"/>
      <c r="CD95" s="57"/>
      <c r="CH95" s="242"/>
      <c r="CI95" s="243"/>
      <c r="CJ95" s="243"/>
      <c r="CK95" s="243"/>
      <c r="CL95" s="243"/>
      <c r="CM95" s="243"/>
      <c r="CN95" s="243"/>
      <c r="CO95" s="243"/>
      <c r="CP95" s="243"/>
      <c r="CQ95" s="243"/>
      <c r="CR95" s="243"/>
      <c r="CS95" s="244"/>
    </row>
    <row r="96" spans="1:97" s="11" customFormat="1" x14ac:dyDescent="0.3">
      <c r="A96" s="24"/>
      <c r="B96" s="26"/>
      <c r="C96" s="20"/>
      <c r="D96" s="20"/>
      <c r="E96" s="20"/>
      <c r="F96" s="20"/>
      <c r="G96" s="20"/>
      <c r="H96" s="19"/>
      <c r="I96" s="26"/>
      <c r="J96" s="20"/>
      <c r="K96" s="20"/>
      <c r="L96" s="20"/>
      <c r="M96" s="20"/>
      <c r="N96" s="20"/>
      <c r="O96" s="19"/>
      <c r="P96" s="27"/>
      <c r="Q96" s="20"/>
      <c r="R96" s="20"/>
      <c r="S96" s="20"/>
      <c r="T96" s="20"/>
      <c r="U96" s="20"/>
      <c r="V96" s="19"/>
      <c r="W96" s="27"/>
      <c r="X96" s="20"/>
      <c r="Y96" s="20"/>
      <c r="Z96" s="20"/>
      <c r="AA96" s="20"/>
      <c r="AB96" s="20"/>
      <c r="AC96" s="19"/>
      <c r="AD96" s="20"/>
      <c r="AE96" s="20"/>
      <c r="AF96" s="20"/>
      <c r="AG96" s="20"/>
      <c r="AH96" s="20"/>
      <c r="AI96" s="20"/>
      <c r="AJ96" s="20"/>
      <c r="AK96" s="27"/>
      <c r="AL96" s="20"/>
      <c r="AM96" s="20"/>
      <c r="AN96" s="20"/>
      <c r="AO96" s="20"/>
      <c r="AP96" s="20"/>
      <c r="AQ96" s="19"/>
      <c r="AR96" s="20"/>
      <c r="AS96" s="20"/>
      <c r="AT96" s="20"/>
      <c r="AU96" s="20"/>
      <c r="AV96" s="20"/>
      <c r="AW96" s="20"/>
      <c r="AX96" s="19"/>
      <c r="AY96" s="27"/>
      <c r="AZ96" s="20"/>
      <c r="BA96" s="20"/>
      <c r="BB96" s="20"/>
      <c r="BC96" s="20"/>
      <c r="BD96" s="20"/>
      <c r="BE96" s="19"/>
      <c r="BF96" s="34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27"/>
      <c r="BW96" s="20"/>
      <c r="BX96" s="20"/>
      <c r="BY96" s="20"/>
      <c r="BZ96" s="20"/>
      <c r="CA96" s="19"/>
      <c r="CB96" s="13"/>
      <c r="CD96" s="57"/>
      <c r="CH96" s="57"/>
      <c r="CS96" s="58"/>
    </row>
    <row r="97" spans="1:97" s="11" customFormat="1" x14ac:dyDescent="0.3">
      <c r="A97" s="24"/>
      <c r="B97" s="26"/>
      <c r="C97" s="20"/>
      <c r="D97" s="20"/>
      <c r="E97" s="20"/>
      <c r="F97" s="20"/>
      <c r="G97" s="20"/>
      <c r="H97" s="19"/>
      <c r="I97" s="26"/>
      <c r="J97" s="20"/>
      <c r="K97" s="20"/>
      <c r="L97" s="20"/>
      <c r="M97" s="20"/>
      <c r="N97" s="20"/>
      <c r="O97" s="19"/>
      <c r="P97" s="27"/>
      <c r="Q97" s="20"/>
      <c r="R97" s="20"/>
      <c r="S97" s="20"/>
      <c r="T97" s="20"/>
      <c r="U97" s="20"/>
      <c r="V97" s="19"/>
      <c r="W97" s="27"/>
      <c r="X97" s="20"/>
      <c r="Y97" s="20"/>
      <c r="Z97" s="20"/>
      <c r="AA97" s="20"/>
      <c r="AB97" s="20"/>
      <c r="AC97" s="19"/>
      <c r="AD97" s="20"/>
      <c r="AE97" s="20"/>
      <c r="AF97" s="20"/>
      <c r="AG97" s="20"/>
      <c r="AH97" s="20"/>
      <c r="AI97" s="20"/>
      <c r="AJ97" s="20"/>
      <c r="AK97" s="27"/>
      <c r="AL97" s="20"/>
      <c r="AM97" s="20"/>
      <c r="AN97" s="20"/>
      <c r="AO97" s="20"/>
      <c r="AP97" s="20"/>
      <c r="AQ97" s="19"/>
      <c r="AR97" s="20"/>
      <c r="AS97" s="20"/>
      <c r="AT97" s="20"/>
      <c r="AU97" s="20"/>
      <c r="AV97" s="20"/>
      <c r="AW97" s="20"/>
      <c r="AX97" s="19"/>
      <c r="AY97" s="27"/>
      <c r="AZ97" s="20"/>
      <c r="BA97" s="20"/>
      <c r="BB97" s="20"/>
      <c r="BC97" s="20"/>
      <c r="BD97" s="20"/>
      <c r="BE97" s="19"/>
      <c r="BF97" s="34"/>
      <c r="BG97" s="21" t="s">
        <v>546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27"/>
      <c r="BW97" s="20"/>
      <c r="BX97" s="20"/>
      <c r="BY97" s="20"/>
      <c r="BZ97" s="20"/>
      <c r="CA97" s="19"/>
      <c r="CB97" s="13"/>
      <c r="CD97" s="57"/>
      <c r="CH97" s="57"/>
      <c r="CS97" s="58"/>
    </row>
    <row r="98" spans="1:97" s="11" customFormat="1" x14ac:dyDescent="0.3">
      <c r="A98" s="24"/>
      <c r="B98" s="26"/>
      <c r="C98" s="20"/>
      <c r="D98" s="20"/>
      <c r="E98" s="20"/>
      <c r="F98" s="20"/>
      <c r="G98" s="20"/>
      <c r="H98" s="19"/>
      <c r="I98" s="26"/>
      <c r="J98" s="20"/>
      <c r="K98" s="20"/>
      <c r="L98" s="20"/>
      <c r="M98" s="20"/>
      <c r="N98" s="20"/>
      <c r="O98" s="19"/>
      <c r="P98" s="27"/>
      <c r="Q98" s="20"/>
      <c r="R98" s="20"/>
      <c r="S98" s="20"/>
      <c r="T98" s="20"/>
      <c r="U98" s="20"/>
      <c r="V98" s="19"/>
      <c r="W98" s="27"/>
      <c r="X98" s="20"/>
      <c r="Y98" s="20"/>
      <c r="Z98" s="20"/>
      <c r="AA98" s="20"/>
      <c r="AB98" s="20"/>
      <c r="AC98" s="19"/>
      <c r="AD98" s="20"/>
      <c r="AE98" s="20"/>
      <c r="AF98" s="20"/>
      <c r="AG98" s="20"/>
      <c r="AH98" s="20"/>
      <c r="AI98" s="20"/>
      <c r="AJ98" s="20"/>
      <c r="AK98" s="27"/>
      <c r="AL98" s="20"/>
      <c r="AM98" s="20"/>
      <c r="AN98" s="20"/>
      <c r="AO98" s="20"/>
      <c r="AP98" s="20"/>
      <c r="AQ98" s="19"/>
      <c r="AR98" s="20"/>
      <c r="AS98" s="20"/>
      <c r="AT98" s="20"/>
      <c r="AU98" s="20"/>
      <c r="AV98" s="20"/>
      <c r="AW98" s="20"/>
      <c r="AX98" s="19"/>
      <c r="AY98" s="29"/>
      <c r="AZ98"/>
      <c r="BA98"/>
      <c r="BB98"/>
      <c r="BC98"/>
      <c r="BD98"/>
      <c r="BE98" s="18"/>
      <c r="BF98" s="34"/>
      <c r="BG98" s="17"/>
      <c r="BH98" s="8" t="s">
        <v>566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27"/>
      <c r="BW98" s="20"/>
      <c r="BX98" s="20"/>
      <c r="BY98" s="20"/>
      <c r="BZ98" s="20"/>
      <c r="CA98" s="19"/>
      <c r="CB98" s="13"/>
      <c r="CD98" s="57"/>
      <c r="CH98" s="57"/>
      <c r="CS98" s="58"/>
    </row>
    <row r="99" spans="1:97" s="11" customFormat="1" x14ac:dyDescent="0.3">
      <c r="A99" s="24"/>
      <c r="B99" s="26"/>
      <c r="C99" s="20"/>
      <c r="D99" s="20"/>
      <c r="E99" s="20"/>
      <c r="F99" s="20"/>
      <c r="G99" s="20"/>
      <c r="H99" s="19"/>
      <c r="I99" s="26"/>
      <c r="J99" s="20"/>
      <c r="K99" s="20"/>
      <c r="L99" s="20"/>
      <c r="M99" s="20"/>
      <c r="N99" s="20"/>
      <c r="O99" s="19"/>
      <c r="P99" s="27"/>
      <c r="Q99" s="20"/>
      <c r="R99" s="20"/>
      <c r="S99" s="20"/>
      <c r="T99" s="20"/>
      <c r="U99" s="20"/>
      <c r="V99" s="19"/>
      <c r="W99" s="27"/>
      <c r="X99" s="20"/>
      <c r="Y99" s="20"/>
      <c r="Z99" s="20"/>
      <c r="AA99" s="20"/>
      <c r="AB99" s="20"/>
      <c r="AC99" s="19"/>
      <c r="AD99" s="20"/>
      <c r="AE99" s="20"/>
      <c r="AF99" s="20"/>
      <c r="AG99" s="20"/>
      <c r="AH99" s="20"/>
      <c r="AI99" s="20"/>
      <c r="AJ99" s="20"/>
      <c r="AK99" s="27"/>
      <c r="AL99" s="20"/>
      <c r="AM99" s="20"/>
      <c r="AN99" s="20"/>
      <c r="AO99" s="20"/>
      <c r="AP99" s="20"/>
      <c r="AQ99" s="19"/>
      <c r="AR99" s="20"/>
      <c r="AS99" s="20"/>
      <c r="AT99" s="20"/>
      <c r="AU99" s="20"/>
      <c r="AV99" s="20"/>
      <c r="AW99" s="20"/>
      <c r="AX99" s="19"/>
      <c r="AY99" s="30"/>
      <c r="BE99" s="13"/>
      <c r="BF99" s="34"/>
      <c r="BG99" s="21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27"/>
      <c r="BW99" s="20"/>
      <c r="BX99" s="20"/>
      <c r="BY99" s="20"/>
      <c r="BZ99" s="20"/>
      <c r="CA99" s="19"/>
      <c r="CB99" s="13"/>
      <c r="CD99" s="57"/>
      <c r="CH99" s="57"/>
      <c r="CS99" s="58"/>
    </row>
    <row r="100" spans="1:97" s="11" customFormat="1" x14ac:dyDescent="0.3">
      <c r="A100" s="24"/>
      <c r="B100" s="26"/>
      <c r="C100" s="20"/>
      <c r="D100" s="20"/>
      <c r="E100" s="20"/>
      <c r="F100" s="20"/>
      <c r="G100" s="20"/>
      <c r="H100" s="19"/>
      <c r="I100" s="26"/>
      <c r="J100" s="20"/>
      <c r="K100" s="20"/>
      <c r="L100" s="20"/>
      <c r="M100" s="20"/>
      <c r="N100" s="20"/>
      <c r="O100" s="19"/>
      <c r="P100" s="27"/>
      <c r="Q100" s="20"/>
      <c r="R100" s="20"/>
      <c r="S100" s="20"/>
      <c r="T100" s="20"/>
      <c r="U100" s="20"/>
      <c r="V100" s="19"/>
      <c r="W100" s="27"/>
      <c r="X100" s="20"/>
      <c r="Y100" s="20"/>
      <c r="Z100" s="20"/>
      <c r="AA100" s="20"/>
      <c r="AB100" s="20"/>
      <c r="AC100" s="19"/>
      <c r="AD100" s="20"/>
      <c r="AE100" s="20"/>
      <c r="AF100" s="20"/>
      <c r="AG100" s="20"/>
      <c r="AH100" s="20"/>
      <c r="AI100" s="20"/>
      <c r="AJ100" s="20"/>
      <c r="AK100" s="27"/>
      <c r="AL100" s="20"/>
      <c r="AM100" s="20"/>
      <c r="AN100" s="20"/>
      <c r="AO100" s="20"/>
      <c r="AP100" s="20"/>
      <c r="AQ100" s="19"/>
      <c r="AR100" s="20"/>
      <c r="AS100" s="20"/>
      <c r="AT100" s="20"/>
      <c r="AU100" s="20"/>
      <c r="AV100" s="20"/>
      <c r="AW100" s="20"/>
      <c r="AX100" s="19"/>
      <c r="AY100" s="23"/>
      <c r="AZ100" s="8"/>
      <c r="BA100" s="8"/>
      <c r="BB100" s="8"/>
      <c r="BC100" s="8"/>
      <c r="BD100" s="8"/>
      <c r="BE100" s="14"/>
      <c r="BF100" s="34"/>
      <c r="BG100" s="21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27"/>
      <c r="BW100" s="20"/>
      <c r="BX100" s="20"/>
      <c r="BY100" s="20"/>
      <c r="BZ100" s="20"/>
      <c r="CA100" s="19"/>
      <c r="CB100" s="14"/>
      <c r="CD100" s="57"/>
      <c r="CH100" s="57"/>
      <c r="CS100" s="58"/>
    </row>
    <row r="101" spans="1:97" x14ac:dyDescent="0.3">
      <c r="A101" s="23"/>
      <c r="B101" s="23"/>
      <c r="H101" s="14"/>
      <c r="I101" s="23"/>
      <c r="O101" s="14"/>
      <c r="P101" s="23"/>
      <c r="V101" s="14"/>
      <c r="W101" s="23"/>
      <c r="AC101" s="14"/>
      <c r="AK101" s="23"/>
      <c r="AQ101" s="14"/>
      <c r="AX101" s="18"/>
      <c r="AY101" s="23"/>
      <c r="BE101" s="14"/>
      <c r="BF101" s="30"/>
      <c r="BG101" s="21"/>
      <c r="BH101" s="17"/>
      <c r="BI101" s="17"/>
      <c r="BJ101" s="17"/>
      <c r="BK101" s="17"/>
      <c r="BM101" s="17"/>
      <c r="BN101" s="17"/>
      <c r="BO101" s="17"/>
      <c r="BP101" s="17"/>
      <c r="BQ101" s="17"/>
      <c r="BR101" s="17"/>
      <c r="BS101" s="17"/>
      <c r="BT101" s="11"/>
      <c r="BU101" s="11"/>
      <c r="BV101" s="23"/>
      <c r="CA101" s="14"/>
      <c r="CB101" s="14"/>
      <c r="CD101" s="59"/>
      <c r="CH101" s="59"/>
      <c r="CS101" s="60"/>
    </row>
    <row r="102" spans="1:97" x14ac:dyDescent="0.3">
      <c r="A102" s="23"/>
      <c r="B102" s="23"/>
      <c r="H102" s="14"/>
      <c r="I102" s="23"/>
      <c r="O102" s="14"/>
      <c r="P102" s="23"/>
      <c r="V102" s="14"/>
      <c r="W102" s="23"/>
      <c r="AC102" s="14"/>
      <c r="AK102" s="23"/>
      <c r="AQ102" s="14"/>
      <c r="AX102" s="18"/>
      <c r="AY102" s="23"/>
      <c r="BE102" s="14"/>
      <c r="BF102" s="34"/>
      <c r="BG102" s="21" t="s">
        <v>567</v>
      </c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U102" s="11"/>
      <c r="BV102" s="23"/>
      <c r="CA102" s="14"/>
      <c r="CB102" s="14"/>
      <c r="CD102" s="59"/>
      <c r="CH102" s="59"/>
      <c r="CS102" s="60"/>
    </row>
    <row r="103" spans="1:97" x14ac:dyDescent="0.3">
      <c r="A103" s="23"/>
      <c r="B103" s="23"/>
      <c r="H103" s="14"/>
      <c r="I103" s="23"/>
      <c r="O103" s="14"/>
      <c r="P103" s="23"/>
      <c r="V103" s="14"/>
      <c r="W103" s="23"/>
      <c r="AC103" s="14"/>
      <c r="AK103" s="23"/>
      <c r="AQ103" s="14"/>
      <c r="AX103" s="18"/>
      <c r="AY103" s="23"/>
      <c r="BE103" s="14"/>
      <c r="BF103" s="34"/>
      <c r="BG103" s="11"/>
      <c r="BH103" s="17" t="s">
        <v>568</v>
      </c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U103" s="11"/>
      <c r="BV103" s="23"/>
      <c r="CA103" s="14"/>
      <c r="CB103" s="14"/>
      <c r="CD103" s="59"/>
      <c r="CH103" s="59"/>
      <c r="CS103" s="60"/>
    </row>
    <row r="104" spans="1:97" x14ac:dyDescent="0.3">
      <c r="A104" s="23"/>
      <c r="B104" s="23"/>
      <c r="H104" s="14"/>
      <c r="I104" s="23"/>
      <c r="O104" s="14"/>
      <c r="P104" s="23"/>
      <c r="V104" s="14"/>
      <c r="W104" s="23"/>
      <c r="AC104" s="14"/>
      <c r="AK104" s="23"/>
      <c r="AQ104" s="14"/>
      <c r="AX104" s="18"/>
      <c r="AY104" s="23"/>
      <c r="BE104" s="14"/>
      <c r="BF104" s="34"/>
      <c r="BG104" s="11"/>
      <c r="BH104" s="17" t="s">
        <v>569</v>
      </c>
      <c r="BI104" s="17"/>
      <c r="BK104" s="17"/>
      <c r="BL104" s="17"/>
      <c r="BM104" s="17"/>
      <c r="BN104" s="17"/>
      <c r="BO104" s="17"/>
      <c r="BP104" s="17"/>
      <c r="BQ104" s="17"/>
      <c r="BR104" s="17"/>
      <c r="BS104" s="17"/>
      <c r="BU104" s="11"/>
      <c r="BV104" s="23"/>
      <c r="CA104" s="14"/>
      <c r="CB104" s="14"/>
      <c r="CD104" s="59"/>
      <c r="CH104" s="59"/>
      <c r="CS104" s="60"/>
    </row>
    <row r="105" spans="1:97" x14ac:dyDescent="0.3">
      <c r="A105" s="23"/>
      <c r="B105" s="23"/>
      <c r="H105" s="14"/>
      <c r="I105" s="23"/>
      <c r="O105" s="14"/>
      <c r="P105" s="23"/>
      <c r="V105" s="14"/>
      <c r="W105" s="23"/>
      <c r="AC105" s="14"/>
      <c r="AK105" s="23"/>
      <c r="AQ105" s="14"/>
      <c r="AX105" s="18"/>
      <c r="AY105" s="23"/>
      <c r="BE105" s="14"/>
      <c r="BF105" s="23"/>
      <c r="BK105" s="17"/>
      <c r="BL105" s="17"/>
      <c r="BM105" s="17"/>
      <c r="BN105" s="17"/>
      <c r="BO105" s="17"/>
      <c r="BP105" s="17"/>
      <c r="BQ105" s="17"/>
      <c r="BR105" s="17"/>
      <c r="BS105" s="17"/>
      <c r="BU105" s="11"/>
      <c r="BV105" s="23"/>
      <c r="CA105" s="14"/>
      <c r="CB105" s="14"/>
      <c r="CD105" s="59"/>
      <c r="CH105" s="59"/>
      <c r="CS105" s="60"/>
    </row>
    <row r="106" spans="1:97" x14ac:dyDescent="0.3">
      <c r="A106" s="23"/>
      <c r="B106" s="23"/>
      <c r="H106" s="14"/>
      <c r="I106" s="23"/>
      <c r="O106" s="14"/>
      <c r="P106" s="23"/>
      <c r="V106" s="14"/>
      <c r="W106" s="23"/>
      <c r="AC106" s="14"/>
      <c r="AK106" s="23"/>
      <c r="AQ106" s="14"/>
      <c r="AX106" s="18"/>
      <c r="AY106" s="23"/>
      <c r="BE106" s="14"/>
      <c r="BF106" s="23"/>
      <c r="BK106" s="17"/>
      <c r="BL106" s="17"/>
      <c r="BM106" s="17"/>
      <c r="BN106" s="17"/>
      <c r="BO106" s="17"/>
      <c r="BP106" s="17"/>
      <c r="BQ106" s="17"/>
      <c r="BR106" s="17"/>
      <c r="BS106" s="17"/>
      <c r="BV106" s="23"/>
      <c r="CA106" s="14"/>
      <c r="CB106" s="14"/>
      <c r="CD106" s="59"/>
      <c r="CH106" s="59"/>
      <c r="CS106" s="60"/>
    </row>
    <row r="107" spans="1:97" x14ac:dyDescent="0.3">
      <c r="A107" s="23"/>
      <c r="B107" s="23"/>
      <c r="H107" s="14"/>
      <c r="I107" s="23"/>
      <c r="O107" s="14"/>
      <c r="P107" s="23"/>
      <c r="V107" s="14"/>
      <c r="W107" s="23"/>
      <c r="AC107" s="14"/>
      <c r="AK107" s="23"/>
      <c r="AQ107" s="14"/>
      <c r="AX107" s="18"/>
      <c r="AY107" s="23"/>
      <c r="BE107" s="14"/>
      <c r="BF107" s="23"/>
      <c r="BK107" s="17"/>
      <c r="BL107" s="17"/>
      <c r="BM107" s="17"/>
      <c r="BN107" s="17"/>
      <c r="BO107" s="17"/>
      <c r="BP107" s="17"/>
      <c r="BQ107" s="17"/>
      <c r="BR107" s="17"/>
      <c r="BS107" s="17"/>
      <c r="BV107" s="23"/>
      <c r="CA107" s="14"/>
      <c r="CB107" s="14"/>
      <c r="CD107" s="59"/>
      <c r="CH107" s="59"/>
      <c r="CS107" s="60"/>
    </row>
    <row r="108" spans="1:97" x14ac:dyDescent="0.3">
      <c r="A108" s="23"/>
      <c r="B108" s="23"/>
      <c r="H108" s="14"/>
      <c r="I108" s="23"/>
      <c r="O108" s="14"/>
      <c r="P108" s="23"/>
      <c r="V108" s="14"/>
      <c r="W108" s="23"/>
      <c r="AC108" s="14"/>
      <c r="AK108" s="23"/>
      <c r="AQ108" s="14"/>
      <c r="AX108" s="18"/>
      <c r="AY108" s="23"/>
      <c r="BE108" s="14"/>
      <c r="BF108" s="23"/>
      <c r="BG108" s="21" t="s">
        <v>570</v>
      </c>
      <c r="BK108" s="17"/>
      <c r="BL108" s="17"/>
      <c r="BM108" s="17"/>
      <c r="BN108" s="17"/>
      <c r="BO108" s="17"/>
      <c r="BP108" s="17"/>
      <c r="BQ108" s="17"/>
      <c r="BR108" s="17"/>
      <c r="BS108" s="17"/>
      <c r="BV108" s="23"/>
      <c r="CA108" s="14"/>
      <c r="CB108" s="14"/>
      <c r="CD108" s="59"/>
      <c r="CH108" s="59"/>
      <c r="CS108" s="60"/>
    </row>
    <row r="109" spans="1:97" x14ac:dyDescent="0.3">
      <c r="A109" s="23"/>
      <c r="B109" s="23"/>
      <c r="H109" s="14"/>
      <c r="I109" s="23"/>
      <c r="O109" s="14"/>
      <c r="P109" s="23"/>
      <c r="V109" s="14"/>
      <c r="W109" s="23"/>
      <c r="AC109" s="14"/>
      <c r="AK109" s="23"/>
      <c r="AQ109" s="14"/>
      <c r="AX109" s="18"/>
      <c r="AY109" s="23"/>
      <c r="BE109" s="14"/>
      <c r="BF109" s="23"/>
      <c r="BK109" s="17"/>
      <c r="BL109" s="17"/>
      <c r="BM109" s="17"/>
      <c r="BN109" s="17"/>
      <c r="BO109" s="17"/>
      <c r="BP109" s="17"/>
      <c r="BQ109" s="17"/>
      <c r="BR109" s="17"/>
      <c r="BS109" s="17"/>
      <c r="BV109" s="23"/>
      <c r="CA109" s="14"/>
      <c r="CB109" s="14"/>
      <c r="CD109" s="59"/>
      <c r="CH109" s="59"/>
      <c r="CS109" s="60"/>
    </row>
    <row r="110" spans="1:97" x14ac:dyDescent="0.3">
      <c r="A110" s="23"/>
      <c r="B110" s="23"/>
      <c r="H110" s="14"/>
      <c r="I110" s="23"/>
      <c r="O110" s="14"/>
      <c r="P110" s="23"/>
      <c r="V110" s="14"/>
      <c r="W110" s="23"/>
      <c r="AC110" s="14"/>
      <c r="AK110" s="23"/>
      <c r="AQ110" s="14"/>
      <c r="AX110" s="18"/>
      <c r="AY110" s="23"/>
      <c r="BE110" s="14"/>
      <c r="BF110" s="23"/>
      <c r="BK110" s="17"/>
      <c r="BL110" s="17"/>
      <c r="BM110" s="17"/>
      <c r="BN110" s="17"/>
      <c r="BO110" s="17"/>
      <c r="BP110" s="17"/>
      <c r="BQ110" s="17"/>
      <c r="BR110" s="17"/>
      <c r="BS110" s="17"/>
      <c r="BV110" s="23"/>
      <c r="CA110" s="14"/>
      <c r="CB110" s="14"/>
      <c r="CD110" s="59"/>
      <c r="CH110" s="59"/>
      <c r="CS110" s="60"/>
    </row>
    <row r="111" spans="1:97" x14ac:dyDescent="0.3">
      <c r="A111" s="23"/>
      <c r="B111" s="23"/>
      <c r="H111" s="14"/>
      <c r="I111" s="23"/>
      <c r="O111" s="14"/>
      <c r="P111" s="23"/>
      <c r="V111" s="14"/>
      <c r="W111" s="23"/>
      <c r="AC111" s="14"/>
      <c r="AK111" s="23"/>
      <c r="AQ111" s="14"/>
      <c r="AX111" s="18"/>
      <c r="AY111" s="23"/>
      <c r="BE111" s="14"/>
      <c r="BF111" s="23"/>
      <c r="BG111" s="16" t="s">
        <v>172</v>
      </c>
      <c r="BO111" s="17"/>
      <c r="BP111" s="17"/>
      <c r="BQ111" s="17"/>
      <c r="BR111" s="17"/>
      <c r="BS111" s="17"/>
      <c r="BV111" s="23"/>
      <c r="CA111" s="14"/>
      <c r="CB111" s="14"/>
      <c r="CD111" s="59"/>
      <c r="CH111" s="59"/>
      <c r="CS111" s="60"/>
    </row>
    <row r="112" spans="1:97" x14ac:dyDescent="0.3">
      <c r="A112" s="23"/>
      <c r="B112" s="23"/>
      <c r="H112" s="14"/>
      <c r="I112" s="23"/>
      <c r="O112" s="14"/>
      <c r="P112" s="23"/>
      <c r="V112" s="14"/>
      <c r="W112" s="23"/>
      <c r="AC112" s="14"/>
      <c r="AK112" s="23"/>
      <c r="AQ112" s="14"/>
      <c r="AX112" s="18"/>
      <c r="AY112" s="23"/>
      <c r="BE112" s="14"/>
      <c r="BF112" s="23"/>
      <c r="BH112" s="8" t="s">
        <v>173</v>
      </c>
      <c r="BO112" s="17"/>
      <c r="BP112" s="17"/>
      <c r="BQ112" s="17"/>
      <c r="BR112" s="17"/>
      <c r="BS112" s="17"/>
      <c r="BV112" s="73" t="s">
        <v>253</v>
      </c>
      <c r="CA112" s="14"/>
      <c r="CB112" s="14"/>
      <c r="CD112" s="59"/>
      <c r="CH112" s="59"/>
      <c r="CS112" s="60"/>
    </row>
    <row r="113" spans="1:97" x14ac:dyDescent="0.3">
      <c r="A113" s="23"/>
      <c r="B113" s="23"/>
      <c r="H113" s="14"/>
      <c r="I113" s="23"/>
      <c r="O113" s="14"/>
      <c r="P113" s="23"/>
      <c r="V113" s="14"/>
      <c r="W113" s="23"/>
      <c r="AC113" s="14"/>
      <c r="AK113" s="23"/>
      <c r="AQ113" s="14"/>
      <c r="AX113" s="18"/>
      <c r="AY113" s="23"/>
      <c r="BE113" s="14"/>
      <c r="BF113" s="23"/>
      <c r="BH113" s="8" t="s">
        <v>174</v>
      </c>
      <c r="BO113" s="17"/>
      <c r="BP113" s="17"/>
      <c r="BQ113" s="17"/>
      <c r="BR113" s="17"/>
      <c r="BS113" s="17"/>
      <c r="BV113" s="23" t="s">
        <v>254</v>
      </c>
      <c r="CA113" s="14"/>
      <c r="CB113" s="14"/>
      <c r="CD113" s="59"/>
      <c r="CH113" s="59"/>
      <c r="CS113" s="60"/>
    </row>
    <row r="114" spans="1:97" x14ac:dyDescent="0.3">
      <c r="A114" s="23"/>
      <c r="B114" s="23"/>
      <c r="H114" s="14"/>
      <c r="I114" s="23"/>
      <c r="O114" s="14"/>
      <c r="P114" s="23"/>
      <c r="V114" s="14"/>
      <c r="W114" s="23"/>
      <c r="AC114" s="14"/>
      <c r="AK114" s="23"/>
      <c r="AQ114" s="14"/>
      <c r="AX114" s="18"/>
      <c r="AY114" s="23"/>
      <c r="BE114" s="14"/>
      <c r="BF114" s="23"/>
      <c r="BK114" s="17"/>
      <c r="BL114" s="17"/>
      <c r="BM114" s="17"/>
      <c r="BN114" s="17"/>
      <c r="BO114" s="17"/>
      <c r="BP114" s="17"/>
      <c r="BQ114" s="17"/>
      <c r="BR114" s="17"/>
      <c r="BS114" s="17"/>
      <c r="BV114" s="23" t="s">
        <v>255</v>
      </c>
      <c r="CA114" s="14"/>
      <c r="CB114" s="14"/>
      <c r="CD114" s="59"/>
      <c r="CH114" s="59"/>
      <c r="CS114" s="60"/>
    </row>
    <row r="115" spans="1:97" x14ac:dyDescent="0.3">
      <c r="A115" s="23"/>
      <c r="B115" s="23"/>
      <c r="H115" s="14"/>
      <c r="I115" s="23"/>
      <c r="O115" s="14"/>
      <c r="P115" s="23"/>
      <c r="V115" s="14"/>
      <c r="W115" s="23"/>
      <c r="AC115" s="14"/>
      <c r="AK115" s="23"/>
      <c r="AQ115" s="14"/>
      <c r="AX115" s="18"/>
      <c r="AY115" s="23"/>
      <c r="BE115" s="14"/>
      <c r="BF115" s="23"/>
      <c r="BK115" s="17"/>
      <c r="BL115" s="17"/>
      <c r="BM115" s="17"/>
      <c r="BN115" s="17"/>
      <c r="BO115" s="17"/>
      <c r="BP115" s="17"/>
      <c r="BQ115" s="17"/>
      <c r="BR115" s="17"/>
      <c r="BS115" s="17"/>
      <c r="BV115" s="23"/>
      <c r="CA115" s="14"/>
      <c r="CB115" s="14"/>
      <c r="CD115" s="59"/>
      <c r="CH115" s="59"/>
      <c r="CS115" s="60"/>
    </row>
    <row r="116" spans="1:97" x14ac:dyDescent="0.3">
      <c r="A116" s="23"/>
      <c r="B116" s="23"/>
      <c r="H116" s="14"/>
      <c r="I116" s="23"/>
      <c r="O116" s="14"/>
      <c r="P116" s="23"/>
      <c r="V116" s="14"/>
      <c r="W116" s="23"/>
      <c r="AC116" s="14"/>
      <c r="AK116" s="23"/>
      <c r="AQ116" s="14"/>
      <c r="AX116" s="18"/>
      <c r="AY116" s="23"/>
      <c r="BE116" s="14"/>
      <c r="BF116" s="23"/>
      <c r="BK116" s="17"/>
      <c r="BL116" s="17"/>
      <c r="BM116" s="17"/>
      <c r="BN116" s="17"/>
      <c r="BO116" s="17"/>
      <c r="BP116" s="17"/>
      <c r="BQ116" s="17"/>
      <c r="BR116" s="17"/>
      <c r="BS116" s="17"/>
      <c r="BV116" s="23"/>
      <c r="CA116" s="14"/>
      <c r="CB116" s="14"/>
      <c r="CD116" s="59"/>
      <c r="CH116" s="59"/>
      <c r="CS116" s="60"/>
    </row>
    <row r="117" spans="1:97" x14ac:dyDescent="0.3">
      <c r="A117" s="23"/>
      <c r="B117" s="23"/>
      <c r="H117" s="14"/>
      <c r="I117" s="23"/>
      <c r="O117" s="14"/>
      <c r="P117" s="23"/>
      <c r="V117" s="14"/>
      <c r="W117" s="23"/>
      <c r="AC117" s="14"/>
      <c r="AK117" s="23"/>
      <c r="AQ117" s="14"/>
      <c r="AX117" s="18"/>
      <c r="AY117" s="23"/>
      <c r="BE117" s="14"/>
      <c r="BF117" s="23"/>
      <c r="BK117" s="17"/>
      <c r="BL117" s="17"/>
      <c r="BM117" s="17"/>
      <c r="BN117" s="17"/>
      <c r="BO117" s="17"/>
      <c r="BP117" s="17"/>
      <c r="BQ117" s="17"/>
      <c r="BR117" s="17"/>
      <c r="BS117" s="17"/>
      <c r="BV117" s="23"/>
      <c r="CA117" s="14"/>
      <c r="CB117" s="14"/>
      <c r="CD117" s="59"/>
      <c r="CH117" s="59"/>
      <c r="CS117" s="60"/>
    </row>
    <row r="118" spans="1:97" x14ac:dyDescent="0.3">
      <c r="A118" s="23"/>
      <c r="B118" s="23"/>
      <c r="H118" s="14"/>
      <c r="I118" s="23"/>
      <c r="O118" s="14"/>
      <c r="P118" s="23"/>
      <c r="V118" s="14"/>
      <c r="W118" s="23"/>
      <c r="AC118" s="14"/>
      <c r="AK118" s="23"/>
      <c r="AQ118" s="14"/>
      <c r="AX118" s="18"/>
      <c r="AY118" s="23"/>
      <c r="BE118" s="14"/>
      <c r="BF118" s="23"/>
      <c r="BG118" s="11"/>
      <c r="BP118" s="11"/>
      <c r="BV118" s="23"/>
      <c r="CA118" s="14"/>
      <c r="CB118" s="14"/>
      <c r="CD118" s="59"/>
      <c r="CH118" s="59"/>
      <c r="CS118" s="60"/>
    </row>
    <row r="119" spans="1:97" x14ac:dyDescent="0.3">
      <c r="A119" s="23"/>
      <c r="B119" s="23"/>
      <c r="H119" s="14"/>
      <c r="I119" s="23"/>
      <c r="O119" s="14"/>
      <c r="P119" s="23"/>
      <c r="V119" s="14"/>
      <c r="W119" s="23"/>
      <c r="AC119" s="14"/>
      <c r="AK119" s="23"/>
      <c r="AQ119" s="14"/>
      <c r="AX119" s="18"/>
      <c r="AY119" s="23"/>
      <c r="BE119" s="14"/>
      <c r="BF119" s="23"/>
      <c r="BG119" s="11"/>
      <c r="BP119" s="11"/>
      <c r="BV119" s="23"/>
      <c r="CA119" s="14"/>
      <c r="CB119" s="14"/>
      <c r="CD119" s="59"/>
      <c r="CH119" s="59"/>
      <c r="CS119" s="60"/>
    </row>
    <row r="120" spans="1:97" x14ac:dyDescent="0.3">
      <c r="A120" s="23"/>
      <c r="B120" s="23"/>
      <c r="H120" s="14"/>
      <c r="I120" s="23"/>
      <c r="O120" s="14"/>
      <c r="P120" s="23"/>
      <c r="V120" s="14"/>
      <c r="W120" s="23"/>
      <c r="AC120" s="14"/>
      <c r="AK120" s="23"/>
      <c r="AQ120" s="14"/>
      <c r="AX120" s="18"/>
      <c r="AY120" s="23"/>
      <c r="BE120" s="14"/>
      <c r="BF120" s="23"/>
      <c r="BG120" s="11"/>
      <c r="BP120" s="11"/>
      <c r="BV120" s="23"/>
      <c r="CA120" s="14"/>
      <c r="CB120" s="14"/>
      <c r="CD120" s="59"/>
      <c r="CH120" s="59"/>
      <c r="CS120" s="60"/>
    </row>
    <row r="121" spans="1:97" x14ac:dyDescent="0.3">
      <c r="A121" s="23"/>
      <c r="B121" s="23"/>
      <c r="H121" s="14"/>
      <c r="I121" s="23"/>
      <c r="O121" s="14"/>
      <c r="P121" s="23"/>
      <c r="V121" s="14"/>
      <c r="W121" s="23"/>
      <c r="AC121" s="14"/>
      <c r="AK121" s="23"/>
      <c r="AQ121" s="14"/>
      <c r="AX121" s="18"/>
      <c r="AY121" s="23"/>
      <c r="BE121" s="14"/>
      <c r="BF121" s="23"/>
      <c r="BG121" s="11"/>
      <c r="BP121" s="11"/>
      <c r="BV121" s="23"/>
      <c r="CA121" s="14"/>
      <c r="CB121" s="14"/>
      <c r="CD121" s="59"/>
      <c r="CH121" s="59"/>
      <c r="CS121" s="60"/>
    </row>
    <row r="122" spans="1:97" x14ac:dyDescent="0.3">
      <c r="A122" s="23"/>
      <c r="B122" s="23"/>
      <c r="H122" s="14"/>
      <c r="I122" s="23"/>
      <c r="O122" s="14"/>
      <c r="P122" s="23"/>
      <c r="V122" s="14"/>
      <c r="W122" s="23"/>
      <c r="AC122" s="14"/>
      <c r="AK122" s="23"/>
      <c r="AQ122" s="14"/>
      <c r="AX122" s="18"/>
      <c r="AY122" s="23"/>
      <c r="BE122" s="14"/>
      <c r="BF122" s="23"/>
      <c r="BG122" s="11"/>
      <c r="BH122" s="11"/>
      <c r="BI122" s="11"/>
      <c r="BJ122" s="11"/>
      <c r="BP122" s="11"/>
      <c r="BV122" s="23"/>
      <c r="CA122" s="14"/>
      <c r="CB122" s="14"/>
      <c r="CD122" s="59"/>
      <c r="CH122" s="59"/>
      <c r="CS122" s="60"/>
    </row>
    <row r="123" spans="1:97" s="11" customFormat="1" x14ac:dyDescent="0.3">
      <c r="A123" s="24"/>
      <c r="B123" s="26"/>
      <c r="C123" s="20"/>
      <c r="D123" s="20"/>
      <c r="E123" s="20"/>
      <c r="F123" s="20"/>
      <c r="G123" s="20"/>
      <c r="H123" s="19"/>
      <c r="I123" s="26"/>
      <c r="J123" s="20"/>
      <c r="K123" s="20"/>
      <c r="L123" s="20"/>
      <c r="M123" s="20"/>
      <c r="N123" s="20"/>
      <c r="O123" s="19"/>
      <c r="P123" s="27"/>
      <c r="Q123" s="20"/>
      <c r="R123" s="20"/>
      <c r="S123" s="20"/>
      <c r="T123" s="20"/>
      <c r="U123" s="20"/>
      <c r="V123" s="19"/>
      <c r="W123" s="27"/>
      <c r="X123" s="20"/>
      <c r="Y123" s="20"/>
      <c r="Z123" s="20"/>
      <c r="AA123" s="20"/>
      <c r="AB123" s="20"/>
      <c r="AC123" s="19"/>
      <c r="AD123" s="20"/>
      <c r="AE123" s="20"/>
      <c r="AF123" s="20"/>
      <c r="AG123" s="20"/>
      <c r="AH123" s="20"/>
      <c r="AI123" s="20"/>
      <c r="AJ123" s="20"/>
      <c r="AK123" s="27"/>
      <c r="AL123" s="20"/>
      <c r="AM123" s="20"/>
      <c r="AN123" s="20"/>
      <c r="AO123" s="20"/>
      <c r="AP123" s="20"/>
      <c r="AQ123" s="19"/>
      <c r="AR123" s="20"/>
      <c r="AS123" s="20"/>
      <c r="AT123" s="20"/>
      <c r="AU123" s="20"/>
      <c r="AV123" s="20"/>
      <c r="AW123" s="20"/>
      <c r="AX123" s="19"/>
      <c r="AY123" s="27"/>
      <c r="AZ123" s="20"/>
      <c r="BA123" s="20"/>
      <c r="BB123" s="20"/>
      <c r="BC123" s="20"/>
      <c r="BD123" s="20"/>
      <c r="BE123" s="19"/>
      <c r="BF123" s="34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27"/>
      <c r="BW123" s="20"/>
      <c r="BX123" s="20"/>
      <c r="BY123" s="20"/>
      <c r="BZ123" s="20"/>
      <c r="CA123" s="19"/>
      <c r="CB123" s="13"/>
      <c r="CD123" s="57"/>
      <c r="CH123" s="242"/>
      <c r="CI123" s="243"/>
      <c r="CJ123" s="243"/>
      <c r="CK123" s="243"/>
      <c r="CL123" s="243"/>
      <c r="CM123" s="243"/>
      <c r="CN123" s="243"/>
      <c r="CO123" s="243"/>
      <c r="CP123" s="243"/>
      <c r="CQ123" s="243"/>
      <c r="CR123" s="243"/>
      <c r="CS123" s="244"/>
    </row>
    <row r="124" spans="1:97" x14ac:dyDescent="0.3">
      <c r="A124" s="23"/>
      <c r="B124" s="50"/>
      <c r="C124" s="10"/>
      <c r="D124" s="10"/>
      <c r="E124" s="10"/>
      <c r="F124" s="10"/>
      <c r="G124" s="10"/>
      <c r="H124" s="15"/>
      <c r="I124" s="50"/>
      <c r="J124" s="10"/>
      <c r="K124" s="10"/>
      <c r="L124" s="10"/>
      <c r="M124" s="10"/>
      <c r="N124" s="10"/>
      <c r="O124" s="15"/>
      <c r="P124" s="50"/>
      <c r="Q124" s="10"/>
      <c r="R124" s="10"/>
      <c r="S124" s="10"/>
      <c r="T124" s="10"/>
      <c r="U124" s="10"/>
      <c r="V124" s="15"/>
      <c r="W124" s="50"/>
      <c r="X124" s="10"/>
      <c r="Y124" s="10"/>
      <c r="Z124" s="10"/>
      <c r="AA124" s="10"/>
      <c r="AB124" s="10"/>
      <c r="AC124" s="15"/>
      <c r="AD124" s="10"/>
      <c r="AE124" s="10"/>
      <c r="AF124" s="10"/>
      <c r="AG124" s="10"/>
      <c r="AH124" s="10"/>
      <c r="AI124" s="10"/>
      <c r="AJ124" s="10"/>
      <c r="AK124" s="50"/>
      <c r="AL124" s="10"/>
      <c r="AM124" s="10"/>
      <c r="AN124" s="10"/>
      <c r="AO124" s="10"/>
      <c r="AP124" s="10"/>
      <c r="AQ124" s="15"/>
      <c r="AR124" s="10"/>
      <c r="AS124" s="10"/>
      <c r="AT124" s="10"/>
      <c r="AU124" s="10"/>
      <c r="AV124" s="10"/>
      <c r="AW124" s="10"/>
      <c r="AX124" s="10"/>
      <c r="AY124" s="50"/>
      <c r="AZ124" s="10"/>
      <c r="BA124" s="10"/>
      <c r="BB124" s="10"/>
      <c r="BC124" s="10"/>
      <c r="BD124" s="10"/>
      <c r="BE124" s="10"/>
      <c r="BF124" s="5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50"/>
      <c r="BW124" s="10"/>
      <c r="BX124" s="10"/>
      <c r="BY124" s="10"/>
      <c r="BZ124" s="10"/>
      <c r="CA124" s="15"/>
      <c r="CB124" s="14"/>
      <c r="CD124" s="61"/>
      <c r="CE124" s="62"/>
      <c r="CF124" s="62"/>
      <c r="CG124" s="62"/>
      <c r="CH124" s="61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3"/>
    </row>
    <row r="125" spans="1:97" x14ac:dyDescent="0.3">
      <c r="A125" s="23"/>
      <c r="CB125" s="14"/>
    </row>
    <row r="126" spans="1:97" x14ac:dyDescent="0.3">
      <c r="A126" s="5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5"/>
    </row>
  </sheetData>
  <mergeCells count="36">
    <mergeCell ref="CH123:CS123"/>
    <mergeCell ref="BV8:CA9"/>
    <mergeCell ref="CD8:CG9"/>
    <mergeCell ref="CH8:CS9"/>
    <mergeCell ref="CH59:CS59"/>
    <mergeCell ref="CH60:CS60"/>
    <mergeCell ref="CH94:CS94"/>
    <mergeCell ref="CH95:CS95"/>
    <mergeCell ref="CH12:CS12"/>
    <mergeCell ref="AJ1:AP1"/>
    <mergeCell ref="AQ1:AV1"/>
    <mergeCell ref="CH13:CS13"/>
    <mergeCell ref="CH91:CS91"/>
    <mergeCell ref="V2:AI3"/>
    <mergeCell ref="AJ2:AK2"/>
    <mergeCell ref="AL2:AP2"/>
    <mergeCell ref="AQ2:AV2"/>
    <mergeCell ref="AJ3:AK3"/>
    <mergeCell ref="AL3:AP3"/>
    <mergeCell ref="AQ3:AV3"/>
    <mergeCell ref="B8:H9"/>
    <mergeCell ref="P8:V9"/>
    <mergeCell ref="BF8:BU9"/>
    <mergeCell ref="A1:E1"/>
    <mergeCell ref="F1:U1"/>
    <mergeCell ref="I8:O9"/>
    <mergeCell ref="AR9:AX9"/>
    <mergeCell ref="AY9:BE9"/>
    <mergeCell ref="W8:AJ8"/>
    <mergeCell ref="W9:AC9"/>
    <mergeCell ref="AD9:AJ9"/>
    <mergeCell ref="AK8:AQ8"/>
    <mergeCell ref="AK9:AQ9"/>
    <mergeCell ref="A2:E3"/>
    <mergeCell ref="F2:U3"/>
    <mergeCell ref="V1:AI1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"/>
  <sheetViews>
    <sheetView zoomScale="85" zoomScaleNormal="85" workbookViewId="0"/>
  </sheetViews>
  <sheetFormatPr defaultRowHeight="14.4" x14ac:dyDescent="0.3"/>
  <sheetData/>
  <phoneticPr fontId="4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7D8DE12D48B47B0D44EEF0BC44240" ma:contentTypeVersion="3" ma:contentTypeDescription="Create a new document." ma:contentTypeScope="" ma:versionID="16c51bd49fd1e4ed1770dd35df481b43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153b58a2c46f1fad70237535d3299674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E5C748-0E82-465F-AAE2-69FF9B02017C}">
  <ds:schemaRefs>
    <ds:schemaRef ds:uri="http://schemas.microsoft.com/office/2006/metadata/properties"/>
    <ds:schemaRef ds:uri="http://purl.org/dc/elements/1.1/"/>
    <ds:schemaRef ds:uri="5bd2875c-1d77-4e59-90f4-883ca6a86c01"/>
    <ds:schemaRef ds:uri="http://purl.org/dc/dcmitype/"/>
    <ds:schemaRef ds:uri="http://schemas.microsoft.com/office/infopath/2007/PartnerControls"/>
    <ds:schemaRef ds:uri="0e104af9-8863-48b3-a0f9-b99702920d19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FA8C942-3B47-4776-8BDA-17699C5265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394621-0A44-4C55-8E5E-EFB4889E9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表紙</vt:lpstr>
      <vt:lpstr>変更履歴</vt:lpstr>
      <vt:lpstr>凡例</vt:lpstr>
      <vt:lpstr>1.SSJ・SEJ売上計上・請求処理 (売掛金)</vt:lpstr>
      <vt:lpstr>2.SLJ売上計上・請求処理 (売掛金)</vt:lpstr>
      <vt:lpstr>3.SSJ・SEJ入金 (売掛金)</vt:lpstr>
      <vt:lpstr>4.SLJ入金 (売掛金) </vt:lpstr>
      <vt:lpstr>5.SSJ・SEJ入金消込 (売掛金)</vt:lpstr>
      <vt:lpstr>6.SLJ入金消込 (売掛金) </vt:lpstr>
      <vt:lpstr>7.その他取引計上old</vt:lpstr>
      <vt:lpstr>7.その他取引計上</vt:lpstr>
      <vt:lpstr>8.入金 (未収入金・その他)</vt:lpstr>
      <vt:lpstr>9.入金消込 (未収入金)</vt:lpstr>
      <vt:lpstr>10.債権残高管理</vt:lpstr>
      <vt:lpstr>11.SSJ与信管理</vt:lpstr>
      <vt:lpstr>12.SEJ与信管理</vt:lpstr>
      <vt:lpstr>13.決算処理</vt:lpstr>
      <vt:lpstr>14.手形管理</vt:lpstr>
      <vt:lpstr>【参考】外貨再評価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Ida, Mizuho</cp:lastModifiedBy>
  <cp:revision/>
  <dcterms:created xsi:type="dcterms:W3CDTF">2018-11-08T07:18:29Z</dcterms:created>
  <dcterms:modified xsi:type="dcterms:W3CDTF">2026-05-08T08:26:13Z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